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601E4A-901F-4986-B869-5F139A437760}" xr6:coauthVersionLast="47" xr6:coauthVersionMax="47" xr10:uidLastSave="{00000000-0000-0000-0000-000000000000}"/>
  <bookViews>
    <workbookView xWindow="-120" yWindow="-120" windowWidth="20730" windowHeight="11160" firstSheet="5" activeTab="12" xr2:uid="{00000000-000D-0000-FFFF-FFFF00000000}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  <sheet name="Hoadon" sheetId="13" r:id="rId13"/>
    <sheet name="xnt12thang" sheetId="14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3" l="1"/>
  <c r="E41" i="13"/>
  <c r="E40" i="13"/>
  <c r="E39" i="13"/>
  <c r="F39" i="13"/>
  <c r="F36" i="13"/>
  <c r="F33" i="13"/>
  <c r="F29" i="13"/>
  <c r="F26" i="13"/>
  <c r="F22" i="13"/>
  <c r="F20" i="13" l="1"/>
  <c r="F17" i="13"/>
  <c r="F13" i="13"/>
  <c r="F11" i="13"/>
  <c r="F9" i="13"/>
  <c r="F5" i="13"/>
  <c r="F3" i="13"/>
</calcChain>
</file>

<file path=xl/sharedStrings.xml><?xml version="1.0" encoding="utf-8"?>
<sst xmlns="http://schemas.openxmlformats.org/spreadsheetml/2006/main" count="4065" uniqueCount="358">
  <si>
    <t>STT</t>
  </si>
  <si>
    <t>Mã Nhóm</t>
  </si>
  <si>
    <t>Tên Nhóm Sản Phẩm</t>
  </si>
  <si>
    <t>Tồn Đầu Kỳ (SL)</t>
  </si>
  <si>
    <t>Tồn Đầu Kỳ (VNĐ)</t>
  </si>
  <si>
    <t>Nhập (SL)</t>
  </si>
  <si>
    <t>Nhập (VNĐ)</t>
  </si>
  <si>
    <t>Xuất (SL)</t>
  </si>
  <si>
    <t>Xuất (VNĐ)</t>
  </si>
  <si>
    <t>Tồn Cuối (SL)</t>
  </si>
  <si>
    <t>Tồn Cuối (VNĐ)</t>
  </si>
  <si>
    <t>PC-DELL-LAT</t>
  </si>
  <si>
    <t>Laptop DELL Latitude Series</t>
  </si>
  <si>
    <t>PC-DELL-VOS</t>
  </si>
  <si>
    <t>Laptop DELL Vostro Series</t>
  </si>
  <si>
    <t>PC-DELL-INS</t>
  </si>
  <si>
    <t>Laptop DELL Inspiron Series</t>
  </si>
  <si>
    <t>PC-DELL-XPS</t>
  </si>
  <si>
    <t>Laptop DELL XPS Premium</t>
  </si>
  <si>
    <t>PC-ASU-VIVO</t>
  </si>
  <si>
    <t>Laptop ASUS VivoBook</t>
  </si>
  <si>
    <t>PC-ASU-ZEN</t>
  </si>
  <si>
    <t>Laptop ASUS ZenBook</t>
  </si>
  <si>
    <t>PC-ASU-EXP</t>
  </si>
  <si>
    <t>Laptop ASUS ExpertBook</t>
  </si>
  <si>
    <t>PC-ASU-ROG</t>
  </si>
  <si>
    <t>Laptop ASUS Gaming (ROG/TUF)</t>
  </si>
  <si>
    <t>PC-LEN-TP</t>
  </si>
  <si>
    <t>Laptop LENOVO ThinkPad</t>
  </si>
  <si>
    <t>PC-LEN-IP</t>
  </si>
  <si>
    <t>Laptop LENOVO IdeaPad</t>
  </si>
  <si>
    <t>PC-LEN-V</t>
  </si>
  <si>
    <t>Laptop LENOVO V-Series</t>
  </si>
  <si>
    <t>PC-MSI-MOD</t>
  </si>
  <si>
    <t>Laptop MSI Modern Series</t>
  </si>
  <si>
    <t>PC-MSI-GF</t>
  </si>
  <si>
    <t>Laptop MSI Gaming Series</t>
  </si>
  <si>
    <t>PC-HP-PAV</t>
  </si>
  <si>
    <t>Laptop HP Pavilion</t>
  </si>
  <si>
    <t>PC-HP-PRO</t>
  </si>
  <si>
    <t>Laptop HP ProBook</t>
  </si>
  <si>
    <t>PC-HP-EL</t>
  </si>
  <si>
    <t>Laptop HP EliteBook</t>
  </si>
  <si>
    <t>PC-ACER-ASP</t>
  </si>
  <si>
    <t>Laptop ACER Aspire</t>
  </si>
  <si>
    <t>PC-ACER-NIT</t>
  </si>
  <si>
    <t>Laptop ACER Nitro Gaming</t>
  </si>
  <si>
    <t>PC-MAC-AIR</t>
  </si>
  <si>
    <t>Apple MacBook Air</t>
  </si>
  <si>
    <t>PC-MAC-PRO</t>
  </si>
  <si>
    <t>Apple MacBook Pro</t>
  </si>
  <si>
    <t>PC-TAB-IPAD</t>
  </si>
  <si>
    <t>Apple iPad Tablet</t>
  </si>
  <si>
    <t>PC-TAB-SAM</t>
  </si>
  <si>
    <t>Samsung Galaxy Tab</t>
  </si>
  <si>
    <t>PC-SYS-I3</t>
  </si>
  <si>
    <t>PC Văn phòng Core i3</t>
  </si>
  <si>
    <t>PC-SYS-I5</t>
  </si>
  <si>
    <t>PC Văn phòng Core i5</t>
  </si>
  <si>
    <t>PC-SYS-I7</t>
  </si>
  <si>
    <t>PC Đồ họa Core i7</t>
  </si>
  <si>
    <t>PC-SYS-G</t>
  </si>
  <si>
    <t>PC Gaming (Entry/Mid)</t>
  </si>
  <si>
    <t>PC-WS-XEON</t>
  </si>
  <si>
    <t>Workstation / Server Xeon</t>
  </si>
  <si>
    <t>PC-AIO-DELL</t>
  </si>
  <si>
    <t>All-in-One DELL</t>
  </si>
  <si>
    <t>PC-AIO-HP</t>
  </si>
  <si>
    <t>All-in-One HP</t>
  </si>
  <si>
    <t>PC-MINI</t>
  </si>
  <si>
    <t>NUC / Mini PC</t>
  </si>
  <si>
    <t>LCD-SAM-19</t>
  </si>
  <si>
    <t>Màn hình Samsung 19-20 inch</t>
  </si>
  <si>
    <t>LCD-SAM-24</t>
  </si>
  <si>
    <t>Màn hình Samsung 24-27 inch</t>
  </si>
  <si>
    <t>LCD-DELL-22</t>
  </si>
  <si>
    <t>Màn hình DELL 22 inch</t>
  </si>
  <si>
    <t>LCD-DELL-24</t>
  </si>
  <si>
    <t>Màn hình DELL 24 inch</t>
  </si>
  <si>
    <t>LCD-DELL-27</t>
  </si>
  <si>
    <t>Màn hình DELL 27 inch</t>
  </si>
  <si>
    <t>LCD-ASU-24</t>
  </si>
  <si>
    <t>Màn hình ASUS 24 inch</t>
  </si>
  <si>
    <t>LCD-LG-24</t>
  </si>
  <si>
    <t>Màn hình LG 24-27 inch</t>
  </si>
  <si>
    <t>LCD-VIEW-24</t>
  </si>
  <si>
    <t>Màn hình ViewSonic</t>
  </si>
  <si>
    <t>LCD-GAM-144</t>
  </si>
  <si>
    <t>Màn hình Gaming (144Hz+)</t>
  </si>
  <si>
    <t>LCD-PRO-4K</t>
  </si>
  <si>
    <t>Màn hình Đồ họa 4K</t>
  </si>
  <si>
    <t>PRN-CAN-LBP</t>
  </si>
  <si>
    <t>Máy in Laser Canon (LBP)</t>
  </si>
  <si>
    <t>PRN-CAN-MF</t>
  </si>
  <si>
    <t>Máy in Đa năng Canon (MF)</t>
  </si>
  <si>
    <t>PRN-BRO-HL</t>
  </si>
  <si>
    <t>Máy in Laser Brother (HL)</t>
  </si>
  <si>
    <t>PRN-BRO-DCP</t>
  </si>
  <si>
    <t>Máy in Đa năng Brother (DCP)</t>
  </si>
  <si>
    <t>PRN-HP-LJ</t>
  </si>
  <si>
    <t>Máy in Laser HP (LaserJet)</t>
  </si>
  <si>
    <t>PRN-EPS-L</t>
  </si>
  <si>
    <t>Máy in Phun màu Epson (L-Series)</t>
  </si>
  <si>
    <t>SCN-CAN-CANO</t>
  </si>
  <si>
    <t>Máy quét Canon (LiDE)</t>
  </si>
  <si>
    <t>SCN-HP-SJ</t>
  </si>
  <si>
    <t>Máy quét HP (ScanJet)</t>
  </si>
  <si>
    <t>PRN-POS-80</t>
  </si>
  <si>
    <t>Máy in Hóa đơn (K80)</t>
  </si>
  <si>
    <t>SCN-BAR</t>
  </si>
  <si>
    <t>Đầu đọc mã vạch</t>
  </si>
  <si>
    <t>OFF-CHAIR-ST</t>
  </si>
  <si>
    <t>Ghế văn phòng (Xoay/Lưới)</t>
  </si>
  <si>
    <t>OFF-DESK-W</t>
  </si>
  <si>
    <t>Bàn làm việc gỗ</t>
  </si>
  <si>
    <t>OFF-CAB-I</t>
  </si>
  <si>
    <t>Tủ hồ sơ sắt/gỗ</t>
  </si>
  <si>
    <t>OFF-PROJ-P</t>
  </si>
  <si>
    <t>Máy chiếu (Projector)</t>
  </si>
  <si>
    <t>OFF-SCR-P</t>
  </si>
  <si>
    <t>Màn chiếu</t>
  </si>
  <si>
    <t>OFF-SHRED</t>
  </si>
  <si>
    <t>Máy hủy tài liệu</t>
  </si>
  <si>
    <t>OFF-BIND</t>
  </si>
  <si>
    <t>Máy đóng sách / Ép nhựa</t>
  </si>
  <si>
    <t>INK-CAN-12A</t>
  </si>
  <si>
    <t>Hộp mực Canon 12A / Cartridge 303</t>
  </si>
  <si>
    <t>INK-CAN-35A</t>
  </si>
  <si>
    <t>Hộp mực Canon 35A / 85A</t>
  </si>
  <si>
    <t>INK-CAN-051</t>
  </si>
  <si>
    <t>Hộp mực Canon 051 / 054</t>
  </si>
  <si>
    <t>INK-BRO-2385</t>
  </si>
  <si>
    <t>Hộp mực Brother TN-2385</t>
  </si>
  <si>
    <t>INK-BRO-B022</t>
  </si>
  <si>
    <t>Hộp mực Brother TN-B022 / B027</t>
  </si>
  <si>
    <t>INK-BRO-1010</t>
  </si>
  <si>
    <t>Hộp mực Brother TN-1010</t>
  </si>
  <si>
    <t>INK-HP-17A</t>
  </si>
  <si>
    <t>Hộp mực HP 17A / 107A</t>
  </si>
  <si>
    <t>INK-EPS-673</t>
  </si>
  <si>
    <t>Mực nước Epson 673 (L805)</t>
  </si>
  <si>
    <t>INK-EPS-003</t>
  </si>
  <si>
    <t>Mực nước Epson 003 (L3110)</t>
  </si>
  <si>
    <t>INK-CAN-71</t>
  </si>
  <si>
    <t>Mực nước Canon GI-71 (G1020)</t>
  </si>
  <si>
    <t>INK-RIB-80</t>
  </si>
  <si>
    <t>Ruy băng / Phim fax</t>
  </si>
  <si>
    <t>WST-DRUM</t>
  </si>
  <si>
    <t>Trống máy in (Drum)</t>
  </si>
  <si>
    <t>WST-ROLL</t>
  </si>
  <si>
    <t>Trục sấy / Trục từ / Rulo</t>
  </si>
  <si>
    <t>WST-CHIP</t>
  </si>
  <si>
    <t>Chip mực / Cò sấy</t>
  </si>
  <si>
    <t>WST-PAPER-A4</t>
  </si>
  <si>
    <t>Giấy in A4 (Double A/Paper One)</t>
  </si>
  <si>
    <t>CPU-INT-I3</t>
  </si>
  <si>
    <t>CPU Intel Core i3</t>
  </si>
  <si>
    <t>CPU-INT-I5</t>
  </si>
  <si>
    <t>CPU Intel Core i5</t>
  </si>
  <si>
    <t>CPU-INT-I7</t>
  </si>
  <si>
    <t>CPU Intel Core i7</t>
  </si>
  <si>
    <t>CPU-AMD-RY</t>
  </si>
  <si>
    <t>CPU AMD Ryzen</t>
  </si>
  <si>
    <t>MB-H610</t>
  </si>
  <si>
    <t>Mainboard H610</t>
  </si>
  <si>
    <t>MB-B760</t>
  </si>
  <si>
    <t>Mainboard B760 / B660</t>
  </si>
  <si>
    <t>MB-Z790</t>
  </si>
  <si>
    <t>Mainboard Z690 / Z790</t>
  </si>
  <si>
    <t>RAM-8G-D4</t>
  </si>
  <si>
    <t>RAM 8GB DDR4</t>
  </si>
  <si>
    <t>RAM-16G-D4</t>
  </si>
  <si>
    <t>RAM 16GB DDR4</t>
  </si>
  <si>
    <t>RAM-D5</t>
  </si>
  <si>
    <t>RAM DDR5 (8GB/16GB/32GB)</t>
  </si>
  <si>
    <t>VGA-GTX-16</t>
  </si>
  <si>
    <t>VGA GTX 1650 / 1660</t>
  </si>
  <si>
    <t>VGA-RTX-30</t>
  </si>
  <si>
    <t>VGA RTX 3050 / 3060</t>
  </si>
  <si>
    <t>VGA-RTX-40</t>
  </si>
  <si>
    <t>VGA RTX 4060 / 4070 / 4080</t>
  </si>
  <si>
    <t>UPS-SAN-500</t>
  </si>
  <si>
    <t>UPS Santak 500VA / 1000VA</t>
  </si>
  <si>
    <t>UPS-APC-PRO</t>
  </si>
  <si>
    <t>UPS APC / Maruson High-end</t>
  </si>
  <si>
    <t>SSD-128-256</t>
  </si>
  <si>
    <t>SSD 120GB / 128GB / 240GB / 256GB</t>
  </si>
  <si>
    <t>SSD-480-512</t>
  </si>
  <si>
    <t>SSD 480GB / 500GB / 512GB</t>
  </si>
  <si>
    <t>SSD-1T-2T</t>
  </si>
  <si>
    <t>SSD 1TB / 2TB</t>
  </si>
  <si>
    <t>HDD-1TB</t>
  </si>
  <si>
    <t>HDD 1TB Desktop</t>
  </si>
  <si>
    <t>HDD-2TB-4TB</t>
  </si>
  <si>
    <t>HDD 2TB / 4TB / 8TB (Video/Server)</t>
  </si>
  <si>
    <t>HDD-EXT</t>
  </si>
  <si>
    <t>HDD/SSD Di động</t>
  </si>
  <si>
    <t>USB-32G</t>
  </si>
  <si>
    <t>USB 16GB / 32GB</t>
  </si>
  <si>
    <t>USB-64-128</t>
  </si>
  <si>
    <t>USB 64GB / 128GB</t>
  </si>
  <si>
    <t>SD-CARD</t>
  </si>
  <si>
    <t>Thẻ nhớ MicroSD / SD</t>
  </si>
  <si>
    <t>CASE-OFF</t>
  </si>
  <si>
    <t>Vỏ máy tính văn phòng</t>
  </si>
  <si>
    <t>CASE-GAM</t>
  </si>
  <si>
    <t>Vỏ máy tính Gaming / LED</t>
  </si>
  <si>
    <t>PSU-OFF</t>
  </si>
  <si>
    <t>Nguồn văn phòng (350W-450W)</t>
  </si>
  <si>
    <t>PSU-GAM</t>
  </si>
  <si>
    <t>Nguồn công suất thực (500W-1000W)</t>
  </si>
  <si>
    <t>COOL-FAN</t>
  </si>
  <si>
    <t>Quạt tản nhiệt / Tản khí</t>
  </si>
  <si>
    <t>COOL-AIO</t>
  </si>
  <si>
    <t>Tản nhiệt nước AIO</t>
  </si>
  <si>
    <t>MS-LOGI</t>
  </si>
  <si>
    <t>Chuột Logitech</t>
  </si>
  <si>
    <t>MS-GAM</t>
  </si>
  <si>
    <t>Chuột Gaming</t>
  </si>
  <si>
    <t>MS-RAPO</t>
  </si>
  <si>
    <t>Chuột Rapoo / Mitsumi</t>
  </si>
  <si>
    <t>KB-OFF</t>
  </si>
  <si>
    <t>Bàn phím văn phòng</t>
  </si>
  <si>
    <t>KB-MECH</t>
  </si>
  <si>
    <t>Bàn phím cơ / Gaming</t>
  </si>
  <si>
    <t>HDSET-OFF</t>
  </si>
  <si>
    <t>Tai nghe văn phòng</t>
  </si>
  <si>
    <t>SPK-2.0</t>
  </si>
  <si>
    <t>Loa máy tính 2.0 / 2.1</t>
  </si>
  <si>
    <t>HUB-USB</t>
  </si>
  <si>
    <t>Bộ chia cổng USB / Hub Type-C</t>
  </si>
  <si>
    <t>CAM-WC</t>
  </si>
  <si>
    <t>Webcam dạy học / họp</t>
  </si>
  <si>
    <t>NET-WF-HOME</t>
  </si>
  <si>
    <t>Router WiFi gia đình (N/AC)</t>
  </si>
  <si>
    <t>NET-WF-DUAL</t>
  </si>
  <si>
    <t>Router WiFi Băng tần kép (AC/AX)</t>
  </si>
  <si>
    <t>NET-WF-MESH</t>
  </si>
  <si>
    <t>Hệ thống WiFi Mesh</t>
  </si>
  <si>
    <t>NET-WF-PRO</t>
  </si>
  <si>
    <t>WiFi Chuyên dụng (Aruba/Unifi)</t>
  </si>
  <si>
    <t>NET-SW-OFF</t>
  </si>
  <si>
    <t>Switch văn phòng (5/8/16 cổng)</t>
  </si>
  <si>
    <t>NET-SW-RACK</t>
  </si>
  <si>
    <t>Switch Rackmount (24/48 cổng)</t>
  </si>
  <si>
    <t>NET-SW-POE</t>
  </si>
  <si>
    <t>Switch cấp nguồn PoE (Camera)</t>
  </si>
  <si>
    <t>NET-CARD</t>
  </si>
  <si>
    <t>Card mạng / USB WiFi</t>
  </si>
  <si>
    <t>NET-4G-W</t>
  </si>
  <si>
    <t>Bộ phát WiFi 4G/LTE</t>
  </si>
  <si>
    <t>NET-CAB-NET</t>
  </si>
  <si>
    <t>Tủ mạng / Tủ Rack</t>
  </si>
  <si>
    <t>CAM-WIFI-2M</t>
  </si>
  <si>
    <t>Camera WiFi 2MP (Cố định/Xoay)</t>
  </si>
  <si>
    <t>CAM-WIFI-4M</t>
  </si>
  <si>
    <t>Camera WiFi 4MP / Outdoor</t>
  </si>
  <si>
    <t>CAM-IP-DOME</t>
  </si>
  <si>
    <t>Camera IP Dome (Trong nhà)</t>
  </si>
  <si>
    <t>CAM-IP-BUL</t>
  </si>
  <si>
    <t>Camera IP Thân (Ngoài trời)</t>
  </si>
  <si>
    <t>CAM-DVR-4C</t>
  </si>
  <si>
    <t>Đầu ghi hình 4 kênh</t>
  </si>
  <si>
    <t>CAM-DVR-8C</t>
  </si>
  <si>
    <t>Đầu ghi hình 8 kênh</t>
  </si>
  <si>
    <t>CAM-DVR-16</t>
  </si>
  <si>
    <t>Đầu ghi hình 16/32 kênh</t>
  </si>
  <si>
    <t>CAM-ACC-BS</t>
  </si>
  <si>
    <t>Chân đế / Hộp kỹ thuật Camera</t>
  </si>
  <si>
    <t>CAB-LAN-C5</t>
  </si>
  <si>
    <t>Dây cáp mạng Cat5e</t>
  </si>
  <si>
    <t>CAB-LAN-C6</t>
  </si>
  <si>
    <t>Dây cáp mạng Cat6</t>
  </si>
  <si>
    <t>CAB-HDMI-3</t>
  </si>
  <si>
    <t>Cáp HDMI (1.5m - 5m)</t>
  </si>
  <si>
    <t>CAB-HDMI-15</t>
  </si>
  <si>
    <t>Cáp HDMI dài (10m - 30m)</t>
  </si>
  <si>
    <t>CAB-VGA-DP</t>
  </si>
  <si>
    <t>Cáp VGA / DisplayPort / DVI</t>
  </si>
  <si>
    <t>VT-RJ45</t>
  </si>
  <si>
    <t>Đầu bấm mạng (Hạt mạng)</t>
  </si>
  <si>
    <t>VT-RJ11</t>
  </si>
  <si>
    <t>Hạt điện thoại / Mặt wallplate</t>
  </si>
  <si>
    <t>RADIO-W</t>
  </si>
  <si>
    <t>Bộ đàm (Walkie Talkie)</t>
  </si>
  <si>
    <t>TEL-PHONE</t>
  </si>
  <si>
    <t>Điện thoại bàn / IP Phone</t>
  </si>
  <si>
    <t>VT-TOOLS</t>
  </si>
  <si>
    <t>Công cụ thi công (Kềm, Máy test)</t>
  </si>
  <si>
    <t>SW-WIN-PRO</t>
  </si>
  <si>
    <t>Bản quyền Windows</t>
  </si>
  <si>
    <t>SW-OFF-365</t>
  </si>
  <si>
    <t>Bản quyền Office 365 / 2021</t>
  </si>
  <si>
    <t>SW-AV-KAS</t>
  </si>
  <si>
    <t>Phần mềm Diệt Virus</t>
  </si>
  <si>
    <t>SRV-INSTALL</t>
  </si>
  <si>
    <t>Phí lắp đặt / Cài đặt</t>
  </si>
  <si>
    <t>SRV-MAINT</t>
  </si>
  <si>
    <t>Phí bảo trì / Sửa chữa</t>
  </si>
  <si>
    <t>OTH-GEN</t>
  </si>
  <si>
    <t>Hàng hóa khác không phân loại</t>
  </si>
  <si>
    <t>Tổng cộng</t>
  </si>
  <si>
    <t>Tháng</t>
  </si>
  <si>
    <t>Loại HD</t>
  </si>
  <si>
    <t>Tình trạng (Mã)</t>
  </si>
  <si>
    <t>Số lượng</t>
  </si>
  <si>
    <t>Tổng giá tiền (VNĐ)</t>
  </si>
  <si>
    <t>01</t>
  </si>
  <si>
    <t>Bán ra</t>
  </si>
  <si>
    <t>1</t>
  </si>
  <si>
    <t>Mua vào</t>
  </si>
  <si>
    <t>02</t>
  </si>
  <si>
    <t>03</t>
  </si>
  <si>
    <t>2</t>
  </si>
  <si>
    <t>4</t>
  </si>
  <si>
    <t>04</t>
  </si>
  <si>
    <t>05</t>
  </si>
  <si>
    <t>06</t>
  </si>
  <si>
    <t>5</t>
  </si>
  <si>
    <t>07</t>
  </si>
  <si>
    <t>08</t>
  </si>
  <si>
    <t>09</t>
  </si>
  <si>
    <t>10</t>
  </si>
  <si>
    <t>11</t>
  </si>
  <si>
    <t>12</t>
  </si>
  <si>
    <t>Tên Nhóm</t>
  </si>
  <si>
    <t>Tổng Tồn Đầu</t>
  </si>
  <si>
    <t>Tổng Nhập</t>
  </si>
  <si>
    <t>Tổng Xuất</t>
  </si>
  <si>
    <t>Tổng Tồn Cuối</t>
  </si>
  <si>
    <t>Tháng 1 Nhập</t>
  </si>
  <si>
    <t>Tháng 1 Xuất</t>
  </si>
  <si>
    <t>Tháng 2 Nhập</t>
  </si>
  <si>
    <t>Tháng 2 Xuất</t>
  </si>
  <si>
    <t>Tháng 3 Nhập</t>
  </si>
  <si>
    <t>Tháng 3 Xuất</t>
  </si>
  <si>
    <t>Tháng 4 Nhập</t>
  </si>
  <si>
    <t>Tháng 4 Xuất</t>
  </si>
  <si>
    <t>Tháng 5 Nhập</t>
  </si>
  <si>
    <t>Tháng 5 Xuất</t>
  </si>
  <si>
    <t>Tháng 6 Nhập</t>
  </si>
  <si>
    <t>Tháng 6 Xuất</t>
  </si>
  <si>
    <t>Tháng 7 Nhập</t>
  </si>
  <si>
    <t>Tháng 7 Xuất</t>
  </si>
  <si>
    <t>Tháng 8 Nhập</t>
  </si>
  <si>
    <t>Tháng 8 Xuất</t>
  </si>
  <si>
    <t>Tháng 9 Nhập</t>
  </si>
  <si>
    <t>Tháng 9 Xuất</t>
  </si>
  <si>
    <t>Tháng 10 Nhập</t>
  </si>
  <si>
    <t>Tháng 10 Xuất</t>
  </si>
  <si>
    <t>Tháng 11 Nhập</t>
  </si>
  <si>
    <t>Tháng 11 Xuất</t>
  </si>
  <si>
    <t>Tháng 12 Nhập</t>
  </si>
  <si>
    <t>Tháng 12 Xuất</t>
  </si>
  <si>
    <t>TC</t>
  </si>
  <si>
    <t>SỐ KIET</t>
  </si>
  <si>
    <t>SỐ MẸ</t>
  </si>
  <si>
    <t>CL KIET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</si>
</sst>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0" fontId="2" fillId="0" borderId="2" xfId="0" applyFont="1" applyFill="1" applyBorder="1"/>
    <xf numFmtId="0" fontId="3" fillId="0" borderId="2" xfId="0" applyFont="1" applyFill="1" applyBorder="1"/>
    <xf numFmtId="0" fontId="3" fillId="0" borderId="0" xfId="0" applyFont="1"/>
    <xf numFmtId="164" fontId="3" fillId="0" borderId="0" xfId="1" applyNumberFormat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MV%20T1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MV%20T1%202024%20H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MV%20T2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MV%20T2%202024%20H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MV%20T3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MV%20T3%202024%20H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4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4%202024%20HV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5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5%202024%20HV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6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6%202024%20HV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7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7%202024%20HV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8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8%202024%20HV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9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9%202024%20HV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10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10%202024%20HV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11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11%202024%20HV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4%20HV\HUY%20V&#360;%20CH&#205;NH\QT%202024%20HV%20CH&#205;NH\DANH%20S&#193;CH%20H&#211;A%20&#272;&#416;N%20MV%20T12%202024%20HV.xlsx" TargetMode="External"/><Relationship Id="rId1" Type="http://schemas.openxmlformats.org/officeDocument/2006/relationships/externalLinkPath" Target="N&#258;M%202024%20HV/HUY%20V&#360;%20CH&#205;NH/QT%202024%20HV%20CH&#205;NH/DANH%20S&#193;CH%20H&#211;A%20&#272;&#416;N%20MV%20T12%202024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76">
          <cell r="K76">
            <v>870508917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3">
          <cell r="K53">
            <v>1292172526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90">
          <cell r="K90">
            <v>1892536429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58">
          <cell r="K58">
            <v>582801104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9">
          <cell r="K69">
            <v>704598787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72">
          <cell r="K72">
            <v>2614953752.8899999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61">
          <cell r="K61">
            <v>1245579401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3">
          <cell r="K93">
            <v>1756564070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91">
          <cell r="K91">
            <v>2202046333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67">
          <cell r="K67">
            <v>1344931774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 1"/>
    </sheetNames>
    <sheetDataSet>
      <sheetData sheetId="0">
        <row r="82">
          <cell r="K82">
            <v>2171869260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</sheetNames>
    <sheetDataSet>
      <sheetData sheetId="0">
        <row r="88">
          <cell r="K88">
            <v>3695240443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opLeftCell="A128" workbookViewId="0">
      <selection activeCell="E147" sqref="E147"/>
    </sheetView>
  </sheetViews>
  <sheetFormatPr defaultRowHeight="15" x14ac:dyDescent="0.25"/>
  <cols>
    <col min="3" max="3" width="34.140625" bestFit="1" customWidth="1"/>
    <col min="5" max="5" width="18" style="2" bestFit="1" customWidth="1"/>
    <col min="6" max="6" width="9.5703125" style="2" bestFit="1" customWidth="1"/>
    <col min="7" max="7" width="15.28515625" style="2" bestFit="1" customWidth="1"/>
    <col min="8" max="8" width="9.28515625" style="2" bestFit="1" customWidth="1"/>
    <col min="9" max="9" width="15.28515625" style="2" bestFit="1" customWidth="1"/>
    <col min="10" max="10" width="10.5703125" style="2" bestFit="1" customWidth="1"/>
    <col min="11" max="11" width="18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 s="2">
        <v>59135383.772727281</v>
      </c>
      <c r="F2" s="2">
        <v>0</v>
      </c>
      <c r="G2" s="2">
        <v>0</v>
      </c>
      <c r="H2" s="2">
        <v>0</v>
      </c>
      <c r="I2" s="2">
        <v>0</v>
      </c>
      <c r="J2" s="2">
        <v>7</v>
      </c>
      <c r="K2" s="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24</v>
      </c>
      <c r="E3" s="2">
        <v>235693355</v>
      </c>
      <c r="F3" s="2">
        <v>0</v>
      </c>
      <c r="G3" s="2">
        <v>0</v>
      </c>
      <c r="H3" s="2">
        <v>1</v>
      </c>
      <c r="I3" s="2">
        <v>14136363</v>
      </c>
      <c r="J3" s="2">
        <v>23</v>
      </c>
      <c r="K3" s="2">
        <v>221556992</v>
      </c>
    </row>
    <row r="4" spans="1:11" x14ac:dyDescent="0.25">
      <c r="A4">
        <v>3</v>
      </c>
      <c r="B4" t="s">
        <v>15</v>
      </c>
      <c r="C4" t="s">
        <v>16</v>
      </c>
      <c r="D4">
        <v>147</v>
      </c>
      <c r="E4" s="2">
        <v>1622172863.201292</v>
      </c>
      <c r="F4" s="2">
        <v>0</v>
      </c>
      <c r="G4" s="2">
        <v>0</v>
      </c>
      <c r="H4" s="2">
        <v>2</v>
      </c>
      <c r="I4" s="2">
        <v>26727273</v>
      </c>
      <c r="J4" s="2">
        <v>145</v>
      </c>
      <c r="K4" s="2">
        <v>1595445590.201292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 s="2">
        <v>29283636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 s="2">
        <v>115057259.1785714</v>
      </c>
      <c r="F6" s="2">
        <v>0</v>
      </c>
      <c r="G6" s="2">
        <v>0</v>
      </c>
      <c r="H6" s="2">
        <v>0</v>
      </c>
      <c r="I6" s="2">
        <v>0</v>
      </c>
      <c r="J6" s="2">
        <v>9</v>
      </c>
      <c r="K6" s="2">
        <v>115057259.1785714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 s="2">
        <v>13864462.09090909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11</v>
      </c>
      <c r="E9" s="2">
        <v>34336272.450000003</v>
      </c>
      <c r="F9" s="2">
        <v>0</v>
      </c>
      <c r="G9" s="2">
        <v>0</v>
      </c>
      <c r="H9" s="2">
        <v>0</v>
      </c>
      <c r="I9" s="2">
        <v>0</v>
      </c>
      <c r="J9" s="2">
        <v>11</v>
      </c>
      <c r="K9" s="2">
        <v>34336272.450000003</v>
      </c>
    </row>
    <row r="10" spans="1:11" x14ac:dyDescent="0.25">
      <c r="A10">
        <v>9</v>
      </c>
      <c r="B10" t="s">
        <v>27</v>
      </c>
      <c r="C10" t="s">
        <v>28</v>
      </c>
      <c r="D10">
        <v>203</v>
      </c>
      <c r="E10" s="2">
        <v>780410950.5951941</v>
      </c>
      <c r="F10" s="2">
        <v>0</v>
      </c>
      <c r="G10" s="2">
        <v>0</v>
      </c>
      <c r="H10" s="2">
        <v>0</v>
      </c>
      <c r="I10" s="2">
        <v>0</v>
      </c>
      <c r="J10" s="2">
        <v>203</v>
      </c>
      <c r="K10" s="2">
        <v>780410950.5951941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 s="2">
        <v>18961647.25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246</v>
      </c>
      <c r="E12" s="2">
        <v>2991499975.2191219</v>
      </c>
      <c r="F12" s="2">
        <v>6</v>
      </c>
      <c r="G12" s="2">
        <v>31011819</v>
      </c>
      <c r="H12" s="2">
        <v>2</v>
      </c>
      <c r="I12" s="2">
        <v>18409091</v>
      </c>
      <c r="J12" s="2">
        <v>250</v>
      </c>
      <c r="K12" s="2">
        <v>3004102703.2191219</v>
      </c>
    </row>
    <row r="13" spans="1:11" x14ac:dyDescent="0.25">
      <c r="A13">
        <v>12</v>
      </c>
      <c r="B13" t="s">
        <v>33</v>
      </c>
      <c r="C13" t="s">
        <v>34</v>
      </c>
      <c r="D13">
        <v>34</v>
      </c>
      <c r="E13" s="2">
        <v>559080594.76923084</v>
      </c>
      <c r="F13" s="2">
        <v>0</v>
      </c>
      <c r="G13" s="2">
        <v>0</v>
      </c>
      <c r="H13" s="2">
        <v>0</v>
      </c>
      <c r="I13" s="2">
        <v>0</v>
      </c>
      <c r="J13" s="2">
        <v>34</v>
      </c>
      <c r="K13" s="2">
        <v>559080594.76923084</v>
      </c>
    </row>
    <row r="14" spans="1:11" x14ac:dyDescent="0.25">
      <c r="A14">
        <v>13</v>
      </c>
      <c r="B14" t="s">
        <v>35</v>
      </c>
      <c r="C14" t="s">
        <v>36</v>
      </c>
      <c r="D14">
        <v>22</v>
      </c>
      <c r="E14" s="2">
        <v>380520769.28947371</v>
      </c>
      <c r="F14" s="2">
        <v>0</v>
      </c>
      <c r="G14" s="2">
        <v>0</v>
      </c>
      <c r="H14" s="2">
        <v>0</v>
      </c>
      <c r="I14" s="2">
        <v>0</v>
      </c>
      <c r="J14" s="2">
        <v>22</v>
      </c>
      <c r="K14" s="2">
        <v>380520769.28947371</v>
      </c>
    </row>
    <row r="15" spans="1:11" x14ac:dyDescent="0.25">
      <c r="A15">
        <v>14</v>
      </c>
      <c r="B15" t="s">
        <v>37</v>
      </c>
      <c r="C15" t="s">
        <v>38</v>
      </c>
      <c r="D15">
        <v>38</v>
      </c>
      <c r="E15" s="2">
        <v>457205040.93430662</v>
      </c>
      <c r="F15" s="2">
        <v>4</v>
      </c>
      <c r="G15" s="2">
        <v>74080000</v>
      </c>
      <c r="H15" s="2">
        <v>1</v>
      </c>
      <c r="I15" s="2">
        <v>18701818</v>
      </c>
      <c r="J15" s="2">
        <v>41</v>
      </c>
      <c r="K15" s="2">
        <v>512583222.93430662</v>
      </c>
    </row>
    <row r="16" spans="1:11" x14ac:dyDescent="0.25">
      <c r="A16">
        <v>15</v>
      </c>
      <c r="B16" t="s">
        <v>39</v>
      </c>
      <c r="C16" t="s">
        <v>40</v>
      </c>
      <c r="D16">
        <v>14</v>
      </c>
      <c r="E16" s="2">
        <v>200165895.10447761</v>
      </c>
      <c r="F16" s="2">
        <v>0</v>
      </c>
      <c r="G16" s="2">
        <v>0</v>
      </c>
      <c r="H16" s="2">
        <v>0</v>
      </c>
      <c r="I16" s="2">
        <v>0</v>
      </c>
      <c r="J16" s="2">
        <v>14</v>
      </c>
      <c r="K16" s="2">
        <v>200165895.10447761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5">
      <c r="A24">
        <v>23</v>
      </c>
      <c r="B24" t="s">
        <v>55</v>
      </c>
      <c r="C24" t="s">
        <v>56</v>
      </c>
      <c r="D24">
        <v>115</v>
      </c>
      <c r="E24" s="2">
        <v>672209285.54972363</v>
      </c>
      <c r="F24" s="2">
        <v>0</v>
      </c>
      <c r="G24" s="2">
        <v>0</v>
      </c>
      <c r="H24" s="2">
        <v>6</v>
      </c>
      <c r="I24" s="2">
        <v>66527272</v>
      </c>
      <c r="J24" s="2">
        <v>109</v>
      </c>
      <c r="K24" s="2">
        <v>605682013.54972363</v>
      </c>
    </row>
    <row r="25" spans="1:11" x14ac:dyDescent="0.25">
      <c r="A25">
        <v>24</v>
      </c>
      <c r="B25" t="s">
        <v>57</v>
      </c>
      <c r="C25" t="s">
        <v>58</v>
      </c>
      <c r="D25">
        <v>249</v>
      </c>
      <c r="E25" s="2">
        <v>2243200685.361217</v>
      </c>
      <c r="F25" s="2">
        <v>44</v>
      </c>
      <c r="G25" s="2">
        <v>124108181</v>
      </c>
      <c r="H25" s="2">
        <v>3</v>
      </c>
      <c r="I25" s="2">
        <v>34172728</v>
      </c>
      <c r="J25" s="2">
        <v>290</v>
      </c>
      <c r="K25" s="2">
        <v>2333136138.361217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 s="2">
        <v>61924685.307692319</v>
      </c>
      <c r="F30" s="2">
        <v>1</v>
      </c>
      <c r="G30" s="2">
        <v>18601818</v>
      </c>
      <c r="H30" s="2">
        <v>1</v>
      </c>
      <c r="I30" s="2">
        <v>20000000</v>
      </c>
      <c r="J30" s="2">
        <v>5</v>
      </c>
      <c r="K30" s="2">
        <v>60526503.307692319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 s="2">
        <v>23781985.5</v>
      </c>
      <c r="F33" s="2">
        <v>0</v>
      </c>
      <c r="G33" s="2">
        <v>0</v>
      </c>
      <c r="H33" s="2">
        <v>0</v>
      </c>
      <c r="I33" s="2">
        <v>0</v>
      </c>
      <c r="J33" s="2">
        <v>4</v>
      </c>
      <c r="K33" s="2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49</v>
      </c>
      <c r="E34" s="2">
        <v>114704355.18326689</v>
      </c>
      <c r="F34" s="2">
        <v>1</v>
      </c>
      <c r="G34" s="2">
        <v>3945455</v>
      </c>
      <c r="H34" s="2">
        <v>3</v>
      </c>
      <c r="I34" s="2">
        <v>12990909</v>
      </c>
      <c r="J34" s="2">
        <v>47</v>
      </c>
      <c r="K34" s="2">
        <v>105658901.18326689</v>
      </c>
    </row>
    <row r="35" spans="1:11" x14ac:dyDescent="0.25">
      <c r="A35">
        <v>34</v>
      </c>
      <c r="B35" t="s">
        <v>77</v>
      </c>
      <c r="C35" t="s">
        <v>78</v>
      </c>
      <c r="D35">
        <v>454</v>
      </c>
      <c r="E35" s="2">
        <v>921109124.55380154</v>
      </c>
      <c r="F35" s="2">
        <v>16</v>
      </c>
      <c r="G35" s="2">
        <v>40349087</v>
      </c>
      <c r="H35" s="2">
        <v>13</v>
      </c>
      <c r="I35" s="2">
        <v>48436362</v>
      </c>
      <c r="J35" s="2">
        <v>457</v>
      </c>
      <c r="K35" s="2">
        <v>913021849.55380154</v>
      </c>
    </row>
    <row r="36" spans="1:11" x14ac:dyDescent="0.25">
      <c r="A36">
        <v>35</v>
      </c>
      <c r="B36" t="s">
        <v>79</v>
      </c>
      <c r="C36" t="s">
        <v>80</v>
      </c>
      <c r="D36">
        <v>8</v>
      </c>
      <c r="E36" s="2">
        <v>16617163.021276589</v>
      </c>
      <c r="F36" s="2">
        <v>0</v>
      </c>
      <c r="G36" s="2">
        <v>0</v>
      </c>
      <c r="H36" s="2">
        <v>1</v>
      </c>
      <c r="I36" s="2">
        <v>4000000</v>
      </c>
      <c r="J36" s="2">
        <v>7</v>
      </c>
      <c r="K36" s="2">
        <v>12617163.021276589</v>
      </c>
    </row>
    <row r="37" spans="1:11" x14ac:dyDescent="0.25">
      <c r="A37">
        <v>36</v>
      </c>
      <c r="B37" t="s">
        <v>81</v>
      </c>
      <c r="C37" t="s">
        <v>82</v>
      </c>
      <c r="D37">
        <v>36</v>
      </c>
      <c r="E37" s="2">
        <v>106919470.1964286</v>
      </c>
      <c r="F37" s="2">
        <v>1</v>
      </c>
      <c r="G37" s="2">
        <v>4245455</v>
      </c>
      <c r="H37" s="2">
        <v>0</v>
      </c>
      <c r="I37" s="2">
        <v>0</v>
      </c>
      <c r="J37" s="2">
        <v>37</v>
      </c>
      <c r="K37" s="2">
        <v>111164925.1964286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 s="2">
        <v>4636364</v>
      </c>
      <c r="F38" s="2">
        <v>1</v>
      </c>
      <c r="G38" s="2">
        <v>1927273</v>
      </c>
      <c r="H38" s="2">
        <v>1</v>
      </c>
      <c r="I38" s="2">
        <v>2227273</v>
      </c>
      <c r="J38" s="2">
        <v>1</v>
      </c>
      <c r="K38" s="2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115</v>
      </c>
      <c r="E39" s="2">
        <v>262838600.38106239</v>
      </c>
      <c r="F39" s="2">
        <v>0</v>
      </c>
      <c r="G39" s="2">
        <v>0</v>
      </c>
      <c r="H39" s="2">
        <v>3</v>
      </c>
      <c r="I39" s="2">
        <v>5209090</v>
      </c>
      <c r="J39" s="2">
        <v>112</v>
      </c>
      <c r="K39" s="2">
        <v>257629510.38106239</v>
      </c>
    </row>
    <row r="40" spans="1:11" x14ac:dyDescent="0.25">
      <c r="A40">
        <v>39</v>
      </c>
      <c r="B40" t="s">
        <v>87</v>
      </c>
      <c r="C40" t="s">
        <v>88</v>
      </c>
      <c r="D40">
        <v>3</v>
      </c>
      <c r="E40" s="2">
        <v>15388888.77777778</v>
      </c>
      <c r="F40" s="2">
        <v>2</v>
      </c>
      <c r="G40" s="2">
        <v>13163636</v>
      </c>
      <c r="H40" s="2">
        <v>1</v>
      </c>
      <c r="I40" s="2">
        <v>5818182</v>
      </c>
      <c r="J40" s="2">
        <v>4</v>
      </c>
      <c r="K40" s="2">
        <v>22734342.77777778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25">
      <c r="A42">
        <v>41</v>
      </c>
      <c r="B42" t="s">
        <v>91</v>
      </c>
      <c r="C42" t="s">
        <v>92</v>
      </c>
      <c r="D42">
        <v>1006</v>
      </c>
      <c r="E42" s="2">
        <v>467760337.6248405</v>
      </c>
      <c r="F42" s="2">
        <v>44</v>
      </c>
      <c r="G42" s="2">
        <v>32899998.91</v>
      </c>
      <c r="H42" s="2">
        <v>14</v>
      </c>
      <c r="I42" s="2">
        <v>26392726</v>
      </c>
      <c r="J42" s="2">
        <v>1036</v>
      </c>
      <c r="K42" s="2">
        <v>474267610.53484052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5">
      <c r="A44">
        <v>43</v>
      </c>
      <c r="B44" t="s">
        <v>95</v>
      </c>
      <c r="C44" t="s">
        <v>96</v>
      </c>
      <c r="D44">
        <v>319</v>
      </c>
      <c r="E44" s="2">
        <v>889591141.42474437</v>
      </c>
      <c r="F44" s="2">
        <v>19</v>
      </c>
      <c r="G44" s="2">
        <v>53329091</v>
      </c>
      <c r="H44" s="2">
        <v>6</v>
      </c>
      <c r="I44" s="2">
        <v>13354546</v>
      </c>
      <c r="J44" s="2">
        <v>332</v>
      </c>
      <c r="K44" s="2">
        <v>929565686.42474437</v>
      </c>
    </row>
    <row r="45" spans="1:11" x14ac:dyDescent="0.25">
      <c r="A45">
        <v>44</v>
      </c>
      <c r="B45" t="s">
        <v>97</v>
      </c>
      <c r="C45" t="s">
        <v>98</v>
      </c>
      <c r="D45">
        <v>53</v>
      </c>
      <c r="E45" s="2">
        <v>210324106.79297301</v>
      </c>
      <c r="F45" s="2">
        <v>6</v>
      </c>
      <c r="G45" s="2">
        <v>29690764</v>
      </c>
      <c r="H45" s="2">
        <v>0</v>
      </c>
      <c r="I45" s="2">
        <v>0</v>
      </c>
      <c r="J45" s="2">
        <v>59</v>
      </c>
      <c r="K45" s="2">
        <v>240014870.79297301</v>
      </c>
    </row>
    <row r="46" spans="1:11" x14ac:dyDescent="0.25">
      <c r="A46">
        <v>45</v>
      </c>
      <c r="B46" t="s">
        <v>99</v>
      </c>
      <c r="C46" t="s">
        <v>100</v>
      </c>
      <c r="D46">
        <v>246</v>
      </c>
      <c r="E46" s="2">
        <v>107686848.6325714</v>
      </c>
      <c r="F46" s="2">
        <v>3</v>
      </c>
      <c r="G46" s="2">
        <v>9772728</v>
      </c>
      <c r="H46" s="2">
        <v>3</v>
      </c>
      <c r="I46" s="2">
        <v>8277273</v>
      </c>
      <c r="J46" s="2">
        <v>246</v>
      </c>
      <c r="K46" s="2">
        <v>109182303.6325714</v>
      </c>
    </row>
    <row r="47" spans="1:11" x14ac:dyDescent="0.25">
      <c r="A47">
        <v>46</v>
      </c>
      <c r="B47" t="s">
        <v>101</v>
      </c>
      <c r="C47" t="s">
        <v>102</v>
      </c>
      <c r="D47">
        <v>69</v>
      </c>
      <c r="E47" s="2">
        <v>164796959.47567379</v>
      </c>
      <c r="F47" s="2">
        <v>18</v>
      </c>
      <c r="G47" s="2">
        <v>28999998.449999999</v>
      </c>
      <c r="H47" s="2">
        <v>1</v>
      </c>
      <c r="I47" s="2">
        <v>3809091</v>
      </c>
      <c r="J47" s="2">
        <v>86</v>
      </c>
      <c r="K47" s="2">
        <v>189987866.92567381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37</v>
      </c>
      <c r="E49" s="2">
        <v>260546795.96224141</v>
      </c>
      <c r="F49" s="2">
        <v>0</v>
      </c>
      <c r="G49" s="2">
        <v>0</v>
      </c>
      <c r="H49" s="2">
        <v>1</v>
      </c>
      <c r="I49" s="2">
        <v>1900000</v>
      </c>
      <c r="J49" s="2">
        <v>36</v>
      </c>
      <c r="K49" s="2">
        <v>258646795.96224141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25">
      <c r="A51">
        <v>50</v>
      </c>
      <c r="B51" t="s">
        <v>109</v>
      </c>
      <c r="C51" t="s">
        <v>110</v>
      </c>
      <c r="D51">
        <v>6</v>
      </c>
      <c r="E51" s="2">
        <v>1104228.199999999</v>
      </c>
      <c r="F51" s="2">
        <v>0</v>
      </c>
      <c r="G51" s="2">
        <v>0</v>
      </c>
      <c r="H51" s="2">
        <v>0</v>
      </c>
      <c r="I51" s="2">
        <v>0</v>
      </c>
      <c r="J51" s="2">
        <v>6</v>
      </c>
      <c r="K51" s="2">
        <v>1104228.199999999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 s="2">
        <v>126547236.26693881</v>
      </c>
      <c r="F52" s="2">
        <v>0</v>
      </c>
      <c r="G52" s="2">
        <v>0</v>
      </c>
      <c r="H52" s="2">
        <v>0</v>
      </c>
      <c r="I52" s="2">
        <v>0</v>
      </c>
      <c r="J52" s="2">
        <v>72</v>
      </c>
      <c r="K52" s="2">
        <v>126547236.26693881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 s="2">
        <v>5580000</v>
      </c>
      <c r="F53" s="2">
        <v>0</v>
      </c>
      <c r="G53" s="2">
        <v>0</v>
      </c>
      <c r="H53" s="2">
        <v>0</v>
      </c>
      <c r="I53" s="2">
        <v>0</v>
      </c>
      <c r="J53" s="2">
        <v>3</v>
      </c>
      <c r="K53" s="2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>
        <v>54</v>
      </c>
      <c r="B55" t="s">
        <v>117</v>
      </c>
      <c r="C55" t="s">
        <v>118</v>
      </c>
      <c r="D55">
        <v>87</v>
      </c>
      <c r="E55" s="2">
        <v>131125080.172702</v>
      </c>
      <c r="F55" s="2">
        <v>10</v>
      </c>
      <c r="G55" s="2">
        <v>29191818</v>
      </c>
      <c r="H55" s="2">
        <v>5</v>
      </c>
      <c r="I55" s="2">
        <v>17045455</v>
      </c>
      <c r="J55" s="2">
        <v>92</v>
      </c>
      <c r="K55" s="2">
        <v>143271443.17270201</v>
      </c>
    </row>
    <row r="56" spans="1:11" x14ac:dyDescent="0.25">
      <c r="A56">
        <v>55</v>
      </c>
      <c r="B56" t="s">
        <v>119</v>
      </c>
      <c r="C56" t="s">
        <v>120</v>
      </c>
      <c r="D56">
        <v>29</v>
      </c>
      <c r="E56" s="2">
        <v>20623347.491525419</v>
      </c>
      <c r="F56" s="2">
        <v>2</v>
      </c>
      <c r="G56" s="2">
        <v>1181482</v>
      </c>
      <c r="H56" s="2">
        <v>1</v>
      </c>
      <c r="I56" s="2">
        <v>1379630</v>
      </c>
      <c r="J56" s="2">
        <v>30</v>
      </c>
      <c r="K56" s="2">
        <v>20425199.491525419</v>
      </c>
    </row>
    <row r="57" spans="1:11" x14ac:dyDescent="0.25">
      <c r="A57">
        <v>56</v>
      </c>
      <c r="B57" t="s">
        <v>121</v>
      </c>
      <c r="C57" t="s">
        <v>122</v>
      </c>
      <c r="D57">
        <v>4</v>
      </c>
      <c r="E57" s="2">
        <v>13582221.180769229</v>
      </c>
      <c r="F57" s="2">
        <v>1</v>
      </c>
      <c r="G57" s="2">
        <v>3287037</v>
      </c>
      <c r="H57" s="2">
        <v>0</v>
      </c>
      <c r="I57" s="2">
        <v>0</v>
      </c>
      <c r="J57" s="2">
        <v>5</v>
      </c>
      <c r="K57" s="2">
        <v>16869258.180769231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 s="2">
        <v>1829966.11</v>
      </c>
      <c r="F58" s="2">
        <v>0</v>
      </c>
      <c r="G58" s="2">
        <v>0</v>
      </c>
      <c r="H58" s="2">
        <v>0</v>
      </c>
      <c r="I58" s="2">
        <v>0</v>
      </c>
      <c r="J58" s="2">
        <v>2</v>
      </c>
      <c r="K58" s="2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2640</v>
      </c>
      <c r="E59" s="2">
        <v>249638170.38559759</v>
      </c>
      <c r="F59" s="2">
        <v>286</v>
      </c>
      <c r="G59" s="2">
        <v>14354544</v>
      </c>
      <c r="H59" s="2">
        <v>87</v>
      </c>
      <c r="I59" s="2">
        <v>19581819</v>
      </c>
      <c r="J59" s="2">
        <v>2839</v>
      </c>
      <c r="K59" s="2">
        <v>244410895.38559759</v>
      </c>
    </row>
    <row r="60" spans="1:11" x14ac:dyDescent="0.25">
      <c r="A60">
        <v>59</v>
      </c>
      <c r="B60" t="s">
        <v>127</v>
      </c>
      <c r="C60" t="s">
        <v>128</v>
      </c>
      <c r="D60">
        <v>88</v>
      </c>
      <c r="E60" s="2">
        <v>4804820.6822262118</v>
      </c>
      <c r="F60" s="2">
        <v>0</v>
      </c>
      <c r="G60" s="2">
        <v>0</v>
      </c>
      <c r="H60" s="2">
        <v>2</v>
      </c>
      <c r="I60" s="2">
        <v>545455</v>
      </c>
      <c r="J60" s="2">
        <v>86</v>
      </c>
      <c r="K60" s="2">
        <v>4259365.6822262118</v>
      </c>
    </row>
    <row r="61" spans="1:11" x14ac:dyDescent="0.25">
      <c r="A61">
        <v>60</v>
      </c>
      <c r="B61" t="s">
        <v>129</v>
      </c>
      <c r="C61" t="s">
        <v>130</v>
      </c>
      <c r="D61">
        <v>19</v>
      </c>
      <c r="E61" s="2">
        <v>555801.75</v>
      </c>
      <c r="F61" s="2">
        <v>0</v>
      </c>
      <c r="G61" s="2">
        <v>0</v>
      </c>
      <c r="H61" s="2">
        <v>1</v>
      </c>
      <c r="I61" s="2">
        <v>863636</v>
      </c>
      <c r="J61" s="2">
        <v>18</v>
      </c>
      <c r="K61" s="2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1589</v>
      </c>
      <c r="E62" s="2">
        <v>241189527.8789579</v>
      </c>
      <c r="F62" s="2">
        <v>50</v>
      </c>
      <c r="G62" s="2">
        <v>1272728</v>
      </c>
      <c r="H62" s="2">
        <v>33</v>
      </c>
      <c r="I62" s="2">
        <v>4323638</v>
      </c>
      <c r="J62" s="2">
        <v>1606</v>
      </c>
      <c r="K62" s="2">
        <v>238138617.8789579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 s="2">
        <v>58643359.711580493</v>
      </c>
      <c r="F63" s="2">
        <v>0</v>
      </c>
      <c r="G63" s="2">
        <v>0</v>
      </c>
      <c r="H63" s="2">
        <v>0</v>
      </c>
      <c r="I63" s="2">
        <v>0</v>
      </c>
      <c r="J63" s="2">
        <v>259</v>
      </c>
      <c r="K63" s="2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15</v>
      </c>
      <c r="E65" s="2">
        <v>7747134.4511235952</v>
      </c>
      <c r="F65" s="2">
        <v>0</v>
      </c>
      <c r="G65" s="2">
        <v>0</v>
      </c>
      <c r="H65" s="2">
        <v>2</v>
      </c>
      <c r="I65" s="2">
        <v>2072727</v>
      </c>
      <c r="J65" s="2">
        <v>13</v>
      </c>
      <c r="K65" s="2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177</v>
      </c>
      <c r="E70" s="2">
        <v>59507764.125112101</v>
      </c>
      <c r="F70" s="2">
        <v>0</v>
      </c>
      <c r="G70" s="2">
        <v>0</v>
      </c>
      <c r="H70" s="2">
        <v>10</v>
      </c>
      <c r="I70" s="2">
        <v>409091</v>
      </c>
      <c r="J70" s="2">
        <v>167</v>
      </c>
      <c r="K70" s="2">
        <v>59098673.125112101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 s="2">
        <v>697428.16000000015</v>
      </c>
      <c r="F71" s="2">
        <v>0</v>
      </c>
      <c r="G71" s="2">
        <v>0</v>
      </c>
      <c r="H71" s="2">
        <v>0</v>
      </c>
      <c r="I71" s="2">
        <v>0</v>
      </c>
      <c r="J71" s="2">
        <v>4</v>
      </c>
      <c r="K71" s="2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 s="2">
        <v>699999.59999999986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94</v>
      </c>
      <c r="E73" s="2">
        <v>137857.79768786131</v>
      </c>
      <c r="F73" s="2">
        <v>0</v>
      </c>
      <c r="G73" s="2">
        <v>0</v>
      </c>
      <c r="H73" s="2">
        <v>0</v>
      </c>
      <c r="I73" s="2">
        <v>0</v>
      </c>
      <c r="J73" s="2">
        <v>94</v>
      </c>
      <c r="K73" s="2">
        <v>137857.79768786131</v>
      </c>
    </row>
    <row r="74" spans="1:11" x14ac:dyDescent="0.25">
      <c r="A74">
        <v>73</v>
      </c>
      <c r="B74" t="s">
        <v>155</v>
      </c>
      <c r="C74" t="s">
        <v>156</v>
      </c>
      <c r="D74">
        <v>116</v>
      </c>
      <c r="E74" s="2">
        <v>263276022.07878789</v>
      </c>
      <c r="F74" s="2">
        <v>0</v>
      </c>
      <c r="G74" s="2">
        <v>0</v>
      </c>
      <c r="H74" s="2">
        <v>1</v>
      </c>
      <c r="I74" s="2">
        <v>2090909</v>
      </c>
      <c r="J74" s="2">
        <v>115</v>
      </c>
      <c r="K74" s="2">
        <v>261185113.07878789</v>
      </c>
    </row>
    <row r="75" spans="1:11" x14ac:dyDescent="0.25">
      <c r="A75">
        <v>74</v>
      </c>
      <c r="B75" t="s">
        <v>157</v>
      </c>
      <c r="C75" t="s">
        <v>158</v>
      </c>
      <c r="D75">
        <v>130</v>
      </c>
      <c r="E75" s="2">
        <v>391714680.75098813</v>
      </c>
      <c r="F75" s="2">
        <v>0</v>
      </c>
      <c r="G75" s="2">
        <v>0</v>
      </c>
      <c r="H75" s="2">
        <v>2</v>
      </c>
      <c r="I75" s="2">
        <v>7045454</v>
      </c>
      <c r="J75" s="2">
        <v>128</v>
      </c>
      <c r="K75" s="2">
        <v>384669226.75098813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 s="2">
        <v>28093729.875</v>
      </c>
      <c r="F76" s="2">
        <v>0</v>
      </c>
      <c r="G76" s="2">
        <v>0</v>
      </c>
      <c r="H76" s="2">
        <v>0</v>
      </c>
      <c r="I76" s="2">
        <v>0</v>
      </c>
      <c r="J76" s="2">
        <v>5</v>
      </c>
      <c r="K76" s="2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122</v>
      </c>
      <c r="E78" s="2">
        <v>181973350.59605911</v>
      </c>
      <c r="F78" s="2">
        <v>0</v>
      </c>
      <c r="G78" s="2">
        <v>0</v>
      </c>
      <c r="H78" s="2">
        <v>2</v>
      </c>
      <c r="I78" s="2">
        <v>3327273</v>
      </c>
      <c r="J78" s="2">
        <v>120</v>
      </c>
      <c r="K78" s="2">
        <v>178646077.59605911</v>
      </c>
    </row>
    <row r="79" spans="1:11" x14ac:dyDescent="0.25">
      <c r="A79">
        <v>78</v>
      </c>
      <c r="B79" t="s">
        <v>165</v>
      </c>
      <c r="C79" t="s">
        <v>166</v>
      </c>
      <c r="D79">
        <v>9</v>
      </c>
      <c r="E79" s="2">
        <v>22480932</v>
      </c>
      <c r="F79" s="2">
        <v>0</v>
      </c>
      <c r="G79" s="2">
        <v>0</v>
      </c>
      <c r="H79" s="2">
        <v>0</v>
      </c>
      <c r="I79" s="2">
        <v>0</v>
      </c>
      <c r="J79" s="2">
        <v>9</v>
      </c>
      <c r="K79" s="2">
        <v>22480932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25">
      <c r="A81">
        <v>80</v>
      </c>
      <c r="B81" t="s">
        <v>169</v>
      </c>
      <c r="C81" t="s">
        <v>170</v>
      </c>
      <c r="D81">
        <v>509</v>
      </c>
      <c r="E81" s="2">
        <v>129548536.62329011</v>
      </c>
      <c r="F81" s="2">
        <v>114</v>
      </c>
      <c r="G81" s="2">
        <v>51709091</v>
      </c>
      <c r="H81" s="2">
        <v>7</v>
      </c>
      <c r="I81" s="2">
        <v>3863635</v>
      </c>
      <c r="J81" s="2">
        <v>616</v>
      </c>
      <c r="K81" s="2">
        <v>177393992.62329009</v>
      </c>
    </row>
    <row r="82" spans="1:11" x14ac:dyDescent="0.25">
      <c r="A82">
        <v>81</v>
      </c>
      <c r="B82" t="s">
        <v>171</v>
      </c>
      <c r="C82" t="s">
        <v>172</v>
      </c>
      <c r="D82">
        <v>146</v>
      </c>
      <c r="E82" s="2">
        <v>102189398.117302</v>
      </c>
      <c r="F82" s="2">
        <v>6</v>
      </c>
      <c r="G82" s="2">
        <v>3981818</v>
      </c>
      <c r="H82" s="2">
        <v>0</v>
      </c>
      <c r="I82" s="2">
        <v>0</v>
      </c>
      <c r="J82" s="2">
        <v>152</v>
      </c>
      <c r="K82" s="2">
        <v>106171216.117302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 s="2">
        <v>26690832.202380959</v>
      </c>
      <c r="F83" s="2">
        <v>0</v>
      </c>
      <c r="G83" s="2">
        <v>0</v>
      </c>
      <c r="H83" s="2">
        <v>0</v>
      </c>
      <c r="I83" s="2">
        <v>0</v>
      </c>
      <c r="J83" s="2">
        <v>30</v>
      </c>
      <c r="K83" s="2">
        <v>26690832.202380959</v>
      </c>
    </row>
    <row r="84" spans="1:11" x14ac:dyDescent="0.25">
      <c r="A84">
        <v>83</v>
      </c>
      <c r="B84" t="s">
        <v>175</v>
      </c>
      <c r="C84" t="s">
        <v>176</v>
      </c>
      <c r="D84">
        <v>19</v>
      </c>
      <c r="E84" s="2">
        <v>41596634.200000003</v>
      </c>
      <c r="F84" s="2">
        <v>0</v>
      </c>
      <c r="G84" s="2">
        <v>0</v>
      </c>
      <c r="H84" s="2">
        <v>0</v>
      </c>
      <c r="I84" s="2">
        <v>0</v>
      </c>
      <c r="J84" s="2">
        <v>19</v>
      </c>
      <c r="K84" s="2">
        <v>41596634.200000003</v>
      </c>
    </row>
    <row r="85" spans="1:11" x14ac:dyDescent="0.25">
      <c r="A85">
        <v>84</v>
      </c>
      <c r="B85" t="s">
        <v>177</v>
      </c>
      <c r="C85" t="s">
        <v>178</v>
      </c>
      <c r="D85">
        <v>7</v>
      </c>
      <c r="E85" s="2">
        <v>27483183.483870968</v>
      </c>
      <c r="F85" s="2">
        <v>1</v>
      </c>
      <c r="G85" s="2">
        <v>9545455</v>
      </c>
      <c r="H85" s="2">
        <v>0</v>
      </c>
      <c r="I85" s="2">
        <v>0</v>
      </c>
      <c r="J85" s="2">
        <v>8</v>
      </c>
      <c r="K85" s="2">
        <v>37028638.483870968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 s="2">
        <v>11999492.16</v>
      </c>
      <c r="F86" s="2">
        <v>0</v>
      </c>
      <c r="G86" s="2">
        <v>0</v>
      </c>
      <c r="H86" s="2">
        <v>0</v>
      </c>
      <c r="I86" s="2">
        <v>0</v>
      </c>
      <c r="J86" s="2">
        <v>14</v>
      </c>
      <c r="K86" s="2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60</v>
      </c>
      <c r="E87" s="2">
        <v>74996445.572559372</v>
      </c>
      <c r="F87" s="2">
        <v>2</v>
      </c>
      <c r="G87" s="2">
        <v>1545455</v>
      </c>
      <c r="H87" s="2">
        <v>2</v>
      </c>
      <c r="I87" s="2">
        <v>1781818</v>
      </c>
      <c r="J87" s="2">
        <v>60</v>
      </c>
      <c r="K87" s="2">
        <v>74760082.572559372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 s="2">
        <v>2443182.9545454532</v>
      </c>
      <c r="F88" s="2">
        <v>0</v>
      </c>
      <c r="G88" s="2">
        <v>0</v>
      </c>
      <c r="H88" s="2">
        <v>0</v>
      </c>
      <c r="I88" s="2">
        <v>0</v>
      </c>
      <c r="J88" s="2">
        <v>3</v>
      </c>
      <c r="K88" s="2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1047</v>
      </c>
      <c r="E89" s="2">
        <v>265625841.74628809</v>
      </c>
      <c r="F89" s="2">
        <v>5</v>
      </c>
      <c r="G89" s="2">
        <v>2363636</v>
      </c>
      <c r="H89" s="2">
        <v>33</v>
      </c>
      <c r="I89" s="2">
        <v>7463637</v>
      </c>
      <c r="J89" s="2">
        <v>1019</v>
      </c>
      <c r="K89" s="2">
        <v>260525840.74628809</v>
      </c>
    </row>
    <row r="90" spans="1:11" x14ac:dyDescent="0.25">
      <c r="A90">
        <v>89</v>
      </c>
      <c r="B90" t="s">
        <v>187</v>
      </c>
      <c r="C90" t="s">
        <v>188</v>
      </c>
      <c r="D90">
        <v>199</v>
      </c>
      <c r="E90" s="2">
        <v>194746399.34957021</v>
      </c>
      <c r="F90" s="2">
        <v>3</v>
      </c>
      <c r="G90" s="2">
        <v>37363638</v>
      </c>
      <c r="H90" s="2">
        <v>4</v>
      </c>
      <c r="I90" s="2">
        <v>15672728</v>
      </c>
      <c r="J90" s="2">
        <v>198</v>
      </c>
      <c r="K90" s="2">
        <v>216437309.34957021</v>
      </c>
    </row>
    <row r="91" spans="1:11" x14ac:dyDescent="0.25">
      <c r="A91">
        <v>90</v>
      </c>
      <c r="B91" t="s">
        <v>189</v>
      </c>
      <c r="C91" t="s">
        <v>190</v>
      </c>
      <c r="D91">
        <v>64</v>
      </c>
      <c r="E91" s="2">
        <v>85657776.992395431</v>
      </c>
      <c r="F91" s="2">
        <v>5</v>
      </c>
      <c r="G91" s="2">
        <v>7513637</v>
      </c>
      <c r="H91" s="2">
        <v>3</v>
      </c>
      <c r="I91" s="2">
        <v>4363637</v>
      </c>
      <c r="J91" s="2">
        <v>66</v>
      </c>
      <c r="K91" s="2">
        <v>88807776.992395431</v>
      </c>
    </row>
    <row r="92" spans="1:11" x14ac:dyDescent="0.25">
      <c r="A92">
        <v>91</v>
      </c>
      <c r="B92" t="s">
        <v>191</v>
      </c>
      <c r="C92" t="s">
        <v>192</v>
      </c>
      <c r="D92">
        <v>138</v>
      </c>
      <c r="E92" s="2">
        <v>66324120.128078818</v>
      </c>
      <c r="F92" s="2">
        <v>0</v>
      </c>
      <c r="G92" s="2">
        <v>0</v>
      </c>
      <c r="H92" s="2">
        <v>3</v>
      </c>
      <c r="I92" s="2">
        <v>2999999</v>
      </c>
      <c r="J92" s="2">
        <v>135</v>
      </c>
      <c r="K92" s="2">
        <v>63324121.128078818</v>
      </c>
    </row>
    <row r="93" spans="1:11" x14ac:dyDescent="0.25">
      <c r="A93">
        <v>92</v>
      </c>
      <c r="B93" t="s">
        <v>193</v>
      </c>
      <c r="C93" t="s">
        <v>194</v>
      </c>
      <c r="D93">
        <v>59</v>
      </c>
      <c r="E93" s="2">
        <v>89486782.432558149</v>
      </c>
      <c r="F93" s="2">
        <v>0</v>
      </c>
      <c r="G93" s="2">
        <v>0</v>
      </c>
      <c r="H93" s="2">
        <v>1</v>
      </c>
      <c r="I93" s="2">
        <v>2172727</v>
      </c>
      <c r="J93" s="2">
        <v>58</v>
      </c>
      <c r="K93" s="2">
        <v>87314055.432558149</v>
      </c>
    </row>
    <row r="94" spans="1:11" x14ac:dyDescent="0.25">
      <c r="A94">
        <v>93</v>
      </c>
      <c r="B94" t="s">
        <v>195</v>
      </c>
      <c r="C94" t="s">
        <v>196</v>
      </c>
      <c r="D94">
        <v>331</v>
      </c>
      <c r="E94" s="2">
        <v>119965232.6155607</v>
      </c>
      <c r="F94" s="2">
        <v>0</v>
      </c>
      <c r="G94" s="2">
        <v>0</v>
      </c>
      <c r="H94" s="2">
        <v>37</v>
      </c>
      <c r="I94" s="2">
        <v>6509091</v>
      </c>
      <c r="J94" s="2">
        <v>294</v>
      </c>
      <c r="K94" s="2">
        <v>113456141.6155607</v>
      </c>
    </row>
    <row r="95" spans="1:11" x14ac:dyDescent="0.25">
      <c r="A95">
        <v>94</v>
      </c>
      <c r="B95" t="s">
        <v>197</v>
      </c>
      <c r="C95" t="s">
        <v>198</v>
      </c>
      <c r="D95">
        <v>18</v>
      </c>
      <c r="E95" s="2">
        <v>2273726.8672566381</v>
      </c>
      <c r="F95" s="2">
        <v>0</v>
      </c>
      <c r="G95" s="2">
        <v>0</v>
      </c>
      <c r="H95" s="2">
        <v>50</v>
      </c>
      <c r="I95" s="2">
        <v>3636364</v>
      </c>
      <c r="J95" s="2">
        <v>0</v>
      </c>
      <c r="K95" s="2">
        <v>0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 s="2">
        <v>5827921.0819672132</v>
      </c>
      <c r="F96" s="2">
        <v>0</v>
      </c>
      <c r="G96" s="2">
        <v>0</v>
      </c>
      <c r="H96" s="2">
        <v>0</v>
      </c>
      <c r="I96" s="2">
        <v>0</v>
      </c>
      <c r="J96" s="2">
        <v>57</v>
      </c>
      <c r="K96" s="2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1033</v>
      </c>
      <c r="E97" s="2">
        <v>105146985.4361957</v>
      </c>
      <c r="F97" s="2">
        <v>0</v>
      </c>
      <c r="G97" s="2">
        <v>0</v>
      </c>
      <c r="H97" s="2">
        <v>14</v>
      </c>
      <c r="I97" s="2">
        <v>3000909</v>
      </c>
      <c r="J97" s="2">
        <v>1019</v>
      </c>
      <c r="K97" s="2">
        <v>102146076.4361957</v>
      </c>
    </row>
    <row r="98" spans="1:11" x14ac:dyDescent="0.25">
      <c r="A98">
        <v>97</v>
      </c>
      <c r="B98" t="s">
        <v>203</v>
      </c>
      <c r="C98" t="s">
        <v>204</v>
      </c>
      <c r="D98">
        <v>371</v>
      </c>
      <c r="E98" s="2">
        <v>70350714.620727673</v>
      </c>
      <c r="F98" s="2">
        <v>0</v>
      </c>
      <c r="G98" s="2">
        <v>0</v>
      </c>
      <c r="H98" s="2">
        <v>210</v>
      </c>
      <c r="I98" s="2">
        <v>47818181</v>
      </c>
      <c r="J98" s="2">
        <v>161</v>
      </c>
      <c r="K98" s="2">
        <v>22532533.620727669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 s="2">
        <v>16226332.758620691</v>
      </c>
      <c r="F100" s="2">
        <v>0</v>
      </c>
      <c r="G100" s="2">
        <v>0</v>
      </c>
      <c r="H100" s="2">
        <v>0</v>
      </c>
      <c r="I100" s="2">
        <v>0</v>
      </c>
      <c r="J100" s="2">
        <v>10</v>
      </c>
      <c r="K100" s="2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2</v>
      </c>
      <c r="E101" s="2">
        <v>2456397</v>
      </c>
      <c r="F101" s="2">
        <v>1</v>
      </c>
      <c r="G101" s="2">
        <v>1127273</v>
      </c>
      <c r="H101" s="2">
        <v>0</v>
      </c>
      <c r="I101" s="2">
        <v>0</v>
      </c>
      <c r="J101" s="2">
        <v>3</v>
      </c>
      <c r="K101" s="2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113</v>
      </c>
      <c r="E102" s="2">
        <v>95482507.669291347</v>
      </c>
      <c r="F102" s="2">
        <v>7</v>
      </c>
      <c r="G102" s="2">
        <v>9345455</v>
      </c>
      <c r="H102" s="2">
        <v>0</v>
      </c>
      <c r="I102" s="2">
        <v>0</v>
      </c>
      <c r="J102" s="2">
        <v>120</v>
      </c>
      <c r="K102" s="2">
        <v>104827962.6692913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 s="2">
        <v>2309091</v>
      </c>
      <c r="F103" s="2">
        <v>0</v>
      </c>
      <c r="G103" s="2">
        <v>0</v>
      </c>
      <c r="H103" s="2">
        <v>0</v>
      </c>
      <c r="I103" s="2">
        <v>0</v>
      </c>
      <c r="J103" s="2">
        <v>2</v>
      </c>
      <c r="K103" s="2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2245</v>
      </c>
      <c r="E104" s="2">
        <v>234450399.46378449</v>
      </c>
      <c r="F104" s="2">
        <v>31</v>
      </c>
      <c r="G104" s="2">
        <v>3181818</v>
      </c>
      <c r="H104" s="2">
        <v>39</v>
      </c>
      <c r="I104" s="2">
        <v>5741818</v>
      </c>
      <c r="J104" s="2">
        <v>2237</v>
      </c>
      <c r="K104" s="2">
        <v>231890399.46378449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192</v>
      </c>
      <c r="E105" s="2">
        <v>70678079.992982447</v>
      </c>
      <c r="F105" s="2">
        <v>3</v>
      </c>
      <c r="G105" s="2">
        <v>4159092</v>
      </c>
      <c r="H105" s="2">
        <v>1</v>
      </c>
      <c r="I105" s="2">
        <v>318182</v>
      </c>
      <c r="J105" s="2">
        <v>194</v>
      </c>
      <c r="K105" s="2">
        <v>74518989.992982447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1390</v>
      </c>
      <c r="E106" s="2">
        <v>222104628.69023031</v>
      </c>
      <c r="F106" s="2">
        <v>0</v>
      </c>
      <c r="G106" s="2">
        <v>0</v>
      </c>
      <c r="H106" s="2">
        <v>35</v>
      </c>
      <c r="I106" s="2">
        <v>3404546</v>
      </c>
      <c r="J106" s="2">
        <v>1355</v>
      </c>
      <c r="K106" s="2">
        <v>218700082.69023031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1158</v>
      </c>
      <c r="E107" s="2">
        <v>162362913.3291294</v>
      </c>
      <c r="F107" s="2">
        <v>30</v>
      </c>
      <c r="G107" s="2">
        <v>3845455</v>
      </c>
      <c r="H107" s="2">
        <v>37</v>
      </c>
      <c r="I107" s="2">
        <v>6236370</v>
      </c>
      <c r="J107" s="2">
        <v>1151</v>
      </c>
      <c r="K107" s="2">
        <v>159971998.3291294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 s="2">
        <v>518484.75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268</v>
      </c>
      <c r="E109" s="2">
        <v>76107420.850046858</v>
      </c>
      <c r="F109" s="2">
        <v>30</v>
      </c>
      <c r="G109" s="2">
        <v>4009080</v>
      </c>
      <c r="H109" s="2">
        <v>31</v>
      </c>
      <c r="I109" s="2">
        <v>5763636</v>
      </c>
      <c r="J109" s="2">
        <v>267</v>
      </c>
      <c r="K109" s="2">
        <v>74352864.850046858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192</v>
      </c>
      <c r="E110" s="2">
        <v>76808383.166189104</v>
      </c>
      <c r="F110" s="2">
        <v>36</v>
      </c>
      <c r="G110" s="2">
        <v>11860000</v>
      </c>
      <c r="H110" s="2">
        <v>1</v>
      </c>
      <c r="I110" s="2">
        <v>780000</v>
      </c>
      <c r="J110" s="2">
        <v>227</v>
      </c>
      <c r="K110" s="2">
        <v>87888383.166189104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 s="2">
        <v>1892138.8936170209</v>
      </c>
      <c r="F111" s="2">
        <v>0</v>
      </c>
      <c r="G111" s="2">
        <v>0</v>
      </c>
      <c r="H111" s="2">
        <v>0</v>
      </c>
      <c r="I111" s="2">
        <v>0</v>
      </c>
      <c r="J111" s="2">
        <v>27</v>
      </c>
      <c r="K111" s="2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121</v>
      </c>
      <c r="E112" s="2">
        <v>55387790.259079903</v>
      </c>
      <c r="F112" s="2">
        <v>0</v>
      </c>
      <c r="G112" s="2">
        <v>0</v>
      </c>
      <c r="H112" s="2">
        <v>0</v>
      </c>
      <c r="I112" s="2">
        <v>0</v>
      </c>
      <c r="J112" s="2">
        <v>121</v>
      </c>
      <c r="K112" s="2">
        <v>55387790.259079903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823</v>
      </c>
      <c r="E113" s="2">
        <v>252999408.390264</v>
      </c>
      <c r="F113" s="2">
        <v>26</v>
      </c>
      <c r="G113" s="2">
        <v>15867273</v>
      </c>
      <c r="H113" s="2">
        <v>3</v>
      </c>
      <c r="I113" s="2">
        <v>818182</v>
      </c>
      <c r="J113" s="2">
        <v>846</v>
      </c>
      <c r="K113" s="2">
        <v>268048499.390264</v>
      </c>
    </row>
    <row r="114" spans="1:11" x14ac:dyDescent="0.25">
      <c r="A114">
        <v>113</v>
      </c>
      <c r="B114" t="s">
        <v>235</v>
      </c>
      <c r="C114" t="s">
        <v>236</v>
      </c>
      <c r="D114">
        <v>26</v>
      </c>
      <c r="E114" s="2">
        <v>15491058.620689649</v>
      </c>
      <c r="F114" s="2">
        <v>0</v>
      </c>
      <c r="G114" s="2">
        <v>0</v>
      </c>
      <c r="H114" s="2">
        <v>0</v>
      </c>
      <c r="I114" s="2">
        <v>0</v>
      </c>
      <c r="J114" s="2">
        <v>26</v>
      </c>
      <c r="K114" s="2">
        <v>15491058.620689649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 s="2">
        <v>2400000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 s="2">
        <v>2200000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 s="2">
        <v>1854545</v>
      </c>
      <c r="F122" s="2">
        <v>0</v>
      </c>
      <c r="G122" s="2">
        <v>0</v>
      </c>
      <c r="H122" s="2">
        <v>0</v>
      </c>
      <c r="I122" s="2">
        <v>0</v>
      </c>
      <c r="J122" s="2">
        <v>8</v>
      </c>
      <c r="K122" s="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132</v>
      </c>
      <c r="E123" s="2">
        <v>51720516.616306961</v>
      </c>
      <c r="F123" s="2">
        <v>40</v>
      </c>
      <c r="G123" s="2">
        <v>16400000</v>
      </c>
      <c r="H123" s="2">
        <v>6</v>
      </c>
      <c r="I123" s="2">
        <v>2767273</v>
      </c>
      <c r="J123" s="2">
        <v>166</v>
      </c>
      <c r="K123" s="2">
        <v>65353243.616306961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 s="2">
        <v>30172515.84722222</v>
      </c>
      <c r="F124" s="2">
        <v>0</v>
      </c>
      <c r="G124" s="2">
        <v>0</v>
      </c>
      <c r="H124" s="2">
        <v>0</v>
      </c>
      <c r="I124" s="2">
        <v>0</v>
      </c>
      <c r="J124" s="2">
        <v>56</v>
      </c>
      <c r="K124" s="2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468</v>
      </c>
      <c r="E126" s="2">
        <v>253526997.2321918</v>
      </c>
      <c r="F126" s="2">
        <v>39</v>
      </c>
      <c r="G126" s="2">
        <v>24317274</v>
      </c>
      <c r="H126" s="2">
        <v>16</v>
      </c>
      <c r="I126" s="2">
        <v>14379093</v>
      </c>
      <c r="J126" s="2">
        <v>491</v>
      </c>
      <c r="K126" s="2">
        <v>263465178.2321918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 s="2">
        <v>1971197.142857143</v>
      </c>
      <c r="F127" s="2">
        <v>0</v>
      </c>
      <c r="G127" s="2">
        <v>0</v>
      </c>
      <c r="H127" s="2">
        <v>0</v>
      </c>
      <c r="I127" s="2">
        <v>0</v>
      </c>
      <c r="J127" s="2">
        <v>5</v>
      </c>
      <c r="K127" s="2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7</v>
      </c>
      <c r="E128" s="2">
        <v>8312628.4090909092</v>
      </c>
      <c r="F128" s="2">
        <v>2</v>
      </c>
      <c r="G128" s="2">
        <v>3236363</v>
      </c>
      <c r="H128" s="2">
        <v>1</v>
      </c>
      <c r="I128" s="2">
        <v>3409090</v>
      </c>
      <c r="J128" s="2">
        <v>8</v>
      </c>
      <c r="K128" s="2">
        <v>8139901.4090909101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15</v>
      </c>
      <c r="E129" s="2">
        <v>29354161.75</v>
      </c>
      <c r="F129" s="2">
        <v>0</v>
      </c>
      <c r="G129" s="2">
        <v>0</v>
      </c>
      <c r="H129" s="2">
        <v>0</v>
      </c>
      <c r="I129" s="2">
        <v>0</v>
      </c>
      <c r="J129" s="2">
        <v>15</v>
      </c>
      <c r="K129" s="2">
        <v>29354161.75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243</v>
      </c>
      <c r="E131" s="2">
        <v>150854874.5194805</v>
      </c>
      <c r="F131" s="2">
        <v>10</v>
      </c>
      <c r="G131" s="2">
        <v>5672730</v>
      </c>
      <c r="H131" s="2">
        <v>3</v>
      </c>
      <c r="I131" s="2">
        <v>2931816</v>
      </c>
      <c r="J131" s="2">
        <v>250</v>
      </c>
      <c r="K131" s="2">
        <v>153595788.5194805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111</v>
      </c>
      <c r="E132" s="2">
        <v>14763956.7489301</v>
      </c>
      <c r="F132" s="2">
        <v>0</v>
      </c>
      <c r="G132" s="2">
        <v>0</v>
      </c>
      <c r="H132" s="2">
        <v>0</v>
      </c>
      <c r="I132" s="2">
        <v>0</v>
      </c>
      <c r="J132" s="2">
        <v>111</v>
      </c>
      <c r="K132" s="2">
        <v>14763956.7489301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339</v>
      </c>
      <c r="E133" s="2">
        <v>98924200.769411772</v>
      </c>
      <c r="F133" s="2">
        <v>7</v>
      </c>
      <c r="G133" s="2">
        <v>628182</v>
      </c>
      <c r="H133" s="2">
        <v>0</v>
      </c>
      <c r="I133" s="2">
        <v>0</v>
      </c>
      <c r="J133" s="2">
        <v>346</v>
      </c>
      <c r="K133" s="2">
        <v>99552382.769411772</v>
      </c>
    </row>
    <row r="134" spans="1:11" x14ac:dyDescent="0.25">
      <c r="A134">
        <v>133</v>
      </c>
      <c r="B134" t="s">
        <v>275</v>
      </c>
      <c r="C134" t="s">
        <v>276</v>
      </c>
      <c r="D134">
        <v>95</v>
      </c>
      <c r="E134" s="2">
        <v>33513417.08433735</v>
      </c>
      <c r="F134" s="2">
        <v>8</v>
      </c>
      <c r="G134" s="2">
        <v>3300000</v>
      </c>
      <c r="H134" s="2">
        <v>1</v>
      </c>
      <c r="I134" s="2">
        <v>618182</v>
      </c>
      <c r="J134" s="2">
        <v>102</v>
      </c>
      <c r="K134" s="2">
        <v>36195235.084337354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 s="2">
        <v>358922.57142857142</v>
      </c>
      <c r="F135" s="2">
        <v>0</v>
      </c>
      <c r="G135" s="2">
        <v>0</v>
      </c>
      <c r="H135" s="2">
        <v>0</v>
      </c>
      <c r="I135" s="2">
        <v>0</v>
      </c>
      <c r="J135" s="2">
        <v>2</v>
      </c>
      <c r="K135" s="2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 s="2">
        <v>1118537.368421053</v>
      </c>
      <c r="F136" s="2">
        <v>0</v>
      </c>
      <c r="G136" s="2">
        <v>0</v>
      </c>
      <c r="H136" s="2">
        <v>0</v>
      </c>
      <c r="I136" s="2">
        <v>0</v>
      </c>
      <c r="J136" s="2">
        <v>9</v>
      </c>
      <c r="K136" s="2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 s="2">
        <v>21518658.860465121</v>
      </c>
      <c r="F138" s="2">
        <v>13</v>
      </c>
      <c r="G138" s="2">
        <v>5554545</v>
      </c>
      <c r="H138" s="2">
        <v>13</v>
      </c>
      <c r="I138" s="2">
        <v>7681818</v>
      </c>
      <c r="J138" s="2">
        <v>21</v>
      </c>
      <c r="K138" s="2">
        <v>19391385.860465121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 s="2">
        <v>28409354.838709679</v>
      </c>
      <c r="F141" s="2">
        <v>0</v>
      </c>
      <c r="G141" s="2">
        <v>0</v>
      </c>
      <c r="H141" s="2">
        <v>0</v>
      </c>
      <c r="I141" s="2">
        <v>0</v>
      </c>
      <c r="J141" s="2">
        <v>7</v>
      </c>
      <c r="K141" s="2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109</v>
      </c>
      <c r="E143" s="2">
        <v>47739168.115942031</v>
      </c>
      <c r="F143" s="2">
        <v>60</v>
      </c>
      <c r="G143" s="2">
        <v>19500000</v>
      </c>
      <c r="H143" s="2">
        <v>72</v>
      </c>
      <c r="I143" s="2">
        <v>31480000</v>
      </c>
      <c r="J143" s="2">
        <v>97</v>
      </c>
      <c r="K143" s="2">
        <v>35759168.115942031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 s="2">
        <v>2435955.1515151509</v>
      </c>
      <c r="F145" s="2">
        <v>0</v>
      </c>
      <c r="G145" s="2">
        <v>0</v>
      </c>
      <c r="H145" s="2">
        <v>0</v>
      </c>
      <c r="I145" s="2">
        <v>0</v>
      </c>
      <c r="J145" s="2">
        <v>15</v>
      </c>
      <c r="K145" s="2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486.3</v>
      </c>
      <c r="E146" s="2">
        <v>665627019.55999994</v>
      </c>
      <c r="F146" s="2">
        <v>240.78</v>
      </c>
      <c r="G146" s="2">
        <v>132934941</v>
      </c>
      <c r="H146" s="2">
        <v>29</v>
      </c>
      <c r="I146" s="2">
        <v>93915928</v>
      </c>
      <c r="J146" s="2">
        <v>698.07999999999993</v>
      </c>
      <c r="K146" s="2">
        <v>704646032.55999994</v>
      </c>
    </row>
    <row r="147" spans="1:11" x14ac:dyDescent="0.25">
      <c r="A147" t="s">
        <v>301</v>
      </c>
      <c r="D147">
        <v>21806.3</v>
      </c>
      <c r="E147" s="2">
        <v>20007382430.870441</v>
      </c>
      <c r="F147" s="2">
        <v>1234.78</v>
      </c>
      <c r="G147" s="2">
        <v>894375124.36000001</v>
      </c>
      <c r="H147" s="2">
        <v>861</v>
      </c>
      <c r="I147" s="2">
        <v>669303744</v>
      </c>
      <c r="J147" s="2">
        <v>22212.080000000002</v>
      </c>
      <c r="K147" s="2">
        <v>20234124282.613171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23</v>
      </c>
      <c r="E3">
        <v>221556992</v>
      </c>
      <c r="F3">
        <v>3</v>
      </c>
      <c r="G3">
        <v>28909091</v>
      </c>
      <c r="H3">
        <v>0</v>
      </c>
      <c r="I3">
        <v>0</v>
      </c>
      <c r="J3">
        <v>26</v>
      </c>
      <c r="K3">
        <v>250466083</v>
      </c>
    </row>
    <row r="4" spans="1:11" x14ac:dyDescent="0.25">
      <c r="A4">
        <v>3</v>
      </c>
      <c r="B4" t="s">
        <v>15</v>
      </c>
      <c r="C4" t="s">
        <v>16</v>
      </c>
      <c r="D4">
        <v>145</v>
      </c>
      <c r="E4">
        <v>1595445590.201292</v>
      </c>
      <c r="F4">
        <v>30</v>
      </c>
      <c r="G4">
        <v>232727272</v>
      </c>
      <c r="H4">
        <v>1</v>
      </c>
      <c r="I4">
        <v>16990909</v>
      </c>
      <c r="J4">
        <v>174</v>
      </c>
      <c r="K4">
        <v>1811181953.201292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>
        <v>115057259.1785714</v>
      </c>
      <c r="F6">
        <v>0</v>
      </c>
      <c r="G6">
        <v>0</v>
      </c>
      <c r="H6">
        <v>0</v>
      </c>
      <c r="I6">
        <v>0</v>
      </c>
      <c r="J6">
        <v>9</v>
      </c>
      <c r="K6">
        <v>115057259.1785714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>
        <v>13864462.09090909</v>
      </c>
      <c r="F8">
        <v>0</v>
      </c>
      <c r="G8">
        <v>0</v>
      </c>
      <c r="H8">
        <v>0</v>
      </c>
      <c r="I8">
        <v>0</v>
      </c>
      <c r="J8">
        <v>2</v>
      </c>
      <c r="K8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11</v>
      </c>
      <c r="E9">
        <v>34336272.450000003</v>
      </c>
      <c r="F9">
        <v>3</v>
      </c>
      <c r="G9">
        <v>9900000</v>
      </c>
      <c r="H9">
        <v>0</v>
      </c>
      <c r="I9">
        <v>0</v>
      </c>
      <c r="J9">
        <v>14</v>
      </c>
      <c r="K9">
        <v>44236272.450000003</v>
      </c>
    </row>
    <row r="10" spans="1:11" x14ac:dyDescent="0.25">
      <c r="A10">
        <v>9</v>
      </c>
      <c r="B10" t="s">
        <v>27</v>
      </c>
      <c r="C10" t="s">
        <v>28</v>
      </c>
      <c r="D10">
        <v>203</v>
      </c>
      <c r="E10">
        <v>780410950.5951941</v>
      </c>
      <c r="F10">
        <v>6</v>
      </c>
      <c r="G10">
        <v>49090909</v>
      </c>
      <c r="H10">
        <v>0</v>
      </c>
      <c r="I10">
        <v>0</v>
      </c>
      <c r="J10">
        <v>209</v>
      </c>
      <c r="K10">
        <v>829501859.5951941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250</v>
      </c>
      <c r="E12">
        <v>3004102703.2191219</v>
      </c>
      <c r="F12">
        <v>10</v>
      </c>
      <c r="G12">
        <v>116100000</v>
      </c>
      <c r="H12">
        <v>4</v>
      </c>
      <c r="I12">
        <v>31309090</v>
      </c>
      <c r="J12">
        <v>256</v>
      </c>
      <c r="K12">
        <v>3088893613.2191219</v>
      </c>
    </row>
    <row r="13" spans="1:11" x14ac:dyDescent="0.25">
      <c r="A13">
        <v>12</v>
      </c>
      <c r="B13" t="s">
        <v>33</v>
      </c>
      <c r="C13" t="s">
        <v>34</v>
      </c>
      <c r="D13">
        <v>34</v>
      </c>
      <c r="E13">
        <v>559080594.76923084</v>
      </c>
      <c r="F13">
        <v>5</v>
      </c>
      <c r="G13">
        <v>103454545</v>
      </c>
      <c r="H13">
        <v>1</v>
      </c>
      <c r="I13">
        <v>16181818</v>
      </c>
      <c r="J13">
        <v>38</v>
      </c>
      <c r="K13">
        <v>646353321.76923084</v>
      </c>
    </row>
    <row r="14" spans="1:11" x14ac:dyDescent="0.25">
      <c r="A14">
        <v>13</v>
      </c>
      <c r="B14" t="s">
        <v>35</v>
      </c>
      <c r="C14" t="s">
        <v>36</v>
      </c>
      <c r="D14">
        <v>22</v>
      </c>
      <c r="E14">
        <v>380520769.28947371</v>
      </c>
      <c r="F14">
        <v>2</v>
      </c>
      <c r="G14">
        <v>30254546</v>
      </c>
      <c r="H14">
        <v>0</v>
      </c>
      <c r="I14">
        <v>0</v>
      </c>
      <c r="J14">
        <v>24</v>
      </c>
      <c r="K14">
        <v>410775315.28947371</v>
      </c>
    </row>
    <row r="15" spans="1:11" x14ac:dyDescent="0.25">
      <c r="A15">
        <v>14</v>
      </c>
      <c r="B15" t="s">
        <v>37</v>
      </c>
      <c r="C15" t="s">
        <v>38</v>
      </c>
      <c r="D15">
        <v>41</v>
      </c>
      <c r="E15">
        <v>512583222.93430662</v>
      </c>
      <c r="F15">
        <v>0</v>
      </c>
      <c r="G15">
        <v>0</v>
      </c>
      <c r="H15">
        <v>1</v>
      </c>
      <c r="I15">
        <v>10627273</v>
      </c>
      <c r="J15">
        <v>40</v>
      </c>
      <c r="K15">
        <v>501955949.93430662</v>
      </c>
    </row>
    <row r="16" spans="1:11" x14ac:dyDescent="0.25">
      <c r="A16">
        <v>15</v>
      </c>
      <c r="B16" t="s">
        <v>39</v>
      </c>
      <c r="C16" t="s">
        <v>40</v>
      </c>
      <c r="D16">
        <v>14</v>
      </c>
      <c r="E16">
        <v>200165895.10447761</v>
      </c>
      <c r="F16">
        <v>0</v>
      </c>
      <c r="G16">
        <v>0</v>
      </c>
      <c r="H16">
        <v>0</v>
      </c>
      <c r="I16">
        <v>0</v>
      </c>
      <c r="J16">
        <v>14</v>
      </c>
      <c r="K16">
        <v>200165895.10447761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109</v>
      </c>
      <c r="E24">
        <v>605682013.54972363</v>
      </c>
      <c r="F24">
        <v>0</v>
      </c>
      <c r="G24">
        <v>0</v>
      </c>
      <c r="H24">
        <v>3</v>
      </c>
      <c r="I24">
        <v>21790909</v>
      </c>
      <c r="J24">
        <v>106</v>
      </c>
      <c r="K24">
        <v>583891104.54972363</v>
      </c>
    </row>
    <row r="25" spans="1:11" x14ac:dyDescent="0.25">
      <c r="A25">
        <v>24</v>
      </c>
      <c r="B25" t="s">
        <v>57</v>
      </c>
      <c r="C25" t="s">
        <v>58</v>
      </c>
      <c r="D25">
        <v>290</v>
      </c>
      <c r="E25">
        <v>2333136138.361217</v>
      </c>
      <c r="F25">
        <v>47</v>
      </c>
      <c r="G25">
        <v>357912727</v>
      </c>
      <c r="H25">
        <v>11</v>
      </c>
      <c r="I25">
        <v>114181818</v>
      </c>
      <c r="J25">
        <v>326</v>
      </c>
      <c r="K25">
        <v>2576867047.361217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60526503.307692319</v>
      </c>
      <c r="F30">
        <v>1</v>
      </c>
      <c r="G30">
        <v>18601818</v>
      </c>
      <c r="H30">
        <v>1</v>
      </c>
      <c r="I30">
        <v>20000000</v>
      </c>
      <c r="J30">
        <v>5</v>
      </c>
      <c r="K30">
        <v>59128321.307692319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47</v>
      </c>
      <c r="E34">
        <v>105658901.18326689</v>
      </c>
      <c r="F34">
        <v>0</v>
      </c>
      <c r="G34">
        <v>0</v>
      </c>
      <c r="H34">
        <v>0</v>
      </c>
      <c r="I34">
        <v>0</v>
      </c>
      <c r="J34">
        <v>47</v>
      </c>
      <c r="K34">
        <v>105658901.18326689</v>
      </c>
    </row>
    <row r="35" spans="1:11" x14ac:dyDescent="0.25">
      <c r="A35">
        <v>34</v>
      </c>
      <c r="B35" t="s">
        <v>77</v>
      </c>
      <c r="C35" t="s">
        <v>78</v>
      </c>
      <c r="D35">
        <v>457</v>
      </c>
      <c r="E35">
        <v>913021849.55380154</v>
      </c>
      <c r="F35">
        <v>33</v>
      </c>
      <c r="G35">
        <v>56490000</v>
      </c>
      <c r="H35">
        <v>13</v>
      </c>
      <c r="I35">
        <v>24481819</v>
      </c>
      <c r="J35">
        <v>477</v>
      </c>
      <c r="K35">
        <v>945030030.55380154</v>
      </c>
    </row>
    <row r="36" spans="1:11" x14ac:dyDescent="0.25">
      <c r="A36">
        <v>35</v>
      </c>
      <c r="B36" t="s">
        <v>79</v>
      </c>
      <c r="C36" t="s">
        <v>80</v>
      </c>
      <c r="D36">
        <v>7</v>
      </c>
      <c r="E36">
        <v>12617163.021276589</v>
      </c>
      <c r="F36">
        <v>2</v>
      </c>
      <c r="G36">
        <v>6490909</v>
      </c>
      <c r="H36">
        <v>0</v>
      </c>
      <c r="I36">
        <v>0</v>
      </c>
      <c r="J36">
        <v>9</v>
      </c>
      <c r="K36">
        <v>19108072.021276589</v>
      </c>
    </row>
    <row r="37" spans="1:11" x14ac:dyDescent="0.25">
      <c r="A37">
        <v>36</v>
      </c>
      <c r="B37" t="s">
        <v>81</v>
      </c>
      <c r="C37" t="s">
        <v>82</v>
      </c>
      <c r="D37">
        <v>37</v>
      </c>
      <c r="E37">
        <v>111164925.1964286</v>
      </c>
      <c r="F37">
        <v>0</v>
      </c>
      <c r="G37">
        <v>0</v>
      </c>
      <c r="H37">
        <v>0</v>
      </c>
      <c r="I37">
        <v>0</v>
      </c>
      <c r="J37">
        <v>37</v>
      </c>
      <c r="K37">
        <v>111164925.1964286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112</v>
      </c>
      <c r="E39">
        <v>257629510.38106239</v>
      </c>
      <c r="F39">
        <v>0</v>
      </c>
      <c r="G39">
        <v>0</v>
      </c>
      <c r="H39">
        <v>1</v>
      </c>
      <c r="I39">
        <v>1227273</v>
      </c>
      <c r="J39">
        <v>111</v>
      </c>
      <c r="K39">
        <v>256402237.38106239</v>
      </c>
    </row>
    <row r="40" spans="1:11" x14ac:dyDescent="0.25">
      <c r="A40">
        <v>39</v>
      </c>
      <c r="B40" t="s">
        <v>87</v>
      </c>
      <c r="C40" t="s">
        <v>88</v>
      </c>
      <c r="D40">
        <v>4</v>
      </c>
      <c r="E40">
        <v>22734342.77777778</v>
      </c>
      <c r="F40">
        <v>0</v>
      </c>
      <c r="G40">
        <v>0</v>
      </c>
      <c r="H40">
        <v>0</v>
      </c>
      <c r="I40">
        <v>0</v>
      </c>
      <c r="J40">
        <v>4</v>
      </c>
      <c r="K40">
        <v>22734342.77777778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1036</v>
      </c>
      <c r="E42">
        <v>474267610.53484052</v>
      </c>
      <c r="F42">
        <v>73</v>
      </c>
      <c r="G42">
        <v>9577272</v>
      </c>
      <c r="H42">
        <v>5</v>
      </c>
      <c r="I42">
        <v>18454546</v>
      </c>
      <c r="J42">
        <v>1104</v>
      </c>
      <c r="K42">
        <v>465390336.53484052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332</v>
      </c>
      <c r="E44">
        <v>929565686.42474437</v>
      </c>
      <c r="F44">
        <v>0</v>
      </c>
      <c r="G44">
        <v>0</v>
      </c>
      <c r="H44">
        <v>2</v>
      </c>
      <c r="I44">
        <v>5563636</v>
      </c>
      <c r="J44">
        <v>330</v>
      </c>
      <c r="K44">
        <v>924002050.42474437</v>
      </c>
    </row>
    <row r="45" spans="1:11" x14ac:dyDescent="0.25">
      <c r="A45">
        <v>44</v>
      </c>
      <c r="B45" t="s">
        <v>97</v>
      </c>
      <c r="C45" t="s">
        <v>98</v>
      </c>
      <c r="D45">
        <v>59</v>
      </c>
      <c r="E45">
        <v>240014870.79297301</v>
      </c>
      <c r="F45">
        <v>0</v>
      </c>
      <c r="G45">
        <v>0</v>
      </c>
      <c r="H45">
        <v>2</v>
      </c>
      <c r="I45">
        <v>10100000</v>
      </c>
      <c r="J45">
        <v>57</v>
      </c>
      <c r="K45">
        <v>229914870.79297301</v>
      </c>
    </row>
    <row r="46" spans="1:11" x14ac:dyDescent="0.25">
      <c r="A46">
        <v>45</v>
      </c>
      <c r="B46" t="s">
        <v>99</v>
      </c>
      <c r="C46" t="s">
        <v>100</v>
      </c>
      <c r="D46">
        <v>246</v>
      </c>
      <c r="E46">
        <v>109182303.6325714</v>
      </c>
      <c r="F46">
        <v>1</v>
      </c>
      <c r="G46">
        <v>6363636</v>
      </c>
      <c r="H46">
        <v>1</v>
      </c>
      <c r="I46">
        <v>7172727</v>
      </c>
      <c r="J46">
        <v>246</v>
      </c>
      <c r="K46">
        <v>108373212.6325714</v>
      </c>
    </row>
    <row r="47" spans="1:11" x14ac:dyDescent="0.25">
      <c r="A47">
        <v>46</v>
      </c>
      <c r="B47" t="s">
        <v>101</v>
      </c>
      <c r="C47" t="s">
        <v>102</v>
      </c>
      <c r="D47">
        <v>86</v>
      </c>
      <c r="E47">
        <v>189987866.92567381</v>
      </c>
      <c r="F47">
        <v>7</v>
      </c>
      <c r="G47">
        <v>11586364</v>
      </c>
      <c r="H47">
        <v>1</v>
      </c>
      <c r="I47">
        <v>6863636</v>
      </c>
      <c r="J47">
        <v>92</v>
      </c>
      <c r="K47">
        <v>194710594.92567381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36</v>
      </c>
      <c r="E49">
        <v>258646795.96224141</v>
      </c>
      <c r="F49">
        <v>2</v>
      </c>
      <c r="G49">
        <v>2972727</v>
      </c>
      <c r="H49">
        <v>1</v>
      </c>
      <c r="I49">
        <v>2536364</v>
      </c>
      <c r="J49">
        <v>37</v>
      </c>
      <c r="K49">
        <v>259083158.96224141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6</v>
      </c>
      <c r="E51">
        <v>1104228.199999999</v>
      </c>
      <c r="F51">
        <v>0</v>
      </c>
      <c r="G51">
        <v>0</v>
      </c>
      <c r="H51">
        <v>1</v>
      </c>
      <c r="I51">
        <v>850000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126547236.26693881</v>
      </c>
      <c r="F52">
        <v>0</v>
      </c>
      <c r="G52">
        <v>0</v>
      </c>
      <c r="H52">
        <v>0</v>
      </c>
      <c r="I52">
        <v>0</v>
      </c>
      <c r="J52">
        <v>72</v>
      </c>
      <c r="K52">
        <v>126547236.26693881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92</v>
      </c>
      <c r="E55">
        <v>143271443.17270201</v>
      </c>
      <c r="F55">
        <v>1</v>
      </c>
      <c r="G55">
        <v>7180000</v>
      </c>
      <c r="H55">
        <v>1</v>
      </c>
      <c r="I55">
        <v>8172727</v>
      </c>
      <c r="J55">
        <v>92</v>
      </c>
      <c r="K55">
        <v>142278716.17270201</v>
      </c>
    </row>
    <row r="56" spans="1:11" x14ac:dyDescent="0.25">
      <c r="A56">
        <v>55</v>
      </c>
      <c r="B56" t="s">
        <v>119</v>
      </c>
      <c r="C56" t="s">
        <v>120</v>
      </c>
      <c r="D56">
        <v>30</v>
      </c>
      <c r="E56">
        <v>20425199.491525419</v>
      </c>
      <c r="F56">
        <v>0</v>
      </c>
      <c r="G56">
        <v>0</v>
      </c>
      <c r="H56">
        <v>1</v>
      </c>
      <c r="I56">
        <v>1342593</v>
      </c>
      <c r="J56">
        <v>29</v>
      </c>
      <c r="K56">
        <v>19082606.491525419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16869258.180769231</v>
      </c>
      <c r="F57">
        <v>0</v>
      </c>
      <c r="G57">
        <v>0</v>
      </c>
      <c r="H57">
        <v>0</v>
      </c>
      <c r="I57">
        <v>0</v>
      </c>
      <c r="J57">
        <v>5</v>
      </c>
      <c r="K57">
        <v>16869258.180769231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2839</v>
      </c>
      <c r="E59">
        <v>244410895.38559759</v>
      </c>
      <c r="F59">
        <v>171</v>
      </c>
      <c r="G59">
        <v>12340915</v>
      </c>
      <c r="H59">
        <v>41</v>
      </c>
      <c r="I59">
        <v>9636364</v>
      </c>
      <c r="J59">
        <v>2969</v>
      </c>
      <c r="K59">
        <v>247115446.38559759</v>
      </c>
    </row>
    <row r="60" spans="1:11" x14ac:dyDescent="0.25">
      <c r="A60">
        <v>59</v>
      </c>
      <c r="B60" t="s">
        <v>127</v>
      </c>
      <c r="C60" t="s">
        <v>128</v>
      </c>
      <c r="D60">
        <v>86</v>
      </c>
      <c r="E60">
        <v>4259365.6822262118</v>
      </c>
      <c r="F60">
        <v>0</v>
      </c>
      <c r="G60">
        <v>0</v>
      </c>
      <c r="H60">
        <v>0</v>
      </c>
      <c r="I60">
        <v>0</v>
      </c>
      <c r="J60">
        <v>86</v>
      </c>
      <c r="K60">
        <v>4259365.6822262118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1606</v>
      </c>
      <c r="E62">
        <v>238138617.8789579</v>
      </c>
      <c r="F62">
        <v>50</v>
      </c>
      <c r="G62">
        <v>1272727</v>
      </c>
      <c r="H62">
        <v>6</v>
      </c>
      <c r="I62">
        <v>1281819</v>
      </c>
      <c r="J62">
        <v>1650</v>
      </c>
      <c r="K62">
        <v>238129525.8789579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167</v>
      </c>
      <c r="E70">
        <v>59098673.125112101</v>
      </c>
      <c r="F70">
        <v>0</v>
      </c>
      <c r="G70">
        <v>0</v>
      </c>
      <c r="H70">
        <v>0</v>
      </c>
      <c r="I70">
        <v>0</v>
      </c>
      <c r="J70">
        <v>167</v>
      </c>
      <c r="K70">
        <v>59098673.125112101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0</v>
      </c>
      <c r="I72">
        <v>0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94</v>
      </c>
      <c r="E73">
        <v>137857.79768786131</v>
      </c>
      <c r="F73">
        <v>0</v>
      </c>
      <c r="G73">
        <v>0</v>
      </c>
      <c r="H73">
        <v>0</v>
      </c>
      <c r="I73">
        <v>0</v>
      </c>
      <c r="J73">
        <v>94</v>
      </c>
      <c r="K73">
        <v>137857.79768786131</v>
      </c>
    </row>
    <row r="74" spans="1:11" x14ac:dyDescent="0.25">
      <c r="A74">
        <v>73</v>
      </c>
      <c r="B74" t="s">
        <v>155</v>
      </c>
      <c r="C74" t="s">
        <v>156</v>
      </c>
      <c r="D74">
        <v>115</v>
      </c>
      <c r="E74">
        <v>261185113.07878789</v>
      </c>
      <c r="F74">
        <v>2</v>
      </c>
      <c r="G74">
        <v>5418182</v>
      </c>
      <c r="H74">
        <v>0</v>
      </c>
      <c r="I74">
        <v>0</v>
      </c>
      <c r="J74">
        <v>117</v>
      </c>
      <c r="K74">
        <v>266603295.07878789</v>
      </c>
    </row>
    <row r="75" spans="1:11" x14ac:dyDescent="0.25">
      <c r="A75">
        <v>74</v>
      </c>
      <c r="B75" t="s">
        <v>157</v>
      </c>
      <c r="C75" t="s">
        <v>158</v>
      </c>
      <c r="D75">
        <v>128</v>
      </c>
      <c r="E75">
        <v>384669226.75098813</v>
      </c>
      <c r="F75">
        <v>4</v>
      </c>
      <c r="G75">
        <v>11745454</v>
      </c>
      <c r="H75">
        <v>0</v>
      </c>
      <c r="I75">
        <v>0</v>
      </c>
      <c r="J75">
        <v>132</v>
      </c>
      <c r="K75">
        <v>396414680.75098813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28093729.875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28093729.875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120</v>
      </c>
      <c r="E78">
        <v>178646077.59605911</v>
      </c>
      <c r="F78">
        <v>2</v>
      </c>
      <c r="G78">
        <v>3181818</v>
      </c>
      <c r="H78">
        <v>0</v>
      </c>
      <c r="I78">
        <v>0</v>
      </c>
      <c r="J78">
        <v>122</v>
      </c>
      <c r="K78">
        <v>181827895.59605911</v>
      </c>
    </row>
    <row r="79" spans="1:11" x14ac:dyDescent="0.25">
      <c r="A79">
        <v>78</v>
      </c>
      <c r="B79" t="s">
        <v>165</v>
      </c>
      <c r="C79" t="s">
        <v>166</v>
      </c>
      <c r="D79">
        <v>9</v>
      </c>
      <c r="E79">
        <v>22480932</v>
      </c>
      <c r="F79">
        <v>2</v>
      </c>
      <c r="G79">
        <v>4272728</v>
      </c>
      <c r="H79">
        <v>0</v>
      </c>
      <c r="I79">
        <v>0</v>
      </c>
      <c r="J79">
        <v>11</v>
      </c>
      <c r="K79">
        <v>26753660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616</v>
      </c>
      <c r="E81">
        <v>177393992.62329009</v>
      </c>
      <c r="F81">
        <v>88</v>
      </c>
      <c r="G81">
        <v>38077272</v>
      </c>
      <c r="H81">
        <v>1</v>
      </c>
      <c r="I81">
        <v>590909</v>
      </c>
      <c r="J81">
        <v>703</v>
      </c>
      <c r="K81">
        <v>214880355.62329009</v>
      </c>
    </row>
    <row r="82" spans="1:11" x14ac:dyDescent="0.25">
      <c r="A82">
        <v>81</v>
      </c>
      <c r="B82" t="s">
        <v>171</v>
      </c>
      <c r="C82" t="s">
        <v>172</v>
      </c>
      <c r="D82">
        <v>152</v>
      </c>
      <c r="E82">
        <v>106171216.117302</v>
      </c>
      <c r="F82">
        <v>52</v>
      </c>
      <c r="G82">
        <v>35381819</v>
      </c>
      <c r="H82">
        <v>0</v>
      </c>
      <c r="I82">
        <v>0</v>
      </c>
      <c r="J82">
        <v>204</v>
      </c>
      <c r="K82">
        <v>141553035.11730209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>
        <v>26690832.202380959</v>
      </c>
      <c r="F83">
        <v>0</v>
      </c>
      <c r="G83">
        <v>0</v>
      </c>
      <c r="H83">
        <v>0</v>
      </c>
      <c r="I83">
        <v>0</v>
      </c>
      <c r="J83">
        <v>30</v>
      </c>
      <c r="K83">
        <v>26690832.202380959</v>
      </c>
    </row>
    <row r="84" spans="1:11" x14ac:dyDescent="0.25">
      <c r="A84">
        <v>83</v>
      </c>
      <c r="B84" t="s">
        <v>175</v>
      </c>
      <c r="C84" t="s">
        <v>176</v>
      </c>
      <c r="D84">
        <v>19</v>
      </c>
      <c r="E84">
        <v>41596634.200000003</v>
      </c>
      <c r="F84">
        <v>0</v>
      </c>
      <c r="G84">
        <v>0</v>
      </c>
      <c r="H84">
        <v>0</v>
      </c>
      <c r="I84">
        <v>0</v>
      </c>
      <c r="J84">
        <v>19</v>
      </c>
      <c r="K84">
        <v>41596634.200000003</v>
      </c>
    </row>
    <row r="85" spans="1:11" x14ac:dyDescent="0.25">
      <c r="A85">
        <v>84</v>
      </c>
      <c r="B85" t="s">
        <v>177</v>
      </c>
      <c r="C85" t="s">
        <v>178</v>
      </c>
      <c r="D85">
        <v>8</v>
      </c>
      <c r="E85">
        <v>37028638.483870968</v>
      </c>
      <c r="F85">
        <v>0</v>
      </c>
      <c r="G85">
        <v>0</v>
      </c>
      <c r="H85">
        <v>0</v>
      </c>
      <c r="I85">
        <v>0</v>
      </c>
      <c r="J85">
        <v>8</v>
      </c>
      <c r="K85">
        <v>37028638.483870968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60</v>
      </c>
      <c r="E87">
        <v>74760082.572559372</v>
      </c>
      <c r="F87">
        <v>0</v>
      </c>
      <c r="G87">
        <v>0</v>
      </c>
      <c r="H87">
        <v>3</v>
      </c>
      <c r="I87">
        <v>6163636</v>
      </c>
      <c r="J87">
        <v>57</v>
      </c>
      <c r="K87">
        <v>68596446.572559372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1019</v>
      </c>
      <c r="E89">
        <v>260525840.74628809</v>
      </c>
      <c r="F89">
        <v>10</v>
      </c>
      <c r="G89">
        <v>4909091</v>
      </c>
      <c r="H89">
        <v>2</v>
      </c>
      <c r="I89">
        <v>1454545</v>
      </c>
      <c r="J89">
        <v>1027</v>
      </c>
      <c r="K89">
        <v>263980386.74628809</v>
      </c>
    </row>
    <row r="90" spans="1:11" x14ac:dyDescent="0.25">
      <c r="A90">
        <v>89</v>
      </c>
      <c r="B90" t="s">
        <v>187</v>
      </c>
      <c r="C90" t="s">
        <v>188</v>
      </c>
      <c r="D90">
        <v>198</v>
      </c>
      <c r="E90">
        <v>216437309.34957021</v>
      </c>
      <c r="F90">
        <v>0</v>
      </c>
      <c r="G90">
        <v>0</v>
      </c>
      <c r="H90">
        <v>0</v>
      </c>
      <c r="I90">
        <v>0</v>
      </c>
      <c r="J90">
        <v>198</v>
      </c>
      <c r="K90">
        <v>216437309.34957021</v>
      </c>
    </row>
    <row r="91" spans="1:11" x14ac:dyDescent="0.25">
      <c r="A91">
        <v>90</v>
      </c>
      <c r="B91" t="s">
        <v>189</v>
      </c>
      <c r="C91" t="s">
        <v>190</v>
      </c>
      <c r="D91">
        <v>66</v>
      </c>
      <c r="E91">
        <v>88807776.992395431</v>
      </c>
      <c r="F91">
        <v>0</v>
      </c>
      <c r="G91">
        <v>0</v>
      </c>
      <c r="H91">
        <v>0</v>
      </c>
      <c r="I91">
        <v>0</v>
      </c>
      <c r="J91">
        <v>66</v>
      </c>
      <c r="K91">
        <v>88807776.992395431</v>
      </c>
    </row>
    <row r="92" spans="1:11" x14ac:dyDescent="0.25">
      <c r="A92">
        <v>91</v>
      </c>
      <c r="B92" t="s">
        <v>191</v>
      </c>
      <c r="C92" t="s">
        <v>192</v>
      </c>
      <c r="D92">
        <v>135</v>
      </c>
      <c r="E92">
        <v>63324121.128078818</v>
      </c>
      <c r="F92">
        <v>0</v>
      </c>
      <c r="G92">
        <v>0</v>
      </c>
      <c r="H92">
        <v>2</v>
      </c>
      <c r="I92">
        <v>2045455</v>
      </c>
      <c r="J92">
        <v>133</v>
      </c>
      <c r="K92">
        <v>61278666.128078818</v>
      </c>
    </row>
    <row r="93" spans="1:11" x14ac:dyDescent="0.25">
      <c r="A93">
        <v>92</v>
      </c>
      <c r="B93" t="s">
        <v>193</v>
      </c>
      <c r="C93" t="s">
        <v>194</v>
      </c>
      <c r="D93">
        <v>58</v>
      </c>
      <c r="E93">
        <v>87314055.432558149</v>
      </c>
      <c r="F93">
        <v>0</v>
      </c>
      <c r="G93">
        <v>0</v>
      </c>
      <c r="H93">
        <v>0</v>
      </c>
      <c r="I93">
        <v>0</v>
      </c>
      <c r="J93">
        <v>58</v>
      </c>
      <c r="K93">
        <v>87314055.432558149</v>
      </c>
    </row>
    <row r="94" spans="1:11" x14ac:dyDescent="0.25">
      <c r="A94">
        <v>93</v>
      </c>
      <c r="B94" t="s">
        <v>195</v>
      </c>
      <c r="C94" t="s">
        <v>196</v>
      </c>
      <c r="D94">
        <v>294</v>
      </c>
      <c r="E94">
        <v>113456141.6155607</v>
      </c>
      <c r="F94">
        <v>0</v>
      </c>
      <c r="G94">
        <v>0</v>
      </c>
      <c r="H94">
        <v>2</v>
      </c>
      <c r="I94">
        <v>2409090</v>
      </c>
      <c r="J94">
        <v>292</v>
      </c>
      <c r="K94">
        <v>111047051.6155607</v>
      </c>
    </row>
    <row r="95" spans="1:11" x14ac:dyDescent="0.25">
      <c r="A95">
        <v>94</v>
      </c>
      <c r="B95" t="s">
        <v>197</v>
      </c>
      <c r="C95" t="s">
        <v>198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1019</v>
      </c>
      <c r="E97">
        <v>102146076.4361957</v>
      </c>
      <c r="F97">
        <v>63</v>
      </c>
      <c r="G97">
        <v>7090908</v>
      </c>
      <c r="H97">
        <v>3</v>
      </c>
      <c r="I97">
        <v>318182</v>
      </c>
      <c r="J97">
        <v>1079</v>
      </c>
      <c r="K97">
        <v>108918802.4361957</v>
      </c>
    </row>
    <row r="98" spans="1:11" x14ac:dyDescent="0.25">
      <c r="A98">
        <v>97</v>
      </c>
      <c r="B98" t="s">
        <v>203</v>
      </c>
      <c r="C98" t="s">
        <v>204</v>
      </c>
      <c r="D98">
        <v>161</v>
      </c>
      <c r="E98">
        <v>22532533.620727669</v>
      </c>
      <c r="F98">
        <v>0</v>
      </c>
      <c r="G98">
        <v>0</v>
      </c>
      <c r="H98">
        <v>0</v>
      </c>
      <c r="I98">
        <v>0</v>
      </c>
      <c r="J98">
        <v>161</v>
      </c>
      <c r="K98">
        <v>22532533.620727669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16226332.758620691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120</v>
      </c>
      <c r="E102">
        <v>104827962.6692913</v>
      </c>
      <c r="F102">
        <v>0</v>
      </c>
      <c r="G102">
        <v>0</v>
      </c>
      <c r="H102">
        <v>0</v>
      </c>
      <c r="I102">
        <v>0</v>
      </c>
      <c r="J102">
        <v>120</v>
      </c>
      <c r="K102">
        <v>104827962.6692913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2237</v>
      </c>
      <c r="E104">
        <v>231890399.46378449</v>
      </c>
      <c r="F104">
        <v>74</v>
      </c>
      <c r="G104">
        <v>12979090</v>
      </c>
      <c r="H104">
        <v>24</v>
      </c>
      <c r="I104">
        <v>8560001</v>
      </c>
      <c r="J104">
        <v>2287</v>
      </c>
      <c r="K104">
        <v>236309488.46378449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194</v>
      </c>
      <c r="E105">
        <v>74518989.992982447</v>
      </c>
      <c r="F105">
        <v>0</v>
      </c>
      <c r="G105">
        <v>0</v>
      </c>
      <c r="H105">
        <v>0</v>
      </c>
      <c r="I105">
        <v>0</v>
      </c>
      <c r="J105">
        <v>194</v>
      </c>
      <c r="K105">
        <v>74518989.992982447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1355</v>
      </c>
      <c r="E106">
        <v>218700082.69023031</v>
      </c>
      <c r="F106">
        <v>0</v>
      </c>
      <c r="G106">
        <v>0</v>
      </c>
      <c r="H106">
        <v>14</v>
      </c>
      <c r="I106">
        <v>1290910</v>
      </c>
      <c r="J106">
        <v>1341</v>
      </c>
      <c r="K106">
        <v>217409172.69023031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1151</v>
      </c>
      <c r="E107">
        <v>159971998.3291294</v>
      </c>
      <c r="F107">
        <v>4</v>
      </c>
      <c r="G107">
        <v>4600000</v>
      </c>
      <c r="H107">
        <v>2</v>
      </c>
      <c r="I107">
        <v>309091</v>
      </c>
      <c r="J107">
        <v>1153</v>
      </c>
      <c r="K107">
        <v>164262907.3291294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267</v>
      </c>
      <c r="E109">
        <v>74352864.850046858</v>
      </c>
      <c r="F109">
        <v>17</v>
      </c>
      <c r="G109">
        <v>7058182</v>
      </c>
      <c r="H109">
        <v>0</v>
      </c>
      <c r="I109">
        <v>0</v>
      </c>
      <c r="J109">
        <v>284</v>
      </c>
      <c r="K109">
        <v>81411046.850046858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227</v>
      </c>
      <c r="E110">
        <v>87888383.166189104</v>
      </c>
      <c r="F110">
        <v>0</v>
      </c>
      <c r="G110">
        <v>0</v>
      </c>
      <c r="H110">
        <v>2</v>
      </c>
      <c r="I110">
        <v>863636</v>
      </c>
      <c r="J110">
        <v>225</v>
      </c>
      <c r="K110">
        <v>87024747.166189104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121</v>
      </c>
      <c r="E112">
        <v>55387790.259079903</v>
      </c>
      <c r="F112">
        <v>0</v>
      </c>
      <c r="G112">
        <v>0</v>
      </c>
      <c r="H112">
        <v>8</v>
      </c>
      <c r="I112">
        <v>5454545</v>
      </c>
      <c r="J112">
        <v>113</v>
      </c>
      <c r="K112">
        <v>49933245.259079903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846</v>
      </c>
      <c r="E113">
        <v>268048499.390264</v>
      </c>
      <c r="F113">
        <v>0</v>
      </c>
      <c r="G113">
        <v>0</v>
      </c>
      <c r="H113">
        <v>0</v>
      </c>
      <c r="I113">
        <v>0</v>
      </c>
      <c r="J113">
        <v>846</v>
      </c>
      <c r="K113">
        <v>268048499.390264</v>
      </c>
    </row>
    <row r="114" spans="1:11" x14ac:dyDescent="0.25">
      <c r="A114">
        <v>113</v>
      </c>
      <c r="B114" t="s">
        <v>235</v>
      </c>
      <c r="C114" t="s">
        <v>236</v>
      </c>
      <c r="D114">
        <v>26</v>
      </c>
      <c r="E114">
        <v>15491058.620689649</v>
      </c>
      <c r="F114">
        <v>0</v>
      </c>
      <c r="G114">
        <v>0</v>
      </c>
      <c r="H114">
        <v>0</v>
      </c>
      <c r="I114">
        <v>0</v>
      </c>
      <c r="J114">
        <v>26</v>
      </c>
      <c r="K114">
        <v>15491058.620689649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166</v>
      </c>
      <c r="E123">
        <v>65353243.616306961</v>
      </c>
      <c r="F123">
        <v>10</v>
      </c>
      <c r="G123">
        <v>4100000</v>
      </c>
      <c r="H123">
        <v>2</v>
      </c>
      <c r="I123">
        <v>1272728</v>
      </c>
      <c r="J123">
        <v>174</v>
      </c>
      <c r="K123">
        <v>68180515.616306961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491</v>
      </c>
      <c r="E126">
        <v>263465178.2321918</v>
      </c>
      <c r="F126">
        <v>56</v>
      </c>
      <c r="G126">
        <v>36465456</v>
      </c>
      <c r="H126">
        <v>1</v>
      </c>
      <c r="I126">
        <v>909091</v>
      </c>
      <c r="J126">
        <v>546</v>
      </c>
      <c r="K126">
        <v>299021543.2321918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8</v>
      </c>
      <c r="E128">
        <v>8139901.4090909101</v>
      </c>
      <c r="F128">
        <v>0</v>
      </c>
      <c r="G128">
        <v>0</v>
      </c>
      <c r="H128">
        <v>0</v>
      </c>
      <c r="I128">
        <v>0</v>
      </c>
      <c r="J128">
        <v>8</v>
      </c>
      <c r="K128">
        <v>8139901.4090909101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15</v>
      </c>
      <c r="E129">
        <v>29354161.75</v>
      </c>
      <c r="F129">
        <v>1</v>
      </c>
      <c r="G129">
        <v>2600000</v>
      </c>
      <c r="H129">
        <v>0</v>
      </c>
      <c r="I129">
        <v>0</v>
      </c>
      <c r="J129">
        <v>16</v>
      </c>
      <c r="K129">
        <v>31954161.75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250</v>
      </c>
      <c r="E131">
        <v>153595788.5194805</v>
      </c>
      <c r="F131">
        <v>2</v>
      </c>
      <c r="G131">
        <v>2409091</v>
      </c>
      <c r="H131">
        <v>2</v>
      </c>
      <c r="I131">
        <v>2418182</v>
      </c>
      <c r="J131">
        <v>250</v>
      </c>
      <c r="K131">
        <v>153586697.5194805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111</v>
      </c>
      <c r="E132">
        <v>14763956.7489301</v>
      </c>
      <c r="F132">
        <v>0</v>
      </c>
      <c r="G132">
        <v>0</v>
      </c>
      <c r="H132">
        <v>0</v>
      </c>
      <c r="I132">
        <v>0</v>
      </c>
      <c r="J132">
        <v>111</v>
      </c>
      <c r="K132">
        <v>14763956.7489301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346</v>
      </c>
      <c r="E133">
        <v>99552382.769411772</v>
      </c>
      <c r="F133">
        <v>13</v>
      </c>
      <c r="G133">
        <v>1318183</v>
      </c>
      <c r="H133">
        <v>1</v>
      </c>
      <c r="I133">
        <v>200000</v>
      </c>
      <c r="J133">
        <v>358</v>
      </c>
      <c r="K133">
        <v>100670565.7694118</v>
      </c>
    </row>
    <row r="134" spans="1:11" x14ac:dyDescent="0.25">
      <c r="A134">
        <v>133</v>
      </c>
      <c r="B134" t="s">
        <v>275</v>
      </c>
      <c r="C134" t="s">
        <v>276</v>
      </c>
      <c r="D134">
        <v>102</v>
      </c>
      <c r="E134">
        <v>36195235.084337354</v>
      </c>
      <c r="F134">
        <v>5</v>
      </c>
      <c r="G134">
        <v>1957273</v>
      </c>
      <c r="H134">
        <v>1</v>
      </c>
      <c r="I134">
        <v>927272</v>
      </c>
      <c r="J134">
        <v>106</v>
      </c>
      <c r="K134">
        <v>37225236.084337354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19391385.860465121</v>
      </c>
      <c r="F138">
        <v>0</v>
      </c>
      <c r="G138">
        <v>0</v>
      </c>
      <c r="H138">
        <v>0</v>
      </c>
      <c r="I138">
        <v>0</v>
      </c>
      <c r="J138">
        <v>21</v>
      </c>
      <c r="K138">
        <v>19391385.860465121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97</v>
      </c>
      <c r="E143">
        <v>35759168.115942031</v>
      </c>
      <c r="F143">
        <v>0</v>
      </c>
      <c r="G143">
        <v>0</v>
      </c>
      <c r="H143">
        <v>0</v>
      </c>
      <c r="I143">
        <v>0</v>
      </c>
      <c r="J143">
        <v>97</v>
      </c>
      <c r="K143">
        <v>35759168.115942031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698.07999999999993</v>
      </c>
      <c r="E146">
        <v>704646032.55999994</v>
      </c>
      <c r="F146">
        <v>94.364000000000004</v>
      </c>
      <c r="G146">
        <v>98454138.549999997</v>
      </c>
      <c r="H146">
        <v>12</v>
      </c>
      <c r="I146">
        <v>28102525</v>
      </c>
      <c r="J146">
        <v>780.44399999999996</v>
      </c>
      <c r="K146">
        <v>774997646.1099999</v>
      </c>
    </row>
    <row r="147" spans="1:11" x14ac:dyDescent="0.25">
      <c r="A147" t="s">
        <v>301</v>
      </c>
      <c r="D147">
        <v>22212.080000000002</v>
      </c>
      <c r="E147">
        <v>20234124282.613171</v>
      </c>
      <c r="F147">
        <v>946.36400000000003</v>
      </c>
      <c r="G147">
        <v>1343244143.55</v>
      </c>
      <c r="H147">
        <v>180</v>
      </c>
      <c r="I147">
        <v>392055119</v>
      </c>
      <c r="J147">
        <v>22978.444</v>
      </c>
      <c r="K147">
        <v>21185313307.163181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26</v>
      </c>
      <c r="E3">
        <v>250466083</v>
      </c>
      <c r="F3">
        <v>2</v>
      </c>
      <c r="G3">
        <v>21272727</v>
      </c>
      <c r="H3">
        <v>3</v>
      </c>
      <c r="I3">
        <v>39572726</v>
      </c>
      <c r="J3">
        <v>25</v>
      </c>
      <c r="K3">
        <v>232166084</v>
      </c>
    </row>
    <row r="4" spans="1:11" x14ac:dyDescent="0.25">
      <c r="A4">
        <v>3</v>
      </c>
      <c r="B4" t="s">
        <v>15</v>
      </c>
      <c r="C4" t="s">
        <v>16</v>
      </c>
      <c r="D4">
        <v>174</v>
      </c>
      <c r="E4">
        <v>1811181953.201292</v>
      </c>
      <c r="F4">
        <v>16</v>
      </c>
      <c r="G4">
        <v>178000000</v>
      </c>
      <c r="H4">
        <v>6</v>
      </c>
      <c r="I4">
        <v>71800001</v>
      </c>
      <c r="J4">
        <v>184</v>
      </c>
      <c r="K4">
        <v>1917381952.201292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>
        <v>115057259.1785714</v>
      </c>
      <c r="F6">
        <v>1</v>
      </c>
      <c r="G6">
        <v>20181818</v>
      </c>
      <c r="H6">
        <v>1</v>
      </c>
      <c r="I6">
        <v>22627273</v>
      </c>
      <c r="J6">
        <v>9</v>
      </c>
      <c r="K6">
        <v>112611804.1785714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>
        <v>13864462.09090909</v>
      </c>
      <c r="F8">
        <v>0</v>
      </c>
      <c r="G8">
        <v>0</v>
      </c>
      <c r="H8">
        <v>0</v>
      </c>
      <c r="I8">
        <v>0</v>
      </c>
      <c r="J8">
        <v>2</v>
      </c>
      <c r="K8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14</v>
      </c>
      <c r="E9">
        <v>44236272.450000003</v>
      </c>
      <c r="F9">
        <v>0</v>
      </c>
      <c r="G9">
        <v>0</v>
      </c>
      <c r="H9">
        <v>1</v>
      </c>
      <c r="I9">
        <v>3454545</v>
      </c>
      <c r="J9">
        <v>13</v>
      </c>
      <c r="K9">
        <v>40781727.450000003</v>
      </c>
    </row>
    <row r="10" spans="1:11" x14ac:dyDescent="0.25">
      <c r="A10">
        <v>9</v>
      </c>
      <c r="B10" t="s">
        <v>27</v>
      </c>
      <c r="C10" t="s">
        <v>28</v>
      </c>
      <c r="D10">
        <v>209</v>
      </c>
      <c r="E10">
        <v>829501859.5951941</v>
      </c>
      <c r="F10">
        <v>8</v>
      </c>
      <c r="G10">
        <v>73363637</v>
      </c>
      <c r="H10">
        <v>3</v>
      </c>
      <c r="I10">
        <v>46590909</v>
      </c>
      <c r="J10">
        <v>214</v>
      </c>
      <c r="K10">
        <v>856274587.5951941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256</v>
      </c>
      <c r="E12">
        <v>3088893613.2191219</v>
      </c>
      <c r="F12">
        <v>53</v>
      </c>
      <c r="G12">
        <v>342409085</v>
      </c>
      <c r="H12">
        <v>18</v>
      </c>
      <c r="I12">
        <v>154554546</v>
      </c>
      <c r="J12">
        <v>291</v>
      </c>
      <c r="K12">
        <v>3276748152.2191219</v>
      </c>
    </row>
    <row r="13" spans="1:11" x14ac:dyDescent="0.25">
      <c r="A13">
        <v>12</v>
      </c>
      <c r="B13" t="s">
        <v>33</v>
      </c>
      <c r="C13" t="s">
        <v>34</v>
      </c>
      <c r="D13">
        <v>38</v>
      </c>
      <c r="E13">
        <v>646353321.76923084</v>
      </c>
      <c r="F13">
        <v>0</v>
      </c>
      <c r="G13">
        <v>0</v>
      </c>
      <c r="H13">
        <v>1</v>
      </c>
      <c r="I13">
        <v>16172727</v>
      </c>
      <c r="J13">
        <v>37</v>
      </c>
      <c r="K13">
        <v>630180594.76923084</v>
      </c>
    </row>
    <row r="14" spans="1:11" x14ac:dyDescent="0.25">
      <c r="A14">
        <v>13</v>
      </c>
      <c r="B14" t="s">
        <v>35</v>
      </c>
      <c r="C14" t="s">
        <v>36</v>
      </c>
      <c r="D14">
        <v>24</v>
      </c>
      <c r="E14">
        <v>410775315.28947371</v>
      </c>
      <c r="F14">
        <v>5</v>
      </c>
      <c r="G14">
        <v>75636364</v>
      </c>
      <c r="H14">
        <v>2</v>
      </c>
      <c r="I14">
        <v>30254546</v>
      </c>
      <c r="J14">
        <v>27</v>
      </c>
      <c r="K14">
        <v>456157133.28947371</v>
      </c>
    </row>
    <row r="15" spans="1:11" x14ac:dyDescent="0.25">
      <c r="A15">
        <v>14</v>
      </c>
      <c r="B15" t="s">
        <v>37</v>
      </c>
      <c r="C15" t="s">
        <v>38</v>
      </c>
      <c r="D15">
        <v>40</v>
      </c>
      <c r="E15">
        <v>501955949.93430662</v>
      </c>
      <c r="F15">
        <v>0</v>
      </c>
      <c r="G15">
        <v>0</v>
      </c>
      <c r="H15">
        <v>2</v>
      </c>
      <c r="I15">
        <v>31127272</v>
      </c>
      <c r="J15">
        <v>38</v>
      </c>
      <c r="K15">
        <v>470828677.93430662</v>
      </c>
    </row>
    <row r="16" spans="1:11" x14ac:dyDescent="0.25">
      <c r="A16">
        <v>15</v>
      </c>
      <c r="B16" t="s">
        <v>39</v>
      </c>
      <c r="C16" t="s">
        <v>40</v>
      </c>
      <c r="D16">
        <v>14</v>
      </c>
      <c r="E16">
        <v>200165895.10447761</v>
      </c>
      <c r="F16">
        <v>0</v>
      </c>
      <c r="G16">
        <v>0</v>
      </c>
      <c r="H16">
        <v>0</v>
      </c>
      <c r="I16">
        <v>0</v>
      </c>
      <c r="J16">
        <v>14</v>
      </c>
      <c r="K16">
        <v>200165895.10447761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106</v>
      </c>
      <c r="E24">
        <v>583891104.54972363</v>
      </c>
      <c r="F24">
        <v>0</v>
      </c>
      <c r="G24">
        <v>0</v>
      </c>
      <c r="H24">
        <v>9</v>
      </c>
      <c r="I24">
        <v>85136363</v>
      </c>
      <c r="J24">
        <v>97</v>
      </c>
      <c r="K24">
        <v>498754741.54972363</v>
      </c>
    </row>
    <row r="25" spans="1:11" x14ac:dyDescent="0.25">
      <c r="A25">
        <v>24</v>
      </c>
      <c r="B25" t="s">
        <v>57</v>
      </c>
      <c r="C25" t="s">
        <v>58</v>
      </c>
      <c r="D25">
        <v>326</v>
      </c>
      <c r="E25">
        <v>2576867047.361217</v>
      </c>
      <c r="F25">
        <v>24</v>
      </c>
      <c r="G25">
        <v>200649088</v>
      </c>
      <c r="H25">
        <v>26</v>
      </c>
      <c r="I25">
        <v>258263635</v>
      </c>
      <c r="J25">
        <v>324</v>
      </c>
      <c r="K25">
        <v>2519252500.361217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59128321.307692319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59128321.307692319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1</v>
      </c>
      <c r="G32">
        <v>1818182</v>
      </c>
      <c r="H32">
        <v>1</v>
      </c>
      <c r="I32">
        <v>2081818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47</v>
      </c>
      <c r="E34">
        <v>105658901.18326689</v>
      </c>
      <c r="F34">
        <v>0</v>
      </c>
      <c r="G34">
        <v>0</v>
      </c>
      <c r="H34">
        <v>3</v>
      </c>
      <c r="I34">
        <v>6390909</v>
      </c>
      <c r="J34">
        <v>44</v>
      </c>
      <c r="K34">
        <v>99267992.183266938</v>
      </c>
    </row>
    <row r="35" spans="1:11" x14ac:dyDescent="0.25">
      <c r="A35">
        <v>34</v>
      </c>
      <c r="B35" t="s">
        <v>77</v>
      </c>
      <c r="C35" t="s">
        <v>78</v>
      </c>
      <c r="D35">
        <v>477</v>
      </c>
      <c r="E35">
        <v>945030030.55380154</v>
      </c>
      <c r="F35">
        <v>75</v>
      </c>
      <c r="G35">
        <v>196763637</v>
      </c>
      <c r="H35">
        <v>43</v>
      </c>
      <c r="I35">
        <v>113000001</v>
      </c>
      <c r="J35">
        <v>509</v>
      </c>
      <c r="K35">
        <v>1028793666.553802</v>
      </c>
    </row>
    <row r="36" spans="1:11" x14ac:dyDescent="0.25">
      <c r="A36">
        <v>35</v>
      </c>
      <c r="B36" t="s">
        <v>79</v>
      </c>
      <c r="C36" t="s">
        <v>80</v>
      </c>
      <c r="D36">
        <v>9</v>
      </c>
      <c r="E36">
        <v>19108072.021276589</v>
      </c>
      <c r="F36">
        <v>0</v>
      </c>
      <c r="G36">
        <v>0</v>
      </c>
      <c r="H36">
        <v>1</v>
      </c>
      <c r="I36">
        <v>3627273</v>
      </c>
      <c r="J36">
        <v>8</v>
      </c>
      <c r="K36">
        <v>15480799.021276589</v>
      </c>
    </row>
    <row r="37" spans="1:11" x14ac:dyDescent="0.25">
      <c r="A37">
        <v>36</v>
      </c>
      <c r="B37" t="s">
        <v>81</v>
      </c>
      <c r="C37" t="s">
        <v>82</v>
      </c>
      <c r="D37">
        <v>37</v>
      </c>
      <c r="E37">
        <v>111164925.1964286</v>
      </c>
      <c r="F37">
        <v>10</v>
      </c>
      <c r="G37">
        <v>32463636</v>
      </c>
      <c r="H37">
        <v>0</v>
      </c>
      <c r="I37">
        <v>0</v>
      </c>
      <c r="J37">
        <v>47</v>
      </c>
      <c r="K37">
        <v>143628561.1964286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111</v>
      </c>
      <c r="E39">
        <v>256402237.38106239</v>
      </c>
      <c r="F39">
        <v>31</v>
      </c>
      <c r="G39">
        <v>80845453</v>
      </c>
      <c r="H39">
        <v>9</v>
      </c>
      <c r="I39">
        <v>14372726</v>
      </c>
      <c r="J39">
        <v>133</v>
      </c>
      <c r="K39">
        <v>322874964.38106239</v>
      </c>
    </row>
    <row r="40" spans="1:11" x14ac:dyDescent="0.25">
      <c r="A40">
        <v>39</v>
      </c>
      <c r="B40" t="s">
        <v>87</v>
      </c>
      <c r="C40" t="s">
        <v>88</v>
      </c>
      <c r="D40">
        <v>4</v>
      </c>
      <c r="E40">
        <v>22734342.77777778</v>
      </c>
      <c r="F40">
        <v>0</v>
      </c>
      <c r="G40">
        <v>0</v>
      </c>
      <c r="H40">
        <v>1</v>
      </c>
      <c r="I40">
        <v>6681818</v>
      </c>
      <c r="J40">
        <v>3</v>
      </c>
      <c r="K40">
        <v>16052524.77777778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1104</v>
      </c>
      <c r="E42">
        <v>465390336.53484052</v>
      </c>
      <c r="F42">
        <v>18</v>
      </c>
      <c r="G42">
        <v>30066363</v>
      </c>
      <c r="H42">
        <v>79</v>
      </c>
      <c r="I42">
        <v>217118174</v>
      </c>
      <c r="J42">
        <v>1043</v>
      </c>
      <c r="K42">
        <v>278338525.53484052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330</v>
      </c>
      <c r="E44">
        <v>924002050.42474437</v>
      </c>
      <c r="F44">
        <v>30</v>
      </c>
      <c r="G44">
        <v>79472728</v>
      </c>
      <c r="H44">
        <v>15</v>
      </c>
      <c r="I44">
        <v>40672728</v>
      </c>
      <c r="J44">
        <v>345</v>
      </c>
      <c r="K44">
        <v>962802050.42474437</v>
      </c>
    </row>
    <row r="45" spans="1:11" x14ac:dyDescent="0.25">
      <c r="A45">
        <v>44</v>
      </c>
      <c r="B45" t="s">
        <v>97</v>
      </c>
      <c r="C45" t="s">
        <v>98</v>
      </c>
      <c r="D45">
        <v>57</v>
      </c>
      <c r="E45">
        <v>229914870.79297301</v>
      </c>
      <c r="F45">
        <v>0</v>
      </c>
      <c r="G45">
        <v>0</v>
      </c>
      <c r="H45">
        <v>5</v>
      </c>
      <c r="I45">
        <v>25036365</v>
      </c>
      <c r="J45">
        <v>52</v>
      </c>
      <c r="K45">
        <v>204878505.79297301</v>
      </c>
    </row>
    <row r="46" spans="1:11" x14ac:dyDescent="0.25">
      <c r="A46">
        <v>45</v>
      </c>
      <c r="B46" t="s">
        <v>99</v>
      </c>
      <c r="C46" t="s">
        <v>100</v>
      </c>
      <c r="D46">
        <v>246</v>
      </c>
      <c r="E46">
        <v>108373212.6325714</v>
      </c>
      <c r="F46">
        <v>4</v>
      </c>
      <c r="G46">
        <v>16863636</v>
      </c>
      <c r="H46">
        <v>2</v>
      </c>
      <c r="I46">
        <v>13563636</v>
      </c>
      <c r="J46">
        <v>248</v>
      </c>
      <c r="K46">
        <v>111673212.6325714</v>
      </c>
    </row>
    <row r="47" spans="1:11" x14ac:dyDescent="0.25">
      <c r="A47">
        <v>46</v>
      </c>
      <c r="B47" t="s">
        <v>101</v>
      </c>
      <c r="C47" t="s">
        <v>102</v>
      </c>
      <c r="D47">
        <v>92</v>
      </c>
      <c r="E47">
        <v>194710594.92567381</v>
      </c>
      <c r="F47">
        <v>9</v>
      </c>
      <c r="G47">
        <v>32907273</v>
      </c>
      <c r="H47">
        <v>3</v>
      </c>
      <c r="I47">
        <v>19254545</v>
      </c>
      <c r="J47">
        <v>98</v>
      </c>
      <c r="K47">
        <v>208363322.92567381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37</v>
      </c>
      <c r="E49">
        <v>259083158.96224141</v>
      </c>
      <c r="F49">
        <v>0</v>
      </c>
      <c r="G49">
        <v>0</v>
      </c>
      <c r="H49">
        <v>1</v>
      </c>
      <c r="I49">
        <v>6536364</v>
      </c>
      <c r="J49">
        <v>36</v>
      </c>
      <c r="K49">
        <v>252546794.96224141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126547236.26693881</v>
      </c>
      <c r="F52">
        <v>0</v>
      </c>
      <c r="G52">
        <v>0</v>
      </c>
      <c r="H52">
        <v>1</v>
      </c>
      <c r="I52">
        <v>2083333</v>
      </c>
      <c r="J52">
        <v>71</v>
      </c>
      <c r="K52">
        <v>124463903.26693881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92</v>
      </c>
      <c r="E55">
        <v>142278716.17270201</v>
      </c>
      <c r="F55">
        <v>7</v>
      </c>
      <c r="G55">
        <v>49290000</v>
      </c>
      <c r="H55">
        <v>10</v>
      </c>
      <c r="I55">
        <v>62018182</v>
      </c>
      <c r="J55">
        <v>89</v>
      </c>
      <c r="K55">
        <v>129550534.172702</v>
      </c>
    </row>
    <row r="56" spans="1:11" x14ac:dyDescent="0.25">
      <c r="A56">
        <v>55</v>
      </c>
      <c r="B56" t="s">
        <v>119</v>
      </c>
      <c r="C56" t="s">
        <v>120</v>
      </c>
      <c r="D56">
        <v>29</v>
      </c>
      <c r="E56">
        <v>19082606.491525419</v>
      </c>
      <c r="F56">
        <v>6</v>
      </c>
      <c r="G56">
        <v>9994443</v>
      </c>
      <c r="H56">
        <v>5</v>
      </c>
      <c r="I56">
        <v>13694444</v>
      </c>
      <c r="J56">
        <v>30</v>
      </c>
      <c r="K56">
        <v>15382605.491525421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16869258.180769231</v>
      </c>
      <c r="F57">
        <v>1</v>
      </c>
      <c r="G57">
        <v>3080000</v>
      </c>
      <c r="H57">
        <v>0</v>
      </c>
      <c r="I57">
        <v>0</v>
      </c>
      <c r="J57">
        <v>6</v>
      </c>
      <c r="K57">
        <v>19949258.180769231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2969</v>
      </c>
      <c r="E59">
        <v>247115446.38559759</v>
      </c>
      <c r="F59">
        <v>395</v>
      </c>
      <c r="G59">
        <v>37831156</v>
      </c>
      <c r="H59">
        <v>201</v>
      </c>
      <c r="I59">
        <v>52490913</v>
      </c>
      <c r="J59">
        <v>3163</v>
      </c>
      <c r="K59">
        <v>232455689.38559759</v>
      </c>
    </row>
    <row r="60" spans="1:11" x14ac:dyDescent="0.25">
      <c r="A60">
        <v>59</v>
      </c>
      <c r="B60" t="s">
        <v>127</v>
      </c>
      <c r="C60" t="s">
        <v>128</v>
      </c>
      <c r="D60">
        <v>86</v>
      </c>
      <c r="E60">
        <v>4259365.6822262118</v>
      </c>
      <c r="F60">
        <v>0</v>
      </c>
      <c r="G60">
        <v>0</v>
      </c>
      <c r="H60">
        <v>1</v>
      </c>
      <c r="I60">
        <v>345455</v>
      </c>
      <c r="J60">
        <v>85</v>
      </c>
      <c r="K60">
        <v>3913910.6822262122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1650</v>
      </c>
      <c r="E62">
        <v>238129525.8789579</v>
      </c>
      <c r="F62">
        <v>110</v>
      </c>
      <c r="G62">
        <v>2545455</v>
      </c>
      <c r="H62">
        <v>6</v>
      </c>
      <c r="I62">
        <v>1600001</v>
      </c>
      <c r="J62">
        <v>1754</v>
      </c>
      <c r="K62">
        <v>239074979.8789579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0</v>
      </c>
      <c r="I63">
        <v>0</v>
      </c>
      <c r="J63">
        <v>259</v>
      </c>
      <c r="K63">
        <v>58643359.711580493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167</v>
      </c>
      <c r="E70">
        <v>59098673.125112101</v>
      </c>
      <c r="F70">
        <v>0</v>
      </c>
      <c r="G70">
        <v>0</v>
      </c>
      <c r="H70">
        <v>1</v>
      </c>
      <c r="I70">
        <v>618182</v>
      </c>
      <c r="J70">
        <v>166</v>
      </c>
      <c r="K70">
        <v>58480491.125112101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0</v>
      </c>
      <c r="I72">
        <v>0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94</v>
      </c>
      <c r="E73">
        <v>137857.79768786131</v>
      </c>
      <c r="F73">
        <v>0</v>
      </c>
      <c r="G73">
        <v>0</v>
      </c>
      <c r="H73">
        <v>0</v>
      </c>
      <c r="I73">
        <v>0</v>
      </c>
      <c r="J73">
        <v>94</v>
      </c>
      <c r="K73">
        <v>137857.79768786131</v>
      </c>
    </row>
    <row r="74" spans="1:11" x14ac:dyDescent="0.25">
      <c r="A74">
        <v>73</v>
      </c>
      <c r="B74" t="s">
        <v>155</v>
      </c>
      <c r="C74" t="s">
        <v>156</v>
      </c>
      <c r="D74">
        <v>117</v>
      </c>
      <c r="E74">
        <v>266603295.07878789</v>
      </c>
      <c r="F74">
        <v>19</v>
      </c>
      <c r="G74">
        <v>42690910</v>
      </c>
      <c r="H74">
        <v>2</v>
      </c>
      <c r="I74">
        <v>4945455</v>
      </c>
      <c r="J74">
        <v>134</v>
      </c>
      <c r="K74">
        <v>304348750.07878792</v>
      </c>
    </row>
    <row r="75" spans="1:11" x14ac:dyDescent="0.25">
      <c r="A75">
        <v>74</v>
      </c>
      <c r="B75" t="s">
        <v>157</v>
      </c>
      <c r="C75" t="s">
        <v>158</v>
      </c>
      <c r="D75">
        <v>132</v>
      </c>
      <c r="E75">
        <v>396414680.75098813</v>
      </c>
      <c r="F75">
        <v>3</v>
      </c>
      <c r="G75">
        <v>8572728</v>
      </c>
      <c r="H75">
        <v>2</v>
      </c>
      <c r="I75">
        <v>5818181</v>
      </c>
      <c r="J75">
        <v>133</v>
      </c>
      <c r="K75">
        <v>399169227.75098813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28093729.875</v>
      </c>
      <c r="F76">
        <v>1</v>
      </c>
      <c r="G76">
        <v>5727273</v>
      </c>
      <c r="H76">
        <v>1</v>
      </c>
      <c r="I76">
        <v>6045455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122</v>
      </c>
      <c r="E78">
        <v>181827895.59605911</v>
      </c>
      <c r="F78">
        <v>0</v>
      </c>
      <c r="G78">
        <v>0</v>
      </c>
      <c r="H78">
        <v>1</v>
      </c>
      <c r="I78">
        <v>1636364</v>
      </c>
      <c r="J78">
        <v>121</v>
      </c>
      <c r="K78">
        <v>180191531.59605911</v>
      </c>
    </row>
    <row r="79" spans="1:11" x14ac:dyDescent="0.25">
      <c r="A79">
        <v>78</v>
      </c>
      <c r="B79" t="s">
        <v>165</v>
      </c>
      <c r="C79" t="s">
        <v>166</v>
      </c>
      <c r="D79">
        <v>11</v>
      </c>
      <c r="E79">
        <v>26753660</v>
      </c>
      <c r="F79">
        <v>0</v>
      </c>
      <c r="G79">
        <v>0</v>
      </c>
      <c r="H79">
        <v>0</v>
      </c>
      <c r="I79">
        <v>0</v>
      </c>
      <c r="J79">
        <v>11</v>
      </c>
      <c r="K79">
        <v>26753660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703</v>
      </c>
      <c r="E81">
        <v>214880355.62329009</v>
      </c>
      <c r="F81">
        <v>0</v>
      </c>
      <c r="G81">
        <v>0</v>
      </c>
      <c r="H81">
        <v>28</v>
      </c>
      <c r="I81">
        <v>10372732</v>
      </c>
      <c r="J81">
        <v>675</v>
      </c>
      <c r="K81">
        <v>204507623.62329009</v>
      </c>
    </row>
    <row r="82" spans="1:11" x14ac:dyDescent="0.25">
      <c r="A82">
        <v>81</v>
      </c>
      <c r="B82" t="s">
        <v>171</v>
      </c>
      <c r="C82" t="s">
        <v>172</v>
      </c>
      <c r="D82">
        <v>204</v>
      </c>
      <c r="E82">
        <v>141553035.11730209</v>
      </c>
      <c r="F82">
        <v>0</v>
      </c>
      <c r="G82">
        <v>0</v>
      </c>
      <c r="H82">
        <v>2</v>
      </c>
      <c r="I82">
        <v>1890910</v>
      </c>
      <c r="J82">
        <v>202</v>
      </c>
      <c r="K82">
        <v>139662125.11730209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>
        <v>26690832.202380959</v>
      </c>
      <c r="F83">
        <v>0</v>
      </c>
      <c r="G83">
        <v>0</v>
      </c>
      <c r="H83">
        <v>0</v>
      </c>
      <c r="I83">
        <v>0</v>
      </c>
      <c r="J83">
        <v>30</v>
      </c>
      <c r="K83">
        <v>26690832.202380959</v>
      </c>
    </row>
    <row r="84" spans="1:11" x14ac:dyDescent="0.25">
      <c r="A84">
        <v>83</v>
      </c>
      <c r="B84" t="s">
        <v>175</v>
      </c>
      <c r="C84" t="s">
        <v>176</v>
      </c>
      <c r="D84">
        <v>19</v>
      </c>
      <c r="E84">
        <v>41596634.200000003</v>
      </c>
      <c r="F84">
        <v>0</v>
      </c>
      <c r="G84">
        <v>0</v>
      </c>
      <c r="H84">
        <v>0</v>
      </c>
      <c r="I84">
        <v>0</v>
      </c>
      <c r="J84">
        <v>19</v>
      </c>
      <c r="K84">
        <v>41596634.200000003</v>
      </c>
    </row>
    <row r="85" spans="1:11" x14ac:dyDescent="0.25">
      <c r="A85">
        <v>84</v>
      </c>
      <c r="B85" t="s">
        <v>177</v>
      </c>
      <c r="C85" t="s">
        <v>178</v>
      </c>
      <c r="D85">
        <v>8</v>
      </c>
      <c r="E85">
        <v>37028638.483870968</v>
      </c>
      <c r="F85">
        <v>0</v>
      </c>
      <c r="G85">
        <v>0</v>
      </c>
      <c r="H85">
        <v>0</v>
      </c>
      <c r="I85">
        <v>0</v>
      </c>
      <c r="J85">
        <v>8</v>
      </c>
      <c r="K85">
        <v>37028638.483870968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57</v>
      </c>
      <c r="E87">
        <v>68596446.572559372</v>
      </c>
      <c r="F87">
        <v>24</v>
      </c>
      <c r="G87">
        <v>36109091</v>
      </c>
      <c r="H87">
        <v>7</v>
      </c>
      <c r="I87">
        <v>21136364</v>
      </c>
      <c r="J87">
        <v>74</v>
      </c>
      <c r="K87">
        <v>83569173.572559372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1027</v>
      </c>
      <c r="E89">
        <v>263980386.74628809</v>
      </c>
      <c r="F89">
        <v>355</v>
      </c>
      <c r="G89">
        <v>149272727</v>
      </c>
      <c r="H89">
        <v>86</v>
      </c>
      <c r="I89">
        <v>37163640</v>
      </c>
      <c r="J89">
        <v>1296</v>
      </c>
      <c r="K89">
        <v>376089473.74628812</v>
      </c>
    </row>
    <row r="90" spans="1:11" x14ac:dyDescent="0.25">
      <c r="A90">
        <v>89</v>
      </c>
      <c r="B90" t="s">
        <v>187</v>
      </c>
      <c r="C90" t="s">
        <v>188</v>
      </c>
      <c r="D90">
        <v>198</v>
      </c>
      <c r="E90">
        <v>216437309.34957021</v>
      </c>
      <c r="F90">
        <v>11</v>
      </c>
      <c r="G90">
        <v>46444545</v>
      </c>
      <c r="H90">
        <v>7</v>
      </c>
      <c r="I90">
        <v>19418182</v>
      </c>
      <c r="J90">
        <v>202</v>
      </c>
      <c r="K90">
        <v>243463672.34957021</v>
      </c>
    </row>
    <row r="91" spans="1:11" x14ac:dyDescent="0.25">
      <c r="A91">
        <v>90</v>
      </c>
      <c r="B91" t="s">
        <v>189</v>
      </c>
      <c r="C91" t="s">
        <v>190</v>
      </c>
      <c r="D91">
        <v>66</v>
      </c>
      <c r="E91">
        <v>88807776.992395431</v>
      </c>
      <c r="F91">
        <v>2</v>
      </c>
      <c r="G91">
        <v>2581818</v>
      </c>
      <c r="H91">
        <v>2</v>
      </c>
      <c r="I91">
        <v>3045455</v>
      </c>
      <c r="J91">
        <v>66</v>
      </c>
      <c r="K91">
        <v>88344139.992395431</v>
      </c>
    </row>
    <row r="92" spans="1:11" x14ac:dyDescent="0.25">
      <c r="A92">
        <v>91</v>
      </c>
      <c r="B92" t="s">
        <v>191</v>
      </c>
      <c r="C92" t="s">
        <v>192</v>
      </c>
      <c r="D92">
        <v>133</v>
      </c>
      <c r="E92">
        <v>61278666.128078818</v>
      </c>
      <c r="F92">
        <v>13</v>
      </c>
      <c r="G92">
        <v>17077274</v>
      </c>
      <c r="H92">
        <v>7</v>
      </c>
      <c r="I92">
        <v>9004547</v>
      </c>
      <c r="J92">
        <v>139</v>
      </c>
      <c r="K92">
        <v>69351393.128078818</v>
      </c>
    </row>
    <row r="93" spans="1:11" x14ac:dyDescent="0.25">
      <c r="A93">
        <v>92</v>
      </c>
      <c r="B93" t="s">
        <v>193</v>
      </c>
      <c r="C93" t="s">
        <v>194</v>
      </c>
      <c r="D93">
        <v>58</v>
      </c>
      <c r="E93">
        <v>87314055.432558149</v>
      </c>
      <c r="F93">
        <v>5</v>
      </c>
      <c r="G93">
        <v>10502728</v>
      </c>
      <c r="H93">
        <v>3</v>
      </c>
      <c r="I93">
        <v>3681819</v>
      </c>
      <c r="J93">
        <v>60</v>
      </c>
      <c r="K93">
        <v>94134964.432558149</v>
      </c>
    </row>
    <row r="94" spans="1:11" x14ac:dyDescent="0.25">
      <c r="A94">
        <v>93</v>
      </c>
      <c r="B94" t="s">
        <v>195</v>
      </c>
      <c r="C94" t="s">
        <v>196</v>
      </c>
      <c r="D94">
        <v>292</v>
      </c>
      <c r="E94">
        <v>111047051.6155607</v>
      </c>
      <c r="F94">
        <v>55</v>
      </c>
      <c r="G94">
        <v>4863636</v>
      </c>
      <c r="H94">
        <v>4</v>
      </c>
      <c r="I94">
        <v>590909</v>
      </c>
      <c r="J94">
        <v>343</v>
      </c>
      <c r="K94">
        <v>115319778.6155607</v>
      </c>
    </row>
    <row r="95" spans="1:11" x14ac:dyDescent="0.25">
      <c r="A95">
        <v>94</v>
      </c>
      <c r="B95" t="s">
        <v>197</v>
      </c>
      <c r="C95" t="s">
        <v>198</v>
      </c>
      <c r="D95">
        <v>0</v>
      </c>
      <c r="E95">
        <v>0</v>
      </c>
      <c r="F95">
        <v>30</v>
      </c>
      <c r="G95">
        <v>3313637</v>
      </c>
      <c r="H95">
        <v>0</v>
      </c>
      <c r="I95">
        <v>0</v>
      </c>
      <c r="J95">
        <v>30</v>
      </c>
      <c r="K95">
        <v>3313637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1079</v>
      </c>
      <c r="E97">
        <v>108918802.4361957</v>
      </c>
      <c r="F97">
        <v>0</v>
      </c>
      <c r="G97">
        <v>0</v>
      </c>
      <c r="H97">
        <v>1</v>
      </c>
      <c r="I97">
        <v>90909</v>
      </c>
      <c r="J97">
        <v>1078</v>
      </c>
      <c r="K97">
        <v>108827893.4361957</v>
      </c>
    </row>
    <row r="98" spans="1:11" x14ac:dyDescent="0.25">
      <c r="A98">
        <v>97</v>
      </c>
      <c r="B98" t="s">
        <v>203</v>
      </c>
      <c r="C98" t="s">
        <v>204</v>
      </c>
      <c r="D98">
        <v>161</v>
      </c>
      <c r="E98">
        <v>22532533.620727669</v>
      </c>
      <c r="F98">
        <v>55</v>
      </c>
      <c r="G98">
        <v>23840910</v>
      </c>
      <c r="H98">
        <v>7</v>
      </c>
      <c r="I98">
        <v>2572728</v>
      </c>
      <c r="J98">
        <v>209</v>
      </c>
      <c r="K98">
        <v>43800715.620727673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16226332.758620691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120</v>
      </c>
      <c r="E102">
        <v>104827962.6692913</v>
      </c>
      <c r="F102">
        <v>0</v>
      </c>
      <c r="G102">
        <v>0</v>
      </c>
      <c r="H102">
        <v>0</v>
      </c>
      <c r="I102">
        <v>0</v>
      </c>
      <c r="J102">
        <v>120</v>
      </c>
      <c r="K102">
        <v>104827962.6692913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2287</v>
      </c>
      <c r="E104">
        <v>236309488.46378449</v>
      </c>
      <c r="F104">
        <v>80</v>
      </c>
      <c r="G104">
        <v>5027291</v>
      </c>
      <c r="H104">
        <v>43</v>
      </c>
      <c r="I104">
        <v>4909093</v>
      </c>
      <c r="J104">
        <v>2324</v>
      </c>
      <c r="K104">
        <v>236427686.46378449</v>
      </c>
    </row>
    <row r="105" spans="1:11" x14ac:dyDescent="0.25">
      <c r="A105">
        <v>104</v>
      </c>
      <c r="B105" t="s">
        <v>217</v>
      </c>
      <c r="C105" t="s">
        <v>218</v>
      </c>
      <c r="D105">
        <v>194</v>
      </c>
      <c r="E105">
        <v>74518989.992982447</v>
      </c>
      <c r="F105">
        <v>10</v>
      </c>
      <c r="G105">
        <v>0</v>
      </c>
      <c r="H105">
        <v>1</v>
      </c>
      <c r="I105">
        <v>363636</v>
      </c>
      <c r="J105">
        <v>203</v>
      </c>
      <c r="K105">
        <v>74155353.992982447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1341</v>
      </c>
      <c r="E106">
        <v>217409172.69023031</v>
      </c>
      <c r="F106">
        <v>0</v>
      </c>
      <c r="G106">
        <v>0</v>
      </c>
      <c r="H106">
        <v>36</v>
      </c>
      <c r="I106">
        <v>3840911</v>
      </c>
      <c r="J106">
        <v>1305</v>
      </c>
      <c r="K106">
        <v>213568261.69023031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1153</v>
      </c>
      <c r="E107">
        <v>164262907.3291294</v>
      </c>
      <c r="F107">
        <v>30</v>
      </c>
      <c r="G107">
        <v>3845455</v>
      </c>
      <c r="H107">
        <v>60</v>
      </c>
      <c r="I107">
        <v>8072732</v>
      </c>
      <c r="J107">
        <v>1123</v>
      </c>
      <c r="K107">
        <v>160035630.3291294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284</v>
      </c>
      <c r="E109">
        <v>81411046.850046858</v>
      </c>
      <c r="F109">
        <v>15</v>
      </c>
      <c r="G109">
        <v>3209085</v>
      </c>
      <c r="H109">
        <v>31</v>
      </c>
      <c r="I109">
        <v>9281806</v>
      </c>
      <c r="J109">
        <v>268</v>
      </c>
      <c r="K109">
        <v>75338325.850046858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225</v>
      </c>
      <c r="E110">
        <v>87024747.166189104</v>
      </c>
      <c r="F110">
        <v>0</v>
      </c>
      <c r="G110">
        <v>0</v>
      </c>
      <c r="H110">
        <v>31</v>
      </c>
      <c r="I110">
        <v>7231812</v>
      </c>
      <c r="J110">
        <v>194</v>
      </c>
      <c r="K110">
        <v>79792935.166189104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113</v>
      </c>
      <c r="E112">
        <v>49933245.259079903</v>
      </c>
      <c r="F112">
        <v>6</v>
      </c>
      <c r="G112">
        <v>1936362</v>
      </c>
      <c r="H112">
        <v>5</v>
      </c>
      <c r="I112">
        <v>1681820</v>
      </c>
      <c r="J112">
        <v>114</v>
      </c>
      <c r="K112">
        <v>50187787.259079903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846</v>
      </c>
      <c r="E113">
        <v>268048499.390264</v>
      </c>
      <c r="F113">
        <v>64</v>
      </c>
      <c r="G113">
        <v>21276331</v>
      </c>
      <c r="H113">
        <v>49</v>
      </c>
      <c r="I113">
        <v>6681821</v>
      </c>
      <c r="J113">
        <v>861</v>
      </c>
      <c r="K113">
        <v>282643009.39026397</v>
      </c>
    </row>
    <row r="114" spans="1:11" x14ac:dyDescent="0.25">
      <c r="A114">
        <v>113</v>
      </c>
      <c r="B114" t="s">
        <v>235</v>
      </c>
      <c r="C114" t="s">
        <v>236</v>
      </c>
      <c r="D114">
        <v>26</v>
      </c>
      <c r="E114">
        <v>15491058.620689649</v>
      </c>
      <c r="F114">
        <v>23</v>
      </c>
      <c r="G114">
        <v>12034544</v>
      </c>
      <c r="H114">
        <v>0</v>
      </c>
      <c r="I114">
        <v>0</v>
      </c>
      <c r="J114">
        <v>49</v>
      </c>
      <c r="K114">
        <v>27525602.620689649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174</v>
      </c>
      <c r="E123">
        <v>68180515.616306961</v>
      </c>
      <c r="F123">
        <v>0</v>
      </c>
      <c r="G123">
        <v>0</v>
      </c>
      <c r="H123">
        <v>61</v>
      </c>
      <c r="I123">
        <v>21090908</v>
      </c>
      <c r="J123">
        <v>113</v>
      </c>
      <c r="K123">
        <v>47089607.616306961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546</v>
      </c>
      <c r="E126">
        <v>299021543.2321918</v>
      </c>
      <c r="F126">
        <v>8</v>
      </c>
      <c r="G126">
        <v>12804543</v>
      </c>
      <c r="H126">
        <v>19</v>
      </c>
      <c r="I126">
        <v>14744546</v>
      </c>
      <c r="J126">
        <v>535</v>
      </c>
      <c r="K126">
        <v>297081540.2321918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8</v>
      </c>
      <c r="E128">
        <v>8139901.4090909101</v>
      </c>
      <c r="F128">
        <v>0</v>
      </c>
      <c r="G128">
        <v>0</v>
      </c>
      <c r="H128">
        <v>0</v>
      </c>
      <c r="I128">
        <v>0</v>
      </c>
      <c r="J128">
        <v>8</v>
      </c>
      <c r="K128">
        <v>8139901.4090909101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31954161.75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31954161.75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250</v>
      </c>
      <c r="E131">
        <v>153586697.5194805</v>
      </c>
      <c r="F131">
        <v>212</v>
      </c>
      <c r="G131">
        <v>5945461</v>
      </c>
      <c r="H131">
        <v>206</v>
      </c>
      <c r="I131">
        <v>7239090</v>
      </c>
      <c r="J131">
        <v>256</v>
      </c>
      <c r="K131">
        <v>152293068.5194805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111</v>
      </c>
      <c r="E132">
        <v>14763956.7489301</v>
      </c>
      <c r="F132">
        <v>2</v>
      </c>
      <c r="G132">
        <v>2890908</v>
      </c>
      <c r="H132">
        <v>0</v>
      </c>
      <c r="I132">
        <v>0</v>
      </c>
      <c r="J132">
        <v>113</v>
      </c>
      <c r="K132">
        <v>17654864.7489301</v>
      </c>
    </row>
    <row r="133" spans="1:11" x14ac:dyDescent="0.25">
      <c r="A133">
        <v>132</v>
      </c>
      <c r="B133" t="s">
        <v>273</v>
      </c>
      <c r="C133" t="s">
        <v>274</v>
      </c>
      <c r="D133">
        <v>358</v>
      </c>
      <c r="E133">
        <v>100670565.7694118</v>
      </c>
      <c r="F133">
        <v>23</v>
      </c>
      <c r="G133">
        <v>1949998</v>
      </c>
      <c r="H133">
        <v>1</v>
      </c>
      <c r="I133">
        <v>245455</v>
      </c>
      <c r="J133">
        <v>380</v>
      </c>
      <c r="K133">
        <v>102375108.7694118</v>
      </c>
    </row>
    <row r="134" spans="1:11" x14ac:dyDescent="0.25">
      <c r="A134">
        <v>133</v>
      </c>
      <c r="B134" t="s">
        <v>275</v>
      </c>
      <c r="C134" t="s">
        <v>276</v>
      </c>
      <c r="D134">
        <v>106</v>
      </c>
      <c r="E134">
        <v>37225236.084337354</v>
      </c>
      <c r="F134">
        <v>8</v>
      </c>
      <c r="G134">
        <v>3214545</v>
      </c>
      <c r="H134">
        <v>7</v>
      </c>
      <c r="I134">
        <v>4309091</v>
      </c>
      <c r="J134">
        <v>107</v>
      </c>
      <c r="K134">
        <v>36130690.084337354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21</v>
      </c>
      <c r="E138">
        <v>19391385.860465121</v>
      </c>
      <c r="F138">
        <v>6</v>
      </c>
      <c r="G138">
        <v>2580000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97</v>
      </c>
      <c r="E143">
        <v>35759168.115942031</v>
      </c>
      <c r="F143">
        <v>76</v>
      </c>
      <c r="G143">
        <v>16352000</v>
      </c>
      <c r="H143">
        <v>7</v>
      </c>
      <c r="I143">
        <v>2740000</v>
      </c>
      <c r="J143">
        <v>166</v>
      </c>
      <c r="K143">
        <v>49371168.115942031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780.44399999999996</v>
      </c>
      <c r="E146">
        <v>774997646.1099999</v>
      </c>
      <c r="F146">
        <v>122</v>
      </c>
      <c r="G146">
        <v>75453007</v>
      </c>
      <c r="H146">
        <v>76</v>
      </c>
      <c r="I146">
        <v>92072057</v>
      </c>
      <c r="J146">
        <v>826.44399999999996</v>
      </c>
      <c r="K146">
        <v>758378596.1099999</v>
      </c>
    </row>
    <row r="147" spans="1:11" x14ac:dyDescent="0.25">
      <c r="A147" t="s">
        <v>301</v>
      </c>
      <c r="D147">
        <v>22978.444</v>
      </c>
      <c r="E147">
        <v>21185313307.163181</v>
      </c>
      <c r="F147">
        <v>2064</v>
      </c>
      <c r="G147">
        <v>2004971488</v>
      </c>
      <c r="H147">
        <v>1253</v>
      </c>
      <c r="I147">
        <v>1672659838</v>
      </c>
      <c r="J147">
        <v>23789.444</v>
      </c>
      <c r="K147">
        <v>21517888593.163181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25</v>
      </c>
      <c r="E3">
        <v>232166084</v>
      </c>
      <c r="F3">
        <v>2</v>
      </c>
      <c r="G3">
        <v>19090908</v>
      </c>
      <c r="H3">
        <v>4</v>
      </c>
      <c r="I3">
        <v>41872729</v>
      </c>
      <c r="J3">
        <v>23</v>
      </c>
      <c r="K3">
        <v>209384263</v>
      </c>
    </row>
    <row r="4" spans="1:11" x14ac:dyDescent="0.25">
      <c r="A4">
        <v>3</v>
      </c>
      <c r="B4" t="s">
        <v>15</v>
      </c>
      <c r="C4" t="s">
        <v>16</v>
      </c>
      <c r="D4">
        <v>184</v>
      </c>
      <c r="E4">
        <v>1917381952.201292</v>
      </c>
      <c r="F4">
        <v>0</v>
      </c>
      <c r="G4">
        <v>0</v>
      </c>
      <c r="H4">
        <v>4</v>
      </c>
      <c r="I4">
        <v>62472727</v>
      </c>
      <c r="J4">
        <v>180</v>
      </c>
      <c r="K4">
        <v>1854909225.201292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>
        <v>112611804.1785714</v>
      </c>
      <c r="F6">
        <v>0</v>
      </c>
      <c r="G6">
        <v>0</v>
      </c>
      <c r="H6">
        <v>0</v>
      </c>
      <c r="I6">
        <v>0</v>
      </c>
      <c r="J6">
        <v>9</v>
      </c>
      <c r="K6">
        <v>112611804.1785714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>
        <v>13864462.09090909</v>
      </c>
      <c r="F8">
        <v>0</v>
      </c>
      <c r="G8">
        <v>0</v>
      </c>
      <c r="H8">
        <v>0</v>
      </c>
      <c r="I8">
        <v>0</v>
      </c>
      <c r="J8">
        <v>2</v>
      </c>
      <c r="K8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13</v>
      </c>
      <c r="E9">
        <v>40781727.450000003</v>
      </c>
      <c r="F9">
        <v>5</v>
      </c>
      <c r="G9">
        <v>16854545</v>
      </c>
      <c r="H9">
        <v>3</v>
      </c>
      <c r="I9">
        <v>9409091</v>
      </c>
      <c r="J9">
        <v>15</v>
      </c>
      <c r="K9">
        <v>48227181.450000003</v>
      </c>
    </row>
    <row r="10" spans="1:11" x14ac:dyDescent="0.25">
      <c r="A10">
        <v>9</v>
      </c>
      <c r="B10" t="s">
        <v>27</v>
      </c>
      <c r="C10" t="s">
        <v>28</v>
      </c>
      <c r="D10">
        <v>214</v>
      </c>
      <c r="E10">
        <v>856274587.5951941</v>
      </c>
      <c r="F10">
        <v>0</v>
      </c>
      <c r="G10">
        <v>0</v>
      </c>
      <c r="H10">
        <v>0</v>
      </c>
      <c r="I10">
        <v>0</v>
      </c>
      <c r="J10">
        <v>214</v>
      </c>
      <c r="K10">
        <v>856274587.5951941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291</v>
      </c>
      <c r="E12">
        <v>3276748152.2191219</v>
      </c>
      <c r="F12">
        <v>0</v>
      </c>
      <c r="G12">
        <v>0</v>
      </c>
      <c r="H12">
        <v>4</v>
      </c>
      <c r="I12">
        <v>39363636</v>
      </c>
      <c r="J12">
        <v>287</v>
      </c>
      <c r="K12">
        <v>3237384516.2191219</v>
      </c>
    </row>
    <row r="13" spans="1:11" x14ac:dyDescent="0.25">
      <c r="A13">
        <v>12</v>
      </c>
      <c r="B13" t="s">
        <v>33</v>
      </c>
      <c r="C13" t="s">
        <v>34</v>
      </c>
      <c r="D13">
        <v>37</v>
      </c>
      <c r="E13">
        <v>630180594.76923084</v>
      </c>
      <c r="F13">
        <v>0</v>
      </c>
      <c r="G13">
        <v>0</v>
      </c>
      <c r="H13">
        <v>0</v>
      </c>
      <c r="I13">
        <v>0</v>
      </c>
      <c r="J13">
        <v>37</v>
      </c>
      <c r="K13">
        <v>630180594.76923084</v>
      </c>
    </row>
    <row r="14" spans="1:11" x14ac:dyDescent="0.25">
      <c r="A14">
        <v>13</v>
      </c>
      <c r="B14" t="s">
        <v>35</v>
      </c>
      <c r="C14" t="s">
        <v>36</v>
      </c>
      <c r="D14">
        <v>27</v>
      </c>
      <c r="E14">
        <v>456157133.28947371</v>
      </c>
      <c r="F14">
        <v>0</v>
      </c>
      <c r="G14">
        <v>0</v>
      </c>
      <c r="H14">
        <v>0</v>
      </c>
      <c r="I14">
        <v>0</v>
      </c>
      <c r="J14">
        <v>27</v>
      </c>
      <c r="K14">
        <v>456157133.28947371</v>
      </c>
    </row>
    <row r="15" spans="1:11" x14ac:dyDescent="0.25">
      <c r="A15">
        <v>14</v>
      </c>
      <c r="B15" t="s">
        <v>37</v>
      </c>
      <c r="C15" t="s">
        <v>38</v>
      </c>
      <c r="D15">
        <v>38</v>
      </c>
      <c r="E15">
        <v>470828677.93430662</v>
      </c>
      <c r="F15">
        <v>0</v>
      </c>
      <c r="G15">
        <v>0</v>
      </c>
      <c r="H15">
        <v>2</v>
      </c>
      <c r="I15">
        <v>33445455</v>
      </c>
      <c r="J15">
        <v>36</v>
      </c>
      <c r="K15">
        <v>437383222.93430662</v>
      </c>
    </row>
    <row r="16" spans="1:11" x14ac:dyDescent="0.25">
      <c r="A16">
        <v>15</v>
      </c>
      <c r="B16" t="s">
        <v>39</v>
      </c>
      <c r="C16" t="s">
        <v>40</v>
      </c>
      <c r="D16">
        <v>14</v>
      </c>
      <c r="E16">
        <v>200165895.10447761</v>
      </c>
      <c r="F16">
        <v>0</v>
      </c>
      <c r="G16">
        <v>0</v>
      </c>
      <c r="H16">
        <v>1</v>
      </c>
      <c r="I16">
        <v>13080909</v>
      </c>
      <c r="J16">
        <v>13</v>
      </c>
      <c r="K16">
        <v>187084986.10447761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97</v>
      </c>
      <c r="E24">
        <v>498754741.54972363</v>
      </c>
      <c r="F24">
        <v>0</v>
      </c>
      <c r="G24">
        <v>0</v>
      </c>
      <c r="H24">
        <v>6</v>
      </c>
      <c r="I24">
        <v>47745454</v>
      </c>
      <c r="J24">
        <v>91</v>
      </c>
      <c r="K24">
        <v>451009287.54972363</v>
      </c>
    </row>
    <row r="25" spans="1:11" x14ac:dyDescent="0.25">
      <c r="A25">
        <v>24</v>
      </c>
      <c r="B25" t="s">
        <v>57</v>
      </c>
      <c r="C25" t="s">
        <v>58</v>
      </c>
      <c r="D25">
        <v>324</v>
      </c>
      <c r="E25">
        <v>2519252500.361217</v>
      </c>
      <c r="F25">
        <v>2</v>
      </c>
      <c r="G25">
        <v>22074544</v>
      </c>
      <c r="H25">
        <v>5</v>
      </c>
      <c r="I25">
        <v>33309091</v>
      </c>
      <c r="J25">
        <v>321</v>
      </c>
      <c r="K25">
        <v>2508017953.361217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59128321.307692319</v>
      </c>
      <c r="F30">
        <v>2</v>
      </c>
      <c r="G30">
        <v>25594546</v>
      </c>
      <c r="H30">
        <v>2</v>
      </c>
      <c r="I30">
        <v>27254546</v>
      </c>
      <c r="J30">
        <v>5</v>
      </c>
      <c r="K30">
        <v>57468321.307692319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44</v>
      </c>
      <c r="E34">
        <v>99267992.183266938</v>
      </c>
      <c r="F34">
        <v>8</v>
      </c>
      <c r="G34">
        <v>16136363</v>
      </c>
      <c r="H34">
        <v>3</v>
      </c>
      <c r="I34">
        <v>11954544</v>
      </c>
      <c r="J34">
        <v>49</v>
      </c>
      <c r="K34">
        <v>103449811.18326689</v>
      </c>
    </row>
    <row r="35" spans="1:11" x14ac:dyDescent="0.25">
      <c r="A35">
        <v>34</v>
      </c>
      <c r="B35" t="s">
        <v>77</v>
      </c>
      <c r="C35" t="s">
        <v>78</v>
      </c>
      <c r="D35">
        <v>509</v>
      </c>
      <c r="E35">
        <v>1028793666.553802</v>
      </c>
      <c r="F35">
        <v>6</v>
      </c>
      <c r="G35">
        <v>19350001</v>
      </c>
      <c r="H35">
        <v>28</v>
      </c>
      <c r="I35">
        <v>68499998</v>
      </c>
      <c r="J35">
        <v>487</v>
      </c>
      <c r="K35">
        <v>979643669.55380154</v>
      </c>
    </row>
    <row r="36" spans="1:11" x14ac:dyDescent="0.25">
      <c r="A36">
        <v>35</v>
      </c>
      <c r="B36" t="s">
        <v>79</v>
      </c>
      <c r="C36" t="s">
        <v>80</v>
      </c>
      <c r="D36">
        <v>8</v>
      </c>
      <c r="E36">
        <v>15480799.021276589</v>
      </c>
      <c r="F36">
        <v>2</v>
      </c>
      <c r="G36">
        <v>6000000</v>
      </c>
      <c r="H36">
        <v>0</v>
      </c>
      <c r="I36">
        <v>0</v>
      </c>
      <c r="J36">
        <v>10</v>
      </c>
      <c r="K36">
        <v>21480799.021276589</v>
      </c>
    </row>
    <row r="37" spans="1:11" x14ac:dyDescent="0.25">
      <c r="A37">
        <v>36</v>
      </c>
      <c r="B37" t="s">
        <v>81</v>
      </c>
      <c r="C37" t="s">
        <v>82</v>
      </c>
      <c r="D37">
        <v>47</v>
      </c>
      <c r="E37">
        <v>143628561.1964286</v>
      </c>
      <c r="F37">
        <v>0</v>
      </c>
      <c r="G37">
        <v>0</v>
      </c>
      <c r="H37">
        <v>6</v>
      </c>
      <c r="I37">
        <v>15627272</v>
      </c>
      <c r="J37">
        <v>41</v>
      </c>
      <c r="K37">
        <v>128001289.1964286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133</v>
      </c>
      <c r="E39">
        <v>322874964.38106239</v>
      </c>
      <c r="F39">
        <v>0</v>
      </c>
      <c r="G39">
        <v>0</v>
      </c>
      <c r="H39">
        <v>10</v>
      </c>
      <c r="I39">
        <v>18409091</v>
      </c>
      <c r="J39">
        <v>123</v>
      </c>
      <c r="K39">
        <v>304465873.38106239</v>
      </c>
    </row>
    <row r="40" spans="1:11" x14ac:dyDescent="0.25">
      <c r="A40">
        <v>39</v>
      </c>
      <c r="B40" t="s">
        <v>87</v>
      </c>
      <c r="C40" t="s">
        <v>88</v>
      </c>
      <c r="D40">
        <v>3</v>
      </c>
      <c r="E40">
        <v>16052524.77777778</v>
      </c>
      <c r="F40">
        <v>1</v>
      </c>
      <c r="G40">
        <v>7200001</v>
      </c>
      <c r="H40">
        <v>0</v>
      </c>
      <c r="I40">
        <v>0</v>
      </c>
      <c r="J40">
        <v>4</v>
      </c>
      <c r="K40">
        <v>23252525.77777778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1043</v>
      </c>
      <c r="E42">
        <v>278338525.53484052</v>
      </c>
      <c r="F42">
        <v>44</v>
      </c>
      <c r="G42">
        <v>59736363</v>
      </c>
      <c r="H42">
        <v>24</v>
      </c>
      <c r="I42">
        <v>101072728</v>
      </c>
      <c r="J42">
        <v>1063</v>
      </c>
      <c r="K42">
        <v>237002160.53484049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345</v>
      </c>
      <c r="E44">
        <v>962802050.42474437</v>
      </c>
      <c r="F44">
        <v>0</v>
      </c>
      <c r="G44">
        <v>0</v>
      </c>
      <c r="H44">
        <v>4</v>
      </c>
      <c r="I44">
        <v>11609092</v>
      </c>
      <c r="J44">
        <v>341</v>
      </c>
      <c r="K44">
        <v>951192958.42474437</v>
      </c>
    </row>
    <row r="45" spans="1:11" x14ac:dyDescent="0.25">
      <c r="A45">
        <v>44</v>
      </c>
      <c r="B45" t="s">
        <v>97</v>
      </c>
      <c r="C45" t="s">
        <v>98</v>
      </c>
      <c r="D45">
        <v>52</v>
      </c>
      <c r="E45">
        <v>204878505.79297301</v>
      </c>
      <c r="F45">
        <v>0</v>
      </c>
      <c r="G45">
        <v>0</v>
      </c>
      <c r="H45">
        <v>1</v>
      </c>
      <c r="I45">
        <v>5136364</v>
      </c>
      <c r="J45">
        <v>51</v>
      </c>
      <c r="K45">
        <v>199742141.79297301</v>
      </c>
    </row>
    <row r="46" spans="1:11" x14ac:dyDescent="0.25">
      <c r="A46">
        <v>45</v>
      </c>
      <c r="B46" t="s">
        <v>99</v>
      </c>
      <c r="C46" t="s">
        <v>100</v>
      </c>
      <c r="D46">
        <v>248</v>
      </c>
      <c r="E46">
        <v>111673212.6325714</v>
      </c>
      <c r="F46">
        <v>14</v>
      </c>
      <c r="G46">
        <v>1909091</v>
      </c>
      <c r="H46">
        <v>5</v>
      </c>
      <c r="I46">
        <v>27581818</v>
      </c>
      <c r="J46">
        <v>257</v>
      </c>
      <c r="K46">
        <v>86000485.632571429</v>
      </c>
    </row>
    <row r="47" spans="1:11" x14ac:dyDescent="0.25">
      <c r="A47">
        <v>46</v>
      </c>
      <c r="B47" t="s">
        <v>101</v>
      </c>
      <c r="C47" t="s">
        <v>102</v>
      </c>
      <c r="D47">
        <v>98</v>
      </c>
      <c r="E47">
        <v>208363322.92567381</v>
      </c>
      <c r="F47">
        <v>1</v>
      </c>
      <c r="G47">
        <v>4409091</v>
      </c>
      <c r="H47">
        <v>1</v>
      </c>
      <c r="I47">
        <v>4772727</v>
      </c>
      <c r="J47">
        <v>98</v>
      </c>
      <c r="K47">
        <v>207999686.92567381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36</v>
      </c>
      <c r="E49">
        <v>252546794.96224141</v>
      </c>
      <c r="F49">
        <v>2</v>
      </c>
      <c r="G49">
        <v>12090910</v>
      </c>
      <c r="H49">
        <v>3</v>
      </c>
      <c r="I49">
        <v>26572728</v>
      </c>
      <c r="J49">
        <v>35</v>
      </c>
      <c r="K49">
        <v>238064976.96224141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71</v>
      </c>
      <c r="E52">
        <v>124463903.26693881</v>
      </c>
      <c r="F52">
        <v>1</v>
      </c>
      <c r="G52">
        <v>227273</v>
      </c>
      <c r="H52">
        <v>0</v>
      </c>
      <c r="I52">
        <v>0</v>
      </c>
      <c r="J52">
        <v>72</v>
      </c>
      <c r="K52">
        <v>124691176.26693881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89</v>
      </c>
      <c r="E55">
        <v>129550534.172702</v>
      </c>
      <c r="F55">
        <v>1</v>
      </c>
      <c r="G55">
        <v>8100000</v>
      </c>
      <c r="H55">
        <v>2</v>
      </c>
      <c r="I55">
        <v>15745455</v>
      </c>
      <c r="J55">
        <v>88</v>
      </c>
      <c r="K55">
        <v>121905079.172702</v>
      </c>
    </row>
    <row r="56" spans="1:11" x14ac:dyDescent="0.25">
      <c r="A56">
        <v>55</v>
      </c>
      <c r="B56" t="s">
        <v>119</v>
      </c>
      <c r="C56" t="s">
        <v>120</v>
      </c>
      <c r="D56">
        <v>30</v>
      </c>
      <c r="E56">
        <v>15382605.491525421</v>
      </c>
      <c r="F56">
        <v>0</v>
      </c>
      <c r="G56">
        <v>0</v>
      </c>
      <c r="H56">
        <v>2</v>
      </c>
      <c r="I56">
        <v>3000000</v>
      </c>
      <c r="J56">
        <v>28</v>
      </c>
      <c r="K56">
        <v>12382605.491525421</v>
      </c>
    </row>
    <row r="57" spans="1:11" x14ac:dyDescent="0.25">
      <c r="A57">
        <v>56</v>
      </c>
      <c r="B57" t="s">
        <v>121</v>
      </c>
      <c r="C57" t="s">
        <v>122</v>
      </c>
      <c r="D57">
        <v>6</v>
      </c>
      <c r="E57">
        <v>19949258.180769231</v>
      </c>
      <c r="F57">
        <v>0</v>
      </c>
      <c r="G57">
        <v>0</v>
      </c>
      <c r="H57">
        <v>1</v>
      </c>
      <c r="I57">
        <v>4398148</v>
      </c>
      <c r="J57">
        <v>5</v>
      </c>
      <c r="K57">
        <v>15551110.180769229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3163</v>
      </c>
      <c r="E59">
        <v>232455689.38559759</v>
      </c>
      <c r="F59">
        <v>67</v>
      </c>
      <c r="G59">
        <v>48246724</v>
      </c>
      <c r="H59">
        <v>72</v>
      </c>
      <c r="I59">
        <v>23218183</v>
      </c>
      <c r="J59">
        <v>3158</v>
      </c>
      <c r="K59">
        <v>257484230.38559759</v>
      </c>
    </row>
    <row r="60" spans="1:11" x14ac:dyDescent="0.25">
      <c r="A60">
        <v>59</v>
      </c>
      <c r="B60" t="s">
        <v>127</v>
      </c>
      <c r="C60" t="s">
        <v>128</v>
      </c>
      <c r="D60">
        <v>85</v>
      </c>
      <c r="E60">
        <v>3913910.6822262122</v>
      </c>
      <c r="F60">
        <v>0</v>
      </c>
      <c r="G60">
        <v>0</v>
      </c>
      <c r="H60">
        <v>2</v>
      </c>
      <c r="I60">
        <v>472726</v>
      </c>
      <c r="J60">
        <v>83</v>
      </c>
      <c r="K60">
        <v>3441184.6822262122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1754</v>
      </c>
      <c r="E62">
        <v>239074979.8789579</v>
      </c>
      <c r="F62">
        <v>0</v>
      </c>
      <c r="G62">
        <v>0</v>
      </c>
      <c r="H62">
        <v>5</v>
      </c>
      <c r="I62">
        <v>1918182</v>
      </c>
      <c r="J62">
        <v>1749</v>
      </c>
      <c r="K62">
        <v>237156797.8789579</v>
      </c>
    </row>
    <row r="63" spans="1:11" x14ac:dyDescent="0.25">
      <c r="A63">
        <v>62</v>
      </c>
      <c r="B63" t="s">
        <v>133</v>
      </c>
      <c r="C63" t="s">
        <v>134</v>
      </c>
      <c r="D63">
        <v>259</v>
      </c>
      <c r="E63">
        <v>58643359.711580493</v>
      </c>
      <c r="F63">
        <v>0</v>
      </c>
      <c r="G63">
        <v>0</v>
      </c>
      <c r="H63">
        <v>1</v>
      </c>
      <c r="I63">
        <v>500000</v>
      </c>
      <c r="J63">
        <v>258</v>
      </c>
      <c r="K63">
        <v>58143359.711580493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166</v>
      </c>
      <c r="E70">
        <v>58480491.125112101</v>
      </c>
      <c r="F70">
        <v>2</v>
      </c>
      <c r="G70">
        <v>509091</v>
      </c>
      <c r="H70">
        <v>4</v>
      </c>
      <c r="I70">
        <v>3627273</v>
      </c>
      <c r="J70">
        <v>164</v>
      </c>
      <c r="K70">
        <v>55362309.125112101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0</v>
      </c>
      <c r="I72">
        <v>0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94</v>
      </c>
      <c r="E73">
        <v>137857.79768786131</v>
      </c>
      <c r="F73">
        <v>50</v>
      </c>
      <c r="G73">
        <v>590000</v>
      </c>
      <c r="H73">
        <v>50</v>
      </c>
      <c r="I73">
        <v>1111111</v>
      </c>
      <c r="J73">
        <v>94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134</v>
      </c>
      <c r="E74">
        <v>304348750.07878792</v>
      </c>
      <c r="F74">
        <v>9</v>
      </c>
      <c r="G74">
        <v>21118183</v>
      </c>
      <c r="H74">
        <v>3</v>
      </c>
      <c r="I74">
        <v>7572728</v>
      </c>
      <c r="J74">
        <v>140</v>
      </c>
      <c r="K74">
        <v>317894205.07878792</v>
      </c>
    </row>
    <row r="75" spans="1:11" x14ac:dyDescent="0.25">
      <c r="A75">
        <v>74</v>
      </c>
      <c r="B75" t="s">
        <v>157</v>
      </c>
      <c r="C75" t="s">
        <v>158</v>
      </c>
      <c r="D75">
        <v>133</v>
      </c>
      <c r="E75">
        <v>399169227.75098813</v>
      </c>
      <c r="F75">
        <v>1</v>
      </c>
      <c r="G75">
        <v>2954545</v>
      </c>
      <c r="H75">
        <v>2</v>
      </c>
      <c r="I75">
        <v>6254545</v>
      </c>
      <c r="J75">
        <v>132</v>
      </c>
      <c r="K75">
        <v>395869227.75098813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121</v>
      </c>
      <c r="E78">
        <v>180191531.59605911</v>
      </c>
      <c r="F78">
        <v>10</v>
      </c>
      <c r="G78">
        <v>15499998</v>
      </c>
      <c r="H78">
        <v>6</v>
      </c>
      <c r="I78">
        <v>10336362</v>
      </c>
      <c r="J78">
        <v>125</v>
      </c>
      <c r="K78">
        <v>185355167.59605911</v>
      </c>
    </row>
    <row r="79" spans="1:11" x14ac:dyDescent="0.25">
      <c r="A79">
        <v>78</v>
      </c>
      <c r="B79" t="s">
        <v>165</v>
      </c>
      <c r="C79" t="s">
        <v>166</v>
      </c>
      <c r="D79">
        <v>11</v>
      </c>
      <c r="E79">
        <v>26753660</v>
      </c>
      <c r="F79">
        <v>0</v>
      </c>
      <c r="G79">
        <v>0</v>
      </c>
      <c r="H79">
        <v>0</v>
      </c>
      <c r="I79">
        <v>0</v>
      </c>
      <c r="J79">
        <v>11</v>
      </c>
      <c r="K79">
        <v>26753660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675</v>
      </c>
      <c r="E81">
        <v>204507623.62329009</v>
      </c>
      <c r="F81">
        <v>0</v>
      </c>
      <c r="G81">
        <v>0</v>
      </c>
      <c r="H81">
        <v>5</v>
      </c>
      <c r="I81">
        <v>2945454</v>
      </c>
      <c r="J81">
        <v>670</v>
      </c>
      <c r="K81">
        <v>201562169.62329009</v>
      </c>
    </row>
    <row r="82" spans="1:11" x14ac:dyDescent="0.25">
      <c r="A82">
        <v>81</v>
      </c>
      <c r="B82" t="s">
        <v>171</v>
      </c>
      <c r="C82" t="s">
        <v>172</v>
      </c>
      <c r="D82">
        <v>202</v>
      </c>
      <c r="E82">
        <v>139662125.11730209</v>
      </c>
      <c r="F82">
        <v>0</v>
      </c>
      <c r="G82">
        <v>0</v>
      </c>
      <c r="H82">
        <v>2</v>
      </c>
      <c r="I82">
        <v>1727273</v>
      </c>
      <c r="J82">
        <v>200</v>
      </c>
      <c r="K82">
        <v>137934852.11730209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>
        <v>26690832.202380959</v>
      </c>
      <c r="F83">
        <v>1</v>
      </c>
      <c r="G83">
        <v>2472727</v>
      </c>
      <c r="H83">
        <v>0</v>
      </c>
      <c r="I83">
        <v>0</v>
      </c>
      <c r="J83">
        <v>31</v>
      </c>
      <c r="K83">
        <v>29163559.202380959</v>
      </c>
    </row>
    <row r="84" spans="1:11" x14ac:dyDescent="0.25">
      <c r="A84">
        <v>83</v>
      </c>
      <c r="B84" t="s">
        <v>175</v>
      </c>
      <c r="C84" t="s">
        <v>176</v>
      </c>
      <c r="D84">
        <v>19</v>
      </c>
      <c r="E84">
        <v>41596634.200000003</v>
      </c>
      <c r="F84">
        <v>0</v>
      </c>
      <c r="G84">
        <v>0</v>
      </c>
      <c r="H84">
        <v>1</v>
      </c>
      <c r="I84">
        <v>3627273</v>
      </c>
      <c r="J84">
        <v>18</v>
      </c>
      <c r="K84">
        <v>37969361.200000003</v>
      </c>
    </row>
    <row r="85" spans="1:11" x14ac:dyDescent="0.25">
      <c r="A85">
        <v>84</v>
      </c>
      <c r="B85" t="s">
        <v>177</v>
      </c>
      <c r="C85" t="s">
        <v>178</v>
      </c>
      <c r="D85">
        <v>8</v>
      </c>
      <c r="E85">
        <v>37028638.483870968</v>
      </c>
      <c r="F85">
        <v>0</v>
      </c>
      <c r="G85">
        <v>0</v>
      </c>
      <c r="H85">
        <v>0</v>
      </c>
      <c r="I85">
        <v>0</v>
      </c>
      <c r="J85">
        <v>8</v>
      </c>
      <c r="K85">
        <v>37028638.483870968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74</v>
      </c>
      <c r="E87">
        <v>83569173.572559372</v>
      </c>
      <c r="F87">
        <v>0</v>
      </c>
      <c r="G87">
        <v>0</v>
      </c>
      <c r="H87">
        <v>14</v>
      </c>
      <c r="I87">
        <v>14454547</v>
      </c>
      <c r="J87">
        <v>60</v>
      </c>
      <c r="K87">
        <v>69114626.572559372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1296</v>
      </c>
      <c r="E89">
        <v>376089473.74628812</v>
      </c>
      <c r="F89">
        <v>3</v>
      </c>
      <c r="G89">
        <v>2309091</v>
      </c>
      <c r="H89">
        <v>18</v>
      </c>
      <c r="I89">
        <v>14709090</v>
      </c>
      <c r="J89">
        <v>1281</v>
      </c>
      <c r="K89">
        <v>363689474.74628812</v>
      </c>
    </row>
    <row r="90" spans="1:11" x14ac:dyDescent="0.25">
      <c r="A90">
        <v>89</v>
      </c>
      <c r="B90" t="s">
        <v>187</v>
      </c>
      <c r="C90" t="s">
        <v>188</v>
      </c>
      <c r="D90">
        <v>202</v>
      </c>
      <c r="E90">
        <v>243463672.34957021</v>
      </c>
      <c r="F90">
        <v>0</v>
      </c>
      <c r="G90">
        <v>0</v>
      </c>
      <c r="H90">
        <v>4</v>
      </c>
      <c r="I90">
        <v>15672728</v>
      </c>
      <c r="J90">
        <v>198</v>
      </c>
      <c r="K90">
        <v>227790944.34957021</v>
      </c>
    </row>
    <row r="91" spans="1:11" x14ac:dyDescent="0.25">
      <c r="A91">
        <v>90</v>
      </c>
      <c r="B91" t="s">
        <v>189</v>
      </c>
      <c r="C91" t="s">
        <v>190</v>
      </c>
      <c r="D91">
        <v>66</v>
      </c>
      <c r="E91">
        <v>88344139.992395431</v>
      </c>
      <c r="F91">
        <v>0</v>
      </c>
      <c r="G91">
        <v>0</v>
      </c>
      <c r="H91">
        <v>0</v>
      </c>
      <c r="I91">
        <v>0</v>
      </c>
      <c r="J91">
        <v>66</v>
      </c>
      <c r="K91">
        <v>88344139.992395431</v>
      </c>
    </row>
    <row r="92" spans="1:11" x14ac:dyDescent="0.25">
      <c r="A92">
        <v>91</v>
      </c>
      <c r="B92" t="s">
        <v>191</v>
      </c>
      <c r="C92" t="s">
        <v>192</v>
      </c>
      <c r="D92">
        <v>139</v>
      </c>
      <c r="E92">
        <v>69351393.128078818</v>
      </c>
      <c r="F92">
        <v>1</v>
      </c>
      <c r="G92">
        <v>5727273</v>
      </c>
      <c r="H92">
        <v>5</v>
      </c>
      <c r="I92">
        <v>11036365</v>
      </c>
      <c r="J92">
        <v>135</v>
      </c>
      <c r="K92">
        <v>64042301.128078818</v>
      </c>
    </row>
    <row r="93" spans="1:11" x14ac:dyDescent="0.25">
      <c r="A93">
        <v>92</v>
      </c>
      <c r="B93" t="s">
        <v>193</v>
      </c>
      <c r="C93" t="s">
        <v>194</v>
      </c>
      <c r="D93">
        <v>60</v>
      </c>
      <c r="E93">
        <v>94134964.432558149</v>
      </c>
      <c r="F93">
        <v>1</v>
      </c>
      <c r="G93">
        <v>3045455</v>
      </c>
      <c r="H93">
        <v>1</v>
      </c>
      <c r="I93">
        <v>3345455</v>
      </c>
      <c r="J93">
        <v>60</v>
      </c>
      <c r="K93">
        <v>93834964.432558149</v>
      </c>
    </row>
    <row r="94" spans="1:11" x14ac:dyDescent="0.25">
      <c r="A94">
        <v>93</v>
      </c>
      <c r="B94" t="s">
        <v>195</v>
      </c>
      <c r="C94" t="s">
        <v>196</v>
      </c>
      <c r="D94">
        <v>343</v>
      </c>
      <c r="E94">
        <v>115319778.6155607</v>
      </c>
      <c r="F94">
        <v>0</v>
      </c>
      <c r="G94">
        <v>0</v>
      </c>
      <c r="H94">
        <v>35</v>
      </c>
      <c r="I94">
        <v>13336365</v>
      </c>
      <c r="J94">
        <v>308</v>
      </c>
      <c r="K94">
        <v>101983413.6155607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3313637</v>
      </c>
      <c r="F95">
        <v>0</v>
      </c>
      <c r="G95">
        <v>0</v>
      </c>
      <c r="H95">
        <v>0</v>
      </c>
      <c r="I95">
        <v>0</v>
      </c>
      <c r="J95">
        <v>30</v>
      </c>
      <c r="K95">
        <v>3313637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1078</v>
      </c>
      <c r="E97">
        <v>108827893.4361957</v>
      </c>
      <c r="F97">
        <v>0</v>
      </c>
      <c r="G97">
        <v>0</v>
      </c>
      <c r="H97">
        <v>0</v>
      </c>
      <c r="I97">
        <v>0</v>
      </c>
      <c r="J97">
        <v>1078</v>
      </c>
      <c r="K97">
        <v>108827893.4361957</v>
      </c>
    </row>
    <row r="98" spans="1:11" x14ac:dyDescent="0.25">
      <c r="A98">
        <v>97</v>
      </c>
      <c r="B98" t="s">
        <v>203</v>
      </c>
      <c r="C98" t="s">
        <v>204</v>
      </c>
      <c r="D98">
        <v>209</v>
      </c>
      <c r="E98">
        <v>43800715.620727673</v>
      </c>
      <c r="F98">
        <v>0</v>
      </c>
      <c r="G98">
        <v>0</v>
      </c>
      <c r="H98">
        <v>6</v>
      </c>
      <c r="I98">
        <v>2418182</v>
      </c>
      <c r="J98">
        <v>203</v>
      </c>
      <c r="K98">
        <v>41382533.620727673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16226332.758620691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120</v>
      </c>
      <c r="E102">
        <v>104827962.6692913</v>
      </c>
      <c r="F102">
        <v>1</v>
      </c>
      <c r="G102">
        <v>659091</v>
      </c>
      <c r="H102">
        <v>1</v>
      </c>
      <c r="I102">
        <v>309090</v>
      </c>
      <c r="J102">
        <v>120</v>
      </c>
      <c r="K102">
        <v>105177963.6692913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2324</v>
      </c>
      <c r="E104">
        <v>236427686.46378449</v>
      </c>
      <c r="F104">
        <v>29</v>
      </c>
      <c r="G104">
        <v>13831813</v>
      </c>
      <c r="H104">
        <v>27</v>
      </c>
      <c r="I104">
        <v>9369999</v>
      </c>
      <c r="J104">
        <v>2326</v>
      </c>
      <c r="K104">
        <v>240889500.46378449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203</v>
      </c>
      <c r="E105">
        <v>74155353.992982447</v>
      </c>
      <c r="F105">
        <v>5</v>
      </c>
      <c r="G105">
        <v>1136364</v>
      </c>
      <c r="H105">
        <v>0</v>
      </c>
      <c r="I105">
        <v>0</v>
      </c>
      <c r="J105">
        <v>208</v>
      </c>
      <c r="K105">
        <v>75291717.992982447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1305</v>
      </c>
      <c r="E106">
        <v>213568261.69023031</v>
      </c>
      <c r="F106">
        <v>90</v>
      </c>
      <c r="G106">
        <v>16704548</v>
      </c>
      <c r="H106">
        <v>34</v>
      </c>
      <c r="I106">
        <v>3504545</v>
      </c>
      <c r="J106">
        <v>1361</v>
      </c>
      <c r="K106">
        <v>226768264.69023031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1123</v>
      </c>
      <c r="E107">
        <v>160035630.3291294</v>
      </c>
      <c r="F107">
        <v>3</v>
      </c>
      <c r="G107">
        <v>1813635</v>
      </c>
      <c r="H107">
        <v>27</v>
      </c>
      <c r="I107">
        <v>4154545</v>
      </c>
      <c r="J107">
        <v>1099</v>
      </c>
      <c r="K107">
        <v>157694720.3291294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268</v>
      </c>
      <c r="E109">
        <v>75338325.850046858</v>
      </c>
      <c r="F109">
        <v>5</v>
      </c>
      <c r="G109">
        <v>1150000</v>
      </c>
      <c r="H109">
        <v>0</v>
      </c>
      <c r="I109">
        <v>0</v>
      </c>
      <c r="J109">
        <v>273</v>
      </c>
      <c r="K109">
        <v>76488325.850046858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194</v>
      </c>
      <c r="E110">
        <v>79792935.166189104</v>
      </c>
      <c r="F110">
        <v>25</v>
      </c>
      <c r="G110">
        <v>10230000</v>
      </c>
      <c r="H110">
        <v>5</v>
      </c>
      <c r="I110">
        <v>1854547</v>
      </c>
      <c r="J110">
        <v>214</v>
      </c>
      <c r="K110">
        <v>88168388.166189104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114</v>
      </c>
      <c r="E112">
        <v>50187787.259079903</v>
      </c>
      <c r="F112">
        <v>0</v>
      </c>
      <c r="G112">
        <v>0</v>
      </c>
      <c r="H112">
        <v>10</v>
      </c>
      <c r="I112">
        <v>4636364</v>
      </c>
      <c r="J112">
        <v>104</v>
      </c>
      <c r="K112">
        <v>45551423.259079903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861</v>
      </c>
      <c r="E113">
        <v>282643009.39026397</v>
      </c>
      <c r="F113">
        <v>17</v>
      </c>
      <c r="G113">
        <v>4998178</v>
      </c>
      <c r="H113">
        <v>9</v>
      </c>
      <c r="I113">
        <v>3123001</v>
      </c>
      <c r="J113">
        <v>869</v>
      </c>
      <c r="K113">
        <v>284518186.39026397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49</v>
      </c>
      <c r="E114">
        <v>27525602.620689649</v>
      </c>
      <c r="F114">
        <v>0</v>
      </c>
      <c r="G114">
        <v>0</v>
      </c>
      <c r="H114">
        <v>0</v>
      </c>
      <c r="I114">
        <v>0</v>
      </c>
      <c r="J114">
        <v>49</v>
      </c>
      <c r="K114">
        <v>27525602.620689649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113</v>
      </c>
      <c r="E123">
        <v>47089607.616306961</v>
      </c>
      <c r="F123">
        <v>0</v>
      </c>
      <c r="G123">
        <v>0</v>
      </c>
      <c r="H123">
        <v>0</v>
      </c>
      <c r="I123">
        <v>0</v>
      </c>
      <c r="J123">
        <v>113</v>
      </c>
      <c r="K123">
        <v>47089607.616306961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535</v>
      </c>
      <c r="E126">
        <v>297081540.2321918</v>
      </c>
      <c r="F126">
        <v>65</v>
      </c>
      <c r="G126">
        <v>40588168</v>
      </c>
      <c r="H126">
        <v>56</v>
      </c>
      <c r="I126">
        <v>37618183</v>
      </c>
      <c r="J126">
        <v>544</v>
      </c>
      <c r="K126">
        <v>300051525.2321918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8</v>
      </c>
      <c r="E128">
        <v>8139901.4090909101</v>
      </c>
      <c r="F128">
        <v>1</v>
      </c>
      <c r="G128">
        <v>881818</v>
      </c>
      <c r="H128">
        <v>0</v>
      </c>
      <c r="I128">
        <v>0</v>
      </c>
      <c r="J128">
        <v>9</v>
      </c>
      <c r="K128">
        <v>9021719.4090909101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31954161.75</v>
      </c>
      <c r="F129">
        <v>1</v>
      </c>
      <c r="G129">
        <v>3845455</v>
      </c>
      <c r="H129">
        <v>1</v>
      </c>
      <c r="I129">
        <v>4227272</v>
      </c>
      <c r="J129">
        <v>16</v>
      </c>
      <c r="K129">
        <v>31572344.75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256</v>
      </c>
      <c r="E131">
        <v>152293068.5194805</v>
      </c>
      <c r="F131">
        <v>16</v>
      </c>
      <c r="G131">
        <v>12427269</v>
      </c>
      <c r="H131">
        <v>6</v>
      </c>
      <c r="I131">
        <v>5427274</v>
      </c>
      <c r="J131">
        <v>266</v>
      </c>
      <c r="K131">
        <v>159293063.5194805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113</v>
      </c>
      <c r="E132">
        <v>17654864.7489301</v>
      </c>
      <c r="F132">
        <v>0</v>
      </c>
      <c r="G132">
        <v>0</v>
      </c>
      <c r="H132">
        <v>2</v>
      </c>
      <c r="I132">
        <v>3581818</v>
      </c>
      <c r="J132">
        <v>111</v>
      </c>
      <c r="K132">
        <v>14073046.7489301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380</v>
      </c>
      <c r="E133">
        <v>102375108.7694118</v>
      </c>
      <c r="F133">
        <v>8</v>
      </c>
      <c r="G133">
        <v>2576363</v>
      </c>
      <c r="H133">
        <v>5</v>
      </c>
      <c r="I133">
        <v>645454</v>
      </c>
      <c r="J133">
        <v>383</v>
      </c>
      <c r="K133">
        <v>104306017.7694118</v>
      </c>
    </row>
    <row r="134" spans="1:11" x14ac:dyDescent="0.25">
      <c r="A134">
        <v>133</v>
      </c>
      <c r="B134" t="s">
        <v>275</v>
      </c>
      <c r="C134" t="s">
        <v>276</v>
      </c>
      <c r="D134">
        <v>107</v>
      </c>
      <c r="E134">
        <v>36130690.084337354</v>
      </c>
      <c r="F134">
        <v>13</v>
      </c>
      <c r="G134">
        <v>4487270</v>
      </c>
      <c r="H134">
        <v>0</v>
      </c>
      <c r="I134">
        <v>0</v>
      </c>
      <c r="J134">
        <v>120</v>
      </c>
      <c r="K134">
        <v>40617960.084337354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166</v>
      </c>
      <c r="E143">
        <v>49371168.115942031</v>
      </c>
      <c r="F143">
        <v>0</v>
      </c>
      <c r="G143">
        <v>0</v>
      </c>
      <c r="H143">
        <v>1</v>
      </c>
      <c r="I143">
        <v>300000</v>
      </c>
      <c r="J143">
        <v>165</v>
      </c>
      <c r="K143">
        <v>49071168.115942031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826.44399999999996</v>
      </c>
      <c r="E146">
        <v>758378596.1099999</v>
      </c>
      <c r="F146">
        <v>167.892</v>
      </c>
      <c r="G146">
        <v>171733575</v>
      </c>
      <c r="H146">
        <v>92</v>
      </c>
      <c r="I146">
        <v>183469367</v>
      </c>
      <c r="J146">
        <v>902.33600000000001</v>
      </c>
      <c r="K146">
        <v>746642804.1099999</v>
      </c>
    </row>
    <row r="147" spans="1:11" x14ac:dyDescent="0.25">
      <c r="A147" t="s">
        <v>301</v>
      </c>
      <c r="D147">
        <v>23789.444</v>
      </c>
      <c r="E147">
        <v>21517888593.163181</v>
      </c>
      <c r="F147">
        <v>682.89200000000005</v>
      </c>
      <c r="G147">
        <v>608310270</v>
      </c>
      <c r="H147">
        <v>633</v>
      </c>
      <c r="I147">
        <v>1022838904</v>
      </c>
      <c r="J147">
        <v>23839.335999999999</v>
      </c>
      <c r="K147">
        <v>21103743212.36549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23</v>
      </c>
      <c r="E3">
        <v>209384263</v>
      </c>
      <c r="F3">
        <v>0</v>
      </c>
      <c r="G3">
        <v>0</v>
      </c>
      <c r="H3">
        <v>6</v>
      </c>
      <c r="I3">
        <v>64727273</v>
      </c>
      <c r="J3">
        <v>17</v>
      </c>
      <c r="K3">
        <v>144656990</v>
      </c>
    </row>
    <row r="4" spans="1:11" x14ac:dyDescent="0.25">
      <c r="A4">
        <v>3</v>
      </c>
      <c r="B4" t="s">
        <v>15</v>
      </c>
      <c r="C4" t="s">
        <v>16</v>
      </c>
      <c r="D4">
        <v>180</v>
      </c>
      <c r="E4">
        <v>1854909225.201292</v>
      </c>
      <c r="F4">
        <v>10</v>
      </c>
      <c r="G4">
        <v>142909091</v>
      </c>
      <c r="H4">
        <v>33</v>
      </c>
      <c r="I4">
        <v>412763637</v>
      </c>
      <c r="J4">
        <v>157</v>
      </c>
      <c r="K4">
        <v>1585054679.201292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>
        <v>112611804.1785714</v>
      </c>
      <c r="F6">
        <v>0</v>
      </c>
      <c r="G6">
        <v>0</v>
      </c>
      <c r="H6">
        <v>0</v>
      </c>
      <c r="I6">
        <v>0</v>
      </c>
      <c r="J6">
        <v>9</v>
      </c>
      <c r="K6">
        <v>112611804.1785714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>
        <v>13864462.09090909</v>
      </c>
      <c r="F8">
        <v>0</v>
      </c>
      <c r="G8">
        <v>0</v>
      </c>
      <c r="H8">
        <v>0</v>
      </c>
      <c r="I8">
        <v>0</v>
      </c>
      <c r="J8">
        <v>2</v>
      </c>
      <c r="K8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15</v>
      </c>
      <c r="E9">
        <v>48227181.450000003</v>
      </c>
      <c r="F9">
        <v>0</v>
      </c>
      <c r="G9">
        <v>0</v>
      </c>
      <c r="H9">
        <v>0</v>
      </c>
      <c r="I9">
        <v>0</v>
      </c>
      <c r="J9">
        <v>15</v>
      </c>
      <c r="K9">
        <v>48227181.450000003</v>
      </c>
    </row>
    <row r="10" spans="1:11" x14ac:dyDescent="0.25">
      <c r="A10">
        <v>9</v>
      </c>
      <c r="B10" t="s">
        <v>27</v>
      </c>
      <c r="C10" t="s">
        <v>28</v>
      </c>
      <c r="D10">
        <v>214</v>
      </c>
      <c r="E10">
        <v>856274587.5951941</v>
      </c>
      <c r="F10">
        <v>0</v>
      </c>
      <c r="G10">
        <v>0</v>
      </c>
      <c r="H10">
        <v>1</v>
      </c>
      <c r="I10">
        <v>17863636</v>
      </c>
      <c r="J10">
        <v>213</v>
      </c>
      <c r="K10">
        <v>838410951.5951941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287</v>
      </c>
      <c r="E12">
        <v>3237384516.2191219</v>
      </c>
      <c r="F12">
        <v>0</v>
      </c>
      <c r="G12">
        <v>0</v>
      </c>
      <c r="H12">
        <v>9</v>
      </c>
      <c r="I12">
        <v>83854545</v>
      </c>
      <c r="J12">
        <v>278</v>
      </c>
      <c r="K12">
        <v>3153529971.2191219</v>
      </c>
    </row>
    <row r="13" spans="1:11" x14ac:dyDescent="0.25">
      <c r="A13">
        <v>12</v>
      </c>
      <c r="B13" t="s">
        <v>33</v>
      </c>
      <c r="C13" t="s">
        <v>34</v>
      </c>
      <c r="D13">
        <v>37</v>
      </c>
      <c r="E13">
        <v>630180594.76923084</v>
      </c>
      <c r="F13">
        <v>0</v>
      </c>
      <c r="G13">
        <v>0</v>
      </c>
      <c r="H13">
        <v>0</v>
      </c>
      <c r="I13">
        <v>0</v>
      </c>
      <c r="J13">
        <v>37</v>
      </c>
      <c r="K13">
        <v>630180594.76923084</v>
      </c>
    </row>
    <row r="14" spans="1:11" x14ac:dyDescent="0.25">
      <c r="A14">
        <v>13</v>
      </c>
      <c r="B14" t="s">
        <v>35</v>
      </c>
      <c r="C14" t="s">
        <v>36</v>
      </c>
      <c r="D14">
        <v>27</v>
      </c>
      <c r="E14">
        <v>456157133.28947371</v>
      </c>
      <c r="F14">
        <v>0</v>
      </c>
      <c r="G14">
        <v>0</v>
      </c>
      <c r="H14">
        <v>0</v>
      </c>
      <c r="I14">
        <v>0</v>
      </c>
      <c r="J14">
        <v>27</v>
      </c>
      <c r="K14">
        <v>456157133.28947371</v>
      </c>
    </row>
    <row r="15" spans="1:11" x14ac:dyDescent="0.25">
      <c r="A15">
        <v>14</v>
      </c>
      <c r="B15" t="s">
        <v>37</v>
      </c>
      <c r="C15" t="s">
        <v>38</v>
      </c>
      <c r="D15">
        <v>36</v>
      </c>
      <c r="E15">
        <v>437383222.93430662</v>
      </c>
      <c r="F15">
        <v>0</v>
      </c>
      <c r="G15">
        <v>0</v>
      </c>
      <c r="H15">
        <v>0</v>
      </c>
      <c r="I15">
        <v>0</v>
      </c>
      <c r="J15">
        <v>36</v>
      </c>
      <c r="K15">
        <v>437383222.93430662</v>
      </c>
    </row>
    <row r="16" spans="1:11" x14ac:dyDescent="0.25">
      <c r="A16">
        <v>15</v>
      </c>
      <c r="B16" t="s">
        <v>39</v>
      </c>
      <c r="C16" t="s">
        <v>40</v>
      </c>
      <c r="D16">
        <v>13</v>
      </c>
      <c r="E16">
        <v>187084986.10447761</v>
      </c>
      <c r="F16">
        <v>0</v>
      </c>
      <c r="G16">
        <v>0</v>
      </c>
      <c r="H16">
        <v>1</v>
      </c>
      <c r="I16">
        <v>15090909</v>
      </c>
      <c r="J16">
        <v>12</v>
      </c>
      <c r="K16">
        <v>171994077.10447761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91</v>
      </c>
      <c r="E24">
        <v>451009287.54972363</v>
      </c>
      <c r="F24">
        <v>0</v>
      </c>
      <c r="G24">
        <v>0</v>
      </c>
      <c r="H24">
        <v>11</v>
      </c>
      <c r="I24">
        <v>88600001</v>
      </c>
      <c r="J24">
        <v>80</v>
      </c>
      <c r="K24">
        <v>362409286.54972363</v>
      </c>
    </row>
    <row r="25" spans="1:11" x14ac:dyDescent="0.25">
      <c r="A25">
        <v>24</v>
      </c>
      <c r="B25" t="s">
        <v>57</v>
      </c>
      <c r="C25" t="s">
        <v>58</v>
      </c>
      <c r="D25">
        <v>321</v>
      </c>
      <c r="E25">
        <v>2508017953.361217</v>
      </c>
      <c r="F25">
        <v>22</v>
      </c>
      <c r="G25">
        <v>3730000</v>
      </c>
      <c r="H25">
        <v>12</v>
      </c>
      <c r="I25">
        <v>94490909</v>
      </c>
      <c r="J25">
        <v>331</v>
      </c>
      <c r="K25">
        <v>2417257044.361217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57468321.307692319</v>
      </c>
      <c r="F30">
        <v>1</v>
      </c>
      <c r="G30">
        <v>16227273</v>
      </c>
      <c r="H30">
        <v>1</v>
      </c>
      <c r="I30">
        <v>17409091</v>
      </c>
      <c r="J30">
        <v>5</v>
      </c>
      <c r="K30">
        <v>56286503.307692319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49</v>
      </c>
      <c r="E34">
        <v>103449811.18326689</v>
      </c>
      <c r="F34">
        <v>0</v>
      </c>
      <c r="G34">
        <v>0</v>
      </c>
      <c r="H34">
        <v>0</v>
      </c>
      <c r="I34">
        <v>0</v>
      </c>
      <c r="J34">
        <v>49</v>
      </c>
      <c r="K34">
        <v>103449811.18326689</v>
      </c>
    </row>
    <row r="35" spans="1:11" x14ac:dyDescent="0.25">
      <c r="A35">
        <v>34</v>
      </c>
      <c r="B35" t="s">
        <v>77</v>
      </c>
      <c r="C35" t="s">
        <v>78</v>
      </c>
      <c r="D35">
        <v>487</v>
      </c>
      <c r="E35">
        <v>979643669.55380154</v>
      </c>
      <c r="F35">
        <v>64</v>
      </c>
      <c r="G35">
        <v>131259092</v>
      </c>
      <c r="H35">
        <v>23</v>
      </c>
      <c r="I35">
        <v>54922726</v>
      </c>
      <c r="J35">
        <v>528</v>
      </c>
      <c r="K35">
        <v>1055980035.553802</v>
      </c>
    </row>
    <row r="36" spans="1:11" x14ac:dyDescent="0.25">
      <c r="A36">
        <v>35</v>
      </c>
      <c r="B36" t="s">
        <v>79</v>
      </c>
      <c r="C36" t="s">
        <v>80</v>
      </c>
      <c r="D36">
        <v>10</v>
      </c>
      <c r="E36">
        <v>21480799.021276589</v>
      </c>
      <c r="F36">
        <v>0</v>
      </c>
      <c r="G36">
        <v>0</v>
      </c>
      <c r="H36">
        <v>0</v>
      </c>
      <c r="I36">
        <v>0</v>
      </c>
      <c r="J36">
        <v>10</v>
      </c>
      <c r="K36">
        <v>21480799.021276589</v>
      </c>
    </row>
    <row r="37" spans="1:11" x14ac:dyDescent="0.25">
      <c r="A37">
        <v>36</v>
      </c>
      <c r="B37" t="s">
        <v>81</v>
      </c>
      <c r="C37" t="s">
        <v>82</v>
      </c>
      <c r="D37">
        <v>41</v>
      </c>
      <c r="E37">
        <v>128001289.1964286</v>
      </c>
      <c r="F37">
        <v>0</v>
      </c>
      <c r="G37">
        <v>0</v>
      </c>
      <c r="H37">
        <v>2</v>
      </c>
      <c r="I37">
        <v>5454546</v>
      </c>
      <c r="J37">
        <v>39</v>
      </c>
      <c r="K37">
        <v>122546743.1964286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123</v>
      </c>
      <c r="E39">
        <v>304465873.38106239</v>
      </c>
      <c r="F39">
        <v>15</v>
      </c>
      <c r="G39">
        <v>23590909</v>
      </c>
      <c r="H39">
        <v>4</v>
      </c>
      <c r="I39">
        <v>6763637</v>
      </c>
      <c r="J39">
        <v>134</v>
      </c>
      <c r="K39">
        <v>321293145.38106239</v>
      </c>
    </row>
    <row r="40" spans="1:11" x14ac:dyDescent="0.25">
      <c r="A40">
        <v>39</v>
      </c>
      <c r="B40" t="s">
        <v>87</v>
      </c>
      <c r="C40" t="s">
        <v>88</v>
      </c>
      <c r="D40">
        <v>4</v>
      </c>
      <c r="E40">
        <v>23252525.77777778</v>
      </c>
      <c r="F40">
        <v>0</v>
      </c>
      <c r="G40">
        <v>0</v>
      </c>
      <c r="H40">
        <v>0</v>
      </c>
      <c r="I40">
        <v>0</v>
      </c>
      <c r="J40">
        <v>4</v>
      </c>
      <c r="K40">
        <v>23252525.77777778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1063</v>
      </c>
      <c r="E42">
        <v>237002160.53484049</v>
      </c>
      <c r="F42">
        <v>42</v>
      </c>
      <c r="G42">
        <v>75963637</v>
      </c>
      <c r="H42">
        <v>121</v>
      </c>
      <c r="I42">
        <v>387945455</v>
      </c>
      <c r="J42">
        <v>984</v>
      </c>
      <c r="K42">
        <v>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341</v>
      </c>
      <c r="E44">
        <v>951192958.42474437</v>
      </c>
      <c r="F44">
        <v>12</v>
      </c>
      <c r="G44">
        <v>18401784</v>
      </c>
      <c r="H44">
        <v>5</v>
      </c>
      <c r="I44">
        <v>13800001</v>
      </c>
      <c r="J44">
        <v>348</v>
      </c>
      <c r="K44">
        <v>955794741.42474437</v>
      </c>
    </row>
    <row r="45" spans="1:11" x14ac:dyDescent="0.25">
      <c r="A45">
        <v>44</v>
      </c>
      <c r="B45" t="s">
        <v>97</v>
      </c>
      <c r="C45" t="s">
        <v>98</v>
      </c>
      <c r="D45">
        <v>51</v>
      </c>
      <c r="E45">
        <v>199742141.79297301</v>
      </c>
      <c r="F45">
        <v>0</v>
      </c>
      <c r="G45">
        <v>0</v>
      </c>
      <c r="H45">
        <v>3</v>
      </c>
      <c r="I45">
        <v>11800000</v>
      </c>
      <c r="J45">
        <v>48</v>
      </c>
      <c r="K45">
        <v>187942141.79297301</v>
      </c>
    </row>
    <row r="46" spans="1:11" x14ac:dyDescent="0.25">
      <c r="A46">
        <v>45</v>
      </c>
      <c r="B46" t="s">
        <v>99</v>
      </c>
      <c r="C46" t="s">
        <v>100</v>
      </c>
      <c r="D46">
        <v>257</v>
      </c>
      <c r="E46">
        <v>86000485.632571429</v>
      </c>
      <c r="F46">
        <v>3</v>
      </c>
      <c r="G46">
        <v>6045455</v>
      </c>
      <c r="H46">
        <v>3</v>
      </c>
      <c r="I46">
        <v>6945455</v>
      </c>
      <c r="J46">
        <v>257</v>
      </c>
      <c r="K46">
        <v>85100485.632571429</v>
      </c>
    </row>
    <row r="47" spans="1:11" x14ac:dyDescent="0.25">
      <c r="A47">
        <v>46</v>
      </c>
      <c r="B47" t="s">
        <v>101</v>
      </c>
      <c r="C47" t="s">
        <v>102</v>
      </c>
      <c r="D47">
        <v>98</v>
      </c>
      <c r="E47">
        <v>207999686.92567381</v>
      </c>
      <c r="F47">
        <v>2</v>
      </c>
      <c r="G47">
        <v>8745454</v>
      </c>
      <c r="H47">
        <v>0</v>
      </c>
      <c r="I47">
        <v>0</v>
      </c>
      <c r="J47">
        <v>100</v>
      </c>
      <c r="K47">
        <v>216745140.92567381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35</v>
      </c>
      <c r="E49">
        <v>238064976.96224141</v>
      </c>
      <c r="F49">
        <v>11</v>
      </c>
      <c r="G49">
        <v>84772731</v>
      </c>
      <c r="H49">
        <v>13</v>
      </c>
      <c r="I49">
        <v>96727275</v>
      </c>
      <c r="J49">
        <v>33</v>
      </c>
      <c r="K49">
        <v>226110432.96224141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124691176.26693881</v>
      </c>
      <c r="F52">
        <v>0</v>
      </c>
      <c r="G52">
        <v>0</v>
      </c>
      <c r="H52">
        <v>0</v>
      </c>
      <c r="I52">
        <v>0</v>
      </c>
      <c r="J52">
        <v>72</v>
      </c>
      <c r="K52">
        <v>124691176.26693881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88</v>
      </c>
      <c r="E55">
        <v>121905079.172702</v>
      </c>
      <c r="F55">
        <v>1</v>
      </c>
      <c r="G55">
        <v>7180000</v>
      </c>
      <c r="H55">
        <v>16</v>
      </c>
      <c r="I55">
        <v>17718182</v>
      </c>
      <c r="J55">
        <v>73</v>
      </c>
      <c r="K55">
        <v>111366897.172702</v>
      </c>
    </row>
    <row r="56" spans="1:11" x14ac:dyDescent="0.25">
      <c r="A56">
        <v>55</v>
      </c>
      <c r="B56" t="s">
        <v>119</v>
      </c>
      <c r="C56" t="s">
        <v>120</v>
      </c>
      <c r="D56">
        <v>28</v>
      </c>
      <c r="E56">
        <v>12382605.491525421</v>
      </c>
      <c r="F56">
        <v>2</v>
      </c>
      <c r="G56">
        <v>2314815</v>
      </c>
      <c r="H56">
        <v>2</v>
      </c>
      <c r="I56">
        <v>2166667</v>
      </c>
      <c r="J56">
        <v>28</v>
      </c>
      <c r="K56">
        <v>12530753.491525421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15551110.180769229</v>
      </c>
      <c r="F57">
        <v>0</v>
      </c>
      <c r="G57">
        <v>0</v>
      </c>
      <c r="H57">
        <v>0</v>
      </c>
      <c r="I57">
        <v>0</v>
      </c>
      <c r="J57">
        <v>5</v>
      </c>
      <c r="K57">
        <v>15551110.180769229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3158</v>
      </c>
      <c r="E59">
        <v>257484230.38559759</v>
      </c>
      <c r="F59">
        <v>275</v>
      </c>
      <c r="G59">
        <v>37716363</v>
      </c>
      <c r="H59">
        <v>168</v>
      </c>
      <c r="I59">
        <v>28507273</v>
      </c>
      <c r="J59">
        <v>3265</v>
      </c>
      <c r="K59">
        <v>266693320.38559759</v>
      </c>
    </row>
    <row r="60" spans="1:11" x14ac:dyDescent="0.25">
      <c r="A60">
        <v>59</v>
      </c>
      <c r="B60" t="s">
        <v>127</v>
      </c>
      <c r="C60" t="s">
        <v>128</v>
      </c>
      <c r="D60">
        <v>83</v>
      </c>
      <c r="E60">
        <v>3441184.6822262122</v>
      </c>
      <c r="F60">
        <v>0</v>
      </c>
      <c r="G60">
        <v>0</v>
      </c>
      <c r="H60">
        <v>1</v>
      </c>
      <c r="I60">
        <v>254545</v>
      </c>
      <c r="J60">
        <v>82</v>
      </c>
      <c r="K60">
        <v>3186639.6822262122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1749</v>
      </c>
      <c r="E62">
        <v>237156797.8789579</v>
      </c>
      <c r="F62">
        <v>100</v>
      </c>
      <c r="G62">
        <v>2545455</v>
      </c>
      <c r="H62">
        <v>27</v>
      </c>
      <c r="I62">
        <v>2854547</v>
      </c>
      <c r="J62">
        <v>1822</v>
      </c>
      <c r="K62">
        <v>236847705.8789579</v>
      </c>
    </row>
    <row r="63" spans="1:11" x14ac:dyDescent="0.25">
      <c r="A63">
        <v>62</v>
      </c>
      <c r="B63" t="s">
        <v>133</v>
      </c>
      <c r="C63" t="s">
        <v>134</v>
      </c>
      <c r="D63">
        <v>258</v>
      </c>
      <c r="E63">
        <v>58143359.711580493</v>
      </c>
      <c r="F63">
        <v>0</v>
      </c>
      <c r="G63">
        <v>0</v>
      </c>
      <c r="H63">
        <v>1</v>
      </c>
      <c r="I63">
        <v>500000</v>
      </c>
      <c r="J63">
        <v>257</v>
      </c>
      <c r="K63">
        <v>57643359.711580493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164</v>
      </c>
      <c r="E70">
        <v>55362309.125112101</v>
      </c>
      <c r="F70">
        <v>0</v>
      </c>
      <c r="G70">
        <v>0</v>
      </c>
      <c r="H70">
        <v>3</v>
      </c>
      <c r="I70">
        <v>1618182</v>
      </c>
      <c r="J70">
        <v>161</v>
      </c>
      <c r="K70">
        <v>53744127.125112101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0</v>
      </c>
      <c r="I72">
        <v>0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94</v>
      </c>
      <c r="E73">
        <v>0</v>
      </c>
      <c r="F73">
        <v>6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140</v>
      </c>
      <c r="E74">
        <v>317894205.07878792</v>
      </c>
      <c r="F74">
        <v>0</v>
      </c>
      <c r="G74">
        <v>0</v>
      </c>
      <c r="H74">
        <v>3</v>
      </c>
      <c r="I74">
        <v>6727273</v>
      </c>
      <c r="J74">
        <v>137</v>
      </c>
      <c r="K74">
        <v>311166932.07878792</v>
      </c>
    </row>
    <row r="75" spans="1:11" x14ac:dyDescent="0.25">
      <c r="A75">
        <v>74</v>
      </c>
      <c r="B75" t="s">
        <v>157</v>
      </c>
      <c r="C75" t="s">
        <v>158</v>
      </c>
      <c r="D75">
        <v>132</v>
      </c>
      <c r="E75">
        <v>395869227.75098813</v>
      </c>
      <c r="F75">
        <v>0</v>
      </c>
      <c r="G75">
        <v>0</v>
      </c>
      <c r="H75">
        <v>2</v>
      </c>
      <c r="I75">
        <v>5818182</v>
      </c>
      <c r="J75">
        <v>130</v>
      </c>
      <c r="K75">
        <v>390051045.75098813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125</v>
      </c>
      <c r="E78">
        <v>185355167.59605911</v>
      </c>
      <c r="F78">
        <v>0</v>
      </c>
      <c r="G78">
        <v>0</v>
      </c>
      <c r="H78">
        <v>0</v>
      </c>
      <c r="I78">
        <v>0</v>
      </c>
      <c r="J78">
        <v>125</v>
      </c>
      <c r="K78">
        <v>185355167.59605911</v>
      </c>
    </row>
    <row r="79" spans="1:11" x14ac:dyDescent="0.25">
      <c r="A79">
        <v>78</v>
      </c>
      <c r="B79" t="s">
        <v>165</v>
      </c>
      <c r="C79" t="s">
        <v>166</v>
      </c>
      <c r="D79">
        <v>11</v>
      </c>
      <c r="E79">
        <v>26753660</v>
      </c>
      <c r="F79">
        <v>0</v>
      </c>
      <c r="G79">
        <v>0</v>
      </c>
      <c r="H79">
        <v>0</v>
      </c>
      <c r="I79">
        <v>0</v>
      </c>
      <c r="J79">
        <v>11</v>
      </c>
      <c r="K79">
        <v>26753660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670</v>
      </c>
      <c r="E81">
        <v>201562169.62329009</v>
      </c>
      <c r="F81">
        <v>0</v>
      </c>
      <c r="G81">
        <v>0</v>
      </c>
      <c r="H81">
        <v>5</v>
      </c>
      <c r="I81">
        <v>2199999</v>
      </c>
      <c r="J81">
        <v>665</v>
      </c>
      <c r="K81">
        <v>199362170.62329009</v>
      </c>
    </row>
    <row r="82" spans="1:11" x14ac:dyDescent="0.25">
      <c r="A82">
        <v>81</v>
      </c>
      <c r="B82" t="s">
        <v>171</v>
      </c>
      <c r="C82" t="s">
        <v>172</v>
      </c>
      <c r="D82">
        <v>200</v>
      </c>
      <c r="E82">
        <v>137934852.11730209</v>
      </c>
      <c r="F82">
        <v>0</v>
      </c>
      <c r="G82">
        <v>0</v>
      </c>
      <c r="H82">
        <v>1</v>
      </c>
      <c r="I82">
        <v>772727</v>
      </c>
      <c r="J82">
        <v>199</v>
      </c>
      <c r="K82">
        <v>137162125.11730209</v>
      </c>
    </row>
    <row r="83" spans="1:11" x14ac:dyDescent="0.25">
      <c r="A83">
        <v>82</v>
      </c>
      <c r="B83" t="s">
        <v>173</v>
      </c>
      <c r="C83" t="s">
        <v>174</v>
      </c>
      <c r="D83">
        <v>31</v>
      </c>
      <c r="E83">
        <v>29163559.202380959</v>
      </c>
      <c r="F83">
        <v>0</v>
      </c>
      <c r="G83">
        <v>0</v>
      </c>
      <c r="H83">
        <v>0</v>
      </c>
      <c r="I83">
        <v>0</v>
      </c>
      <c r="J83">
        <v>31</v>
      </c>
      <c r="K83">
        <v>29163559.202380959</v>
      </c>
    </row>
    <row r="84" spans="1:11" x14ac:dyDescent="0.25">
      <c r="A84">
        <v>83</v>
      </c>
      <c r="B84" t="s">
        <v>175</v>
      </c>
      <c r="C84" t="s">
        <v>176</v>
      </c>
      <c r="D84">
        <v>18</v>
      </c>
      <c r="E84">
        <v>37969361.200000003</v>
      </c>
      <c r="F84">
        <v>0</v>
      </c>
      <c r="G84">
        <v>0</v>
      </c>
      <c r="H84">
        <v>0</v>
      </c>
      <c r="I84">
        <v>0</v>
      </c>
      <c r="J84">
        <v>18</v>
      </c>
      <c r="K84">
        <v>37969361.200000003</v>
      </c>
    </row>
    <row r="85" spans="1:11" x14ac:dyDescent="0.25">
      <c r="A85">
        <v>84</v>
      </c>
      <c r="B85" t="s">
        <v>177</v>
      </c>
      <c r="C85" t="s">
        <v>178</v>
      </c>
      <c r="D85">
        <v>8</v>
      </c>
      <c r="E85">
        <v>37028638.483870968</v>
      </c>
      <c r="F85">
        <v>0</v>
      </c>
      <c r="G85">
        <v>0</v>
      </c>
      <c r="H85">
        <v>0</v>
      </c>
      <c r="I85">
        <v>0</v>
      </c>
      <c r="J85">
        <v>8</v>
      </c>
      <c r="K85">
        <v>37028638.483870968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60</v>
      </c>
      <c r="E87">
        <v>69114626.572559372</v>
      </c>
      <c r="F87">
        <v>5</v>
      </c>
      <c r="G87">
        <v>6145455</v>
      </c>
      <c r="H87">
        <v>2</v>
      </c>
      <c r="I87">
        <v>3990909</v>
      </c>
      <c r="J87">
        <v>63</v>
      </c>
      <c r="K87">
        <v>71269172.572559372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1281</v>
      </c>
      <c r="E89">
        <v>363689474.74628812</v>
      </c>
      <c r="F89">
        <v>0</v>
      </c>
      <c r="G89">
        <v>0</v>
      </c>
      <c r="H89">
        <v>8</v>
      </c>
      <c r="I89">
        <v>5536364</v>
      </c>
      <c r="J89">
        <v>1273</v>
      </c>
      <c r="K89">
        <v>358153110.74628812</v>
      </c>
    </row>
    <row r="90" spans="1:11" x14ac:dyDescent="0.25">
      <c r="A90">
        <v>89</v>
      </c>
      <c r="B90" t="s">
        <v>187</v>
      </c>
      <c r="C90" t="s">
        <v>188</v>
      </c>
      <c r="D90">
        <v>198</v>
      </c>
      <c r="E90">
        <v>227790944.34957021</v>
      </c>
      <c r="F90">
        <v>0</v>
      </c>
      <c r="G90">
        <v>0</v>
      </c>
      <c r="H90">
        <v>7</v>
      </c>
      <c r="I90">
        <v>29609091</v>
      </c>
      <c r="J90">
        <v>191</v>
      </c>
      <c r="K90">
        <v>198181853.34957021</v>
      </c>
    </row>
    <row r="91" spans="1:11" x14ac:dyDescent="0.25">
      <c r="A91">
        <v>90</v>
      </c>
      <c r="B91" t="s">
        <v>189</v>
      </c>
      <c r="C91" t="s">
        <v>190</v>
      </c>
      <c r="D91">
        <v>66</v>
      </c>
      <c r="E91">
        <v>88344139.992395431</v>
      </c>
      <c r="F91">
        <v>0</v>
      </c>
      <c r="G91">
        <v>0</v>
      </c>
      <c r="H91">
        <v>0</v>
      </c>
      <c r="I91">
        <v>0</v>
      </c>
      <c r="J91">
        <v>66</v>
      </c>
      <c r="K91">
        <v>88344139.992395431</v>
      </c>
    </row>
    <row r="92" spans="1:11" x14ac:dyDescent="0.25">
      <c r="A92">
        <v>91</v>
      </c>
      <c r="B92" t="s">
        <v>191</v>
      </c>
      <c r="C92" t="s">
        <v>192</v>
      </c>
      <c r="D92">
        <v>135</v>
      </c>
      <c r="E92">
        <v>64042301.128078818</v>
      </c>
      <c r="F92">
        <v>9</v>
      </c>
      <c r="G92">
        <v>11818181</v>
      </c>
      <c r="H92">
        <v>3</v>
      </c>
      <c r="I92">
        <v>3536364</v>
      </c>
      <c r="J92">
        <v>141</v>
      </c>
      <c r="K92">
        <v>72324118.128078818</v>
      </c>
    </row>
    <row r="93" spans="1:11" x14ac:dyDescent="0.25">
      <c r="A93">
        <v>92</v>
      </c>
      <c r="B93" t="s">
        <v>193</v>
      </c>
      <c r="C93" t="s">
        <v>194</v>
      </c>
      <c r="D93">
        <v>60</v>
      </c>
      <c r="E93">
        <v>93834964.432558149</v>
      </c>
      <c r="F93">
        <v>3</v>
      </c>
      <c r="G93">
        <v>5318182</v>
      </c>
      <c r="H93">
        <v>5</v>
      </c>
      <c r="I93">
        <v>11163638</v>
      </c>
      <c r="J93">
        <v>58</v>
      </c>
      <c r="K93">
        <v>87989508.432558149</v>
      </c>
    </row>
    <row r="94" spans="1:11" x14ac:dyDescent="0.25">
      <c r="A94">
        <v>93</v>
      </c>
      <c r="B94" t="s">
        <v>195</v>
      </c>
      <c r="C94" t="s">
        <v>196</v>
      </c>
      <c r="D94">
        <v>308</v>
      </c>
      <c r="E94">
        <v>101983413.6155607</v>
      </c>
      <c r="F94">
        <v>20</v>
      </c>
      <c r="G94">
        <v>32927273</v>
      </c>
      <c r="H94">
        <v>9</v>
      </c>
      <c r="I94">
        <v>5509091</v>
      </c>
      <c r="J94">
        <v>319</v>
      </c>
      <c r="K94">
        <v>129401595.6155607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3313637</v>
      </c>
      <c r="F95">
        <v>0</v>
      </c>
      <c r="G95">
        <v>0</v>
      </c>
      <c r="H95">
        <v>0</v>
      </c>
      <c r="I95">
        <v>0</v>
      </c>
      <c r="J95">
        <v>30</v>
      </c>
      <c r="K95">
        <v>3313637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1078</v>
      </c>
      <c r="E97">
        <v>108827893.4361957</v>
      </c>
      <c r="F97">
        <v>50</v>
      </c>
      <c r="G97">
        <v>3772727</v>
      </c>
      <c r="H97">
        <v>0</v>
      </c>
      <c r="I97">
        <v>0</v>
      </c>
      <c r="J97">
        <v>1128</v>
      </c>
      <c r="K97">
        <v>112600620.4361957</v>
      </c>
    </row>
    <row r="98" spans="1:11" x14ac:dyDescent="0.25">
      <c r="A98">
        <v>97</v>
      </c>
      <c r="B98" t="s">
        <v>203</v>
      </c>
      <c r="C98" t="s">
        <v>204</v>
      </c>
      <c r="D98">
        <v>203</v>
      </c>
      <c r="E98">
        <v>41382533.620727673</v>
      </c>
      <c r="F98">
        <v>0</v>
      </c>
      <c r="G98">
        <v>0</v>
      </c>
      <c r="H98">
        <v>2</v>
      </c>
      <c r="I98">
        <v>527273</v>
      </c>
      <c r="J98">
        <v>201</v>
      </c>
      <c r="K98">
        <v>40855260.620727673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16226332.758620691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120</v>
      </c>
      <c r="E102">
        <v>105177963.6692913</v>
      </c>
      <c r="F102">
        <v>0</v>
      </c>
      <c r="G102">
        <v>0</v>
      </c>
      <c r="H102">
        <v>0</v>
      </c>
      <c r="I102">
        <v>0</v>
      </c>
      <c r="J102">
        <v>120</v>
      </c>
      <c r="K102">
        <v>105177963.6692913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2326</v>
      </c>
      <c r="E104">
        <v>240889500.46378449</v>
      </c>
      <c r="F104">
        <v>80</v>
      </c>
      <c r="G104">
        <v>5927273</v>
      </c>
      <c r="H104">
        <v>24</v>
      </c>
      <c r="I104">
        <v>3563634</v>
      </c>
      <c r="J104">
        <v>2382</v>
      </c>
      <c r="K104">
        <v>243253139.46378449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208</v>
      </c>
      <c r="E105">
        <v>75291717.992982447</v>
      </c>
      <c r="F105">
        <v>10</v>
      </c>
      <c r="G105">
        <v>5027272</v>
      </c>
      <c r="H105">
        <v>14</v>
      </c>
      <c r="I105">
        <v>1400000</v>
      </c>
      <c r="J105">
        <v>204</v>
      </c>
      <c r="K105">
        <v>78918989.992982447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1361</v>
      </c>
      <c r="E106">
        <v>226768264.69023031</v>
      </c>
      <c r="F106">
        <v>0</v>
      </c>
      <c r="G106">
        <v>0</v>
      </c>
      <c r="H106">
        <v>762</v>
      </c>
      <c r="I106">
        <v>34951817</v>
      </c>
      <c r="J106">
        <v>599</v>
      </c>
      <c r="K106">
        <v>191816447.69023031</v>
      </c>
    </row>
    <row r="107" spans="1:11" x14ac:dyDescent="0.25">
      <c r="A107">
        <v>106</v>
      </c>
      <c r="B107" t="s">
        <v>221</v>
      </c>
      <c r="C107" t="s">
        <v>222</v>
      </c>
      <c r="D107">
        <v>1099</v>
      </c>
      <c r="E107">
        <v>157694720.3291294</v>
      </c>
      <c r="F107">
        <v>60</v>
      </c>
      <c r="G107">
        <v>7527273</v>
      </c>
      <c r="H107">
        <v>376</v>
      </c>
      <c r="I107">
        <v>36745460</v>
      </c>
      <c r="J107">
        <v>783</v>
      </c>
      <c r="K107">
        <v>128476533.3291294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273</v>
      </c>
      <c r="E109">
        <v>76488325.850046858</v>
      </c>
      <c r="F109">
        <v>7</v>
      </c>
      <c r="G109">
        <v>1560000</v>
      </c>
      <c r="H109">
        <v>1</v>
      </c>
      <c r="I109">
        <v>409091</v>
      </c>
      <c r="J109">
        <v>279</v>
      </c>
      <c r="K109">
        <v>77639234.850046858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214</v>
      </c>
      <c r="E110">
        <v>88168388.166189104</v>
      </c>
      <c r="F110">
        <v>22</v>
      </c>
      <c r="G110">
        <v>5890000</v>
      </c>
      <c r="H110">
        <v>8</v>
      </c>
      <c r="I110">
        <v>2136361</v>
      </c>
      <c r="J110">
        <v>228</v>
      </c>
      <c r="K110">
        <v>91922027.166189104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104</v>
      </c>
      <c r="E112">
        <v>45551423.259079903</v>
      </c>
      <c r="F112">
        <v>0</v>
      </c>
      <c r="G112">
        <v>0</v>
      </c>
      <c r="H112">
        <v>0</v>
      </c>
      <c r="I112">
        <v>0</v>
      </c>
      <c r="J112">
        <v>104</v>
      </c>
      <c r="K112">
        <v>45551423.259079903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869</v>
      </c>
      <c r="E113">
        <v>284518186.39026397</v>
      </c>
      <c r="F113">
        <v>0</v>
      </c>
      <c r="G113">
        <v>0</v>
      </c>
      <c r="H113">
        <v>3</v>
      </c>
      <c r="I113">
        <v>372728</v>
      </c>
      <c r="J113">
        <v>866</v>
      </c>
      <c r="K113">
        <v>284145458.39026397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49</v>
      </c>
      <c r="E114">
        <v>27525602.620689649</v>
      </c>
      <c r="F114">
        <v>0</v>
      </c>
      <c r="G114">
        <v>0</v>
      </c>
      <c r="H114">
        <v>0</v>
      </c>
      <c r="I114">
        <v>0</v>
      </c>
      <c r="J114">
        <v>49</v>
      </c>
      <c r="K114">
        <v>27525602.620689649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113</v>
      </c>
      <c r="E123">
        <v>47089607.616306961</v>
      </c>
      <c r="F123">
        <v>15</v>
      </c>
      <c r="G123">
        <v>6150000</v>
      </c>
      <c r="H123">
        <v>40</v>
      </c>
      <c r="I123">
        <v>10909091</v>
      </c>
      <c r="J123">
        <v>88</v>
      </c>
      <c r="K123">
        <v>42330516.616306961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544</v>
      </c>
      <c r="E126">
        <v>300051525.2321918</v>
      </c>
      <c r="F126">
        <v>20</v>
      </c>
      <c r="G126">
        <v>12333633</v>
      </c>
      <c r="H126">
        <v>0</v>
      </c>
      <c r="I126">
        <v>0</v>
      </c>
      <c r="J126">
        <v>564</v>
      </c>
      <c r="K126">
        <v>312385158.2321918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9</v>
      </c>
      <c r="E128">
        <v>9021719.4090909101</v>
      </c>
      <c r="F128">
        <v>1</v>
      </c>
      <c r="G128">
        <v>936364</v>
      </c>
      <c r="H128">
        <v>0</v>
      </c>
      <c r="I128">
        <v>0</v>
      </c>
      <c r="J128">
        <v>10</v>
      </c>
      <c r="K128">
        <v>9958083.4090909101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31572344.75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31572344.75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266</v>
      </c>
      <c r="E131">
        <v>159293063.5194805</v>
      </c>
      <c r="F131">
        <v>11</v>
      </c>
      <c r="G131">
        <v>4713639</v>
      </c>
      <c r="H131">
        <v>0</v>
      </c>
      <c r="I131">
        <v>0</v>
      </c>
      <c r="J131">
        <v>277</v>
      </c>
      <c r="K131">
        <v>164006702.5194805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111</v>
      </c>
      <c r="E132">
        <v>14073046.7489301</v>
      </c>
      <c r="F132">
        <v>0</v>
      </c>
      <c r="G132">
        <v>0</v>
      </c>
      <c r="H132">
        <v>0</v>
      </c>
      <c r="I132">
        <v>0</v>
      </c>
      <c r="J132">
        <v>111</v>
      </c>
      <c r="K132">
        <v>14073046.7489301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383</v>
      </c>
      <c r="E133">
        <v>104306017.7694118</v>
      </c>
      <c r="F133">
        <v>10</v>
      </c>
      <c r="G133">
        <v>990907</v>
      </c>
      <c r="H133">
        <v>10</v>
      </c>
      <c r="I133">
        <v>2690000</v>
      </c>
      <c r="J133">
        <v>383</v>
      </c>
      <c r="K133">
        <v>102606924.7694118</v>
      </c>
    </row>
    <row r="134" spans="1:11" x14ac:dyDescent="0.25">
      <c r="A134">
        <v>133</v>
      </c>
      <c r="B134" t="s">
        <v>275</v>
      </c>
      <c r="C134" t="s">
        <v>276</v>
      </c>
      <c r="D134">
        <v>120</v>
      </c>
      <c r="E134">
        <v>40617960.084337354</v>
      </c>
      <c r="F134">
        <v>4</v>
      </c>
      <c r="G134">
        <v>2211817</v>
      </c>
      <c r="H134">
        <v>12</v>
      </c>
      <c r="I134">
        <v>5272728</v>
      </c>
      <c r="J134">
        <v>112</v>
      </c>
      <c r="K134">
        <v>37557049.084337354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0</v>
      </c>
      <c r="G141">
        <v>0</v>
      </c>
      <c r="H141">
        <v>0</v>
      </c>
      <c r="I141">
        <v>0</v>
      </c>
      <c r="J141">
        <v>7</v>
      </c>
      <c r="K141">
        <v>28409354.838709679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165</v>
      </c>
      <c r="E143">
        <v>49071168.115942031</v>
      </c>
      <c r="F143">
        <v>0</v>
      </c>
      <c r="G143">
        <v>0</v>
      </c>
      <c r="H143">
        <v>10</v>
      </c>
      <c r="I143">
        <v>3240000</v>
      </c>
      <c r="J143">
        <v>155</v>
      </c>
      <c r="K143">
        <v>45831168.115942031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902.33600000000001</v>
      </c>
      <c r="E146">
        <v>746642804.1099999</v>
      </c>
      <c r="F146">
        <v>69</v>
      </c>
      <c r="G146">
        <v>65154569</v>
      </c>
      <c r="H146">
        <v>55</v>
      </c>
      <c r="I146">
        <v>58964241</v>
      </c>
      <c r="J146">
        <v>916.33600000000001</v>
      </c>
      <c r="K146">
        <v>752833132.1099999</v>
      </c>
    </row>
    <row r="147" spans="1:11" x14ac:dyDescent="0.25">
      <c r="A147" t="s">
        <v>301</v>
      </c>
      <c r="D147">
        <v>23839.335999999999</v>
      </c>
      <c r="E147">
        <v>21103743212.36549</v>
      </c>
      <c r="F147">
        <v>962</v>
      </c>
      <c r="G147">
        <v>739806624</v>
      </c>
      <c r="H147">
        <v>1828</v>
      </c>
      <c r="I147">
        <v>1668824554</v>
      </c>
      <c r="J147">
        <v>22973.335999999999</v>
      </c>
      <c r="K147">
        <v>20249704939.83065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17</v>
      </c>
      <c r="E3">
        <v>144656990</v>
      </c>
      <c r="F3">
        <v>0</v>
      </c>
      <c r="G3">
        <v>0</v>
      </c>
      <c r="H3">
        <v>0</v>
      </c>
      <c r="I3">
        <v>0</v>
      </c>
      <c r="J3">
        <v>17</v>
      </c>
      <c r="K3">
        <v>144656990</v>
      </c>
    </row>
    <row r="4" spans="1:11" x14ac:dyDescent="0.25">
      <c r="A4">
        <v>3</v>
      </c>
      <c r="B4" t="s">
        <v>15</v>
      </c>
      <c r="C4" t="s">
        <v>16</v>
      </c>
      <c r="D4">
        <v>157</v>
      </c>
      <c r="E4">
        <v>1585054679.201292</v>
      </c>
      <c r="F4">
        <v>16</v>
      </c>
      <c r="G4">
        <v>218727273</v>
      </c>
      <c r="H4">
        <v>4</v>
      </c>
      <c r="I4">
        <v>54436363</v>
      </c>
      <c r="J4">
        <v>169</v>
      </c>
      <c r="K4">
        <v>1749345589.201292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>
        <v>112611804.1785714</v>
      </c>
      <c r="F6">
        <v>0</v>
      </c>
      <c r="G6">
        <v>0</v>
      </c>
      <c r="H6">
        <v>0</v>
      </c>
      <c r="I6">
        <v>0</v>
      </c>
      <c r="J6">
        <v>9</v>
      </c>
      <c r="K6">
        <v>112611804.1785714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>
        <v>13864462.09090909</v>
      </c>
      <c r="F8">
        <v>0</v>
      </c>
      <c r="G8">
        <v>0</v>
      </c>
      <c r="H8">
        <v>0</v>
      </c>
      <c r="I8">
        <v>0</v>
      </c>
      <c r="J8">
        <v>2</v>
      </c>
      <c r="K8">
        <v>13864462.09090909</v>
      </c>
    </row>
    <row r="9" spans="1:11" x14ac:dyDescent="0.25">
      <c r="A9">
        <v>8</v>
      </c>
      <c r="B9" t="s">
        <v>25</v>
      </c>
      <c r="C9" t="s">
        <v>26</v>
      </c>
      <c r="D9">
        <v>15</v>
      </c>
      <c r="E9">
        <v>48227181.450000003</v>
      </c>
      <c r="F9">
        <v>2</v>
      </c>
      <c r="G9">
        <v>6238182</v>
      </c>
      <c r="H9">
        <v>0</v>
      </c>
      <c r="I9">
        <v>0</v>
      </c>
      <c r="J9">
        <v>17</v>
      </c>
      <c r="K9">
        <v>54465363.450000003</v>
      </c>
    </row>
    <row r="10" spans="1:11" x14ac:dyDescent="0.25">
      <c r="A10">
        <v>9</v>
      </c>
      <c r="B10" t="s">
        <v>27</v>
      </c>
      <c r="C10" t="s">
        <v>28</v>
      </c>
      <c r="D10">
        <v>213</v>
      </c>
      <c r="E10">
        <v>838410951.5951941</v>
      </c>
      <c r="F10">
        <v>28</v>
      </c>
      <c r="G10">
        <v>154558181</v>
      </c>
      <c r="H10">
        <v>15</v>
      </c>
      <c r="I10">
        <v>84500001</v>
      </c>
      <c r="J10">
        <v>226</v>
      </c>
      <c r="K10">
        <v>908469131.5951941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278</v>
      </c>
      <c r="E12">
        <v>3153529971.2191219</v>
      </c>
      <c r="F12">
        <v>83</v>
      </c>
      <c r="G12">
        <v>849590906</v>
      </c>
      <c r="H12">
        <v>16</v>
      </c>
      <c r="I12">
        <v>141000000</v>
      </c>
      <c r="J12">
        <v>345</v>
      </c>
      <c r="K12">
        <v>3862120877.2191219</v>
      </c>
    </row>
    <row r="13" spans="1:11" x14ac:dyDescent="0.25">
      <c r="A13">
        <v>12</v>
      </c>
      <c r="B13" t="s">
        <v>33</v>
      </c>
      <c r="C13" t="s">
        <v>34</v>
      </c>
      <c r="D13">
        <v>37</v>
      </c>
      <c r="E13">
        <v>630180594.76923084</v>
      </c>
      <c r="F13">
        <v>0</v>
      </c>
      <c r="G13">
        <v>0</v>
      </c>
      <c r="H13">
        <v>3</v>
      </c>
      <c r="I13">
        <v>55409091</v>
      </c>
      <c r="J13">
        <v>34</v>
      </c>
      <c r="K13">
        <v>574771503.76923084</v>
      </c>
    </row>
    <row r="14" spans="1:11" x14ac:dyDescent="0.25">
      <c r="A14">
        <v>13</v>
      </c>
      <c r="B14" t="s">
        <v>35</v>
      </c>
      <c r="C14" t="s">
        <v>36</v>
      </c>
      <c r="D14">
        <v>27</v>
      </c>
      <c r="E14">
        <v>456157133.28947371</v>
      </c>
      <c r="F14">
        <v>0</v>
      </c>
      <c r="G14">
        <v>0</v>
      </c>
      <c r="H14">
        <v>3</v>
      </c>
      <c r="I14">
        <v>45409092</v>
      </c>
      <c r="J14">
        <v>24</v>
      </c>
      <c r="K14">
        <v>410748041.28947371</v>
      </c>
    </row>
    <row r="15" spans="1:11" x14ac:dyDescent="0.25">
      <c r="A15">
        <v>14</v>
      </c>
      <c r="B15" t="s">
        <v>37</v>
      </c>
      <c r="C15" t="s">
        <v>38</v>
      </c>
      <c r="D15">
        <v>36</v>
      </c>
      <c r="E15">
        <v>437383222.93430662</v>
      </c>
      <c r="F15">
        <v>1</v>
      </c>
      <c r="G15">
        <v>15454545</v>
      </c>
      <c r="H15">
        <v>0</v>
      </c>
      <c r="I15">
        <v>0</v>
      </c>
      <c r="J15">
        <v>37</v>
      </c>
      <c r="K15">
        <v>452837767.93430662</v>
      </c>
    </row>
    <row r="16" spans="1:11" x14ac:dyDescent="0.25">
      <c r="A16">
        <v>15</v>
      </c>
      <c r="B16" t="s">
        <v>39</v>
      </c>
      <c r="C16" t="s">
        <v>40</v>
      </c>
      <c r="D16">
        <v>12</v>
      </c>
      <c r="E16">
        <v>171994077.10447761</v>
      </c>
      <c r="F16">
        <v>0</v>
      </c>
      <c r="G16">
        <v>0</v>
      </c>
      <c r="H16">
        <v>2</v>
      </c>
      <c r="I16">
        <v>17272727</v>
      </c>
      <c r="J16">
        <v>10</v>
      </c>
      <c r="K16">
        <v>154721350.10447761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80</v>
      </c>
      <c r="E24">
        <v>362409286.54972363</v>
      </c>
      <c r="F24">
        <v>0</v>
      </c>
      <c r="G24">
        <v>0</v>
      </c>
      <c r="H24">
        <v>11</v>
      </c>
      <c r="I24">
        <v>100940910</v>
      </c>
      <c r="J24">
        <v>69</v>
      </c>
      <c r="K24">
        <v>261468376.5497236</v>
      </c>
    </row>
    <row r="25" spans="1:11" x14ac:dyDescent="0.25">
      <c r="A25">
        <v>24</v>
      </c>
      <c r="B25" t="s">
        <v>57</v>
      </c>
      <c r="C25" t="s">
        <v>58</v>
      </c>
      <c r="D25">
        <v>331</v>
      </c>
      <c r="E25">
        <v>2417257044.361217</v>
      </c>
      <c r="F25">
        <v>34</v>
      </c>
      <c r="G25">
        <v>327120909</v>
      </c>
      <c r="H25">
        <v>32</v>
      </c>
      <c r="I25">
        <v>213090909</v>
      </c>
      <c r="J25">
        <v>333</v>
      </c>
      <c r="K25">
        <v>2531287044.361217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1</v>
      </c>
      <c r="G28">
        <v>29545455</v>
      </c>
      <c r="H28">
        <v>0</v>
      </c>
      <c r="I28">
        <v>0</v>
      </c>
      <c r="J28">
        <v>1</v>
      </c>
      <c r="K28">
        <v>29545455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56286503.307692319</v>
      </c>
      <c r="F30">
        <v>0</v>
      </c>
      <c r="G30">
        <v>0</v>
      </c>
      <c r="H30">
        <v>0</v>
      </c>
      <c r="I30">
        <v>0</v>
      </c>
      <c r="J30">
        <v>5</v>
      </c>
      <c r="K30">
        <v>56286503.307692319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49</v>
      </c>
      <c r="E34">
        <v>103449811.18326689</v>
      </c>
      <c r="F34">
        <v>1</v>
      </c>
      <c r="G34">
        <v>2009091</v>
      </c>
      <c r="H34">
        <v>0</v>
      </c>
      <c r="I34">
        <v>0</v>
      </c>
      <c r="J34">
        <v>50</v>
      </c>
      <c r="K34">
        <v>105458902.18326689</v>
      </c>
    </row>
    <row r="35" spans="1:11" x14ac:dyDescent="0.25">
      <c r="A35">
        <v>34</v>
      </c>
      <c r="B35" t="s">
        <v>77</v>
      </c>
      <c r="C35" t="s">
        <v>78</v>
      </c>
      <c r="D35">
        <v>528</v>
      </c>
      <c r="E35">
        <v>1055980035.553802</v>
      </c>
      <c r="F35">
        <v>236</v>
      </c>
      <c r="G35">
        <v>391636363</v>
      </c>
      <c r="H35">
        <v>25</v>
      </c>
      <c r="I35">
        <v>40963637</v>
      </c>
      <c r="J35">
        <v>739</v>
      </c>
      <c r="K35">
        <v>1406652761.553802</v>
      </c>
    </row>
    <row r="36" spans="1:11" x14ac:dyDescent="0.25">
      <c r="A36">
        <v>35</v>
      </c>
      <c r="B36" t="s">
        <v>79</v>
      </c>
      <c r="C36" t="s">
        <v>80</v>
      </c>
      <c r="D36">
        <v>10</v>
      </c>
      <c r="E36">
        <v>21480799.021276589</v>
      </c>
      <c r="F36">
        <v>2</v>
      </c>
      <c r="G36">
        <v>6090909</v>
      </c>
      <c r="H36">
        <v>0</v>
      </c>
      <c r="I36">
        <v>0</v>
      </c>
      <c r="J36">
        <v>12</v>
      </c>
      <c r="K36">
        <v>27571708.021276589</v>
      </c>
    </row>
    <row r="37" spans="1:11" x14ac:dyDescent="0.25">
      <c r="A37">
        <v>36</v>
      </c>
      <c r="B37" t="s">
        <v>81</v>
      </c>
      <c r="C37" t="s">
        <v>82</v>
      </c>
      <c r="D37">
        <v>39</v>
      </c>
      <c r="E37">
        <v>122546743.1964286</v>
      </c>
      <c r="F37">
        <v>8</v>
      </c>
      <c r="G37">
        <v>22945455</v>
      </c>
      <c r="H37">
        <v>1</v>
      </c>
      <c r="I37">
        <v>7318182</v>
      </c>
      <c r="J37">
        <v>46</v>
      </c>
      <c r="K37">
        <v>138174016.1964286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134</v>
      </c>
      <c r="E39">
        <v>321293145.38106239</v>
      </c>
      <c r="F39">
        <v>9</v>
      </c>
      <c r="G39">
        <v>26054545</v>
      </c>
      <c r="H39">
        <v>5</v>
      </c>
      <c r="I39">
        <v>6500001</v>
      </c>
      <c r="J39">
        <v>138</v>
      </c>
      <c r="K39">
        <v>340847689.38106239</v>
      </c>
    </row>
    <row r="40" spans="1:11" x14ac:dyDescent="0.25">
      <c r="A40">
        <v>39</v>
      </c>
      <c r="B40" t="s">
        <v>87</v>
      </c>
      <c r="C40" t="s">
        <v>88</v>
      </c>
      <c r="D40">
        <v>4</v>
      </c>
      <c r="E40">
        <v>23252525.77777778</v>
      </c>
      <c r="F40">
        <v>3</v>
      </c>
      <c r="G40">
        <v>9681818</v>
      </c>
      <c r="H40">
        <v>0</v>
      </c>
      <c r="I40">
        <v>0</v>
      </c>
      <c r="J40">
        <v>7</v>
      </c>
      <c r="K40">
        <v>32934343.77777778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984</v>
      </c>
      <c r="E42">
        <v>0</v>
      </c>
      <c r="F42">
        <v>35</v>
      </c>
      <c r="G42">
        <v>35690908</v>
      </c>
      <c r="H42">
        <v>12</v>
      </c>
      <c r="I42">
        <v>42745455</v>
      </c>
      <c r="J42">
        <v>1007</v>
      </c>
      <c r="K42">
        <v>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348</v>
      </c>
      <c r="E44">
        <v>955794741.42474437</v>
      </c>
      <c r="F44">
        <v>33</v>
      </c>
      <c r="G44">
        <v>90217127</v>
      </c>
      <c r="H44">
        <v>5</v>
      </c>
      <c r="I44">
        <v>14954546</v>
      </c>
      <c r="J44">
        <v>376</v>
      </c>
      <c r="K44">
        <v>1031057322.424744</v>
      </c>
    </row>
    <row r="45" spans="1:11" x14ac:dyDescent="0.25">
      <c r="A45">
        <v>44</v>
      </c>
      <c r="B45" t="s">
        <v>97</v>
      </c>
      <c r="C45" t="s">
        <v>98</v>
      </c>
      <c r="D45">
        <v>48</v>
      </c>
      <c r="E45">
        <v>187942141.79297301</v>
      </c>
      <c r="F45">
        <v>3</v>
      </c>
      <c r="G45">
        <v>15417709</v>
      </c>
      <c r="H45">
        <v>0</v>
      </c>
      <c r="I45">
        <v>0</v>
      </c>
      <c r="J45">
        <v>51</v>
      </c>
      <c r="K45">
        <v>203359850.79297301</v>
      </c>
    </row>
    <row r="46" spans="1:11" x14ac:dyDescent="0.25">
      <c r="A46">
        <v>45</v>
      </c>
      <c r="B46" t="s">
        <v>99</v>
      </c>
      <c r="C46" t="s">
        <v>100</v>
      </c>
      <c r="D46">
        <v>257</v>
      </c>
      <c r="E46">
        <v>85100485.632571429</v>
      </c>
      <c r="F46">
        <v>9</v>
      </c>
      <c r="G46">
        <v>14590907</v>
      </c>
      <c r="H46">
        <v>1</v>
      </c>
      <c r="I46">
        <v>409091</v>
      </c>
      <c r="J46">
        <v>265</v>
      </c>
      <c r="K46">
        <v>99282301.632571429</v>
      </c>
    </row>
    <row r="47" spans="1:11" x14ac:dyDescent="0.25">
      <c r="A47">
        <v>46</v>
      </c>
      <c r="B47" t="s">
        <v>101</v>
      </c>
      <c r="C47" t="s">
        <v>102</v>
      </c>
      <c r="D47">
        <v>100</v>
      </c>
      <c r="E47">
        <v>216745140.92567381</v>
      </c>
      <c r="F47">
        <v>8</v>
      </c>
      <c r="G47">
        <v>6700000</v>
      </c>
      <c r="H47">
        <v>0</v>
      </c>
      <c r="I47">
        <v>0</v>
      </c>
      <c r="J47">
        <v>108</v>
      </c>
      <c r="K47">
        <v>223445140.92567381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33</v>
      </c>
      <c r="E49">
        <v>226110432.96224141</v>
      </c>
      <c r="F49">
        <v>4</v>
      </c>
      <c r="G49">
        <v>26136363</v>
      </c>
      <c r="H49">
        <v>3</v>
      </c>
      <c r="I49">
        <v>22427274</v>
      </c>
      <c r="J49">
        <v>34</v>
      </c>
      <c r="K49">
        <v>229819521.96224141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124691176.26693881</v>
      </c>
      <c r="F52">
        <v>0</v>
      </c>
      <c r="G52">
        <v>0</v>
      </c>
      <c r="H52">
        <v>0</v>
      </c>
      <c r="I52">
        <v>0</v>
      </c>
      <c r="J52">
        <v>72</v>
      </c>
      <c r="K52">
        <v>124691176.26693881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73</v>
      </c>
      <c r="E55">
        <v>111366897.172702</v>
      </c>
      <c r="F55">
        <v>5</v>
      </c>
      <c r="G55">
        <v>37225455</v>
      </c>
      <c r="H55">
        <v>3</v>
      </c>
      <c r="I55">
        <v>18636363</v>
      </c>
      <c r="J55">
        <v>75</v>
      </c>
      <c r="K55">
        <v>129955989.172702</v>
      </c>
    </row>
    <row r="56" spans="1:11" x14ac:dyDescent="0.25">
      <c r="A56">
        <v>55</v>
      </c>
      <c r="B56" t="s">
        <v>119</v>
      </c>
      <c r="C56" t="s">
        <v>120</v>
      </c>
      <c r="D56">
        <v>28</v>
      </c>
      <c r="E56">
        <v>12530753.491525421</v>
      </c>
      <c r="F56">
        <v>8</v>
      </c>
      <c r="G56">
        <v>5675925</v>
      </c>
      <c r="H56">
        <v>1</v>
      </c>
      <c r="I56">
        <v>1342593</v>
      </c>
      <c r="J56">
        <v>35</v>
      </c>
      <c r="K56">
        <v>16864085.491525419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15551110.180769229</v>
      </c>
      <c r="F57">
        <v>0</v>
      </c>
      <c r="G57">
        <v>0</v>
      </c>
      <c r="H57">
        <v>0</v>
      </c>
      <c r="I57">
        <v>0</v>
      </c>
      <c r="J57">
        <v>5</v>
      </c>
      <c r="K57">
        <v>15551110.180769229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3265</v>
      </c>
      <c r="E59">
        <v>266693320.38559759</v>
      </c>
      <c r="F59">
        <v>203</v>
      </c>
      <c r="G59">
        <v>20913636.98</v>
      </c>
      <c r="H59">
        <v>85</v>
      </c>
      <c r="I59">
        <v>17499999</v>
      </c>
      <c r="J59">
        <v>3383</v>
      </c>
      <c r="K59">
        <v>270106958.36559761</v>
      </c>
    </row>
    <row r="60" spans="1:11" x14ac:dyDescent="0.25">
      <c r="A60">
        <v>59</v>
      </c>
      <c r="B60" t="s">
        <v>127</v>
      </c>
      <c r="C60" t="s">
        <v>128</v>
      </c>
      <c r="D60">
        <v>82</v>
      </c>
      <c r="E60">
        <v>3186639.6822262122</v>
      </c>
      <c r="F60">
        <v>0</v>
      </c>
      <c r="G60">
        <v>0</v>
      </c>
      <c r="H60">
        <v>0</v>
      </c>
      <c r="I60">
        <v>0</v>
      </c>
      <c r="J60">
        <v>82</v>
      </c>
      <c r="K60">
        <v>3186639.6822262122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1822</v>
      </c>
      <c r="E62">
        <v>236847705.8789579</v>
      </c>
      <c r="F62">
        <v>50</v>
      </c>
      <c r="G62">
        <v>1272727</v>
      </c>
      <c r="H62">
        <v>13</v>
      </c>
      <c r="I62">
        <v>1827274</v>
      </c>
      <c r="J62">
        <v>1859</v>
      </c>
      <c r="K62">
        <v>236293158.8789579</v>
      </c>
    </row>
    <row r="63" spans="1:11" x14ac:dyDescent="0.25">
      <c r="A63">
        <v>62</v>
      </c>
      <c r="B63" t="s">
        <v>133</v>
      </c>
      <c r="C63" t="s">
        <v>134</v>
      </c>
      <c r="D63">
        <v>257</v>
      </c>
      <c r="E63">
        <v>57643359.711580493</v>
      </c>
      <c r="F63">
        <v>0</v>
      </c>
      <c r="G63">
        <v>0</v>
      </c>
      <c r="H63">
        <v>0</v>
      </c>
      <c r="I63">
        <v>0</v>
      </c>
      <c r="J63">
        <v>257</v>
      </c>
      <c r="K63">
        <v>57643359.711580493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161</v>
      </c>
      <c r="E70">
        <v>53744127.125112101</v>
      </c>
      <c r="F70">
        <v>2</v>
      </c>
      <c r="G70">
        <v>545454.54</v>
      </c>
      <c r="H70">
        <v>0</v>
      </c>
      <c r="I70">
        <v>0</v>
      </c>
      <c r="J70">
        <v>163</v>
      </c>
      <c r="K70">
        <v>54289581.665112101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0</v>
      </c>
      <c r="I72">
        <v>0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137</v>
      </c>
      <c r="E74">
        <v>311166932.07878792</v>
      </c>
      <c r="F74">
        <v>6</v>
      </c>
      <c r="G74">
        <v>12709091</v>
      </c>
      <c r="H74">
        <v>0</v>
      </c>
      <c r="I74">
        <v>0</v>
      </c>
      <c r="J74">
        <v>143</v>
      </c>
      <c r="K74">
        <v>323876023.07878792</v>
      </c>
    </row>
    <row r="75" spans="1:11" x14ac:dyDescent="0.25">
      <c r="A75">
        <v>74</v>
      </c>
      <c r="B75" t="s">
        <v>157</v>
      </c>
      <c r="C75" t="s">
        <v>158</v>
      </c>
      <c r="D75">
        <v>130</v>
      </c>
      <c r="E75">
        <v>390051045.75098813</v>
      </c>
      <c r="F75">
        <v>5</v>
      </c>
      <c r="G75">
        <v>14536364</v>
      </c>
      <c r="H75">
        <v>1</v>
      </c>
      <c r="I75">
        <v>3800000</v>
      </c>
      <c r="J75">
        <v>134</v>
      </c>
      <c r="K75">
        <v>400787409.75098813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125</v>
      </c>
      <c r="E78">
        <v>185355167.59605911</v>
      </c>
      <c r="F78">
        <v>5</v>
      </c>
      <c r="G78">
        <v>7959091</v>
      </c>
      <c r="H78">
        <v>1</v>
      </c>
      <c r="I78">
        <v>1672727</v>
      </c>
      <c r="J78">
        <v>129</v>
      </c>
      <c r="K78">
        <v>191641531.59605911</v>
      </c>
    </row>
    <row r="79" spans="1:11" x14ac:dyDescent="0.25">
      <c r="A79">
        <v>78</v>
      </c>
      <c r="B79" t="s">
        <v>165</v>
      </c>
      <c r="C79" t="s">
        <v>166</v>
      </c>
      <c r="D79">
        <v>11</v>
      </c>
      <c r="E79">
        <v>26753660</v>
      </c>
      <c r="F79">
        <v>0</v>
      </c>
      <c r="G79">
        <v>0</v>
      </c>
      <c r="H79">
        <v>0</v>
      </c>
      <c r="I79">
        <v>0</v>
      </c>
      <c r="J79">
        <v>11</v>
      </c>
      <c r="K79">
        <v>26753660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665</v>
      </c>
      <c r="E81">
        <v>199362170.62329009</v>
      </c>
      <c r="F81">
        <v>0</v>
      </c>
      <c r="G81">
        <v>0</v>
      </c>
      <c r="H81">
        <v>33</v>
      </c>
      <c r="I81">
        <v>13754546</v>
      </c>
      <c r="J81">
        <v>632</v>
      </c>
      <c r="K81">
        <v>185607624.62329009</v>
      </c>
    </row>
    <row r="82" spans="1:11" x14ac:dyDescent="0.25">
      <c r="A82">
        <v>81</v>
      </c>
      <c r="B82" t="s">
        <v>171</v>
      </c>
      <c r="C82" t="s">
        <v>172</v>
      </c>
      <c r="D82">
        <v>199</v>
      </c>
      <c r="E82">
        <v>137162125.11730209</v>
      </c>
      <c r="F82">
        <v>1</v>
      </c>
      <c r="G82">
        <v>1454545</v>
      </c>
      <c r="H82">
        <v>15</v>
      </c>
      <c r="I82">
        <v>12063637</v>
      </c>
      <c r="J82">
        <v>185</v>
      </c>
      <c r="K82">
        <v>126553033.1173021</v>
      </c>
    </row>
    <row r="83" spans="1:11" x14ac:dyDescent="0.25">
      <c r="A83">
        <v>82</v>
      </c>
      <c r="B83" t="s">
        <v>173</v>
      </c>
      <c r="C83" t="s">
        <v>174</v>
      </c>
      <c r="D83">
        <v>31</v>
      </c>
      <c r="E83">
        <v>29163559.202380959</v>
      </c>
      <c r="F83">
        <v>0</v>
      </c>
      <c r="G83">
        <v>0</v>
      </c>
      <c r="H83">
        <v>0</v>
      </c>
      <c r="I83">
        <v>0</v>
      </c>
      <c r="J83">
        <v>31</v>
      </c>
      <c r="K83">
        <v>29163559.202380959</v>
      </c>
    </row>
    <row r="84" spans="1:11" x14ac:dyDescent="0.25">
      <c r="A84">
        <v>83</v>
      </c>
      <c r="B84" t="s">
        <v>175</v>
      </c>
      <c r="C84" t="s">
        <v>176</v>
      </c>
      <c r="D84">
        <v>18</v>
      </c>
      <c r="E84">
        <v>37969361.200000003</v>
      </c>
      <c r="F84">
        <v>0</v>
      </c>
      <c r="G84">
        <v>0</v>
      </c>
      <c r="H84">
        <v>0</v>
      </c>
      <c r="I84">
        <v>0</v>
      </c>
      <c r="J84">
        <v>18</v>
      </c>
      <c r="K84">
        <v>37969361.200000003</v>
      </c>
    </row>
    <row r="85" spans="1:11" x14ac:dyDescent="0.25">
      <c r="A85">
        <v>84</v>
      </c>
      <c r="B85" t="s">
        <v>177</v>
      </c>
      <c r="C85" t="s">
        <v>178</v>
      </c>
      <c r="D85">
        <v>8</v>
      </c>
      <c r="E85">
        <v>37028638.483870968</v>
      </c>
      <c r="F85">
        <v>0</v>
      </c>
      <c r="G85">
        <v>0</v>
      </c>
      <c r="H85">
        <v>0</v>
      </c>
      <c r="I85">
        <v>0</v>
      </c>
      <c r="J85">
        <v>8</v>
      </c>
      <c r="K85">
        <v>37028638.483870968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63</v>
      </c>
      <c r="E87">
        <v>71269172.572559372</v>
      </c>
      <c r="F87">
        <v>0</v>
      </c>
      <c r="G87">
        <v>0</v>
      </c>
      <c r="H87">
        <v>0</v>
      </c>
      <c r="I87">
        <v>0</v>
      </c>
      <c r="J87">
        <v>63</v>
      </c>
      <c r="K87">
        <v>71269172.572559372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1273</v>
      </c>
      <c r="E89">
        <v>358153110.74628812</v>
      </c>
      <c r="F89">
        <v>1</v>
      </c>
      <c r="G89">
        <v>1109091</v>
      </c>
      <c r="H89">
        <v>15</v>
      </c>
      <c r="I89">
        <v>8945455</v>
      </c>
      <c r="J89">
        <v>1259</v>
      </c>
      <c r="K89">
        <v>350316746.74628812</v>
      </c>
    </row>
    <row r="90" spans="1:11" x14ac:dyDescent="0.25">
      <c r="A90">
        <v>89</v>
      </c>
      <c r="B90" t="s">
        <v>187</v>
      </c>
      <c r="C90" t="s">
        <v>188</v>
      </c>
      <c r="D90">
        <v>191</v>
      </c>
      <c r="E90">
        <v>198181853.34957021</v>
      </c>
      <c r="F90">
        <v>1</v>
      </c>
      <c r="G90">
        <v>2720000</v>
      </c>
      <c r="H90">
        <v>4</v>
      </c>
      <c r="I90">
        <v>4927273</v>
      </c>
      <c r="J90">
        <v>188</v>
      </c>
      <c r="K90">
        <v>195974580.34957021</v>
      </c>
    </row>
    <row r="91" spans="1:11" x14ac:dyDescent="0.25">
      <c r="A91">
        <v>90</v>
      </c>
      <c r="B91" t="s">
        <v>189</v>
      </c>
      <c r="C91" t="s">
        <v>190</v>
      </c>
      <c r="D91">
        <v>66</v>
      </c>
      <c r="E91">
        <v>88344139.992395431</v>
      </c>
      <c r="F91">
        <v>3</v>
      </c>
      <c r="G91">
        <v>4554544</v>
      </c>
      <c r="H91">
        <v>0</v>
      </c>
      <c r="I91">
        <v>0</v>
      </c>
      <c r="J91">
        <v>69</v>
      </c>
      <c r="K91">
        <v>92898683.992395431</v>
      </c>
    </row>
    <row r="92" spans="1:11" x14ac:dyDescent="0.25">
      <c r="A92">
        <v>91</v>
      </c>
      <c r="B92" t="s">
        <v>191</v>
      </c>
      <c r="C92" t="s">
        <v>192</v>
      </c>
      <c r="D92">
        <v>141</v>
      </c>
      <c r="E92">
        <v>72324118.128078818</v>
      </c>
      <c r="F92">
        <v>10</v>
      </c>
      <c r="G92">
        <v>10454550</v>
      </c>
      <c r="H92">
        <v>6</v>
      </c>
      <c r="I92">
        <v>5818182</v>
      </c>
      <c r="J92">
        <v>145</v>
      </c>
      <c r="K92">
        <v>76960486.128078818</v>
      </c>
    </row>
    <row r="93" spans="1:11" x14ac:dyDescent="0.25">
      <c r="A93">
        <v>92</v>
      </c>
      <c r="B93" t="s">
        <v>193</v>
      </c>
      <c r="C93" t="s">
        <v>194</v>
      </c>
      <c r="D93">
        <v>58</v>
      </c>
      <c r="E93">
        <v>87989508.432558149</v>
      </c>
      <c r="F93">
        <v>0</v>
      </c>
      <c r="G93">
        <v>0</v>
      </c>
      <c r="H93">
        <v>0</v>
      </c>
      <c r="I93">
        <v>0</v>
      </c>
      <c r="J93">
        <v>58</v>
      </c>
      <c r="K93">
        <v>87989508.432558149</v>
      </c>
    </row>
    <row r="94" spans="1:11" x14ac:dyDescent="0.25">
      <c r="A94">
        <v>93</v>
      </c>
      <c r="B94" t="s">
        <v>195</v>
      </c>
      <c r="C94" t="s">
        <v>196</v>
      </c>
      <c r="D94">
        <v>319</v>
      </c>
      <c r="E94">
        <v>129401595.6155607</v>
      </c>
      <c r="F94">
        <v>0</v>
      </c>
      <c r="G94">
        <v>0</v>
      </c>
      <c r="H94">
        <v>5</v>
      </c>
      <c r="I94">
        <v>2800000</v>
      </c>
      <c r="J94">
        <v>314</v>
      </c>
      <c r="K94">
        <v>126601595.6155607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3313637</v>
      </c>
      <c r="F95">
        <v>0</v>
      </c>
      <c r="G95">
        <v>0</v>
      </c>
      <c r="H95">
        <v>0</v>
      </c>
      <c r="I95">
        <v>0</v>
      </c>
      <c r="J95">
        <v>30</v>
      </c>
      <c r="K95">
        <v>3313637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1128</v>
      </c>
      <c r="E97">
        <v>112600620.4361957</v>
      </c>
      <c r="F97">
        <v>420</v>
      </c>
      <c r="G97">
        <v>35390909</v>
      </c>
      <c r="H97">
        <v>1</v>
      </c>
      <c r="I97">
        <v>136363</v>
      </c>
      <c r="J97">
        <v>1547</v>
      </c>
      <c r="K97">
        <v>147855166.4361957</v>
      </c>
    </row>
    <row r="98" spans="1:11" x14ac:dyDescent="0.25">
      <c r="A98">
        <v>97</v>
      </c>
      <c r="B98" t="s">
        <v>203</v>
      </c>
      <c r="C98" t="s">
        <v>204</v>
      </c>
      <c r="D98">
        <v>201</v>
      </c>
      <c r="E98">
        <v>40855260.620727673</v>
      </c>
      <c r="F98">
        <v>108</v>
      </c>
      <c r="G98">
        <v>27141819</v>
      </c>
      <c r="H98">
        <v>1</v>
      </c>
      <c r="I98">
        <v>290909</v>
      </c>
      <c r="J98">
        <v>308</v>
      </c>
      <c r="K98">
        <v>67706170.620727673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16226332.758620691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16226332.758620691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120</v>
      </c>
      <c r="E102">
        <v>105177963.6692913</v>
      </c>
      <c r="F102">
        <v>0</v>
      </c>
      <c r="G102">
        <v>0</v>
      </c>
      <c r="H102">
        <v>0</v>
      </c>
      <c r="I102">
        <v>0</v>
      </c>
      <c r="J102">
        <v>120</v>
      </c>
      <c r="K102">
        <v>105177963.6692913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2382</v>
      </c>
      <c r="E104">
        <v>243253139.46378449</v>
      </c>
      <c r="F104">
        <v>9</v>
      </c>
      <c r="G104">
        <v>4168182</v>
      </c>
      <c r="H104">
        <v>22</v>
      </c>
      <c r="I104">
        <v>5690908</v>
      </c>
      <c r="J104">
        <v>2369</v>
      </c>
      <c r="K104">
        <v>241730413.46378449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204</v>
      </c>
      <c r="E105">
        <v>78918989.992982447</v>
      </c>
      <c r="F105">
        <v>23</v>
      </c>
      <c r="G105">
        <v>8754545</v>
      </c>
      <c r="H105">
        <v>5</v>
      </c>
      <c r="I105">
        <v>1754545</v>
      </c>
      <c r="J105">
        <v>222</v>
      </c>
      <c r="K105">
        <v>85918989.992982447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599</v>
      </c>
      <c r="E106">
        <v>191816447.69023031</v>
      </c>
      <c r="F106">
        <v>1090</v>
      </c>
      <c r="G106">
        <v>113730906</v>
      </c>
      <c r="H106">
        <v>31</v>
      </c>
      <c r="I106">
        <v>2227279</v>
      </c>
      <c r="J106">
        <v>1658</v>
      </c>
      <c r="K106">
        <v>303320074.69023043</v>
      </c>
    </row>
    <row r="107" spans="1:11" x14ac:dyDescent="0.25">
      <c r="A107">
        <v>106</v>
      </c>
      <c r="B107" t="s">
        <v>221</v>
      </c>
      <c r="C107" t="s">
        <v>222</v>
      </c>
      <c r="D107">
        <v>783</v>
      </c>
      <c r="E107">
        <v>128476533.3291294</v>
      </c>
      <c r="F107">
        <v>3</v>
      </c>
      <c r="G107">
        <v>1840909</v>
      </c>
      <c r="H107">
        <v>18</v>
      </c>
      <c r="I107">
        <v>3409090</v>
      </c>
      <c r="J107">
        <v>768</v>
      </c>
      <c r="K107">
        <v>126908352.3291294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279</v>
      </c>
      <c r="E109">
        <v>77639234.850046858</v>
      </c>
      <c r="F109">
        <v>13</v>
      </c>
      <c r="G109">
        <v>2544546</v>
      </c>
      <c r="H109">
        <v>0</v>
      </c>
      <c r="I109">
        <v>0</v>
      </c>
      <c r="J109">
        <v>292</v>
      </c>
      <c r="K109">
        <v>80183780.850046858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228</v>
      </c>
      <c r="E110">
        <v>91922027.166189104</v>
      </c>
      <c r="F110">
        <v>0</v>
      </c>
      <c r="G110">
        <v>0</v>
      </c>
      <c r="H110">
        <v>3</v>
      </c>
      <c r="I110">
        <v>2090909</v>
      </c>
      <c r="J110">
        <v>225</v>
      </c>
      <c r="K110">
        <v>89831118.166189104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104</v>
      </c>
      <c r="E112">
        <v>45551423.259079903</v>
      </c>
      <c r="F112">
        <v>10</v>
      </c>
      <c r="G112">
        <v>3545455</v>
      </c>
      <c r="H112">
        <v>2</v>
      </c>
      <c r="I112">
        <v>936364</v>
      </c>
      <c r="J112">
        <v>112</v>
      </c>
      <c r="K112">
        <v>48160514.259079903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866</v>
      </c>
      <c r="E113">
        <v>284145458.39026397</v>
      </c>
      <c r="F113">
        <v>3</v>
      </c>
      <c r="G113">
        <v>2181816</v>
      </c>
      <c r="H113">
        <v>4</v>
      </c>
      <c r="I113">
        <v>1718182</v>
      </c>
      <c r="J113">
        <v>865</v>
      </c>
      <c r="K113">
        <v>284609092.39026397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49</v>
      </c>
      <c r="E114">
        <v>27525602.620689649</v>
      </c>
      <c r="F114">
        <v>0</v>
      </c>
      <c r="G114">
        <v>0</v>
      </c>
      <c r="H114">
        <v>1</v>
      </c>
      <c r="I114">
        <v>263636</v>
      </c>
      <c r="J114">
        <v>48</v>
      </c>
      <c r="K114">
        <v>27261966.620689649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88</v>
      </c>
      <c r="E123">
        <v>42330516.616306961</v>
      </c>
      <c r="F123">
        <v>0</v>
      </c>
      <c r="G123">
        <v>0</v>
      </c>
      <c r="H123">
        <v>1</v>
      </c>
      <c r="I123">
        <v>727273</v>
      </c>
      <c r="J123">
        <v>87</v>
      </c>
      <c r="K123">
        <v>41603243.616306961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564</v>
      </c>
      <c r="E126">
        <v>312385158.2321918</v>
      </c>
      <c r="F126">
        <v>1</v>
      </c>
      <c r="G126">
        <v>1927273</v>
      </c>
      <c r="H126">
        <v>0</v>
      </c>
      <c r="I126">
        <v>0</v>
      </c>
      <c r="J126">
        <v>565</v>
      </c>
      <c r="K126">
        <v>314312431.2321918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1971197.142857143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9958083.4090909101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9958083.4090909101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31572344.75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31572344.75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277</v>
      </c>
      <c r="E131">
        <v>164006702.5194805</v>
      </c>
      <c r="F131">
        <v>12</v>
      </c>
      <c r="G131">
        <v>4940912</v>
      </c>
      <c r="H131">
        <v>0</v>
      </c>
      <c r="I131">
        <v>0</v>
      </c>
      <c r="J131">
        <v>289</v>
      </c>
      <c r="K131">
        <v>168947614.5194805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111</v>
      </c>
      <c r="E132">
        <v>14073046.7489301</v>
      </c>
      <c r="F132">
        <v>0</v>
      </c>
      <c r="G132">
        <v>0</v>
      </c>
      <c r="H132">
        <v>1</v>
      </c>
      <c r="I132">
        <v>250000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383</v>
      </c>
      <c r="E133">
        <v>102606924.7694118</v>
      </c>
      <c r="F133">
        <v>13</v>
      </c>
      <c r="G133">
        <v>1148181</v>
      </c>
      <c r="H133">
        <v>0</v>
      </c>
      <c r="I133">
        <v>0</v>
      </c>
      <c r="J133">
        <v>396</v>
      </c>
      <c r="K133">
        <v>103755105.7694118</v>
      </c>
    </row>
    <row r="134" spans="1:11" x14ac:dyDescent="0.25">
      <c r="A134">
        <v>133</v>
      </c>
      <c r="B134" t="s">
        <v>275</v>
      </c>
      <c r="C134" t="s">
        <v>276</v>
      </c>
      <c r="D134">
        <v>112</v>
      </c>
      <c r="E134">
        <v>37557049.084337354</v>
      </c>
      <c r="F134">
        <v>3</v>
      </c>
      <c r="G134">
        <v>954546</v>
      </c>
      <c r="H134">
        <v>0</v>
      </c>
      <c r="I134">
        <v>0</v>
      </c>
      <c r="J134">
        <v>115</v>
      </c>
      <c r="K134">
        <v>38511595.084337354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28409354.838709679</v>
      </c>
      <c r="F141">
        <v>1</v>
      </c>
      <c r="G141">
        <v>10600000</v>
      </c>
      <c r="H141">
        <v>1</v>
      </c>
      <c r="I141">
        <v>2190000</v>
      </c>
      <c r="J141">
        <v>7</v>
      </c>
      <c r="K141">
        <v>36819354.838709682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155</v>
      </c>
      <c r="E143">
        <v>45831168.115942031</v>
      </c>
      <c r="F143">
        <v>18</v>
      </c>
      <c r="G143">
        <v>8210000</v>
      </c>
      <c r="H143">
        <v>7</v>
      </c>
      <c r="I143">
        <v>2780000</v>
      </c>
      <c r="J143">
        <v>166</v>
      </c>
      <c r="K143">
        <v>51261168.115942031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916.33600000000001</v>
      </c>
      <c r="E146">
        <v>752833132.1099999</v>
      </c>
      <c r="F146">
        <v>140.44900000000001</v>
      </c>
      <c r="G146">
        <v>74785887.370000005</v>
      </c>
      <c r="H146">
        <v>39</v>
      </c>
      <c r="I146">
        <v>41128280</v>
      </c>
      <c r="J146">
        <v>1017.785</v>
      </c>
      <c r="K146">
        <v>786490739.4799999</v>
      </c>
    </row>
    <row r="147" spans="1:11" x14ac:dyDescent="0.25">
      <c r="A147" t="s">
        <v>301</v>
      </c>
      <c r="D147">
        <v>22973.335999999999</v>
      </c>
      <c r="E147">
        <v>20249704939.83065</v>
      </c>
      <c r="F147">
        <v>2683.4490000000001</v>
      </c>
      <c r="G147">
        <v>2671403006.8899999</v>
      </c>
      <c r="H147">
        <v>457</v>
      </c>
      <c r="I147">
        <v>1006059066</v>
      </c>
      <c r="J147">
        <v>25199.785</v>
      </c>
      <c r="K147">
        <v>21922103427.72065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17</v>
      </c>
      <c r="E3">
        <v>144656990</v>
      </c>
      <c r="F3">
        <v>3</v>
      </c>
      <c r="G3">
        <v>37636364</v>
      </c>
      <c r="H3">
        <v>0</v>
      </c>
      <c r="I3">
        <v>0</v>
      </c>
      <c r="J3">
        <v>20</v>
      </c>
      <c r="K3">
        <v>182293354</v>
      </c>
    </row>
    <row r="4" spans="1:11" x14ac:dyDescent="0.25">
      <c r="A4">
        <v>3</v>
      </c>
      <c r="B4" t="s">
        <v>15</v>
      </c>
      <c r="C4" t="s">
        <v>16</v>
      </c>
      <c r="D4">
        <v>169</v>
      </c>
      <c r="E4">
        <v>1749345589.201292</v>
      </c>
      <c r="F4">
        <v>6</v>
      </c>
      <c r="G4">
        <v>78000000</v>
      </c>
      <c r="H4">
        <v>8</v>
      </c>
      <c r="I4">
        <v>119490908</v>
      </c>
      <c r="J4">
        <v>167</v>
      </c>
      <c r="K4">
        <v>1707854681.201292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9</v>
      </c>
      <c r="E6">
        <v>112611804.1785714</v>
      </c>
      <c r="F6">
        <v>0</v>
      </c>
      <c r="G6">
        <v>0</v>
      </c>
      <c r="H6">
        <v>6</v>
      </c>
      <c r="I6">
        <v>56181819</v>
      </c>
      <c r="J6">
        <v>3</v>
      </c>
      <c r="K6">
        <v>56429985.178571403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2</v>
      </c>
      <c r="E8">
        <v>13864462.09090909</v>
      </c>
      <c r="F8">
        <v>0</v>
      </c>
      <c r="G8">
        <v>0</v>
      </c>
      <c r="H8">
        <v>2</v>
      </c>
      <c r="I8">
        <v>17727272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17</v>
      </c>
      <c r="E9">
        <v>54465363.450000003</v>
      </c>
      <c r="F9">
        <v>0</v>
      </c>
      <c r="G9">
        <v>0</v>
      </c>
      <c r="H9">
        <v>12</v>
      </c>
      <c r="I9">
        <v>30163640</v>
      </c>
      <c r="J9">
        <v>5</v>
      </c>
      <c r="K9">
        <v>24301723.449999999</v>
      </c>
    </row>
    <row r="10" spans="1:11" x14ac:dyDescent="0.25">
      <c r="A10">
        <v>9</v>
      </c>
      <c r="B10" t="s">
        <v>27</v>
      </c>
      <c r="C10" t="s">
        <v>28</v>
      </c>
      <c r="D10">
        <v>226</v>
      </c>
      <c r="E10">
        <v>908469131.5951941</v>
      </c>
      <c r="F10">
        <v>3</v>
      </c>
      <c r="G10">
        <v>37363636</v>
      </c>
      <c r="H10">
        <v>3</v>
      </c>
      <c r="I10">
        <v>55909090</v>
      </c>
      <c r="J10">
        <v>226</v>
      </c>
      <c r="K10">
        <v>889923677.5951941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345</v>
      </c>
      <c r="E12">
        <v>3862120877.2191219</v>
      </c>
      <c r="F12">
        <v>47</v>
      </c>
      <c r="G12">
        <v>501545459</v>
      </c>
      <c r="H12">
        <v>57</v>
      </c>
      <c r="I12">
        <v>647281816</v>
      </c>
      <c r="J12">
        <v>335</v>
      </c>
      <c r="K12">
        <v>3716384520.2191219</v>
      </c>
    </row>
    <row r="13" spans="1:11" x14ac:dyDescent="0.25">
      <c r="A13">
        <v>12</v>
      </c>
      <c r="B13" t="s">
        <v>33</v>
      </c>
      <c r="C13" t="s">
        <v>34</v>
      </c>
      <c r="D13">
        <v>34</v>
      </c>
      <c r="E13">
        <v>574771503.76923084</v>
      </c>
      <c r="F13">
        <v>6</v>
      </c>
      <c r="G13">
        <v>122263636</v>
      </c>
      <c r="H13">
        <v>1</v>
      </c>
      <c r="I13">
        <v>44772727</v>
      </c>
      <c r="J13">
        <v>39</v>
      </c>
      <c r="K13">
        <v>652262412.76923084</v>
      </c>
    </row>
    <row r="14" spans="1:11" x14ac:dyDescent="0.25">
      <c r="A14">
        <v>13</v>
      </c>
      <c r="B14" t="s">
        <v>35</v>
      </c>
      <c r="C14" t="s">
        <v>36</v>
      </c>
      <c r="D14">
        <v>24</v>
      </c>
      <c r="E14">
        <v>410748041.28947371</v>
      </c>
      <c r="F14">
        <v>0</v>
      </c>
      <c r="G14">
        <v>0</v>
      </c>
      <c r="H14">
        <v>2</v>
      </c>
      <c r="I14">
        <v>28681818</v>
      </c>
      <c r="J14">
        <v>22</v>
      </c>
      <c r="K14">
        <v>382066223.28947371</v>
      </c>
    </row>
    <row r="15" spans="1:11" x14ac:dyDescent="0.25">
      <c r="A15">
        <v>14</v>
      </c>
      <c r="B15" t="s">
        <v>37</v>
      </c>
      <c r="C15" t="s">
        <v>38</v>
      </c>
      <c r="D15">
        <v>37</v>
      </c>
      <c r="E15">
        <v>452837767.93430662</v>
      </c>
      <c r="F15">
        <v>1</v>
      </c>
      <c r="G15">
        <v>20272727</v>
      </c>
      <c r="H15">
        <v>4</v>
      </c>
      <c r="I15">
        <v>59590909</v>
      </c>
      <c r="J15">
        <v>34</v>
      </c>
      <c r="K15">
        <v>413519585.93430662</v>
      </c>
    </row>
    <row r="16" spans="1:11" x14ac:dyDescent="0.25">
      <c r="A16">
        <v>15</v>
      </c>
      <c r="B16" t="s">
        <v>39</v>
      </c>
      <c r="C16" t="s">
        <v>40</v>
      </c>
      <c r="D16">
        <v>10</v>
      </c>
      <c r="E16">
        <v>154721350.10447761</v>
      </c>
      <c r="F16">
        <v>0</v>
      </c>
      <c r="G16">
        <v>0</v>
      </c>
      <c r="H16">
        <v>7</v>
      </c>
      <c r="I16">
        <v>83954545</v>
      </c>
      <c r="J16">
        <v>3</v>
      </c>
      <c r="K16">
        <v>70766805.104477614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69</v>
      </c>
      <c r="E24">
        <v>261468376.5497236</v>
      </c>
      <c r="F24">
        <v>0</v>
      </c>
      <c r="G24">
        <v>0</v>
      </c>
      <c r="H24">
        <v>132</v>
      </c>
      <c r="I24">
        <v>653063636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333</v>
      </c>
      <c r="E25">
        <v>2531287044.361217</v>
      </c>
      <c r="F25">
        <v>38</v>
      </c>
      <c r="G25">
        <v>137683638</v>
      </c>
      <c r="H25">
        <v>25</v>
      </c>
      <c r="I25">
        <v>194436365</v>
      </c>
      <c r="J25">
        <v>346</v>
      </c>
      <c r="K25">
        <v>2474534317.361217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1</v>
      </c>
      <c r="E28">
        <v>29545455</v>
      </c>
      <c r="F28">
        <v>0</v>
      </c>
      <c r="G28">
        <v>0</v>
      </c>
      <c r="H28">
        <v>1</v>
      </c>
      <c r="I28">
        <v>31809091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5</v>
      </c>
      <c r="E30">
        <v>56286503.307692319</v>
      </c>
      <c r="F30">
        <v>1</v>
      </c>
      <c r="G30">
        <v>14090910</v>
      </c>
      <c r="H30">
        <v>0</v>
      </c>
      <c r="I30">
        <v>0</v>
      </c>
      <c r="J30">
        <v>6</v>
      </c>
      <c r="K30">
        <v>70377413.307692319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0</v>
      </c>
      <c r="G33">
        <v>0</v>
      </c>
      <c r="H33">
        <v>0</v>
      </c>
      <c r="I33">
        <v>0</v>
      </c>
      <c r="J33">
        <v>4</v>
      </c>
      <c r="K33">
        <v>23781985.5</v>
      </c>
    </row>
    <row r="34" spans="1:11" x14ac:dyDescent="0.25">
      <c r="A34">
        <v>33</v>
      </c>
      <c r="B34" t="s">
        <v>75</v>
      </c>
      <c r="C34" t="s">
        <v>76</v>
      </c>
      <c r="D34">
        <v>50</v>
      </c>
      <c r="E34">
        <v>105458902.18326689</v>
      </c>
      <c r="F34">
        <v>0</v>
      </c>
      <c r="G34">
        <v>0</v>
      </c>
      <c r="H34">
        <v>3</v>
      </c>
      <c r="I34">
        <v>6445453</v>
      </c>
      <c r="J34">
        <v>47</v>
      </c>
      <c r="K34">
        <v>99013449.183266938</v>
      </c>
    </row>
    <row r="35" spans="1:11" x14ac:dyDescent="0.25">
      <c r="A35">
        <v>34</v>
      </c>
      <c r="B35" t="s">
        <v>77</v>
      </c>
      <c r="C35" t="s">
        <v>78</v>
      </c>
      <c r="D35">
        <v>739</v>
      </c>
      <c r="E35">
        <v>1406652761.553802</v>
      </c>
      <c r="F35">
        <v>5</v>
      </c>
      <c r="G35">
        <v>6405455</v>
      </c>
      <c r="H35">
        <v>15</v>
      </c>
      <c r="I35">
        <v>34836363</v>
      </c>
      <c r="J35">
        <v>729</v>
      </c>
      <c r="K35">
        <v>1378221853.553802</v>
      </c>
    </row>
    <row r="36" spans="1:11" x14ac:dyDescent="0.25">
      <c r="A36">
        <v>35</v>
      </c>
      <c r="B36" t="s">
        <v>79</v>
      </c>
      <c r="C36" t="s">
        <v>80</v>
      </c>
      <c r="D36">
        <v>12</v>
      </c>
      <c r="E36">
        <v>27571708.021276589</v>
      </c>
      <c r="F36">
        <v>2</v>
      </c>
      <c r="G36">
        <v>6090909</v>
      </c>
      <c r="H36">
        <v>1</v>
      </c>
      <c r="I36">
        <v>3318182</v>
      </c>
      <c r="J36">
        <v>13</v>
      </c>
      <c r="K36">
        <v>30344435.021276589</v>
      </c>
    </row>
    <row r="37" spans="1:11" x14ac:dyDescent="0.25">
      <c r="A37">
        <v>36</v>
      </c>
      <c r="B37" t="s">
        <v>81</v>
      </c>
      <c r="C37" t="s">
        <v>82</v>
      </c>
      <c r="D37">
        <v>46</v>
      </c>
      <c r="E37">
        <v>138174016.1964286</v>
      </c>
      <c r="F37">
        <v>0</v>
      </c>
      <c r="G37">
        <v>0</v>
      </c>
      <c r="H37">
        <v>27</v>
      </c>
      <c r="I37">
        <v>58500000</v>
      </c>
      <c r="J37">
        <v>19</v>
      </c>
      <c r="K37">
        <v>79674016.196428597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138</v>
      </c>
      <c r="E39">
        <v>340847689.38106239</v>
      </c>
      <c r="F39">
        <v>2</v>
      </c>
      <c r="G39">
        <v>6690909</v>
      </c>
      <c r="H39">
        <v>5</v>
      </c>
      <c r="I39">
        <v>16972727</v>
      </c>
      <c r="J39">
        <v>135</v>
      </c>
      <c r="K39">
        <v>330565871.38106239</v>
      </c>
    </row>
    <row r="40" spans="1:11" x14ac:dyDescent="0.25">
      <c r="A40">
        <v>39</v>
      </c>
      <c r="B40" t="s">
        <v>87</v>
      </c>
      <c r="C40" t="s">
        <v>88</v>
      </c>
      <c r="D40">
        <v>7</v>
      </c>
      <c r="E40">
        <v>32934343.77777778</v>
      </c>
      <c r="F40">
        <v>0</v>
      </c>
      <c r="G40">
        <v>0</v>
      </c>
      <c r="H40">
        <v>0</v>
      </c>
      <c r="I40">
        <v>0</v>
      </c>
      <c r="J40">
        <v>7</v>
      </c>
      <c r="K40">
        <v>32934343.77777778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1007</v>
      </c>
      <c r="E42">
        <v>0</v>
      </c>
      <c r="F42">
        <v>38</v>
      </c>
      <c r="G42">
        <v>39727270</v>
      </c>
      <c r="H42">
        <v>22</v>
      </c>
      <c r="I42">
        <v>76400000</v>
      </c>
      <c r="J42">
        <v>1023</v>
      </c>
      <c r="K42">
        <v>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376</v>
      </c>
      <c r="E44">
        <v>1031057322.424744</v>
      </c>
      <c r="F44">
        <v>0</v>
      </c>
      <c r="G44">
        <v>0</v>
      </c>
      <c r="H44">
        <v>23</v>
      </c>
      <c r="I44">
        <v>57218182</v>
      </c>
      <c r="J44">
        <v>353</v>
      </c>
      <c r="K44">
        <v>973839140.42474437</v>
      </c>
    </row>
    <row r="45" spans="1:11" x14ac:dyDescent="0.25">
      <c r="A45">
        <v>44</v>
      </c>
      <c r="B45" t="s">
        <v>97</v>
      </c>
      <c r="C45" t="s">
        <v>98</v>
      </c>
      <c r="D45">
        <v>51</v>
      </c>
      <c r="E45">
        <v>203359850.79297301</v>
      </c>
      <c r="F45">
        <v>0</v>
      </c>
      <c r="G45">
        <v>0</v>
      </c>
      <c r="H45">
        <v>1</v>
      </c>
      <c r="I45">
        <v>5045455</v>
      </c>
      <c r="J45">
        <v>50</v>
      </c>
      <c r="K45">
        <v>198314395.79297301</v>
      </c>
    </row>
    <row r="46" spans="1:11" x14ac:dyDescent="0.25">
      <c r="A46">
        <v>45</v>
      </c>
      <c r="B46" t="s">
        <v>99</v>
      </c>
      <c r="C46" t="s">
        <v>100</v>
      </c>
      <c r="D46">
        <v>265</v>
      </c>
      <c r="E46">
        <v>99282301.632571429</v>
      </c>
      <c r="F46">
        <v>5</v>
      </c>
      <c r="G46">
        <v>1272727</v>
      </c>
      <c r="H46">
        <v>3</v>
      </c>
      <c r="I46">
        <v>8454544</v>
      </c>
      <c r="J46">
        <v>267</v>
      </c>
      <c r="K46">
        <v>92100484.632571429</v>
      </c>
    </row>
    <row r="47" spans="1:11" x14ac:dyDescent="0.25">
      <c r="A47">
        <v>46</v>
      </c>
      <c r="B47" t="s">
        <v>101</v>
      </c>
      <c r="C47" t="s">
        <v>102</v>
      </c>
      <c r="D47">
        <v>108</v>
      </c>
      <c r="E47">
        <v>223445140.92567381</v>
      </c>
      <c r="F47">
        <v>22</v>
      </c>
      <c r="G47">
        <v>700000</v>
      </c>
      <c r="H47">
        <v>0</v>
      </c>
      <c r="I47">
        <v>0</v>
      </c>
      <c r="J47">
        <v>130</v>
      </c>
      <c r="K47">
        <v>224145140.92567381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34</v>
      </c>
      <c r="E49">
        <v>229819521.96224141</v>
      </c>
      <c r="F49">
        <v>2</v>
      </c>
      <c r="G49">
        <v>14027273</v>
      </c>
      <c r="H49">
        <v>3</v>
      </c>
      <c r="I49">
        <v>23618182</v>
      </c>
      <c r="J49">
        <v>33</v>
      </c>
      <c r="K49">
        <v>220228612.96224141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124691176.26693881</v>
      </c>
      <c r="F52">
        <v>0</v>
      </c>
      <c r="G52">
        <v>0</v>
      </c>
      <c r="H52">
        <v>0</v>
      </c>
      <c r="I52">
        <v>0</v>
      </c>
      <c r="J52">
        <v>72</v>
      </c>
      <c r="K52">
        <v>124691176.26693881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75</v>
      </c>
      <c r="E55">
        <v>129955989.172702</v>
      </c>
      <c r="F55">
        <v>2</v>
      </c>
      <c r="G55">
        <v>8250000</v>
      </c>
      <c r="H55">
        <v>1</v>
      </c>
      <c r="I55">
        <v>8990909</v>
      </c>
      <c r="J55">
        <v>76</v>
      </c>
      <c r="K55">
        <v>129215080.172702</v>
      </c>
    </row>
    <row r="56" spans="1:11" x14ac:dyDescent="0.25">
      <c r="A56">
        <v>55</v>
      </c>
      <c r="B56" t="s">
        <v>119</v>
      </c>
      <c r="C56" t="s">
        <v>120</v>
      </c>
      <c r="D56">
        <v>35</v>
      </c>
      <c r="E56">
        <v>16864085.491525419</v>
      </c>
      <c r="F56">
        <v>4</v>
      </c>
      <c r="G56">
        <v>8042592</v>
      </c>
      <c r="H56">
        <v>2</v>
      </c>
      <c r="I56">
        <v>4777778</v>
      </c>
      <c r="J56">
        <v>37</v>
      </c>
      <c r="K56">
        <v>20128899.491525419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15551110.180769229</v>
      </c>
      <c r="F57">
        <v>1</v>
      </c>
      <c r="G57">
        <v>3850000</v>
      </c>
      <c r="H57">
        <v>1</v>
      </c>
      <c r="I57">
        <v>4250000</v>
      </c>
      <c r="J57">
        <v>5</v>
      </c>
      <c r="K57">
        <v>15151110.180769229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3383</v>
      </c>
      <c r="E59">
        <v>270106958.36559761</v>
      </c>
      <c r="F59">
        <v>241</v>
      </c>
      <c r="G59">
        <v>35911818</v>
      </c>
      <c r="H59">
        <v>157</v>
      </c>
      <c r="I59">
        <v>46346369</v>
      </c>
      <c r="J59">
        <v>3467</v>
      </c>
      <c r="K59">
        <v>259672407.36559761</v>
      </c>
    </row>
    <row r="60" spans="1:11" x14ac:dyDescent="0.25">
      <c r="A60">
        <v>59</v>
      </c>
      <c r="B60" t="s">
        <v>127</v>
      </c>
      <c r="C60" t="s">
        <v>128</v>
      </c>
      <c r="D60">
        <v>82</v>
      </c>
      <c r="E60">
        <v>3186639.6822262122</v>
      </c>
      <c r="F60">
        <v>0</v>
      </c>
      <c r="G60">
        <v>0</v>
      </c>
      <c r="H60">
        <v>1</v>
      </c>
      <c r="I60">
        <v>290909</v>
      </c>
      <c r="J60">
        <v>81</v>
      </c>
      <c r="K60">
        <v>2895730.6822262122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1</v>
      </c>
      <c r="G61">
        <v>163636</v>
      </c>
      <c r="H61">
        <v>1</v>
      </c>
      <c r="I61">
        <v>436364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1859</v>
      </c>
      <c r="E62">
        <v>236293158.8789579</v>
      </c>
      <c r="F62">
        <v>50</v>
      </c>
      <c r="G62">
        <v>1272727</v>
      </c>
      <c r="H62">
        <v>30</v>
      </c>
      <c r="I62">
        <v>7881819</v>
      </c>
      <c r="J62">
        <v>1879</v>
      </c>
      <c r="K62">
        <v>229684066.8789579</v>
      </c>
    </row>
    <row r="63" spans="1:11" x14ac:dyDescent="0.25">
      <c r="A63">
        <v>62</v>
      </c>
      <c r="B63" t="s">
        <v>133</v>
      </c>
      <c r="C63" t="s">
        <v>134</v>
      </c>
      <c r="D63">
        <v>257</v>
      </c>
      <c r="E63">
        <v>57643359.711580493</v>
      </c>
      <c r="F63">
        <v>0</v>
      </c>
      <c r="G63">
        <v>0</v>
      </c>
      <c r="H63">
        <v>0</v>
      </c>
      <c r="I63">
        <v>0</v>
      </c>
      <c r="J63">
        <v>257</v>
      </c>
      <c r="K63">
        <v>57643359.711580493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163</v>
      </c>
      <c r="E70">
        <v>54289581.665112101</v>
      </c>
      <c r="F70">
        <v>1</v>
      </c>
      <c r="G70">
        <v>3545455</v>
      </c>
      <c r="H70">
        <v>4</v>
      </c>
      <c r="I70">
        <v>5909091</v>
      </c>
      <c r="J70">
        <v>160</v>
      </c>
      <c r="K70">
        <v>51925945.665112101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0</v>
      </c>
      <c r="I72">
        <v>0</v>
      </c>
      <c r="J72">
        <v>1</v>
      </c>
      <c r="K72">
        <v>699999.59999999986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143</v>
      </c>
      <c r="E74">
        <v>323876023.07878792</v>
      </c>
      <c r="F74">
        <v>0</v>
      </c>
      <c r="G74">
        <v>0</v>
      </c>
      <c r="H74">
        <v>1</v>
      </c>
      <c r="I74">
        <v>2090909</v>
      </c>
      <c r="J74">
        <v>142</v>
      </c>
      <c r="K74">
        <v>321785114.07878792</v>
      </c>
    </row>
    <row r="75" spans="1:11" x14ac:dyDescent="0.25">
      <c r="A75">
        <v>74</v>
      </c>
      <c r="B75" t="s">
        <v>157</v>
      </c>
      <c r="C75" t="s">
        <v>158</v>
      </c>
      <c r="D75">
        <v>134</v>
      </c>
      <c r="E75">
        <v>400787409.75098813</v>
      </c>
      <c r="F75">
        <v>1</v>
      </c>
      <c r="G75">
        <v>5818182</v>
      </c>
      <c r="H75">
        <v>4</v>
      </c>
      <c r="I75">
        <v>14854546</v>
      </c>
      <c r="J75">
        <v>131</v>
      </c>
      <c r="K75">
        <v>391751045.75098813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129</v>
      </c>
      <c r="E78">
        <v>191641531.59605911</v>
      </c>
      <c r="F78">
        <v>5</v>
      </c>
      <c r="G78">
        <v>7954545</v>
      </c>
      <c r="H78">
        <v>11</v>
      </c>
      <c r="I78">
        <v>14818184</v>
      </c>
      <c r="J78">
        <v>123</v>
      </c>
      <c r="K78">
        <v>184777892.59605911</v>
      </c>
    </row>
    <row r="79" spans="1:11" x14ac:dyDescent="0.25">
      <c r="A79">
        <v>78</v>
      </c>
      <c r="B79" t="s">
        <v>165</v>
      </c>
      <c r="C79" t="s">
        <v>166</v>
      </c>
      <c r="D79">
        <v>11</v>
      </c>
      <c r="E79">
        <v>26753660</v>
      </c>
      <c r="F79">
        <v>0</v>
      </c>
      <c r="G79">
        <v>0</v>
      </c>
      <c r="H79">
        <v>0</v>
      </c>
      <c r="I79">
        <v>0</v>
      </c>
      <c r="J79">
        <v>11</v>
      </c>
      <c r="K79">
        <v>26753660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632</v>
      </c>
      <c r="E81">
        <v>185607624.62329009</v>
      </c>
      <c r="F81">
        <v>2</v>
      </c>
      <c r="G81">
        <v>180000</v>
      </c>
      <c r="H81">
        <v>155</v>
      </c>
      <c r="I81">
        <v>38772725</v>
      </c>
      <c r="J81">
        <v>479</v>
      </c>
      <c r="K81">
        <v>147014899.62329009</v>
      </c>
    </row>
    <row r="82" spans="1:11" x14ac:dyDescent="0.25">
      <c r="A82">
        <v>81</v>
      </c>
      <c r="B82" t="s">
        <v>171</v>
      </c>
      <c r="C82" t="s">
        <v>172</v>
      </c>
      <c r="D82">
        <v>185</v>
      </c>
      <c r="E82">
        <v>126553033.1173021</v>
      </c>
      <c r="F82">
        <v>0</v>
      </c>
      <c r="G82">
        <v>0</v>
      </c>
      <c r="H82">
        <v>1</v>
      </c>
      <c r="I82">
        <v>1809091</v>
      </c>
      <c r="J82">
        <v>184</v>
      </c>
      <c r="K82">
        <v>124743942.1173021</v>
      </c>
    </row>
    <row r="83" spans="1:11" x14ac:dyDescent="0.25">
      <c r="A83">
        <v>82</v>
      </c>
      <c r="B83" t="s">
        <v>173</v>
      </c>
      <c r="C83" t="s">
        <v>174</v>
      </c>
      <c r="D83">
        <v>31</v>
      </c>
      <c r="E83">
        <v>29163559.202380959</v>
      </c>
      <c r="F83">
        <v>0</v>
      </c>
      <c r="G83">
        <v>0</v>
      </c>
      <c r="H83">
        <v>1</v>
      </c>
      <c r="I83">
        <v>2345454</v>
      </c>
      <c r="J83">
        <v>30</v>
      </c>
      <c r="K83">
        <v>26818105.202380959</v>
      </c>
    </row>
    <row r="84" spans="1:11" x14ac:dyDescent="0.25">
      <c r="A84">
        <v>83</v>
      </c>
      <c r="B84" t="s">
        <v>175</v>
      </c>
      <c r="C84" t="s">
        <v>176</v>
      </c>
      <c r="D84">
        <v>18</v>
      </c>
      <c r="E84">
        <v>37969361.200000003</v>
      </c>
      <c r="F84">
        <v>0</v>
      </c>
      <c r="G84">
        <v>0</v>
      </c>
      <c r="H84">
        <v>7</v>
      </c>
      <c r="I84">
        <v>19090911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8</v>
      </c>
      <c r="E85">
        <v>37028638.483870968</v>
      </c>
      <c r="F85">
        <v>8</v>
      </c>
      <c r="G85">
        <v>36545453</v>
      </c>
      <c r="H85">
        <v>1</v>
      </c>
      <c r="I85">
        <v>8090909</v>
      </c>
      <c r="J85">
        <v>15</v>
      </c>
      <c r="K85">
        <v>65483182.483870968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63</v>
      </c>
      <c r="E87">
        <v>71269172.572559372</v>
      </c>
      <c r="F87">
        <v>2</v>
      </c>
      <c r="G87">
        <v>2145456</v>
      </c>
      <c r="H87">
        <v>0</v>
      </c>
      <c r="I87">
        <v>0</v>
      </c>
      <c r="J87">
        <v>65</v>
      </c>
      <c r="K87">
        <v>73414628.572559372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1259</v>
      </c>
      <c r="E89">
        <v>350316746.74628812</v>
      </c>
      <c r="F89">
        <v>0</v>
      </c>
      <c r="G89">
        <v>0</v>
      </c>
      <c r="H89">
        <v>214</v>
      </c>
      <c r="I89">
        <v>67527276</v>
      </c>
      <c r="J89">
        <v>1045</v>
      </c>
      <c r="K89">
        <v>282789470.74628812</v>
      </c>
    </row>
    <row r="90" spans="1:11" x14ac:dyDescent="0.25">
      <c r="A90">
        <v>89</v>
      </c>
      <c r="B90" t="s">
        <v>187</v>
      </c>
      <c r="C90" t="s">
        <v>188</v>
      </c>
      <c r="D90">
        <v>188</v>
      </c>
      <c r="E90">
        <v>195974580.34957021</v>
      </c>
      <c r="F90">
        <v>2</v>
      </c>
      <c r="G90">
        <v>2645455</v>
      </c>
      <c r="H90">
        <v>18</v>
      </c>
      <c r="I90">
        <v>21654545</v>
      </c>
      <c r="J90">
        <v>172</v>
      </c>
      <c r="K90">
        <v>176965490.34957021</v>
      </c>
    </row>
    <row r="91" spans="1:11" x14ac:dyDescent="0.25">
      <c r="A91">
        <v>90</v>
      </c>
      <c r="B91" t="s">
        <v>189</v>
      </c>
      <c r="C91" t="s">
        <v>190</v>
      </c>
      <c r="D91">
        <v>69</v>
      </c>
      <c r="E91">
        <v>92898683.992395431</v>
      </c>
      <c r="F91">
        <v>0</v>
      </c>
      <c r="G91">
        <v>0</v>
      </c>
      <c r="H91">
        <v>1</v>
      </c>
      <c r="I91">
        <v>2263636</v>
      </c>
      <c r="J91">
        <v>68</v>
      </c>
      <c r="K91">
        <v>90635047.992395431</v>
      </c>
    </row>
    <row r="92" spans="1:11" x14ac:dyDescent="0.25">
      <c r="A92">
        <v>91</v>
      </c>
      <c r="B92" t="s">
        <v>191</v>
      </c>
      <c r="C92" t="s">
        <v>192</v>
      </c>
      <c r="D92">
        <v>145</v>
      </c>
      <c r="E92">
        <v>76960486.128078818</v>
      </c>
      <c r="F92">
        <v>4</v>
      </c>
      <c r="G92">
        <v>10399999</v>
      </c>
      <c r="H92">
        <v>73</v>
      </c>
      <c r="I92">
        <v>38663637</v>
      </c>
      <c r="J92">
        <v>76</v>
      </c>
      <c r="K92">
        <v>48696848.128078818</v>
      </c>
    </row>
    <row r="93" spans="1:11" x14ac:dyDescent="0.25">
      <c r="A93">
        <v>92</v>
      </c>
      <c r="B93" t="s">
        <v>193</v>
      </c>
      <c r="C93" t="s">
        <v>194</v>
      </c>
      <c r="D93">
        <v>58</v>
      </c>
      <c r="E93">
        <v>87989508.432558149</v>
      </c>
      <c r="F93">
        <v>4</v>
      </c>
      <c r="G93">
        <v>8690909</v>
      </c>
      <c r="H93">
        <v>27</v>
      </c>
      <c r="I93">
        <v>37545456</v>
      </c>
      <c r="J93">
        <v>35</v>
      </c>
      <c r="K93">
        <v>59134961.432558149</v>
      </c>
    </row>
    <row r="94" spans="1:11" x14ac:dyDescent="0.25">
      <c r="A94">
        <v>93</v>
      </c>
      <c r="B94" t="s">
        <v>195</v>
      </c>
      <c r="C94" t="s">
        <v>196</v>
      </c>
      <c r="D94">
        <v>314</v>
      </c>
      <c r="E94">
        <v>126601595.6155607</v>
      </c>
      <c r="F94">
        <v>115</v>
      </c>
      <c r="G94">
        <v>10077273</v>
      </c>
      <c r="H94">
        <v>20</v>
      </c>
      <c r="I94">
        <v>16036359</v>
      </c>
      <c r="J94">
        <v>409</v>
      </c>
      <c r="K94">
        <v>120642509.6155607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3313637</v>
      </c>
      <c r="F95">
        <v>0</v>
      </c>
      <c r="G95">
        <v>0</v>
      </c>
      <c r="H95">
        <v>0</v>
      </c>
      <c r="I95">
        <v>0</v>
      </c>
      <c r="J95">
        <v>30</v>
      </c>
      <c r="K95">
        <v>3313637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1547</v>
      </c>
      <c r="E97">
        <v>147855166.4361957</v>
      </c>
      <c r="F97">
        <v>0</v>
      </c>
      <c r="G97">
        <v>0</v>
      </c>
      <c r="H97">
        <v>1</v>
      </c>
      <c r="I97">
        <v>72727</v>
      </c>
      <c r="J97">
        <v>1546</v>
      </c>
      <c r="K97">
        <v>147782439.4361957</v>
      </c>
    </row>
    <row r="98" spans="1:11" x14ac:dyDescent="0.25">
      <c r="A98">
        <v>97</v>
      </c>
      <c r="B98" t="s">
        <v>203</v>
      </c>
      <c r="C98" t="s">
        <v>204</v>
      </c>
      <c r="D98">
        <v>308</v>
      </c>
      <c r="E98">
        <v>67706170.620727673</v>
      </c>
      <c r="F98">
        <v>0</v>
      </c>
      <c r="G98">
        <v>0</v>
      </c>
      <c r="H98">
        <v>71</v>
      </c>
      <c r="I98">
        <v>11918181</v>
      </c>
      <c r="J98">
        <v>237</v>
      </c>
      <c r="K98">
        <v>55787989.620727673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16226332.758620691</v>
      </c>
      <c r="F100">
        <v>1</v>
      </c>
      <c r="G100">
        <v>2727273</v>
      </c>
      <c r="H100">
        <v>1</v>
      </c>
      <c r="I100">
        <v>3045455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120</v>
      </c>
      <c r="E102">
        <v>105177963.6692913</v>
      </c>
      <c r="F102">
        <v>13</v>
      </c>
      <c r="G102">
        <v>6434545</v>
      </c>
      <c r="H102">
        <v>0</v>
      </c>
      <c r="I102">
        <v>0</v>
      </c>
      <c r="J102">
        <v>133</v>
      </c>
      <c r="K102">
        <v>111612508.6692913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2369</v>
      </c>
      <c r="E104">
        <v>241730413.46378449</v>
      </c>
      <c r="F104">
        <v>30</v>
      </c>
      <c r="G104">
        <v>1745455</v>
      </c>
      <c r="H104">
        <v>46</v>
      </c>
      <c r="I104">
        <v>7099999</v>
      </c>
      <c r="J104">
        <v>2353</v>
      </c>
      <c r="K104">
        <v>236375869.46378449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222</v>
      </c>
      <c r="E105">
        <v>85918989.992982447</v>
      </c>
      <c r="F105">
        <v>6</v>
      </c>
      <c r="G105">
        <v>2105454</v>
      </c>
      <c r="H105">
        <v>2</v>
      </c>
      <c r="I105">
        <v>845455</v>
      </c>
      <c r="J105">
        <v>226</v>
      </c>
      <c r="K105">
        <v>87178988.992982447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1658</v>
      </c>
      <c r="E106">
        <v>303320074.69023043</v>
      </c>
      <c r="F106">
        <v>0</v>
      </c>
      <c r="G106">
        <v>0</v>
      </c>
      <c r="H106">
        <v>115</v>
      </c>
      <c r="I106">
        <v>8731819</v>
      </c>
      <c r="J106">
        <v>1543</v>
      </c>
      <c r="K106">
        <v>294588255.69023043</v>
      </c>
    </row>
    <row r="107" spans="1:11" x14ac:dyDescent="0.25">
      <c r="A107">
        <v>106</v>
      </c>
      <c r="B107" t="s">
        <v>221</v>
      </c>
      <c r="C107" t="s">
        <v>222</v>
      </c>
      <c r="D107">
        <v>768</v>
      </c>
      <c r="E107">
        <v>126908352.3291294</v>
      </c>
      <c r="F107">
        <v>0</v>
      </c>
      <c r="G107">
        <v>0</v>
      </c>
      <c r="H107">
        <v>91</v>
      </c>
      <c r="I107">
        <v>10490914</v>
      </c>
      <c r="J107">
        <v>677</v>
      </c>
      <c r="K107">
        <v>116417438.3291294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292</v>
      </c>
      <c r="E109">
        <v>80183780.850046858</v>
      </c>
      <c r="F109">
        <v>2</v>
      </c>
      <c r="G109">
        <v>860000</v>
      </c>
      <c r="H109">
        <v>3</v>
      </c>
      <c r="I109">
        <v>545454</v>
      </c>
      <c r="J109">
        <v>291</v>
      </c>
      <c r="K109">
        <v>80498326.850046858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225</v>
      </c>
      <c r="E110">
        <v>89831118.166189104</v>
      </c>
      <c r="F110">
        <v>52</v>
      </c>
      <c r="G110">
        <v>13730000</v>
      </c>
      <c r="H110">
        <v>4</v>
      </c>
      <c r="I110">
        <v>3109092</v>
      </c>
      <c r="J110">
        <v>273</v>
      </c>
      <c r="K110">
        <v>100452026.1661891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112</v>
      </c>
      <c r="E112">
        <v>48160514.259079903</v>
      </c>
      <c r="F112">
        <v>0</v>
      </c>
      <c r="G112">
        <v>0</v>
      </c>
      <c r="H112">
        <v>2</v>
      </c>
      <c r="I112">
        <v>672728</v>
      </c>
      <c r="J112">
        <v>110</v>
      </c>
      <c r="K112">
        <v>47487786.259079903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865</v>
      </c>
      <c r="E113">
        <v>284609092.39026397</v>
      </c>
      <c r="F113">
        <v>0</v>
      </c>
      <c r="G113">
        <v>0</v>
      </c>
      <c r="H113">
        <v>10</v>
      </c>
      <c r="I113">
        <v>5381817</v>
      </c>
      <c r="J113">
        <v>855</v>
      </c>
      <c r="K113">
        <v>279227275.39026397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48</v>
      </c>
      <c r="E114">
        <v>27261966.620689649</v>
      </c>
      <c r="F114">
        <v>0</v>
      </c>
      <c r="G114">
        <v>0</v>
      </c>
      <c r="H114">
        <v>3</v>
      </c>
      <c r="I114">
        <v>1840909</v>
      </c>
      <c r="J114">
        <v>45</v>
      </c>
      <c r="K114">
        <v>25421057.620689649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87</v>
      </c>
      <c r="E123">
        <v>41603243.616306961</v>
      </c>
      <c r="F123">
        <v>10</v>
      </c>
      <c r="G123">
        <v>3700000</v>
      </c>
      <c r="H123">
        <v>5</v>
      </c>
      <c r="I123">
        <v>1563636</v>
      </c>
      <c r="J123">
        <v>92</v>
      </c>
      <c r="K123">
        <v>43739607.616306961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565</v>
      </c>
      <c r="E126">
        <v>314312431.2321918</v>
      </c>
      <c r="F126">
        <v>11</v>
      </c>
      <c r="G126">
        <v>6990909</v>
      </c>
      <c r="H126">
        <v>1</v>
      </c>
      <c r="I126">
        <v>2863636</v>
      </c>
      <c r="J126">
        <v>575</v>
      </c>
      <c r="K126">
        <v>318439704.2321918</v>
      </c>
    </row>
    <row r="127" spans="1:11" x14ac:dyDescent="0.25">
      <c r="A127">
        <v>126</v>
      </c>
      <c r="B127" t="s">
        <v>261</v>
      </c>
      <c r="C127" t="s">
        <v>262</v>
      </c>
      <c r="D127">
        <v>5</v>
      </c>
      <c r="E127">
        <v>1971197.142857143</v>
      </c>
      <c r="F127">
        <v>1</v>
      </c>
      <c r="G127">
        <v>731818</v>
      </c>
      <c r="H127">
        <v>0</v>
      </c>
      <c r="I127">
        <v>0</v>
      </c>
      <c r="J127">
        <v>6</v>
      </c>
      <c r="K127">
        <v>2703015.1428571432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9958083.4090909101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9958083.4090909101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31572344.75</v>
      </c>
      <c r="F129">
        <v>1</v>
      </c>
      <c r="G129">
        <v>11000000</v>
      </c>
      <c r="H129">
        <v>1</v>
      </c>
      <c r="I129">
        <v>13272727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289</v>
      </c>
      <c r="E131">
        <v>168947614.5194805</v>
      </c>
      <c r="F131">
        <v>0</v>
      </c>
      <c r="G131">
        <v>0</v>
      </c>
      <c r="H131">
        <v>1</v>
      </c>
      <c r="I131">
        <v>909090</v>
      </c>
      <c r="J131">
        <v>288</v>
      </c>
      <c r="K131">
        <v>168038524.5194805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396</v>
      </c>
      <c r="E133">
        <v>103755105.7694118</v>
      </c>
      <c r="F133">
        <v>9</v>
      </c>
      <c r="G133">
        <v>2954545</v>
      </c>
      <c r="H133">
        <v>5</v>
      </c>
      <c r="I133">
        <v>2218181</v>
      </c>
      <c r="J133">
        <v>400</v>
      </c>
      <c r="K133">
        <v>104491469.7694118</v>
      </c>
    </row>
    <row r="134" spans="1:11" x14ac:dyDescent="0.25">
      <c r="A134">
        <v>133</v>
      </c>
      <c r="B134" t="s">
        <v>275</v>
      </c>
      <c r="C134" t="s">
        <v>276</v>
      </c>
      <c r="D134">
        <v>115</v>
      </c>
      <c r="E134">
        <v>38511595.084337354</v>
      </c>
      <c r="F134">
        <v>4</v>
      </c>
      <c r="G134">
        <v>1400000</v>
      </c>
      <c r="H134">
        <v>4</v>
      </c>
      <c r="I134">
        <v>1818182</v>
      </c>
      <c r="J134">
        <v>115</v>
      </c>
      <c r="K134">
        <v>38093413.084337354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7</v>
      </c>
      <c r="E141">
        <v>36819354.838709682</v>
      </c>
      <c r="F141">
        <v>0</v>
      </c>
      <c r="G141">
        <v>0</v>
      </c>
      <c r="H141">
        <v>1</v>
      </c>
      <c r="I141">
        <v>19450000</v>
      </c>
      <c r="J141">
        <v>6</v>
      </c>
      <c r="K141">
        <v>17369354.838709679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166</v>
      </c>
      <c r="E143">
        <v>51261168.115942031</v>
      </c>
      <c r="F143">
        <v>12</v>
      </c>
      <c r="G143">
        <v>8070000</v>
      </c>
      <c r="H143">
        <v>11</v>
      </c>
      <c r="I143">
        <v>10960000</v>
      </c>
      <c r="J143">
        <v>167</v>
      </c>
      <c r="K143">
        <v>48371168.115942031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1017.785</v>
      </c>
      <c r="E146">
        <v>786490739.4799999</v>
      </c>
      <c r="F146">
        <v>158.673</v>
      </c>
      <c r="G146">
        <v>55900984</v>
      </c>
      <c r="H146">
        <v>261</v>
      </c>
      <c r="I146">
        <v>135937032</v>
      </c>
      <c r="J146">
        <v>915.45800000000008</v>
      </c>
      <c r="K146">
        <v>706454691.4799999</v>
      </c>
    </row>
    <row r="147" spans="1:11" x14ac:dyDescent="0.25">
      <c r="A147" t="s">
        <v>301</v>
      </c>
      <c r="D147">
        <v>25199.785</v>
      </c>
      <c r="E147">
        <v>21922103427.72065</v>
      </c>
      <c r="F147">
        <v>934.673</v>
      </c>
      <c r="G147">
        <v>1287615396</v>
      </c>
      <c r="H147">
        <v>1733</v>
      </c>
      <c r="I147">
        <v>2921066635</v>
      </c>
      <c r="J147">
        <v>24464.457999999999</v>
      </c>
      <c r="K147">
        <v>20723319352.080021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20</v>
      </c>
      <c r="E3">
        <v>182293354</v>
      </c>
      <c r="F3">
        <v>1</v>
      </c>
      <c r="G3">
        <v>10000000</v>
      </c>
      <c r="H3">
        <v>5</v>
      </c>
      <c r="I3">
        <v>60800000</v>
      </c>
      <c r="J3">
        <v>16</v>
      </c>
      <c r="K3">
        <v>131493354</v>
      </c>
    </row>
    <row r="4" spans="1:11" x14ac:dyDescent="0.25">
      <c r="A4">
        <v>3</v>
      </c>
      <c r="B4" t="s">
        <v>15</v>
      </c>
      <c r="C4" t="s">
        <v>16</v>
      </c>
      <c r="D4">
        <v>167</v>
      </c>
      <c r="E4">
        <v>1707854681.201292</v>
      </c>
      <c r="F4">
        <v>35</v>
      </c>
      <c r="G4">
        <v>511363638</v>
      </c>
      <c r="H4">
        <v>36</v>
      </c>
      <c r="I4">
        <v>460727272</v>
      </c>
      <c r="J4">
        <v>166</v>
      </c>
      <c r="K4">
        <v>1758491047.201292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3</v>
      </c>
      <c r="E6">
        <v>56429985.178571403</v>
      </c>
      <c r="F6">
        <v>0</v>
      </c>
      <c r="G6">
        <v>0</v>
      </c>
      <c r="H6">
        <v>0</v>
      </c>
      <c r="I6">
        <v>0</v>
      </c>
      <c r="J6">
        <v>3</v>
      </c>
      <c r="K6">
        <v>56429985.178571403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5</v>
      </c>
      <c r="E9">
        <v>24301723.449999999</v>
      </c>
      <c r="F9">
        <v>2</v>
      </c>
      <c r="G9">
        <v>6505455</v>
      </c>
      <c r="H9">
        <v>0</v>
      </c>
      <c r="I9">
        <v>0</v>
      </c>
      <c r="J9">
        <v>7</v>
      </c>
      <c r="K9">
        <v>30807178.449999999</v>
      </c>
    </row>
    <row r="10" spans="1:11" x14ac:dyDescent="0.25">
      <c r="A10">
        <v>9</v>
      </c>
      <c r="B10" t="s">
        <v>27</v>
      </c>
      <c r="C10" t="s">
        <v>28</v>
      </c>
      <c r="D10">
        <v>226</v>
      </c>
      <c r="E10">
        <v>889923677.5951941</v>
      </c>
      <c r="F10">
        <v>26</v>
      </c>
      <c r="G10">
        <v>195090909</v>
      </c>
      <c r="H10">
        <v>18</v>
      </c>
      <c r="I10">
        <v>197681818</v>
      </c>
      <c r="J10">
        <v>234</v>
      </c>
      <c r="K10">
        <v>887332768.5951941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335</v>
      </c>
      <c r="E12">
        <v>3716384520.2191219</v>
      </c>
      <c r="F12">
        <v>23</v>
      </c>
      <c r="G12">
        <v>292390909</v>
      </c>
      <c r="H12">
        <v>19</v>
      </c>
      <c r="I12">
        <v>208263637</v>
      </c>
      <c r="J12">
        <v>339</v>
      </c>
      <c r="K12">
        <v>3800511792.2191219</v>
      </c>
    </row>
    <row r="13" spans="1:11" x14ac:dyDescent="0.25">
      <c r="A13">
        <v>12</v>
      </c>
      <c r="B13" t="s">
        <v>33</v>
      </c>
      <c r="C13" t="s">
        <v>34</v>
      </c>
      <c r="D13">
        <v>39</v>
      </c>
      <c r="E13">
        <v>652262412.76923084</v>
      </c>
      <c r="F13">
        <v>16</v>
      </c>
      <c r="G13">
        <v>278891819</v>
      </c>
      <c r="H13">
        <v>8</v>
      </c>
      <c r="I13">
        <v>135045454</v>
      </c>
      <c r="J13">
        <v>47</v>
      </c>
      <c r="K13">
        <v>796108777.76923084</v>
      </c>
    </row>
    <row r="14" spans="1:11" x14ac:dyDescent="0.25">
      <c r="A14">
        <v>13</v>
      </c>
      <c r="B14" t="s">
        <v>35</v>
      </c>
      <c r="C14" t="s">
        <v>36</v>
      </c>
      <c r="D14">
        <v>22</v>
      </c>
      <c r="E14">
        <v>382066223.28947371</v>
      </c>
      <c r="F14">
        <v>0</v>
      </c>
      <c r="G14">
        <v>0</v>
      </c>
      <c r="H14">
        <v>0</v>
      </c>
      <c r="I14">
        <v>0</v>
      </c>
      <c r="J14">
        <v>22</v>
      </c>
      <c r="K14">
        <v>382066223.28947371</v>
      </c>
    </row>
    <row r="15" spans="1:11" x14ac:dyDescent="0.25">
      <c r="A15">
        <v>14</v>
      </c>
      <c r="B15" t="s">
        <v>37</v>
      </c>
      <c r="C15" t="s">
        <v>38</v>
      </c>
      <c r="D15">
        <v>34</v>
      </c>
      <c r="E15">
        <v>413519585.93430662</v>
      </c>
      <c r="F15">
        <v>0</v>
      </c>
      <c r="G15">
        <v>0</v>
      </c>
      <c r="H15">
        <v>1</v>
      </c>
      <c r="I15">
        <v>17063636</v>
      </c>
      <c r="J15">
        <v>33</v>
      </c>
      <c r="K15">
        <v>396455949.93430662</v>
      </c>
    </row>
    <row r="16" spans="1:11" x14ac:dyDescent="0.25">
      <c r="A16">
        <v>15</v>
      </c>
      <c r="B16" t="s">
        <v>39</v>
      </c>
      <c r="C16" t="s">
        <v>40</v>
      </c>
      <c r="D16">
        <v>3</v>
      </c>
      <c r="E16">
        <v>70766805.104477614</v>
      </c>
      <c r="F16">
        <v>0</v>
      </c>
      <c r="G16">
        <v>0</v>
      </c>
      <c r="H16">
        <v>0</v>
      </c>
      <c r="I16">
        <v>0</v>
      </c>
      <c r="J16">
        <v>3</v>
      </c>
      <c r="K16">
        <v>70766805.104477614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33</v>
      </c>
      <c r="I24">
        <v>303990909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346</v>
      </c>
      <c r="E25">
        <v>2474534317.361217</v>
      </c>
      <c r="F25">
        <v>11</v>
      </c>
      <c r="G25">
        <v>15773636</v>
      </c>
      <c r="H25">
        <v>50</v>
      </c>
      <c r="I25">
        <v>91377271</v>
      </c>
      <c r="J25">
        <v>307</v>
      </c>
      <c r="K25">
        <v>2398930682.361217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70377413.307692319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70377413.307692319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23781985.5</v>
      </c>
      <c r="F33">
        <v>3</v>
      </c>
      <c r="G33">
        <v>7227273</v>
      </c>
      <c r="H33">
        <v>3</v>
      </c>
      <c r="I33">
        <v>7881819</v>
      </c>
      <c r="J33">
        <v>4</v>
      </c>
      <c r="K33">
        <v>23127439.5</v>
      </c>
    </row>
    <row r="34" spans="1:11" x14ac:dyDescent="0.25">
      <c r="A34">
        <v>33</v>
      </c>
      <c r="B34" t="s">
        <v>75</v>
      </c>
      <c r="C34" t="s">
        <v>76</v>
      </c>
      <c r="D34">
        <v>47</v>
      </c>
      <c r="E34">
        <v>99013449.183266938</v>
      </c>
      <c r="F34">
        <v>3</v>
      </c>
      <c r="G34">
        <v>5454545</v>
      </c>
      <c r="H34">
        <v>1</v>
      </c>
      <c r="I34">
        <v>2136364</v>
      </c>
      <c r="J34">
        <v>49</v>
      </c>
      <c r="K34">
        <v>102331630.18326689</v>
      </c>
    </row>
    <row r="35" spans="1:11" x14ac:dyDescent="0.25">
      <c r="A35">
        <v>34</v>
      </c>
      <c r="B35" t="s">
        <v>77</v>
      </c>
      <c r="C35" t="s">
        <v>78</v>
      </c>
      <c r="D35">
        <v>729</v>
      </c>
      <c r="E35">
        <v>1378221853.553802</v>
      </c>
      <c r="F35">
        <v>11</v>
      </c>
      <c r="G35">
        <v>18981820</v>
      </c>
      <c r="H35">
        <v>17</v>
      </c>
      <c r="I35">
        <v>32463637</v>
      </c>
      <c r="J35">
        <v>723</v>
      </c>
      <c r="K35">
        <v>1364740036.553802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30344435.021276589</v>
      </c>
      <c r="F36">
        <v>0</v>
      </c>
      <c r="G36">
        <v>0</v>
      </c>
      <c r="H36">
        <v>0</v>
      </c>
      <c r="I36">
        <v>0</v>
      </c>
      <c r="J36">
        <v>13</v>
      </c>
      <c r="K36">
        <v>30344435.021276589</v>
      </c>
    </row>
    <row r="37" spans="1:11" x14ac:dyDescent="0.25">
      <c r="A37">
        <v>36</v>
      </c>
      <c r="B37" t="s">
        <v>81</v>
      </c>
      <c r="C37" t="s">
        <v>82</v>
      </c>
      <c r="D37">
        <v>19</v>
      </c>
      <c r="E37">
        <v>79674016.196428597</v>
      </c>
      <c r="F37">
        <v>5</v>
      </c>
      <c r="G37">
        <v>7500000</v>
      </c>
      <c r="H37">
        <v>0</v>
      </c>
      <c r="I37">
        <v>0</v>
      </c>
      <c r="J37">
        <v>24</v>
      </c>
      <c r="K37">
        <v>87174016.196428597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135</v>
      </c>
      <c r="E39">
        <v>330565871.38106239</v>
      </c>
      <c r="F39">
        <v>1</v>
      </c>
      <c r="G39">
        <v>6618182</v>
      </c>
      <c r="H39">
        <v>0</v>
      </c>
      <c r="I39">
        <v>0</v>
      </c>
      <c r="J39">
        <v>136</v>
      </c>
      <c r="K39">
        <v>337184053.38106239</v>
      </c>
    </row>
    <row r="40" spans="1:11" x14ac:dyDescent="0.25">
      <c r="A40">
        <v>39</v>
      </c>
      <c r="B40" t="s">
        <v>87</v>
      </c>
      <c r="C40" t="s">
        <v>88</v>
      </c>
      <c r="D40">
        <v>7</v>
      </c>
      <c r="E40">
        <v>32934343.77777778</v>
      </c>
      <c r="F40">
        <v>0</v>
      </c>
      <c r="G40">
        <v>0</v>
      </c>
      <c r="H40">
        <v>0</v>
      </c>
      <c r="I40">
        <v>0</v>
      </c>
      <c r="J40">
        <v>7</v>
      </c>
      <c r="K40">
        <v>32934343.77777778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1023</v>
      </c>
      <c r="E42">
        <v>0</v>
      </c>
      <c r="F42">
        <v>67</v>
      </c>
      <c r="G42">
        <v>76404543.180000007</v>
      </c>
      <c r="H42">
        <v>17</v>
      </c>
      <c r="I42">
        <v>60763635</v>
      </c>
      <c r="J42">
        <v>1073</v>
      </c>
      <c r="K42">
        <v>15640908.180000011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353</v>
      </c>
      <c r="E44">
        <v>973839140.42474437</v>
      </c>
      <c r="F44">
        <v>26</v>
      </c>
      <c r="G44">
        <v>79916930</v>
      </c>
      <c r="H44">
        <v>24</v>
      </c>
      <c r="I44">
        <v>62472727</v>
      </c>
      <c r="J44">
        <v>355</v>
      </c>
      <c r="K44">
        <v>991283343.42474437</v>
      </c>
    </row>
    <row r="45" spans="1:11" x14ac:dyDescent="0.25">
      <c r="A45">
        <v>44</v>
      </c>
      <c r="B45" t="s">
        <v>97</v>
      </c>
      <c r="C45" t="s">
        <v>98</v>
      </c>
      <c r="D45">
        <v>50</v>
      </c>
      <c r="E45">
        <v>198314395.79297301</v>
      </c>
      <c r="F45">
        <v>7</v>
      </c>
      <c r="G45">
        <v>30069419</v>
      </c>
      <c r="H45">
        <v>3</v>
      </c>
      <c r="I45">
        <v>16390909</v>
      </c>
      <c r="J45">
        <v>54</v>
      </c>
      <c r="K45">
        <v>211992905.79297301</v>
      </c>
    </row>
    <row r="46" spans="1:11" x14ac:dyDescent="0.25">
      <c r="A46">
        <v>45</v>
      </c>
      <c r="B46" t="s">
        <v>99</v>
      </c>
      <c r="C46" t="s">
        <v>100</v>
      </c>
      <c r="D46">
        <v>267</v>
      </c>
      <c r="E46">
        <v>92100484.632571429</v>
      </c>
      <c r="F46">
        <v>10</v>
      </c>
      <c r="G46">
        <v>3227273</v>
      </c>
      <c r="H46">
        <v>6</v>
      </c>
      <c r="I46">
        <v>7772727</v>
      </c>
      <c r="J46">
        <v>271</v>
      </c>
      <c r="K46">
        <v>87555030.632571429</v>
      </c>
    </row>
    <row r="47" spans="1:11" x14ac:dyDescent="0.25">
      <c r="A47">
        <v>46</v>
      </c>
      <c r="B47" t="s">
        <v>101</v>
      </c>
      <c r="C47" t="s">
        <v>102</v>
      </c>
      <c r="D47">
        <v>130</v>
      </c>
      <c r="E47">
        <v>224145140.92567381</v>
      </c>
      <c r="F47">
        <v>12</v>
      </c>
      <c r="G47">
        <v>29545455</v>
      </c>
      <c r="H47">
        <v>1</v>
      </c>
      <c r="I47">
        <v>6909091</v>
      </c>
      <c r="J47">
        <v>141</v>
      </c>
      <c r="K47">
        <v>246781504.92567381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33</v>
      </c>
      <c r="E49">
        <v>220228612.96224141</v>
      </c>
      <c r="F49">
        <v>4</v>
      </c>
      <c r="G49">
        <v>20400001</v>
      </c>
      <c r="H49">
        <v>3</v>
      </c>
      <c r="I49">
        <v>18490909</v>
      </c>
      <c r="J49">
        <v>34</v>
      </c>
      <c r="K49">
        <v>222137704.96224141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124691176.26693881</v>
      </c>
      <c r="F52">
        <v>0</v>
      </c>
      <c r="G52">
        <v>0</v>
      </c>
      <c r="H52">
        <v>0</v>
      </c>
      <c r="I52">
        <v>0</v>
      </c>
      <c r="J52">
        <v>72</v>
      </c>
      <c r="K52">
        <v>124691176.26693881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76</v>
      </c>
      <c r="E55">
        <v>129215080.172702</v>
      </c>
      <c r="F55">
        <v>0</v>
      </c>
      <c r="G55">
        <v>0</v>
      </c>
      <c r="H55">
        <v>1</v>
      </c>
      <c r="I55">
        <v>336364</v>
      </c>
      <c r="J55">
        <v>75</v>
      </c>
      <c r="K55">
        <v>128878716.172702</v>
      </c>
    </row>
    <row r="56" spans="1:11" x14ac:dyDescent="0.25">
      <c r="A56">
        <v>55</v>
      </c>
      <c r="B56" t="s">
        <v>119</v>
      </c>
      <c r="C56" t="s">
        <v>120</v>
      </c>
      <c r="D56">
        <v>37</v>
      </c>
      <c r="E56">
        <v>20128899.491525419</v>
      </c>
      <c r="F56">
        <v>0</v>
      </c>
      <c r="G56">
        <v>0</v>
      </c>
      <c r="H56">
        <v>3</v>
      </c>
      <c r="I56">
        <v>12111111</v>
      </c>
      <c r="J56">
        <v>34</v>
      </c>
      <c r="K56">
        <v>8017788.4915254228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15151110.180769229</v>
      </c>
      <c r="F57">
        <v>0</v>
      </c>
      <c r="G57">
        <v>0</v>
      </c>
      <c r="H57">
        <v>0</v>
      </c>
      <c r="I57">
        <v>0</v>
      </c>
      <c r="J57">
        <v>5</v>
      </c>
      <c r="K57">
        <v>15151110.180769229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3467</v>
      </c>
      <c r="E59">
        <v>259672407.36559761</v>
      </c>
      <c r="F59">
        <v>378</v>
      </c>
      <c r="G59">
        <v>43085458</v>
      </c>
      <c r="H59">
        <v>118</v>
      </c>
      <c r="I59">
        <v>24177273</v>
      </c>
      <c r="J59">
        <v>3727</v>
      </c>
      <c r="K59">
        <v>278580592.36559761</v>
      </c>
    </row>
    <row r="60" spans="1:11" x14ac:dyDescent="0.25">
      <c r="A60">
        <v>59</v>
      </c>
      <c r="B60" t="s">
        <v>127</v>
      </c>
      <c r="C60" t="s">
        <v>128</v>
      </c>
      <c r="D60">
        <v>81</v>
      </c>
      <c r="E60">
        <v>2895730.6822262122</v>
      </c>
      <c r="F60">
        <v>0</v>
      </c>
      <c r="G60">
        <v>0</v>
      </c>
      <c r="H60">
        <v>0</v>
      </c>
      <c r="I60">
        <v>0</v>
      </c>
      <c r="J60">
        <v>81</v>
      </c>
      <c r="K60">
        <v>2895730.6822262122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1879</v>
      </c>
      <c r="E62">
        <v>229684066.8789579</v>
      </c>
      <c r="F62">
        <v>10</v>
      </c>
      <c r="G62">
        <v>1746000</v>
      </c>
      <c r="H62">
        <v>12</v>
      </c>
      <c r="I62">
        <v>781819</v>
      </c>
      <c r="J62">
        <v>1877</v>
      </c>
      <c r="K62">
        <v>230648247.8789579</v>
      </c>
    </row>
    <row r="63" spans="1:11" x14ac:dyDescent="0.25">
      <c r="A63">
        <v>62</v>
      </c>
      <c r="B63" t="s">
        <v>133</v>
      </c>
      <c r="C63" t="s">
        <v>134</v>
      </c>
      <c r="D63">
        <v>257</v>
      </c>
      <c r="E63">
        <v>57643359.711580493</v>
      </c>
      <c r="F63">
        <v>9</v>
      </c>
      <c r="G63">
        <v>0</v>
      </c>
      <c r="H63">
        <v>1</v>
      </c>
      <c r="I63">
        <v>454546</v>
      </c>
      <c r="J63">
        <v>265</v>
      </c>
      <c r="K63">
        <v>57188813.711580493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160</v>
      </c>
      <c r="E70">
        <v>51925945.665112101</v>
      </c>
      <c r="F70">
        <v>0</v>
      </c>
      <c r="G70">
        <v>0</v>
      </c>
      <c r="H70">
        <v>1</v>
      </c>
      <c r="I70">
        <v>590909</v>
      </c>
      <c r="J70">
        <v>159</v>
      </c>
      <c r="K70">
        <v>51335036.665112101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1</v>
      </c>
      <c r="E72">
        <v>699999.59999999986</v>
      </c>
      <c r="F72">
        <v>0</v>
      </c>
      <c r="G72">
        <v>0</v>
      </c>
      <c r="H72">
        <v>1</v>
      </c>
      <c r="I72">
        <v>409090</v>
      </c>
      <c r="J72">
        <v>0</v>
      </c>
      <c r="K72">
        <v>290909.59999999992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142</v>
      </c>
      <c r="E74">
        <v>321785114.07878792</v>
      </c>
      <c r="F74">
        <v>8</v>
      </c>
      <c r="G74">
        <v>16309091</v>
      </c>
      <c r="H74">
        <v>3</v>
      </c>
      <c r="I74">
        <v>6000000</v>
      </c>
      <c r="J74">
        <v>147</v>
      </c>
      <c r="K74">
        <v>332094205.07878792</v>
      </c>
    </row>
    <row r="75" spans="1:11" x14ac:dyDescent="0.25">
      <c r="A75">
        <v>74</v>
      </c>
      <c r="B75" t="s">
        <v>157</v>
      </c>
      <c r="C75" t="s">
        <v>158</v>
      </c>
      <c r="D75">
        <v>131</v>
      </c>
      <c r="E75">
        <v>391751045.75098813</v>
      </c>
      <c r="F75">
        <v>1</v>
      </c>
      <c r="G75">
        <v>4772727</v>
      </c>
      <c r="H75">
        <v>1</v>
      </c>
      <c r="I75">
        <v>5363636</v>
      </c>
      <c r="J75">
        <v>131</v>
      </c>
      <c r="K75">
        <v>391160136.75098813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123</v>
      </c>
      <c r="E78">
        <v>184777892.59605911</v>
      </c>
      <c r="F78">
        <v>10</v>
      </c>
      <c r="G78">
        <v>15363636</v>
      </c>
      <c r="H78">
        <v>0</v>
      </c>
      <c r="I78">
        <v>0</v>
      </c>
      <c r="J78">
        <v>133</v>
      </c>
      <c r="K78">
        <v>200141528.59605911</v>
      </c>
    </row>
    <row r="79" spans="1:11" x14ac:dyDescent="0.25">
      <c r="A79">
        <v>78</v>
      </c>
      <c r="B79" t="s">
        <v>165</v>
      </c>
      <c r="C79" t="s">
        <v>166</v>
      </c>
      <c r="D79">
        <v>11</v>
      </c>
      <c r="E79">
        <v>26753660</v>
      </c>
      <c r="F79">
        <v>2</v>
      </c>
      <c r="G79">
        <v>4141818</v>
      </c>
      <c r="H79">
        <v>1</v>
      </c>
      <c r="I79">
        <v>2736363</v>
      </c>
      <c r="J79">
        <v>12</v>
      </c>
      <c r="K79">
        <v>28159115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479</v>
      </c>
      <c r="E81">
        <v>147014899.62329009</v>
      </c>
      <c r="F81">
        <v>0</v>
      </c>
      <c r="G81">
        <v>0</v>
      </c>
      <c r="H81">
        <v>27</v>
      </c>
      <c r="I81">
        <v>9818182</v>
      </c>
      <c r="J81">
        <v>452</v>
      </c>
      <c r="K81">
        <v>137196717.62329009</v>
      </c>
    </row>
    <row r="82" spans="1:11" x14ac:dyDescent="0.25">
      <c r="A82">
        <v>81</v>
      </c>
      <c r="B82" t="s">
        <v>171</v>
      </c>
      <c r="C82" t="s">
        <v>172</v>
      </c>
      <c r="D82">
        <v>184</v>
      </c>
      <c r="E82">
        <v>124743942.1173021</v>
      </c>
      <c r="F82">
        <v>0</v>
      </c>
      <c r="G82">
        <v>0</v>
      </c>
      <c r="H82">
        <v>24</v>
      </c>
      <c r="I82">
        <v>19854545</v>
      </c>
      <c r="J82">
        <v>160</v>
      </c>
      <c r="K82">
        <v>104889397.1173021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>
        <v>26818105.202380959</v>
      </c>
      <c r="F83">
        <v>0</v>
      </c>
      <c r="G83">
        <v>0</v>
      </c>
      <c r="H83">
        <v>0</v>
      </c>
      <c r="I83">
        <v>0</v>
      </c>
      <c r="J83">
        <v>30</v>
      </c>
      <c r="K83">
        <v>26818105.202380959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15</v>
      </c>
      <c r="E85">
        <v>65483182.483870968</v>
      </c>
      <c r="F85">
        <v>0</v>
      </c>
      <c r="G85">
        <v>0</v>
      </c>
      <c r="H85">
        <v>0</v>
      </c>
      <c r="I85">
        <v>0</v>
      </c>
      <c r="J85">
        <v>15</v>
      </c>
      <c r="K85">
        <v>65483182.483870968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65</v>
      </c>
      <c r="E87">
        <v>73414628.572559372</v>
      </c>
      <c r="F87">
        <v>1</v>
      </c>
      <c r="G87">
        <v>2972727</v>
      </c>
      <c r="H87">
        <v>1</v>
      </c>
      <c r="I87">
        <v>3254545</v>
      </c>
      <c r="J87">
        <v>65</v>
      </c>
      <c r="K87">
        <v>73132810.572559372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1045</v>
      </c>
      <c r="E89">
        <v>282789470.74628812</v>
      </c>
      <c r="F89">
        <v>3</v>
      </c>
      <c r="G89">
        <v>1172727</v>
      </c>
      <c r="H89">
        <v>6</v>
      </c>
      <c r="I89">
        <v>2999998</v>
      </c>
      <c r="J89">
        <v>1042</v>
      </c>
      <c r="K89">
        <v>280962199.74628812</v>
      </c>
    </row>
    <row r="90" spans="1:11" x14ac:dyDescent="0.25">
      <c r="A90">
        <v>89</v>
      </c>
      <c r="B90" t="s">
        <v>187</v>
      </c>
      <c r="C90" t="s">
        <v>188</v>
      </c>
      <c r="D90">
        <v>172</v>
      </c>
      <c r="E90">
        <v>176965490.34957021</v>
      </c>
      <c r="F90">
        <v>0</v>
      </c>
      <c r="G90">
        <v>0</v>
      </c>
      <c r="H90">
        <v>6</v>
      </c>
      <c r="I90">
        <v>5890911</v>
      </c>
      <c r="J90">
        <v>166</v>
      </c>
      <c r="K90">
        <v>171074579.34957021</v>
      </c>
    </row>
    <row r="91" spans="1:11" x14ac:dyDescent="0.25">
      <c r="A91">
        <v>90</v>
      </c>
      <c r="B91" t="s">
        <v>189</v>
      </c>
      <c r="C91" t="s">
        <v>190</v>
      </c>
      <c r="D91">
        <v>68</v>
      </c>
      <c r="E91">
        <v>90635047.992395431</v>
      </c>
      <c r="F91">
        <v>0</v>
      </c>
      <c r="G91">
        <v>0</v>
      </c>
      <c r="H91">
        <v>0</v>
      </c>
      <c r="I91">
        <v>0</v>
      </c>
      <c r="J91">
        <v>68</v>
      </c>
      <c r="K91">
        <v>90635047.992395431</v>
      </c>
    </row>
    <row r="92" spans="1:11" x14ac:dyDescent="0.25">
      <c r="A92">
        <v>91</v>
      </c>
      <c r="B92" t="s">
        <v>191</v>
      </c>
      <c r="C92" t="s">
        <v>192</v>
      </c>
      <c r="D92">
        <v>76</v>
      </c>
      <c r="E92">
        <v>48696848.128078818</v>
      </c>
      <c r="F92">
        <v>9</v>
      </c>
      <c r="G92">
        <v>537273</v>
      </c>
      <c r="H92">
        <v>4</v>
      </c>
      <c r="I92">
        <v>3072728</v>
      </c>
      <c r="J92">
        <v>81</v>
      </c>
      <c r="K92">
        <v>46161393.128078818</v>
      </c>
    </row>
    <row r="93" spans="1:11" x14ac:dyDescent="0.25">
      <c r="A93">
        <v>92</v>
      </c>
      <c r="B93" t="s">
        <v>193</v>
      </c>
      <c r="C93" t="s">
        <v>194</v>
      </c>
      <c r="D93">
        <v>35</v>
      </c>
      <c r="E93">
        <v>59134961.432558149</v>
      </c>
      <c r="F93">
        <v>0</v>
      </c>
      <c r="G93">
        <v>0</v>
      </c>
      <c r="H93">
        <v>0</v>
      </c>
      <c r="I93">
        <v>0</v>
      </c>
      <c r="J93">
        <v>35</v>
      </c>
      <c r="K93">
        <v>59134961.432558149</v>
      </c>
    </row>
    <row r="94" spans="1:11" x14ac:dyDescent="0.25">
      <c r="A94">
        <v>93</v>
      </c>
      <c r="B94" t="s">
        <v>195</v>
      </c>
      <c r="C94" t="s">
        <v>196</v>
      </c>
      <c r="D94">
        <v>409</v>
      </c>
      <c r="E94">
        <v>120642509.6155607</v>
      </c>
      <c r="F94">
        <v>0</v>
      </c>
      <c r="G94">
        <v>0</v>
      </c>
      <c r="H94">
        <v>28</v>
      </c>
      <c r="I94">
        <v>5681817</v>
      </c>
      <c r="J94">
        <v>381</v>
      </c>
      <c r="K94">
        <v>114960692.6155607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3313637</v>
      </c>
      <c r="F95">
        <v>0</v>
      </c>
      <c r="G95">
        <v>0</v>
      </c>
      <c r="H95">
        <v>0</v>
      </c>
      <c r="I95">
        <v>0</v>
      </c>
      <c r="J95">
        <v>30</v>
      </c>
      <c r="K95">
        <v>3313637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1546</v>
      </c>
      <c r="E97">
        <v>147782439.4361957</v>
      </c>
      <c r="F97">
        <v>0</v>
      </c>
      <c r="G97">
        <v>0</v>
      </c>
      <c r="H97">
        <v>0</v>
      </c>
      <c r="I97">
        <v>0</v>
      </c>
      <c r="J97">
        <v>1546</v>
      </c>
      <c r="K97">
        <v>147782439.4361957</v>
      </c>
    </row>
    <row r="98" spans="1:11" x14ac:dyDescent="0.25">
      <c r="A98">
        <v>97</v>
      </c>
      <c r="B98" t="s">
        <v>203</v>
      </c>
      <c r="C98" t="s">
        <v>204</v>
      </c>
      <c r="D98">
        <v>237</v>
      </c>
      <c r="E98">
        <v>55787989.620727673</v>
      </c>
      <c r="F98">
        <v>0</v>
      </c>
      <c r="G98">
        <v>0</v>
      </c>
      <c r="H98">
        <v>7</v>
      </c>
      <c r="I98">
        <v>1663635</v>
      </c>
      <c r="J98">
        <v>230</v>
      </c>
      <c r="K98">
        <v>54124354.620727673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133</v>
      </c>
      <c r="E102">
        <v>111612508.6692913</v>
      </c>
      <c r="F102">
        <v>0</v>
      </c>
      <c r="G102">
        <v>0</v>
      </c>
      <c r="H102">
        <v>0</v>
      </c>
      <c r="I102">
        <v>0</v>
      </c>
      <c r="J102">
        <v>133</v>
      </c>
      <c r="K102">
        <v>111612508.6692913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2353</v>
      </c>
      <c r="E104">
        <v>236375869.46378449</v>
      </c>
      <c r="F104">
        <v>125</v>
      </c>
      <c r="G104">
        <v>19486364</v>
      </c>
      <c r="H104">
        <v>37</v>
      </c>
      <c r="I104">
        <v>5390910</v>
      </c>
      <c r="J104">
        <v>2441</v>
      </c>
      <c r="K104">
        <v>250471323.46378449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226</v>
      </c>
      <c r="E105">
        <v>87178988.992982447</v>
      </c>
      <c r="F105">
        <v>25</v>
      </c>
      <c r="G105">
        <v>9336364</v>
      </c>
      <c r="H105">
        <v>3</v>
      </c>
      <c r="I105">
        <v>1090909</v>
      </c>
      <c r="J105">
        <v>248</v>
      </c>
      <c r="K105">
        <v>95424443.992982447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1543</v>
      </c>
      <c r="E106">
        <v>294588255.69023043</v>
      </c>
      <c r="F106">
        <v>0</v>
      </c>
      <c r="G106">
        <v>0</v>
      </c>
      <c r="H106">
        <v>146</v>
      </c>
      <c r="I106">
        <v>15645459</v>
      </c>
      <c r="J106">
        <v>1397</v>
      </c>
      <c r="K106">
        <v>278942796.69023043</v>
      </c>
    </row>
    <row r="107" spans="1:11" x14ac:dyDescent="0.25">
      <c r="A107">
        <v>106</v>
      </c>
      <c r="B107" t="s">
        <v>221</v>
      </c>
      <c r="C107" t="s">
        <v>222</v>
      </c>
      <c r="D107">
        <v>677</v>
      </c>
      <c r="E107">
        <v>116417438.3291294</v>
      </c>
      <c r="F107">
        <v>53</v>
      </c>
      <c r="G107">
        <v>8168181</v>
      </c>
      <c r="H107">
        <v>110</v>
      </c>
      <c r="I107">
        <v>14522732</v>
      </c>
      <c r="J107">
        <v>620</v>
      </c>
      <c r="K107">
        <v>110062887.3291294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291</v>
      </c>
      <c r="E109">
        <v>80498326.850046858</v>
      </c>
      <c r="F109">
        <v>23</v>
      </c>
      <c r="G109">
        <v>6737274</v>
      </c>
      <c r="H109">
        <v>15</v>
      </c>
      <c r="I109">
        <v>4463638</v>
      </c>
      <c r="J109">
        <v>299</v>
      </c>
      <c r="K109">
        <v>82771962.850046858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273</v>
      </c>
      <c r="E110">
        <v>100452026.1661891</v>
      </c>
      <c r="F110">
        <v>42</v>
      </c>
      <c r="G110">
        <v>26689091</v>
      </c>
      <c r="H110">
        <v>36</v>
      </c>
      <c r="I110">
        <v>11827272</v>
      </c>
      <c r="J110">
        <v>279</v>
      </c>
      <c r="K110">
        <v>115313845.1661891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110</v>
      </c>
      <c r="E112">
        <v>47487786.259079903</v>
      </c>
      <c r="F112">
        <v>5</v>
      </c>
      <c r="G112">
        <v>3918183</v>
      </c>
      <c r="H112">
        <v>21</v>
      </c>
      <c r="I112">
        <v>6881815</v>
      </c>
      <c r="J112">
        <v>94</v>
      </c>
      <c r="K112">
        <v>44524154.259079903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855</v>
      </c>
      <c r="E113">
        <v>279227275.39026397</v>
      </c>
      <c r="F113">
        <v>0</v>
      </c>
      <c r="G113">
        <v>0</v>
      </c>
      <c r="H113">
        <v>1</v>
      </c>
      <c r="I113">
        <v>90909</v>
      </c>
      <c r="J113">
        <v>854</v>
      </c>
      <c r="K113">
        <v>279136366.39026397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45</v>
      </c>
      <c r="E114">
        <v>25421057.620689649</v>
      </c>
      <c r="F114">
        <v>0</v>
      </c>
      <c r="G114">
        <v>0</v>
      </c>
      <c r="H114">
        <v>0</v>
      </c>
      <c r="I114">
        <v>0</v>
      </c>
      <c r="J114">
        <v>45</v>
      </c>
      <c r="K114">
        <v>25421057.620689649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92</v>
      </c>
      <c r="E123">
        <v>43739607.616306961</v>
      </c>
      <c r="F123">
        <v>5</v>
      </c>
      <c r="G123">
        <v>1850000</v>
      </c>
      <c r="H123">
        <v>20</v>
      </c>
      <c r="I123">
        <v>5636364</v>
      </c>
      <c r="J123">
        <v>77</v>
      </c>
      <c r="K123">
        <v>39953243.616306961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575</v>
      </c>
      <c r="E126">
        <v>318439704.2321918</v>
      </c>
      <c r="F126">
        <v>24</v>
      </c>
      <c r="G126">
        <v>16888182</v>
      </c>
      <c r="H126">
        <v>1</v>
      </c>
      <c r="I126">
        <v>990909</v>
      </c>
      <c r="J126">
        <v>598</v>
      </c>
      <c r="K126">
        <v>334336977.2321918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2703015.1428571432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2703015.1428571432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9958083.4090909101</v>
      </c>
      <c r="F128">
        <v>0</v>
      </c>
      <c r="G128">
        <v>0</v>
      </c>
      <c r="H128">
        <v>0</v>
      </c>
      <c r="I128">
        <v>0</v>
      </c>
      <c r="J128">
        <v>10</v>
      </c>
      <c r="K128">
        <v>9958083.4090909101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288</v>
      </c>
      <c r="E131">
        <v>168038524.5194805</v>
      </c>
      <c r="F131">
        <v>9</v>
      </c>
      <c r="G131">
        <v>4609093</v>
      </c>
      <c r="H131">
        <v>0</v>
      </c>
      <c r="I131">
        <v>0</v>
      </c>
      <c r="J131">
        <v>297</v>
      </c>
      <c r="K131">
        <v>172647617.5194805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400</v>
      </c>
      <c r="E133">
        <v>104491469.7694118</v>
      </c>
      <c r="F133">
        <v>10</v>
      </c>
      <c r="G133">
        <v>1227272</v>
      </c>
      <c r="H133">
        <v>4</v>
      </c>
      <c r="I133">
        <v>872728</v>
      </c>
      <c r="J133">
        <v>406</v>
      </c>
      <c r="K133">
        <v>104846013.7694118</v>
      </c>
    </row>
    <row r="134" spans="1:11" x14ac:dyDescent="0.25">
      <c r="A134">
        <v>133</v>
      </c>
      <c r="B134" t="s">
        <v>275</v>
      </c>
      <c r="C134" t="s">
        <v>276</v>
      </c>
      <c r="D134">
        <v>115</v>
      </c>
      <c r="E134">
        <v>38093413.084337354</v>
      </c>
      <c r="F134">
        <v>13</v>
      </c>
      <c r="G134">
        <v>3500000</v>
      </c>
      <c r="H134">
        <v>10</v>
      </c>
      <c r="I134">
        <v>4500000</v>
      </c>
      <c r="J134">
        <v>118</v>
      </c>
      <c r="K134">
        <v>37093413.084337354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6</v>
      </c>
      <c r="E141">
        <v>17369354.838709679</v>
      </c>
      <c r="F141">
        <v>0</v>
      </c>
      <c r="G141">
        <v>0</v>
      </c>
      <c r="H141">
        <v>0</v>
      </c>
      <c r="I141">
        <v>0</v>
      </c>
      <c r="J141">
        <v>6</v>
      </c>
      <c r="K141">
        <v>17369354.838709679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167</v>
      </c>
      <c r="E143">
        <v>48371168.115942031</v>
      </c>
      <c r="F143">
        <v>0</v>
      </c>
      <c r="G143">
        <v>0</v>
      </c>
      <c r="H143">
        <v>6</v>
      </c>
      <c r="I143">
        <v>1860000</v>
      </c>
      <c r="J143">
        <v>161</v>
      </c>
      <c r="K143">
        <v>46511168.115942031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915.45800000000008</v>
      </c>
      <c r="E146">
        <v>706454691.4799999</v>
      </c>
      <c r="F146">
        <v>162</v>
      </c>
      <c r="G146">
        <v>85666412</v>
      </c>
      <c r="H146">
        <v>75</v>
      </c>
      <c r="I146">
        <v>80696639</v>
      </c>
      <c r="J146">
        <v>1002.458</v>
      </c>
      <c r="K146">
        <v>711424464.4799999</v>
      </c>
    </row>
    <row r="147" spans="1:11" x14ac:dyDescent="0.25">
      <c r="A147" t="s">
        <v>301</v>
      </c>
      <c r="D147">
        <v>24464.457999999999</v>
      </c>
      <c r="E147">
        <v>20723319352.080021</v>
      </c>
      <c r="F147">
        <v>1190</v>
      </c>
      <c r="G147">
        <v>1873539680.1800001</v>
      </c>
      <c r="H147">
        <v>975</v>
      </c>
      <c r="I147">
        <v>1949899571</v>
      </c>
      <c r="J147">
        <v>24712.457999999999</v>
      </c>
      <c r="K147">
        <v>20950950370.260021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0</v>
      </c>
      <c r="G2">
        <v>0</v>
      </c>
      <c r="H2">
        <v>0</v>
      </c>
      <c r="I2">
        <v>0</v>
      </c>
      <c r="J2">
        <v>7</v>
      </c>
      <c r="K2">
        <v>59135383.772727281</v>
      </c>
    </row>
    <row r="3" spans="1:11" x14ac:dyDescent="0.25">
      <c r="A3">
        <v>2</v>
      </c>
      <c r="B3" t="s">
        <v>13</v>
      </c>
      <c r="C3" t="s">
        <v>14</v>
      </c>
      <c r="D3">
        <v>16</v>
      </c>
      <c r="E3">
        <v>131493354</v>
      </c>
      <c r="F3">
        <v>0</v>
      </c>
      <c r="G3">
        <v>0</v>
      </c>
      <c r="H3">
        <v>2</v>
      </c>
      <c r="I3">
        <v>24354545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166</v>
      </c>
      <c r="E4">
        <v>1758491047.201292</v>
      </c>
      <c r="F4">
        <v>36</v>
      </c>
      <c r="G4">
        <v>324090908</v>
      </c>
      <c r="H4">
        <v>13</v>
      </c>
      <c r="I4">
        <v>188354545</v>
      </c>
      <c r="J4">
        <v>189</v>
      </c>
      <c r="K4">
        <v>1894227410.201292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3</v>
      </c>
      <c r="E6">
        <v>56429985.178571403</v>
      </c>
      <c r="F6">
        <v>0</v>
      </c>
      <c r="G6">
        <v>0</v>
      </c>
      <c r="H6">
        <v>0</v>
      </c>
      <c r="I6">
        <v>0</v>
      </c>
      <c r="J6">
        <v>3</v>
      </c>
      <c r="K6">
        <v>56429985.178571403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7</v>
      </c>
      <c r="E9">
        <v>30807178.449999999</v>
      </c>
      <c r="F9">
        <v>3</v>
      </c>
      <c r="G9">
        <v>9313636</v>
      </c>
      <c r="H9">
        <v>0</v>
      </c>
      <c r="I9">
        <v>0</v>
      </c>
      <c r="J9">
        <v>10</v>
      </c>
      <c r="K9">
        <v>40120814.450000003</v>
      </c>
    </row>
    <row r="10" spans="1:11" x14ac:dyDescent="0.25">
      <c r="A10">
        <v>9</v>
      </c>
      <c r="B10" t="s">
        <v>27</v>
      </c>
      <c r="C10" t="s">
        <v>28</v>
      </c>
      <c r="D10">
        <v>234</v>
      </c>
      <c r="E10">
        <v>887332768.5951941</v>
      </c>
      <c r="F10">
        <v>20</v>
      </c>
      <c r="G10">
        <v>69090909</v>
      </c>
      <c r="H10">
        <v>8</v>
      </c>
      <c r="I10">
        <v>57818182</v>
      </c>
      <c r="J10">
        <v>246</v>
      </c>
      <c r="K10">
        <v>898605495.5951941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339</v>
      </c>
      <c r="E12">
        <v>3800511792.2191219</v>
      </c>
      <c r="F12">
        <v>23</v>
      </c>
      <c r="G12">
        <v>286454545</v>
      </c>
      <c r="H12">
        <v>12</v>
      </c>
      <c r="I12">
        <v>139836360</v>
      </c>
      <c r="J12">
        <v>350</v>
      </c>
      <c r="K12">
        <v>3947129977.2191219</v>
      </c>
    </row>
    <row r="13" spans="1:11" x14ac:dyDescent="0.25">
      <c r="A13">
        <v>12</v>
      </c>
      <c r="B13" t="s">
        <v>33</v>
      </c>
      <c r="C13" t="s">
        <v>34</v>
      </c>
      <c r="D13">
        <v>47</v>
      </c>
      <c r="E13">
        <v>796108777.76923084</v>
      </c>
      <c r="F13">
        <v>8</v>
      </c>
      <c r="G13">
        <v>137809091</v>
      </c>
      <c r="H13">
        <v>5</v>
      </c>
      <c r="I13">
        <v>68909090</v>
      </c>
      <c r="J13">
        <v>50</v>
      </c>
      <c r="K13">
        <v>865008778.76923084</v>
      </c>
    </row>
    <row r="14" spans="1:11" x14ac:dyDescent="0.25">
      <c r="A14">
        <v>13</v>
      </c>
      <c r="B14" t="s">
        <v>35</v>
      </c>
      <c r="C14" t="s">
        <v>36</v>
      </c>
      <c r="D14">
        <v>22</v>
      </c>
      <c r="E14">
        <v>382066223.28947371</v>
      </c>
      <c r="F14">
        <v>0</v>
      </c>
      <c r="G14">
        <v>0</v>
      </c>
      <c r="H14">
        <v>1</v>
      </c>
      <c r="I14">
        <v>10454545</v>
      </c>
      <c r="J14">
        <v>21</v>
      </c>
      <c r="K14">
        <v>371611678.28947371</v>
      </c>
    </row>
    <row r="15" spans="1:11" x14ac:dyDescent="0.25">
      <c r="A15">
        <v>14</v>
      </c>
      <c r="B15" t="s">
        <v>37</v>
      </c>
      <c r="C15" t="s">
        <v>38</v>
      </c>
      <c r="D15">
        <v>33</v>
      </c>
      <c r="E15">
        <v>396455949.93430662</v>
      </c>
      <c r="F15">
        <v>0</v>
      </c>
      <c r="G15">
        <v>0</v>
      </c>
      <c r="H15">
        <v>2</v>
      </c>
      <c r="I15">
        <v>18181818</v>
      </c>
      <c r="J15">
        <v>31</v>
      </c>
      <c r="K15">
        <v>378274131.93430662</v>
      </c>
    </row>
    <row r="16" spans="1:11" x14ac:dyDescent="0.25">
      <c r="A16">
        <v>15</v>
      </c>
      <c r="B16" t="s">
        <v>39</v>
      </c>
      <c r="C16" t="s">
        <v>40</v>
      </c>
      <c r="D16">
        <v>3</v>
      </c>
      <c r="E16">
        <v>70766805.104477614</v>
      </c>
      <c r="F16">
        <v>1</v>
      </c>
      <c r="G16">
        <v>19909090</v>
      </c>
      <c r="H16">
        <v>0</v>
      </c>
      <c r="I16">
        <v>0</v>
      </c>
      <c r="J16">
        <v>4</v>
      </c>
      <c r="K16">
        <v>90675895.104477614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17</v>
      </c>
      <c r="I24">
        <v>173825456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307</v>
      </c>
      <c r="E25">
        <v>2398930682.361217</v>
      </c>
      <c r="F25">
        <v>53</v>
      </c>
      <c r="G25">
        <v>538326359</v>
      </c>
      <c r="H25">
        <v>56</v>
      </c>
      <c r="I25">
        <v>365109090</v>
      </c>
      <c r="J25">
        <v>304</v>
      </c>
      <c r="K25">
        <v>2572147951.361217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70377413.307692319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70377413.307692319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23127439.5</v>
      </c>
      <c r="F33">
        <v>0</v>
      </c>
      <c r="G33">
        <v>0</v>
      </c>
      <c r="H33">
        <v>0</v>
      </c>
      <c r="I33">
        <v>0</v>
      </c>
      <c r="J33">
        <v>4</v>
      </c>
      <c r="K33">
        <v>23127439.5</v>
      </c>
    </row>
    <row r="34" spans="1:11" x14ac:dyDescent="0.25">
      <c r="A34">
        <v>33</v>
      </c>
      <c r="B34" t="s">
        <v>75</v>
      </c>
      <c r="C34" t="s">
        <v>76</v>
      </c>
      <c r="D34">
        <v>49</v>
      </c>
      <c r="E34">
        <v>102331630.18326689</v>
      </c>
      <c r="F34">
        <v>3</v>
      </c>
      <c r="G34">
        <v>5481819</v>
      </c>
      <c r="H34">
        <v>4</v>
      </c>
      <c r="I34">
        <v>12727274</v>
      </c>
      <c r="J34">
        <v>48</v>
      </c>
      <c r="K34">
        <v>95086175.183266938</v>
      </c>
    </row>
    <row r="35" spans="1:11" x14ac:dyDescent="0.25">
      <c r="A35">
        <v>34</v>
      </c>
      <c r="B35" t="s">
        <v>77</v>
      </c>
      <c r="C35" t="s">
        <v>78</v>
      </c>
      <c r="D35">
        <v>723</v>
      </c>
      <c r="E35">
        <v>1364740036.553802</v>
      </c>
      <c r="F35">
        <v>8</v>
      </c>
      <c r="G35">
        <v>14336363</v>
      </c>
      <c r="H35">
        <v>26</v>
      </c>
      <c r="I35">
        <v>50445453</v>
      </c>
      <c r="J35">
        <v>705</v>
      </c>
      <c r="K35">
        <v>1328630946.553802</v>
      </c>
    </row>
    <row r="36" spans="1:11" x14ac:dyDescent="0.25">
      <c r="A36">
        <v>35</v>
      </c>
      <c r="B36" t="s">
        <v>79</v>
      </c>
      <c r="C36" t="s">
        <v>80</v>
      </c>
      <c r="D36">
        <v>13</v>
      </c>
      <c r="E36">
        <v>30344435.021276589</v>
      </c>
      <c r="F36">
        <v>2</v>
      </c>
      <c r="G36">
        <v>6581818</v>
      </c>
      <c r="H36">
        <v>0</v>
      </c>
      <c r="I36">
        <v>0</v>
      </c>
      <c r="J36">
        <v>15</v>
      </c>
      <c r="K36">
        <v>36926253.021276593</v>
      </c>
    </row>
    <row r="37" spans="1:11" x14ac:dyDescent="0.25">
      <c r="A37">
        <v>36</v>
      </c>
      <c r="B37" t="s">
        <v>81</v>
      </c>
      <c r="C37" t="s">
        <v>82</v>
      </c>
      <c r="D37">
        <v>24</v>
      </c>
      <c r="E37">
        <v>87174016.196428597</v>
      </c>
      <c r="F37">
        <v>2</v>
      </c>
      <c r="G37">
        <v>13927273</v>
      </c>
      <c r="H37">
        <v>0</v>
      </c>
      <c r="I37">
        <v>0</v>
      </c>
      <c r="J37">
        <v>26</v>
      </c>
      <c r="K37">
        <v>101101289.1964286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136</v>
      </c>
      <c r="E39">
        <v>337184053.38106239</v>
      </c>
      <c r="F39">
        <v>6</v>
      </c>
      <c r="G39">
        <v>29263636</v>
      </c>
      <c r="H39">
        <v>9</v>
      </c>
      <c r="I39">
        <v>16636365</v>
      </c>
      <c r="J39">
        <v>133</v>
      </c>
      <c r="K39">
        <v>349811324.38106239</v>
      </c>
    </row>
    <row r="40" spans="1:11" x14ac:dyDescent="0.25">
      <c r="A40">
        <v>39</v>
      </c>
      <c r="B40" t="s">
        <v>87</v>
      </c>
      <c r="C40" t="s">
        <v>88</v>
      </c>
      <c r="D40">
        <v>7</v>
      </c>
      <c r="E40">
        <v>32934343.77777778</v>
      </c>
      <c r="F40">
        <v>0</v>
      </c>
      <c r="G40">
        <v>0</v>
      </c>
      <c r="H40">
        <v>0</v>
      </c>
      <c r="I40">
        <v>0</v>
      </c>
      <c r="J40">
        <v>7</v>
      </c>
      <c r="K40">
        <v>32934343.77777778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1073</v>
      </c>
      <c r="E42">
        <v>15640908.180000011</v>
      </c>
      <c r="F42">
        <v>62</v>
      </c>
      <c r="G42">
        <v>39763637</v>
      </c>
      <c r="H42">
        <v>23</v>
      </c>
      <c r="I42">
        <v>61363636</v>
      </c>
      <c r="J42">
        <v>1112</v>
      </c>
      <c r="K42">
        <v>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355</v>
      </c>
      <c r="E44">
        <v>991283343.42474437</v>
      </c>
      <c r="F44">
        <v>60</v>
      </c>
      <c r="G44">
        <v>181247574</v>
      </c>
      <c r="H44">
        <v>10</v>
      </c>
      <c r="I44">
        <v>28399999</v>
      </c>
      <c r="J44">
        <v>405</v>
      </c>
      <c r="K44">
        <v>1144130918.4247439</v>
      </c>
    </row>
    <row r="45" spans="1:11" x14ac:dyDescent="0.25">
      <c r="A45">
        <v>44</v>
      </c>
      <c r="B45" t="s">
        <v>97</v>
      </c>
      <c r="C45" t="s">
        <v>98</v>
      </c>
      <c r="D45">
        <v>54</v>
      </c>
      <c r="E45">
        <v>211992905.79297301</v>
      </c>
      <c r="F45">
        <v>13</v>
      </c>
      <c r="G45">
        <v>52112255</v>
      </c>
      <c r="H45">
        <v>4</v>
      </c>
      <c r="I45">
        <v>17781817</v>
      </c>
      <c r="J45">
        <v>63</v>
      </c>
      <c r="K45">
        <v>246323343.79297301</v>
      </c>
    </row>
    <row r="46" spans="1:11" x14ac:dyDescent="0.25">
      <c r="A46">
        <v>45</v>
      </c>
      <c r="B46" t="s">
        <v>99</v>
      </c>
      <c r="C46" t="s">
        <v>100</v>
      </c>
      <c r="D46">
        <v>271</v>
      </c>
      <c r="E46">
        <v>87555030.632571429</v>
      </c>
      <c r="F46">
        <v>15</v>
      </c>
      <c r="G46">
        <v>2045454</v>
      </c>
      <c r="H46">
        <v>1</v>
      </c>
      <c r="I46">
        <v>354546</v>
      </c>
      <c r="J46">
        <v>285</v>
      </c>
      <c r="K46">
        <v>89245938.632571429</v>
      </c>
    </row>
    <row r="47" spans="1:11" x14ac:dyDescent="0.25">
      <c r="A47">
        <v>46</v>
      </c>
      <c r="B47" t="s">
        <v>101</v>
      </c>
      <c r="C47" t="s">
        <v>102</v>
      </c>
      <c r="D47">
        <v>141</v>
      </c>
      <c r="E47">
        <v>246781504.92567381</v>
      </c>
      <c r="F47">
        <v>4</v>
      </c>
      <c r="G47">
        <v>8481819</v>
      </c>
      <c r="H47">
        <v>1</v>
      </c>
      <c r="I47">
        <v>13636364</v>
      </c>
      <c r="J47">
        <v>144</v>
      </c>
      <c r="K47">
        <v>241626959.92567381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34</v>
      </c>
      <c r="E49">
        <v>222137704.96224141</v>
      </c>
      <c r="F49">
        <v>3</v>
      </c>
      <c r="G49">
        <v>20890910</v>
      </c>
      <c r="H49">
        <v>3</v>
      </c>
      <c r="I49">
        <v>25718182</v>
      </c>
      <c r="J49">
        <v>34</v>
      </c>
      <c r="K49">
        <v>217310432.96224141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72</v>
      </c>
      <c r="E52">
        <v>124691176.26693881</v>
      </c>
      <c r="F52">
        <v>29</v>
      </c>
      <c r="G52">
        <v>41519445</v>
      </c>
      <c r="H52">
        <v>0</v>
      </c>
      <c r="I52">
        <v>0</v>
      </c>
      <c r="J52">
        <v>101</v>
      </c>
      <c r="K52">
        <v>166210621.26693881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75</v>
      </c>
      <c r="E55">
        <v>128878716.172702</v>
      </c>
      <c r="F55">
        <v>17</v>
      </c>
      <c r="G55">
        <v>18702000</v>
      </c>
      <c r="H55">
        <v>6</v>
      </c>
      <c r="I55">
        <v>1700000</v>
      </c>
      <c r="J55">
        <v>86</v>
      </c>
      <c r="K55">
        <v>145880716.17270201</v>
      </c>
    </row>
    <row r="56" spans="1:11" x14ac:dyDescent="0.25">
      <c r="A56">
        <v>55</v>
      </c>
      <c r="B56" t="s">
        <v>119</v>
      </c>
      <c r="C56" t="s">
        <v>120</v>
      </c>
      <c r="D56">
        <v>34</v>
      </c>
      <c r="E56">
        <v>8017788.4915254228</v>
      </c>
      <c r="F56">
        <v>0</v>
      </c>
      <c r="G56">
        <v>0</v>
      </c>
      <c r="H56">
        <v>0</v>
      </c>
      <c r="I56">
        <v>0</v>
      </c>
      <c r="J56">
        <v>34</v>
      </c>
      <c r="K56">
        <v>8017788.4915254228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15151110.180769229</v>
      </c>
      <c r="F57">
        <v>0</v>
      </c>
      <c r="G57">
        <v>0</v>
      </c>
      <c r="H57">
        <v>0</v>
      </c>
      <c r="I57">
        <v>0</v>
      </c>
      <c r="J57">
        <v>5</v>
      </c>
      <c r="K57">
        <v>15151110.180769229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3727</v>
      </c>
      <c r="E59">
        <v>278580592.36559761</v>
      </c>
      <c r="F59">
        <v>249</v>
      </c>
      <c r="G59">
        <v>22673646</v>
      </c>
      <c r="H59">
        <v>291</v>
      </c>
      <c r="I59">
        <v>46740912</v>
      </c>
      <c r="J59">
        <v>3685</v>
      </c>
      <c r="K59">
        <v>254513326.36559761</v>
      </c>
    </row>
    <row r="60" spans="1:11" x14ac:dyDescent="0.25">
      <c r="A60">
        <v>59</v>
      </c>
      <c r="B60" t="s">
        <v>127</v>
      </c>
      <c r="C60" t="s">
        <v>128</v>
      </c>
      <c r="D60">
        <v>81</v>
      </c>
      <c r="E60">
        <v>2895730.6822262122</v>
      </c>
      <c r="F60">
        <v>0</v>
      </c>
      <c r="G60">
        <v>0</v>
      </c>
      <c r="H60">
        <v>0</v>
      </c>
      <c r="I60">
        <v>0</v>
      </c>
      <c r="J60">
        <v>81</v>
      </c>
      <c r="K60">
        <v>2895730.6822262122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0</v>
      </c>
      <c r="I61">
        <v>0</v>
      </c>
      <c r="J61">
        <v>18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1877</v>
      </c>
      <c r="E62">
        <v>230648247.8789579</v>
      </c>
      <c r="F62">
        <v>60</v>
      </c>
      <c r="G62">
        <v>3018727</v>
      </c>
      <c r="H62">
        <v>39</v>
      </c>
      <c r="I62">
        <v>10798183</v>
      </c>
      <c r="J62">
        <v>1898</v>
      </c>
      <c r="K62">
        <v>222868791.8789579</v>
      </c>
    </row>
    <row r="63" spans="1:11" x14ac:dyDescent="0.25">
      <c r="A63">
        <v>62</v>
      </c>
      <c r="B63" t="s">
        <v>133</v>
      </c>
      <c r="C63" t="s">
        <v>134</v>
      </c>
      <c r="D63">
        <v>265</v>
      </c>
      <c r="E63">
        <v>57188813.711580493</v>
      </c>
      <c r="F63">
        <v>30</v>
      </c>
      <c r="G63">
        <v>0</v>
      </c>
      <c r="H63">
        <v>0</v>
      </c>
      <c r="I63">
        <v>0</v>
      </c>
      <c r="J63">
        <v>295</v>
      </c>
      <c r="K63">
        <v>57188813.711580493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159</v>
      </c>
      <c r="E70">
        <v>51335036.665112101</v>
      </c>
      <c r="F70">
        <v>1</v>
      </c>
      <c r="G70">
        <v>1536364</v>
      </c>
      <c r="H70">
        <v>6</v>
      </c>
      <c r="I70">
        <v>4454545</v>
      </c>
      <c r="J70">
        <v>154</v>
      </c>
      <c r="K70">
        <v>48416855.665112101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290909.59999999992</v>
      </c>
      <c r="F72">
        <v>0</v>
      </c>
      <c r="G72">
        <v>0</v>
      </c>
      <c r="H72">
        <v>0</v>
      </c>
      <c r="I72">
        <v>0</v>
      </c>
      <c r="J72">
        <v>0</v>
      </c>
      <c r="K72">
        <v>290909.59999999992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147</v>
      </c>
      <c r="E74">
        <v>332094205.07878792</v>
      </c>
      <c r="F74">
        <v>0</v>
      </c>
      <c r="G74">
        <v>0</v>
      </c>
      <c r="H74">
        <v>1</v>
      </c>
      <c r="I74">
        <v>1909090</v>
      </c>
      <c r="J74">
        <v>146</v>
      </c>
      <c r="K74">
        <v>330185115.07878792</v>
      </c>
    </row>
    <row r="75" spans="1:11" x14ac:dyDescent="0.25">
      <c r="A75">
        <v>74</v>
      </c>
      <c r="B75" t="s">
        <v>157</v>
      </c>
      <c r="C75" t="s">
        <v>158</v>
      </c>
      <c r="D75">
        <v>131</v>
      </c>
      <c r="E75">
        <v>391160136.75098813</v>
      </c>
      <c r="F75">
        <v>0</v>
      </c>
      <c r="G75">
        <v>0</v>
      </c>
      <c r="H75">
        <v>1</v>
      </c>
      <c r="I75">
        <v>2654545</v>
      </c>
      <c r="J75">
        <v>130</v>
      </c>
      <c r="K75">
        <v>388505591.75098813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133</v>
      </c>
      <c r="E78">
        <v>200141528.59605911</v>
      </c>
      <c r="F78">
        <v>15</v>
      </c>
      <c r="G78">
        <v>22500000</v>
      </c>
      <c r="H78">
        <v>1</v>
      </c>
      <c r="I78">
        <v>1818182</v>
      </c>
      <c r="J78">
        <v>147</v>
      </c>
      <c r="K78">
        <v>220823346.59605911</v>
      </c>
    </row>
    <row r="79" spans="1:11" x14ac:dyDescent="0.25">
      <c r="A79">
        <v>78</v>
      </c>
      <c r="B79" t="s">
        <v>165</v>
      </c>
      <c r="C79" t="s">
        <v>166</v>
      </c>
      <c r="D79">
        <v>12</v>
      </c>
      <c r="E79">
        <v>28159115</v>
      </c>
      <c r="F79">
        <v>1</v>
      </c>
      <c r="G79">
        <v>2016364</v>
      </c>
      <c r="H79">
        <v>1</v>
      </c>
      <c r="I79">
        <v>2000000</v>
      </c>
      <c r="J79">
        <v>12</v>
      </c>
      <c r="K79">
        <v>28175479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452</v>
      </c>
      <c r="E81">
        <v>137196717.62329009</v>
      </c>
      <c r="F81">
        <v>30</v>
      </c>
      <c r="G81">
        <v>9318182</v>
      </c>
      <c r="H81">
        <v>20</v>
      </c>
      <c r="I81">
        <v>6000000</v>
      </c>
      <c r="J81">
        <v>462</v>
      </c>
      <c r="K81">
        <v>140514899.62329009</v>
      </c>
    </row>
    <row r="82" spans="1:11" x14ac:dyDescent="0.25">
      <c r="A82">
        <v>81</v>
      </c>
      <c r="B82" t="s">
        <v>171</v>
      </c>
      <c r="C82" t="s">
        <v>172</v>
      </c>
      <c r="D82">
        <v>160</v>
      </c>
      <c r="E82">
        <v>104889397.1173021</v>
      </c>
      <c r="F82">
        <v>10</v>
      </c>
      <c r="G82">
        <v>5977273</v>
      </c>
      <c r="H82">
        <v>100</v>
      </c>
      <c r="I82">
        <v>5454545</v>
      </c>
      <c r="J82">
        <v>70</v>
      </c>
      <c r="K82">
        <v>105412125.1173021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>
        <v>26818105.202380959</v>
      </c>
      <c r="F83">
        <v>0</v>
      </c>
      <c r="G83">
        <v>0</v>
      </c>
      <c r="H83">
        <v>0</v>
      </c>
      <c r="I83">
        <v>0</v>
      </c>
      <c r="J83">
        <v>30</v>
      </c>
      <c r="K83">
        <v>26818105.202380959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15</v>
      </c>
      <c r="E85">
        <v>65483182.483870968</v>
      </c>
      <c r="F85">
        <v>0</v>
      </c>
      <c r="G85">
        <v>0</v>
      </c>
      <c r="H85">
        <v>1</v>
      </c>
      <c r="I85">
        <v>4090909</v>
      </c>
      <c r="J85">
        <v>14</v>
      </c>
      <c r="K85">
        <v>61392273.483870968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0</v>
      </c>
      <c r="G86">
        <v>0</v>
      </c>
      <c r="H86">
        <v>0</v>
      </c>
      <c r="I86">
        <v>0</v>
      </c>
      <c r="J86">
        <v>14</v>
      </c>
      <c r="K86">
        <v>11999492.16</v>
      </c>
    </row>
    <row r="87" spans="1:11" x14ac:dyDescent="0.25">
      <c r="A87">
        <v>86</v>
      </c>
      <c r="B87" t="s">
        <v>181</v>
      </c>
      <c r="C87" t="s">
        <v>182</v>
      </c>
      <c r="D87">
        <v>65</v>
      </c>
      <c r="E87">
        <v>73132810.572559372</v>
      </c>
      <c r="F87">
        <v>6</v>
      </c>
      <c r="G87">
        <v>6327273</v>
      </c>
      <c r="H87">
        <v>3</v>
      </c>
      <c r="I87">
        <v>3709091</v>
      </c>
      <c r="J87">
        <v>68</v>
      </c>
      <c r="K87">
        <v>75750992.572559372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1042</v>
      </c>
      <c r="E89">
        <v>280962199.74628812</v>
      </c>
      <c r="F89">
        <v>83</v>
      </c>
      <c r="G89">
        <v>31609090</v>
      </c>
      <c r="H89">
        <v>180</v>
      </c>
      <c r="I89">
        <v>51627253</v>
      </c>
      <c r="J89">
        <v>945</v>
      </c>
      <c r="K89">
        <v>260944036.74628809</v>
      </c>
    </row>
    <row r="90" spans="1:11" x14ac:dyDescent="0.25">
      <c r="A90">
        <v>89</v>
      </c>
      <c r="B90" t="s">
        <v>187</v>
      </c>
      <c r="C90" t="s">
        <v>188</v>
      </c>
      <c r="D90">
        <v>166</v>
      </c>
      <c r="E90">
        <v>171074579.34957021</v>
      </c>
      <c r="F90">
        <v>22</v>
      </c>
      <c r="G90">
        <v>37363636</v>
      </c>
      <c r="H90">
        <v>35</v>
      </c>
      <c r="I90">
        <v>9845455</v>
      </c>
      <c r="J90">
        <v>153</v>
      </c>
      <c r="K90">
        <v>198592760.34957021</v>
      </c>
    </row>
    <row r="91" spans="1:11" x14ac:dyDescent="0.25">
      <c r="A91">
        <v>90</v>
      </c>
      <c r="B91" t="s">
        <v>189</v>
      </c>
      <c r="C91" t="s">
        <v>190</v>
      </c>
      <c r="D91">
        <v>68</v>
      </c>
      <c r="E91">
        <v>90635047.992395431</v>
      </c>
      <c r="F91">
        <v>12</v>
      </c>
      <c r="G91">
        <v>16181819</v>
      </c>
      <c r="H91">
        <v>0</v>
      </c>
      <c r="I91">
        <v>0</v>
      </c>
      <c r="J91">
        <v>80</v>
      </c>
      <c r="K91">
        <v>106816866.9923954</v>
      </c>
    </row>
    <row r="92" spans="1:11" x14ac:dyDescent="0.25">
      <c r="A92">
        <v>91</v>
      </c>
      <c r="B92" t="s">
        <v>191</v>
      </c>
      <c r="C92" t="s">
        <v>192</v>
      </c>
      <c r="D92">
        <v>81</v>
      </c>
      <c r="E92">
        <v>46161393.128078818</v>
      </c>
      <c r="F92">
        <v>16</v>
      </c>
      <c r="G92">
        <v>19268183</v>
      </c>
      <c r="H92">
        <v>7</v>
      </c>
      <c r="I92">
        <v>8009090</v>
      </c>
      <c r="J92">
        <v>90</v>
      </c>
      <c r="K92">
        <v>57420486.128078818</v>
      </c>
    </row>
    <row r="93" spans="1:11" x14ac:dyDescent="0.25">
      <c r="A93">
        <v>92</v>
      </c>
      <c r="B93" t="s">
        <v>193</v>
      </c>
      <c r="C93" t="s">
        <v>194</v>
      </c>
      <c r="D93">
        <v>35</v>
      </c>
      <c r="E93">
        <v>59134961.432558149</v>
      </c>
      <c r="F93">
        <v>10</v>
      </c>
      <c r="G93">
        <v>17031818</v>
      </c>
      <c r="H93">
        <v>2</v>
      </c>
      <c r="I93">
        <v>2545455</v>
      </c>
      <c r="J93">
        <v>43</v>
      </c>
      <c r="K93">
        <v>73621324.432558149</v>
      </c>
    </row>
    <row r="94" spans="1:11" x14ac:dyDescent="0.25">
      <c r="A94">
        <v>93</v>
      </c>
      <c r="B94" t="s">
        <v>195</v>
      </c>
      <c r="C94" t="s">
        <v>196</v>
      </c>
      <c r="D94">
        <v>381</v>
      </c>
      <c r="E94">
        <v>114960692.6155607</v>
      </c>
      <c r="F94">
        <v>199</v>
      </c>
      <c r="G94">
        <v>46437269</v>
      </c>
      <c r="H94">
        <v>17</v>
      </c>
      <c r="I94">
        <v>9153636</v>
      </c>
      <c r="J94">
        <v>563</v>
      </c>
      <c r="K94">
        <v>152244325.61556071</v>
      </c>
    </row>
    <row r="95" spans="1:11" x14ac:dyDescent="0.25">
      <c r="A95">
        <v>94</v>
      </c>
      <c r="B95" t="s">
        <v>197</v>
      </c>
      <c r="C95" t="s">
        <v>198</v>
      </c>
      <c r="D95">
        <v>30</v>
      </c>
      <c r="E95">
        <v>3313637</v>
      </c>
      <c r="F95">
        <v>0</v>
      </c>
      <c r="G95">
        <v>0</v>
      </c>
      <c r="H95">
        <v>2</v>
      </c>
      <c r="I95">
        <v>345454</v>
      </c>
      <c r="J95">
        <v>28</v>
      </c>
      <c r="K95">
        <v>2968183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1546</v>
      </c>
      <c r="E97">
        <v>147782439.4361957</v>
      </c>
      <c r="F97">
        <v>0</v>
      </c>
      <c r="G97">
        <v>0</v>
      </c>
      <c r="H97">
        <v>5</v>
      </c>
      <c r="I97">
        <v>772727</v>
      </c>
      <c r="J97">
        <v>1541</v>
      </c>
      <c r="K97">
        <v>147009712.4361957</v>
      </c>
    </row>
    <row r="98" spans="1:11" x14ac:dyDescent="0.25">
      <c r="A98">
        <v>97</v>
      </c>
      <c r="B98" t="s">
        <v>203</v>
      </c>
      <c r="C98" t="s">
        <v>204</v>
      </c>
      <c r="D98">
        <v>230</v>
      </c>
      <c r="E98">
        <v>54124354.620727673</v>
      </c>
      <c r="F98">
        <v>20</v>
      </c>
      <c r="G98">
        <v>3454545</v>
      </c>
      <c r="H98">
        <v>32</v>
      </c>
      <c r="I98">
        <v>5636364</v>
      </c>
      <c r="J98">
        <v>218</v>
      </c>
      <c r="K98">
        <v>51942535.620727673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133</v>
      </c>
      <c r="E102">
        <v>111612508.6692913</v>
      </c>
      <c r="F102">
        <v>0</v>
      </c>
      <c r="G102">
        <v>0</v>
      </c>
      <c r="H102">
        <v>0</v>
      </c>
      <c r="I102">
        <v>0</v>
      </c>
      <c r="J102">
        <v>133</v>
      </c>
      <c r="K102">
        <v>111612508.6692913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2441</v>
      </c>
      <c r="E104">
        <v>250471323.46378449</v>
      </c>
      <c r="F104">
        <v>59</v>
      </c>
      <c r="G104">
        <v>7874548</v>
      </c>
      <c r="H104">
        <v>24</v>
      </c>
      <c r="I104">
        <v>2529089</v>
      </c>
      <c r="J104">
        <v>2476</v>
      </c>
      <c r="K104">
        <v>255816782.46378449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248</v>
      </c>
      <c r="E105">
        <v>95424443.992982447</v>
      </c>
      <c r="F105">
        <v>1</v>
      </c>
      <c r="G105">
        <v>0</v>
      </c>
      <c r="H105">
        <v>0</v>
      </c>
      <c r="I105">
        <v>0</v>
      </c>
      <c r="J105">
        <v>249</v>
      </c>
      <c r="K105">
        <v>95424443.992982447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1397</v>
      </c>
      <c r="E106">
        <v>278942796.69023043</v>
      </c>
      <c r="F106">
        <v>10</v>
      </c>
      <c r="G106">
        <v>4272728</v>
      </c>
      <c r="H106">
        <v>71</v>
      </c>
      <c r="I106">
        <v>9518180</v>
      </c>
      <c r="J106">
        <v>1336</v>
      </c>
      <c r="K106">
        <v>273697344.69023043</v>
      </c>
    </row>
    <row r="107" spans="1:11" x14ac:dyDescent="0.25">
      <c r="A107">
        <v>106</v>
      </c>
      <c r="B107" t="s">
        <v>221</v>
      </c>
      <c r="C107" t="s">
        <v>222</v>
      </c>
      <c r="D107">
        <v>620</v>
      </c>
      <c r="E107">
        <v>110062887.3291294</v>
      </c>
      <c r="F107">
        <v>4</v>
      </c>
      <c r="G107">
        <v>4027273</v>
      </c>
      <c r="H107">
        <v>224</v>
      </c>
      <c r="I107">
        <v>26827313</v>
      </c>
      <c r="J107">
        <v>400</v>
      </c>
      <c r="K107">
        <v>87262847.329129368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299</v>
      </c>
      <c r="E109">
        <v>82771962.850046858</v>
      </c>
      <c r="F109">
        <v>27</v>
      </c>
      <c r="G109">
        <v>4818182</v>
      </c>
      <c r="H109">
        <v>23</v>
      </c>
      <c r="I109">
        <v>5736365</v>
      </c>
      <c r="J109">
        <v>303</v>
      </c>
      <c r="K109">
        <v>81853779.850046858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279</v>
      </c>
      <c r="E110">
        <v>115313845.1661891</v>
      </c>
      <c r="F110">
        <v>0</v>
      </c>
      <c r="G110">
        <v>0</v>
      </c>
      <c r="H110">
        <v>2</v>
      </c>
      <c r="I110">
        <v>727272</v>
      </c>
      <c r="J110">
        <v>277</v>
      </c>
      <c r="K110">
        <v>114586573.1661891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94</v>
      </c>
      <c r="E112">
        <v>44524154.259079903</v>
      </c>
      <c r="F112">
        <v>9</v>
      </c>
      <c r="G112">
        <v>5309091</v>
      </c>
      <c r="H112">
        <v>1</v>
      </c>
      <c r="I112">
        <v>327273</v>
      </c>
      <c r="J112">
        <v>102</v>
      </c>
      <c r="K112">
        <v>49505972.259079903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854</v>
      </c>
      <c r="E113">
        <v>279136366.39026397</v>
      </c>
      <c r="F113">
        <v>53</v>
      </c>
      <c r="G113">
        <v>10935456</v>
      </c>
      <c r="H113">
        <v>1</v>
      </c>
      <c r="I113">
        <v>809091</v>
      </c>
      <c r="J113">
        <v>906</v>
      </c>
      <c r="K113">
        <v>289262731.39026397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45</v>
      </c>
      <c r="E114">
        <v>25421057.620689649</v>
      </c>
      <c r="F114">
        <v>2</v>
      </c>
      <c r="G114">
        <v>1818182</v>
      </c>
      <c r="H114">
        <v>1</v>
      </c>
      <c r="I114">
        <v>1354545</v>
      </c>
      <c r="J114">
        <v>46</v>
      </c>
      <c r="K114">
        <v>25884694.620689649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77</v>
      </c>
      <c r="E123">
        <v>39953243.616306961</v>
      </c>
      <c r="F123">
        <v>10</v>
      </c>
      <c r="G123">
        <v>3700000</v>
      </c>
      <c r="H123">
        <v>0</v>
      </c>
      <c r="I123">
        <v>0</v>
      </c>
      <c r="J123">
        <v>87</v>
      </c>
      <c r="K123">
        <v>43653243.616306961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598</v>
      </c>
      <c r="E126">
        <v>334336977.2321918</v>
      </c>
      <c r="F126">
        <v>36</v>
      </c>
      <c r="G126">
        <v>23522731</v>
      </c>
      <c r="H126">
        <v>31</v>
      </c>
      <c r="I126">
        <v>25790909</v>
      </c>
      <c r="J126">
        <v>603</v>
      </c>
      <c r="K126">
        <v>332068799.2321918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2703015.1428571432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2703015.1428571432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9958083.4090909101</v>
      </c>
      <c r="F128">
        <v>2</v>
      </c>
      <c r="G128">
        <v>2054545</v>
      </c>
      <c r="H128">
        <v>2</v>
      </c>
      <c r="I128">
        <v>2536364</v>
      </c>
      <c r="J128">
        <v>10</v>
      </c>
      <c r="K128">
        <v>9476264.4090909101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297</v>
      </c>
      <c r="E131">
        <v>172647617.5194805</v>
      </c>
      <c r="F131">
        <v>1</v>
      </c>
      <c r="G131">
        <v>445454</v>
      </c>
      <c r="H131">
        <v>59</v>
      </c>
      <c r="I131">
        <v>28265458</v>
      </c>
      <c r="J131">
        <v>239</v>
      </c>
      <c r="K131">
        <v>144827613.5194805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406</v>
      </c>
      <c r="E133">
        <v>104846013.7694118</v>
      </c>
      <c r="F133">
        <v>30</v>
      </c>
      <c r="G133">
        <v>4040906</v>
      </c>
      <c r="H133">
        <v>5</v>
      </c>
      <c r="I133">
        <v>1881819</v>
      </c>
      <c r="J133">
        <v>431</v>
      </c>
      <c r="K133">
        <v>107005100.7694118</v>
      </c>
    </row>
    <row r="134" spans="1:11" x14ac:dyDescent="0.25">
      <c r="A134">
        <v>133</v>
      </c>
      <c r="B134" t="s">
        <v>275</v>
      </c>
      <c r="C134" t="s">
        <v>276</v>
      </c>
      <c r="D134">
        <v>118</v>
      </c>
      <c r="E134">
        <v>37093413.084337354</v>
      </c>
      <c r="F134">
        <v>12</v>
      </c>
      <c r="G134">
        <v>3436364</v>
      </c>
      <c r="H134">
        <v>13</v>
      </c>
      <c r="I134">
        <v>5727273</v>
      </c>
      <c r="J134">
        <v>117</v>
      </c>
      <c r="K134">
        <v>34802504.084337354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6</v>
      </c>
      <c r="E141">
        <v>17369354.838709679</v>
      </c>
      <c r="F141">
        <v>0</v>
      </c>
      <c r="G141">
        <v>0</v>
      </c>
      <c r="H141">
        <v>0</v>
      </c>
      <c r="I141">
        <v>0</v>
      </c>
      <c r="J141">
        <v>6</v>
      </c>
      <c r="K141">
        <v>17369354.838709679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161</v>
      </c>
      <c r="E143">
        <v>46511168.115942031</v>
      </c>
      <c r="F143">
        <v>60</v>
      </c>
      <c r="G143">
        <v>19500000</v>
      </c>
      <c r="H143">
        <v>80</v>
      </c>
      <c r="I143">
        <v>30870000</v>
      </c>
      <c r="J143">
        <v>141</v>
      </c>
      <c r="K143">
        <v>35141168.115942031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1002.458</v>
      </c>
      <c r="E146">
        <v>711424464.4799999</v>
      </c>
      <c r="F146">
        <v>212</v>
      </c>
      <c r="G146">
        <v>129160372</v>
      </c>
      <c r="H146">
        <v>151</v>
      </c>
      <c r="I146">
        <v>109609927</v>
      </c>
      <c r="J146">
        <v>1063.4580000000001</v>
      </c>
      <c r="K146">
        <v>730974909.4799999</v>
      </c>
    </row>
    <row r="147" spans="1:11" x14ac:dyDescent="0.25">
      <c r="A147" t="s">
        <v>301</v>
      </c>
      <c r="D147">
        <v>24712.457999999999</v>
      </c>
      <c r="E147">
        <v>20950950370.260021</v>
      </c>
      <c r="F147">
        <v>1660</v>
      </c>
      <c r="G147">
        <v>2288978562</v>
      </c>
      <c r="H147">
        <v>1635</v>
      </c>
      <c r="I147">
        <v>1705683581</v>
      </c>
      <c r="J147">
        <v>24754.457999999999</v>
      </c>
      <c r="K147">
        <v>21714029898.080021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7</v>
      </c>
      <c r="E2">
        <v>59135383.772727281</v>
      </c>
      <c r="F2">
        <v>1</v>
      </c>
      <c r="G2">
        <v>12727273</v>
      </c>
      <c r="H2">
        <v>6</v>
      </c>
      <c r="I2">
        <v>47272729</v>
      </c>
      <c r="J2">
        <v>2</v>
      </c>
      <c r="K2">
        <v>24589927.772727281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0</v>
      </c>
      <c r="I3">
        <v>0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189</v>
      </c>
      <c r="E4">
        <v>1894227410.201292</v>
      </c>
      <c r="F4">
        <v>19</v>
      </c>
      <c r="G4">
        <v>232363639</v>
      </c>
      <c r="H4">
        <v>5</v>
      </c>
      <c r="I4">
        <v>67027273</v>
      </c>
      <c r="J4">
        <v>203</v>
      </c>
      <c r="K4">
        <v>2059563776.201292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3</v>
      </c>
      <c r="E6">
        <v>56429985.178571403</v>
      </c>
      <c r="F6">
        <v>0</v>
      </c>
      <c r="G6">
        <v>0</v>
      </c>
      <c r="H6">
        <v>1</v>
      </c>
      <c r="I6">
        <v>13636364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40120814.450000003</v>
      </c>
      <c r="F9">
        <v>0</v>
      </c>
      <c r="G9">
        <v>0</v>
      </c>
      <c r="H9">
        <v>0</v>
      </c>
      <c r="I9">
        <v>0</v>
      </c>
      <c r="J9">
        <v>10</v>
      </c>
      <c r="K9">
        <v>40120814.450000003</v>
      </c>
    </row>
    <row r="10" spans="1:11" x14ac:dyDescent="0.25">
      <c r="A10">
        <v>9</v>
      </c>
      <c r="B10" t="s">
        <v>27</v>
      </c>
      <c r="C10" t="s">
        <v>28</v>
      </c>
      <c r="D10">
        <v>246</v>
      </c>
      <c r="E10">
        <v>898605495.5951941</v>
      </c>
      <c r="F10">
        <v>15</v>
      </c>
      <c r="G10">
        <v>76581818</v>
      </c>
      <c r="H10">
        <v>6</v>
      </c>
      <c r="I10">
        <v>92090910</v>
      </c>
      <c r="J10">
        <v>255</v>
      </c>
      <c r="K10">
        <v>883096403.5951941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350</v>
      </c>
      <c r="E12">
        <v>3947129977.2191219</v>
      </c>
      <c r="F12">
        <v>12</v>
      </c>
      <c r="G12">
        <v>135363636</v>
      </c>
      <c r="H12">
        <v>23</v>
      </c>
      <c r="I12">
        <v>221036362</v>
      </c>
      <c r="J12">
        <v>339</v>
      </c>
      <c r="K12">
        <v>3861457251.2191219</v>
      </c>
    </row>
    <row r="13" spans="1:11" x14ac:dyDescent="0.25">
      <c r="A13">
        <v>12</v>
      </c>
      <c r="B13" t="s">
        <v>33</v>
      </c>
      <c r="C13" t="s">
        <v>34</v>
      </c>
      <c r="D13">
        <v>50</v>
      </c>
      <c r="E13">
        <v>865008778.76923084</v>
      </c>
      <c r="F13">
        <v>0</v>
      </c>
      <c r="G13">
        <v>0</v>
      </c>
      <c r="H13">
        <v>0</v>
      </c>
      <c r="I13">
        <v>0</v>
      </c>
      <c r="J13">
        <v>50</v>
      </c>
      <c r="K13">
        <v>865008778.76923084</v>
      </c>
    </row>
    <row r="14" spans="1:11" x14ac:dyDescent="0.25">
      <c r="A14">
        <v>13</v>
      </c>
      <c r="B14" t="s">
        <v>35</v>
      </c>
      <c r="C14" t="s">
        <v>36</v>
      </c>
      <c r="D14">
        <v>21</v>
      </c>
      <c r="E14">
        <v>371611678.28947371</v>
      </c>
      <c r="F14">
        <v>0</v>
      </c>
      <c r="G14">
        <v>0</v>
      </c>
      <c r="H14">
        <v>0</v>
      </c>
      <c r="I14">
        <v>0</v>
      </c>
      <c r="J14">
        <v>21</v>
      </c>
      <c r="K14">
        <v>371611678.28947371</v>
      </c>
    </row>
    <row r="15" spans="1:11" x14ac:dyDescent="0.25">
      <c r="A15">
        <v>14</v>
      </c>
      <c r="B15" t="s">
        <v>37</v>
      </c>
      <c r="C15" t="s">
        <v>38</v>
      </c>
      <c r="D15">
        <v>31</v>
      </c>
      <c r="E15">
        <v>378274131.93430662</v>
      </c>
      <c r="F15">
        <v>0</v>
      </c>
      <c r="G15">
        <v>0</v>
      </c>
      <c r="H15">
        <v>2</v>
      </c>
      <c r="I15">
        <v>12545454</v>
      </c>
      <c r="J15">
        <v>29</v>
      </c>
      <c r="K15">
        <v>365728677.93430662</v>
      </c>
    </row>
    <row r="16" spans="1:11" x14ac:dyDescent="0.25">
      <c r="A16">
        <v>15</v>
      </c>
      <c r="B16" t="s">
        <v>39</v>
      </c>
      <c r="C16" t="s">
        <v>40</v>
      </c>
      <c r="D16">
        <v>4</v>
      </c>
      <c r="E16">
        <v>90675895.104477614</v>
      </c>
      <c r="F16">
        <v>1</v>
      </c>
      <c r="G16">
        <v>27363636</v>
      </c>
      <c r="H16">
        <v>3</v>
      </c>
      <c r="I16">
        <v>39663636</v>
      </c>
      <c r="J16">
        <v>2</v>
      </c>
      <c r="K16">
        <v>78375895.104477614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10</v>
      </c>
      <c r="I24">
        <v>130236364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304</v>
      </c>
      <c r="E25">
        <v>2572147951.361217</v>
      </c>
      <c r="F25">
        <v>5</v>
      </c>
      <c r="G25">
        <v>52810001</v>
      </c>
      <c r="H25">
        <v>22</v>
      </c>
      <c r="I25">
        <v>232390913</v>
      </c>
      <c r="J25">
        <v>287</v>
      </c>
      <c r="K25">
        <v>2392567039.361217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70377413.307692319</v>
      </c>
      <c r="F30">
        <v>0</v>
      </c>
      <c r="G30">
        <v>0</v>
      </c>
      <c r="H30">
        <v>0</v>
      </c>
      <c r="I30">
        <v>0</v>
      </c>
      <c r="J30">
        <v>6</v>
      </c>
      <c r="K30">
        <v>70377413.307692319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23127439.5</v>
      </c>
      <c r="F33">
        <v>0</v>
      </c>
      <c r="G33">
        <v>0</v>
      </c>
      <c r="H33">
        <v>0</v>
      </c>
      <c r="I33">
        <v>0</v>
      </c>
      <c r="J33">
        <v>4</v>
      </c>
      <c r="K33">
        <v>23127439.5</v>
      </c>
    </row>
    <row r="34" spans="1:11" x14ac:dyDescent="0.25">
      <c r="A34">
        <v>33</v>
      </c>
      <c r="B34" t="s">
        <v>75</v>
      </c>
      <c r="C34" t="s">
        <v>76</v>
      </c>
      <c r="D34">
        <v>48</v>
      </c>
      <c r="E34">
        <v>95086175.183266938</v>
      </c>
      <c r="F34">
        <v>0</v>
      </c>
      <c r="G34">
        <v>0</v>
      </c>
      <c r="H34">
        <v>0</v>
      </c>
      <c r="I34">
        <v>0</v>
      </c>
      <c r="J34">
        <v>48</v>
      </c>
      <c r="K34">
        <v>95086175.183266938</v>
      </c>
    </row>
    <row r="35" spans="1:11" x14ac:dyDescent="0.25">
      <c r="A35">
        <v>34</v>
      </c>
      <c r="B35" t="s">
        <v>77</v>
      </c>
      <c r="C35" t="s">
        <v>78</v>
      </c>
      <c r="D35">
        <v>705</v>
      </c>
      <c r="E35">
        <v>1328630946.553802</v>
      </c>
      <c r="F35">
        <v>13</v>
      </c>
      <c r="G35">
        <v>45339091</v>
      </c>
      <c r="H35">
        <v>37</v>
      </c>
      <c r="I35">
        <v>59549999</v>
      </c>
      <c r="J35">
        <v>681</v>
      </c>
      <c r="K35">
        <v>1314420038.553802</v>
      </c>
    </row>
    <row r="36" spans="1:11" x14ac:dyDescent="0.25">
      <c r="A36">
        <v>35</v>
      </c>
      <c r="B36" t="s">
        <v>79</v>
      </c>
      <c r="C36" t="s">
        <v>80</v>
      </c>
      <c r="D36">
        <v>15</v>
      </c>
      <c r="E36">
        <v>36926253.021276593</v>
      </c>
      <c r="F36">
        <v>2</v>
      </c>
      <c r="G36">
        <v>6581818</v>
      </c>
      <c r="H36">
        <v>0</v>
      </c>
      <c r="I36">
        <v>0</v>
      </c>
      <c r="J36">
        <v>17</v>
      </c>
      <c r="K36">
        <v>43508071.021276593</v>
      </c>
    </row>
    <row r="37" spans="1:11" x14ac:dyDescent="0.25">
      <c r="A37">
        <v>36</v>
      </c>
      <c r="B37" t="s">
        <v>81</v>
      </c>
      <c r="C37" t="s">
        <v>82</v>
      </c>
      <c r="D37">
        <v>26</v>
      </c>
      <c r="E37">
        <v>101101289.1964286</v>
      </c>
      <c r="F37">
        <v>0</v>
      </c>
      <c r="G37">
        <v>0</v>
      </c>
      <c r="H37">
        <v>10</v>
      </c>
      <c r="I37">
        <v>15909090</v>
      </c>
      <c r="J37">
        <v>16</v>
      </c>
      <c r="K37">
        <v>85192199.196428597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133</v>
      </c>
      <c r="E39">
        <v>349811324.38106239</v>
      </c>
      <c r="F39">
        <v>0</v>
      </c>
      <c r="G39">
        <v>0</v>
      </c>
      <c r="H39">
        <v>6</v>
      </c>
      <c r="I39">
        <v>15772729</v>
      </c>
      <c r="J39">
        <v>127</v>
      </c>
      <c r="K39">
        <v>334038595.38106239</v>
      </c>
    </row>
    <row r="40" spans="1:11" x14ac:dyDescent="0.25">
      <c r="A40">
        <v>39</v>
      </c>
      <c r="B40" t="s">
        <v>87</v>
      </c>
      <c r="C40" t="s">
        <v>88</v>
      </c>
      <c r="D40">
        <v>7</v>
      </c>
      <c r="E40">
        <v>32934343.77777778</v>
      </c>
      <c r="F40">
        <v>3</v>
      </c>
      <c r="G40">
        <v>18909091</v>
      </c>
      <c r="H40">
        <v>0</v>
      </c>
      <c r="I40">
        <v>0</v>
      </c>
      <c r="J40">
        <v>10</v>
      </c>
      <c r="K40">
        <v>51843434.777777784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1112</v>
      </c>
      <c r="E42">
        <v>0</v>
      </c>
      <c r="F42">
        <v>45</v>
      </c>
      <c r="G42">
        <v>36681819</v>
      </c>
      <c r="H42">
        <v>11</v>
      </c>
      <c r="I42">
        <v>27736362</v>
      </c>
      <c r="J42">
        <v>1146</v>
      </c>
      <c r="K42">
        <v>8945457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405</v>
      </c>
      <c r="E44">
        <v>1144130918.4247439</v>
      </c>
      <c r="F44">
        <v>71</v>
      </c>
      <c r="G44">
        <v>178962175</v>
      </c>
      <c r="H44">
        <v>26</v>
      </c>
      <c r="I44">
        <v>75100002</v>
      </c>
      <c r="J44">
        <v>450</v>
      </c>
      <c r="K44">
        <v>1247993091.4247439</v>
      </c>
    </row>
    <row r="45" spans="1:11" x14ac:dyDescent="0.25">
      <c r="A45">
        <v>44</v>
      </c>
      <c r="B45" t="s">
        <v>97</v>
      </c>
      <c r="C45" t="s">
        <v>98</v>
      </c>
      <c r="D45">
        <v>63</v>
      </c>
      <c r="E45">
        <v>246323343.79297301</v>
      </c>
      <c r="F45">
        <v>9</v>
      </c>
      <c r="G45">
        <v>36754363</v>
      </c>
      <c r="H45">
        <v>4</v>
      </c>
      <c r="I45">
        <v>18409090</v>
      </c>
      <c r="J45">
        <v>68</v>
      </c>
      <c r="K45">
        <v>264668616.79297301</v>
      </c>
    </row>
    <row r="46" spans="1:11" x14ac:dyDescent="0.25">
      <c r="A46">
        <v>45</v>
      </c>
      <c r="B46" t="s">
        <v>99</v>
      </c>
      <c r="C46" t="s">
        <v>100</v>
      </c>
      <c r="D46">
        <v>285</v>
      </c>
      <c r="E46">
        <v>89245938.632571429</v>
      </c>
      <c r="F46">
        <v>12</v>
      </c>
      <c r="G46">
        <v>6518181</v>
      </c>
      <c r="H46">
        <v>2</v>
      </c>
      <c r="I46">
        <v>6945454</v>
      </c>
      <c r="J46">
        <v>295</v>
      </c>
      <c r="K46">
        <v>88818665.632571429</v>
      </c>
    </row>
    <row r="47" spans="1:11" x14ac:dyDescent="0.25">
      <c r="A47">
        <v>46</v>
      </c>
      <c r="B47" t="s">
        <v>101</v>
      </c>
      <c r="C47" t="s">
        <v>102</v>
      </c>
      <c r="D47">
        <v>144</v>
      </c>
      <c r="E47">
        <v>241626959.92567381</v>
      </c>
      <c r="F47">
        <v>2</v>
      </c>
      <c r="G47">
        <v>11272727</v>
      </c>
      <c r="H47">
        <v>0</v>
      </c>
      <c r="I47">
        <v>0</v>
      </c>
      <c r="J47">
        <v>146</v>
      </c>
      <c r="K47">
        <v>252899686.92567381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34</v>
      </c>
      <c r="E49">
        <v>217310432.96224141</v>
      </c>
      <c r="F49">
        <v>6</v>
      </c>
      <c r="G49">
        <v>72272727</v>
      </c>
      <c r="H49">
        <v>7</v>
      </c>
      <c r="I49">
        <v>101663636</v>
      </c>
      <c r="J49">
        <v>33</v>
      </c>
      <c r="K49">
        <v>187919523.96224141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101</v>
      </c>
      <c r="E52">
        <v>166210621.26693881</v>
      </c>
      <c r="F52">
        <v>0</v>
      </c>
      <c r="G52">
        <v>0</v>
      </c>
      <c r="H52">
        <v>0</v>
      </c>
      <c r="I52">
        <v>0</v>
      </c>
      <c r="J52">
        <v>101</v>
      </c>
      <c r="K52">
        <v>166210621.26693881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86</v>
      </c>
      <c r="E55">
        <v>145880716.17270201</v>
      </c>
      <c r="F55">
        <v>1</v>
      </c>
      <c r="G55">
        <v>10200000</v>
      </c>
      <c r="H55">
        <v>6</v>
      </c>
      <c r="I55">
        <v>28054546</v>
      </c>
      <c r="J55">
        <v>81</v>
      </c>
      <c r="K55">
        <v>128026170.172702</v>
      </c>
    </row>
    <row r="56" spans="1:11" x14ac:dyDescent="0.25">
      <c r="A56">
        <v>55</v>
      </c>
      <c r="B56" t="s">
        <v>119</v>
      </c>
      <c r="C56" t="s">
        <v>120</v>
      </c>
      <c r="D56">
        <v>34</v>
      </c>
      <c r="E56">
        <v>8017788.4915254228</v>
      </c>
      <c r="F56">
        <v>2</v>
      </c>
      <c r="G56">
        <v>1768518</v>
      </c>
      <c r="H56">
        <v>1</v>
      </c>
      <c r="I56">
        <v>1009259</v>
      </c>
      <c r="J56">
        <v>35</v>
      </c>
      <c r="K56">
        <v>8777047.4915254228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15151110.180769229</v>
      </c>
      <c r="F57">
        <v>0</v>
      </c>
      <c r="G57">
        <v>0</v>
      </c>
      <c r="H57">
        <v>0</v>
      </c>
      <c r="I57">
        <v>0</v>
      </c>
      <c r="J57">
        <v>5</v>
      </c>
      <c r="K57">
        <v>15151110.180769229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3685</v>
      </c>
      <c r="E59">
        <v>254513326.36559761</v>
      </c>
      <c r="F59">
        <v>456</v>
      </c>
      <c r="G59">
        <v>27343637</v>
      </c>
      <c r="H59">
        <v>162</v>
      </c>
      <c r="I59">
        <v>22663632</v>
      </c>
      <c r="J59">
        <v>3979</v>
      </c>
      <c r="K59">
        <v>259193331.36559761</v>
      </c>
    </row>
    <row r="60" spans="1:11" x14ac:dyDescent="0.25">
      <c r="A60">
        <v>59</v>
      </c>
      <c r="B60" t="s">
        <v>127</v>
      </c>
      <c r="C60" t="s">
        <v>128</v>
      </c>
      <c r="D60">
        <v>81</v>
      </c>
      <c r="E60">
        <v>2895730.6822262122</v>
      </c>
      <c r="F60">
        <v>1</v>
      </c>
      <c r="G60">
        <v>350000</v>
      </c>
      <c r="H60">
        <v>0</v>
      </c>
      <c r="I60">
        <v>0</v>
      </c>
      <c r="J60">
        <v>82</v>
      </c>
      <c r="K60">
        <v>3245730.6822262122</v>
      </c>
    </row>
    <row r="61" spans="1:11" x14ac:dyDescent="0.25">
      <c r="A61">
        <v>60</v>
      </c>
      <c r="B61" t="s">
        <v>129</v>
      </c>
      <c r="C61" t="s">
        <v>130</v>
      </c>
      <c r="D61">
        <v>18</v>
      </c>
      <c r="E61">
        <v>0</v>
      </c>
      <c r="F61">
        <v>0</v>
      </c>
      <c r="G61">
        <v>0</v>
      </c>
      <c r="H61">
        <v>2</v>
      </c>
      <c r="I61">
        <v>1181818</v>
      </c>
      <c r="J61">
        <v>16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1898</v>
      </c>
      <c r="E62">
        <v>222868791.8789579</v>
      </c>
      <c r="F62">
        <v>100</v>
      </c>
      <c r="G62">
        <v>2545454</v>
      </c>
      <c r="H62">
        <v>13</v>
      </c>
      <c r="I62">
        <v>1943637</v>
      </c>
      <c r="J62">
        <v>1985</v>
      </c>
      <c r="K62">
        <v>223470608.8789579</v>
      </c>
    </row>
    <row r="63" spans="1:11" x14ac:dyDescent="0.25">
      <c r="A63">
        <v>62</v>
      </c>
      <c r="B63" t="s">
        <v>133</v>
      </c>
      <c r="C63" t="s">
        <v>134</v>
      </c>
      <c r="D63">
        <v>295</v>
      </c>
      <c r="E63">
        <v>57188813.711580493</v>
      </c>
      <c r="F63">
        <v>30</v>
      </c>
      <c r="G63">
        <v>5454545</v>
      </c>
      <c r="H63">
        <v>0</v>
      </c>
      <c r="I63">
        <v>0</v>
      </c>
      <c r="J63">
        <v>325</v>
      </c>
      <c r="K63">
        <v>62643358.711580493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0</v>
      </c>
      <c r="G65">
        <v>0</v>
      </c>
      <c r="H65">
        <v>0</v>
      </c>
      <c r="I65">
        <v>0</v>
      </c>
      <c r="J65">
        <v>13</v>
      </c>
      <c r="K65">
        <v>5674407.4511235952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154</v>
      </c>
      <c r="E70">
        <v>48416855.665112101</v>
      </c>
      <c r="F70">
        <v>31</v>
      </c>
      <c r="G70">
        <v>2081799</v>
      </c>
      <c r="H70">
        <v>2</v>
      </c>
      <c r="I70">
        <v>2481818</v>
      </c>
      <c r="J70">
        <v>183</v>
      </c>
      <c r="K70">
        <v>48016836.665112101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290909.59999999992</v>
      </c>
      <c r="F72">
        <v>0</v>
      </c>
      <c r="G72">
        <v>0</v>
      </c>
      <c r="H72">
        <v>0</v>
      </c>
      <c r="I72">
        <v>0</v>
      </c>
      <c r="J72">
        <v>0</v>
      </c>
      <c r="K72">
        <v>290909.59999999992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146</v>
      </c>
      <c r="E74">
        <v>330185115.07878792</v>
      </c>
      <c r="F74">
        <v>0</v>
      </c>
      <c r="G74">
        <v>0</v>
      </c>
      <c r="H74">
        <v>1</v>
      </c>
      <c r="I74">
        <v>2009091</v>
      </c>
      <c r="J74">
        <v>145</v>
      </c>
      <c r="K74">
        <v>328176024.07878792</v>
      </c>
    </row>
    <row r="75" spans="1:11" x14ac:dyDescent="0.25">
      <c r="A75">
        <v>74</v>
      </c>
      <c r="B75" t="s">
        <v>157</v>
      </c>
      <c r="C75" t="s">
        <v>158</v>
      </c>
      <c r="D75">
        <v>130</v>
      </c>
      <c r="E75">
        <v>388505591.75098813</v>
      </c>
      <c r="F75">
        <v>0</v>
      </c>
      <c r="G75">
        <v>0</v>
      </c>
      <c r="H75">
        <v>0</v>
      </c>
      <c r="I75">
        <v>0</v>
      </c>
      <c r="J75">
        <v>130</v>
      </c>
      <c r="K75">
        <v>388505591.75098813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0</v>
      </c>
      <c r="G76">
        <v>0</v>
      </c>
      <c r="H76">
        <v>0</v>
      </c>
      <c r="I76">
        <v>0</v>
      </c>
      <c r="J76">
        <v>5</v>
      </c>
      <c r="K76">
        <v>27775547.875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147</v>
      </c>
      <c r="E78">
        <v>220823346.59605911</v>
      </c>
      <c r="F78">
        <v>10</v>
      </c>
      <c r="G78">
        <v>14863640</v>
      </c>
      <c r="H78">
        <v>0</v>
      </c>
      <c r="I78">
        <v>0</v>
      </c>
      <c r="J78">
        <v>157</v>
      </c>
      <c r="K78">
        <v>235686986.59605911</v>
      </c>
    </row>
    <row r="79" spans="1:11" x14ac:dyDescent="0.25">
      <c r="A79">
        <v>78</v>
      </c>
      <c r="B79" t="s">
        <v>165</v>
      </c>
      <c r="C79" t="s">
        <v>166</v>
      </c>
      <c r="D79">
        <v>12</v>
      </c>
      <c r="E79">
        <v>28175479</v>
      </c>
      <c r="F79">
        <v>0</v>
      </c>
      <c r="G79">
        <v>0</v>
      </c>
      <c r="H79">
        <v>0</v>
      </c>
      <c r="I79">
        <v>0</v>
      </c>
      <c r="J79">
        <v>12</v>
      </c>
      <c r="K79">
        <v>28175479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462</v>
      </c>
      <c r="E81">
        <v>140514899.62329009</v>
      </c>
      <c r="F81">
        <v>23</v>
      </c>
      <c r="G81">
        <v>7768180</v>
      </c>
      <c r="H81">
        <v>36</v>
      </c>
      <c r="I81">
        <v>11181812</v>
      </c>
      <c r="J81">
        <v>449</v>
      </c>
      <c r="K81">
        <v>137101267.62329009</v>
      </c>
    </row>
    <row r="82" spans="1:11" x14ac:dyDescent="0.25">
      <c r="A82">
        <v>81</v>
      </c>
      <c r="B82" t="s">
        <v>171</v>
      </c>
      <c r="C82" t="s">
        <v>172</v>
      </c>
      <c r="D82">
        <v>70</v>
      </c>
      <c r="E82">
        <v>105412125.1173021</v>
      </c>
      <c r="F82">
        <v>15</v>
      </c>
      <c r="G82">
        <v>9204546</v>
      </c>
      <c r="H82">
        <v>2</v>
      </c>
      <c r="I82">
        <v>1200000</v>
      </c>
      <c r="J82">
        <v>83</v>
      </c>
      <c r="K82">
        <v>113416671.1173021</v>
      </c>
    </row>
    <row r="83" spans="1:11" x14ac:dyDescent="0.25">
      <c r="A83">
        <v>82</v>
      </c>
      <c r="B83" t="s">
        <v>173</v>
      </c>
      <c r="C83" t="s">
        <v>174</v>
      </c>
      <c r="D83">
        <v>30</v>
      </c>
      <c r="E83">
        <v>26818105.202380959</v>
      </c>
      <c r="F83">
        <v>18</v>
      </c>
      <c r="G83">
        <v>16545454</v>
      </c>
      <c r="H83">
        <v>0</v>
      </c>
      <c r="I83">
        <v>0</v>
      </c>
      <c r="J83">
        <v>48</v>
      </c>
      <c r="K83">
        <v>43363559.202380963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14</v>
      </c>
      <c r="E85">
        <v>61392273.483870968</v>
      </c>
      <c r="F85">
        <v>2</v>
      </c>
      <c r="G85">
        <v>13181818</v>
      </c>
      <c r="H85">
        <v>0</v>
      </c>
      <c r="I85">
        <v>0</v>
      </c>
      <c r="J85">
        <v>16</v>
      </c>
      <c r="K85">
        <v>74574091.483870968</v>
      </c>
    </row>
    <row r="86" spans="1:11" x14ac:dyDescent="0.25">
      <c r="A86">
        <v>85</v>
      </c>
      <c r="B86" t="s">
        <v>179</v>
      </c>
      <c r="C86" t="s">
        <v>180</v>
      </c>
      <c r="D86">
        <v>14</v>
      </c>
      <c r="E86">
        <v>11999492.16</v>
      </c>
      <c r="F86">
        <v>2</v>
      </c>
      <c r="G86">
        <v>13945454</v>
      </c>
      <c r="H86">
        <v>0</v>
      </c>
      <c r="I86">
        <v>0</v>
      </c>
      <c r="J86">
        <v>16</v>
      </c>
      <c r="K86">
        <v>25944946.16</v>
      </c>
    </row>
    <row r="87" spans="1:11" x14ac:dyDescent="0.25">
      <c r="A87">
        <v>86</v>
      </c>
      <c r="B87" t="s">
        <v>181</v>
      </c>
      <c r="C87" t="s">
        <v>182</v>
      </c>
      <c r="D87">
        <v>68</v>
      </c>
      <c r="E87">
        <v>75750992.572559372</v>
      </c>
      <c r="F87">
        <v>5</v>
      </c>
      <c r="G87">
        <v>10218182</v>
      </c>
      <c r="H87">
        <v>5</v>
      </c>
      <c r="I87">
        <v>8354546</v>
      </c>
      <c r="J87">
        <v>68</v>
      </c>
      <c r="K87">
        <v>77614628.572559372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945</v>
      </c>
      <c r="E89">
        <v>260944036.74628809</v>
      </c>
      <c r="F89">
        <v>80</v>
      </c>
      <c r="G89">
        <v>30409092</v>
      </c>
      <c r="H89">
        <v>76</v>
      </c>
      <c r="I89">
        <v>28249997</v>
      </c>
      <c r="J89">
        <v>949</v>
      </c>
      <c r="K89">
        <v>263103131.74628809</v>
      </c>
    </row>
    <row r="90" spans="1:11" x14ac:dyDescent="0.25">
      <c r="A90">
        <v>89</v>
      </c>
      <c r="B90" t="s">
        <v>187</v>
      </c>
      <c r="C90" t="s">
        <v>188</v>
      </c>
      <c r="D90">
        <v>153</v>
      </c>
      <c r="E90">
        <v>198592760.34957021</v>
      </c>
      <c r="F90">
        <v>25</v>
      </c>
      <c r="G90">
        <v>38518181</v>
      </c>
      <c r="H90">
        <v>55</v>
      </c>
      <c r="I90">
        <v>24881817</v>
      </c>
      <c r="J90">
        <v>123</v>
      </c>
      <c r="K90">
        <v>212229124.34957021</v>
      </c>
    </row>
    <row r="91" spans="1:11" x14ac:dyDescent="0.25">
      <c r="A91">
        <v>90</v>
      </c>
      <c r="B91" t="s">
        <v>189</v>
      </c>
      <c r="C91" t="s">
        <v>190</v>
      </c>
      <c r="D91">
        <v>80</v>
      </c>
      <c r="E91">
        <v>106816866.9923954</v>
      </c>
      <c r="F91">
        <v>11</v>
      </c>
      <c r="G91">
        <v>13318181</v>
      </c>
      <c r="H91">
        <v>2</v>
      </c>
      <c r="I91">
        <v>3581818</v>
      </c>
      <c r="J91">
        <v>89</v>
      </c>
      <c r="K91">
        <v>116553229.9923954</v>
      </c>
    </row>
    <row r="92" spans="1:11" x14ac:dyDescent="0.25">
      <c r="A92">
        <v>91</v>
      </c>
      <c r="B92" t="s">
        <v>191</v>
      </c>
      <c r="C92" t="s">
        <v>192</v>
      </c>
      <c r="D92">
        <v>90</v>
      </c>
      <c r="E92">
        <v>57420486.128078818</v>
      </c>
      <c r="F92">
        <v>25</v>
      </c>
      <c r="G92">
        <v>6230000</v>
      </c>
      <c r="H92">
        <v>21</v>
      </c>
      <c r="I92">
        <v>4663637</v>
      </c>
      <c r="J92">
        <v>94</v>
      </c>
      <c r="K92">
        <v>58986849.128078818</v>
      </c>
    </row>
    <row r="93" spans="1:11" x14ac:dyDescent="0.25">
      <c r="A93">
        <v>92</v>
      </c>
      <c r="B93" t="s">
        <v>193</v>
      </c>
      <c r="C93" t="s">
        <v>194</v>
      </c>
      <c r="D93">
        <v>43</v>
      </c>
      <c r="E93">
        <v>73621324.432558149</v>
      </c>
      <c r="F93">
        <v>2</v>
      </c>
      <c r="G93">
        <v>2418182</v>
      </c>
      <c r="H93">
        <v>2</v>
      </c>
      <c r="I93">
        <v>3799999</v>
      </c>
      <c r="J93">
        <v>43</v>
      </c>
      <c r="K93">
        <v>72239507.432558149</v>
      </c>
    </row>
    <row r="94" spans="1:11" x14ac:dyDescent="0.25">
      <c r="A94">
        <v>93</v>
      </c>
      <c r="B94" t="s">
        <v>195</v>
      </c>
      <c r="C94" t="s">
        <v>196</v>
      </c>
      <c r="D94">
        <v>563</v>
      </c>
      <c r="E94">
        <v>152244325.61556071</v>
      </c>
      <c r="F94">
        <v>0</v>
      </c>
      <c r="G94">
        <v>0</v>
      </c>
      <c r="H94">
        <v>26</v>
      </c>
      <c r="I94">
        <v>3727270</v>
      </c>
      <c r="J94">
        <v>537</v>
      </c>
      <c r="K94">
        <v>148517055.61556071</v>
      </c>
    </row>
    <row r="95" spans="1:11" x14ac:dyDescent="0.25">
      <c r="A95">
        <v>94</v>
      </c>
      <c r="B95" t="s">
        <v>197</v>
      </c>
      <c r="C95" t="s">
        <v>198</v>
      </c>
      <c r="D95">
        <v>28</v>
      </c>
      <c r="E95">
        <v>2968183</v>
      </c>
      <c r="F95">
        <v>0</v>
      </c>
      <c r="G95">
        <v>0</v>
      </c>
      <c r="H95">
        <v>0</v>
      </c>
      <c r="I95">
        <v>0</v>
      </c>
      <c r="J95">
        <v>28</v>
      </c>
      <c r="K95">
        <v>2968183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0</v>
      </c>
      <c r="G96">
        <v>0</v>
      </c>
      <c r="H96">
        <v>0</v>
      </c>
      <c r="I96">
        <v>0</v>
      </c>
      <c r="J96">
        <v>57</v>
      </c>
      <c r="K96">
        <v>5827921.0819672132</v>
      </c>
    </row>
    <row r="97" spans="1:11" x14ac:dyDescent="0.25">
      <c r="A97">
        <v>96</v>
      </c>
      <c r="B97" t="s">
        <v>201</v>
      </c>
      <c r="C97" t="s">
        <v>202</v>
      </c>
      <c r="D97">
        <v>1541</v>
      </c>
      <c r="E97">
        <v>147009712.4361957</v>
      </c>
      <c r="F97">
        <v>4</v>
      </c>
      <c r="G97">
        <v>1872728</v>
      </c>
      <c r="H97">
        <v>0</v>
      </c>
      <c r="I97">
        <v>0</v>
      </c>
      <c r="J97">
        <v>1545</v>
      </c>
      <c r="K97">
        <v>148882440.4361957</v>
      </c>
    </row>
    <row r="98" spans="1:11" x14ac:dyDescent="0.25">
      <c r="A98">
        <v>97</v>
      </c>
      <c r="B98" t="s">
        <v>203</v>
      </c>
      <c r="C98" t="s">
        <v>204</v>
      </c>
      <c r="D98">
        <v>218</v>
      </c>
      <c r="E98">
        <v>51942535.620727673</v>
      </c>
      <c r="F98">
        <v>30</v>
      </c>
      <c r="G98">
        <v>4909091</v>
      </c>
      <c r="H98">
        <v>1</v>
      </c>
      <c r="I98">
        <v>363636</v>
      </c>
      <c r="J98">
        <v>247</v>
      </c>
      <c r="K98">
        <v>56487990.620727673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133</v>
      </c>
      <c r="E102">
        <v>111612508.6692913</v>
      </c>
      <c r="F102">
        <v>1</v>
      </c>
      <c r="G102">
        <v>1700000</v>
      </c>
      <c r="H102">
        <v>0</v>
      </c>
      <c r="I102">
        <v>0</v>
      </c>
      <c r="J102">
        <v>134</v>
      </c>
      <c r="K102">
        <v>113312508.6692913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2476</v>
      </c>
      <c r="E104">
        <v>255816782.46378449</v>
      </c>
      <c r="F104">
        <v>31</v>
      </c>
      <c r="G104">
        <v>4629090</v>
      </c>
      <c r="H104">
        <v>99</v>
      </c>
      <c r="I104">
        <v>13554537</v>
      </c>
      <c r="J104">
        <v>2408</v>
      </c>
      <c r="K104">
        <v>246891335.46378449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249</v>
      </c>
      <c r="E105">
        <v>95424443.992982447</v>
      </c>
      <c r="F105">
        <v>0</v>
      </c>
      <c r="G105">
        <v>0</v>
      </c>
      <c r="H105">
        <v>11</v>
      </c>
      <c r="I105">
        <v>3800005</v>
      </c>
      <c r="J105">
        <v>238</v>
      </c>
      <c r="K105">
        <v>91624438.992982447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1336</v>
      </c>
      <c r="E106">
        <v>273697344.69023043</v>
      </c>
      <c r="F106">
        <v>0</v>
      </c>
      <c r="G106">
        <v>0</v>
      </c>
      <c r="H106">
        <v>47</v>
      </c>
      <c r="I106">
        <v>4040910</v>
      </c>
      <c r="J106">
        <v>1289</v>
      </c>
      <c r="K106">
        <v>269656434.69023043</v>
      </c>
    </row>
    <row r="107" spans="1:11" x14ac:dyDescent="0.25">
      <c r="A107">
        <v>106</v>
      </c>
      <c r="B107" t="s">
        <v>221</v>
      </c>
      <c r="C107" t="s">
        <v>222</v>
      </c>
      <c r="D107">
        <v>400</v>
      </c>
      <c r="E107">
        <v>87262847.329129368</v>
      </c>
      <c r="F107">
        <v>0</v>
      </c>
      <c r="G107">
        <v>0</v>
      </c>
      <c r="H107">
        <v>149</v>
      </c>
      <c r="I107">
        <v>23581837</v>
      </c>
      <c r="J107">
        <v>251</v>
      </c>
      <c r="K107">
        <v>63681010.329129368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518484.75</v>
      </c>
    </row>
    <row r="109" spans="1:11" x14ac:dyDescent="0.25">
      <c r="A109">
        <v>108</v>
      </c>
      <c r="B109" t="s">
        <v>225</v>
      </c>
      <c r="C109" t="s">
        <v>226</v>
      </c>
      <c r="D109">
        <v>303</v>
      </c>
      <c r="E109">
        <v>81853779.850046858</v>
      </c>
      <c r="F109">
        <v>116</v>
      </c>
      <c r="G109">
        <v>29691820</v>
      </c>
      <c r="H109">
        <v>86</v>
      </c>
      <c r="I109">
        <v>26709091</v>
      </c>
      <c r="J109">
        <v>333</v>
      </c>
      <c r="K109">
        <v>84836508.850046858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277</v>
      </c>
      <c r="E110">
        <v>114586573.1661891</v>
      </c>
      <c r="F110">
        <v>42</v>
      </c>
      <c r="G110">
        <v>7590000</v>
      </c>
      <c r="H110">
        <v>4</v>
      </c>
      <c r="I110">
        <v>1116363</v>
      </c>
      <c r="J110">
        <v>315</v>
      </c>
      <c r="K110">
        <v>121060210.1661891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102</v>
      </c>
      <c r="E112">
        <v>49505972.259079903</v>
      </c>
      <c r="F112">
        <v>0</v>
      </c>
      <c r="G112">
        <v>0</v>
      </c>
      <c r="H112">
        <v>0</v>
      </c>
      <c r="I112">
        <v>0</v>
      </c>
      <c r="J112">
        <v>102</v>
      </c>
      <c r="K112">
        <v>49505972.259079903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906</v>
      </c>
      <c r="E113">
        <v>289262731.39026397</v>
      </c>
      <c r="F113">
        <v>28</v>
      </c>
      <c r="G113">
        <v>29133633</v>
      </c>
      <c r="H113">
        <v>3</v>
      </c>
      <c r="I113">
        <v>845455</v>
      </c>
      <c r="J113">
        <v>931</v>
      </c>
      <c r="K113">
        <v>317550909.39026397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46</v>
      </c>
      <c r="E114">
        <v>25884694.620689649</v>
      </c>
      <c r="F114">
        <v>4</v>
      </c>
      <c r="G114">
        <v>3563637</v>
      </c>
      <c r="H114">
        <v>4</v>
      </c>
      <c r="I114">
        <v>3818182</v>
      </c>
      <c r="J114">
        <v>46</v>
      </c>
      <c r="K114">
        <v>25630149.620689649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87</v>
      </c>
      <c r="E123">
        <v>43653243.616306961</v>
      </c>
      <c r="F123">
        <v>10</v>
      </c>
      <c r="G123">
        <v>2909090</v>
      </c>
      <c r="H123">
        <v>10</v>
      </c>
      <c r="I123">
        <v>3700000</v>
      </c>
      <c r="J123">
        <v>87</v>
      </c>
      <c r="K123">
        <v>42862333.616306961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603</v>
      </c>
      <c r="E126">
        <v>332068799.2321918</v>
      </c>
      <c r="F126">
        <v>24</v>
      </c>
      <c r="G126">
        <v>13408183</v>
      </c>
      <c r="H126">
        <v>15</v>
      </c>
      <c r="I126">
        <v>10063639</v>
      </c>
      <c r="J126">
        <v>612</v>
      </c>
      <c r="K126">
        <v>335413343.2321918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2703015.1428571432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2703015.1428571432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10</v>
      </c>
      <c r="E128">
        <v>9476264.4090909101</v>
      </c>
      <c r="F128">
        <v>0</v>
      </c>
      <c r="G128">
        <v>0</v>
      </c>
      <c r="H128">
        <v>1</v>
      </c>
      <c r="I128">
        <v>900000</v>
      </c>
      <c r="J128">
        <v>9</v>
      </c>
      <c r="K128">
        <v>8576264.4090909101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239</v>
      </c>
      <c r="E131">
        <v>144827613.5194805</v>
      </c>
      <c r="F131">
        <v>7</v>
      </c>
      <c r="G131">
        <v>6127271</v>
      </c>
      <c r="H131">
        <v>4</v>
      </c>
      <c r="I131">
        <v>5181818</v>
      </c>
      <c r="J131">
        <v>242</v>
      </c>
      <c r="K131">
        <v>145773066.5194805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431</v>
      </c>
      <c r="E133">
        <v>107005100.7694118</v>
      </c>
      <c r="F133">
        <v>44</v>
      </c>
      <c r="G133">
        <v>5958181</v>
      </c>
      <c r="H133">
        <v>40</v>
      </c>
      <c r="I133">
        <v>10036364</v>
      </c>
      <c r="J133">
        <v>435</v>
      </c>
      <c r="K133">
        <v>102926917.7694118</v>
      </c>
    </row>
    <row r="134" spans="1:11" x14ac:dyDescent="0.25">
      <c r="A134">
        <v>133</v>
      </c>
      <c r="B134" t="s">
        <v>275</v>
      </c>
      <c r="C134" t="s">
        <v>276</v>
      </c>
      <c r="D134">
        <v>117</v>
      </c>
      <c r="E134">
        <v>34802504.084337354</v>
      </c>
      <c r="F134">
        <v>14</v>
      </c>
      <c r="G134">
        <v>5823636</v>
      </c>
      <c r="H134">
        <v>5</v>
      </c>
      <c r="I134">
        <v>2790908</v>
      </c>
      <c r="J134">
        <v>126</v>
      </c>
      <c r="K134">
        <v>37835232.084337354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6</v>
      </c>
      <c r="E141">
        <v>17369354.838709679</v>
      </c>
      <c r="F141">
        <v>0</v>
      </c>
      <c r="G141">
        <v>0</v>
      </c>
      <c r="H141">
        <v>0</v>
      </c>
      <c r="I141">
        <v>0</v>
      </c>
      <c r="J141">
        <v>6</v>
      </c>
      <c r="K141">
        <v>17369354.838709679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141</v>
      </c>
      <c r="E143">
        <v>35141168.115942031</v>
      </c>
      <c r="F143">
        <v>1</v>
      </c>
      <c r="G143">
        <v>435000</v>
      </c>
      <c r="H143">
        <v>9</v>
      </c>
      <c r="I143">
        <v>2370000</v>
      </c>
      <c r="J143">
        <v>133</v>
      </c>
      <c r="K143">
        <v>33206168.115942031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1063.4580000000001</v>
      </c>
      <c r="E146">
        <v>730974909.4799999</v>
      </c>
      <c r="F146">
        <v>179.03200000000001</v>
      </c>
      <c r="G146">
        <v>68623852</v>
      </c>
      <c r="H146">
        <v>78</v>
      </c>
      <c r="I146">
        <v>50100000</v>
      </c>
      <c r="J146">
        <v>1164.49</v>
      </c>
      <c r="K146">
        <v>749498761.4799999</v>
      </c>
    </row>
    <row r="147" spans="1:11" x14ac:dyDescent="0.25">
      <c r="A147" t="s">
        <v>301</v>
      </c>
      <c r="D147">
        <v>24754.457999999999</v>
      </c>
      <c r="E147">
        <v>21714029898.080021</v>
      </c>
      <c r="F147">
        <v>1590.0319999999999</v>
      </c>
      <c r="G147">
        <v>1363242070</v>
      </c>
      <c r="H147">
        <v>1159</v>
      </c>
      <c r="I147">
        <v>1488943809</v>
      </c>
      <c r="J147">
        <v>25195.49</v>
      </c>
      <c r="K147">
        <v>21719746341.080021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</v>
      </c>
      <c r="E2">
        <v>24589927.772727281</v>
      </c>
      <c r="F2">
        <v>0</v>
      </c>
      <c r="G2">
        <v>0</v>
      </c>
      <c r="H2">
        <v>0</v>
      </c>
      <c r="I2">
        <v>0</v>
      </c>
      <c r="J2">
        <v>2</v>
      </c>
      <c r="K2">
        <v>24589927.772727281</v>
      </c>
    </row>
    <row r="3" spans="1:11" x14ac:dyDescent="0.25">
      <c r="A3">
        <v>2</v>
      </c>
      <c r="B3" t="s">
        <v>13</v>
      </c>
      <c r="C3" t="s">
        <v>14</v>
      </c>
      <c r="D3">
        <v>14</v>
      </c>
      <c r="E3">
        <v>107138809</v>
      </c>
      <c r="F3">
        <v>0</v>
      </c>
      <c r="G3">
        <v>0</v>
      </c>
      <c r="H3">
        <v>0</v>
      </c>
      <c r="I3">
        <v>0</v>
      </c>
      <c r="J3">
        <v>14</v>
      </c>
      <c r="K3">
        <v>107138809</v>
      </c>
    </row>
    <row r="4" spans="1:11" x14ac:dyDescent="0.25">
      <c r="A4">
        <v>3</v>
      </c>
      <c r="B4" t="s">
        <v>15</v>
      </c>
      <c r="C4" t="s">
        <v>16</v>
      </c>
      <c r="D4">
        <v>203</v>
      </c>
      <c r="E4">
        <v>2059563776.201292</v>
      </c>
      <c r="F4">
        <v>30</v>
      </c>
      <c r="G4">
        <v>369727274</v>
      </c>
      <c r="H4">
        <v>17</v>
      </c>
      <c r="I4">
        <v>222254546</v>
      </c>
      <c r="J4">
        <v>216</v>
      </c>
      <c r="K4">
        <v>2207036504.201292</v>
      </c>
    </row>
    <row r="5" spans="1:11" x14ac:dyDescent="0.25">
      <c r="A5">
        <v>4</v>
      </c>
      <c r="B5" t="s">
        <v>17</v>
      </c>
      <c r="C5" t="s">
        <v>18</v>
      </c>
      <c r="D5">
        <v>1</v>
      </c>
      <c r="E5">
        <v>29283636</v>
      </c>
      <c r="F5">
        <v>0</v>
      </c>
      <c r="G5">
        <v>0</v>
      </c>
      <c r="H5">
        <v>0</v>
      </c>
      <c r="I5">
        <v>0</v>
      </c>
      <c r="J5">
        <v>1</v>
      </c>
      <c r="K5">
        <v>29283636</v>
      </c>
    </row>
    <row r="6" spans="1:11" x14ac:dyDescent="0.25">
      <c r="A6">
        <v>5</v>
      </c>
      <c r="B6" t="s">
        <v>19</v>
      </c>
      <c r="C6" t="s">
        <v>20</v>
      </c>
      <c r="D6">
        <v>2</v>
      </c>
      <c r="E6">
        <v>42793621.178571403</v>
      </c>
      <c r="F6">
        <v>0</v>
      </c>
      <c r="G6">
        <v>0</v>
      </c>
      <c r="H6">
        <v>0</v>
      </c>
      <c r="I6">
        <v>0</v>
      </c>
      <c r="J6">
        <v>2</v>
      </c>
      <c r="K6">
        <v>42793621.178571403</v>
      </c>
    </row>
    <row r="7" spans="1:11" x14ac:dyDescent="0.25">
      <c r="A7">
        <v>6</v>
      </c>
      <c r="B7" t="s">
        <v>21</v>
      </c>
      <c r="C7" t="s">
        <v>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7</v>
      </c>
      <c r="B8" t="s">
        <v>23</v>
      </c>
      <c r="C8" t="s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v>8</v>
      </c>
      <c r="B9" t="s">
        <v>25</v>
      </c>
      <c r="C9" t="s">
        <v>26</v>
      </c>
      <c r="D9">
        <v>10</v>
      </c>
      <c r="E9">
        <v>40120814.450000003</v>
      </c>
      <c r="F9">
        <v>0</v>
      </c>
      <c r="G9">
        <v>0</v>
      </c>
      <c r="H9">
        <v>0</v>
      </c>
      <c r="I9">
        <v>0</v>
      </c>
      <c r="J9">
        <v>10</v>
      </c>
      <c r="K9">
        <v>40120814.450000003</v>
      </c>
    </row>
    <row r="10" spans="1:11" x14ac:dyDescent="0.25">
      <c r="A10">
        <v>9</v>
      </c>
      <c r="B10" t="s">
        <v>27</v>
      </c>
      <c r="C10" t="s">
        <v>28</v>
      </c>
      <c r="D10">
        <v>255</v>
      </c>
      <c r="E10">
        <v>883096403.5951941</v>
      </c>
      <c r="F10">
        <v>30</v>
      </c>
      <c r="G10">
        <v>89563636</v>
      </c>
      <c r="H10">
        <v>0</v>
      </c>
      <c r="I10">
        <v>0</v>
      </c>
      <c r="J10">
        <v>285</v>
      </c>
      <c r="K10">
        <v>972660039.5951941</v>
      </c>
    </row>
    <row r="11" spans="1:11" x14ac:dyDescent="0.25">
      <c r="A11">
        <v>10</v>
      </c>
      <c r="B11" t="s">
        <v>29</v>
      </c>
      <c r="C11" t="s">
        <v>30</v>
      </c>
      <c r="D11">
        <v>3</v>
      </c>
      <c r="E11">
        <v>18961647.25</v>
      </c>
      <c r="F11">
        <v>0</v>
      </c>
      <c r="G11">
        <v>0</v>
      </c>
      <c r="H11">
        <v>0</v>
      </c>
      <c r="I11">
        <v>0</v>
      </c>
      <c r="J11">
        <v>3</v>
      </c>
      <c r="K11">
        <v>18961647.25</v>
      </c>
    </row>
    <row r="12" spans="1:11" x14ac:dyDescent="0.25">
      <c r="A12">
        <v>11</v>
      </c>
      <c r="B12" t="s">
        <v>31</v>
      </c>
      <c r="C12" t="s">
        <v>32</v>
      </c>
      <c r="D12">
        <v>339</v>
      </c>
      <c r="E12">
        <v>3861457251.2191219</v>
      </c>
      <c r="F12">
        <v>20</v>
      </c>
      <c r="G12">
        <v>238636364</v>
      </c>
      <c r="H12">
        <v>14</v>
      </c>
      <c r="I12">
        <v>165990908</v>
      </c>
      <c r="J12">
        <v>345</v>
      </c>
      <c r="K12">
        <v>3934102707.2191219</v>
      </c>
    </row>
    <row r="13" spans="1:11" x14ac:dyDescent="0.25">
      <c r="A13">
        <v>12</v>
      </c>
      <c r="B13" t="s">
        <v>33</v>
      </c>
      <c r="C13" t="s">
        <v>34</v>
      </c>
      <c r="D13">
        <v>50</v>
      </c>
      <c r="E13">
        <v>865008778.76923084</v>
      </c>
      <c r="F13">
        <v>0</v>
      </c>
      <c r="G13">
        <v>0</v>
      </c>
      <c r="H13">
        <v>2</v>
      </c>
      <c r="I13">
        <v>31090908</v>
      </c>
      <c r="J13">
        <v>48</v>
      </c>
      <c r="K13">
        <v>833917870.76923084</v>
      </c>
    </row>
    <row r="14" spans="1:11" x14ac:dyDescent="0.25">
      <c r="A14">
        <v>13</v>
      </c>
      <c r="B14" t="s">
        <v>35</v>
      </c>
      <c r="C14" t="s">
        <v>36</v>
      </c>
      <c r="D14">
        <v>21</v>
      </c>
      <c r="E14">
        <v>371611678.28947371</v>
      </c>
      <c r="F14">
        <v>0</v>
      </c>
      <c r="G14">
        <v>0</v>
      </c>
      <c r="H14">
        <v>0</v>
      </c>
      <c r="I14">
        <v>0</v>
      </c>
      <c r="J14">
        <v>21</v>
      </c>
      <c r="K14">
        <v>371611678.28947371</v>
      </c>
    </row>
    <row r="15" spans="1:11" x14ac:dyDescent="0.25">
      <c r="A15">
        <v>14</v>
      </c>
      <c r="B15" t="s">
        <v>37</v>
      </c>
      <c r="C15" t="s">
        <v>38</v>
      </c>
      <c r="D15">
        <v>29</v>
      </c>
      <c r="E15">
        <v>365728677.93430662</v>
      </c>
      <c r="F15">
        <v>0</v>
      </c>
      <c r="G15">
        <v>0</v>
      </c>
      <c r="H15">
        <v>0</v>
      </c>
      <c r="I15">
        <v>0</v>
      </c>
      <c r="J15">
        <v>29</v>
      </c>
      <c r="K15">
        <v>365728677.93430662</v>
      </c>
    </row>
    <row r="16" spans="1:11" x14ac:dyDescent="0.25">
      <c r="A16">
        <v>15</v>
      </c>
      <c r="B16" t="s">
        <v>39</v>
      </c>
      <c r="C16" t="s">
        <v>40</v>
      </c>
      <c r="D16">
        <v>2</v>
      </c>
      <c r="E16">
        <v>78375895.104477614</v>
      </c>
      <c r="F16">
        <v>0</v>
      </c>
      <c r="G16">
        <v>0</v>
      </c>
      <c r="H16">
        <v>0</v>
      </c>
      <c r="I16">
        <v>0</v>
      </c>
      <c r="J16">
        <v>2</v>
      </c>
      <c r="K16">
        <v>78375895.104477614</v>
      </c>
    </row>
    <row r="17" spans="1:11" x14ac:dyDescent="0.25">
      <c r="A17">
        <v>16</v>
      </c>
      <c r="B17" t="s">
        <v>41</v>
      </c>
      <c r="C17" t="s">
        <v>42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17</v>
      </c>
      <c r="B18" t="s">
        <v>43</v>
      </c>
      <c r="C18" t="s">
        <v>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>
        <v>18</v>
      </c>
      <c r="B19" t="s">
        <v>45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t="s">
        <v>47</v>
      </c>
      <c r="C20" t="s">
        <v>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20</v>
      </c>
      <c r="B21" t="s">
        <v>49</v>
      </c>
      <c r="C21" t="s">
        <v>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21</v>
      </c>
      <c r="B22" t="s">
        <v>51</v>
      </c>
      <c r="C22" t="s">
        <v>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22</v>
      </c>
      <c r="B23" t="s">
        <v>53</v>
      </c>
      <c r="C23" t="s">
        <v>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s">
        <v>55</v>
      </c>
      <c r="C24" t="s">
        <v>56</v>
      </c>
      <c r="D24">
        <v>0</v>
      </c>
      <c r="E24">
        <v>0</v>
      </c>
      <c r="F24">
        <v>0</v>
      </c>
      <c r="G24">
        <v>0</v>
      </c>
      <c r="H24">
        <v>16</v>
      </c>
      <c r="I24">
        <v>164936363</v>
      </c>
      <c r="J24">
        <v>0</v>
      </c>
      <c r="K24">
        <v>0</v>
      </c>
    </row>
    <row r="25" spans="1:11" x14ac:dyDescent="0.25">
      <c r="A25">
        <v>24</v>
      </c>
      <c r="B25" t="s">
        <v>57</v>
      </c>
      <c r="C25" t="s">
        <v>58</v>
      </c>
      <c r="D25">
        <v>287</v>
      </c>
      <c r="E25">
        <v>2392567039.361217</v>
      </c>
      <c r="F25">
        <v>12</v>
      </c>
      <c r="G25">
        <v>125031820</v>
      </c>
      <c r="H25">
        <v>20</v>
      </c>
      <c r="I25">
        <v>220100001</v>
      </c>
      <c r="J25">
        <v>279</v>
      </c>
      <c r="K25">
        <v>2297498858.361217</v>
      </c>
    </row>
    <row r="26" spans="1:11" x14ac:dyDescent="0.25">
      <c r="A26">
        <v>25</v>
      </c>
      <c r="B26" t="s">
        <v>59</v>
      </c>
      <c r="C26" t="s">
        <v>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26</v>
      </c>
      <c r="B27" t="s">
        <v>61</v>
      </c>
      <c r="C27" t="s">
        <v>62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s">
        <v>63</v>
      </c>
      <c r="C28" t="s">
        <v>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28</v>
      </c>
      <c r="B29" t="s">
        <v>65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29</v>
      </c>
      <c r="B30" t="s">
        <v>67</v>
      </c>
      <c r="C30" t="s">
        <v>68</v>
      </c>
      <c r="D30">
        <v>6</v>
      </c>
      <c r="E30">
        <v>70377413.307692319</v>
      </c>
      <c r="F30">
        <v>2</v>
      </c>
      <c r="G30">
        <v>27363637</v>
      </c>
      <c r="H30">
        <v>2</v>
      </c>
      <c r="I30">
        <v>30527273</v>
      </c>
      <c r="J30">
        <v>6</v>
      </c>
      <c r="K30">
        <v>67213777.307692319</v>
      </c>
    </row>
    <row r="31" spans="1:11" x14ac:dyDescent="0.25">
      <c r="A31">
        <v>30</v>
      </c>
      <c r="B31" t="s">
        <v>69</v>
      </c>
      <c r="C31" t="s">
        <v>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31</v>
      </c>
      <c r="B32" t="s">
        <v>71</v>
      </c>
      <c r="C32" t="s">
        <v>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32</v>
      </c>
      <c r="B33" t="s">
        <v>73</v>
      </c>
      <c r="C33" t="s">
        <v>74</v>
      </c>
      <c r="D33">
        <v>4</v>
      </c>
      <c r="E33">
        <v>23127439.5</v>
      </c>
      <c r="F33">
        <v>1</v>
      </c>
      <c r="G33">
        <v>2500000</v>
      </c>
      <c r="H33">
        <v>0</v>
      </c>
      <c r="I33">
        <v>0</v>
      </c>
      <c r="J33">
        <v>5</v>
      </c>
      <c r="K33">
        <v>25627439.5</v>
      </c>
    </row>
    <row r="34" spans="1:11" x14ac:dyDescent="0.25">
      <c r="A34">
        <v>33</v>
      </c>
      <c r="B34" t="s">
        <v>75</v>
      </c>
      <c r="C34" t="s">
        <v>76</v>
      </c>
      <c r="D34">
        <v>48</v>
      </c>
      <c r="E34">
        <v>95086175.183266938</v>
      </c>
      <c r="F34">
        <v>0</v>
      </c>
      <c r="G34">
        <v>0</v>
      </c>
      <c r="H34">
        <v>0</v>
      </c>
      <c r="I34">
        <v>0</v>
      </c>
      <c r="J34">
        <v>48</v>
      </c>
      <c r="K34">
        <v>95086175.183266938</v>
      </c>
    </row>
    <row r="35" spans="1:11" x14ac:dyDescent="0.25">
      <c r="A35">
        <v>34</v>
      </c>
      <c r="B35" t="s">
        <v>77</v>
      </c>
      <c r="C35" t="s">
        <v>78</v>
      </c>
      <c r="D35">
        <v>681</v>
      </c>
      <c r="E35">
        <v>1314420038.553802</v>
      </c>
      <c r="F35">
        <v>12</v>
      </c>
      <c r="G35">
        <v>27600000</v>
      </c>
      <c r="H35">
        <v>45</v>
      </c>
      <c r="I35">
        <v>89427275</v>
      </c>
      <c r="J35">
        <v>648</v>
      </c>
      <c r="K35">
        <v>1252592763.553802</v>
      </c>
    </row>
    <row r="36" spans="1:11" x14ac:dyDescent="0.25">
      <c r="A36">
        <v>35</v>
      </c>
      <c r="B36" t="s">
        <v>79</v>
      </c>
      <c r="C36" t="s">
        <v>80</v>
      </c>
      <c r="D36">
        <v>17</v>
      </c>
      <c r="E36">
        <v>43508071.021276593</v>
      </c>
      <c r="F36">
        <v>0</v>
      </c>
      <c r="G36">
        <v>0</v>
      </c>
      <c r="H36">
        <v>0</v>
      </c>
      <c r="I36">
        <v>0</v>
      </c>
      <c r="J36">
        <v>17</v>
      </c>
      <c r="K36">
        <v>43508071.021276593</v>
      </c>
    </row>
    <row r="37" spans="1:11" x14ac:dyDescent="0.25">
      <c r="A37">
        <v>36</v>
      </c>
      <c r="B37" t="s">
        <v>81</v>
      </c>
      <c r="C37" t="s">
        <v>82</v>
      </c>
      <c r="D37">
        <v>16</v>
      </c>
      <c r="E37">
        <v>85192199.196428597</v>
      </c>
      <c r="F37">
        <v>3</v>
      </c>
      <c r="G37">
        <v>6127273</v>
      </c>
      <c r="H37">
        <v>0</v>
      </c>
      <c r="I37">
        <v>0</v>
      </c>
      <c r="J37">
        <v>19</v>
      </c>
      <c r="K37">
        <v>91319472.196428597</v>
      </c>
    </row>
    <row r="38" spans="1:11" x14ac:dyDescent="0.25">
      <c r="A38">
        <v>37</v>
      </c>
      <c r="B38" t="s">
        <v>83</v>
      </c>
      <c r="C38" t="s">
        <v>84</v>
      </c>
      <c r="D38">
        <v>1</v>
      </c>
      <c r="E38">
        <v>4336364</v>
      </c>
      <c r="F38">
        <v>0</v>
      </c>
      <c r="G38">
        <v>0</v>
      </c>
      <c r="H38">
        <v>0</v>
      </c>
      <c r="I38">
        <v>0</v>
      </c>
      <c r="J38">
        <v>1</v>
      </c>
      <c r="K38">
        <v>4336364</v>
      </c>
    </row>
    <row r="39" spans="1:11" x14ac:dyDescent="0.25">
      <c r="A39">
        <v>38</v>
      </c>
      <c r="B39" t="s">
        <v>85</v>
      </c>
      <c r="C39" t="s">
        <v>86</v>
      </c>
      <c r="D39">
        <v>127</v>
      </c>
      <c r="E39">
        <v>334038595.38106239</v>
      </c>
      <c r="F39">
        <v>0</v>
      </c>
      <c r="G39">
        <v>0</v>
      </c>
      <c r="H39">
        <v>0</v>
      </c>
      <c r="I39">
        <v>0</v>
      </c>
      <c r="J39">
        <v>127</v>
      </c>
      <c r="K39">
        <v>334038595.38106239</v>
      </c>
    </row>
    <row r="40" spans="1:11" x14ac:dyDescent="0.25">
      <c r="A40">
        <v>39</v>
      </c>
      <c r="B40" t="s">
        <v>87</v>
      </c>
      <c r="C40" t="s">
        <v>88</v>
      </c>
      <c r="D40">
        <v>10</v>
      </c>
      <c r="E40">
        <v>51843434.777777784</v>
      </c>
      <c r="F40">
        <v>0</v>
      </c>
      <c r="G40">
        <v>0</v>
      </c>
      <c r="H40">
        <v>0</v>
      </c>
      <c r="I40">
        <v>0</v>
      </c>
      <c r="J40">
        <v>10</v>
      </c>
      <c r="K40">
        <v>51843434.777777784</v>
      </c>
    </row>
    <row r="41" spans="1:11" x14ac:dyDescent="0.25">
      <c r="A41">
        <v>40</v>
      </c>
      <c r="B41" t="s">
        <v>89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41</v>
      </c>
      <c r="B42" t="s">
        <v>91</v>
      </c>
      <c r="C42" t="s">
        <v>92</v>
      </c>
      <c r="D42">
        <v>1146</v>
      </c>
      <c r="E42">
        <v>8945457</v>
      </c>
      <c r="F42">
        <v>46</v>
      </c>
      <c r="G42">
        <v>61540911</v>
      </c>
      <c r="H42">
        <v>14</v>
      </c>
      <c r="I42">
        <v>60711818</v>
      </c>
      <c r="J42">
        <v>1178</v>
      </c>
      <c r="K42">
        <v>9774550</v>
      </c>
    </row>
    <row r="43" spans="1:11" x14ac:dyDescent="0.25">
      <c r="A43">
        <v>42</v>
      </c>
      <c r="B43" t="s">
        <v>93</v>
      </c>
      <c r="C43" t="s">
        <v>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v>43</v>
      </c>
      <c r="B44" t="s">
        <v>95</v>
      </c>
      <c r="C44" t="s">
        <v>96</v>
      </c>
      <c r="D44">
        <v>450</v>
      </c>
      <c r="E44">
        <v>1247993091.4247439</v>
      </c>
      <c r="F44">
        <v>55</v>
      </c>
      <c r="G44">
        <v>194799824</v>
      </c>
      <c r="H44">
        <v>23</v>
      </c>
      <c r="I44">
        <v>68009091</v>
      </c>
      <c r="J44">
        <v>482</v>
      </c>
      <c r="K44">
        <v>1374783824.4247439</v>
      </c>
    </row>
    <row r="45" spans="1:11" x14ac:dyDescent="0.25">
      <c r="A45">
        <v>44</v>
      </c>
      <c r="B45" t="s">
        <v>97</v>
      </c>
      <c r="C45" t="s">
        <v>98</v>
      </c>
      <c r="D45">
        <v>68</v>
      </c>
      <c r="E45">
        <v>264668616.79297301</v>
      </c>
      <c r="F45">
        <v>0</v>
      </c>
      <c r="G45">
        <v>0</v>
      </c>
      <c r="H45">
        <v>2</v>
      </c>
      <c r="I45">
        <v>10345454</v>
      </c>
      <c r="J45">
        <v>66</v>
      </c>
      <c r="K45">
        <v>254323162.79297301</v>
      </c>
    </row>
    <row r="46" spans="1:11" x14ac:dyDescent="0.25">
      <c r="A46">
        <v>45</v>
      </c>
      <c r="B46" t="s">
        <v>99</v>
      </c>
      <c r="C46" t="s">
        <v>100</v>
      </c>
      <c r="D46">
        <v>295</v>
      </c>
      <c r="E46">
        <v>88818665.632571429</v>
      </c>
      <c r="F46">
        <v>4</v>
      </c>
      <c r="G46">
        <v>909090</v>
      </c>
      <c r="H46">
        <v>2</v>
      </c>
      <c r="I46">
        <v>490909</v>
      </c>
      <c r="J46">
        <v>297</v>
      </c>
      <c r="K46">
        <v>89236846.632571429</v>
      </c>
    </row>
    <row r="47" spans="1:11" x14ac:dyDescent="0.25">
      <c r="A47">
        <v>46</v>
      </c>
      <c r="B47" t="s">
        <v>101</v>
      </c>
      <c r="C47" t="s">
        <v>102</v>
      </c>
      <c r="D47">
        <v>146</v>
      </c>
      <c r="E47">
        <v>252899686.92567381</v>
      </c>
      <c r="F47">
        <v>1</v>
      </c>
      <c r="G47">
        <v>3290909</v>
      </c>
      <c r="H47">
        <v>1</v>
      </c>
      <c r="I47">
        <v>6272727</v>
      </c>
      <c r="J47">
        <v>146</v>
      </c>
      <c r="K47">
        <v>249917868.92567381</v>
      </c>
    </row>
    <row r="48" spans="1:11" x14ac:dyDescent="0.25">
      <c r="A48">
        <v>47</v>
      </c>
      <c r="B48" t="s">
        <v>103</v>
      </c>
      <c r="C48" t="s">
        <v>104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48</v>
      </c>
      <c r="B49" t="s">
        <v>105</v>
      </c>
      <c r="C49" t="s">
        <v>106</v>
      </c>
      <c r="D49">
        <v>33</v>
      </c>
      <c r="E49">
        <v>187919523.96224141</v>
      </c>
      <c r="F49">
        <v>7</v>
      </c>
      <c r="G49">
        <v>31500000</v>
      </c>
      <c r="H49">
        <v>5</v>
      </c>
      <c r="I49">
        <v>20799999</v>
      </c>
      <c r="J49">
        <v>35</v>
      </c>
      <c r="K49">
        <v>198619524.96224141</v>
      </c>
    </row>
    <row r="50" spans="1:11" x14ac:dyDescent="0.25">
      <c r="A50">
        <v>49</v>
      </c>
      <c r="B50" t="s">
        <v>107</v>
      </c>
      <c r="C50" t="s">
        <v>108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50</v>
      </c>
      <c r="B51" t="s">
        <v>109</v>
      </c>
      <c r="C51" t="s">
        <v>110</v>
      </c>
      <c r="D51">
        <v>5</v>
      </c>
      <c r="E51">
        <v>254228.19999999931</v>
      </c>
      <c r="F51">
        <v>0</v>
      </c>
      <c r="G51">
        <v>0</v>
      </c>
      <c r="H51">
        <v>0</v>
      </c>
      <c r="I51">
        <v>0</v>
      </c>
      <c r="J51">
        <v>5</v>
      </c>
      <c r="K5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>
        <v>101</v>
      </c>
      <c r="E52">
        <v>166210621.26693881</v>
      </c>
      <c r="F52">
        <v>12</v>
      </c>
      <c r="G52">
        <v>31111110.800000001</v>
      </c>
      <c r="H52">
        <v>12</v>
      </c>
      <c r="I52">
        <v>34407408</v>
      </c>
      <c r="J52">
        <v>101</v>
      </c>
      <c r="K52">
        <v>162914324.06693879</v>
      </c>
    </row>
    <row r="53" spans="1:11" x14ac:dyDescent="0.25">
      <c r="A53">
        <v>52</v>
      </c>
      <c r="B53" t="s">
        <v>113</v>
      </c>
      <c r="C53" t="s">
        <v>114</v>
      </c>
      <c r="D53">
        <v>3</v>
      </c>
      <c r="E53">
        <v>5580000</v>
      </c>
      <c r="F53">
        <v>0</v>
      </c>
      <c r="G53">
        <v>0</v>
      </c>
      <c r="H53">
        <v>0</v>
      </c>
      <c r="I53">
        <v>0</v>
      </c>
      <c r="J53">
        <v>3</v>
      </c>
      <c r="K53">
        <v>5580000</v>
      </c>
    </row>
    <row r="54" spans="1:11" x14ac:dyDescent="0.25">
      <c r="A54">
        <v>53</v>
      </c>
      <c r="B54" t="s">
        <v>115</v>
      </c>
      <c r="C54" t="s">
        <v>116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54</v>
      </c>
      <c r="B55" t="s">
        <v>117</v>
      </c>
      <c r="C55" t="s">
        <v>118</v>
      </c>
      <c r="D55">
        <v>81</v>
      </c>
      <c r="E55">
        <v>128026170.172702</v>
      </c>
      <c r="F55">
        <v>15</v>
      </c>
      <c r="G55">
        <v>4960000</v>
      </c>
      <c r="H55">
        <v>2</v>
      </c>
      <c r="I55">
        <v>16127273</v>
      </c>
      <c r="J55">
        <v>94</v>
      </c>
      <c r="K55">
        <v>116858897.172702</v>
      </c>
    </row>
    <row r="56" spans="1:11" x14ac:dyDescent="0.25">
      <c r="A56">
        <v>55</v>
      </c>
      <c r="B56" t="s">
        <v>119</v>
      </c>
      <c r="C56" t="s">
        <v>120</v>
      </c>
      <c r="D56">
        <v>35</v>
      </c>
      <c r="E56">
        <v>8777047.4915254228</v>
      </c>
      <c r="F56">
        <v>0</v>
      </c>
      <c r="G56">
        <v>0</v>
      </c>
      <c r="H56">
        <v>2</v>
      </c>
      <c r="I56">
        <v>2407407</v>
      </c>
      <c r="J56">
        <v>33</v>
      </c>
      <c r="K56">
        <v>6369640.4915254228</v>
      </c>
    </row>
    <row r="57" spans="1:11" x14ac:dyDescent="0.25">
      <c r="A57">
        <v>56</v>
      </c>
      <c r="B57" t="s">
        <v>121</v>
      </c>
      <c r="C57" t="s">
        <v>122</v>
      </c>
      <c r="D57">
        <v>5</v>
      </c>
      <c r="E57">
        <v>15151110.180769229</v>
      </c>
      <c r="F57">
        <v>0</v>
      </c>
      <c r="G57">
        <v>0</v>
      </c>
      <c r="H57">
        <v>0</v>
      </c>
      <c r="I57">
        <v>0</v>
      </c>
      <c r="J57">
        <v>5</v>
      </c>
      <c r="K57">
        <v>15151110.180769229</v>
      </c>
    </row>
    <row r="58" spans="1:11" x14ac:dyDescent="0.25">
      <c r="A58">
        <v>57</v>
      </c>
      <c r="B58" t="s">
        <v>123</v>
      </c>
      <c r="C58" t="s">
        <v>124</v>
      </c>
      <c r="D58">
        <v>2</v>
      </c>
      <c r="E58">
        <v>1829966.11</v>
      </c>
      <c r="F58">
        <v>0</v>
      </c>
      <c r="G58">
        <v>0</v>
      </c>
      <c r="H58">
        <v>0</v>
      </c>
      <c r="I58">
        <v>0</v>
      </c>
      <c r="J58">
        <v>2</v>
      </c>
      <c r="K58">
        <v>1829966.11</v>
      </c>
    </row>
    <row r="59" spans="1:11" x14ac:dyDescent="0.25">
      <c r="A59">
        <v>58</v>
      </c>
      <c r="B59" t="s">
        <v>125</v>
      </c>
      <c r="C59" t="s">
        <v>126</v>
      </c>
      <c r="D59">
        <v>3979</v>
      </c>
      <c r="E59">
        <v>259193331.36559761</v>
      </c>
      <c r="F59">
        <v>326</v>
      </c>
      <c r="G59">
        <v>35605451</v>
      </c>
      <c r="H59">
        <v>131</v>
      </c>
      <c r="I59">
        <v>16272731</v>
      </c>
      <c r="J59">
        <v>4174</v>
      </c>
      <c r="K59">
        <v>278526051.36559761</v>
      </c>
    </row>
    <row r="60" spans="1:11" x14ac:dyDescent="0.25">
      <c r="A60">
        <v>59</v>
      </c>
      <c r="B60" t="s">
        <v>127</v>
      </c>
      <c r="C60" t="s">
        <v>128</v>
      </c>
      <c r="D60">
        <v>82</v>
      </c>
      <c r="E60">
        <v>3245730.6822262122</v>
      </c>
      <c r="F60">
        <v>5</v>
      </c>
      <c r="G60">
        <v>354545</v>
      </c>
      <c r="H60">
        <v>2</v>
      </c>
      <c r="I60">
        <v>800000</v>
      </c>
      <c r="J60">
        <v>85</v>
      </c>
      <c r="K60">
        <v>2800275.6822262122</v>
      </c>
    </row>
    <row r="61" spans="1:11" x14ac:dyDescent="0.25">
      <c r="A61">
        <v>60</v>
      </c>
      <c r="B61" t="s">
        <v>129</v>
      </c>
      <c r="C61" t="s">
        <v>130</v>
      </c>
      <c r="D61">
        <v>16</v>
      </c>
      <c r="E61">
        <v>0</v>
      </c>
      <c r="F61">
        <v>0</v>
      </c>
      <c r="G61">
        <v>0</v>
      </c>
      <c r="H61">
        <v>0</v>
      </c>
      <c r="I61">
        <v>0</v>
      </c>
      <c r="J61">
        <v>16</v>
      </c>
      <c r="K61">
        <v>0</v>
      </c>
    </row>
    <row r="62" spans="1:11" x14ac:dyDescent="0.25">
      <c r="A62">
        <v>61</v>
      </c>
      <c r="B62" t="s">
        <v>131</v>
      </c>
      <c r="C62" t="s">
        <v>132</v>
      </c>
      <c r="D62">
        <v>1985</v>
      </c>
      <c r="E62">
        <v>223470608.8789579</v>
      </c>
      <c r="F62">
        <v>210</v>
      </c>
      <c r="G62">
        <v>5090910</v>
      </c>
      <c r="H62">
        <v>12</v>
      </c>
      <c r="I62">
        <v>1800000</v>
      </c>
      <c r="J62">
        <v>2183</v>
      </c>
      <c r="K62">
        <v>226761518.8789579</v>
      </c>
    </row>
    <row r="63" spans="1:11" x14ac:dyDescent="0.25">
      <c r="A63">
        <v>62</v>
      </c>
      <c r="B63" t="s">
        <v>133</v>
      </c>
      <c r="C63" t="s">
        <v>134</v>
      </c>
      <c r="D63">
        <v>325</v>
      </c>
      <c r="E63">
        <v>62643358.711580493</v>
      </c>
      <c r="F63">
        <v>40</v>
      </c>
      <c r="G63">
        <v>7245456</v>
      </c>
      <c r="H63">
        <v>2</v>
      </c>
      <c r="I63">
        <v>681817</v>
      </c>
      <c r="J63">
        <v>363</v>
      </c>
      <c r="K63">
        <v>69206997.711580485</v>
      </c>
    </row>
    <row r="64" spans="1:11" x14ac:dyDescent="0.25">
      <c r="A64">
        <v>63</v>
      </c>
      <c r="B64" t="s">
        <v>135</v>
      </c>
      <c r="C64" t="s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64</v>
      </c>
      <c r="B65" t="s">
        <v>137</v>
      </c>
      <c r="C65" t="s">
        <v>138</v>
      </c>
      <c r="D65">
        <v>13</v>
      </c>
      <c r="E65">
        <v>5674407.4511235952</v>
      </c>
      <c r="F65">
        <v>4</v>
      </c>
      <c r="G65">
        <v>472728</v>
      </c>
      <c r="H65">
        <v>1</v>
      </c>
      <c r="I65">
        <v>445455</v>
      </c>
      <c r="J65">
        <v>16</v>
      </c>
      <c r="K65">
        <v>5701680.4511235952</v>
      </c>
    </row>
    <row r="66" spans="1:11" x14ac:dyDescent="0.25">
      <c r="A66">
        <v>65</v>
      </c>
      <c r="B66" t="s">
        <v>139</v>
      </c>
      <c r="C66" t="s">
        <v>140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66</v>
      </c>
      <c r="B67" t="s">
        <v>141</v>
      </c>
      <c r="C67" t="s">
        <v>142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67</v>
      </c>
      <c r="B68" t="s">
        <v>143</v>
      </c>
      <c r="C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68</v>
      </c>
      <c r="B69" t="s">
        <v>145</v>
      </c>
      <c r="C69" t="s">
        <v>146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69</v>
      </c>
      <c r="B70" t="s">
        <v>147</v>
      </c>
      <c r="C70" t="s">
        <v>148</v>
      </c>
      <c r="D70">
        <v>183</v>
      </c>
      <c r="E70">
        <v>48016836.665112101</v>
      </c>
      <c r="F70">
        <v>7</v>
      </c>
      <c r="G70">
        <v>2986817</v>
      </c>
      <c r="H70">
        <v>1</v>
      </c>
      <c r="I70">
        <v>627273</v>
      </c>
      <c r="J70">
        <v>189</v>
      </c>
      <c r="K70">
        <v>50376380.665112101</v>
      </c>
    </row>
    <row r="71" spans="1:11" x14ac:dyDescent="0.25">
      <c r="A71">
        <v>70</v>
      </c>
      <c r="B71" t="s">
        <v>149</v>
      </c>
      <c r="C71" t="s">
        <v>150</v>
      </c>
      <c r="D71">
        <v>4</v>
      </c>
      <c r="E71">
        <v>697428.16000000015</v>
      </c>
      <c r="F71">
        <v>0</v>
      </c>
      <c r="G71">
        <v>0</v>
      </c>
      <c r="H71">
        <v>0</v>
      </c>
      <c r="I71">
        <v>0</v>
      </c>
      <c r="J71">
        <v>4</v>
      </c>
      <c r="K71">
        <v>697428.16000000015</v>
      </c>
    </row>
    <row r="72" spans="1:11" x14ac:dyDescent="0.25">
      <c r="A72">
        <v>71</v>
      </c>
      <c r="B72" t="s">
        <v>151</v>
      </c>
      <c r="C72" t="s">
        <v>152</v>
      </c>
      <c r="D72">
        <v>0</v>
      </c>
      <c r="E72">
        <v>290909.59999999992</v>
      </c>
      <c r="F72">
        <v>0</v>
      </c>
      <c r="G72">
        <v>0</v>
      </c>
      <c r="H72">
        <v>0</v>
      </c>
      <c r="I72">
        <v>0</v>
      </c>
      <c r="J72">
        <v>0</v>
      </c>
      <c r="K72">
        <v>290909.59999999992</v>
      </c>
    </row>
    <row r="73" spans="1:11" x14ac:dyDescent="0.25">
      <c r="A73">
        <v>72</v>
      </c>
      <c r="B73" t="s">
        <v>153</v>
      </c>
      <c r="C73" t="s">
        <v>154</v>
      </c>
      <c r="D73">
        <v>100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</row>
    <row r="74" spans="1:11" x14ac:dyDescent="0.25">
      <c r="A74">
        <v>73</v>
      </c>
      <c r="B74" t="s">
        <v>155</v>
      </c>
      <c r="C74" t="s">
        <v>156</v>
      </c>
      <c r="D74">
        <v>145</v>
      </c>
      <c r="E74">
        <v>328176024.07878792</v>
      </c>
      <c r="F74">
        <v>0</v>
      </c>
      <c r="G74">
        <v>0</v>
      </c>
      <c r="H74">
        <v>0</v>
      </c>
      <c r="I74">
        <v>0</v>
      </c>
      <c r="J74">
        <v>145</v>
      </c>
      <c r="K74">
        <v>328176024.07878792</v>
      </c>
    </row>
    <row r="75" spans="1:11" x14ac:dyDescent="0.25">
      <c r="A75">
        <v>74</v>
      </c>
      <c r="B75" t="s">
        <v>157</v>
      </c>
      <c r="C75" t="s">
        <v>158</v>
      </c>
      <c r="D75">
        <v>130</v>
      </c>
      <c r="E75">
        <v>388505591.75098813</v>
      </c>
      <c r="F75">
        <v>0</v>
      </c>
      <c r="G75">
        <v>0</v>
      </c>
      <c r="H75">
        <v>3</v>
      </c>
      <c r="I75">
        <v>7745454</v>
      </c>
      <c r="J75">
        <v>127</v>
      </c>
      <c r="K75">
        <v>380760137.75098813</v>
      </c>
    </row>
    <row r="76" spans="1:11" x14ac:dyDescent="0.25">
      <c r="A76">
        <v>75</v>
      </c>
      <c r="B76" t="s">
        <v>159</v>
      </c>
      <c r="C76" t="s">
        <v>160</v>
      </c>
      <c r="D76">
        <v>5</v>
      </c>
      <c r="E76">
        <v>27775547.875</v>
      </c>
      <c r="F76">
        <v>1</v>
      </c>
      <c r="G76">
        <v>5681818</v>
      </c>
      <c r="H76">
        <v>1</v>
      </c>
      <c r="I76">
        <v>6918182</v>
      </c>
      <c r="J76">
        <v>5</v>
      </c>
      <c r="K76">
        <v>26539183.875</v>
      </c>
    </row>
    <row r="77" spans="1:11" x14ac:dyDescent="0.25">
      <c r="A77">
        <v>76</v>
      </c>
      <c r="B77" t="s">
        <v>161</v>
      </c>
      <c r="C77" t="s">
        <v>162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77</v>
      </c>
      <c r="B78" t="s">
        <v>163</v>
      </c>
      <c r="C78" t="s">
        <v>164</v>
      </c>
      <c r="D78">
        <v>157</v>
      </c>
      <c r="E78">
        <v>235686986.59605911</v>
      </c>
      <c r="F78">
        <v>20</v>
      </c>
      <c r="G78">
        <v>28581818</v>
      </c>
      <c r="H78">
        <v>2</v>
      </c>
      <c r="I78">
        <v>3145455</v>
      </c>
      <c r="J78">
        <v>175</v>
      </c>
      <c r="K78">
        <v>261123349.59605911</v>
      </c>
    </row>
    <row r="79" spans="1:11" x14ac:dyDescent="0.25">
      <c r="A79">
        <v>78</v>
      </c>
      <c r="B79" t="s">
        <v>165</v>
      </c>
      <c r="C79" t="s">
        <v>166</v>
      </c>
      <c r="D79">
        <v>12</v>
      </c>
      <c r="E79">
        <v>28175479</v>
      </c>
      <c r="F79">
        <v>1</v>
      </c>
      <c r="G79">
        <v>3545455</v>
      </c>
      <c r="H79">
        <v>0</v>
      </c>
      <c r="I79">
        <v>0</v>
      </c>
      <c r="J79">
        <v>13</v>
      </c>
      <c r="K79">
        <v>31720934</v>
      </c>
    </row>
    <row r="80" spans="1:11" x14ac:dyDescent="0.25">
      <c r="A80">
        <v>79</v>
      </c>
      <c r="B80" t="s">
        <v>167</v>
      </c>
      <c r="C80" t="s">
        <v>168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80</v>
      </c>
      <c r="B81" t="s">
        <v>169</v>
      </c>
      <c r="C81" t="s">
        <v>170</v>
      </c>
      <c r="D81">
        <v>449</v>
      </c>
      <c r="E81">
        <v>137101267.62329009</v>
      </c>
      <c r="F81">
        <v>286</v>
      </c>
      <c r="G81">
        <v>88418180</v>
      </c>
      <c r="H81">
        <v>10</v>
      </c>
      <c r="I81">
        <v>5054544</v>
      </c>
      <c r="J81">
        <v>725</v>
      </c>
      <c r="K81">
        <v>220464903.62329009</v>
      </c>
    </row>
    <row r="82" spans="1:11" x14ac:dyDescent="0.25">
      <c r="A82">
        <v>81</v>
      </c>
      <c r="B82" t="s">
        <v>171</v>
      </c>
      <c r="C82" t="s">
        <v>172</v>
      </c>
      <c r="D82">
        <v>83</v>
      </c>
      <c r="E82">
        <v>113416671.1173021</v>
      </c>
      <c r="F82">
        <v>144</v>
      </c>
      <c r="G82">
        <v>89800002</v>
      </c>
      <c r="H82">
        <v>3</v>
      </c>
      <c r="I82">
        <v>1909091</v>
      </c>
      <c r="J82">
        <v>224</v>
      </c>
      <c r="K82">
        <v>201307582.11730209</v>
      </c>
    </row>
    <row r="83" spans="1:11" x14ac:dyDescent="0.25">
      <c r="A83">
        <v>82</v>
      </c>
      <c r="B83" t="s">
        <v>173</v>
      </c>
      <c r="C83" t="s">
        <v>174</v>
      </c>
      <c r="D83">
        <v>48</v>
      </c>
      <c r="E83">
        <v>43363559.202380963</v>
      </c>
      <c r="F83">
        <v>53</v>
      </c>
      <c r="G83">
        <v>54000002</v>
      </c>
      <c r="H83">
        <v>0</v>
      </c>
      <c r="I83">
        <v>0</v>
      </c>
      <c r="J83">
        <v>101</v>
      </c>
      <c r="K83">
        <v>97363561.202380955</v>
      </c>
    </row>
    <row r="84" spans="1:11" x14ac:dyDescent="0.25">
      <c r="A84">
        <v>83</v>
      </c>
      <c r="B84" t="s">
        <v>175</v>
      </c>
      <c r="C84" t="s">
        <v>176</v>
      </c>
      <c r="D84">
        <v>11</v>
      </c>
      <c r="E84">
        <v>18878450.199999999</v>
      </c>
      <c r="F84">
        <v>0</v>
      </c>
      <c r="G84">
        <v>0</v>
      </c>
      <c r="H84">
        <v>0</v>
      </c>
      <c r="I84">
        <v>0</v>
      </c>
      <c r="J84">
        <v>11</v>
      </c>
      <c r="K84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>
        <v>16</v>
      </c>
      <c r="E85">
        <v>74574091.483870968</v>
      </c>
      <c r="F85">
        <v>1</v>
      </c>
      <c r="G85">
        <v>6454545</v>
      </c>
      <c r="H85">
        <v>0</v>
      </c>
      <c r="I85">
        <v>0</v>
      </c>
      <c r="J85">
        <v>17</v>
      </c>
      <c r="K85">
        <v>81028636.483870968</v>
      </c>
    </row>
    <row r="86" spans="1:11" x14ac:dyDescent="0.25">
      <c r="A86">
        <v>85</v>
      </c>
      <c r="B86" t="s">
        <v>179</v>
      </c>
      <c r="C86" t="s">
        <v>180</v>
      </c>
      <c r="D86">
        <v>16</v>
      </c>
      <c r="E86">
        <v>25944946.16</v>
      </c>
      <c r="F86">
        <v>4</v>
      </c>
      <c r="G86">
        <v>2163636</v>
      </c>
      <c r="H86">
        <v>0</v>
      </c>
      <c r="I86">
        <v>0</v>
      </c>
      <c r="J86">
        <v>20</v>
      </c>
      <c r="K86">
        <v>28108582.16</v>
      </c>
    </row>
    <row r="87" spans="1:11" x14ac:dyDescent="0.25">
      <c r="A87">
        <v>86</v>
      </c>
      <c r="B87" t="s">
        <v>181</v>
      </c>
      <c r="C87" t="s">
        <v>182</v>
      </c>
      <c r="D87">
        <v>68</v>
      </c>
      <c r="E87">
        <v>77614628.572559372</v>
      </c>
      <c r="F87">
        <v>8</v>
      </c>
      <c r="G87">
        <v>8381818</v>
      </c>
      <c r="H87">
        <v>2</v>
      </c>
      <c r="I87">
        <v>2454546</v>
      </c>
      <c r="J87">
        <v>74</v>
      </c>
      <c r="K87">
        <v>83541900.572559372</v>
      </c>
    </row>
    <row r="88" spans="1:11" x14ac:dyDescent="0.25">
      <c r="A88">
        <v>87</v>
      </c>
      <c r="B88" t="s">
        <v>183</v>
      </c>
      <c r="C88" t="s">
        <v>184</v>
      </c>
      <c r="D88">
        <v>3</v>
      </c>
      <c r="E88">
        <v>2443182.9545454532</v>
      </c>
      <c r="F88">
        <v>0</v>
      </c>
      <c r="G88">
        <v>0</v>
      </c>
      <c r="H88">
        <v>0</v>
      </c>
      <c r="I88">
        <v>0</v>
      </c>
      <c r="J88">
        <v>3</v>
      </c>
      <c r="K88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>
        <v>949</v>
      </c>
      <c r="E89">
        <v>263103131.74628809</v>
      </c>
      <c r="F89">
        <v>625</v>
      </c>
      <c r="G89">
        <v>230909087</v>
      </c>
      <c r="H89">
        <v>20</v>
      </c>
      <c r="I89">
        <v>8481817</v>
      </c>
      <c r="J89">
        <v>1554</v>
      </c>
      <c r="K89">
        <v>485530401.74628812</v>
      </c>
    </row>
    <row r="90" spans="1:11" x14ac:dyDescent="0.25">
      <c r="A90">
        <v>89</v>
      </c>
      <c r="B90" t="s">
        <v>187</v>
      </c>
      <c r="C90" t="s">
        <v>188</v>
      </c>
      <c r="D90">
        <v>123</v>
      </c>
      <c r="E90">
        <v>212229124.34957021</v>
      </c>
      <c r="F90">
        <v>169</v>
      </c>
      <c r="G90">
        <v>114027272</v>
      </c>
      <c r="H90">
        <v>6</v>
      </c>
      <c r="I90">
        <v>7045454</v>
      </c>
      <c r="J90">
        <v>286</v>
      </c>
      <c r="K90">
        <v>319210942.34957021</v>
      </c>
    </row>
    <row r="91" spans="1:11" x14ac:dyDescent="0.25">
      <c r="A91">
        <v>90</v>
      </c>
      <c r="B91" t="s">
        <v>189</v>
      </c>
      <c r="C91" t="s">
        <v>190</v>
      </c>
      <c r="D91">
        <v>89</v>
      </c>
      <c r="E91">
        <v>116553229.9923954</v>
      </c>
      <c r="F91">
        <v>31</v>
      </c>
      <c r="G91">
        <v>39063639</v>
      </c>
      <c r="H91">
        <v>4</v>
      </c>
      <c r="I91">
        <v>6709092</v>
      </c>
      <c r="J91">
        <v>116</v>
      </c>
      <c r="K91">
        <v>148907776.9923954</v>
      </c>
    </row>
    <row r="92" spans="1:11" x14ac:dyDescent="0.25">
      <c r="A92">
        <v>91</v>
      </c>
      <c r="B92" t="s">
        <v>191</v>
      </c>
      <c r="C92" t="s">
        <v>192</v>
      </c>
      <c r="D92">
        <v>94</v>
      </c>
      <c r="E92">
        <v>58986849.128078818</v>
      </c>
      <c r="F92">
        <v>8</v>
      </c>
      <c r="G92">
        <v>8218184</v>
      </c>
      <c r="H92">
        <v>5</v>
      </c>
      <c r="I92">
        <v>5504546</v>
      </c>
      <c r="J92">
        <v>97</v>
      </c>
      <c r="K92">
        <v>61700487.128078818</v>
      </c>
    </row>
    <row r="93" spans="1:11" x14ac:dyDescent="0.25">
      <c r="A93">
        <v>92</v>
      </c>
      <c r="B93" t="s">
        <v>193</v>
      </c>
      <c r="C93" t="s">
        <v>194</v>
      </c>
      <c r="D93">
        <v>43</v>
      </c>
      <c r="E93">
        <v>72239507.432558149</v>
      </c>
      <c r="F93">
        <v>0</v>
      </c>
      <c r="G93">
        <v>0</v>
      </c>
      <c r="H93">
        <v>2</v>
      </c>
      <c r="I93">
        <v>2654545</v>
      </c>
      <c r="J93">
        <v>41</v>
      </c>
      <c r="K93">
        <v>69584962.432558149</v>
      </c>
    </row>
    <row r="94" spans="1:11" x14ac:dyDescent="0.25">
      <c r="A94">
        <v>93</v>
      </c>
      <c r="B94" t="s">
        <v>195</v>
      </c>
      <c r="C94" t="s">
        <v>196</v>
      </c>
      <c r="D94">
        <v>537</v>
      </c>
      <c r="E94">
        <v>148517055.61556071</v>
      </c>
      <c r="F94">
        <v>30</v>
      </c>
      <c r="G94">
        <v>3909091</v>
      </c>
      <c r="H94">
        <v>19</v>
      </c>
      <c r="I94">
        <v>2281817</v>
      </c>
      <c r="J94">
        <v>548</v>
      </c>
      <c r="K94">
        <v>150144329.61556071</v>
      </c>
    </row>
    <row r="95" spans="1:11" x14ac:dyDescent="0.25">
      <c r="A95">
        <v>94</v>
      </c>
      <c r="B95" t="s">
        <v>197</v>
      </c>
      <c r="C95" t="s">
        <v>198</v>
      </c>
      <c r="D95">
        <v>28</v>
      </c>
      <c r="E95">
        <v>2968183</v>
      </c>
      <c r="F95">
        <v>4</v>
      </c>
      <c r="G95">
        <v>1236364</v>
      </c>
      <c r="H95">
        <v>0</v>
      </c>
      <c r="I95">
        <v>0</v>
      </c>
      <c r="J95">
        <v>32</v>
      </c>
      <c r="K95">
        <v>4204547</v>
      </c>
    </row>
    <row r="96" spans="1:11" x14ac:dyDescent="0.25">
      <c r="A96">
        <v>95</v>
      </c>
      <c r="B96" t="s">
        <v>199</v>
      </c>
      <c r="C96" t="s">
        <v>200</v>
      </c>
      <c r="D96">
        <v>57</v>
      </c>
      <c r="E96">
        <v>5827921.0819672132</v>
      </c>
      <c r="F96">
        <v>90</v>
      </c>
      <c r="G96">
        <v>6545455</v>
      </c>
      <c r="H96">
        <v>0</v>
      </c>
      <c r="I96">
        <v>0</v>
      </c>
      <c r="J96">
        <v>147</v>
      </c>
      <c r="K96">
        <v>12373376.08196721</v>
      </c>
    </row>
    <row r="97" spans="1:11" x14ac:dyDescent="0.25">
      <c r="A97">
        <v>96</v>
      </c>
      <c r="B97" t="s">
        <v>201</v>
      </c>
      <c r="C97" t="s">
        <v>202</v>
      </c>
      <c r="D97">
        <v>1545</v>
      </c>
      <c r="E97">
        <v>148882440.4361957</v>
      </c>
      <c r="F97">
        <v>79</v>
      </c>
      <c r="G97">
        <v>14181816</v>
      </c>
      <c r="H97">
        <v>16</v>
      </c>
      <c r="I97">
        <v>2957275</v>
      </c>
      <c r="J97">
        <v>1608</v>
      </c>
      <c r="K97">
        <v>160106981.4361957</v>
      </c>
    </row>
    <row r="98" spans="1:11" x14ac:dyDescent="0.25">
      <c r="A98">
        <v>97</v>
      </c>
      <c r="B98" t="s">
        <v>203</v>
      </c>
      <c r="C98" t="s">
        <v>204</v>
      </c>
      <c r="D98">
        <v>247</v>
      </c>
      <c r="E98">
        <v>56487990.620727673</v>
      </c>
      <c r="F98">
        <v>30</v>
      </c>
      <c r="G98">
        <v>4909091</v>
      </c>
      <c r="H98">
        <v>9</v>
      </c>
      <c r="I98">
        <v>2936365</v>
      </c>
      <c r="J98">
        <v>268</v>
      </c>
      <c r="K98">
        <v>58460716.620727673</v>
      </c>
    </row>
    <row r="99" spans="1:11" x14ac:dyDescent="0.25">
      <c r="A99">
        <v>98</v>
      </c>
      <c r="B99" t="s">
        <v>205</v>
      </c>
      <c r="C99" t="s">
        <v>206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99</v>
      </c>
      <c r="B100" t="s">
        <v>207</v>
      </c>
      <c r="C100" t="s">
        <v>208</v>
      </c>
      <c r="D100">
        <v>10</v>
      </c>
      <c r="E100">
        <v>15908150.758620691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>
        <v>3</v>
      </c>
      <c r="E101">
        <v>3583670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3583670</v>
      </c>
    </row>
    <row r="102" spans="1:11" x14ac:dyDescent="0.25">
      <c r="A102">
        <v>101</v>
      </c>
      <c r="B102" t="s">
        <v>211</v>
      </c>
      <c r="C102" t="s">
        <v>212</v>
      </c>
      <c r="D102">
        <v>134</v>
      </c>
      <c r="E102">
        <v>113312508.6692913</v>
      </c>
      <c r="F102">
        <v>64</v>
      </c>
      <c r="G102">
        <v>10923636</v>
      </c>
      <c r="H102">
        <v>2</v>
      </c>
      <c r="I102">
        <v>1745454</v>
      </c>
      <c r="J102">
        <v>196</v>
      </c>
      <c r="K102">
        <v>122490690.6692913</v>
      </c>
    </row>
    <row r="103" spans="1:11" x14ac:dyDescent="0.25">
      <c r="A103">
        <v>102</v>
      </c>
      <c r="B103" t="s">
        <v>213</v>
      </c>
      <c r="C103" t="s">
        <v>214</v>
      </c>
      <c r="D103">
        <v>2</v>
      </c>
      <c r="E103">
        <v>2309091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2309091</v>
      </c>
    </row>
    <row r="104" spans="1:11" x14ac:dyDescent="0.25">
      <c r="A104">
        <v>103</v>
      </c>
      <c r="B104" t="s">
        <v>215</v>
      </c>
      <c r="C104" t="s">
        <v>216</v>
      </c>
      <c r="D104">
        <v>2408</v>
      </c>
      <c r="E104">
        <v>246891335.46378449</v>
      </c>
      <c r="F104">
        <v>113</v>
      </c>
      <c r="G104">
        <v>13777213</v>
      </c>
      <c r="H104">
        <v>29</v>
      </c>
      <c r="I104">
        <v>2993637</v>
      </c>
      <c r="J104">
        <v>2492</v>
      </c>
      <c r="K104">
        <v>257674911.46378449</v>
      </c>
    </row>
    <row r="105" spans="1:11" x14ac:dyDescent="0.25">
      <c r="A105">
        <v>104</v>
      </c>
      <c r="B105" t="s">
        <v>217</v>
      </c>
      <c r="C105" t="s">
        <v>218</v>
      </c>
      <c r="D105">
        <v>238</v>
      </c>
      <c r="E105">
        <v>91624438.992982447</v>
      </c>
      <c r="F105">
        <v>4</v>
      </c>
      <c r="G105">
        <v>2618182</v>
      </c>
      <c r="H105">
        <v>0</v>
      </c>
      <c r="I105">
        <v>0</v>
      </c>
      <c r="J105">
        <v>242</v>
      </c>
      <c r="K105">
        <v>94242620.992982447</v>
      </c>
    </row>
    <row r="106" spans="1:11" x14ac:dyDescent="0.25">
      <c r="A106">
        <v>105</v>
      </c>
      <c r="B106" t="s">
        <v>219</v>
      </c>
      <c r="C106" t="s">
        <v>220</v>
      </c>
      <c r="D106">
        <v>1289</v>
      </c>
      <c r="E106">
        <v>269656434.69023043</v>
      </c>
      <c r="F106">
        <v>0</v>
      </c>
      <c r="G106">
        <v>0</v>
      </c>
      <c r="H106">
        <v>46</v>
      </c>
      <c r="I106">
        <v>4309994</v>
      </c>
      <c r="J106">
        <v>1243</v>
      </c>
      <c r="K106">
        <v>265346440.6902304</v>
      </c>
    </row>
    <row r="107" spans="1:11" x14ac:dyDescent="0.25">
      <c r="A107">
        <v>106</v>
      </c>
      <c r="B107" t="s">
        <v>221</v>
      </c>
      <c r="C107" t="s">
        <v>222</v>
      </c>
      <c r="D107">
        <v>251</v>
      </c>
      <c r="E107">
        <v>63681010.329129368</v>
      </c>
      <c r="F107">
        <v>70</v>
      </c>
      <c r="G107">
        <v>23541870</v>
      </c>
      <c r="H107">
        <v>52</v>
      </c>
      <c r="I107">
        <v>8390914</v>
      </c>
      <c r="J107">
        <v>269</v>
      </c>
      <c r="K107">
        <v>78831966.329129368</v>
      </c>
    </row>
    <row r="108" spans="1:11" x14ac:dyDescent="0.25">
      <c r="A108">
        <v>107</v>
      </c>
      <c r="B108" t="s">
        <v>223</v>
      </c>
      <c r="C108" t="s">
        <v>224</v>
      </c>
      <c r="D108">
        <v>1</v>
      </c>
      <c r="E108">
        <v>518484.75</v>
      </c>
      <c r="F108">
        <v>5</v>
      </c>
      <c r="G108">
        <v>2606365</v>
      </c>
      <c r="H108">
        <v>0</v>
      </c>
      <c r="I108">
        <v>0</v>
      </c>
      <c r="J108">
        <v>6</v>
      </c>
      <c r="K108">
        <v>3124849.75</v>
      </c>
    </row>
    <row r="109" spans="1:11" x14ac:dyDescent="0.25">
      <c r="A109">
        <v>108</v>
      </c>
      <c r="B109" t="s">
        <v>225</v>
      </c>
      <c r="C109" t="s">
        <v>226</v>
      </c>
      <c r="D109">
        <v>333</v>
      </c>
      <c r="E109">
        <v>84836508.850046858</v>
      </c>
      <c r="F109">
        <v>23</v>
      </c>
      <c r="G109">
        <v>4795455</v>
      </c>
      <c r="H109">
        <v>0</v>
      </c>
      <c r="I109">
        <v>0</v>
      </c>
      <c r="J109">
        <v>356</v>
      </c>
      <c r="K109">
        <v>89631963.850046858</v>
      </c>
    </row>
    <row r="110" spans="1:11" x14ac:dyDescent="0.25">
      <c r="A110">
        <v>109</v>
      </c>
      <c r="B110" t="s">
        <v>227</v>
      </c>
      <c r="C110" t="s">
        <v>228</v>
      </c>
      <c r="D110">
        <v>315</v>
      </c>
      <c r="E110">
        <v>121060210.1661891</v>
      </c>
      <c r="F110">
        <v>0</v>
      </c>
      <c r="G110">
        <v>0</v>
      </c>
      <c r="H110">
        <v>3</v>
      </c>
      <c r="I110">
        <v>490908</v>
      </c>
      <c r="J110">
        <v>312</v>
      </c>
      <c r="K110">
        <v>120569302.1661891</v>
      </c>
    </row>
    <row r="111" spans="1:11" x14ac:dyDescent="0.25">
      <c r="A111">
        <v>110</v>
      </c>
      <c r="B111" t="s">
        <v>229</v>
      </c>
      <c r="C111" t="s">
        <v>230</v>
      </c>
      <c r="D111">
        <v>27</v>
      </c>
      <c r="E111">
        <v>1892138.8936170209</v>
      </c>
      <c r="F111">
        <v>0</v>
      </c>
      <c r="G111">
        <v>0</v>
      </c>
      <c r="H111">
        <v>0</v>
      </c>
      <c r="I111">
        <v>0</v>
      </c>
      <c r="J111">
        <v>27</v>
      </c>
      <c r="K11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>
        <v>102</v>
      </c>
      <c r="E112">
        <v>49505972.259079903</v>
      </c>
      <c r="F112">
        <v>55</v>
      </c>
      <c r="G112">
        <v>22381818</v>
      </c>
      <c r="H112">
        <v>50</v>
      </c>
      <c r="I112">
        <v>26363636</v>
      </c>
      <c r="J112">
        <v>107</v>
      </c>
      <c r="K112">
        <v>45524154.259079903</v>
      </c>
    </row>
    <row r="113" spans="1:11" x14ac:dyDescent="0.25">
      <c r="A113">
        <v>112</v>
      </c>
      <c r="B113" t="s">
        <v>233</v>
      </c>
      <c r="C113" t="s">
        <v>234</v>
      </c>
      <c r="D113">
        <v>931</v>
      </c>
      <c r="E113">
        <v>317550909.39026397</v>
      </c>
      <c r="F113">
        <v>20</v>
      </c>
      <c r="G113">
        <v>14299995</v>
      </c>
      <c r="H113">
        <v>0</v>
      </c>
      <c r="I113">
        <v>0</v>
      </c>
      <c r="J113">
        <v>951</v>
      </c>
      <c r="K113">
        <v>331850904.39026397</v>
      </c>
    </row>
    <row r="114" spans="1:11" x14ac:dyDescent="0.25">
      <c r="A114">
        <v>113</v>
      </c>
      <c r="B114" t="s">
        <v>235</v>
      </c>
      <c r="C114" t="s">
        <v>236</v>
      </c>
      <c r="D114">
        <v>46</v>
      </c>
      <c r="E114">
        <v>25630149.620689649</v>
      </c>
      <c r="F114">
        <v>0</v>
      </c>
      <c r="G114">
        <v>0</v>
      </c>
      <c r="H114">
        <v>2</v>
      </c>
      <c r="I114">
        <v>1309091</v>
      </c>
      <c r="J114">
        <v>44</v>
      </c>
      <c r="K114">
        <v>24321058.620689649</v>
      </c>
    </row>
    <row r="115" spans="1:11" x14ac:dyDescent="0.25">
      <c r="A115">
        <v>114</v>
      </c>
      <c r="B115" t="s">
        <v>237</v>
      </c>
      <c r="C115" t="s">
        <v>238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115</v>
      </c>
      <c r="B116" t="s">
        <v>239</v>
      </c>
      <c r="C116" t="s">
        <v>240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116</v>
      </c>
      <c r="B117" t="s">
        <v>241</v>
      </c>
      <c r="C117" t="s">
        <v>242</v>
      </c>
      <c r="D117">
        <v>1</v>
      </c>
      <c r="E117">
        <v>2400000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2400000</v>
      </c>
    </row>
    <row r="118" spans="1:11" x14ac:dyDescent="0.25">
      <c r="A118">
        <v>117</v>
      </c>
      <c r="B118" t="s">
        <v>243</v>
      </c>
      <c r="C118" t="s">
        <v>244</v>
      </c>
      <c r="D118">
        <v>1</v>
      </c>
      <c r="E118">
        <v>2200000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2200000</v>
      </c>
    </row>
    <row r="119" spans="1:11" x14ac:dyDescent="0.25">
      <c r="A119">
        <v>118</v>
      </c>
      <c r="B119" t="s">
        <v>245</v>
      </c>
      <c r="C119" t="s">
        <v>246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t="s">
        <v>247</v>
      </c>
      <c r="C120" t="s">
        <v>248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120</v>
      </c>
      <c r="B121" t="s">
        <v>249</v>
      </c>
      <c r="C121" t="s">
        <v>250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121</v>
      </c>
      <c r="B122" t="s">
        <v>251</v>
      </c>
      <c r="C122" t="s">
        <v>252</v>
      </c>
      <c r="D122">
        <v>8</v>
      </c>
      <c r="E122">
        <v>1854545</v>
      </c>
      <c r="F122">
        <v>0</v>
      </c>
      <c r="G122">
        <v>0</v>
      </c>
      <c r="H122">
        <v>0</v>
      </c>
      <c r="I122">
        <v>0</v>
      </c>
      <c r="J122">
        <v>8</v>
      </c>
      <c r="K122">
        <v>1854545</v>
      </c>
    </row>
    <row r="123" spans="1:11" x14ac:dyDescent="0.25">
      <c r="A123">
        <v>122</v>
      </c>
      <c r="B123" t="s">
        <v>253</v>
      </c>
      <c r="C123" t="s">
        <v>254</v>
      </c>
      <c r="D123">
        <v>87</v>
      </c>
      <c r="E123">
        <v>42862333.616306961</v>
      </c>
      <c r="F123">
        <v>0</v>
      </c>
      <c r="G123">
        <v>0</v>
      </c>
      <c r="H123">
        <v>11</v>
      </c>
      <c r="I123">
        <v>3236364</v>
      </c>
      <c r="J123">
        <v>76</v>
      </c>
      <c r="K123">
        <v>39625969.616306961</v>
      </c>
    </row>
    <row r="124" spans="1:11" x14ac:dyDescent="0.25">
      <c r="A124">
        <v>123</v>
      </c>
      <c r="B124" t="s">
        <v>255</v>
      </c>
      <c r="C124" t="s">
        <v>256</v>
      </c>
      <c r="D124">
        <v>56</v>
      </c>
      <c r="E124">
        <v>30172515.84722222</v>
      </c>
      <c r="F124">
        <v>0</v>
      </c>
      <c r="G124">
        <v>0</v>
      </c>
      <c r="H124">
        <v>0</v>
      </c>
      <c r="I124">
        <v>0</v>
      </c>
      <c r="J124">
        <v>56</v>
      </c>
      <c r="K124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125</v>
      </c>
      <c r="B126" t="s">
        <v>259</v>
      </c>
      <c r="C126" t="s">
        <v>260</v>
      </c>
      <c r="D126">
        <v>612</v>
      </c>
      <c r="E126">
        <v>335413343.2321918</v>
      </c>
      <c r="F126">
        <v>35</v>
      </c>
      <c r="G126">
        <v>17513639</v>
      </c>
      <c r="H126">
        <v>11</v>
      </c>
      <c r="I126">
        <v>6327272</v>
      </c>
      <c r="J126">
        <v>636</v>
      </c>
      <c r="K126">
        <v>346599710.2321918</v>
      </c>
    </row>
    <row r="127" spans="1:11" x14ac:dyDescent="0.25">
      <c r="A127">
        <v>126</v>
      </c>
      <c r="B127" t="s">
        <v>261</v>
      </c>
      <c r="C127" t="s">
        <v>262</v>
      </c>
      <c r="D127">
        <v>6</v>
      </c>
      <c r="E127">
        <v>2703015.1428571432</v>
      </c>
      <c r="F127">
        <v>0</v>
      </c>
      <c r="G127">
        <v>0</v>
      </c>
      <c r="H127">
        <v>0</v>
      </c>
      <c r="I127">
        <v>0</v>
      </c>
      <c r="J127">
        <v>6</v>
      </c>
      <c r="K127">
        <v>2703015.1428571432</v>
      </c>
    </row>
    <row r="128" spans="1:11" x14ac:dyDescent="0.25">
      <c r="A128">
        <v>127</v>
      </c>
      <c r="B128" t="s">
        <v>263</v>
      </c>
      <c r="C128" t="s">
        <v>264</v>
      </c>
      <c r="D128">
        <v>9</v>
      </c>
      <c r="E128">
        <v>8576264.4090909101</v>
      </c>
      <c r="F128">
        <v>2</v>
      </c>
      <c r="G128">
        <v>2709091</v>
      </c>
      <c r="H128">
        <v>1</v>
      </c>
      <c r="I128">
        <v>1645454</v>
      </c>
      <c r="J128">
        <v>10</v>
      </c>
      <c r="K128">
        <v>9639901.4090909101</v>
      </c>
    </row>
    <row r="129" spans="1:11" x14ac:dyDescent="0.25">
      <c r="A129">
        <v>128</v>
      </c>
      <c r="B129" t="s">
        <v>265</v>
      </c>
      <c r="C129" t="s">
        <v>266</v>
      </c>
      <c r="D129">
        <v>16</v>
      </c>
      <c r="E129">
        <v>29299617.75</v>
      </c>
      <c r="F129">
        <v>0</v>
      </c>
      <c r="G129">
        <v>0</v>
      </c>
      <c r="H129">
        <v>0</v>
      </c>
      <c r="I129">
        <v>0</v>
      </c>
      <c r="J129">
        <v>16</v>
      </c>
      <c r="K129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130</v>
      </c>
      <c r="B131" t="s">
        <v>269</v>
      </c>
      <c r="C131" t="s">
        <v>270</v>
      </c>
      <c r="D131">
        <v>242</v>
      </c>
      <c r="E131">
        <v>145773066.5194805</v>
      </c>
      <c r="F131">
        <v>15</v>
      </c>
      <c r="G131">
        <v>15218182</v>
      </c>
      <c r="H131">
        <v>2</v>
      </c>
      <c r="I131">
        <v>3818181</v>
      </c>
      <c r="J131">
        <v>255</v>
      </c>
      <c r="K131">
        <v>157173067.5194805</v>
      </c>
    </row>
    <row r="132" spans="1:11" x14ac:dyDescent="0.25">
      <c r="A132">
        <v>131</v>
      </c>
      <c r="B132" t="s">
        <v>271</v>
      </c>
      <c r="C132" t="s">
        <v>272</v>
      </c>
      <c r="D132">
        <v>110</v>
      </c>
      <c r="E132">
        <v>13823046.7489301</v>
      </c>
      <c r="F132">
        <v>0</v>
      </c>
      <c r="G132">
        <v>0</v>
      </c>
      <c r="H132">
        <v>0</v>
      </c>
      <c r="I132">
        <v>0</v>
      </c>
      <c r="J132">
        <v>110</v>
      </c>
      <c r="K132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>
        <v>435</v>
      </c>
      <c r="E133">
        <v>102926917.7694118</v>
      </c>
      <c r="F133">
        <v>29</v>
      </c>
      <c r="G133">
        <v>6915452</v>
      </c>
      <c r="H133">
        <v>12</v>
      </c>
      <c r="I133">
        <v>2009092</v>
      </c>
      <c r="J133">
        <v>452</v>
      </c>
      <c r="K133">
        <v>107833277.7694118</v>
      </c>
    </row>
    <row r="134" spans="1:11" x14ac:dyDescent="0.25">
      <c r="A134">
        <v>133</v>
      </c>
      <c r="B134" t="s">
        <v>275</v>
      </c>
      <c r="C134" t="s">
        <v>276</v>
      </c>
      <c r="D134">
        <v>126</v>
      </c>
      <c r="E134">
        <v>37835232.084337354</v>
      </c>
      <c r="F134">
        <v>8</v>
      </c>
      <c r="G134">
        <v>5380001</v>
      </c>
      <c r="H134">
        <v>6</v>
      </c>
      <c r="I134">
        <v>3340909</v>
      </c>
      <c r="J134">
        <v>128</v>
      </c>
      <c r="K134">
        <v>39874324.084337354</v>
      </c>
    </row>
    <row r="135" spans="1:11" x14ac:dyDescent="0.25">
      <c r="A135">
        <v>134</v>
      </c>
      <c r="B135" t="s">
        <v>277</v>
      </c>
      <c r="C135" t="s">
        <v>278</v>
      </c>
      <c r="D135">
        <v>2</v>
      </c>
      <c r="E135">
        <v>358922.57142857142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>
        <v>9</v>
      </c>
      <c r="E136">
        <v>1118537.368421053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137</v>
      </c>
      <c r="B138" t="s">
        <v>283</v>
      </c>
      <c r="C138" t="s">
        <v>284</v>
      </c>
      <c r="D138">
        <v>27</v>
      </c>
      <c r="E138">
        <v>21971385.860465121</v>
      </c>
      <c r="F138">
        <v>0</v>
      </c>
      <c r="G138">
        <v>0</v>
      </c>
      <c r="H138">
        <v>0</v>
      </c>
      <c r="I138">
        <v>0</v>
      </c>
      <c r="J138">
        <v>27</v>
      </c>
      <c r="K138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t="s">
        <v>287</v>
      </c>
      <c r="C140" t="s">
        <v>288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140</v>
      </c>
      <c r="B141" t="s">
        <v>289</v>
      </c>
      <c r="C141" t="s">
        <v>290</v>
      </c>
      <c r="D141">
        <v>6</v>
      </c>
      <c r="E141">
        <v>17369354.838709679</v>
      </c>
      <c r="F141">
        <v>1</v>
      </c>
      <c r="G141">
        <v>1300000</v>
      </c>
      <c r="H141">
        <v>0</v>
      </c>
      <c r="I141">
        <v>0</v>
      </c>
      <c r="J141">
        <v>7</v>
      </c>
      <c r="K141">
        <v>18669354.838709679</v>
      </c>
    </row>
    <row r="142" spans="1:11" x14ac:dyDescent="0.25">
      <c r="A142">
        <v>141</v>
      </c>
      <c r="B142" t="s">
        <v>291</v>
      </c>
      <c r="C142" t="s">
        <v>292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142</v>
      </c>
      <c r="B143" t="s">
        <v>293</v>
      </c>
      <c r="C143" t="s">
        <v>294</v>
      </c>
      <c r="D143">
        <v>133</v>
      </c>
      <c r="E143">
        <v>33206168.115942031</v>
      </c>
      <c r="F143">
        <v>0</v>
      </c>
      <c r="G143">
        <v>0</v>
      </c>
      <c r="H143">
        <v>7</v>
      </c>
      <c r="I143">
        <v>3300000</v>
      </c>
      <c r="J143">
        <v>126</v>
      </c>
      <c r="K143">
        <v>29906168.115942031</v>
      </c>
    </row>
    <row r="144" spans="1:11" x14ac:dyDescent="0.25">
      <c r="A144">
        <v>143</v>
      </c>
      <c r="B144" t="s">
        <v>295</v>
      </c>
      <c r="C144" t="s">
        <v>296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144</v>
      </c>
      <c r="B145" t="s">
        <v>297</v>
      </c>
      <c r="C145" t="s">
        <v>298</v>
      </c>
      <c r="D145">
        <v>15</v>
      </c>
      <c r="E145">
        <v>2435955.1515151509</v>
      </c>
      <c r="F145">
        <v>0</v>
      </c>
      <c r="G145">
        <v>0</v>
      </c>
      <c r="H145">
        <v>0</v>
      </c>
      <c r="I145">
        <v>0</v>
      </c>
      <c r="J145">
        <v>15</v>
      </c>
      <c r="K145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>
        <v>1164.49</v>
      </c>
      <c r="E146">
        <v>749498761.4799999</v>
      </c>
      <c r="F146">
        <v>150.05500000000001</v>
      </c>
      <c r="G146">
        <v>84182756</v>
      </c>
      <c r="H146">
        <v>41</v>
      </c>
      <c r="I146">
        <v>77117004</v>
      </c>
      <c r="J146">
        <v>1273.5450000000001</v>
      </c>
      <c r="K146">
        <v>756564513.4799999</v>
      </c>
    </row>
    <row r="147" spans="1:11" x14ac:dyDescent="0.25">
      <c r="A147" t="s">
        <v>301</v>
      </c>
      <c r="D147">
        <v>25195.49</v>
      </c>
      <c r="E147">
        <v>21719746341.080021</v>
      </c>
      <c r="F147">
        <v>3020.0549999999998</v>
      </c>
      <c r="G147">
        <v>2204608683.8000002</v>
      </c>
      <c r="H147">
        <v>705</v>
      </c>
      <c r="I147">
        <v>1376722729</v>
      </c>
      <c r="J147">
        <v>27526.544999999998</v>
      </c>
      <c r="K147">
        <v>22712568658.88002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7"/>
  <sheetViews>
    <sheetView topLeftCell="A134" workbookViewId="0">
      <selection activeCell="A147" sqref="A147:XFD147"/>
    </sheetView>
  </sheetViews>
  <sheetFormatPr defaultRowHeight="15" x14ac:dyDescent="0.25"/>
  <cols>
    <col min="4" max="4" width="10.5703125" style="1" bestFit="1" customWidth="1"/>
    <col min="5" max="5" width="18" style="1" bestFit="1" customWidth="1"/>
    <col min="6" max="6" width="9.5703125" style="1" bestFit="1" customWidth="1"/>
    <col min="7" max="7" width="16.85546875" style="1" bestFit="1" customWidth="1"/>
    <col min="8" max="8" width="9.5703125" style="1" bestFit="1" customWidth="1"/>
    <col min="9" max="9" width="16.85546875" style="1" bestFit="1" customWidth="1"/>
    <col min="10" max="10" width="10.5703125" style="1" bestFit="1" customWidth="1"/>
    <col min="11" max="11" width="18" style="1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s="1">
        <v>2</v>
      </c>
      <c r="E2" s="1">
        <v>24589927.772727281</v>
      </c>
      <c r="F2" s="1">
        <v>0</v>
      </c>
      <c r="G2" s="1">
        <v>0</v>
      </c>
      <c r="H2" s="1">
        <v>0</v>
      </c>
      <c r="I2" s="1">
        <v>0</v>
      </c>
      <c r="J2" s="1">
        <v>2</v>
      </c>
      <c r="K2" s="1">
        <v>24589927.772727281</v>
      </c>
    </row>
    <row r="3" spans="1:11" x14ac:dyDescent="0.25">
      <c r="A3">
        <v>2</v>
      </c>
      <c r="B3" t="s">
        <v>13</v>
      </c>
      <c r="C3" t="s">
        <v>14</v>
      </c>
      <c r="D3" s="1">
        <v>14</v>
      </c>
      <c r="E3" s="1">
        <v>107138809</v>
      </c>
      <c r="F3" s="1">
        <v>0</v>
      </c>
      <c r="G3" s="1">
        <v>0</v>
      </c>
      <c r="H3" s="1">
        <v>0</v>
      </c>
      <c r="I3" s="1">
        <v>0</v>
      </c>
      <c r="J3" s="1">
        <v>14</v>
      </c>
      <c r="K3" s="1">
        <v>107138809</v>
      </c>
    </row>
    <row r="4" spans="1:11" x14ac:dyDescent="0.25">
      <c r="A4">
        <v>3</v>
      </c>
      <c r="B4" t="s">
        <v>15</v>
      </c>
      <c r="C4" t="s">
        <v>16</v>
      </c>
      <c r="D4" s="1">
        <v>216</v>
      </c>
      <c r="E4" s="1">
        <v>2207036504.201292</v>
      </c>
      <c r="F4" s="1">
        <v>0</v>
      </c>
      <c r="G4" s="1">
        <v>0</v>
      </c>
      <c r="H4" s="1">
        <v>32</v>
      </c>
      <c r="I4" s="1">
        <v>467799999</v>
      </c>
      <c r="J4" s="1">
        <v>184</v>
      </c>
      <c r="K4" s="1">
        <v>1739236505.201292</v>
      </c>
    </row>
    <row r="5" spans="1:11" x14ac:dyDescent="0.25">
      <c r="A5">
        <v>4</v>
      </c>
      <c r="B5" t="s">
        <v>17</v>
      </c>
      <c r="C5" t="s">
        <v>18</v>
      </c>
      <c r="D5" s="1">
        <v>1</v>
      </c>
      <c r="E5" s="1">
        <v>29283636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29283636</v>
      </c>
    </row>
    <row r="6" spans="1:11" x14ac:dyDescent="0.25">
      <c r="A6">
        <v>5</v>
      </c>
      <c r="B6" t="s">
        <v>19</v>
      </c>
      <c r="C6" t="s">
        <v>20</v>
      </c>
      <c r="D6" s="1">
        <v>2</v>
      </c>
      <c r="E6" s="1">
        <v>42793621.178571403</v>
      </c>
      <c r="F6" s="1">
        <v>0</v>
      </c>
      <c r="G6" s="1">
        <v>0</v>
      </c>
      <c r="H6" s="1">
        <v>0</v>
      </c>
      <c r="I6" s="1">
        <v>0</v>
      </c>
      <c r="J6" s="1">
        <v>2</v>
      </c>
      <c r="K6" s="1">
        <v>42793621.178571403</v>
      </c>
    </row>
    <row r="7" spans="1:11" x14ac:dyDescent="0.25">
      <c r="A7">
        <v>6</v>
      </c>
      <c r="B7" t="s">
        <v>21</v>
      </c>
      <c r="C7" t="s">
        <v>22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>
        <v>7</v>
      </c>
      <c r="B8" t="s">
        <v>23</v>
      </c>
      <c r="C8" t="s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>
        <v>8</v>
      </c>
      <c r="B9" t="s">
        <v>25</v>
      </c>
      <c r="C9" t="s">
        <v>26</v>
      </c>
      <c r="D9" s="1">
        <v>10</v>
      </c>
      <c r="E9" s="1">
        <v>40120814.450000003</v>
      </c>
      <c r="F9" s="1">
        <v>0</v>
      </c>
      <c r="G9" s="1">
        <v>0</v>
      </c>
      <c r="H9" s="1">
        <v>0</v>
      </c>
      <c r="I9" s="1">
        <v>0</v>
      </c>
      <c r="J9" s="1">
        <v>10</v>
      </c>
      <c r="K9" s="1">
        <v>40120814.450000003</v>
      </c>
    </row>
    <row r="10" spans="1:11" x14ac:dyDescent="0.25">
      <c r="A10">
        <v>9</v>
      </c>
      <c r="B10" t="s">
        <v>27</v>
      </c>
      <c r="C10" t="s">
        <v>28</v>
      </c>
      <c r="D10" s="1">
        <v>285</v>
      </c>
      <c r="E10" s="1">
        <v>972660039.5951941</v>
      </c>
      <c r="F10" s="1">
        <v>115</v>
      </c>
      <c r="G10" s="1">
        <v>470018182</v>
      </c>
      <c r="H10" s="1">
        <v>2</v>
      </c>
      <c r="I10" s="1">
        <v>16627273</v>
      </c>
      <c r="J10" s="1">
        <v>398</v>
      </c>
      <c r="K10" s="1">
        <v>1426050948.5951941</v>
      </c>
    </row>
    <row r="11" spans="1:11" x14ac:dyDescent="0.25">
      <c r="A11">
        <v>10</v>
      </c>
      <c r="B11" t="s">
        <v>29</v>
      </c>
      <c r="C11" t="s">
        <v>30</v>
      </c>
      <c r="D11" s="1">
        <v>3</v>
      </c>
      <c r="E11" s="1">
        <v>18961647.25</v>
      </c>
      <c r="F11" s="1">
        <v>0</v>
      </c>
      <c r="G11" s="1">
        <v>0</v>
      </c>
      <c r="H11" s="1">
        <v>0</v>
      </c>
      <c r="I11" s="1">
        <v>0</v>
      </c>
      <c r="J11" s="1">
        <v>3</v>
      </c>
      <c r="K11" s="1">
        <v>18961647.25</v>
      </c>
    </row>
    <row r="12" spans="1:11" x14ac:dyDescent="0.25">
      <c r="A12">
        <v>11</v>
      </c>
      <c r="B12" t="s">
        <v>31</v>
      </c>
      <c r="C12" t="s">
        <v>32</v>
      </c>
      <c r="D12" s="1">
        <v>345</v>
      </c>
      <c r="E12" s="1">
        <v>3934102707.2191219</v>
      </c>
      <c r="F12" s="1">
        <v>85</v>
      </c>
      <c r="G12" s="1">
        <v>1078649998</v>
      </c>
      <c r="H12" s="1">
        <v>21</v>
      </c>
      <c r="I12" s="1">
        <v>250598184</v>
      </c>
      <c r="J12" s="1">
        <v>409</v>
      </c>
      <c r="K12" s="1">
        <v>4762154521.2191219</v>
      </c>
    </row>
    <row r="13" spans="1:11" x14ac:dyDescent="0.25">
      <c r="A13">
        <v>12</v>
      </c>
      <c r="B13" t="s">
        <v>33</v>
      </c>
      <c r="C13" t="s">
        <v>34</v>
      </c>
      <c r="D13" s="1">
        <v>48</v>
      </c>
      <c r="E13" s="1">
        <v>833917870.76923084</v>
      </c>
      <c r="F13" s="1">
        <v>0</v>
      </c>
      <c r="G13" s="1">
        <v>0</v>
      </c>
      <c r="H13" s="1">
        <v>2</v>
      </c>
      <c r="I13" s="1">
        <v>36181818</v>
      </c>
      <c r="J13" s="1">
        <v>46</v>
      </c>
      <c r="K13" s="1">
        <v>797736052.76923084</v>
      </c>
    </row>
    <row r="14" spans="1:11" x14ac:dyDescent="0.25">
      <c r="A14">
        <v>13</v>
      </c>
      <c r="B14" t="s">
        <v>35</v>
      </c>
      <c r="C14" t="s">
        <v>36</v>
      </c>
      <c r="D14" s="1">
        <v>21</v>
      </c>
      <c r="E14" s="1">
        <v>371611678.28947371</v>
      </c>
      <c r="F14" s="1">
        <v>0</v>
      </c>
      <c r="G14" s="1">
        <v>0</v>
      </c>
      <c r="H14" s="1">
        <v>0</v>
      </c>
      <c r="I14" s="1">
        <v>0</v>
      </c>
      <c r="J14" s="1">
        <v>21</v>
      </c>
      <c r="K14" s="1">
        <v>371611678.28947371</v>
      </c>
    </row>
    <row r="15" spans="1:11" x14ac:dyDescent="0.25">
      <c r="A15">
        <v>14</v>
      </c>
      <c r="B15" t="s">
        <v>37</v>
      </c>
      <c r="C15" t="s">
        <v>38</v>
      </c>
      <c r="D15" s="1">
        <v>29</v>
      </c>
      <c r="E15" s="1">
        <v>365728677.93430662</v>
      </c>
      <c r="F15" s="1">
        <v>0</v>
      </c>
      <c r="G15" s="1">
        <v>0</v>
      </c>
      <c r="H15" s="1">
        <v>0</v>
      </c>
      <c r="I15" s="1">
        <v>0</v>
      </c>
      <c r="J15" s="1">
        <v>29</v>
      </c>
      <c r="K15" s="1">
        <v>365728677.93430662</v>
      </c>
    </row>
    <row r="16" spans="1:11" x14ac:dyDescent="0.25">
      <c r="A16">
        <v>15</v>
      </c>
      <c r="B16" t="s">
        <v>39</v>
      </c>
      <c r="C16" t="s">
        <v>40</v>
      </c>
      <c r="D16" s="1">
        <v>2</v>
      </c>
      <c r="E16" s="1">
        <v>78375895.104477614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v>78375895.104477614</v>
      </c>
    </row>
    <row r="17" spans="1:11" x14ac:dyDescent="0.25">
      <c r="A17">
        <v>16</v>
      </c>
      <c r="B17" t="s">
        <v>41</v>
      </c>
      <c r="C17" t="s">
        <v>42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>
        <v>17</v>
      </c>
      <c r="B18" t="s">
        <v>43</v>
      </c>
      <c r="C18" t="s">
        <v>44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>
        <v>18</v>
      </c>
      <c r="B19" t="s">
        <v>45</v>
      </c>
      <c r="C19" t="s">
        <v>46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>
        <v>19</v>
      </c>
      <c r="B20" t="s">
        <v>47</v>
      </c>
      <c r="C20" t="s">
        <v>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>
        <v>20</v>
      </c>
      <c r="B21" t="s">
        <v>49</v>
      </c>
      <c r="C21" t="s">
        <v>50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>
        <v>21</v>
      </c>
      <c r="B22" t="s">
        <v>51</v>
      </c>
      <c r="C22" t="s">
        <v>52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>
        <v>22</v>
      </c>
      <c r="B23" t="s">
        <v>53</v>
      </c>
      <c r="C23" t="s">
        <v>54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>
        <v>23</v>
      </c>
      <c r="B24" t="s">
        <v>55</v>
      </c>
      <c r="C24" t="s">
        <v>56</v>
      </c>
      <c r="D24" s="1">
        <v>0</v>
      </c>
      <c r="E24" s="1">
        <v>0</v>
      </c>
      <c r="F24" s="1">
        <v>1</v>
      </c>
      <c r="G24" s="1">
        <v>8363636</v>
      </c>
      <c r="H24" s="1">
        <v>27</v>
      </c>
      <c r="I24" s="1">
        <v>295752729</v>
      </c>
      <c r="J24" s="1">
        <v>0</v>
      </c>
      <c r="K24" s="1">
        <v>0</v>
      </c>
    </row>
    <row r="25" spans="1:11" x14ac:dyDescent="0.25">
      <c r="A25">
        <v>24</v>
      </c>
      <c r="B25" t="s">
        <v>57</v>
      </c>
      <c r="C25" t="s">
        <v>58</v>
      </c>
      <c r="D25" s="1">
        <v>279</v>
      </c>
      <c r="E25" s="1">
        <v>2297498858.361217</v>
      </c>
      <c r="F25" s="1">
        <v>44</v>
      </c>
      <c r="G25" s="1">
        <v>510090908</v>
      </c>
      <c r="H25" s="1">
        <v>24</v>
      </c>
      <c r="I25" s="1">
        <v>384054545</v>
      </c>
      <c r="J25" s="1">
        <v>299</v>
      </c>
      <c r="K25" s="1">
        <v>2423535221.361217</v>
      </c>
    </row>
    <row r="26" spans="1:11" x14ac:dyDescent="0.25">
      <c r="A26">
        <v>25</v>
      </c>
      <c r="B26" t="s">
        <v>59</v>
      </c>
      <c r="C26" t="s">
        <v>60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>
        <v>26</v>
      </c>
      <c r="B27" t="s">
        <v>61</v>
      </c>
      <c r="C27" t="s">
        <v>62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>
        <v>27</v>
      </c>
      <c r="B28" t="s">
        <v>63</v>
      </c>
      <c r="C28" t="s">
        <v>64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>
        <v>28</v>
      </c>
      <c r="B29" t="s">
        <v>65</v>
      </c>
      <c r="C29" t="s">
        <v>66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>
        <v>29</v>
      </c>
      <c r="B30" t="s">
        <v>67</v>
      </c>
      <c r="C30" t="s">
        <v>68</v>
      </c>
      <c r="D30" s="1">
        <v>6</v>
      </c>
      <c r="E30" s="1">
        <v>67213777.307692319</v>
      </c>
      <c r="F30" s="1">
        <v>0</v>
      </c>
      <c r="G30" s="1">
        <v>0</v>
      </c>
      <c r="H30" s="1">
        <v>0</v>
      </c>
      <c r="I30" s="1">
        <v>0</v>
      </c>
      <c r="J30" s="1">
        <v>6</v>
      </c>
      <c r="K30" s="1">
        <v>67213777.307692319</v>
      </c>
    </row>
    <row r="31" spans="1:11" x14ac:dyDescent="0.25">
      <c r="A31">
        <v>30</v>
      </c>
      <c r="B31" t="s">
        <v>69</v>
      </c>
      <c r="C31" t="s">
        <v>70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>
        <v>31</v>
      </c>
      <c r="B32" t="s">
        <v>71</v>
      </c>
      <c r="C32" t="s">
        <v>72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>
        <v>32</v>
      </c>
      <c r="B33" t="s">
        <v>73</v>
      </c>
      <c r="C33" t="s">
        <v>74</v>
      </c>
      <c r="D33" s="1">
        <v>5</v>
      </c>
      <c r="E33" s="1">
        <v>25627439.5</v>
      </c>
      <c r="F33" s="1">
        <v>0</v>
      </c>
      <c r="G33" s="1">
        <v>0</v>
      </c>
      <c r="H33" s="1">
        <v>0</v>
      </c>
      <c r="I33" s="1">
        <v>0</v>
      </c>
      <c r="J33" s="1">
        <v>5</v>
      </c>
      <c r="K33" s="1">
        <v>25627439.5</v>
      </c>
    </row>
    <row r="34" spans="1:11" x14ac:dyDescent="0.25">
      <c r="A34">
        <v>33</v>
      </c>
      <c r="B34" t="s">
        <v>75</v>
      </c>
      <c r="C34" t="s">
        <v>76</v>
      </c>
      <c r="D34" s="1">
        <v>48</v>
      </c>
      <c r="E34" s="1">
        <v>95086175.183266938</v>
      </c>
      <c r="F34" s="1">
        <v>2</v>
      </c>
      <c r="G34" s="1">
        <v>3818182</v>
      </c>
      <c r="H34" s="1">
        <v>2</v>
      </c>
      <c r="I34" s="1">
        <v>4163636</v>
      </c>
      <c r="J34" s="1">
        <v>48</v>
      </c>
      <c r="K34" s="1">
        <v>94740721.183266938</v>
      </c>
    </row>
    <row r="35" spans="1:11" x14ac:dyDescent="0.25">
      <c r="A35">
        <v>34</v>
      </c>
      <c r="B35" t="s">
        <v>77</v>
      </c>
      <c r="C35" t="s">
        <v>78</v>
      </c>
      <c r="D35" s="1">
        <v>648</v>
      </c>
      <c r="E35" s="1">
        <v>1252592763.553802</v>
      </c>
      <c r="F35" s="1">
        <v>37</v>
      </c>
      <c r="G35" s="1">
        <v>98263635</v>
      </c>
      <c r="H35" s="1">
        <v>16</v>
      </c>
      <c r="I35" s="1">
        <v>33963634</v>
      </c>
      <c r="J35" s="1">
        <v>669</v>
      </c>
      <c r="K35" s="1">
        <v>1316892764.553802</v>
      </c>
    </row>
    <row r="36" spans="1:11" x14ac:dyDescent="0.25">
      <c r="A36">
        <v>35</v>
      </c>
      <c r="B36" t="s">
        <v>79</v>
      </c>
      <c r="C36" t="s">
        <v>80</v>
      </c>
      <c r="D36" s="1">
        <v>17</v>
      </c>
      <c r="E36" s="1">
        <v>43508071.021276593</v>
      </c>
      <c r="F36" s="1">
        <v>0</v>
      </c>
      <c r="G36" s="1">
        <v>0</v>
      </c>
      <c r="H36" s="1">
        <v>0</v>
      </c>
      <c r="I36" s="1">
        <v>0</v>
      </c>
      <c r="J36" s="1">
        <v>17</v>
      </c>
      <c r="K36" s="1">
        <v>43508071.021276593</v>
      </c>
    </row>
    <row r="37" spans="1:11" x14ac:dyDescent="0.25">
      <c r="A37">
        <v>36</v>
      </c>
      <c r="B37" t="s">
        <v>81</v>
      </c>
      <c r="C37" t="s">
        <v>82</v>
      </c>
      <c r="D37" s="1">
        <v>19</v>
      </c>
      <c r="E37" s="1">
        <v>91319472.196428597</v>
      </c>
      <c r="F37" s="1">
        <v>6</v>
      </c>
      <c r="G37" s="1">
        <v>9327273</v>
      </c>
      <c r="H37" s="1">
        <v>1</v>
      </c>
      <c r="I37" s="1">
        <v>1736364</v>
      </c>
      <c r="J37" s="1">
        <v>24</v>
      </c>
      <c r="K37" s="1">
        <v>98910381.196428597</v>
      </c>
    </row>
    <row r="38" spans="1:11" x14ac:dyDescent="0.25">
      <c r="A38">
        <v>37</v>
      </c>
      <c r="B38" t="s">
        <v>83</v>
      </c>
      <c r="C38" t="s">
        <v>84</v>
      </c>
      <c r="D38" s="1">
        <v>1</v>
      </c>
      <c r="E38" s="1">
        <v>4336364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4336364</v>
      </c>
    </row>
    <row r="39" spans="1:11" x14ac:dyDescent="0.25">
      <c r="A39">
        <v>38</v>
      </c>
      <c r="B39" t="s">
        <v>85</v>
      </c>
      <c r="C39" t="s">
        <v>86</v>
      </c>
      <c r="D39" s="1">
        <v>127</v>
      </c>
      <c r="E39" s="1">
        <v>334038595.38106239</v>
      </c>
      <c r="F39" s="1">
        <v>10</v>
      </c>
      <c r="G39" s="1">
        <v>37945455</v>
      </c>
      <c r="H39" s="1">
        <v>0</v>
      </c>
      <c r="I39" s="1">
        <v>0</v>
      </c>
      <c r="J39" s="1">
        <v>137</v>
      </c>
      <c r="K39" s="1">
        <v>371984050.38106239</v>
      </c>
    </row>
    <row r="40" spans="1:11" x14ac:dyDescent="0.25">
      <c r="A40">
        <v>39</v>
      </c>
      <c r="B40" t="s">
        <v>87</v>
      </c>
      <c r="C40" t="s">
        <v>88</v>
      </c>
      <c r="D40" s="1">
        <v>10</v>
      </c>
      <c r="E40" s="1">
        <v>51843434.777777784</v>
      </c>
      <c r="F40" s="1">
        <v>0</v>
      </c>
      <c r="G40" s="1">
        <v>0</v>
      </c>
      <c r="H40" s="1">
        <v>0</v>
      </c>
      <c r="I40" s="1">
        <v>0</v>
      </c>
      <c r="J40" s="1">
        <v>10</v>
      </c>
      <c r="K40" s="1">
        <v>51843434.777777784</v>
      </c>
    </row>
    <row r="41" spans="1:11" x14ac:dyDescent="0.25">
      <c r="A41">
        <v>40</v>
      </c>
      <c r="B41" t="s">
        <v>89</v>
      </c>
      <c r="C41" t="s">
        <v>90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>
        <v>41</v>
      </c>
      <c r="B42" t="s">
        <v>91</v>
      </c>
      <c r="C42" t="s">
        <v>92</v>
      </c>
      <c r="D42" s="1">
        <v>1178</v>
      </c>
      <c r="E42" s="1">
        <v>9774550</v>
      </c>
      <c r="F42" s="1">
        <v>58</v>
      </c>
      <c r="G42" s="1">
        <v>94709088</v>
      </c>
      <c r="H42" s="1">
        <v>21</v>
      </c>
      <c r="I42" s="1">
        <v>94254546</v>
      </c>
      <c r="J42" s="1">
        <v>1215</v>
      </c>
      <c r="K42" s="1">
        <v>10229092</v>
      </c>
    </row>
    <row r="43" spans="1:11" x14ac:dyDescent="0.25">
      <c r="A43">
        <v>42</v>
      </c>
      <c r="B43" t="s">
        <v>93</v>
      </c>
      <c r="C43" t="s">
        <v>94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x14ac:dyDescent="0.25">
      <c r="A44">
        <v>43</v>
      </c>
      <c r="B44" t="s">
        <v>95</v>
      </c>
      <c r="C44" t="s">
        <v>96</v>
      </c>
      <c r="D44" s="1">
        <v>482</v>
      </c>
      <c r="E44" s="1">
        <v>1374783824.4247439</v>
      </c>
      <c r="F44" s="1">
        <v>204</v>
      </c>
      <c r="G44" s="1">
        <v>659366589</v>
      </c>
      <c r="H44" s="1">
        <v>127</v>
      </c>
      <c r="I44" s="1">
        <v>388386342</v>
      </c>
      <c r="J44" s="1">
        <v>559</v>
      </c>
      <c r="K44" s="1">
        <v>1645764071.4247439</v>
      </c>
    </row>
    <row r="45" spans="1:11" x14ac:dyDescent="0.25">
      <c r="A45">
        <v>44</v>
      </c>
      <c r="B45" t="s">
        <v>97</v>
      </c>
      <c r="C45" t="s">
        <v>98</v>
      </c>
      <c r="D45" s="1">
        <v>66</v>
      </c>
      <c r="E45" s="1">
        <v>254323162.79297301</v>
      </c>
      <c r="F45" s="1">
        <v>58</v>
      </c>
      <c r="G45" s="1">
        <v>286811093</v>
      </c>
      <c r="H45" s="1">
        <v>9</v>
      </c>
      <c r="I45" s="1">
        <v>31227272</v>
      </c>
      <c r="J45" s="1">
        <v>115</v>
      </c>
      <c r="K45" s="1">
        <v>509906983.79297298</v>
      </c>
    </row>
    <row r="46" spans="1:11" x14ac:dyDescent="0.25">
      <c r="A46">
        <v>45</v>
      </c>
      <c r="B46" t="s">
        <v>99</v>
      </c>
      <c r="C46" t="s">
        <v>100</v>
      </c>
      <c r="D46" s="1">
        <v>297</v>
      </c>
      <c r="E46" s="1">
        <v>89236846.632571429</v>
      </c>
      <c r="F46" s="1">
        <v>10</v>
      </c>
      <c r="G46" s="1">
        <v>8025091</v>
      </c>
      <c r="H46" s="1">
        <v>2</v>
      </c>
      <c r="I46" s="1">
        <v>872728</v>
      </c>
      <c r="J46" s="1">
        <v>305</v>
      </c>
      <c r="K46" s="1">
        <v>96389209.632571429</v>
      </c>
    </row>
    <row r="47" spans="1:11" x14ac:dyDescent="0.25">
      <c r="A47">
        <v>46</v>
      </c>
      <c r="B47" t="s">
        <v>101</v>
      </c>
      <c r="C47" t="s">
        <v>102</v>
      </c>
      <c r="D47" s="1">
        <v>146</v>
      </c>
      <c r="E47" s="1">
        <v>249917868.92567381</v>
      </c>
      <c r="F47" s="1">
        <v>5</v>
      </c>
      <c r="G47" s="1">
        <v>26209090</v>
      </c>
      <c r="H47" s="1">
        <v>3</v>
      </c>
      <c r="I47" s="1">
        <v>17699999</v>
      </c>
      <c r="J47" s="1">
        <v>148</v>
      </c>
      <c r="K47" s="1">
        <v>258426959.92567381</v>
      </c>
    </row>
    <row r="48" spans="1:11" x14ac:dyDescent="0.25">
      <c r="A48">
        <v>47</v>
      </c>
      <c r="B48" t="s">
        <v>103</v>
      </c>
      <c r="C48" t="s">
        <v>104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>
        <v>48</v>
      </c>
      <c r="B49" t="s">
        <v>105</v>
      </c>
      <c r="C49" t="s">
        <v>106</v>
      </c>
      <c r="D49" s="1">
        <v>35</v>
      </c>
      <c r="E49" s="1">
        <v>198619524.96224141</v>
      </c>
      <c r="F49" s="1">
        <v>5</v>
      </c>
      <c r="G49" s="1">
        <v>75239726</v>
      </c>
      <c r="H49" s="1">
        <v>5</v>
      </c>
      <c r="I49" s="1">
        <v>44200000</v>
      </c>
      <c r="J49" s="1">
        <v>35</v>
      </c>
      <c r="K49" s="1">
        <v>229659250.96224141</v>
      </c>
    </row>
    <row r="50" spans="1:11" x14ac:dyDescent="0.25">
      <c r="A50">
        <v>49</v>
      </c>
      <c r="B50" t="s">
        <v>107</v>
      </c>
      <c r="C50" t="s">
        <v>108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>
        <v>50</v>
      </c>
      <c r="B51" t="s">
        <v>109</v>
      </c>
      <c r="C51" t="s">
        <v>110</v>
      </c>
      <c r="D51" s="1">
        <v>5</v>
      </c>
      <c r="E51" s="1">
        <v>254228.19999999931</v>
      </c>
      <c r="F51" s="1">
        <v>0</v>
      </c>
      <c r="G51" s="1">
        <v>0</v>
      </c>
      <c r="H51" s="1">
        <v>0</v>
      </c>
      <c r="I51" s="1">
        <v>0</v>
      </c>
      <c r="J51" s="1">
        <v>5</v>
      </c>
      <c r="K51" s="1">
        <v>254228.19999999931</v>
      </c>
    </row>
    <row r="52" spans="1:11" x14ac:dyDescent="0.25">
      <c r="A52">
        <v>51</v>
      </c>
      <c r="B52" t="s">
        <v>111</v>
      </c>
      <c r="C52" t="s">
        <v>112</v>
      </c>
      <c r="D52" s="1">
        <v>101</v>
      </c>
      <c r="E52" s="1">
        <v>162914324.06693879</v>
      </c>
      <c r="F52" s="1">
        <v>2</v>
      </c>
      <c r="G52" s="1">
        <v>7037036</v>
      </c>
      <c r="H52" s="1">
        <v>72</v>
      </c>
      <c r="I52" s="1">
        <v>106759260</v>
      </c>
      <c r="J52" s="1">
        <v>31</v>
      </c>
      <c r="K52" s="1">
        <v>63192100.066938758</v>
      </c>
    </row>
    <row r="53" spans="1:11" x14ac:dyDescent="0.25">
      <c r="A53">
        <v>52</v>
      </c>
      <c r="B53" t="s">
        <v>113</v>
      </c>
      <c r="C53" t="s">
        <v>114</v>
      </c>
      <c r="D53" s="1">
        <v>3</v>
      </c>
      <c r="E53" s="1">
        <v>5580000</v>
      </c>
      <c r="F53" s="1">
        <v>0</v>
      </c>
      <c r="G53" s="1">
        <v>0</v>
      </c>
      <c r="H53" s="1">
        <v>0</v>
      </c>
      <c r="I53" s="1">
        <v>0</v>
      </c>
      <c r="J53" s="1">
        <v>3</v>
      </c>
      <c r="K53" s="1">
        <v>5580000</v>
      </c>
    </row>
    <row r="54" spans="1:11" x14ac:dyDescent="0.25">
      <c r="A54">
        <v>53</v>
      </c>
      <c r="B54" t="s">
        <v>115</v>
      </c>
      <c r="C54" t="s">
        <v>116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>
        <v>54</v>
      </c>
      <c r="B55" t="s">
        <v>117</v>
      </c>
      <c r="C55" t="s">
        <v>118</v>
      </c>
      <c r="D55" s="1">
        <v>94</v>
      </c>
      <c r="E55" s="1">
        <v>116858897.172702</v>
      </c>
      <c r="F55" s="1">
        <v>4</v>
      </c>
      <c r="G55" s="1">
        <v>24881818</v>
      </c>
      <c r="H55" s="1">
        <v>5</v>
      </c>
      <c r="I55" s="1">
        <v>27154546</v>
      </c>
      <c r="J55" s="1">
        <v>93</v>
      </c>
      <c r="K55" s="1">
        <v>114586169.172702</v>
      </c>
    </row>
    <row r="56" spans="1:11" x14ac:dyDescent="0.25">
      <c r="A56">
        <v>55</v>
      </c>
      <c r="B56" t="s">
        <v>119</v>
      </c>
      <c r="C56" t="s">
        <v>120</v>
      </c>
      <c r="D56" s="1">
        <v>33</v>
      </c>
      <c r="E56" s="1">
        <v>6369640.4915254228</v>
      </c>
      <c r="F56" s="1">
        <v>1</v>
      </c>
      <c r="G56" s="1">
        <v>1805556</v>
      </c>
      <c r="H56" s="1">
        <v>2</v>
      </c>
      <c r="I56" s="1">
        <v>3222223</v>
      </c>
      <c r="J56" s="1">
        <v>32</v>
      </c>
      <c r="K56" s="1">
        <v>4952973.4915254228</v>
      </c>
    </row>
    <row r="57" spans="1:11" x14ac:dyDescent="0.25">
      <c r="A57">
        <v>56</v>
      </c>
      <c r="B57" t="s">
        <v>121</v>
      </c>
      <c r="C57" t="s">
        <v>122</v>
      </c>
      <c r="D57" s="1">
        <v>5</v>
      </c>
      <c r="E57" s="1">
        <v>15151110.180769229</v>
      </c>
      <c r="F57" s="1">
        <v>1</v>
      </c>
      <c r="G57" s="1">
        <v>2750000</v>
      </c>
      <c r="H57" s="1">
        <v>0</v>
      </c>
      <c r="I57" s="1">
        <v>0</v>
      </c>
      <c r="J57" s="1">
        <v>6</v>
      </c>
      <c r="K57" s="1">
        <v>17901110.180769231</v>
      </c>
    </row>
    <row r="58" spans="1:11" x14ac:dyDescent="0.25">
      <c r="A58">
        <v>57</v>
      </c>
      <c r="B58" t="s">
        <v>123</v>
      </c>
      <c r="C58" t="s">
        <v>124</v>
      </c>
      <c r="D58" s="1">
        <v>2</v>
      </c>
      <c r="E58" s="1">
        <v>1829966.11</v>
      </c>
      <c r="F58" s="1">
        <v>0</v>
      </c>
      <c r="G58" s="1">
        <v>0</v>
      </c>
      <c r="H58" s="1">
        <v>0</v>
      </c>
      <c r="I58" s="1">
        <v>0</v>
      </c>
      <c r="J58" s="1">
        <v>2</v>
      </c>
      <c r="K58" s="1">
        <v>1829966.11</v>
      </c>
    </row>
    <row r="59" spans="1:11" x14ac:dyDescent="0.25">
      <c r="A59">
        <v>58</v>
      </c>
      <c r="B59" t="s">
        <v>125</v>
      </c>
      <c r="C59" t="s">
        <v>126</v>
      </c>
      <c r="D59" s="1">
        <v>4174</v>
      </c>
      <c r="E59" s="1">
        <v>278526051.36559761</v>
      </c>
      <c r="F59" s="1">
        <v>382</v>
      </c>
      <c r="G59" s="1">
        <v>36062718</v>
      </c>
      <c r="H59" s="1">
        <v>392</v>
      </c>
      <c r="I59" s="1">
        <v>54086436</v>
      </c>
      <c r="J59" s="1">
        <v>4164</v>
      </c>
      <c r="K59" s="1">
        <v>260502333.36559761</v>
      </c>
    </row>
    <row r="60" spans="1:11" x14ac:dyDescent="0.25">
      <c r="A60">
        <v>59</v>
      </c>
      <c r="B60" t="s">
        <v>127</v>
      </c>
      <c r="C60" t="s">
        <v>128</v>
      </c>
      <c r="D60" s="1">
        <v>85</v>
      </c>
      <c r="E60" s="1">
        <v>2800275.6822262122</v>
      </c>
      <c r="F60" s="1">
        <v>10</v>
      </c>
      <c r="G60" s="1">
        <v>709100</v>
      </c>
      <c r="H60" s="1">
        <v>1</v>
      </c>
      <c r="I60" s="1">
        <v>154545</v>
      </c>
      <c r="J60" s="1">
        <v>94</v>
      </c>
      <c r="K60" s="1">
        <v>3354830.6822262122</v>
      </c>
    </row>
    <row r="61" spans="1:11" x14ac:dyDescent="0.25">
      <c r="A61">
        <v>60</v>
      </c>
      <c r="B61" t="s">
        <v>129</v>
      </c>
      <c r="C61" t="s">
        <v>130</v>
      </c>
      <c r="D61" s="1">
        <v>16</v>
      </c>
      <c r="E61" s="1">
        <v>0</v>
      </c>
      <c r="F61" s="1">
        <v>11</v>
      </c>
      <c r="G61" s="1">
        <v>1100000</v>
      </c>
      <c r="H61" s="1">
        <v>0</v>
      </c>
      <c r="I61" s="1">
        <v>0</v>
      </c>
      <c r="J61" s="1">
        <v>27</v>
      </c>
      <c r="K61" s="1">
        <v>1100000</v>
      </c>
    </row>
    <row r="62" spans="1:11" x14ac:dyDescent="0.25">
      <c r="A62">
        <v>61</v>
      </c>
      <c r="B62" t="s">
        <v>131</v>
      </c>
      <c r="C62" t="s">
        <v>132</v>
      </c>
      <c r="D62" s="1">
        <v>2183</v>
      </c>
      <c r="E62" s="1">
        <v>226761518.8789579</v>
      </c>
      <c r="F62" s="1">
        <v>0</v>
      </c>
      <c r="G62" s="1">
        <v>0</v>
      </c>
      <c r="H62" s="1">
        <v>14</v>
      </c>
      <c r="I62" s="1">
        <v>4759087</v>
      </c>
      <c r="J62" s="1">
        <v>2169</v>
      </c>
      <c r="K62" s="1">
        <v>222002431.8789579</v>
      </c>
    </row>
    <row r="63" spans="1:11" x14ac:dyDescent="0.25">
      <c r="A63">
        <v>62</v>
      </c>
      <c r="B63" t="s">
        <v>133</v>
      </c>
      <c r="C63" t="s">
        <v>134</v>
      </c>
      <c r="D63" s="1">
        <v>363</v>
      </c>
      <c r="E63" s="1">
        <v>69206997.711580485</v>
      </c>
      <c r="F63" s="1">
        <v>880</v>
      </c>
      <c r="G63" s="1">
        <v>155390909</v>
      </c>
      <c r="H63" s="1">
        <v>204</v>
      </c>
      <c r="I63" s="1">
        <v>37545454</v>
      </c>
      <c r="J63" s="1">
        <v>1039</v>
      </c>
      <c r="K63" s="1">
        <v>187052452.71158049</v>
      </c>
    </row>
    <row r="64" spans="1:11" x14ac:dyDescent="0.25">
      <c r="A64">
        <v>63</v>
      </c>
      <c r="B64" t="s">
        <v>135</v>
      </c>
      <c r="C64" t="s">
        <v>136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x14ac:dyDescent="0.25">
      <c r="A65">
        <v>64</v>
      </c>
      <c r="B65" t="s">
        <v>137</v>
      </c>
      <c r="C65" t="s">
        <v>138</v>
      </c>
      <c r="D65" s="1">
        <v>16</v>
      </c>
      <c r="E65" s="1">
        <v>5701680.4511235952</v>
      </c>
      <c r="F65" s="1">
        <v>0</v>
      </c>
      <c r="G65" s="1">
        <v>0</v>
      </c>
      <c r="H65" s="1">
        <v>0</v>
      </c>
      <c r="I65" s="1">
        <v>0</v>
      </c>
      <c r="J65" s="1">
        <v>16</v>
      </c>
      <c r="K65" s="1">
        <v>5701680.4511235952</v>
      </c>
    </row>
    <row r="66" spans="1:11" x14ac:dyDescent="0.25">
      <c r="A66">
        <v>65</v>
      </c>
      <c r="B66" t="s">
        <v>139</v>
      </c>
      <c r="C66" t="s">
        <v>140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25">
      <c r="A67">
        <v>66</v>
      </c>
      <c r="B67" t="s">
        <v>141</v>
      </c>
      <c r="C67" t="s">
        <v>142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x14ac:dyDescent="0.25">
      <c r="A68">
        <v>67</v>
      </c>
      <c r="B68" t="s">
        <v>143</v>
      </c>
      <c r="C68" t="s">
        <v>144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x14ac:dyDescent="0.25">
      <c r="A69">
        <v>68</v>
      </c>
      <c r="B69" t="s">
        <v>145</v>
      </c>
      <c r="C69" t="s">
        <v>146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x14ac:dyDescent="0.25">
      <c r="A70">
        <v>69</v>
      </c>
      <c r="B70" t="s">
        <v>147</v>
      </c>
      <c r="C70" t="s">
        <v>148</v>
      </c>
      <c r="D70" s="1">
        <v>189</v>
      </c>
      <c r="E70" s="1">
        <v>50376380.665112101</v>
      </c>
      <c r="F70" s="1">
        <v>50</v>
      </c>
      <c r="G70" s="1">
        <v>27777273</v>
      </c>
      <c r="H70" s="1">
        <v>1</v>
      </c>
      <c r="I70" s="1">
        <v>618182</v>
      </c>
      <c r="J70" s="1">
        <v>238</v>
      </c>
      <c r="K70" s="1">
        <v>77535471.665112108</v>
      </c>
    </row>
    <row r="71" spans="1:11" x14ac:dyDescent="0.25">
      <c r="A71">
        <v>70</v>
      </c>
      <c r="B71" t="s">
        <v>149</v>
      </c>
      <c r="C71" t="s">
        <v>150</v>
      </c>
      <c r="D71" s="1">
        <v>4</v>
      </c>
      <c r="E71" s="1">
        <v>697428.16000000015</v>
      </c>
      <c r="F71" s="1">
        <v>5</v>
      </c>
      <c r="G71" s="1">
        <v>40000</v>
      </c>
      <c r="H71" s="1">
        <v>0</v>
      </c>
      <c r="I71" s="1">
        <v>0</v>
      </c>
      <c r="J71" s="1">
        <v>9</v>
      </c>
      <c r="K71" s="1">
        <v>737428.16000000015</v>
      </c>
    </row>
    <row r="72" spans="1:11" x14ac:dyDescent="0.25">
      <c r="A72">
        <v>71</v>
      </c>
      <c r="B72" t="s">
        <v>151</v>
      </c>
      <c r="C72" t="s">
        <v>152</v>
      </c>
      <c r="D72" s="1">
        <v>0</v>
      </c>
      <c r="E72" s="1">
        <v>290909.59999999992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290909.59999999992</v>
      </c>
    </row>
    <row r="73" spans="1:11" x14ac:dyDescent="0.25">
      <c r="A73">
        <v>72</v>
      </c>
      <c r="B73" t="s">
        <v>153</v>
      </c>
      <c r="C73" t="s">
        <v>154</v>
      </c>
      <c r="D73" s="1">
        <v>100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100</v>
      </c>
      <c r="K73" s="1">
        <v>0</v>
      </c>
    </row>
    <row r="74" spans="1:11" x14ac:dyDescent="0.25">
      <c r="A74">
        <v>73</v>
      </c>
      <c r="B74" t="s">
        <v>155</v>
      </c>
      <c r="C74" t="s">
        <v>156</v>
      </c>
      <c r="D74" s="1">
        <v>145</v>
      </c>
      <c r="E74" s="1">
        <v>328176024.07878792</v>
      </c>
      <c r="F74" s="1">
        <v>0</v>
      </c>
      <c r="G74" s="1">
        <v>0</v>
      </c>
      <c r="H74" s="1">
        <v>1</v>
      </c>
      <c r="I74" s="1">
        <v>2045455</v>
      </c>
      <c r="J74" s="1">
        <v>144</v>
      </c>
      <c r="K74" s="1">
        <v>326130569.07878792</v>
      </c>
    </row>
    <row r="75" spans="1:11" x14ac:dyDescent="0.25">
      <c r="A75">
        <v>74</v>
      </c>
      <c r="B75" t="s">
        <v>157</v>
      </c>
      <c r="C75" t="s">
        <v>158</v>
      </c>
      <c r="D75" s="1">
        <v>127</v>
      </c>
      <c r="E75" s="1">
        <v>380760137.75098813</v>
      </c>
      <c r="F75" s="1">
        <v>0</v>
      </c>
      <c r="G75" s="1">
        <v>0</v>
      </c>
      <c r="H75" s="1">
        <v>0</v>
      </c>
      <c r="I75" s="1">
        <v>0</v>
      </c>
      <c r="J75" s="1">
        <v>127</v>
      </c>
      <c r="K75" s="1">
        <v>380760137.75098813</v>
      </c>
    </row>
    <row r="76" spans="1:11" x14ac:dyDescent="0.25">
      <c r="A76">
        <v>75</v>
      </c>
      <c r="B76" t="s">
        <v>159</v>
      </c>
      <c r="C76" t="s">
        <v>160</v>
      </c>
      <c r="D76" s="1">
        <v>5</v>
      </c>
      <c r="E76" s="1">
        <v>26539183.875</v>
      </c>
      <c r="F76" s="1">
        <v>0</v>
      </c>
      <c r="G76" s="1">
        <v>0</v>
      </c>
      <c r="H76" s="1">
        <v>0</v>
      </c>
      <c r="I76" s="1">
        <v>0</v>
      </c>
      <c r="J76" s="1">
        <v>5</v>
      </c>
      <c r="K76" s="1">
        <v>26539183.875</v>
      </c>
    </row>
    <row r="77" spans="1:11" x14ac:dyDescent="0.25">
      <c r="A77">
        <v>76</v>
      </c>
      <c r="B77" t="s">
        <v>161</v>
      </c>
      <c r="C77" t="s">
        <v>162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25">
      <c r="A78">
        <v>77</v>
      </c>
      <c r="B78" t="s">
        <v>163</v>
      </c>
      <c r="C78" t="s">
        <v>164</v>
      </c>
      <c r="D78" s="1">
        <v>175</v>
      </c>
      <c r="E78" s="1">
        <v>261123349.59605911</v>
      </c>
      <c r="F78" s="1">
        <v>0</v>
      </c>
      <c r="G78" s="1">
        <v>0</v>
      </c>
      <c r="H78" s="1">
        <v>22</v>
      </c>
      <c r="I78" s="1">
        <v>31436366</v>
      </c>
      <c r="J78" s="1">
        <v>153</v>
      </c>
      <c r="K78" s="1">
        <v>229686983.59605911</v>
      </c>
    </row>
    <row r="79" spans="1:11" x14ac:dyDescent="0.25">
      <c r="A79">
        <v>78</v>
      </c>
      <c r="B79" t="s">
        <v>165</v>
      </c>
      <c r="C79" t="s">
        <v>166</v>
      </c>
      <c r="D79" s="1">
        <v>13</v>
      </c>
      <c r="E79" s="1">
        <v>31720934</v>
      </c>
      <c r="F79" s="1">
        <v>0</v>
      </c>
      <c r="G79" s="1">
        <v>0</v>
      </c>
      <c r="H79" s="1">
        <v>0</v>
      </c>
      <c r="I79" s="1">
        <v>0</v>
      </c>
      <c r="J79" s="1">
        <v>13</v>
      </c>
      <c r="K79" s="1">
        <v>31720934</v>
      </c>
    </row>
    <row r="80" spans="1:11" x14ac:dyDescent="0.25">
      <c r="A80">
        <v>79</v>
      </c>
      <c r="B80" t="s">
        <v>167</v>
      </c>
      <c r="C80" t="s">
        <v>168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5">
      <c r="A81">
        <v>80</v>
      </c>
      <c r="B81" t="s">
        <v>169</v>
      </c>
      <c r="C81" t="s">
        <v>170</v>
      </c>
      <c r="D81" s="1">
        <v>725</v>
      </c>
      <c r="E81" s="1">
        <v>220464903.62329009</v>
      </c>
      <c r="F81" s="1">
        <v>0</v>
      </c>
      <c r="G81" s="1">
        <v>0</v>
      </c>
      <c r="H81" s="1">
        <v>45</v>
      </c>
      <c r="I81" s="1">
        <v>13809088</v>
      </c>
      <c r="J81" s="1">
        <v>680</v>
      </c>
      <c r="K81" s="1">
        <v>206655815.62329009</v>
      </c>
    </row>
    <row r="82" spans="1:11" x14ac:dyDescent="0.25">
      <c r="A82">
        <v>81</v>
      </c>
      <c r="B82" t="s">
        <v>171</v>
      </c>
      <c r="C82" t="s">
        <v>172</v>
      </c>
      <c r="D82" s="1">
        <v>224</v>
      </c>
      <c r="E82" s="1">
        <v>201307582.11730209</v>
      </c>
      <c r="F82" s="1">
        <v>0</v>
      </c>
      <c r="G82" s="1">
        <v>0</v>
      </c>
      <c r="H82" s="1">
        <v>1</v>
      </c>
      <c r="I82" s="1">
        <v>545454</v>
      </c>
      <c r="J82" s="1">
        <v>223</v>
      </c>
      <c r="K82" s="1">
        <v>200762128.11730209</v>
      </c>
    </row>
    <row r="83" spans="1:11" x14ac:dyDescent="0.25">
      <c r="A83">
        <v>82</v>
      </c>
      <c r="B83" t="s">
        <v>173</v>
      </c>
      <c r="C83" t="s">
        <v>174</v>
      </c>
      <c r="D83" s="1">
        <v>101</v>
      </c>
      <c r="E83" s="1">
        <v>97363561.202380955</v>
      </c>
      <c r="F83" s="1">
        <v>0</v>
      </c>
      <c r="G83" s="1">
        <v>0</v>
      </c>
      <c r="H83" s="1">
        <v>0</v>
      </c>
      <c r="I83" s="1">
        <v>0</v>
      </c>
      <c r="J83" s="1">
        <v>101</v>
      </c>
      <c r="K83" s="1">
        <v>97363561.202380955</v>
      </c>
    </row>
    <row r="84" spans="1:11" x14ac:dyDescent="0.25">
      <c r="A84">
        <v>83</v>
      </c>
      <c r="B84" t="s">
        <v>175</v>
      </c>
      <c r="C84" t="s">
        <v>176</v>
      </c>
      <c r="D84" s="1">
        <v>11</v>
      </c>
      <c r="E84" s="1">
        <v>18878450.199999999</v>
      </c>
      <c r="F84" s="1">
        <v>0</v>
      </c>
      <c r="G84" s="1">
        <v>0</v>
      </c>
      <c r="H84" s="1">
        <v>0</v>
      </c>
      <c r="I84" s="1">
        <v>0</v>
      </c>
      <c r="J84" s="1">
        <v>11</v>
      </c>
      <c r="K84" s="1">
        <v>18878450.199999999</v>
      </c>
    </row>
    <row r="85" spans="1:11" x14ac:dyDescent="0.25">
      <c r="A85">
        <v>84</v>
      </c>
      <c r="B85" t="s">
        <v>177</v>
      </c>
      <c r="C85" t="s">
        <v>178</v>
      </c>
      <c r="D85" s="1">
        <v>17</v>
      </c>
      <c r="E85" s="1">
        <v>81028636.483870968</v>
      </c>
      <c r="F85" s="1">
        <v>0</v>
      </c>
      <c r="G85" s="1">
        <v>0</v>
      </c>
      <c r="H85" s="1">
        <v>0</v>
      </c>
      <c r="I85" s="1">
        <v>0</v>
      </c>
      <c r="J85" s="1">
        <v>17</v>
      </c>
      <c r="K85" s="1">
        <v>81028636.483870968</v>
      </c>
    </row>
    <row r="86" spans="1:11" x14ac:dyDescent="0.25">
      <c r="A86">
        <v>85</v>
      </c>
      <c r="B86" t="s">
        <v>179</v>
      </c>
      <c r="C86" t="s">
        <v>180</v>
      </c>
      <c r="D86" s="1">
        <v>20</v>
      </c>
      <c r="E86" s="1">
        <v>28108582.16</v>
      </c>
      <c r="F86" s="1">
        <v>0</v>
      </c>
      <c r="G86" s="1">
        <v>0</v>
      </c>
      <c r="H86" s="1">
        <v>0</v>
      </c>
      <c r="I86" s="1">
        <v>0</v>
      </c>
      <c r="J86" s="1">
        <v>20</v>
      </c>
      <c r="K86" s="1">
        <v>28108582.16</v>
      </c>
    </row>
    <row r="87" spans="1:11" x14ac:dyDescent="0.25">
      <c r="A87">
        <v>86</v>
      </c>
      <c r="B87" t="s">
        <v>181</v>
      </c>
      <c r="C87" t="s">
        <v>182</v>
      </c>
      <c r="D87" s="1">
        <v>74</v>
      </c>
      <c r="E87" s="1">
        <v>83541900.572559372</v>
      </c>
      <c r="F87" s="1">
        <v>10</v>
      </c>
      <c r="G87" s="1">
        <v>10472727</v>
      </c>
      <c r="H87" s="1">
        <v>17</v>
      </c>
      <c r="I87" s="1">
        <v>22009089</v>
      </c>
      <c r="J87" s="1">
        <v>67</v>
      </c>
      <c r="K87" s="1">
        <v>72005538.572559372</v>
      </c>
    </row>
    <row r="88" spans="1:11" x14ac:dyDescent="0.25">
      <c r="A88">
        <v>87</v>
      </c>
      <c r="B88" t="s">
        <v>183</v>
      </c>
      <c r="C88" t="s">
        <v>184</v>
      </c>
      <c r="D88" s="1">
        <v>3</v>
      </c>
      <c r="E88" s="1">
        <v>2443182.9545454532</v>
      </c>
      <c r="F88" s="1">
        <v>0</v>
      </c>
      <c r="G88" s="1">
        <v>0</v>
      </c>
      <c r="H88" s="1">
        <v>0</v>
      </c>
      <c r="I88" s="1">
        <v>0</v>
      </c>
      <c r="J88" s="1">
        <v>3</v>
      </c>
      <c r="K88" s="1">
        <v>2443182.9545454532</v>
      </c>
    </row>
    <row r="89" spans="1:11" x14ac:dyDescent="0.25">
      <c r="A89">
        <v>88</v>
      </c>
      <c r="B89" t="s">
        <v>185</v>
      </c>
      <c r="C89" t="s">
        <v>186</v>
      </c>
      <c r="D89" s="1">
        <v>1554</v>
      </c>
      <c r="E89" s="1">
        <v>485530401.74628812</v>
      </c>
      <c r="F89" s="1">
        <v>0</v>
      </c>
      <c r="G89" s="1">
        <v>0</v>
      </c>
      <c r="H89" s="1">
        <v>140</v>
      </c>
      <c r="I89" s="1">
        <v>51027265</v>
      </c>
      <c r="J89" s="1">
        <v>1414</v>
      </c>
      <c r="K89" s="1">
        <v>434503136.74628812</v>
      </c>
    </row>
    <row r="90" spans="1:11" x14ac:dyDescent="0.25">
      <c r="A90">
        <v>89</v>
      </c>
      <c r="B90" t="s">
        <v>187</v>
      </c>
      <c r="C90" t="s">
        <v>188</v>
      </c>
      <c r="D90" s="1">
        <v>286</v>
      </c>
      <c r="E90" s="1">
        <v>319210942.34957021</v>
      </c>
      <c r="F90" s="1">
        <v>0</v>
      </c>
      <c r="G90" s="1">
        <v>0</v>
      </c>
      <c r="H90" s="1">
        <v>6</v>
      </c>
      <c r="I90" s="1">
        <v>5081818</v>
      </c>
      <c r="J90" s="1">
        <v>280</v>
      </c>
      <c r="K90" s="1">
        <v>314129124.34957021</v>
      </c>
    </row>
    <row r="91" spans="1:11" x14ac:dyDescent="0.25">
      <c r="A91">
        <v>90</v>
      </c>
      <c r="B91" t="s">
        <v>189</v>
      </c>
      <c r="C91" t="s">
        <v>190</v>
      </c>
      <c r="D91" s="1">
        <v>116</v>
      </c>
      <c r="E91" s="1">
        <v>148907776.9923954</v>
      </c>
      <c r="F91" s="1">
        <v>0</v>
      </c>
      <c r="G91" s="1">
        <v>0</v>
      </c>
      <c r="H91" s="1">
        <v>0</v>
      </c>
      <c r="I91" s="1">
        <v>0</v>
      </c>
      <c r="J91" s="1">
        <v>116</v>
      </c>
      <c r="K91" s="1">
        <v>148907776.9923954</v>
      </c>
    </row>
    <row r="92" spans="1:11" x14ac:dyDescent="0.25">
      <c r="A92">
        <v>91</v>
      </c>
      <c r="B92" t="s">
        <v>191</v>
      </c>
      <c r="C92" t="s">
        <v>192</v>
      </c>
      <c r="D92" s="1">
        <v>97</v>
      </c>
      <c r="E92" s="1">
        <v>61700487.128078818</v>
      </c>
      <c r="F92" s="1">
        <v>5</v>
      </c>
      <c r="G92" s="1">
        <v>9990909</v>
      </c>
      <c r="H92" s="1">
        <v>11</v>
      </c>
      <c r="I92" s="1">
        <v>17736362</v>
      </c>
      <c r="J92" s="1">
        <v>91</v>
      </c>
      <c r="K92" s="1">
        <v>53955034.128078818</v>
      </c>
    </row>
    <row r="93" spans="1:11" x14ac:dyDescent="0.25">
      <c r="A93">
        <v>92</v>
      </c>
      <c r="B93" t="s">
        <v>193</v>
      </c>
      <c r="C93" t="s">
        <v>194</v>
      </c>
      <c r="D93" s="1">
        <v>41</v>
      </c>
      <c r="E93" s="1">
        <v>69584962.432558149</v>
      </c>
      <c r="F93" s="1">
        <v>0</v>
      </c>
      <c r="G93" s="1">
        <v>0</v>
      </c>
      <c r="H93" s="1">
        <v>8</v>
      </c>
      <c r="I93" s="1">
        <v>9863637</v>
      </c>
      <c r="J93" s="1">
        <v>33</v>
      </c>
      <c r="K93" s="1">
        <v>59721325.432558149</v>
      </c>
    </row>
    <row r="94" spans="1:11" x14ac:dyDescent="0.25">
      <c r="A94">
        <v>93</v>
      </c>
      <c r="B94" t="s">
        <v>195</v>
      </c>
      <c r="C94" t="s">
        <v>196</v>
      </c>
      <c r="D94" s="1">
        <v>548</v>
      </c>
      <c r="E94" s="1">
        <v>150144329.61556071</v>
      </c>
      <c r="F94" s="1">
        <v>0</v>
      </c>
      <c r="G94" s="1">
        <v>0</v>
      </c>
      <c r="H94" s="1">
        <v>16</v>
      </c>
      <c r="I94" s="1">
        <v>9986364</v>
      </c>
      <c r="J94" s="1">
        <v>532</v>
      </c>
      <c r="K94" s="1">
        <v>140157965.61556071</v>
      </c>
    </row>
    <row r="95" spans="1:11" x14ac:dyDescent="0.25">
      <c r="A95">
        <v>94</v>
      </c>
      <c r="B95" t="s">
        <v>197</v>
      </c>
      <c r="C95" t="s">
        <v>198</v>
      </c>
      <c r="D95" s="1">
        <v>32</v>
      </c>
      <c r="E95" s="1">
        <v>4204547</v>
      </c>
      <c r="F95" s="1">
        <v>0</v>
      </c>
      <c r="G95" s="1">
        <v>0</v>
      </c>
      <c r="H95" s="1">
        <v>0</v>
      </c>
      <c r="I95" s="1">
        <v>0</v>
      </c>
      <c r="J95" s="1">
        <v>32</v>
      </c>
      <c r="K95" s="1">
        <v>4204547</v>
      </c>
    </row>
    <row r="96" spans="1:11" x14ac:dyDescent="0.25">
      <c r="A96">
        <v>95</v>
      </c>
      <c r="B96" t="s">
        <v>199</v>
      </c>
      <c r="C96" t="s">
        <v>200</v>
      </c>
      <c r="D96" s="1">
        <v>147</v>
      </c>
      <c r="E96" s="1">
        <v>12373376.08196721</v>
      </c>
      <c r="F96" s="1">
        <v>0</v>
      </c>
      <c r="G96" s="1">
        <v>0</v>
      </c>
      <c r="H96" s="1">
        <v>5</v>
      </c>
      <c r="I96" s="1">
        <v>590910</v>
      </c>
      <c r="J96" s="1">
        <v>142</v>
      </c>
      <c r="K96" s="1">
        <v>11782466.08196721</v>
      </c>
    </row>
    <row r="97" spans="1:11" x14ac:dyDescent="0.25">
      <c r="A97">
        <v>96</v>
      </c>
      <c r="B97" t="s">
        <v>201</v>
      </c>
      <c r="C97" t="s">
        <v>202</v>
      </c>
      <c r="D97" s="1">
        <v>1608</v>
      </c>
      <c r="E97" s="1">
        <v>160106981.4361957</v>
      </c>
      <c r="F97" s="1">
        <v>0</v>
      </c>
      <c r="G97" s="1">
        <v>0</v>
      </c>
      <c r="H97" s="1">
        <v>40</v>
      </c>
      <c r="I97" s="1">
        <v>7850000</v>
      </c>
      <c r="J97" s="1">
        <v>1568</v>
      </c>
      <c r="K97" s="1">
        <v>152256981.4361957</v>
      </c>
    </row>
    <row r="98" spans="1:11" x14ac:dyDescent="0.25">
      <c r="A98">
        <v>97</v>
      </c>
      <c r="B98" t="s">
        <v>203</v>
      </c>
      <c r="C98" t="s">
        <v>204</v>
      </c>
      <c r="D98" s="1">
        <v>268</v>
      </c>
      <c r="E98" s="1">
        <v>58460716.620727673</v>
      </c>
      <c r="F98" s="1">
        <v>0</v>
      </c>
      <c r="G98" s="1">
        <v>0</v>
      </c>
      <c r="H98" s="1">
        <v>67</v>
      </c>
      <c r="I98" s="1">
        <v>11605444</v>
      </c>
      <c r="J98" s="1">
        <v>201</v>
      </c>
      <c r="K98" s="1">
        <v>46855272.620727673</v>
      </c>
    </row>
    <row r="99" spans="1:11" x14ac:dyDescent="0.25">
      <c r="A99">
        <v>98</v>
      </c>
      <c r="B99" t="s">
        <v>205</v>
      </c>
      <c r="C99" t="s">
        <v>206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 x14ac:dyDescent="0.25">
      <c r="A100">
        <v>99</v>
      </c>
      <c r="B100" t="s">
        <v>207</v>
      </c>
      <c r="C100" t="s">
        <v>208</v>
      </c>
      <c r="D100" s="1">
        <v>10</v>
      </c>
      <c r="E100" s="1">
        <v>15908150.758620691</v>
      </c>
      <c r="F100" s="1">
        <v>0</v>
      </c>
      <c r="G100" s="1">
        <v>0</v>
      </c>
      <c r="H100" s="1">
        <v>0</v>
      </c>
      <c r="I100" s="1">
        <v>0</v>
      </c>
      <c r="J100" s="1">
        <v>10</v>
      </c>
      <c r="K100" s="1">
        <v>15908150.758620691</v>
      </c>
    </row>
    <row r="101" spans="1:11" x14ac:dyDescent="0.25">
      <c r="A101">
        <v>100</v>
      </c>
      <c r="B101" t="s">
        <v>209</v>
      </c>
      <c r="C101" t="s">
        <v>210</v>
      </c>
      <c r="D101" s="1">
        <v>3</v>
      </c>
      <c r="E101" s="1">
        <v>3583670</v>
      </c>
      <c r="F101" s="1">
        <v>0</v>
      </c>
      <c r="G101" s="1">
        <v>0</v>
      </c>
      <c r="H101" s="1">
        <v>0</v>
      </c>
      <c r="I101" s="1">
        <v>0</v>
      </c>
      <c r="J101" s="1">
        <v>3</v>
      </c>
      <c r="K101" s="1">
        <v>3583670</v>
      </c>
    </row>
    <row r="102" spans="1:11" x14ac:dyDescent="0.25">
      <c r="A102">
        <v>101</v>
      </c>
      <c r="B102" t="s">
        <v>211</v>
      </c>
      <c r="C102" t="s">
        <v>212</v>
      </c>
      <c r="D102" s="1">
        <v>196</v>
      </c>
      <c r="E102" s="1">
        <v>122490690.6692913</v>
      </c>
      <c r="F102" s="1">
        <v>0</v>
      </c>
      <c r="G102" s="1">
        <v>0</v>
      </c>
      <c r="H102" s="1">
        <v>0</v>
      </c>
      <c r="I102" s="1">
        <v>0</v>
      </c>
      <c r="J102" s="1">
        <v>196</v>
      </c>
      <c r="K102" s="1">
        <v>122490690.6692913</v>
      </c>
    </row>
    <row r="103" spans="1:11" x14ac:dyDescent="0.25">
      <c r="A103">
        <v>102</v>
      </c>
      <c r="B103" t="s">
        <v>213</v>
      </c>
      <c r="C103" t="s">
        <v>214</v>
      </c>
      <c r="D103" s="1">
        <v>2</v>
      </c>
      <c r="E103" s="1">
        <v>2309091</v>
      </c>
      <c r="F103" s="1">
        <v>0</v>
      </c>
      <c r="G103" s="1">
        <v>0</v>
      </c>
      <c r="H103" s="1">
        <v>0</v>
      </c>
      <c r="I103" s="1">
        <v>0</v>
      </c>
      <c r="J103" s="1">
        <v>2</v>
      </c>
      <c r="K103" s="1">
        <v>2309091</v>
      </c>
    </row>
    <row r="104" spans="1:11" x14ac:dyDescent="0.25">
      <c r="A104">
        <v>103</v>
      </c>
      <c r="B104" t="s">
        <v>215</v>
      </c>
      <c r="C104" t="s">
        <v>216</v>
      </c>
      <c r="D104" s="1">
        <v>2492</v>
      </c>
      <c r="E104" s="1">
        <v>257674911.46378449</v>
      </c>
      <c r="F104" s="1">
        <v>25</v>
      </c>
      <c r="G104" s="1">
        <v>6216367</v>
      </c>
      <c r="H104" s="1">
        <v>140</v>
      </c>
      <c r="I104" s="1">
        <v>11163635</v>
      </c>
      <c r="J104" s="1">
        <v>2377</v>
      </c>
      <c r="K104" s="1">
        <v>252727643.46378449</v>
      </c>
    </row>
    <row r="105" spans="1:11" x14ac:dyDescent="0.25">
      <c r="A105">
        <v>104</v>
      </c>
      <c r="B105" t="s">
        <v>217</v>
      </c>
      <c r="C105" t="s">
        <v>218</v>
      </c>
      <c r="D105" s="1">
        <v>242</v>
      </c>
      <c r="E105" s="1">
        <v>94242620.992982447</v>
      </c>
      <c r="F105" s="1">
        <v>0</v>
      </c>
      <c r="G105" s="1">
        <v>0</v>
      </c>
      <c r="H105" s="1">
        <v>6</v>
      </c>
      <c r="I105" s="1">
        <v>2045456</v>
      </c>
      <c r="J105" s="1">
        <v>236</v>
      </c>
      <c r="K105" s="1">
        <v>92197164.992982447</v>
      </c>
    </row>
    <row r="106" spans="1:11" x14ac:dyDescent="0.25">
      <c r="A106">
        <v>105</v>
      </c>
      <c r="B106" t="s">
        <v>219</v>
      </c>
      <c r="C106" t="s">
        <v>220</v>
      </c>
      <c r="D106" s="1">
        <v>1243</v>
      </c>
      <c r="E106" s="1">
        <v>265346440.6902304</v>
      </c>
      <c r="F106" s="1">
        <v>0</v>
      </c>
      <c r="G106" s="1">
        <v>0</v>
      </c>
      <c r="H106" s="1">
        <v>179</v>
      </c>
      <c r="I106" s="1">
        <v>16995452</v>
      </c>
      <c r="J106" s="1">
        <v>1064</v>
      </c>
      <c r="K106" s="1">
        <v>248350988.6902304</v>
      </c>
    </row>
    <row r="107" spans="1:11" x14ac:dyDescent="0.25">
      <c r="A107">
        <v>106</v>
      </c>
      <c r="B107" t="s">
        <v>221</v>
      </c>
      <c r="C107" t="s">
        <v>222</v>
      </c>
      <c r="D107" s="1">
        <v>269</v>
      </c>
      <c r="E107" s="1">
        <v>78831966.329129368</v>
      </c>
      <c r="F107" s="1">
        <v>0</v>
      </c>
      <c r="G107" s="1">
        <v>0</v>
      </c>
      <c r="H107" s="1">
        <v>116</v>
      </c>
      <c r="I107" s="1">
        <v>14763621</v>
      </c>
      <c r="J107" s="1">
        <v>153</v>
      </c>
      <c r="K107" s="1">
        <v>64068345.329129368</v>
      </c>
    </row>
    <row r="108" spans="1:11" x14ac:dyDescent="0.25">
      <c r="A108">
        <v>107</v>
      </c>
      <c r="B108" t="s">
        <v>223</v>
      </c>
      <c r="C108" t="s">
        <v>224</v>
      </c>
      <c r="D108" s="1">
        <v>6</v>
      </c>
      <c r="E108" s="1">
        <v>3124849.75</v>
      </c>
      <c r="F108" s="1">
        <v>0</v>
      </c>
      <c r="G108" s="1">
        <v>0</v>
      </c>
      <c r="H108" s="1">
        <v>0</v>
      </c>
      <c r="I108" s="1">
        <v>0</v>
      </c>
      <c r="J108" s="1">
        <v>6</v>
      </c>
      <c r="K108" s="1">
        <v>3124849.75</v>
      </c>
    </row>
    <row r="109" spans="1:11" x14ac:dyDescent="0.25">
      <c r="A109">
        <v>108</v>
      </c>
      <c r="B109" t="s">
        <v>225</v>
      </c>
      <c r="C109" t="s">
        <v>226</v>
      </c>
      <c r="D109" s="1">
        <v>356</v>
      </c>
      <c r="E109" s="1">
        <v>89631963.850046858</v>
      </c>
      <c r="F109" s="1">
        <v>28</v>
      </c>
      <c r="G109" s="1">
        <v>2541816</v>
      </c>
      <c r="H109" s="1">
        <v>17</v>
      </c>
      <c r="I109" s="1">
        <v>4504545</v>
      </c>
      <c r="J109" s="1">
        <v>367</v>
      </c>
      <c r="K109" s="1">
        <v>87669234.850046858</v>
      </c>
    </row>
    <row r="110" spans="1:11" x14ac:dyDescent="0.25">
      <c r="A110">
        <v>109</v>
      </c>
      <c r="B110" t="s">
        <v>227</v>
      </c>
      <c r="C110" t="s">
        <v>228</v>
      </c>
      <c r="D110" s="1">
        <v>312</v>
      </c>
      <c r="E110" s="1">
        <v>120569302.1661891</v>
      </c>
      <c r="F110" s="1">
        <v>0</v>
      </c>
      <c r="G110" s="1">
        <v>0</v>
      </c>
      <c r="H110" s="1">
        <v>10</v>
      </c>
      <c r="I110" s="1">
        <v>2272727</v>
      </c>
      <c r="J110" s="1">
        <v>302</v>
      </c>
      <c r="K110" s="1">
        <v>118296575.1661891</v>
      </c>
    </row>
    <row r="111" spans="1:11" x14ac:dyDescent="0.25">
      <c r="A111">
        <v>110</v>
      </c>
      <c r="B111" t="s">
        <v>229</v>
      </c>
      <c r="C111" t="s">
        <v>230</v>
      </c>
      <c r="D111" s="1">
        <v>27</v>
      </c>
      <c r="E111" s="1">
        <v>1892138.8936170209</v>
      </c>
      <c r="F111" s="1">
        <v>0</v>
      </c>
      <c r="G111" s="1">
        <v>0</v>
      </c>
      <c r="H111" s="1">
        <v>0</v>
      </c>
      <c r="I111" s="1">
        <v>0</v>
      </c>
      <c r="J111" s="1">
        <v>27</v>
      </c>
      <c r="K111" s="1">
        <v>1892138.8936170209</v>
      </c>
    </row>
    <row r="112" spans="1:11" x14ac:dyDescent="0.25">
      <c r="A112">
        <v>111</v>
      </c>
      <c r="B112" t="s">
        <v>231</v>
      </c>
      <c r="C112" t="s">
        <v>232</v>
      </c>
      <c r="D112" s="1">
        <v>107</v>
      </c>
      <c r="E112" s="1">
        <v>45524154.259079903</v>
      </c>
      <c r="F112" s="1">
        <v>10</v>
      </c>
      <c r="G112" s="1">
        <v>4477273</v>
      </c>
      <c r="H112" s="1">
        <v>6</v>
      </c>
      <c r="I112" s="1">
        <v>2450000</v>
      </c>
      <c r="J112" s="1">
        <v>111</v>
      </c>
      <c r="K112" s="1">
        <v>47551427.259079903</v>
      </c>
    </row>
    <row r="113" spans="1:11" x14ac:dyDescent="0.25">
      <c r="A113">
        <v>112</v>
      </c>
      <c r="B113" t="s">
        <v>233</v>
      </c>
      <c r="C113" t="s">
        <v>234</v>
      </c>
      <c r="D113" s="1">
        <v>951</v>
      </c>
      <c r="E113" s="1">
        <v>331850904.39026397</v>
      </c>
      <c r="F113" s="1">
        <v>27</v>
      </c>
      <c r="G113" s="1">
        <v>23081812</v>
      </c>
      <c r="H113" s="1">
        <v>6</v>
      </c>
      <c r="I113" s="1">
        <v>2381819</v>
      </c>
      <c r="J113" s="1">
        <v>972</v>
      </c>
      <c r="K113" s="1">
        <v>352550897.39026397</v>
      </c>
    </row>
    <row r="114" spans="1:11" x14ac:dyDescent="0.25">
      <c r="A114">
        <v>113</v>
      </c>
      <c r="B114" t="s">
        <v>235</v>
      </c>
      <c r="C114" t="s">
        <v>236</v>
      </c>
      <c r="D114" s="1">
        <v>44</v>
      </c>
      <c r="E114" s="1">
        <v>24321058.620689649</v>
      </c>
      <c r="F114" s="1">
        <v>2</v>
      </c>
      <c r="G114" s="1">
        <v>2290909</v>
      </c>
      <c r="H114" s="1">
        <v>2</v>
      </c>
      <c r="I114" s="1">
        <v>2818182</v>
      </c>
      <c r="J114" s="1">
        <v>44</v>
      </c>
      <c r="K114" s="1">
        <v>23793785.620689649</v>
      </c>
    </row>
    <row r="115" spans="1:11" x14ac:dyDescent="0.25">
      <c r="A115">
        <v>114</v>
      </c>
      <c r="B115" t="s">
        <v>237</v>
      </c>
      <c r="C115" t="s">
        <v>238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x14ac:dyDescent="0.25">
      <c r="A116">
        <v>115</v>
      </c>
      <c r="B116" t="s">
        <v>239</v>
      </c>
      <c r="C116" t="s">
        <v>240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 x14ac:dyDescent="0.25">
      <c r="A117">
        <v>116</v>
      </c>
      <c r="B117" t="s">
        <v>241</v>
      </c>
      <c r="C117" t="s">
        <v>242</v>
      </c>
      <c r="D117" s="1">
        <v>1</v>
      </c>
      <c r="E117" s="1">
        <v>2400000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2400000</v>
      </c>
    </row>
    <row r="118" spans="1:11" x14ac:dyDescent="0.25">
      <c r="A118">
        <v>117</v>
      </c>
      <c r="B118" t="s">
        <v>243</v>
      </c>
      <c r="C118" t="s">
        <v>244</v>
      </c>
      <c r="D118" s="1">
        <v>1</v>
      </c>
      <c r="E118" s="1">
        <v>2200000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2200000</v>
      </c>
    </row>
    <row r="119" spans="1:11" x14ac:dyDescent="0.25">
      <c r="A119">
        <v>118</v>
      </c>
      <c r="B119" t="s">
        <v>245</v>
      </c>
      <c r="C119" t="s">
        <v>246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 x14ac:dyDescent="0.25">
      <c r="A120">
        <v>119</v>
      </c>
      <c r="B120" t="s">
        <v>247</v>
      </c>
      <c r="C120" t="s">
        <v>248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 x14ac:dyDescent="0.25">
      <c r="A121">
        <v>120</v>
      </c>
      <c r="B121" t="s">
        <v>249</v>
      </c>
      <c r="C121" t="s">
        <v>250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 x14ac:dyDescent="0.25">
      <c r="A122">
        <v>121</v>
      </c>
      <c r="B122" t="s">
        <v>251</v>
      </c>
      <c r="C122" t="s">
        <v>252</v>
      </c>
      <c r="D122" s="1">
        <v>8</v>
      </c>
      <c r="E122" s="1">
        <v>1854545</v>
      </c>
      <c r="F122" s="1">
        <v>0</v>
      </c>
      <c r="G122" s="1">
        <v>0</v>
      </c>
      <c r="H122" s="1">
        <v>0</v>
      </c>
      <c r="I122" s="1">
        <v>0</v>
      </c>
      <c r="J122" s="1">
        <v>8</v>
      </c>
      <c r="K122" s="1">
        <v>1854545</v>
      </c>
    </row>
    <row r="123" spans="1:11" x14ac:dyDescent="0.25">
      <c r="A123">
        <v>122</v>
      </c>
      <c r="B123" t="s">
        <v>253</v>
      </c>
      <c r="C123" t="s">
        <v>254</v>
      </c>
      <c r="D123" s="1">
        <v>76</v>
      </c>
      <c r="E123" s="1">
        <v>39625969.616306961</v>
      </c>
      <c r="F123" s="1">
        <v>0</v>
      </c>
      <c r="G123" s="1">
        <v>0</v>
      </c>
      <c r="H123" s="1">
        <v>63</v>
      </c>
      <c r="I123" s="1">
        <v>18481813</v>
      </c>
      <c r="J123" s="1">
        <v>13</v>
      </c>
      <c r="K123" s="1">
        <v>21144156.616306961</v>
      </c>
    </row>
    <row r="124" spans="1:11" x14ac:dyDescent="0.25">
      <c r="A124">
        <v>123</v>
      </c>
      <c r="B124" t="s">
        <v>255</v>
      </c>
      <c r="C124" t="s">
        <v>256</v>
      </c>
      <c r="D124" s="1">
        <v>56</v>
      </c>
      <c r="E124" s="1">
        <v>30172515.84722222</v>
      </c>
      <c r="F124" s="1">
        <v>0</v>
      </c>
      <c r="G124" s="1">
        <v>0</v>
      </c>
      <c r="H124" s="1">
        <v>0</v>
      </c>
      <c r="I124" s="1">
        <v>0</v>
      </c>
      <c r="J124" s="1">
        <v>56</v>
      </c>
      <c r="K124" s="1">
        <v>30172515.84722222</v>
      </c>
    </row>
    <row r="125" spans="1:11" x14ac:dyDescent="0.25">
      <c r="A125">
        <v>124</v>
      </c>
      <c r="B125" t="s">
        <v>257</v>
      </c>
      <c r="C125" t="s">
        <v>258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 x14ac:dyDescent="0.25">
      <c r="A126">
        <v>125</v>
      </c>
      <c r="B126" t="s">
        <v>259</v>
      </c>
      <c r="C126" t="s">
        <v>260</v>
      </c>
      <c r="D126" s="1">
        <v>636</v>
      </c>
      <c r="E126" s="1">
        <v>346599710.2321918</v>
      </c>
      <c r="F126" s="1">
        <v>17</v>
      </c>
      <c r="G126" s="1">
        <v>13686365</v>
      </c>
      <c r="H126" s="1">
        <v>16</v>
      </c>
      <c r="I126" s="1">
        <v>10581817</v>
      </c>
      <c r="J126" s="1">
        <v>637</v>
      </c>
      <c r="K126" s="1">
        <v>349704258.2321918</v>
      </c>
    </row>
    <row r="127" spans="1:11" x14ac:dyDescent="0.25">
      <c r="A127">
        <v>126</v>
      </c>
      <c r="B127" t="s">
        <v>261</v>
      </c>
      <c r="C127" t="s">
        <v>262</v>
      </c>
      <c r="D127" s="1">
        <v>6</v>
      </c>
      <c r="E127" s="1">
        <v>2703015.1428571432</v>
      </c>
      <c r="F127" s="1">
        <v>1</v>
      </c>
      <c r="G127" s="1">
        <v>672727</v>
      </c>
      <c r="H127" s="1">
        <v>1</v>
      </c>
      <c r="I127" s="1">
        <v>900000</v>
      </c>
      <c r="J127" s="1">
        <v>6</v>
      </c>
      <c r="K127" s="1">
        <v>2475742.1428571432</v>
      </c>
    </row>
    <row r="128" spans="1:11" x14ac:dyDescent="0.25">
      <c r="A128">
        <v>127</v>
      </c>
      <c r="B128" t="s">
        <v>263</v>
      </c>
      <c r="C128" t="s">
        <v>264</v>
      </c>
      <c r="D128" s="1">
        <v>10</v>
      </c>
      <c r="E128" s="1">
        <v>9639901.4090909101</v>
      </c>
      <c r="F128" s="1">
        <v>0</v>
      </c>
      <c r="G128" s="1">
        <v>0</v>
      </c>
      <c r="H128" s="1">
        <v>0</v>
      </c>
      <c r="I128" s="1">
        <v>0</v>
      </c>
      <c r="J128" s="1">
        <v>10</v>
      </c>
      <c r="K128" s="1">
        <v>9639901.4090909101</v>
      </c>
    </row>
    <row r="129" spans="1:11" x14ac:dyDescent="0.25">
      <c r="A129">
        <v>128</v>
      </c>
      <c r="B129" t="s">
        <v>265</v>
      </c>
      <c r="C129" t="s">
        <v>266</v>
      </c>
      <c r="D129" s="1">
        <v>16</v>
      </c>
      <c r="E129" s="1">
        <v>29299617.75</v>
      </c>
      <c r="F129" s="1">
        <v>0</v>
      </c>
      <c r="G129" s="1">
        <v>0</v>
      </c>
      <c r="H129" s="1">
        <v>0</v>
      </c>
      <c r="I129" s="1">
        <v>0</v>
      </c>
      <c r="J129" s="1">
        <v>16</v>
      </c>
      <c r="K129" s="1">
        <v>29299617.75</v>
      </c>
    </row>
    <row r="130" spans="1:11" x14ac:dyDescent="0.25">
      <c r="A130">
        <v>129</v>
      </c>
      <c r="B130" t="s">
        <v>267</v>
      </c>
      <c r="C130" t="s">
        <v>268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 x14ac:dyDescent="0.25">
      <c r="A131">
        <v>130</v>
      </c>
      <c r="B131" t="s">
        <v>269</v>
      </c>
      <c r="C131" t="s">
        <v>270</v>
      </c>
      <c r="D131" s="1">
        <v>255</v>
      </c>
      <c r="E131" s="1">
        <v>157173067.5194805</v>
      </c>
      <c r="F131" s="1">
        <v>0</v>
      </c>
      <c r="G131" s="1">
        <v>0</v>
      </c>
      <c r="H131" s="1">
        <v>2</v>
      </c>
      <c r="I131" s="1">
        <v>2636364</v>
      </c>
      <c r="J131" s="1">
        <v>253</v>
      </c>
      <c r="K131" s="1">
        <v>154536703.5194805</v>
      </c>
    </row>
    <row r="132" spans="1:11" x14ac:dyDescent="0.25">
      <c r="A132">
        <v>131</v>
      </c>
      <c r="B132" t="s">
        <v>271</v>
      </c>
      <c r="C132" t="s">
        <v>272</v>
      </c>
      <c r="D132" s="1">
        <v>110</v>
      </c>
      <c r="E132" s="1">
        <v>13823046.7489301</v>
      </c>
      <c r="F132" s="1">
        <v>0</v>
      </c>
      <c r="G132" s="1">
        <v>0</v>
      </c>
      <c r="H132" s="1">
        <v>0</v>
      </c>
      <c r="I132" s="1">
        <v>0</v>
      </c>
      <c r="J132" s="1">
        <v>110</v>
      </c>
      <c r="K132" s="1">
        <v>13823046.7489301</v>
      </c>
    </row>
    <row r="133" spans="1:11" x14ac:dyDescent="0.25">
      <c r="A133">
        <v>132</v>
      </c>
      <c r="B133" t="s">
        <v>273</v>
      </c>
      <c r="C133" t="s">
        <v>274</v>
      </c>
      <c r="D133" s="1">
        <v>452</v>
      </c>
      <c r="E133" s="1">
        <v>107833277.7694118</v>
      </c>
      <c r="F133" s="1">
        <v>15</v>
      </c>
      <c r="G133" s="1">
        <v>2600000</v>
      </c>
      <c r="H133" s="1">
        <v>14</v>
      </c>
      <c r="I133" s="1">
        <v>1736366</v>
      </c>
      <c r="J133" s="1">
        <v>453</v>
      </c>
      <c r="K133" s="1">
        <v>108696911.7694118</v>
      </c>
    </row>
    <row r="134" spans="1:11" x14ac:dyDescent="0.25">
      <c r="A134">
        <v>133</v>
      </c>
      <c r="B134" t="s">
        <v>275</v>
      </c>
      <c r="C134" t="s">
        <v>276</v>
      </c>
      <c r="D134" s="1">
        <v>128</v>
      </c>
      <c r="E134" s="1">
        <v>39874324.084337354</v>
      </c>
      <c r="F134" s="1">
        <v>5</v>
      </c>
      <c r="G134" s="1">
        <v>1272727</v>
      </c>
      <c r="H134" s="1">
        <v>0</v>
      </c>
      <c r="I134" s="1">
        <v>0</v>
      </c>
      <c r="J134" s="1">
        <v>133</v>
      </c>
      <c r="K134" s="1">
        <v>41147051.084337354</v>
      </c>
    </row>
    <row r="135" spans="1:11" x14ac:dyDescent="0.25">
      <c r="A135">
        <v>134</v>
      </c>
      <c r="B135" t="s">
        <v>277</v>
      </c>
      <c r="C135" t="s">
        <v>278</v>
      </c>
      <c r="D135" s="1">
        <v>2</v>
      </c>
      <c r="E135" s="1">
        <v>358922.57142857142</v>
      </c>
      <c r="F135" s="1">
        <v>0</v>
      </c>
      <c r="G135" s="1">
        <v>0</v>
      </c>
      <c r="H135" s="1">
        <v>0</v>
      </c>
      <c r="I135" s="1">
        <v>0</v>
      </c>
      <c r="J135" s="1">
        <v>2</v>
      </c>
      <c r="K135" s="1">
        <v>358922.57142857142</v>
      </c>
    </row>
    <row r="136" spans="1:11" x14ac:dyDescent="0.25">
      <c r="A136">
        <v>135</v>
      </c>
      <c r="B136" t="s">
        <v>279</v>
      </c>
      <c r="C136" t="s">
        <v>280</v>
      </c>
      <c r="D136" s="1">
        <v>9</v>
      </c>
      <c r="E136" s="1">
        <v>1118537.368421053</v>
      </c>
      <c r="F136" s="1">
        <v>0</v>
      </c>
      <c r="G136" s="1">
        <v>0</v>
      </c>
      <c r="H136" s="1">
        <v>0</v>
      </c>
      <c r="I136" s="1">
        <v>0</v>
      </c>
      <c r="J136" s="1">
        <v>9</v>
      </c>
      <c r="K136" s="1">
        <v>1118537.368421053</v>
      </c>
    </row>
    <row r="137" spans="1:11" x14ac:dyDescent="0.25">
      <c r="A137">
        <v>136</v>
      </c>
      <c r="B137" t="s">
        <v>281</v>
      </c>
      <c r="C137" t="s">
        <v>282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x14ac:dyDescent="0.25">
      <c r="A138">
        <v>137</v>
      </c>
      <c r="B138" t="s">
        <v>283</v>
      </c>
      <c r="C138" t="s">
        <v>284</v>
      </c>
      <c r="D138" s="1">
        <v>27</v>
      </c>
      <c r="E138" s="1">
        <v>21971385.860465121</v>
      </c>
      <c r="F138" s="1">
        <v>0</v>
      </c>
      <c r="G138" s="1">
        <v>0</v>
      </c>
      <c r="H138" s="1">
        <v>0</v>
      </c>
      <c r="I138" s="1">
        <v>0</v>
      </c>
      <c r="J138" s="1">
        <v>27</v>
      </c>
      <c r="K138" s="1">
        <v>21971385.860465121</v>
      </c>
    </row>
    <row r="139" spans="1:11" x14ac:dyDescent="0.25">
      <c r="A139">
        <v>138</v>
      </c>
      <c r="B139" t="s">
        <v>285</v>
      </c>
      <c r="C139" t="s">
        <v>286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</row>
    <row r="140" spans="1:11" x14ac:dyDescent="0.25">
      <c r="A140">
        <v>139</v>
      </c>
      <c r="B140" t="s">
        <v>287</v>
      </c>
      <c r="C140" t="s">
        <v>288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1" x14ac:dyDescent="0.25">
      <c r="A141">
        <v>140</v>
      </c>
      <c r="B141" t="s">
        <v>289</v>
      </c>
      <c r="C141" t="s">
        <v>290</v>
      </c>
      <c r="D141" s="1">
        <v>7</v>
      </c>
      <c r="E141" s="1">
        <v>18669354.838709679</v>
      </c>
      <c r="F141" s="1">
        <v>2</v>
      </c>
      <c r="G141" s="1">
        <v>2600000</v>
      </c>
      <c r="H141" s="1">
        <v>2</v>
      </c>
      <c r="I141" s="1">
        <v>4740000</v>
      </c>
      <c r="J141" s="1">
        <v>7</v>
      </c>
      <c r="K141" s="1">
        <v>16529354.83870968</v>
      </c>
    </row>
    <row r="142" spans="1:11" x14ac:dyDescent="0.25">
      <c r="A142">
        <v>141</v>
      </c>
      <c r="B142" t="s">
        <v>291</v>
      </c>
      <c r="C142" t="s">
        <v>292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 x14ac:dyDescent="0.25">
      <c r="A143">
        <v>142</v>
      </c>
      <c r="B143" t="s">
        <v>293</v>
      </c>
      <c r="C143" t="s">
        <v>294</v>
      </c>
      <c r="D143" s="1">
        <v>126</v>
      </c>
      <c r="E143" s="1">
        <v>29906168.115942031</v>
      </c>
      <c r="F143" s="1">
        <v>0</v>
      </c>
      <c r="G143" s="1">
        <v>0</v>
      </c>
      <c r="H143" s="1">
        <v>27</v>
      </c>
      <c r="I143" s="1">
        <v>10380000</v>
      </c>
      <c r="J143" s="1">
        <v>99</v>
      </c>
      <c r="K143" s="1">
        <v>19526168.115942031</v>
      </c>
    </row>
    <row r="144" spans="1:11" x14ac:dyDescent="0.25">
      <c r="A144">
        <v>143</v>
      </c>
      <c r="B144" t="s">
        <v>295</v>
      </c>
      <c r="C144" t="s">
        <v>296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 x14ac:dyDescent="0.25">
      <c r="A145">
        <v>144</v>
      </c>
      <c r="B145" t="s">
        <v>297</v>
      </c>
      <c r="C145" t="s">
        <v>298</v>
      </c>
      <c r="D145" s="1">
        <v>15</v>
      </c>
      <c r="E145" s="1">
        <v>2435955.1515151509</v>
      </c>
      <c r="F145" s="1">
        <v>0</v>
      </c>
      <c r="G145" s="1">
        <v>0</v>
      </c>
      <c r="H145" s="1">
        <v>0</v>
      </c>
      <c r="I145" s="1">
        <v>0</v>
      </c>
      <c r="J145" s="1">
        <v>15</v>
      </c>
      <c r="K145" s="1">
        <v>2435955.1515151509</v>
      </c>
    </row>
    <row r="146" spans="1:11" x14ac:dyDescent="0.25">
      <c r="A146">
        <v>145</v>
      </c>
      <c r="B146" t="s">
        <v>299</v>
      </c>
      <c r="C146" t="s">
        <v>300</v>
      </c>
      <c r="D146" s="1">
        <v>1273.5450000000001</v>
      </c>
      <c r="E146" s="1">
        <v>756564513.4799999</v>
      </c>
      <c r="F146" s="1">
        <v>352</v>
      </c>
      <c r="G146" s="1">
        <v>116533158</v>
      </c>
      <c r="H146" s="1">
        <v>39</v>
      </c>
      <c r="I146" s="1">
        <v>79957746</v>
      </c>
      <c r="J146" s="1">
        <v>1586.5450000000001</v>
      </c>
      <c r="K146" s="1">
        <v>793139925.4799999</v>
      </c>
    </row>
    <row r="147" spans="1:11" s="2" customFormat="1" x14ac:dyDescent="0.25">
      <c r="A147" s="2" t="s">
        <v>301</v>
      </c>
      <c r="D147" s="2">
        <v>27526.544999999998</v>
      </c>
      <c r="E147" s="2">
        <v>22712568658.88002</v>
      </c>
      <c r="F147" s="2">
        <v>2485</v>
      </c>
      <c r="G147" s="2">
        <v>3820829146</v>
      </c>
      <c r="H147" s="2">
        <v>2010</v>
      </c>
      <c r="I147" s="2">
        <v>2674215597</v>
      </c>
      <c r="J147" s="2">
        <v>28027.544999999998</v>
      </c>
      <c r="K147" s="2">
        <v>24146571300.88002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2"/>
  <sheetViews>
    <sheetView tabSelected="1" topLeftCell="A25" workbookViewId="0">
      <selection activeCell="E41" sqref="E41"/>
    </sheetView>
  </sheetViews>
  <sheetFormatPr defaultRowHeight="15" x14ac:dyDescent="0.25"/>
  <cols>
    <col min="3" max="3" width="14.42578125" customWidth="1"/>
    <col min="5" max="5" width="16.85546875" style="2" bestFit="1" customWidth="1"/>
    <col min="6" max="6" width="15.28515625" style="2" bestFit="1" customWidth="1"/>
    <col min="7" max="10" width="9.140625" style="2"/>
  </cols>
  <sheetData>
    <row r="1" spans="1:10" x14ac:dyDescent="0.25">
      <c r="A1" s="3" t="s">
        <v>302</v>
      </c>
      <c r="B1" s="3" t="s">
        <v>303</v>
      </c>
      <c r="C1" s="3" t="s">
        <v>304</v>
      </c>
      <c r="D1" s="3" t="s">
        <v>305</v>
      </c>
      <c r="E1" s="4" t="s">
        <v>306</v>
      </c>
      <c r="F1" s="4"/>
      <c r="G1" s="4"/>
      <c r="H1" s="4"/>
      <c r="I1" s="4"/>
      <c r="J1" s="4"/>
    </row>
    <row r="2" spans="1:10" x14ac:dyDescent="0.25">
      <c r="A2" s="3" t="s">
        <v>307</v>
      </c>
      <c r="B2" s="3" t="s">
        <v>308</v>
      </c>
      <c r="C2" s="3" t="s">
        <v>309</v>
      </c>
      <c r="D2" s="3">
        <v>119</v>
      </c>
      <c r="E2" s="4">
        <v>669303744</v>
      </c>
      <c r="F2" s="4"/>
      <c r="G2" s="4"/>
      <c r="H2" s="4"/>
      <c r="I2" s="4"/>
      <c r="J2" s="4"/>
    </row>
    <row r="3" spans="1:10" s="7" customFormat="1" x14ac:dyDescent="0.25">
      <c r="A3" s="5" t="s">
        <v>307</v>
      </c>
      <c r="B3" s="5" t="s">
        <v>310</v>
      </c>
      <c r="C3" s="5" t="s">
        <v>309</v>
      </c>
      <c r="D3" s="5">
        <v>87</v>
      </c>
      <c r="E3" s="6">
        <v>894375124</v>
      </c>
      <c r="F3" s="6">
        <f>[1]Sheet1!$K$76</f>
        <v>870508917</v>
      </c>
      <c r="G3" s="6"/>
      <c r="H3" s="6"/>
      <c r="I3" s="6"/>
      <c r="J3" s="6"/>
    </row>
    <row r="4" spans="1:10" x14ac:dyDescent="0.25">
      <c r="A4" s="3" t="s">
        <v>311</v>
      </c>
      <c r="B4" s="3" t="s">
        <v>308</v>
      </c>
      <c r="C4" s="3" t="s">
        <v>309</v>
      </c>
      <c r="D4" s="3">
        <v>65</v>
      </c>
      <c r="E4" s="4">
        <v>392055119</v>
      </c>
      <c r="F4" s="4"/>
      <c r="G4" s="4"/>
      <c r="H4" s="4"/>
      <c r="I4" s="4"/>
      <c r="J4" s="4"/>
    </row>
    <row r="5" spans="1:10" s="7" customFormat="1" x14ac:dyDescent="0.25">
      <c r="A5" s="5" t="s">
        <v>311</v>
      </c>
      <c r="B5" s="5" t="s">
        <v>310</v>
      </c>
      <c r="C5" s="5" t="s">
        <v>309</v>
      </c>
      <c r="D5" s="5">
        <v>65</v>
      </c>
      <c r="E5" s="6">
        <v>1340270508</v>
      </c>
      <c r="F5" s="6">
        <f>'[2]sheet 1'!$K$53</f>
        <v>1292172526</v>
      </c>
      <c r="G5" s="6"/>
      <c r="H5" s="6"/>
      <c r="I5" s="6"/>
      <c r="J5" s="6"/>
    </row>
    <row r="6" spans="1:10" x14ac:dyDescent="0.25">
      <c r="A6" s="3" t="s">
        <v>312</v>
      </c>
      <c r="B6" s="3" t="s">
        <v>308</v>
      </c>
      <c r="C6" s="3" t="s">
        <v>309</v>
      </c>
      <c r="D6" s="3">
        <v>151</v>
      </c>
      <c r="E6" s="4">
        <v>1672296202</v>
      </c>
      <c r="F6" s="4"/>
      <c r="G6" s="4"/>
      <c r="H6" s="4"/>
      <c r="I6" s="4"/>
      <c r="J6" s="4"/>
    </row>
    <row r="7" spans="1:10" x14ac:dyDescent="0.25">
      <c r="A7" s="3" t="s">
        <v>312</v>
      </c>
      <c r="B7" s="3" t="s">
        <v>308</v>
      </c>
      <c r="C7" s="3" t="s">
        <v>313</v>
      </c>
      <c r="D7" s="3">
        <v>1</v>
      </c>
      <c r="E7" s="4">
        <v>181818</v>
      </c>
      <c r="F7" s="4"/>
      <c r="G7" s="4"/>
      <c r="H7" s="4"/>
      <c r="I7" s="4"/>
      <c r="J7" s="4"/>
    </row>
    <row r="8" spans="1:10" x14ac:dyDescent="0.25">
      <c r="A8" s="3" t="s">
        <v>312</v>
      </c>
      <c r="B8" s="3" t="s">
        <v>308</v>
      </c>
      <c r="C8" s="3" t="s">
        <v>314</v>
      </c>
      <c r="D8" s="3">
        <v>1</v>
      </c>
      <c r="E8" s="4">
        <v>181818</v>
      </c>
      <c r="F8" s="4"/>
      <c r="G8" s="4"/>
      <c r="H8" s="4"/>
      <c r="I8" s="4"/>
      <c r="J8" s="4"/>
    </row>
    <row r="9" spans="1:10" s="7" customFormat="1" x14ac:dyDescent="0.25">
      <c r="A9" s="5" t="s">
        <v>312</v>
      </c>
      <c r="B9" s="5" t="s">
        <v>310</v>
      </c>
      <c r="C9" s="5" t="s">
        <v>309</v>
      </c>
      <c r="D9" s="5">
        <v>112</v>
      </c>
      <c r="E9" s="6">
        <v>1921384105</v>
      </c>
      <c r="F9" s="6">
        <f>'[3]sheet 1'!$K$90</f>
        <v>1892536429</v>
      </c>
      <c r="G9" s="6"/>
      <c r="H9" s="6"/>
      <c r="I9" s="6"/>
      <c r="J9" s="6"/>
    </row>
    <row r="10" spans="1:10" x14ac:dyDescent="0.25">
      <c r="A10" s="3" t="s">
        <v>315</v>
      </c>
      <c r="B10" s="3" t="s">
        <v>308</v>
      </c>
      <c r="C10" s="3" t="s">
        <v>309</v>
      </c>
      <c r="D10" s="3">
        <v>129</v>
      </c>
      <c r="E10" s="4">
        <v>1022838904</v>
      </c>
      <c r="F10" s="4"/>
      <c r="G10" s="4"/>
      <c r="H10" s="4"/>
      <c r="I10" s="4"/>
      <c r="J10" s="4"/>
    </row>
    <row r="11" spans="1:10" s="7" customFormat="1" x14ac:dyDescent="0.25">
      <c r="A11" s="5" t="s">
        <v>315</v>
      </c>
      <c r="B11" s="5" t="s">
        <v>310</v>
      </c>
      <c r="C11" s="5" t="s">
        <v>309</v>
      </c>
      <c r="D11" s="5">
        <v>72</v>
      </c>
      <c r="E11" s="6">
        <v>607219361</v>
      </c>
      <c r="F11" s="6">
        <f>'[4]sheet 1'!$K$58</f>
        <v>582801104</v>
      </c>
      <c r="G11" s="6"/>
      <c r="H11" s="6"/>
      <c r="I11" s="6"/>
      <c r="J11" s="6"/>
    </row>
    <row r="12" spans="1:10" x14ac:dyDescent="0.25">
      <c r="A12" s="3" t="s">
        <v>316</v>
      </c>
      <c r="B12" s="3" t="s">
        <v>308</v>
      </c>
      <c r="C12" s="3" t="s">
        <v>309</v>
      </c>
      <c r="D12" s="3">
        <v>166</v>
      </c>
      <c r="E12" s="4">
        <v>1668824554</v>
      </c>
      <c r="F12" s="4"/>
      <c r="G12" s="4"/>
      <c r="H12" s="4"/>
      <c r="I12" s="4"/>
      <c r="J12" s="4"/>
    </row>
    <row r="13" spans="1:10" s="7" customFormat="1" x14ac:dyDescent="0.25">
      <c r="A13" s="5" t="s">
        <v>316</v>
      </c>
      <c r="B13" s="5" t="s">
        <v>310</v>
      </c>
      <c r="C13" s="5" t="s">
        <v>309</v>
      </c>
      <c r="D13" s="5">
        <v>85</v>
      </c>
      <c r="E13" s="6">
        <v>735052079</v>
      </c>
      <c r="F13" s="6">
        <f>'[5]sheet 1'!$K$69</f>
        <v>704598787</v>
      </c>
      <c r="G13" s="6"/>
      <c r="H13" s="6"/>
      <c r="I13" s="6"/>
      <c r="J13" s="6"/>
    </row>
    <row r="14" spans="1:10" x14ac:dyDescent="0.25">
      <c r="A14" s="3" t="s">
        <v>317</v>
      </c>
      <c r="B14" s="3" t="s">
        <v>308</v>
      </c>
      <c r="C14" s="3" t="s">
        <v>309</v>
      </c>
      <c r="D14" s="3">
        <v>115</v>
      </c>
      <c r="E14" s="4">
        <v>1003659066</v>
      </c>
      <c r="F14" s="4"/>
      <c r="G14" s="4"/>
      <c r="H14" s="4"/>
      <c r="I14" s="4"/>
      <c r="J14" s="4"/>
    </row>
    <row r="15" spans="1:10" x14ac:dyDescent="0.25">
      <c r="A15" s="3" t="s">
        <v>317</v>
      </c>
      <c r="B15" s="3" t="s">
        <v>308</v>
      </c>
      <c r="C15" s="3" t="s">
        <v>313</v>
      </c>
      <c r="D15" s="3">
        <v>1</v>
      </c>
      <c r="E15" s="4">
        <v>1200000</v>
      </c>
      <c r="F15" s="4"/>
      <c r="G15" s="4"/>
      <c r="H15" s="4"/>
      <c r="I15" s="4"/>
      <c r="J15" s="4"/>
    </row>
    <row r="16" spans="1:10" x14ac:dyDescent="0.25">
      <c r="A16" s="3" t="s">
        <v>317</v>
      </c>
      <c r="B16" s="3" t="s">
        <v>308</v>
      </c>
      <c r="C16" s="3" t="s">
        <v>314</v>
      </c>
      <c r="D16" s="3">
        <v>1</v>
      </c>
      <c r="E16" s="4">
        <v>1200000</v>
      </c>
      <c r="F16" s="4"/>
      <c r="G16" s="4"/>
      <c r="H16" s="4"/>
      <c r="I16" s="4"/>
      <c r="J16" s="4"/>
    </row>
    <row r="17" spans="1:10" s="7" customFormat="1" x14ac:dyDescent="0.25">
      <c r="A17" s="5" t="s">
        <v>317</v>
      </c>
      <c r="B17" s="5" t="s">
        <v>310</v>
      </c>
      <c r="C17" s="5" t="s">
        <v>309</v>
      </c>
      <c r="D17" s="5">
        <v>93</v>
      </c>
      <c r="E17" s="6">
        <v>2630251191.8899999</v>
      </c>
      <c r="F17" s="6">
        <f>[6]Sheet1!$K$72</f>
        <v>2614953752.8899999</v>
      </c>
      <c r="G17" s="6"/>
      <c r="H17" s="6"/>
      <c r="I17" s="6"/>
      <c r="J17" s="6"/>
    </row>
    <row r="18" spans="1:10" x14ac:dyDescent="0.25">
      <c r="A18" s="3" t="s">
        <v>317</v>
      </c>
      <c r="B18" s="3" t="s">
        <v>310</v>
      </c>
      <c r="C18" s="3" t="s">
        <v>318</v>
      </c>
      <c r="D18" s="3">
        <v>1</v>
      </c>
      <c r="E18" s="4">
        <v>30379088</v>
      </c>
      <c r="F18" s="4"/>
      <c r="G18" s="4"/>
      <c r="H18" s="4"/>
      <c r="I18" s="4"/>
      <c r="J18" s="4"/>
    </row>
    <row r="19" spans="1:10" x14ac:dyDescent="0.25">
      <c r="A19" s="3" t="s">
        <v>319</v>
      </c>
      <c r="B19" s="3" t="s">
        <v>308</v>
      </c>
      <c r="C19" s="3" t="s">
        <v>309</v>
      </c>
      <c r="D19" s="3">
        <v>170</v>
      </c>
      <c r="E19" s="4">
        <v>2921066635</v>
      </c>
      <c r="F19" s="4"/>
      <c r="G19" s="4"/>
      <c r="H19" s="4"/>
      <c r="I19" s="4"/>
      <c r="J19" s="4"/>
    </row>
    <row r="20" spans="1:10" s="7" customFormat="1" x14ac:dyDescent="0.25">
      <c r="A20" s="5" t="s">
        <v>319</v>
      </c>
      <c r="B20" s="5" t="s">
        <v>310</v>
      </c>
      <c r="C20" s="5" t="s">
        <v>309</v>
      </c>
      <c r="D20" s="5">
        <v>80</v>
      </c>
      <c r="E20" s="6">
        <v>1288840072</v>
      </c>
      <c r="F20" s="6">
        <f>'[7]sheet 1'!$K$61</f>
        <v>1245579401</v>
      </c>
      <c r="G20" s="6"/>
      <c r="H20" s="6"/>
      <c r="I20" s="6"/>
      <c r="J20" s="6"/>
    </row>
    <row r="21" spans="1:10" x14ac:dyDescent="0.25">
      <c r="A21" s="3" t="s">
        <v>320</v>
      </c>
      <c r="B21" s="3" t="s">
        <v>308</v>
      </c>
      <c r="C21" s="3" t="s">
        <v>309</v>
      </c>
      <c r="D21" s="3">
        <v>160</v>
      </c>
      <c r="E21" s="4">
        <v>1949899571</v>
      </c>
      <c r="F21" s="4"/>
      <c r="G21" s="4"/>
      <c r="H21" s="4"/>
      <c r="I21" s="4"/>
      <c r="J21" s="4"/>
    </row>
    <row r="22" spans="1:10" s="7" customFormat="1" x14ac:dyDescent="0.25">
      <c r="A22" s="5" t="s">
        <v>320</v>
      </c>
      <c r="B22" s="5" t="s">
        <v>310</v>
      </c>
      <c r="C22" s="5" t="s">
        <v>309</v>
      </c>
      <c r="D22" s="5">
        <v>103</v>
      </c>
      <c r="E22" s="6">
        <v>1786227862</v>
      </c>
      <c r="F22" s="6">
        <f>[8]Sheet1!$K$93</f>
        <v>1756564070</v>
      </c>
      <c r="G22" s="6"/>
      <c r="H22" s="6"/>
      <c r="I22" s="6"/>
      <c r="J22" s="6"/>
    </row>
    <row r="23" spans="1:10" s="7" customFormat="1" x14ac:dyDescent="0.25">
      <c r="A23" s="5" t="s">
        <v>320</v>
      </c>
      <c r="B23" s="5" t="s">
        <v>310</v>
      </c>
      <c r="C23" s="5" t="s">
        <v>318</v>
      </c>
      <c r="D23" s="5">
        <v>1</v>
      </c>
      <c r="E23" s="6">
        <v>81872727</v>
      </c>
      <c r="F23" s="6"/>
      <c r="G23" s="6"/>
      <c r="H23" s="6"/>
      <c r="I23" s="6"/>
      <c r="J23" s="6"/>
    </row>
    <row r="24" spans="1:10" x14ac:dyDescent="0.25">
      <c r="A24" s="3" t="s">
        <v>321</v>
      </c>
      <c r="B24" s="3" t="s">
        <v>308</v>
      </c>
      <c r="C24" s="3" t="s">
        <v>309</v>
      </c>
      <c r="D24" s="3">
        <v>157</v>
      </c>
      <c r="E24" s="4">
        <v>1702965399</v>
      </c>
      <c r="F24" s="4"/>
      <c r="G24" s="4"/>
      <c r="H24" s="4"/>
      <c r="I24" s="4"/>
      <c r="J24" s="4"/>
    </row>
    <row r="25" spans="1:10" x14ac:dyDescent="0.25">
      <c r="A25" s="3" t="s">
        <v>321</v>
      </c>
      <c r="B25" s="3" t="s">
        <v>308</v>
      </c>
      <c r="C25" s="3" t="s">
        <v>318</v>
      </c>
      <c r="D25" s="3">
        <v>1</v>
      </c>
      <c r="E25" s="4">
        <v>2718182</v>
      </c>
      <c r="F25" s="4"/>
      <c r="G25" s="4"/>
      <c r="H25" s="4"/>
      <c r="I25" s="4"/>
      <c r="J25" s="4"/>
    </row>
    <row r="26" spans="1:10" s="7" customFormat="1" x14ac:dyDescent="0.25">
      <c r="A26" s="5" t="s">
        <v>321</v>
      </c>
      <c r="B26" s="5" t="s">
        <v>310</v>
      </c>
      <c r="C26" s="5" t="s">
        <v>309</v>
      </c>
      <c r="D26" s="5">
        <v>111</v>
      </c>
      <c r="E26" s="6">
        <v>2242794016</v>
      </c>
      <c r="F26" s="6">
        <f>[9]Sheet1!$K$91</f>
        <v>2202046333</v>
      </c>
      <c r="G26" s="6"/>
      <c r="H26" s="6"/>
      <c r="I26" s="6"/>
      <c r="J26" s="6"/>
    </row>
    <row r="27" spans="1:10" s="7" customFormat="1" x14ac:dyDescent="0.25">
      <c r="A27" s="5" t="s">
        <v>321</v>
      </c>
      <c r="B27" s="5" t="s">
        <v>310</v>
      </c>
      <c r="C27" s="5" t="s">
        <v>318</v>
      </c>
      <c r="D27" s="5">
        <v>1</v>
      </c>
      <c r="E27" s="6">
        <v>43748182</v>
      </c>
      <c r="F27" s="6"/>
      <c r="G27" s="6"/>
      <c r="H27" s="6"/>
      <c r="I27" s="6"/>
      <c r="J27" s="6"/>
    </row>
    <row r="28" spans="1:10" x14ac:dyDescent="0.25">
      <c r="A28" s="3" t="s">
        <v>322</v>
      </c>
      <c r="B28" s="3" t="s">
        <v>308</v>
      </c>
      <c r="C28" s="3" t="s">
        <v>309</v>
      </c>
      <c r="D28" s="3">
        <v>119</v>
      </c>
      <c r="E28" s="4">
        <v>1488943809</v>
      </c>
      <c r="F28" s="4"/>
      <c r="G28" s="4"/>
      <c r="H28" s="4"/>
      <c r="I28" s="4"/>
      <c r="J28" s="4"/>
    </row>
    <row r="29" spans="1:10" s="7" customFormat="1" x14ac:dyDescent="0.25">
      <c r="A29" s="5" t="s">
        <v>322</v>
      </c>
      <c r="B29" s="5" t="s">
        <v>310</v>
      </c>
      <c r="C29" s="5" t="s">
        <v>309</v>
      </c>
      <c r="D29" s="5">
        <v>87</v>
      </c>
      <c r="E29" s="6">
        <v>1334696615</v>
      </c>
      <c r="F29" s="6">
        <f>[10]Sheet1!$K$67</f>
        <v>1344931774</v>
      </c>
      <c r="G29" s="6"/>
      <c r="H29" s="6"/>
      <c r="I29" s="6"/>
      <c r="J29" s="6"/>
    </row>
    <row r="30" spans="1:10" s="7" customFormat="1" x14ac:dyDescent="0.25">
      <c r="A30" s="5" t="s">
        <v>322</v>
      </c>
      <c r="B30" s="5" t="s">
        <v>310</v>
      </c>
      <c r="C30" s="5" t="s">
        <v>313</v>
      </c>
      <c r="D30" s="5">
        <v>1</v>
      </c>
      <c r="E30" s="6">
        <v>765457</v>
      </c>
      <c r="F30" s="6"/>
      <c r="G30" s="6"/>
      <c r="H30" s="6"/>
      <c r="I30" s="6"/>
      <c r="J30" s="6"/>
    </row>
    <row r="31" spans="1:10" s="7" customFormat="1" x14ac:dyDescent="0.25">
      <c r="A31" s="5" t="s">
        <v>322</v>
      </c>
      <c r="B31" s="5" t="s">
        <v>310</v>
      </c>
      <c r="C31" s="5" t="s">
        <v>318</v>
      </c>
      <c r="D31" s="5">
        <v>1</v>
      </c>
      <c r="E31" s="6">
        <v>28545455</v>
      </c>
      <c r="F31" s="6"/>
      <c r="G31" s="6"/>
      <c r="H31" s="6"/>
      <c r="I31" s="6"/>
      <c r="J31" s="6"/>
    </row>
    <row r="32" spans="1:10" x14ac:dyDescent="0.25">
      <c r="A32" s="3" t="s">
        <v>323</v>
      </c>
      <c r="B32" s="3" t="s">
        <v>308</v>
      </c>
      <c r="C32" s="3" t="s">
        <v>309</v>
      </c>
      <c r="D32" s="3">
        <v>139</v>
      </c>
      <c r="E32" s="4">
        <v>1376722729</v>
      </c>
      <c r="F32" s="4"/>
      <c r="G32" s="4"/>
      <c r="H32" s="4"/>
      <c r="I32" s="4"/>
      <c r="J32" s="4"/>
    </row>
    <row r="33" spans="1:10" s="7" customFormat="1" x14ac:dyDescent="0.25">
      <c r="A33" s="5" t="s">
        <v>323</v>
      </c>
      <c r="B33" s="5" t="s">
        <v>310</v>
      </c>
      <c r="C33" s="5" t="s">
        <v>309</v>
      </c>
      <c r="D33" s="5">
        <v>102</v>
      </c>
      <c r="E33" s="6">
        <v>2195517775</v>
      </c>
      <c r="F33" s="6">
        <f>[11]Sheet1!$K$82</f>
        <v>2171869260</v>
      </c>
      <c r="G33" s="6"/>
      <c r="H33" s="6"/>
      <c r="I33" s="6"/>
      <c r="J33" s="6"/>
    </row>
    <row r="34" spans="1:10" s="7" customFormat="1" x14ac:dyDescent="0.25">
      <c r="A34" s="5" t="s">
        <v>323</v>
      </c>
      <c r="B34" s="5" t="s">
        <v>310</v>
      </c>
      <c r="C34" s="5" t="s">
        <v>318</v>
      </c>
      <c r="D34" s="5">
        <v>1</v>
      </c>
      <c r="E34" s="6">
        <v>0</v>
      </c>
      <c r="F34" s="6"/>
      <c r="G34" s="6"/>
      <c r="H34" s="6"/>
      <c r="I34" s="6"/>
      <c r="J34" s="6"/>
    </row>
    <row r="35" spans="1:10" x14ac:dyDescent="0.25">
      <c r="A35" s="3" t="s">
        <v>324</v>
      </c>
      <c r="B35" s="3" t="s">
        <v>308</v>
      </c>
      <c r="C35" s="3" t="s">
        <v>309</v>
      </c>
      <c r="D35" s="3">
        <v>200</v>
      </c>
      <c r="E35" s="4">
        <v>2674215597</v>
      </c>
      <c r="F35" s="4"/>
      <c r="G35" s="4"/>
      <c r="H35" s="4"/>
      <c r="I35" s="4"/>
      <c r="J35" s="4"/>
    </row>
    <row r="36" spans="1:10" s="7" customFormat="1" x14ac:dyDescent="0.25">
      <c r="A36" s="5" t="s">
        <v>324</v>
      </c>
      <c r="B36" s="5" t="s">
        <v>310</v>
      </c>
      <c r="C36" s="5" t="s">
        <v>309</v>
      </c>
      <c r="D36" s="5">
        <v>112</v>
      </c>
      <c r="E36" s="6">
        <v>3767222466</v>
      </c>
      <c r="F36" s="6">
        <f>'[12]sheet 1'!$K$88</f>
        <v>3695240443</v>
      </c>
      <c r="G36" s="6"/>
      <c r="H36" s="6"/>
      <c r="I36" s="6"/>
      <c r="J36" s="6"/>
    </row>
    <row r="37" spans="1:10" s="7" customFormat="1" x14ac:dyDescent="0.25">
      <c r="A37" s="5" t="s">
        <v>324</v>
      </c>
      <c r="B37" s="5" t="s">
        <v>310</v>
      </c>
      <c r="C37" s="5" t="s">
        <v>313</v>
      </c>
      <c r="D37" s="5">
        <v>1</v>
      </c>
      <c r="E37" s="6">
        <v>12927273</v>
      </c>
      <c r="F37" s="6"/>
      <c r="G37" s="6"/>
      <c r="H37" s="6"/>
      <c r="I37" s="6"/>
      <c r="J37" s="6"/>
    </row>
    <row r="38" spans="1:10" s="7" customFormat="1" x14ac:dyDescent="0.25">
      <c r="A38" s="5" t="s">
        <v>324</v>
      </c>
      <c r="B38" s="5" t="s">
        <v>310</v>
      </c>
      <c r="C38" s="5" t="s">
        <v>314</v>
      </c>
      <c r="D38" s="5">
        <v>1</v>
      </c>
      <c r="E38" s="6">
        <v>13418184</v>
      </c>
      <c r="F38" s="6"/>
      <c r="G38" s="6"/>
      <c r="H38" s="6"/>
      <c r="I38" s="6"/>
      <c r="J38" s="6"/>
    </row>
    <row r="39" spans="1:10" x14ac:dyDescent="0.25">
      <c r="A39" s="3" t="s">
        <v>354</v>
      </c>
      <c r="B39" s="3"/>
      <c r="C39" s="3"/>
      <c r="D39" s="3"/>
      <c r="E39" s="4">
        <f>E3+E5+E9+E11+E13+E17+E20+E22+E23+E26+E27+E29+E30+E31+E33+E36+E37+E38</f>
        <v>20925128452.889999</v>
      </c>
      <c r="F39" s="4">
        <f>SUM(F3:F38)</f>
        <v>20373802796.889999</v>
      </c>
      <c r="G39" s="4"/>
      <c r="H39" s="4"/>
      <c r="I39" s="4"/>
      <c r="J39" s="4"/>
    </row>
    <row r="40" spans="1:10" s="7" customFormat="1" x14ac:dyDescent="0.25">
      <c r="A40" s="8" t="s">
        <v>355</v>
      </c>
      <c r="E40" s="12">
        <f>E39</f>
        <v>20925128452.889999</v>
      </c>
      <c r="F40" s="12"/>
      <c r="G40" s="12"/>
      <c r="H40" s="12"/>
      <c r="I40" s="12"/>
      <c r="J40" s="12"/>
    </row>
    <row r="41" spans="1:10" s="7" customFormat="1" x14ac:dyDescent="0.25">
      <c r="A41" s="8" t="s">
        <v>356</v>
      </c>
      <c r="E41" s="12">
        <f>F39</f>
        <v>20373802796.889999</v>
      </c>
      <c r="F41" s="12"/>
      <c r="G41" s="12"/>
      <c r="H41" s="12"/>
      <c r="I41" s="12"/>
      <c r="J41" s="12"/>
    </row>
    <row r="42" spans="1:10" s="10" customFormat="1" x14ac:dyDescent="0.25">
      <c r="A42" s="9" t="s">
        <v>357</v>
      </c>
      <c r="E42" s="11">
        <f>E40-E41</f>
        <v>551325656</v>
      </c>
      <c r="F42" s="11"/>
      <c r="G42" s="11"/>
      <c r="H42" s="11"/>
      <c r="I42" s="11"/>
      <c r="J42" s="11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47"/>
  <sheetViews>
    <sheetView workbookViewId="0"/>
  </sheetViews>
  <sheetFormatPr defaultRowHeight="15" x14ac:dyDescent="0.25"/>
  <sheetData>
    <row r="1" spans="1:30" x14ac:dyDescent="0.25">
      <c r="A1" t="s">
        <v>1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</row>
    <row r="2" spans="1:30" x14ac:dyDescent="0.25">
      <c r="A2" t="s">
        <v>11</v>
      </c>
      <c r="B2" t="s">
        <v>12</v>
      </c>
      <c r="C2">
        <v>59135383.772727281</v>
      </c>
      <c r="D2">
        <v>12727273</v>
      </c>
      <c r="E2">
        <v>47272729</v>
      </c>
      <c r="F2">
        <v>24589927.772727281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12727273</v>
      </c>
      <c r="Z2">
        <v>47272729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13</v>
      </c>
      <c r="B3" t="s">
        <v>14</v>
      </c>
      <c r="C3">
        <v>235693355</v>
      </c>
      <c r="D3">
        <v>116909090</v>
      </c>
      <c r="E3">
        <v>245463636</v>
      </c>
      <c r="F3">
        <v>107138809</v>
      </c>
      <c r="G3">
        <v>0</v>
      </c>
      <c r="H3">
        <v>14136363</v>
      </c>
      <c r="I3">
        <v>28909091</v>
      </c>
      <c r="J3">
        <v>0</v>
      </c>
      <c r="K3">
        <v>21272727</v>
      </c>
      <c r="L3">
        <v>39572726</v>
      </c>
      <c r="M3">
        <v>19090908</v>
      </c>
      <c r="N3">
        <v>41872729</v>
      </c>
      <c r="O3">
        <v>0</v>
      </c>
      <c r="P3">
        <v>64727273</v>
      </c>
      <c r="Q3">
        <v>0</v>
      </c>
      <c r="R3">
        <v>0</v>
      </c>
      <c r="S3">
        <v>37636364</v>
      </c>
      <c r="T3">
        <v>0</v>
      </c>
      <c r="U3">
        <v>10000000</v>
      </c>
      <c r="V3">
        <v>60800000</v>
      </c>
      <c r="W3">
        <v>0</v>
      </c>
      <c r="X3">
        <v>24354545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15</v>
      </c>
      <c r="B4" t="s">
        <v>16</v>
      </c>
      <c r="C4">
        <v>1622172863.201292</v>
      </c>
      <c r="D4">
        <v>2287909095</v>
      </c>
      <c r="E4">
        <v>2170845453</v>
      </c>
      <c r="F4">
        <v>1739236505.201292</v>
      </c>
      <c r="G4">
        <v>0</v>
      </c>
      <c r="H4">
        <v>26727273</v>
      </c>
      <c r="I4">
        <v>232727272</v>
      </c>
      <c r="J4">
        <v>16990909</v>
      </c>
      <c r="K4">
        <v>178000000</v>
      </c>
      <c r="L4">
        <v>71800001</v>
      </c>
      <c r="M4">
        <v>0</v>
      </c>
      <c r="N4">
        <v>62472727</v>
      </c>
      <c r="O4">
        <v>142909091</v>
      </c>
      <c r="P4">
        <v>412763637</v>
      </c>
      <c r="Q4">
        <v>218727273</v>
      </c>
      <c r="R4">
        <v>54436363</v>
      </c>
      <c r="S4">
        <v>78000000</v>
      </c>
      <c r="T4">
        <v>119490908</v>
      </c>
      <c r="U4">
        <v>511363638</v>
      </c>
      <c r="V4">
        <v>460727272</v>
      </c>
      <c r="W4">
        <v>324090908</v>
      </c>
      <c r="X4">
        <v>188354545</v>
      </c>
      <c r="Y4">
        <v>232363639</v>
      </c>
      <c r="Z4">
        <v>67027273</v>
      </c>
      <c r="AA4">
        <v>369727274</v>
      </c>
      <c r="AB4">
        <v>222254546</v>
      </c>
      <c r="AC4">
        <v>0</v>
      </c>
      <c r="AD4">
        <v>467799999</v>
      </c>
    </row>
    <row r="5" spans="1:30" x14ac:dyDescent="0.25">
      <c r="A5" t="s">
        <v>17</v>
      </c>
      <c r="B5" t="s">
        <v>18</v>
      </c>
      <c r="C5">
        <v>29283636</v>
      </c>
      <c r="D5">
        <v>0</v>
      </c>
      <c r="E5">
        <v>0</v>
      </c>
      <c r="F5">
        <v>29283636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19</v>
      </c>
      <c r="B6" t="s">
        <v>20</v>
      </c>
      <c r="C6">
        <v>115057259.1785714</v>
      </c>
      <c r="D6">
        <v>20181818</v>
      </c>
      <c r="E6">
        <v>92445456</v>
      </c>
      <c r="F6">
        <v>42793621.178571403</v>
      </c>
      <c r="G6">
        <v>0</v>
      </c>
      <c r="H6">
        <v>0</v>
      </c>
      <c r="I6">
        <v>0</v>
      </c>
      <c r="J6">
        <v>0</v>
      </c>
      <c r="K6">
        <v>20181818</v>
      </c>
      <c r="L6">
        <v>22627273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56181819</v>
      </c>
      <c r="U6">
        <v>0</v>
      </c>
      <c r="V6">
        <v>0</v>
      </c>
      <c r="W6">
        <v>0</v>
      </c>
      <c r="X6">
        <v>0</v>
      </c>
      <c r="Y6">
        <v>0</v>
      </c>
      <c r="Z6">
        <v>13636364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21</v>
      </c>
      <c r="B7" t="s">
        <v>22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23</v>
      </c>
      <c r="B8" t="s">
        <v>24</v>
      </c>
      <c r="C8">
        <v>13864462.09090909</v>
      </c>
      <c r="D8">
        <v>0</v>
      </c>
      <c r="E8">
        <v>17727272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17727272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25</v>
      </c>
      <c r="B9" t="s">
        <v>26</v>
      </c>
      <c r="C9">
        <v>34336272.450000003</v>
      </c>
      <c r="D9">
        <v>48811818</v>
      </c>
      <c r="E9">
        <v>43027276</v>
      </c>
      <c r="F9">
        <v>40120814.450000003</v>
      </c>
      <c r="G9">
        <v>0</v>
      </c>
      <c r="H9">
        <v>0</v>
      </c>
      <c r="I9">
        <v>9900000</v>
      </c>
      <c r="J9">
        <v>0</v>
      </c>
      <c r="K9">
        <v>0</v>
      </c>
      <c r="L9">
        <v>3454545</v>
      </c>
      <c r="M9">
        <v>16854545</v>
      </c>
      <c r="N9">
        <v>9409091</v>
      </c>
      <c r="O9">
        <v>0</v>
      </c>
      <c r="P9">
        <v>0</v>
      </c>
      <c r="Q9">
        <v>6238182</v>
      </c>
      <c r="R9">
        <v>0</v>
      </c>
      <c r="S9">
        <v>0</v>
      </c>
      <c r="T9">
        <v>30163640</v>
      </c>
      <c r="U9">
        <v>6505455</v>
      </c>
      <c r="V9">
        <v>0</v>
      </c>
      <c r="W9">
        <v>9313636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27</v>
      </c>
      <c r="B10" t="s">
        <v>28</v>
      </c>
      <c r="C10">
        <v>780410950.5951941</v>
      </c>
      <c r="D10">
        <v>1214721817</v>
      </c>
      <c r="E10">
        <v>569081819</v>
      </c>
      <c r="F10">
        <v>1426050948.5951941</v>
      </c>
      <c r="G10">
        <v>0</v>
      </c>
      <c r="H10">
        <v>0</v>
      </c>
      <c r="I10">
        <v>49090909</v>
      </c>
      <c r="J10">
        <v>0</v>
      </c>
      <c r="K10">
        <v>73363637</v>
      </c>
      <c r="L10">
        <v>46590909</v>
      </c>
      <c r="M10">
        <v>0</v>
      </c>
      <c r="N10">
        <v>0</v>
      </c>
      <c r="O10">
        <v>0</v>
      </c>
      <c r="P10">
        <v>17863636</v>
      </c>
      <c r="Q10">
        <v>154558181</v>
      </c>
      <c r="R10">
        <v>84500001</v>
      </c>
      <c r="S10">
        <v>37363636</v>
      </c>
      <c r="T10">
        <v>55909090</v>
      </c>
      <c r="U10">
        <v>195090909</v>
      </c>
      <c r="V10">
        <v>197681818</v>
      </c>
      <c r="W10">
        <v>69090909</v>
      </c>
      <c r="X10">
        <v>57818182</v>
      </c>
      <c r="Y10">
        <v>76581818</v>
      </c>
      <c r="Z10">
        <v>92090910</v>
      </c>
      <c r="AA10">
        <v>89563636</v>
      </c>
      <c r="AB10">
        <v>0</v>
      </c>
      <c r="AC10">
        <v>470018182</v>
      </c>
      <c r="AD10">
        <v>16627273</v>
      </c>
    </row>
    <row r="11" spans="1:30" x14ac:dyDescent="0.25">
      <c r="A11" t="s">
        <v>29</v>
      </c>
      <c r="B11" t="s">
        <v>30</v>
      </c>
      <c r="C11">
        <v>18961647.25</v>
      </c>
      <c r="D11">
        <v>0</v>
      </c>
      <c r="E11">
        <v>0</v>
      </c>
      <c r="F11">
        <v>18961647.25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31</v>
      </c>
      <c r="B12" t="s">
        <v>32</v>
      </c>
      <c r="C12">
        <v>2991499975.2191219</v>
      </c>
      <c r="D12">
        <v>3872152721</v>
      </c>
      <c r="E12">
        <v>2101498175</v>
      </c>
      <c r="F12">
        <v>4762154521.2191219</v>
      </c>
      <c r="G12">
        <v>31011819</v>
      </c>
      <c r="H12">
        <v>18409091</v>
      </c>
      <c r="I12">
        <v>116100000</v>
      </c>
      <c r="J12">
        <v>31309090</v>
      </c>
      <c r="K12">
        <v>342409085</v>
      </c>
      <c r="L12">
        <v>154554546</v>
      </c>
      <c r="M12">
        <v>0</v>
      </c>
      <c r="N12">
        <v>39363636</v>
      </c>
      <c r="O12">
        <v>0</v>
      </c>
      <c r="P12">
        <v>83854545</v>
      </c>
      <c r="Q12">
        <v>849590906</v>
      </c>
      <c r="R12">
        <v>141000000</v>
      </c>
      <c r="S12">
        <v>501545459</v>
      </c>
      <c r="T12">
        <v>647281816</v>
      </c>
      <c r="U12">
        <v>292390909</v>
      </c>
      <c r="V12">
        <v>208263637</v>
      </c>
      <c r="W12">
        <v>286454545</v>
      </c>
      <c r="X12">
        <v>139836360</v>
      </c>
      <c r="Y12">
        <v>135363636</v>
      </c>
      <c r="Z12">
        <v>221036362</v>
      </c>
      <c r="AA12">
        <v>238636364</v>
      </c>
      <c r="AB12">
        <v>165990908</v>
      </c>
      <c r="AC12">
        <v>1078649998</v>
      </c>
      <c r="AD12">
        <v>250598184</v>
      </c>
    </row>
    <row r="13" spans="1:30" x14ac:dyDescent="0.25">
      <c r="A13" t="s">
        <v>33</v>
      </c>
      <c r="B13" t="s">
        <v>34</v>
      </c>
      <c r="C13">
        <v>559080594.76923084</v>
      </c>
      <c r="D13">
        <v>642419091</v>
      </c>
      <c r="E13">
        <v>403763633</v>
      </c>
      <c r="F13">
        <v>797736052.76923084</v>
      </c>
      <c r="G13">
        <v>0</v>
      </c>
      <c r="H13">
        <v>0</v>
      </c>
      <c r="I13">
        <v>103454545</v>
      </c>
      <c r="J13">
        <v>16181818</v>
      </c>
      <c r="K13">
        <v>0</v>
      </c>
      <c r="L13">
        <v>16172727</v>
      </c>
      <c r="M13">
        <v>0</v>
      </c>
      <c r="N13">
        <v>0</v>
      </c>
      <c r="O13">
        <v>0</v>
      </c>
      <c r="P13">
        <v>0</v>
      </c>
      <c r="Q13">
        <v>0</v>
      </c>
      <c r="R13">
        <v>55409091</v>
      </c>
      <c r="S13">
        <v>122263636</v>
      </c>
      <c r="T13">
        <v>44772727</v>
      </c>
      <c r="U13">
        <v>278891819</v>
      </c>
      <c r="V13">
        <v>135045454</v>
      </c>
      <c r="W13">
        <v>137809091</v>
      </c>
      <c r="X13">
        <v>68909090</v>
      </c>
      <c r="Y13">
        <v>0</v>
      </c>
      <c r="Z13">
        <v>0</v>
      </c>
      <c r="AA13">
        <v>0</v>
      </c>
      <c r="AB13">
        <v>31090908</v>
      </c>
      <c r="AC13">
        <v>0</v>
      </c>
      <c r="AD13">
        <v>36181818</v>
      </c>
    </row>
    <row r="14" spans="1:30" x14ac:dyDescent="0.25">
      <c r="A14" t="s">
        <v>35</v>
      </c>
      <c r="B14" t="s">
        <v>36</v>
      </c>
      <c r="C14">
        <v>380520769.28947371</v>
      </c>
      <c r="D14">
        <v>105890910</v>
      </c>
      <c r="E14">
        <v>114800001</v>
      </c>
      <c r="F14">
        <v>371611678.28947371</v>
      </c>
      <c r="G14">
        <v>0</v>
      </c>
      <c r="H14">
        <v>0</v>
      </c>
      <c r="I14">
        <v>30254546</v>
      </c>
      <c r="J14">
        <v>0</v>
      </c>
      <c r="K14">
        <v>75636364</v>
      </c>
      <c r="L14">
        <v>30254546</v>
      </c>
      <c r="M14">
        <v>0</v>
      </c>
      <c r="N14">
        <v>0</v>
      </c>
      <c r="O14">
        <v>0</v>
      </c>
      <c r="P14">
        <v>0</v>
      </c>
      <c r="Q14">
        <v>0</v>
      </c>
      <c r="R14">
        <v>45409092</v>
      </c>
      <c r="S14">
        <v>0</v>
      </c>
      <c r="T14">
        <v>28681818</v>
      </c>
      <c r="U14">
        <v>0</v>
      </c>
      <c r="V14">
        <v>0</v>
      </c>
      <c r="W14">
        <v>0</v>
      </c>
      <c r="X14">
        <v>10454545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37</v>
      </c>
      <c r="B15" t="s">
        <v>38</v>
      </c>
      <c r="C15">
        <v>457205040.93430662</v>
      </c>
      <c r="D15">
        <v>109807272</v>
      </c>
      <c r="E15">
        <v>201283635</v>
      </c>
      <c r="F15">
        <v>365728677.93430662</v>
      </c>
      <c r="G15">
        <v>74080000</v>
      </c>
      <c r="H15">
        <v>18701818</v>
      </c>
      <c r="I15">
        <v>0</v>
      </c>
      <c r="J15">
        <v>10627273</v>
      </c>
      <c r="K15">
        <v>0</v>
      </c>
      <c r="L15">
        <v>31127272</v>
      </c>
      <c r="M15">
        <v>0</v>
      </c>
      <c r="N15">
        <v>33445455</v>
      </c>
      <c r="O15">
        <v>0</v>
      </c>
      <c r="P15">
        <v>0</v>
      </c>
      <c r="Q15">
        <v>15454545</v>
      </c>
      <c r="R15">
        <v>0</v>
      </c>
      <c r="S15">
        <v>20272727</v>
      </c>
      <c r="T15">
        <v>59590909</v>
      </c>
      <c r="U15">
        <v>0</v>
      </c>
      <c r="V15">
        <v>17063636</v>
      </c>
      <c r="W15">
        <v>0</v>
      </c>
      <c r="X15">
        <v>18181818</v>
      </c>
      <c r="Y15">
        <v>0</v>
      </c>
      <c r="Z15">
        <v>12545454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39</v>
      </c>
      <c r="B16" t="s">
        <v>40</v>
      </c>
      <c r="C16">
        <v>200165895.10447761</v>
      </c>
      <c r="D16">
        <v>47272726</v>
      </c>
      <c r="E16">
        <v>169062726</v>
      </c>
      <c r="F16">
        <v>78375895.104477614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13080909</v>
      </c>
      <c r="O16">
        <v>0</v>
      </c>
      <c r="P16">
        <v>15090909</v>
      </c>
      <c r="Q16">
        <v>0</v>
      </c>
      <c r="R16">
        <v>17272727</v>
      </c>
      <c r="S16">
        <v>0</v>
      </c>
      <c r="T16">
        <v>83954545</v>
      </c>
      <c r="U16">
        <v>0</v>
      </c>
      <c r="V16">
        <v>0</v>
      </c>
      <c r="W16">
        <v>19909090</v>
      </c>
      <c r="X16">
        <v>0</v>
      </c>
      <c r="Y16">
        <v>27363636</v>
      </c>
      <c r="Z16">
        <v>39663636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41</v>
      </c>
      <c r="B17" t="s">
        <v>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43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45</v>
      </c>
      <c r="B19" t="s">
        <v>46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47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49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51</v>
      </c>
      <c r="B22" t="s">
        <v>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53</v>
      </c>
      <c r="B23" t="s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55</v>
      </c>
      <c r="B24" t="s">
        <v>56</v>
      </c>
      <c r="C24">
        <v>672209285.54972363</v>
      </c>
      <c r="D24">
        <v>8363636</v>
      </c>
      <c r="E24">
        <v>2132546366</v>
      </c>
      <c r="F24">
        <v>0</v>
      </c>
      <c r="G24">
        <v>0</v>
      </c>
      <c r="H24">
        <v>66527272</v>
      </c>
      <c r="I24">
        <v>0</v>
      </c>
      <c r="J24">
        <v>21790909</v>
      </c>
      <c r="K24">
        <v>0</v>
      </c>
      <c r="L24">
        <v>85136363</v>
      </c>
      <c r="M24">
        <v>0</v>
      </c>
      <c r="N24">
        <v>47745454</v>
      </c>
      <c r="O24">
        <v>0</v>
      </c>
      <c r="P24">
        <v>88600001</v>
      </c>
      <c r="Q24">
        <v>0</v>
      </c>
      <c r="R24">
        <v>100940910</v>
      </c>
      <c r="S24">
        <v>0</v>
      </c>
      <c r="T24">
        <v>653063636</v>
      </c>
      <c r="U24">
        <v>0</v>
      </c>
      <c r="V24">
        <v>303990909</v>
      </c>
      <c r="W24">
        <v>0</v>
      </c>
      <c r="X24">
        <v>173825456</v>
      </c>
      <c r="Y24">
        <v>0</v>
      </c>
      <c r="Z24">
        <v>130236364</v>
      </c>
      <c r="AA24">
        <v>0</v>
      </c>
      <c r="AB24">
        <v>164936363</v>
      </c>
      <c r="AC24">
        <v>8363636</v>
      </c>
      <c r="AD24">
        <v>295752729</v>
      </c>
    </row>
    <row r="25" spans="1:30" x14ac:dyDescent="0.25">
      <c r="A25" t="s">
        <v>57</v>
      </c>
      <c r="B25" t="s">
        <v>58</v>
      </c>
      <c r="C25">
        <v>2243200685.361217</v>
      </c>
      <c r="D25">
        <v>2415311811</v>
      </c>
      <c r="E25">
        <v>2234977275</v>
      </c>
      <c r="F25">
        <v>2423535221.361217</v>
      </c>
      <c r="G25">
        <v>124108181</v>
      </c>
      <c r="H25">
        <v>34172728</v>
      </c>
      <c r="I25">
        <v>357912727</v>
      </c>
      <c r="J25">
        <v>114181818</v>
      </c>
      <c r="K25">
        <v>200649088</v>
      </c>
      <c r="L25">
        <v>258263635</v>
      </c>
      <c r="M25">
        <v>22074544</v>
      </c>
      <c r="N25">
        <v>33309091</v>
      </c>
      <c r="O25">
        <v>3730000</v>
      </c>
      <c r="P25">
        <v>94490909</v>
      </c>
      <c r="Q25">
        <v>327120909</v>
      </c>
      <c r="R25">
        <v>213090909</v>
      </c>
      <c r="S25">
        <v>137683638</v>
      </c>
      <c r="T25">
        <v>194436365</v>
      </c>
      <c r="U25">
        <v>15773636</v>
      </c>
      <c r="V25">
        <v>91377271</v>
      </c>
      <c r="W25">
        <v>538326359</v>
      </c>
      <c r="X25">
        <v>365109090</v>
      </c>
      <c r="Y25">
        <v>52810001</v>
      </c>
      <c r="Z25">
        <v>232390913</v>
      </c>
      <c r="AA25">
        <v>125031820</v>
      </c>
      <c r="AB25">
        <v>220100001</v>
      </c>
      <c r="AC25">
        <v>510090908</v>
      </c>
      <c r="AD25">
        <v>384054545</v>
      </c>
    </row>
    <row r="26" spans="1:30" x14ac:dyDescent="0.25">
      <c r="A26" t="s">
        <v>59</v>
      </c>
      <c r="B26" t="s">
        <v>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61</v>
      </c>
      <c r="B27" t="s">
        <v>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63</v>
      </c>
      <c r="B28" t="s">
        <v>64</v>
      </c>
      <c r="C28">
        <v>0</v>
      </c>
      <c r="D28">
        <v>29545455</v>
      </c>
      <c r="E28">
        <v>31809091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29545455</v>
      </c>
      <c r="R28">
        <v>0</v>
      </c>
      <c r="S28">
        <v>0</v>
      </c>
      <c r="T28">
        <v>31809091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65</v>
      </c>
      <c r="B29" t="s">
        <v>66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67</v>
      </c>
      <c r="B30" t="s">
        <v>68</v>
      </c>
      <c r="C30">
        <v>61924685.307692319</v>
      </c>
      <c r="D30">
        <v>120480002</v>
      </c>
      <c r="E30">
        <v>115190910</v>
      </c>
      <c r="F30">
        <v>67213777.307692319</v>
      </c>
      <c r="G30">
        <v>18601818</v>
      </c>
      <c r="H30">
        <v>20000000</v>
      </c>
      <c r="I30">
        <v>18601818</v>
      </c>
      <c r="J30">
        <v>20000000</v>
      </c>
      <c r="K30">
        <v>0</v>
      </c>
      <c r="L30">
        <v>0</v>
      </c>
      <c r="M30">
        <v>25594546</v>
      </c>
      <c r="N30">
        <v>27254546</v>
      </c>
      <c r="O30">
        <v>16227273</v>
      </c>
      <c r="P30">
        <v>17409091</v>
      </c>
      <c r="Q30">
        <v>0</v>
      </c>
      <c r="R30">
        <v>0</v>
      </c>
      <c r="S30">
        <v>14090910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27363637</v>
      </c>
      <c r="AB30">
        <v>30527273</v>
      </c>
      <c r="AC30">
        <v>0</v>
      </c>
      <c r="AD30">
        <v>0</v>
      </c>
    </row>
    <row r="31" spans="1:30" x14ac:dyDescent="0.25">
      <c r="A31" t="s">
        <v>69</v>
      </c>
      <c r="B31" t="s">
        <v>70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71</v>
      </c>
      <c r="B32" t="s">
        <v>72</v>
      </c>
      <c r="C32">
        <v>0</v>
      </c>
      <c r="D32">
        <v>1818182</v>
      </c>
      <c r="E32">
        <v>2081818</v>
      </c>
      <c r="F32">
        <v>0</v>
      </c>
      <c r="G32">
        <v>0</v>
      </c>
      <c r="H32">
        <v>0</v>
      </c>
      <c r="I32">
        <v>0</v>
      </c>
      <c r="J32">
        <v>0</v>
      </c>
      <c r="K32">
        <v>1818182</v>
      </c>
      <c r="L32">
        <v>2081818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73</v>
      </c>
      <c r="B33" t="s">
        <v>74</v>
      </c>
      <c r="C33">
        <v>23781985.5</v>
      </c>
      <c r="D33">
        <v>9727273</v>
      </c>
      <c r="E33">
        <v>7881819</v>
      </c>
      <c r="F33">
        <v>25627439.5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7227273</v>
      </c>
      <c r="V33">
        <v>7881819</v>
      </c>
      <c r="W33">
        <v>0</v>
      </c>
      <c r="X33">
        <v>0</v>
      </c>
      <c r="Y33">
        <v>0</v>
      </c>
      <c r="Z33">
        <v>0</v>
      </c>
      <c r="AA33">
        <v>2500000</v>
      </c>
      <c r="AB33">
        <v>0</v>
      </c>
      <c r="AC33">
        <v>0</v>
      </c>
      <c r="AD33">
        <v>0</v>
      </c>
    </row>
    <row r="34" spans="1:30" x14ac:dyDescent="0.25">
      <c r="A34" t="s">
        <v>75</v>
      </c>
      <c r="B34" t="s">
        <v>76</v>
      </c>
      <c r="C34">
        <v>114704355.18326689</v>
      </c>
      <c r="D34">
        <v>36845455</v>
      </c>
      <c r="E34">
        <v>56809089</v>
      </c>
      <c r="F34">
        <v>94740721.183266938</v>
      </c>
      <c r="G34">
        <v>3945455</v>
      </c>
      <c r="H34">
        <v>12990909</v>
      </c>
      <c r="I34">
        <v>0</v>
      </c>
      <c r="J34">
        <v>0</v>
      </c>
      <c r="K34">
        <v>0</v>
      </c>
      <c r="L34">
        <v>6390909</v>
      </c>
      <c r="M34">
        <v>16136363</v>
      </c>
      <c r="N34">
        <v>11954544</v>
      </c>
      <c r="O34">
        <v>0</v>
      </c>
      <c r="P34">
        <v>0</v>
      </c>
      <c r="Q34">
        <v>2009091</v>
      </c>
      <c r="R34">
        <v>0</v>
      </c>
      <c r="S34">
        <v>0</v>
      </c>
      <c r="T34">
        <v>6445453</v>
      </c>
      <c r="U34">
        <v>5454545</v>
      </c>
      <c r="V34">
        <v>2136364</v>
      </c>
      <c r="W34">
        <v>5481819</v>
      </c>
      <c r="X34">
        <v>12727274</v>
      </c>
      <c r="Y34">
        <v>0</v>
      </c>
      <c r="Z34">
        <v>0</v>
      </c>
      <c r="AA34">
        <v>0</v>
      </c>
      <c r="AB34">
        <v>0</v>
      </c>
      <c r="AC34">
        <v>3818182</v>
      </c>
      <c r="AD34">
        <v>4163636</v>
      </c>
    </row>
    <row r="35" spans="1:30" x14ac:dyDescent="0.25">
      <c r="A35" t="s">
        <v>77</v>
      </c>
      <c r="B35" t="s">
        <v>78</v>
      </c>
      <c r="C35">
        <v>921109124.55380154</v>
      </c>
      <c r="D35">
        <v>1046774544</v>
      </c>
      <c r="E35">
        <v>650990904</v>
      </c>
      <c r="F35">
        <v>1316892764.553802</v>
      </c>
      <c r="G35">
        <v>40349087</v>
      </c>
      <c r="H35">
        <v>48436362</v>
      </c>
      <c r="I35">
        <v>56490000</v>
      </c>
      <c r="J35">
        <v>24481819</v>
      </c>
      <c r="K35">
        <v>196763637</v>
      </c>
      <c r="L35">
        <v>113000001</v>
      </c>
      <c r="M35">
        <v>19350001</v>
      </c>
      <c r="N35">
        <v>68499998</v>
      </c>
      <c r="O35">
        <v>131259092</v>
      </c>
      <c r="P35">
        <v>54922726</v>
      </c>
      <c r="Q35">
        <v>391636363</v>
      </c>
      <c r="R35">
        <v>40963637</v>
      </c>
      <c r="S35">
        <v>6405455</v>
      </c>
      <c r="T35">
        <v>34836363</v>
      </c>
      <c r="U35">
        <v>18981820</v>
      </c>
      <c r="V35">
        <v>32463637</v>
      </c>
      <c r="W35">
        <v>14336363</v>
      </c>
      <c r="X35">
        <v>50445453</v>
      </c>
      <c r="Y35">
        <v>45339091</v>
      </c>
      <c r="Z35">
        <v>59549999</v>
      </c>
      <c r="AA35">
        <v>27600000</v>
      </c>
      <c r="AB35">
        <v>89427275</v>
      </c>
      <c r="AC35">
        <v>98263635</v>
      </c>
      <c r="AD35">
        <v>33963634</v>
      </c>
    </row>
    <row r="36" spans="1:30" x14ac:dyDescent="0.25">
      <c r="A36" t="s">
        <v>79</v>
      </c>
      <c r="B36" t="s">
        <v>80</v>
      </c>
      <c r="C36">
        <v>16617163.021276589</v>
      </c>
      <c r="D36">
        <v>37836363</v>
      </c>
      <c r="E36">
        <v>10945455</v>
      </c>
      <c r="F36">
        <v>43508071.021276593</v>
      </c>
      <c r="G36">
        <v>0</v>
      </c>
      <c r="H36">
        <v>4000000</v>
      </c>
      <c r="I36">
        <v>6490909</v>
      </c>
      <c r="J36">
        <v>0</v>
      </c>
      <c r="K36">
        <v>0</v>
      </c>
      <c r="L36">
        <v>3627273</v>
      </c>
      <c r="M36">
        <v>6000000</v>
      </c>
      <c r="N36">
        <v>0</v>
      </c>
      <c r="O36">
        <v>0</v>
      </c>
      <c r="P36">
        <v>0</v>
      </c>
      <c r="Q36">
        <v>6090909</v>
      </c>
      <c r="R36">
        <v>0</v>
      </c>
      <c r="S36">
        <v>6090909</v>
      </c>
      <c r="T36">
        <v>3318182</v>
      </c>
      <c r="U36">
        <v>0</v>
      </c>
      <c r="V36">
        <v>0</v>
      </c>
      <c r="W36">
        <v>6581818</v>
      </c>
      <c r="X36">
        <v>0</v>
      </c>
      <c r="Y36">
        <v>6581818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81</v>
      </c>
      <c r="B37" t="s">
        <v>82</v>
      </c>
      <c r="C37">
        <v>106919470.1964286</v>
      </c>
      <c r="D37">
        <v>96536365</v>
      </c>
      <c r="E37">
        <v>104545454</v>
      </c>
      <c r="F37">
        <v>98910381.196428597</v>
      </c>
      <c r="G37">
        <v>4245455</v>
      </c>
      <c r="H37">
        <v>0</v>
      </c>
      <c r="I37">
        <v>0</v>
      </c>
      <c r="J37">
        <v>0</v>
      </c>
      <c r="K37">
        <v>32463636</v>
      </c>
      <c r="L37">
        <v>0</v>
      </c>
      <c r="M37">
        <v>0</v>
      </c>
      <c r="N37">
        <v>15627272</v>
      </c>
      <c r="O37">
        <v>0</v>
      </c>
      <c r="P37">
        <v>5454546</v>
      </c>
      <c r="Q37">
        <v>22945455</v>
      </c>
      <c r="R37">
        <v>7318182</v>
      </c>
      <c r="S37">
        <v>0</v>
      </c>
      <c r="T37">
        <v>58500000</v>
      </c>
      <c r="U37">
        <v>7500000</v>
      </c>
      <c r="V37">
        <v>0</v>
      </c>
      <c r="W37">
        <v>13927273</v>
      </c>
      <c r="X37">
        <v>0</v>
      </c>
      <c r="Y37">
        <v>0</v>
      </c>
      <c r="Z37">
        <v>15909090</v>
      </c>
      <c r="AA37">
        <v>6127273</v>
      </c>
      <c r="AB37">
        <v>0</v>
      </c>
      <c r="AC37">
        <v>9327273</v>
      </c>
      <c r="AD37">
        <v>1736364</v>
      </c>
    </row>
    <row r="38" spans="1:30" x14ac:dyDescent="0.25">
      <c r="A38" t="s">
        <v>83</v>
      </c>
      <c r="B38" t="s">
        <v>84</v>
      </c>
      <c r="C38">
        <v>4636364</v>
      </c>
      <c r="D38">
        <v>1927273</v>
      </c>
      <c r="E38">
        <v>2227273</v>
      </c>
      <c r="F38">
        <v>4336364</v>
      </c>
      <c r="G38">
        <v>1927273</v>
      </c>
      <c r="H38">
        <v>2227273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85</v>
      </c>
      <c r="B39" t="s">
        <v>86</v>
      </c>
      <c r="C39">
        <v>262838600.38106239</v>
      </c>
      <c r="D39">
        <v>211009089</v>
      </c>
      <c r="E39">
        <v>101863639</v>
      </c>
      <c r="F39">
        <v>371984050.38106239</v>
      </c>
      <c r="G39">
        <v>0</v>
      </c>
      <c r="H39">
        <v>5209090</v>
      </c>
      <c r="I39">
        <v>0</v>
      </c>
      <c r="J39">
        <v>1227273</v>
      </c>
      <c r="K39">
        <v>80845453</v>
      </c>
      <c r="L39">
        <v>14372726</v>
      </c>
      <c r="M39">
        <v>0</v>
      </c>
      <c r="N39">
        <v>18409091</v>
      </c>
      <c r="O39">
        <v>23590909</v>
      </c>
      <c r="P39">
        <v>6763637</v>
      </c>
      <c r="Q39">
        <v>26054545</v>
      </c>
      <c r="R39">
        <v>6500001</v>
      </c>
      <c r="S39">
        <v>6690909</v>
      </c>
      <c r="T39">
        <v>16972727</v>
      </c>
      <c r="U39">
        <v>6618182</v>
      </c>
      <c r="V39">
        <v>0</v>
      </c>
      <c r="W39">
        <v>29263636</v>
      </c>
      <c r="X39">
        <v>16636365</v>
      </c>
      <c r="Y39">
        <v>0</v>
      </c>
      <c r="Z39">
        <v>15772729</v>
      </c>
      <c r="AA39">
        <v>0</v>
      </c>
      <c r="AB39">
        <v>0</v>
      </c>
      <c r="AC39">
        <v>37945455</v>
      </c>
      <c r="AD39">
        <v>0</v>
      </c>
    </row>
    <row r="40" spans="1:30" x14ac:dyDescent="0.25">
      <c r="A40" t="s">
        <v>87</v>
      </c>
      <c r="B40" t="s">
        <v>88</v>
      </c>
      <c r="C40">
        <v>15388888.77777778</v>
      </c>
      <c r="D40">
        <v>48954546</v>
      </c>
      <c r="E40">
        <v>12500000</v>
      </c>
      <c r="F40">
        <v>51843434.777777784</v>
      </c>
      <c r="G40">
        <v>13163636</v>
      </c>
      <c r="H40">
        <v>5818182</v>
      </c>
      <c r="I40">
        <v>0</v>
      </c>
      <c r="J40">
        <v>0</v>
      </c>
      <c r="K40">
        <v>0</v>
      </c>
      <c r="L40">
        <v>6681818</v>
      </c>
      <c r="M40">
        <v>7200001</v>
      </c>
      <c r="N40">
        <v>0</v>
      </c>
      <c r="O40">
        <v>0</v>
      </c>
      <c r="P40">
        <v>0</v>
      </c>
      <c r="Q40">
        <v>9681818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18909091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89</v>
      </c>
      <c r="B41" t="s">
        <v>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91</v>
      </c>
      <c r="B42" t="s">
        <v>92</v>
      </c>
      <c r="C42">
        <v>467760337.6248405</v>
      </c>
      <c r="D42">
        <v>592761810.08999991</v>
      </c>
      <c r="E42">
        <v>1174959081</v>
      </c>
      <c r="F42">
        <v>10229092</v>
      </c>
      <c r="G42">
        <v>32899998.91</v>
      </c>
      <c r="H42">
        <v>26392726</v>
      </c>
      <c r="I42">
        <v>9577272</v>
      </c>
      <c r="J42">
        <v>18454546</v>
      </c>
      <c r="K42">
        <v>30066363</v>
      </c>
      <c r="L42">
        <v>217118174</v>
      </c>
      <c r="M42">
        <v>59736363</v>
      </c>
      <c r="N42">
        <v>101072728</v>
      </c>
      <c r="O42">
        <v>75963637</v>
      </c>
      <c r="P42">
        <v>387945455</v>
      </c>
      <c r="Q42">
        <v>35690908</v>
      </c>
      <c r="R42">
        <v>42745455</v>
      </c>
      <c r="S42">
        <v>39727270</v>
      </c>
      <c r="T42">
        <v>76400000</v>
      </c>
      <c r="U42">
        <v>76404543.180000007</v>
      </c>
      <c r="V42">
        <v>60763635</v>
      </c>
      <c r="W42">
        <v>39763637</v>
      </c>
      <c r="X42">
        <v>61363636</v>
      </c>
      <c r="Y42">
        <v>36681819</v>
      </c>
      <c r="Z42">
        <v>27736362</v>
      </c>
      <c r="AA42">
        <v>61540911</v>
      </c>
      <c r="AB42">
        <v>60711818</v>
      </c>
      <c r="AC42">
        <v>94709088</v>
      </c>
      <c r="AD42">
        <v>94254546</v>
      </c>
    </row>
    <row r="43" spans="1:30" x14ac:dyDescent="0.25">
      <c r="A43" t="s">
        <v>93</v>
      </c>
      <c r="B43" t="s">
        <v>94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95</v>
      </c>
      <c r="B44" t="s">
        <v>96</v>
      </c>
      <c r="C44">
        <v>889591141.42474437</v>
      </c>
      <c r="D44">
        <v>1535713822</v>
      </c>
      <c r="E44">
        <v>779540892</v>
      </c>
      <c r="F44">
        <v>1645764071.4247439</v>
      </c>
      <c r="G44">
        <v>53329091</v>
      </c>
      <c r="H44">
        <v>13354546</v>
      </c>
      <c r="I44">
        <v>0</v>
      </c>
      <c r="J44">
        <v>5563636</v>
      </c>
      <c r="K44">
        <v>79472728</v>
      </c>
      <c r="L44">
        <v>40672728</v>
      </c>
      <c r="M44">
        <v>0</v>
      </c>
      <c r="N44">
        <v>11609092</v>
      </c>
      <c r="O44">
        <v>18401784</v>
      </c>
      <c r="P44">
        <v>13800001</v>
      </c>
      <c r="Q44">
        <v>90217127</v>
      </c>
      <c r="R44">
        <v>14954546</v>
      </c>
      <c r="S44">
        <v>0</v>
      </c>
      <c r="T44">
        <v>57218182</v>
      </c>
      <c r="U44">
        <v>79916930</v>
      </c>
      <c r="V44">
        <v>62472727</v>
      </c>
      <c r="W44">
        <v>181247574</v>
      </c>
      <c r="X44">
        <v>28399999</v>
      </c>
      <c r="Y44">
        <v>178962175</v>
      </c>
      <c r="Z44">
        <v>75100002</v>
      </c>
      <c r="AA44">
        <v>194799824</v>
      </c>
      <c r="AB44">
        <v>68009091</v>
      </c>
      <c r="AC44">
        <v>659366589</v>
      </c>
      <c r="AD44">
        <v>388386342</v>
      </c>
    </row>
    <row r="45" spans="1:30" x14ac:dyDescent="0.25">
      <c r="A45" t="s">
        <v>97</v>
      </c>
      <c r="B45" t="s">
        <v>98</v>
      </c>
      <c r="C45">
        <v>210324106.79297301</v>
      </c>
      <c r="D45">
        <v>450855603</v>
      </c>
      <c r="E45">
        <v>151272726</v>
      </c>
      <c r="F45">
        <v>509906983.79297298</v>
      </c>
      <c r="G45">
        <v>29690764</v>
      </c>
      <c r="H45">
        <v>0</v>
      </c>
      <c r="I45">
        <v>0</v>
      </c>
      <c r="J45">
        <v>10100000</v>
      </c>
      <c r="K45">
        <v>0</v>
      </c>
      <c r="L45">
        <v>25036365</v>
      </c>
      <c r="M45">
        <v>0</v>
      </c>
      <c r="N45">
        <v>5136364</v>
      </c>
      <c r="O45">
        <v>0</v>
      </c>
      <c r="P45">
        <v>11800000</v>
      </c>
      <c r="Q45">
        <v>15417709</v>
      </c>
      <c r="R45">
        <v>0</v>
      </c>
      <c r="S45">
        <v>0</v>
      </c>
      <c r="T45">
        <v>5045455</v>
      </c>
      <c r="U45">
        <v>30069419</v>
      </c>
      <c r="V45">
        <v>16390909</v>
      </c>
      <c r="W45">
        <v>52112255</v>
      </c>
      <c r="X45">
        <v>17781817</v>
      </c>
      <c r="Y45">
        <v>36754363</v>
      </c>
      <c r="Z45">
        <v>18409090</v>
      </c>
      <c r="AA45">
        <v>0</v>
      </c>
      <c r="AB45">
        <v>10345454</v>
      </c>
      <c r="AC45">
        <v>286811093</v>
      </c>
      <c r="AD45">
        <v>31227272</v>
      </c>
    </row>
    <row r="46" spans="1:30" x14ac:dyDescent="0.25">
      <c r="A46" t="s">
        <v>99</v>
      </c>
      <c r="B46" t="s">
        <v>100</v>
      </c>
      <c r="C46">
        <v>107686848.6325714</v>
      </c>
      <c r="D46">
        <v>77543269</v>
      </c>
      <c r="E46">
        <v>88840908</v>
      </c>
      <c r="F46">
        <v>96389209.632571429</v>
      </c>
      <c r="G46">
        <v>9772728</v>
      </c>
      <c r="H46">
        <v>8277273</v>
      </c>
      <c r="I46">
        <v>6363636</v>
      </c>
      <c r="J46">
        <v>7172727</v>
      </c>
      <c r="K46">
        <v>16863636</v>
      </c>
      <c r="L46">
        <v>13563636</v>
      </c>
      <c r="M46">
        <v>1909091</v>
      </c>
      <c r="N46">
        <v>27581818</v>
      </c>
      <c r="O46">
        <v>6045455</v>
      </c>
      <c r="P46">
        <v>6945455</v>
      </c>
      <c r="Q46">
        <v>14590907</v>
      </c>
      <c r="R46">
        <v>409091</v>
      </c>
      <c r="S46">
        <v>1272727</v>
      </c>
      <c r="T46">
        <v>8454544</v>
      </c>
      <c r="U46">
        <v>3227273</v>
      </c>
      <c r="V46">
        <v>7772727</v>
      </c>
      <c r="W46">
        <v>2045454</v>
      </c>
      <c r="X46">
        <v>354546</v>
      </c>
      <c r="Y46">
        <v>6518181</v>
      </c>
      <c r="Z46">
        <v>6945454</v>
      </c>
      <c r="AA46">
        <v>909090</v>
      </c>
      <c r="AB46">
        <v>490909</v>
      </c>
      <c r="AC46">
        <v>8025091</v>
      </c>
      <c r="AD46">
        <v>872728</v>
      </c>
    </row>
    <row r="47" spans="1:30" x14ac:dyDescent="0.25">
      <c r="A47" t="s">
        <v>101</v>
      </c>
      <c r="B47" t="s">
        <v>102</v>
      </c>
      <c r="C47">
        <v>164796959.47567379</v>
      </c>
      <c r="D47">
        <v>172848180.44999999</v>
      </c>
      <c r="E47">
        <v>79218180</v>
      </c>
      <c r="F47">
        <v>258426959.92567381</v>
      </c>
      <c r="G47">
        <v>28999998.449999999</v>
      </c>
      <c r="H47">
        <v>3809091</v>
      </c>
      <c r="I47">
        <v>11586364</v>
      </c>
      <c r="J47">
        <v>6863636</v>
      </c>
      <c r="K47">
        <v>32907273</v>
      </c>
      <c r="L47">
        <v>19254545</v>
      </c>
      <c r="M47">
        <v>4409091</v>
      </c>
      <c r="N47">
        <v>4772727</v>
      </c>
      <c r="O47">
        <v>8745454</v>
      </c>
      <c r="P47">
        <v>0</v>
      </c>
      <c r="Q47">
        <v>6700000</v>
      </c>
      <c r="R47">
        <v>0</v>
      </c>
      <c r="S47">
        <v>700000</v>
      </c>
      <c r="T47">
        <v>0</v>
      </c>
      <c r="U47">
        <v>29545455</v>
      </c>
      <c r="V47">
        <v>6909091</v>
      </c>
      <c r="W47">
        <v>8481819</v>
      </c>
      <c r="X47">
        <v>13636364</v>
      </c>
      <c r="Y47">
        <v>11272727</v>
      </c>
      <c r="Z47">
        <v>0</v>
      </c>
      <c r="AA47">
        <v>3290909</v>
      </c>
      <c r="AB47">
        <v>6272727</v>
      </c>
      <c r="AC47">
        <v>26209090</v>
      </c>
      <c r="AD47">
        <v>17699999</v>
      </c>
    </row>
    <row r="48" spans="1:30" x14ac:dyDescent="0.25">
      <c r="A48" t="s">
        <v>103</v>
      </c>
      <c r="B48" t="s">
        <v>104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105</v>
      </c>
      <c r="B49" t="s">
        <v>106</v>
      </c>
      <c r="C49">
        <v>260546795.96224141</v>
      </c>
      <c r="D49">
        <v>360303368</v>
      </c>
      <c r="E49">
        <v>391190913</v>
      </c>
      <c r="F49">
        <v>229659250.96224141</v>
      </c>
      <c r="G49">
        <v>0</v>
      </c>
      <c r="H49">
        <v>1900000</v>
      </c>
      <c r="I49">
        <v>2972727</v>
      </c>
      <c r="J49">
        <v>2536364</v>
      </c>
      <c r="K49">
        <v>0</v>
      </c>
      <c r="L49">
        <v>6536364</v>
      </c>
      <c r="M49">
        <v>12090910</v>
      </c>
      <c r="N49">
        <v>26572728</v>
      </c>
      <c r="O49">
        <v>84772731</v>
      </c>
      <c r="P49">
        <v>96727275</v>
      </c>
      <c r="Q49">
        <v>26136363</v>
      </c>
      <c r="R49">
        <v>22427274</v>
      </c>
      <c r="S49">
        <v>14027273</v>
      </c>
      <c r="T49">
        <v>23618182</v>
      </c>
      <c r="U49">
        <v>20400001</v>
      </c>
      <c r="V49">
        <v>18490909</v>
      </c>
      <c r="W49">
        <v>20890910</v>
      </c>
      <c r="X49">
        <v>25718182</v>
      </c>
      <c r="Y49">
        <v>72272727</v>
      </c>
      <c r="Z49">
        <v>101663636</v>
      </c>
      <c r="AA49">
        <v>31500000</v>
      </c>
      <c r="AB49">
        <v>20799999</v>
      </c>
      <c r="AC49">
        <v>75239726</v>
      </c>
      <c r="AD49">
        <v>44200000</v>
      </c>
    </row>
    <row r="50" spans="1:30" x14ac:dyDescent="0.25">
      <c r="A50" t="s">
        <v>107</v>
      </c>
      <c r="B50" t="s">
        <v>108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109</v>
      </c>
      <c r="B51" t="s">
        <v>110</v>
      </c>
      <c r="C51">
        <v>1104228.199999999</v>
      </c>
      <c r="D51">
        <v>0</v>
      </c>
      <c r="E51">
        <v>850000</v>
      </c>
      <c r="F51">
        <v>254228.19999999931</v>
      </c>
      <c r="G51">
        <v>0</v>
      </c>
      <c r="H51">
        <v>0</v>
      </c>
      <c r="I51">
        <v>0</v>
      </c>
      <c r="J51">
        <v>850000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111</v>
      </c>
      <c r="B52" t="s">
        <v>112</v>
      </c>
      <c r="C52">
        <v>126547236.26693881</v>
      </c>
      <c r="D52">
        <v>79894864.799999997</v>
      </c>
      <c r="E52">
        <v>143250001</v>
      </c>
      <c r="F52">
        <v>63192100.066938758</v>
      </c>
      <c r="G52">
        <v>0</v>
      </c>
      <c r="H52">
        <v>0</v>
      </c>
      <c r="I52">
        <v>0</v>
      </c>
      <c r="J52">
        <v>0</v>
      </c>
      <c r="K52">
        <v>0</v>
      </c>
      <c r="L52">
        <v>2083333</v>
      </c>
      <c r="M52">
        <v>227273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41519445</v>
      </c>
      <c r="X52">
        <v>0</v>
      </c>
      <c r="Y52">
        <v>0</v>
      </c>
      <c r="Z52">
        <v>0</v>
      </c>
      <c r="AA52">
        <v>31111110.800000001</v>
      </c>
      <c r="AB52">
        <v>34407408</v>
      </c>
      <c r="AC52">
        <v>7037036</v>
      </c>
      <c r="AD52">
        <v>106759260</v>
      </c>
    </row>
    <row r="53" spans="1:30" x14ac:dyDescent="0.25">
      <c r="A53" t="s">
        <v>113</v>
      </c>
      <c r="B53" t="s">
        <v>114</v>
      </c>
      <c r="C53">
        <v>5580000</v>
      </c>
      <c r="D53">
        <v>0</v>
      </c>
      <c r="E53">
        <v>0</v>
      </c>
      <c r="F53">
        <v>5580000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115</v>
      </c>
      <c r="B54" t="s">
        <v>116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117</v>
      </c>
      <c r="B55" t="s">
        <v>118</v>
      </c>
      <c r="C55">
        <v>131125080.172702</v>
      </c>
      <c r="D55">
        <v>205161091</v>
      </c>
      <c r="E55">
        <v>221700002</v>
      </c>
      <c r="F55">
        <v>114586169.172702</v>
      </c>
      <c r="G55">
        <v>29191818</v>
      </c>
      <c r="H55">
        <v>17045455</v>
      </c>
      <c r="I55">
        <v>7180000</v>
      </c>
      <c r="J55">
        <v>8172727</v>
      </c>
      <c r="K55">
        <v>49290000</v>
      </c>
      <c r="L55">
        <v>62018182</v>
      </c>
      <c r="M55">
        <v>8100000</v>
      </c>
      <c r="N55">
        <v>15745455</v>
      </c>
      <c r="O55">
        <v>7180000</v>
      </c>
      <c r="P55">
        <v>17718182</v>
      </c>
      <c r="Q55">
        <v>37225455</v>
      </c>
      <c r="R55">
        <v>18636363</v>
      </c>
      <c r="S55">
        <v>8250000</v>
      </c>
      <c r="T55">
        <v>8990909</v>
      </c>
      <c r="U55">
        <v>0</v>
      </c>
      <c r="V55">
        <v>336364</v>
      </c>
      <c r="W55">
        <v>18702000</v>
      </c>
      <c r="X55">
        <v>1700000</v>
      </c>
      <c r="Y55">
        <v>10200000</v>
      </c>
      <c r="Z55">
        <v>28054546</v>
      </c>
      <c r="AA55">
        <v>4960000</v>
      </c>
      <c r="AB55">
        <v>16127273</v>
      </c>
      <c r="AC55">
        <v>24881818</v>
      </c>
      <c r="AD55">
        <v>27154546</v>
      </c>
    </row>
    <row r="56" spans="1:30" x14ac:dyDescent="0.25">
      <c r="A56" t="s">
        <v>119</v>
      </c>
      <c r="B56" t="s">
        <v>120</v>
      </c>
      <c r="C56">
        <v>20623347.491525419</v>
      </c>
      <c r="D56">
        <v>30783331</v>
      </c>
      <c r="E56">
        <v>46453705</v>
      </c>
      <c r="F56">
        <v>4952973.4915254228</v>
      </c>
      <c r="G56">
        <v>1181482</v>
      </c>
      <c r="H56">
        <v>1379630</v>
      </c>
      <c r="I56">
        <v>0</v>
      </c>
      <c r="J56">
        <v>1342593</v>
      </c>
      <c r="K56">
        <v>9994443</v>
      </c>
      <c r="L56">
        <v>13694444</v>
      </c>
      <c r="M56">
        <v>0</v>
      </c>
      <c r="N56">
        <v>3000000</v>
      </c>
      <c r="O56">
        <v>2314815</v>
      </c>
      <c r="P56">
        <v>2166667</v>
      </c>
      <c r="Q56">
        <v>5675925</v>
      </c>
      <c r="R56">
        <v>1342593</v>
      </c>
      <c r="S56">
        <v>8042592</v>
      </c>
      <c r="T56">
        <v>4777778</v>
      </c>
      <c r="U56">
        <v>0</v>
      </c>
      <c r="V56">
        <v>12111111</v>
      </c>
      <c r="W56">
        <v>0</v>
      </c>
      <c r="X56">
        <v>0</v>
      </c>
      <c r="Y56">
        <v>1768518</v>
      </c>
      <c r="Z56">
        <v>1009259</v>
      </c>
      <c r="AA56">
        <v>0</v>
      </c>
      <c r="AB56">
        <v>2407407</v>
      </c>
      <c r="AC56">
        <v>1805556</v>
      </c>
      <c r="AD56">
        <v>3222223</v>
      </c>
    </row>
    <row r="57" spans="1:30" x14ac:dyDescent="0.25">
      <c r="A57" t="s">
        <v>121</v>
      </c>
      <c r="B57" t="s">
        <v>122</v>
      </c>
      <c r="C57">
        <v>13582221.180769229</v>
      </c>
      <c r="D57">
        <v>12967037</v>
      </c>
      <c r="E57">
        <v>8648148</v>
      </c>
      <c r="F57">
        <v>17901110.180769231</v>
      </c>
      <c r="G57">
        <v>3287037</v>
      </c>
      <c r="H57">
        <v>0</v>
      </c>
      <c r="I57">
        <v>0</v>
      </c>
      <c r="J57">
        <v>0</v>
      </c>
      <c r="K57">
        <v>3080000</v>
      </c>
      <c r="L57">
        <v>0</v>
      </c>
      <c r="M57">
        <v>0</v>
      </c>
      <c r="N57">
        <v>4398148</v>
      </c>
      <c r="O57">
        <v>0</v>
      </c>
      <c r="P57">
        <v>0</v>
      </c>
      <c r="Q57">
        <v>0</v>
      </c>
      <c r="R57">
        <v>0</v>
      </c>
      <c r="S57">
        <v>3850000</v>
      </c>
      <c r="T57">
        <v>4250000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2750000</v>
      </c>
      <c r="AD57">
        <v>0</v>
      </c>
    </row>
    <row r="58" spans="1:30" x14ac:dyDescent="0.25">
      <c r="A58" t="s">
        <v>123</v>
      </c>
      <c r="B58" t="s">
        <v>124</v>
      </c>
      <c r="C58">
        <v>1829966.11</v>
      </c>
      <c r="D58">
        <v>0</v>
      </c>
      <c r="E58">
        <v>0</v>
      </c>
      <c r="F58">
        <v>1829966.11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125</v>
      </c>
      <c r="B59" t="s">
        <v>126</v>
      </c>
      <c r="C59">
        <v>249638170.38559759</v>
      </c>
      <c r="D59">
        <v>372086066.98000002</v>
      </c>
      <c r="E59">
        <v>361221904</v>
      </c>
      <c r="F59">
        <v>260502333.36559761</v>
      </c>
      <c r="G59">
        <v>14354544</v>
      </c>
      <c r="H59">
        <v>19581819</v>
      </c>
      <c r="I59">
        <v>12340915</v>
      </c>
      <c r="J59">
        <v>9636364</v>
      </c>
      <c r="K59">
        <v>37831156</v>
      </c>
      <c r="L59">
        <v>52490913</v>
      </c>
      <c r="M59">
        <v>48246724</v>
      </c>
      <c r="N59">
        <v>23218183</v>
      </c>
      <c r="O59">
        <v>37716363</v>
      </c>
      <c r="P59">
        <v>28507273</v>
      </c>
      <c r="Q59">
        <v>20913636.98</v>
      </c>
      <c r="R59">
        <v>17499999</v>
      </c>
      <c r="S59">
        <v>35911818</v>
      </c>
      <c r="T59">
        <v>46346369</v>
      </c>
      <c r="U59">
        <v>43085458</v>
      </c>
      <c r="V59">
        <v>24177273</v>
      </c>
      <c r="W59">
        <v>22673646</v>
      </c>
      <c r="X59">
        <v>46740912</v>
      </c>
      <c r="Y59">
        <v>27343637</v>
      </c>
      <c r="Z59">
        <v>22663632</v>
      </c>
      <c r="AA59">
        <v>35605451</v>
      </c>
      <c r="AB59">
        <v>16272731</v>
      </c>
      <c r="AC59">
        <v>36062718</v>
      </c>
      <c r="AD59">
        <v>54086436</v>
      </c>
    </row>
    <row r="60" spans="1:30" x14ac:dyDescent="0.25">
      <c r="A60" t="s">
        <v>127</v>
      </c>
      <c r="B60" t="s">
        <v>128</v>
      </c>
      <c r="C60">
        <v>4804820.6822262118</v>
      </c>
      <c r="D60">
        <v>1413645</v>
      </c>
      <c r="E60">
        <v>2863635</v>
      </c>
      <c r="F60">
        <v>3354830.6822262122</v>
      </c>
      <c r="G60">
        <v>0</v>
      </c>
      <c r="H60">
        <v>545455</v>
      </c>
      <c r="I60">
        <v>0</v>
      </c>
      <c r="J60">
        <v>0</v>
      </c>
      <c r="K60">
        <v>0</v>
      </c>
      <c r="L60">
        <v>345455</v>
      </c>
      <c r="M60">
        <v>0</v>
      </c>
      <c r="N60">
        <v>472726</v>
      </c>
      <c r="O60">
        <v>0</v>
      </c>
      <c r="P60">
        <v>254545</v>
      </c>
      <c r="Q60">
        <v>0</v>
      </c>
      <c r="R60">
        <v>0</v>
      </c>
      <c r="S60">
        <v>0</v>
      </c>
      <c r="T60">
        <v>290909</v>
      </c>
      <c r="U60">
        <v>0</v>
      </c>
      <c r="V60">
        <v>0</v>
      </c>
      <c r="W60">
        <v>0</v>
      </c>
      <c r="X60">
        <v>0</v>
      </c>
      <c r="Y60">
        <v>350000</v>
      </c>
      <c r="Z60">
        <v>0</v>
      </c>
      <c r="AA60">
        <v>354545</v>
      </c>
      <c r="AB60">
        <v>800000</v>
      </c>
      <c r="AC60">
        <v>709100</v>
      </c>
      <c r="AD60">
        <v>154545</v>
      </c>
    </row>
    <row r="61" spans="1:30" x14ac:dyDescent="0.25">
      <c r="A61" t="s">
        <v>129</v>
      </c>
      <c r="B61" t="s">
        <v>130</v>
      </c>
      <c r="C61">
        <v>555801.75</v>
      </c>
      <c r="D61">
        <v>1263636</v>
      </c>
      <c r="E61">
        <v>2481818</v>
      </c>
      <c r="F61">
        <v>1100000</v>
      </c>
      <c r="G61">
        <v>0</v>
      </c>
      <c r="H61">
        <v>863636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163636</v>
      </c>
      <c r="T61">
        <v>436364</v>
      </c>
      <c r="U61">
        <v>0</v>
      </c>
      <c r="V61">
        <v>0</v>
      </c>
      <c r="W61">
        <v>0</v>
      </c>
      <c r="X61">
        <v>0</v>
      </c>
      <c r="Y61">
        <v>0</v>
      </c>
      <c r="Z61">
        <v>1181818</v>
      </c>
      <c r="AA61">
        <v>0</v>
      </c>
      <c r="AB61">
        <v>0</v>
      </c>
      <c r="AC61">
        <v>1100000</v>
      </c>
      <c r="AD61">
        <v>0</v>
      </c>
    </row>
    <row r="62" spans="1:30" x14ac:dyDescent="0.25">
      <c r="A62" t="s">
        <v>131</v>
      </c>
      <c r="B62" t="s">
        <v>132</v>
      </c>
      <c r="C62">
        <v>241189527.8789579</v>
      </c>
      <c r="D62">
        <v>22582910</v>
      </c>
      <c r="E62">
        <v>41770006</v>
      </c>
      <c r="F62">
        <v>222002431.8789579</v>
      </c>
      <c r="G62">
        <v>1272728</v>
      </c>
      <c r="H62">
        <v>4323638</v>
      </c>
      <c r="I62">
        <v>1272727</v>
      </c>
      <c r="J62">
        <v>1281819</v>
      </c>
      <c r="K62">
        <v>2545455</v>
      </c>
      <c r="L62">
        <v>1600001</v>
      </c>
      <c r="M62">
        <v>0</v>
      </c>
      <c r="N62">
        <v>1918182</v>
      </c>
      <c r="O62">
        <v>2545455</v>
      </c>
      <c r="P62">
        <v>2854547</v>
      </c>
      <c r="Q62">
        <v>1272727</v>
      </c>
      <c r="R62">
        <v>1827274</v>
      </c>
      <c r="S62">
        <v>1272727</v>
      </c>
      <c r="T62">
        <v>7881819</v>
      </c>
      <c r="U62">
        <v>1746000</v>
      </c>
      <c r="V62">
        <v>781819</v>
      </c>
      <c r="W62">
        <v>3018727</v>
      </c>
      <c r="X62">
        <v>10798183</v>
      </c>
      <c r="Y62">
        <v>2545454</v>
      </c>
      <c r="Z62">
        <v>1943637</v>
      </c>
      <c r="AA62">
        <v>5090910</v>
      </c>
      <c r="AB62">
        <v>1800000</v>
      </c>
      <c r="AC62">
        <v>0</v>
      </c>
      <c r="AD62">
        <v>4759087</v>
      </c>
    </row>
    <row r="63" spans="1:30" x14ac:dyDescent="0.25">
      <c r="A63" t="s">
        <v>133</v>
      </c>
      <c r="B63" t="s">
        <v>134</v>
      </c>
      <c r="C63">
        <v>58643359.711580493</v>
      </c>
      <c r="D63">
        <v>168090910</v>
      </c>
      <c r="E63">
        <v>39681817</v>
      </c>
      <c r="F63">
        <v>187052452.71158049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500000</v>
      </c>
      <c r="O63">
        <v>0</v>
      </c>
      <c r="P63">
        <v>500000</v>
      </c>
      <c r="Q63">
        <v>0</v>
      </c>
      <c r="R63">
        <v>0</v>
      </c>
      <c r="S63">
        <v>0</v>
      </c>
      <c r="T63">
        <v>0</v>
      </c>
      <c r="U63">
        <v>0</v>
      </c>
      <c r="V63">
        <v>454546</v>
      </c>
      <c r="W63">
        <v>0</v>
      </c>
      <c r="X63">
        <v>0</v>
      </c>
      <c r="Y63">
        <v>5454545</v>
      </c>
      <c r="Z63">
        <v>0</v>
      </c>
      <c r="AA63">
        <v>7245456</v>
      </c>
      <c r="AB63">
        <v>681817</v>
      </c>
      <c r="AC63">
        <v>155390909</v>
      </c>
      <c r="AD63">
        <v>37545454</v>
      </c>
    </row>
    <row r="64" spans="1:30" x14ac:dyDescent="0.25">
      <c r="A64" t="s">
        <v>135</v>
      </c>
      <c r="B64" t="s">
        <v>136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137</v>
      </c>
      <c r="B65" t="s">
        <v>138</v>
      </c>
      <c r="C65">
        <v>7747134.4511235952</v>
      </c>
      <c r="D65">
        <v>472728</v>
      </c>
      <c r="E65">
        <v>2518182</v>
      </c>
      <c r="F65">
        <v>5701680.4511235952</v>
      </c>
      <c r="G65">
        <v>0</v>
      </c>
      <c r="H65">
        <v>2072727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472728</v>
      </c>
      <c r="AB65">
        <v>445455</v>
      </c>
      <c r="AC65">
        <v>0</v>
      </c>
      <c r="AD65">
        <v>0</v>
      </c>
    </row>
    <row r="66" spans="1:30" x14ac:dyDescent="0.25">
      <c r="A66" t="s">
        <v>139</v>
      </c>
      <c r="B66" t="s">
        <v>140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141</v>
      </c>
      <c r="B67" t="s">
        <v>142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143</v>
      </c>
      <c r="B68" t="s">
        <v>144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145</v>
      </c>
      <c r="B69" t="s">
        <v>146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147</v>
      </c>
      <c r="B70" t="s">
        <v>148</v>
      </c>
      <c r="C70">
        <v>59507764.125112101</v>
      </c>
      <c r="D70">
        <v>38982253.539999999</v>
      </c>
      <c r="E70">
        <v>20954546</v>
      </c>
      <c r="F70">
        <v>77535471.665112108</v>
      </c>
      <c r="G70">
        <v>0</v>
      </c>
      <c r="H70">
        <v>409091</v>
      </c>
      <c r="I70">
        <v>0</v>
      </c>
      <c r="J70">
        <v>0</v>
      </c>
      <c r="K70">
        <v>0</v>
      </c>
      <c r="L70">
        <v>618182</v>
      </c>
      <c r="M70">
        <v>509091</v>
      </c>
      <c r="N70">
        <v>3627273</v>
      </c>
      <c r="O70">
        <v>0</v>
      </c>
      <c r="P70">
        <v>1618182</v>
      </c>
      <c r="Q70">
        <v>545454.54</v>
      </c>
      <c r="R70">
        <v>0</v>
      </c>
      <c r="S70">
        <v>3545455</v>
      </c>
      <c r="T70">
        <v>5909091</v>
      </c>
      <c r="U70">
        <v>0</v>
      </c>
      <c r="V70">
        <v>590909</v>
      </c>
      <c r="W70">
        <v>1536364</v>
      </c>
      <c r="X70">
        <v>4454545</v>
      </c>
      <c r="Y70">
        <v>2081799</v>
      </c>
      <c r="Z70">
        <v>2481818</v>
      </c>
      <c r="AA70">
        <v>2986817</v>
      </c>
      <c r="AB70">
        <v>627273</v>
      </c>
      <c r="AC70">
        <v>27777273</v>
      </c>
      <c r="AD70">
        <v>618182</v>
      </c>
    </row>
    <row r="71" spans="1:30" x14ac:dyDescent="0.25">
      <c r="A71" t="s">
        <v>149</v>
      </c>
      <c r="B71" t="s">
        <v>150</v>
      </c>
      <c r="C71">
        <v>697428.16000000015</v>
      </c>
      <c r="D71">
        <v>40000</v>
      </c>
      <c r="E71">
        <v>0</v>
      </c>
      <c r="F71">
        <v>737428.16000000015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40000</v>
      </c>
      <c r="AD71">
        <v>0</v>
      </c>
    </row>
    <row r="72" spans="1:30" x14ac:dyDescent="0.25">
      <c r="A72" t="s">
        <v>151</v>
      </c>
      <c r="B72" t="s">
        <v>152</v>
      </c>
      <c r="C72">
        <v>699999.59999999986</v>
      </c>
      <c r="D72">
        <v>0</v>
      </c>
      <c r="E72">
        <v>409090</v>
      </c>
      <c r="F72">
        <v>290909.59999999992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409090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153</v>
      </c>
      <c r="B73" t="s">
        <v>154</v>
      </c>
      <c r="C73">
        <v>137857.79768786131</v>
      </c>
      <c r="D73">
        <v>590000</v>
      </c>
      <c r="E73">
        <v>1111111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590000</v>
      </c>
      <c r="N73">
        <v>1111111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155</v>
      </c>
      <c r="B74" t="s">
        <v>156</v>
      </c>
      <c r="C74">
        <v>263276022.07878789</v>
      </c>
      <c r="D74">
        <v>98245457</v>
      </c>
      <c r="E74">
        <v>35390910</v>
      </c>
      <c r="F74">
        <v>326130569.07878792</v>
      </c>
      <c r="G74">
        <v>0</v>
      </c>
      <c r="H74">
        <v>2090909</v>
      </c>
      <c r="I74">
        <v>5418182</v>
      </c>
      <c r="J74">
        <v>0</v>
      </c>
      <c r="K74">
        <v>42690910</v>
      </c>
      <c r="L74">
        <v>4945455</v>
      </c>
      <c r="M74">
        <v>21118183</v>
      </c>
      <c r="N74">
        <v>7572728</v>
      </c>
      <c r="O74">
        <v>0</v>
      </c>
      <c r="P74">
        <v>6727273</v>
      </c>
      <c r="Q74">
        <v>12709091</v>
      </c>
      <c r="R74">
        <v>0</v>
      </c>
      <c r="S74">
        <v>0</v>
      </c>
      <c r="T74">
        <v>2090909</v>
      </c>
      <c r="U74">
        <v>16309091</v>
      </c>
      <c r="V74">
        <v>6000000</v>
      </c>
      <c r="W74">
        <v>0</v>
      </c>
      <c r="X74">
        <v>1909090</v>
      </c>
      <c r="Y74">
        <v>0</v>
      </c>
      <c r="Z74">
        <v>2009091</v>
      </c>
      <c r="AA74">
        <v>0</v>
      </c>
      <c r="AB74">
        <v>0</v>
      </c>
      <c r="AC74">
        <v>0</v>
      </c>
      <c r="AD74">
        <v>2045455</v>
      </c>
    </row>
    <row r="75" spans="1:30" x14ac:dyDescent="0.25">
      <c r="A75" t="s">
        <v>157</v>
      </c>
      <c r="B75" t="s">
        <v>158</v>
      </c>
      <c r="C75">
        <v>391714680.75098813</v>
      </c>
      <c r="D75">
        <v>48400000</v>
      </c>
      <c r="E75">
        <v>59354543</v>
      </c>
      <c r="F75">
        <v>380760137.75098813</v>
      </c>
      <c r="G75">
        <v>0</v>
      </c>
      <c r="H75">
        <v>7045454</v>
      </c>
      <c r="I75">
        <v>11745454</v>
      </c>
      <c r="J75">
        <v>0</v>
      </c>
      <c r="K75">
        <v>8572728</v>
      </c>
      <c r="L75">
        <v>5818181</v>
      </c>
      <c r="M75">
        <v>2954545</v>
      </c>
      <c r="N75">
        <v>6254545</v>
      </c>
      <c r="O75">
        <v>0</v>
      </c>
      <c r="P75">
        <v>5818182</v>
      </c>
      <c r="Q75">
        <v>14536364</v>
      </c>
      <c r="R75">
        <v>3800000</v>
      </c>
      <c r="S75">
        <v>5818182</v>
      </c>
      <c r="T75">
        <v>14854546</v>
      </c>
      <c r="U75">
        <v>4772727</v>
      </c>
      <c r="V75">
        <v>5363636</v>
      </c>
      <c r="W75">
        <v>0</v>
      </c>
      <c r="X75">
        <v>2654545</v>
      </c>
      <c r="Y75">
        <v>0</v>
      </c>
      <c r="Z75">
        <v>0</v>
      </c>
      <c r="AA75">
        <v>0</v>
      </c>
      <c r="AB75">
        <v>7745454</v>
      </c>
      <c r="AC75">
        <v>0</v>
      </c>
      <c r="AD75">
        <v>0</v>
      </c>
    </row>
    <row r="76" spans="1:30" x14ac:dyDescent="0.25">
      <c r="A76" t="s">
        <v>159</v>
      </c>
      <c r="B76" t="s">
        <v>160</v>
      </c>
      <c r="C76">
        <v>28093729.875</v>
      </c>
      <c r="D76">
        <v>11409091</v>
      </c>
      <c r="E76">
        <v>12963637</v>
      </c>
      <c r="F76">
        <v>26539183.875</v>
      </c>
      <c r="G76">
        <v>0</v>
      </c>
      <c r="H76">
        <v>0</v>
      </c>
      <c r="I76">
        <v>0</v>
      </c>
      <c r="J76">
        <v>0</v>
      </c>
      <c r="K76">
        <v>5727273</v>
      </c>
      <c r="L76">
        <v>6045455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5681818</v>
      </c>
      <c r="AB76">
        <v>6918182</v>
      </c>
      <c r="AC76">
        <v>0</v>
      </c>
      <c r="AD76">
        <v>0</v>
      </c>
    </row>
    <row r="77" spans="1:30" x14ac:dyDescent="0.25">
      <c r="A77" t="s">
        <v>161</v>
      </c>
      <c r="B77" t="s">
        <v>162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163</v>
      </c>
      <c r="B78" t="s">
        <v>164</v>
      </c>
      <c r="C78">
        <v>181973350.59605911</v>
      </c>
      <c r="D78">
        <v>115904546</v>
      </c>
      <c r="E78">
        <v>68190913</v>
      </c>
      <c r="F78">
        <v>229686983.59605911</v>
      </c>
      <c r="G78">
        <v>0</v>
      </c>
      <c r="H78">
        <v>3327273</v>
      </c>
      <c r="I78">
        <v>3181818</v>
      </c>
      <c r="J78">
        <v>0</v>
      </c>
      <c r="K78">
        <v>0</v>
      </c>
      <c r="L78">
        <v>1636364</v>
      </c>
      <c r="M78">
        <v>15499998</v>
      </c>
      <c r="N78">
        <v>10336362</v>
      </c>
      <c r="O78">
        <v>0</v>
      </c>
      <c r="P78">
        <v>0</v>
      </c>
      <c r="Q78">
        <v>7959091</v>
      </c>
      <c r="R78">
        <v>1672727</v>
      </c>
      <c r="S78">
        <v>7954545</v>
      </c>
      <c r="T78">
        <v>14818184</v>
      </c>
      <c r="U78">
        <v>15363636</v>
      </c>
      <c r="V78">
        <v>0</v>
      </c>
      <c r="W78">
        <v>22500000</v>
      </c>
      <c r="X78">
        <v>1818182</v>
      </c>
      <c r="Y78">
        <v>14863640</v>
      </c>
      <c r="Z78">
        <v>0</v>
      </c>
      <c r="AA78">
        <v>28581818</v>
      </c>
      <c r="AB78">
        <v>3145455</v>
      </c>
      <c r="AC78">
        <v>0</v>
      </c>
      <c r="AD78">
        <v>31436366</v>
      </c>
    </row>
    <row r="79" spans="1:30" x14ac:dyDescent="0.25">
      <c r="A79" t="s">
        <v>165</v>
      </c>
      <c r="B79" t="s">
        <v>166</v>
      </c>
      <c r="C79">
        <v>22480932</v>
      </c>
      <c r="D79">
        <v>13976365</v>
      </c>
      <c r="E79">
        <v>4736363</v>
      </c>
      <c r="F79">
        <v>31720934</v>
      </c>
      <c r="G79">
        <v>0</v>
      </c>
      <c r="H79">
        <v>0</v>
      </c>
      <c r="I79">
        <v>4272728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4141818</v>
      </c>
      <c r="V79">
        <v>2736363</v>
      </c>
      <c r="W79">
        <v>2016364</v>
      </c>
      <c r="X79">
        <v>2000000</v>
      </c>
      <c r="Y79">
        <v>0</v>
      </c>
      <c r="Z79">
        <v>0</v>
      </c>
      <c r="AA79">
        <v>3545455</v>
      </c>
      <c r="AB79">
        <v>0</v>
      </c>
      <c r="AC79">
        <v>0</v>
      </c>
      <c r="AD79">
        <v>0</v>
      </c>
    </row>
    <row r="80" spans="1:30" x14ac:dyDescent="0.25">
      <c r="A80" t="s">
        <v>167</v>
      </c>
      <c r="B80" t="s">
        <v>168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169</v>
      </c>
      <c r="B81" t="s">
        <v>170</v>
      </c>
      <c r="C81">
        <v>129548536.62329011</v>
      </c>
      <c r="D81">
        <v>195470905</v>
      </c>
      <c r="E81">
        <v>118363626</v>
      </c>
      <c r="F81">
        <v>206655815.62329009</v>
      </c>
      <c r="G81">
        <v>51709091</v>
      </c>
      <c r="H81">
        <v>3863635</v>
      </c>
      <c r="I81">
        <v>38077272</v>
      </c>
      <c r="J81">
        <v>590909</v>
      </c>
      <c r="K81">
        <v>0</v>
      </c>
      <c r="L81">
        <v>10372732</v>
      </c>
      <c r="M81">
        <v>0</v>
      </c>
      <c r="N81">
        <v>2945454</v>
      </c>
      <c r="O81">
        <v>0</v>
      </c>
      <c r="P81">
        <v>2199999</v>
      </c>
      <c r="Q81">
        <v>0</v>
      </c>
      <c r="R81">
        <v>13754546</v>
      </c>
      <c r="S81">
        <v>180000</v>
      </c>
      <c r="T81">
        <v>38772725</v>
      </c>
      <c r="U81">
        <v>0</v>
      </c>
      <c r="V81">
        <v>9818182</v>
      </c>
      <c r="W81">
        <v>9318182</v>
      </c>
      <c r="X81">
        <v>6000000</v>
      </c>
      <c r="Y81">
        <v>7768180</v>
      </c>
      <c r="Z81">
        <v>11181812</v>
      </c>
      <c r="AA81">
        <v>88418180</v>
      </c>
      <c r="AB81">
        <v>5054544</v>
      </c>
      <c r="AC81">
        <v>0</v>
      </c>
      <c r="AD81">
        <v>13809088</v>
      </c>
    </row>
    <row r="82" spans="1:30" x14ac:dyDescent="0.25">
      <c r="A82" t="s">
        <v>171</v>
      </c>
      <c r="B82" t="s">
        <v>172</v>
      </c>
      <c r="C82">
        <v>102189398.117302</v>
      </c>
      <c r="D82">
        <v>145800003</v>
      </c>
      <c r="E82">
        <v>47227273</v>
      </c>
      <c r="F82">
        <v>200762128.11730209</v>
      </c>
      <c r="G82">
        <v>3981818</v>
      </c>
      <c r="H82">
        <v>0</v>
      </c>
      <c r="I82">
        <v>35381819</v>
      </c>
      <c r="J82">
        <v>0</v>
      </c>
      <c r="K82">
        <v>0</v>
      </c>
      <c r="L82">
        <v>1890910</v>
      </c>
      <c r="M82">
        <v>0</v>
      </c>
      <c r="N82">
        <v>1727273</v>
      </c>
      <c r="O82">
        <v>0</v>
      </c>
      <c r="P82">
        <v>772727</v>
      </c>
      <c r="Q82">
        <v>1454545</v>
      </c>
      <c r="R82">
        <v>12063637</v>
      </c>
      <c r="S82">
        <v>0</v>
      </c>
      <c r="T82">
        <v>1809091</v>
      </c>
      <c r="U82">
        <v>0</v>
      </c>
      <c r="V82">
        <v>19854545</v>
      </c>
      <c r="W82">
        <v>5977273</v>
      </c>
      <c r="X82">
        <v>5454545</v>
      </c>
      <c r="Y82">
        <v>9204546</v>
      </c>
      <c r="Z82">
        <v>1200000</v>
      </c>
      <c r="AA82">
        <v>89800002</v>
      </c>
      <c r="AB82">
        <v>1909091</v>
      </c>
      <c r="AC82">
        <v>0</v>
      </c>
      <c r="AD82">
        <v>545454</v>
      </c>
    </row>
    <row r="83" spans="1:30" x14ac:dyDescent="0.25">
      <c r="A83" t="s">
        <v>173</v>
      </c>
      <c r="B83" t="s">
        <v>174</v>
      </c>
      <c r="C83">
        <v>26690832.202380959</v>
      </c>
      <c r="D83">
        <v>73018183</v>
      </c>
      <c r="E83">
        <v>2345454</v>
      </c>
      <c r="F83">
        <v>97363561.202380955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2472727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2345454</v>
      </c>
      <c r="U83">
        <v>0</v>
      </c>
      <c r="V83">
        <v>0</v>
      </c>
      <c r="W83">
        <v>0</v>
      </c>
      <c r="X83">
        <v>0</v>
      </c>
      <c r="Y83">
        <v>16545454</v>
      </c>
      <c r="Z83">
        <v>0</v>
      </c>
      <c r="AA83">
        <v>54000002</v>
      </c>
      <c r="AB83">
        <v>0</v>
      </c>
      <c r="AC83">
        <v>0</v>
      </c>
      <c r="AD83">
        <v>0</v>
      </c>
    </row>
    <row r="84" spans="1:30" x14ac:dyDescent="0.25">
      <c r="A84" t="s">
        <v>175</v>
      </c>
      <c r="B84" t="s">
        <v>176</v>
      </c>
      <c r="C84">
        <v>41596634.200000003</v>
      </c>
      <c r="D84">
        <v>0</v>
      </c>
      <c r="E84">
        <v>22718184</v>
      </c>
      <c r="F84">
        <v>18878450.199999999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3627273</v>
      </c>
      <c r="O84">
        <v>0</v>
      </c>
      <c r="P84">
        <v>0</v>
      </c>
      <c r="Q84">
        <v>0</v>
      </c>
      <c r="R84">
        <v>0</v>
      </c>
      <c r="S84">
        <v>0</v>
      </c>
      <c r="T84">
        <v>19090911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177</v>
      </c>
      <c r="B85" t="s">
        <v>178</v>
      </c>
      <c r="C85">
        <v>27483183.483870968</v>
      </c>
      <c r="D85">
        <v>65727271</v>
      </c>
      <c r="E85">
        <v>12181818</v>
      </c>
      <c r="F85">
        <v>81028636.483870968</v>
      </c>
      <c r="G85">
        <v>9545455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36545453</v>
      </c>
      <c r="T85">
        <v>8090909</v>
      </c>
      <c r="U85">
        <v>0</v>
      </c>
      <c r="V85">
        <v>0</v>
      </c>
      <c r="W85">
        <v>0</v>
      </c>
      <c r="X85">
        <v>4090909</v>
      </c>
      <c r="Y85">
        <v>13181818</v>
      </c>
      <c r="Z85">
        <v>0</v>
      </c>
      <c r="AA85">
        <v>6454545</v>
      </c>
      <c r="AB85">
        <v>0</v>
      </c>
      <c r="AC85">
        <v>0</v>
      </c>
      <c r="AD85">
        <v>0</v>
      </c>
    </row>
    <row r="86" spans="1:30" x14ac:dyDescent="0.25">
      <c r="A86" t="s">
        <v>179</v>
      </c>
      <c r="B86" t="s">
        <v>180</v>
      </c>
      <c r="C86">
        <v>11999492.16</v>
      </c>
      <c r="D86">
        <v>16109090</v>
      </c>
      <c r="E86">
        <v>0</v>
      </c>
      <c r="F86">
        <v>28108582.16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13945454</v>
      </c>
      <c r="Z86">
        <v>0</v>
      </c>
      <c r="AA86">
        <v>2163636</v>
      </c>
      <c r="AB86">
        <v>0</v>
      </c>
      <c r="AC86">
        <v>0</v>
      </c>
      <c r="AD86">
        <v>0</v>
      </c>
    </row>
    <row r="87" spans="1:30" x14ac:dyDescent="0.25">
      <c r="A87" t="s">
        <v>181</v>
      </c>
      <c r="B87" t="s">
        <v>182</v>
      </c>
      <c r="C87">
        <v>74996445.572559372</v>
      </c>
      <c r="D87">
        <v>84318184</v>
      </c>
      <c r="E87">
        <v>87309091</v>
      </c>
      <c r="F87">
        <v>72005538.572559372</v>
      </c>
      <c r="G87">
        <v>1545455</v>
      </c>
      <c r="H87">
        <v>1781818</v>
      </c>
      <c r="I87">
        <v>0</v>
      </c>
      <c r="J87">
        <v>6163636</v>
      </c>
      <c r="K87">
        <v>36109091</v>
      </c>
      <c r="L87">
        <v>21136364</v>
      </c>
      <c r="M87">
        <v>0</v>
      </c>
      <c r="N87">
        <v>14454547</v>
      </c>
      <c r="O87">
        <v>6145455</v>
      </c>
      <c r="P87">
        <v>3990909</v>
      </c>
      <c r="Q87">
        <v>0</v>
      </c>
      <c r="R87">
        <v>0</v>
      </c>
      <c r="S87">
        <v>2145456</v>
      </c>
      <c r="T87">
        <v>0</v>
      </c>
      <c r="U87">
        <v>2972727</v>
      </c>
      <c r="V87">
        <v>3254545</v>
      </c>
      <c r="W87">
        <v>6327273</v>
      </c>
      <c r="X87">
        <v>3709091</v>
      </c>
      <c r="Y87">
        <v>10218182</v>
      </c>
      <c r="Z87">
        <v>8354546</v>
      </c>
      <c r="AA87">
        <v>8381818</v>
      </c>
      <c r="AB87">
        <v>2454546</v>
      </c>
      <c r="AC87">
        <v>10472727</v>
      </c>
      <c r="AD87">
        <v>22009089</v>
      </c>
    </row>
    <row r="88" spans="1:30" x14ac:dyDescent="0.25">
      <c r="A88" t="s">
        <v>183</v>
      </c>
      <c r="B88" t="s">
        <v>184</v>
      </c>
      <c r="C88">
        <v>2443182.9545454532</v>
      </c>
      <c r="D88">
        <v>0</v>
      </c>
      <c r="E88">
        <v>0</v>
      </c>
      <c r="F88">
        <v>2443182.9545454532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185</v>
      </c>
      <c r="B89" t="s">
        <v>186</v>
      </c>
      <c r="C89">
        <v>265625841.74628809</v>
      </c>
      <c r="D89">
        <v>454063632</v>
      </c>
      <c r="E89">
        <v>285186337</v>
      </c>
      <c r="F89">
        <v>434503136.74628812</v>
      </c>
      <c r="G89">
        <v>2363636</v>
      </c>
      <c r="H89">
        <v>7463637</v>
      </c>
      <c r="I89">
        <v>4909091</v>
      </c>
      <c r="J89">
        <v>1454545</v>
      </c>
      <c r="K89">
        <v>149272727</v>
      </c>
      <c r="L89">
        <v>37163640</v>
      </c>
      <c r="M89">
        <v>2309091</v>
      </c>
      <c r="N89">
        <v>14709090</v>
      </c>
      <c r="O89">
        <v>0</v>
      </c>
      <c r="P89">
        <v>5536364</v>
      </c>
      <c r="Q89">
        <v>1109091</v>
      </c>
      <c r="R89">
        <v>8945455</v>
      </c>
      <c r="S89">
        <v>0</v>
      </c>
      <c r="T89">
        <v>67527276</v>
      </c>
      <c r="U89">
        <v>1172727</v>
      </c>
      <c r="V89">
        <v>2999998</v>
      </c>
      <c r="W89">
        <v>31609090</v>
      </c>
      <c r="X89">
        <v>51627253</v>
      </c>
      <c r="Y89">
        <v>30409092</v>
      </c>
      <c r="Z89">
        <v>28249997</v>
      </c>
      <c r="AA89">
        <v>230909087</v>
      </c>
      <c r="AB89">
        <v>8481817</v>
      </c>
      <c r="AC89">
        <v>0</v>
      </c>
      <c r="AD89">
        <v>51027265</v>
      </c>
    </row>
    <row r="90" spans="1:30" x14ac:dyDescent="0.25">
      <c r="A90" t="s">
        <v>187</v>
      </c>
      <c r="B90" t="s">
        <v>188</v>
      </c>
      <c r="C90">
        <v>194746399.34957021</v>
      </c>
      <c r="D90">
        <v>279082727</v>
      </c>
      <c r="E90">
        <v>159700002</v>
      </c>
      <c r="F90">
        <v>314129124.34957021</v>
      </c>
      <c r="G90">
        <v>37363638</v>
      </c>
      <c r="H90">
        <v>15672728</v>
      </c>
      <c r="I90">
        <v>0</v>
      </c>
      <c r="J90">
        <v>0</v>
      </c>
      <c r="K90">
        <v>46444545</v>
      </c>
      <c r="L90">
        <v>19418182</v>
      </c>
      <c r="M90">
        <v>0</v>
      </c>
      <c r="N90">
        <v>15672728</v>
      </c>
      <c r="O90">
        <v>0</v>
      </c>
      <c r="P90">
        <v>29609091</v>
      </c>
      <c r="Q90">
        <v>2720000</v>
      </c>
      <c r="R90">
        <v>4927273</v>
      </c>
      <c r="S90">
        <v>2645455</v>
      </c>
      <c r="T90">
        <v>21654545</v>
      </c>
      <c r="U90">
        <v>0</v>
      </c>
      <c r="V90">
        <v>5890911</v>
      </c>
      <c r="W90">
        <v>37363636</v>
      </c>
      <c r="X90">
        <v>9845455</v>
      </c>
      <c r="Y90">
        <v>38518181</v>
      </c>
      <c r="Z90">
        <v>24881817</v>
      </c>
      <c r="AA90">
        <v>114027272</v>
      </c>
      <c r="AB90">
        <v>7045454</v>
      </c>
      <c r="AC90">
        <v>0</v>
      </c>
      <c r="AD90">
        <v>5081818</v>
      </c>
    </row>
    <row r="91" spans="1:30" x14ac:dyDescent="0.25">
      <c r="A91" t="s">
        <v>189</v>
      </c>
      <c r="B91" t="s">
        <v>190</v>
      </c>
      <c r="C91">
        <v>85657776.992395431</v>
      </c>
      <c r="D91">
        <v>83213638</v>
      </c>
      <c r="E91">
        <v>19963638</v>
      </c>
      <c r="F91">
        <v>148907776.9923954</v>
      </c>
      <c r="G91">
        <v>7513637</v>
      </c>
      <c r="H91">
        <v>4363637</v>
      </c>
      <c r="I91">
        <v>0</v>
      </c>
      <c r="J91">
        <v>0</v>
      </c>
      <c r="K91">
        <v>2581818</v>
      </c>
      <c r="L91">
        <v>3045455</v>
      </c>
      <c r="M91">
        <v>0</v>
      </c>
      <c r="N91">
        <v>0</v>
      </c>
      <c r="O91">
        <v>0</v>
      </c>
      <c r="P91">
        <v>0</v>
      </c>
      <c r="Q91">
        <v>4554544</v>
      </c>
      <c r="R91">
        <v>0</v>
      </c>
      <c r="S91">
        <v>0</v>
      </c>
      <c r="T91">
        <v>2263636</v>
      </c>
      <c r="U91">
        <v>0</v>
      </c>
      <c r="V91">
        <v>0</v>
      </c>
      <c r="W91">
        <v>16181819</v>
      </c>
      <c r="X91">
        <v>0</v>
      </c>
      <c r="Y91">
        <v>13318181</v>
      </c>
      <c r="Z91">
        <v>3581818</v>
      </c>
      <c r="AA91">
        <v>39063639</v>
      </c>
      <c r="AB91">
        <v>6709092</v>
      </c>
      <c r="AC91">
        <v>0</v>
      </c>
      <c r="AD91">
        <v>0</v>
      </c>
    </row>
    <row r="92" spans="1:30" x14ac:dyDescent="0.25">
      <c r="A92" t="s">
        <v>191</v>
      </c>
      <c r="B92" t="s">
        <v>192</v>
      </c>
      <c r="C92">
        <v>66324120.128078818</v>
      </c>
      <c r="D92">
        <v>99721826</v>
      </c>
      <c r="E92">
        <v>112090912</v>
      </c>
      <c r="F92">
        <v>53955034.128078818</v>
      </c>
      <c r="G92">
        <v>0</v>
      </c>
      <c r="H92">
        <v>2999999</v>
      </c>
      <c r="I92">
        <v>0</v>
      </c>
      <c r="J92">
        <v>2045455</v>
      </c>
      <c r="K92">
        <v>17077274</v>
      </c>
      <c r="L92">
        <v>9004547</v>
      </c>
      <c r="M92">
        <v>5727273</v>
      </c>
      <c r="N92">
        <v>11036365</v>
      </c>
      <c r="O92">
        <v>11818181</v>
      </c>
      <c r="P92">
        <v>3536364</v>
      </c>
      <c r="Q92">
        <v>10454550</v>
      </c>
      <c r="R92">
        <v>5818182</v>
      </c>
      <c r="S92">
        <v>10399999</v>
      </c>
      <c r="T92">
        <v>38663637</v>
      </c>
      <c r="U92">
        <v>537273</v>
      </c>
      <c r="V92">
        <v>3072728</v>
      </c>
      <c r="W92">
        <v>19268183</v>
      </c>
      <c r="X92">
        <v>8009090</v>
      </c>
      <c r="Y92">
        <v>6230000</v>
      </c>
      <c r="Z92">
        <v>4663637</v>
      </c>
      <c r="AA92">
        <v>8218184</v>
      </c>
      <c r="AB92">
        <v>5504546</v>
      </c>
      <c r="AC92">
        <v>9990909</v>
      </c>
      <c r="AD92">
        <v>17736362</v>
      </c>
    </row>
    <row r="93" spans="1:30" x14ac:dyDescent="0.25">
      <c r="A93" t="s">
        <v>193</v>
      </c>
      <c r="B93" t="s">
        <v>194</v>
      </c>
      <c r="C93">
        <v>89486782.432558149</v>
      </c>
      <c r="D93">
        <v>47007274</v>
      </c>
      <c r="E93">
        <v>76772731</v>
      </c>
      <c r="F93">
        <v>59721325.432558149</v>
      </c>
      <c r="G93">
        <v>0</v>
      </c>
      <c r="H93">
        <v>2172727</v>
      </c>
      <c r="I93">
        <v>0</v>
      </c>
      <c r="J93">
        <v>0</v>
      </c>
      <c r="K93">
        <v>10502728</v>
      </c>
      <c r="L93">
        <v>3681819</v>
      </c>
      <c r="M93">
        <v>3045455</v>
      </c>
      <c r="N93">
        <v>3345455</v>
      </c>
      <c r="O93">
        <v>5318182</v>
      </c>
      <c r="P93">
        <v>11163638</v>
      </c>
      <c r="Q93">
        <v>0</v>
      </c>
      <c r="R93">
        <v>0</v>
      </c>
      <c r="S93">
        <v>8690909</v>
      </c>
      <c r="T93">
        <v>37545456</v>
      </c>
      <c r="U93">
        <v>0</v>
      </c>
      <c r="V93">
        <v>0</v>
      </c>
      <c r="W93">
        <v>17031818</v>
      </c>
      <c r="X93">
        <v>2545455</v>
      </c>
      <c r="Y93">
        <v>2418182</v>
      </c>
      <c r="Z93">
        <v>3799999</v>
      </c>
      <c r="AA93">
        <v>0</v>
      </c>
      <c r="AB93">
        <v>2654545</v>
      </c>
      <c r="AC93">
        <v>0</v>
      </c>
      <c r="AD93">
        <v>9863637</v>
      </c>
    </row>
    <row r="94" spans="1:30" x14ac:dyDescent="0.25">
      <c r="A94" t="s">
        <v>195</v>
      </c>
      <c r="B94" t="s">
        <v>196</v>
      </c>
      <c r="C94">
        <v>119965232.6155607</v>
      </c>
      <c r="D94">
        <v>98214542</v>
      </c>
      <c r="E94">
        <v>78021809</v>
      </c>
      <c r="F94">
        <v>140157965.61556071</v>
      </c>
      <c r="G94">
        <v>0</v>
      </c>
      <c r="H94">
        <v>6509091</v>
      </c>
      <c r="I94">
        <v>0</v>
      </c>
      <c r="J94">
        <v>2409090</v>
      </c>
      <c r="K94">
        <v>4863636</v>
      </c>
      <c r="L94">
        <v>590909</v>
      </c>
      <c r="M94">
        <v>0</v>
      </c>
      <c r="N94">
        <v>13336365</v>
      </c>
      <c r="O94">
        <v>32927273</v>
      </c>
      <c r="P94">
        <v>5509091</v>
      </c>
      <c r="Q94">
        <v>0</v>
      </c>
      <c r="R94">
        <v>2800000</v>
      </c>
      <c r="S94">
        <v>10077273</v>
      </c>
      <c r="T94">
        <v>16036359</v>
      </c>
      <c r="U94">
        <v>0</v>
      </c>
      <c r="V94">
        <v>5681817</v>
      </c>
      <c r="W94">
        <v>46437269</v>
      </c>
      <c r="X94">
        <v>9153636</v>
      </c>
      <c r="Y94">
        <v>0</v>
      </c>
      <c r="Z94">
        <v>3727270</v>
      </c>
      <c r="AA94">
        <v>3909091</v>
      </c>
      <c r="AB94">
        <v>2281817</v>
      </c>
      <c r="AC94">
        <v>0</v>
      </c>
      <c r="AD94">
        <v>9986364</v>
      </c>
    </row>
    <row r="95" spans="1:30" x14ac:dyDescent="0.25">
      <c r="A95" t="s">
        <v>197</v>
      </c>
      <c r="B95" t="s">
        <v>198</v>
      </c>
      <c r="C95">
        <v>2273726.8672566381</v>
      </c>
      <c r="D95">
        <v>4550001</v>
      </c>
      <c r="E95">
        <v>3981818</v>
      </c>
      <c r="F95">
        <v>4204547</v>
      </c>
      <c r="G95">
        <v>0</v>
      </c>
      <c r="H95">
        <v>3636364</v>
      </c>
      <c r="I95">
        <v>0</v>
      </c>
      <c r="J95">
        <v>0</v>
      </c>
      <c r="K95">
        <v>3313637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345454</v>
      </c>
      <c r="Y95">
        <v>0</v>
      </c>
      <c r="Z95">
        <v>0</v>
      </c>
      <c r="AA95">
        <v>1236364</v>
      </c>
      <c r="AB95">
        <v>0</v>
      </c>
      <c r="AC95">
        <v>0</v>
      </c>
      <c r="AD95">
        <v>0</v>
      </c>
    </row>
    <row r="96" spans="1:30" x14ac:dyDescent="0.25">
      <c r="A96" t="s">
        <v>199</v>
      </c>
      <c r="B96" t="s">
        <v>200</v>
      </c>
      <c r="C96">
        <v>5827921.0819672132</v>
      </c>
      <c r="D96">
        <v>6545455</v>
      </c>
      <c r="E96">
        <v>590910</v>
      </c>
      <c r="F96">
        <v>11782466.08196721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6545455</v>
      </c>
      <c r="AB96">
        <v>0</v>
      </c>
      <c r="AC96">
        <v>0</v>
      </c>
      <c r="AD96">
        <v>590910</v>
      </c>
    </row>
    <row r="97" spans="1:30" x14ac:dyDescent="0.25">
      <c r="A97" t="s">
        <v>201</v>
      </c>
      <c r="B97" t="s">
        <v>202</v>
      </c>
      <c r="C97">
        <v>105146985.4361957</v>
      </c>
      <c r="D97">
        <v>62309088</v>
      </c>
      <c r="E97">
        <v>15199092</v>
      </c>
      <c r="F97">
        <v>152256981.4361957</v>
      </c>
      <c r="G97">
        <v>0</v>
      </c>
      <c r="H97">
        <v>3000909</v>
      </c>
      <c r="I97">
        <v>7090908</v>
      </c>
      <c r="J97">
        <v>318182</v>
      </c>
      <c r="K97">
        <v>0</v>
      </c>
      <c r="L97">
        <v>90909</v>
      </c>
      <c r="M97">
        <v>0</v>
      </c>
      <c r="N97">
        <v>0</v>
      </c>
      <c r="O97">
        <v>3772727</v>
      </c>
      <c r="P97">
        <v>0</v>
      </c>
      <c r="Q97">
        <v>35390909</v>
      </c>
      <c r="R97">
        <v>136363</v>
      </c>
      <c r="S97">
        <v>0</v>
      </c>
      <c r="T97">
        <v>72727</v>
      </c>
      <c r="U97">
        <v>0</v>
      </c>
      <c r="V97">
        <v>0</v>
      </c>
      <c r="W97">
        <v>0</v>
      </c>
      <c r="X97">
        <v>772727</v>
      </c>
      <c r="Y97">
        <v>1872728</v>
      </c>
      <c r="Z97">
        <v>0</v>
      </c>
      <c r="AA97">
        <v>14181816</v>
      </c>
      <c r="AB97">
        <v>2957275</v>
      </c>
      <c r="AC97">
        <v>0</v>
      </c>
      <c r="AD97">
        <v>7850000</v>
      </c>
    </row>
    <row r="98" spans="1:30" x14ac:dyDescent="0.25">
      <c r="A98" t="s">
        <v>203</v>
      </c>
      <c r="B98" t="s">
        <v>204</v>
      </c>
      <c r="C98">
        <v>70350714.620727673</v>
      </c>
      <c r="D98">
        <v>64255456</v>
      </c>
      <c r="E98">
        <v>87750898</v>
      </c>
      <c r="F98">
        <v>46855272.620727673</v>
      </c>
      <c r="G98">
        <v>0</v>
      </c>
      <c r="H98">
        <v>47818181</v>
      </c>
      <c r="I98">
        <v>0</v>
      </c>
      <c r="J98">
        <v>0</v>
      </c>
      <c r="K98">
        <v>23840910</v>
      </c>
      <c r="L98">
        <v>2572728</v>
      </c>
      <c r="M98">
        <v>0</v>
      </c>
      <c r="N98">
        <v>2418182</v>
      </c>
      <c r="O98">
        <v>0</v>
      </c>
      <c r="P98">
        <v>527273</v>
      </c>
      <c r="Q98">
        <v>27141819</v>
      </c>
      <c r="R98">
        <v>290909</v>
      </c>
      <c r="S98">
        <v>0</v>
      </c>
      <c r="T98">
        <v>11918181</v>
      </c>
      <c r="U98">
        <v>0</v>
      </c>
      <c r="V98">
        <v>1663635</v>
      </c>
      <c r="W98">
        <v>3454545</v>
      </c>
      <c r="X98">
        <v>5636364</v>
      </c>
      <c r="Y98">
        <v>4909091</v>
      </c>
      <c r="Z98">
        <v>363636</v>
      </c>
      <c r="AA98">
        <v>4909091</v>
      </c>
      <c r="AB98">
        <v>2936365</v>
      </c>
      <c r="AC98">
        <v>0</v>
      </c>
      <c r="AD98">
        <v>11605444</v>
      </c>
    </row>
    <row r="99" spans="1:30" x14ac:dyDescent="0.25">
      <c r="A99" t="s">
        <v>205</v>
      </c>
      <c r="B99" t="s">
        <v>206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207</v>
      </c>
      <c r="B100" t="s">
        <v>208</v>
      </c>
      <c r="C100">
        <v>16226332.758620691</v>
      </c>
      <c r="D100">
        <v>2727273</v>
      </c>
      <c r="E100">
        <v>3045455</v>
      </c>
      <c r="F100">
        <v>15908150.758620691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2727273</v>
      </c>
      <c r="T100">
        <v>3045455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209</v>
      </c>
      <c r="B101" t="s">
        <v>210</v>
      </c>
      <c r="C101">
        <v>2456397</v>
      </c>
      <c r="D101">
        <v>1127273</v>
      </c>
      <c r="E101">
        <v>0</v>
      </c>
      <c r="F101">
        <v>3583670</v>
      </c>
      <c r="G101">
        <v>1127273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211</v>
      </c>
      <c r="B102" t="s">
        <v>212</v>
      </c>
      <c r="C102">
        <v>95482507.669291347</v>
      </c>
      <c r="D102">
        <v>29062727</v>
      </c>
      <c r="E102">
        <v>2054544</v>
      </c>
      <c r="F102">
        <v>122490690.6692913</v>
      </c>
      <c r="G102">
        <v>9345455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659091</v>
      </c>
      <c r="N102">
        <v>309090</v>
      </c>
      <c r="O102">
        <v>0</v>
      </c>
      <c r="P102">
        <v>0</v>
      </c>
      <c r="Q102">
        <v>0</v>
      </c>
      <c r="R102">
        <v>0</v>
      </c>
      <c r="S102">
        <v>6434545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1700000</v>
      </c>
      <c r="Z102">
        <v>0</v>
      </c>
      <c r="AA102">
        <v>10923636</v>
      </c>
      <c r="AB102">
        <v>1745454</v>
      </c>
      <c r="AC102">
        <v>0</v>
      </c>
      <c r="AD102">
        <v>0</v>
      </c>
    </row>
    <row r="103" spans="1:30" x14ac:dyDescent="0.25">
      <c r="A103" t="s">
        <v>213</v>
      </c>
      <c r="B103" t="s">
        <v>214</v>
      </c>
      <c r="C103">
        <v>2309091</v>
      </c>
      <c r="D103">
        <v>0</v>
      </c>
      <c r="E103">
        <v>0</v>
      </c>
      <c r="F103">
        <v>2309091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215</v>
      </c>
      <c r="B104" t="s">
        <v>216</v>
      </c>
      <c r="C104">
        <v>234450399.46378449</v>
      </c>
      <c r="D104">
        <v>98844504</v>
      </c>
      <c r="E104">
        <v>80567260</v>
      </c>
      <c r="F104">
        <v>252727643.46378449</v>
      </c>
      <c r="G104">
        <v>3181818</v>
      </c>
      <c r="H104">
        <v>5741818</v>
      </c>
      <c r="I104">
        <v>12979090</v>
      </c>
      <c r="J104">
        <v>8560001</v>
      </c>
      <c r="K104">
        <v>5027291</v>
      </c>
      <c r="L104">
        <v>4909093</v>
      </c>
      <c r="M104">
        <v>13831813</v>
      </c>
      <c r="N104">
        <v>9369999</v>
      </c>
      <c r="O104">
        <v>5927273</v>
      </c>
      <c r="P104">
        <v>3563634</v>
      </c>
      <c r="Q104">
        <v>4168182</v>
      </c>
      <c r="R104">
        <v>5690908</v>
      </c>
      <c r="S104">
        <v>1745455</v>
      </c>
      <c r="T104">
        <v>7099999</v>
      </c>
      <c r="U104">
        <v>19486364</v>
      </c>
      <c r="V104">
        <v>5390910</v>
      </c>
      <c r="W104">
        <v>7874548</v>
      </c>
      <c r="X104">
        <v>2529089</v>
      </c>
      <c r="Y104">
        <v>4629090</v>
      </c>
      <c r="Z104">
        <v>13554537</v>
      </c>
      <c r="AA104">
        <v>13777213</v>
      </c>
      <c r="AB104">
        <v>2993637</v>
      </c>
      <c r="AC104">
        <v>6216367</v>
      </c>
      <c r="AD104">
        <v>11163635</v>
      </c>
    </row>
    <row r="105" spans="1:30" x14ac:dyDescent="0.25">
      <c r="A105" t="s">
        <v>217</v>
      </c>
      <c r="B105" t="s">
        <v>218</v>
      </c>
      <c r="C105">
        <v>70678079.992982447</v>
      </c>
      <c r="D105">
        <v>33137273</v>
      </c>
      <c r="E105">
        <v>11618188</v>
      </c>
      <c r="F105">
        <v>92197164.992982447</v>
      </c>
      <c r="G105">
        <v>4159092</v>
      </c>
      <c r="H105">
        <v>318182</v>
      </c>
      <c r="I105">
        <v>0</v>
      </c>
      <c r="J105">
        <v>0</v>
      </c>
      <c r="K105">
        <v>0</v>
      </c>
      <c r="L105">
        <v>363636</v>
      </c>
      <c r="M105">
        <v>1136364</v>
      </c>
      <c r="N105">
        <v>0</v>
      </c>
      <c r="O105">
        <v>5027272</v>
      </c>
      <c r="P105">
        <v>1400000</v>
      </c>
      <c r="Q105">
        <v>8754545</v>
      </c>
      <c r="R105">
        <v>1754545</v>
      </c>
      <c r="S105">
        <v>2105454</v>
      </c>
      <c r="T105">
        <v>845455</v>
      </c>
      <c r="U105">
        <v>9336364</v>
      </c>
      <c r="V105">
        <v>1090909</v>
      </c>
      <c r="W105">
        <v>0</v>
      </c>
      <c r="X105">
        <v>0</v>
      </c>
      <c r="Y105">
        <v>0</v>
      </c>
      <c r="Z105">
        <v>3800005</v>
      </c>
      <c r="AA105">
        <v>2618182</v>
      </c>
      <c r="AB105">
        <v>0</v>
      </c>
      <c r="AC105">
        <v>0</v>
      </c>
      <c r="AD105">
        <v>2045456</v>
      </c>
    </row>
    <row r="106" spans="1:30" x14ac:dyDescent="0.25">
      <c r="A106" t="s">
        <v>219</v>
      </c>
      <c r="B106" t="s">
        <v>220</v>
      </c>
      <c r="C106">
        <v>222104628.69023031</v>
      </c>
      <c r="D106">
        <v>134708182</v>
      </c>
      <c r="E106">
        <v>108461822</v>
      </c>
      <c r="F106">
        <v>248350988.6902304</v>
      </c>
      <c r="G106">
        <v>0</v>
      </c>
      <c r="H106">
        <v>3404546</v>
      </c>
      <c r="I106">
        <v>0</v>
      </c>
      <c r="J106">
        <v>1290910</v>
      </c>
      <c r="K106">
        <v>0</v>
      </c>
      <c r="L106">
        <v>3840911</v>
      </c>
      <c r="M106">
        <v>16704548</v>
      </c>
      <c r="N106">
        <v>3504545</v>
      </c>
      <c r="O106">
        <v>0</v>
      </c>
      <c r="P106">
        <v>34951817</v>
      </c>
      <c r="Q106">
        <v>113730906</v>
      </c>
      <c r="R106">
        <v>2227279</v>
      </c>
      <c r="S106">
        <v>0</v>
      </c>
      <c r="T106">
        <v>8731819</v>
      </c>
      <c r="U106">
        <v>0</v>
      </c>
      <c r="V106">
        <v>15645459</v>
      </c>
      <c r="W106">
        <v>4272728</v>
      </c>
      <c r="X106">
        <v>9518180</v>
      </c>
      <c r="Y106">
        <v>0</v>
      </c>
      <c r="Z106">
        <v>4040910</v>
      </c>
      <c r="AA106">
        <v>0</v>
      </c>
      <c r="AB106">
        <v>4309994</v>
      </c>
      <c r="AC106">
        <v>0</v>
      </c>
      <c r="AD106">
        <v>16995452</v>
      </c>
    </row>
    <row r="107" spans="1:30" x14ac:dyDescent="0.25">
      <c r="A107" t="s">
        <v>221</v>
      </c>
      <c r="B107" t="s">
        <v>222</v>
      </c>
      <c r="C107">
        <v>162362913.3291294</v>
      </c>
      <c r="D107">
        <v>59210051</v>
      </c>
      <c r="E107">
        <v>157504619</v>
      </c>
      <c r="F107">
        <v>64068345.329129368</v>
      </c>
      <c r="G107">
        <v>3845455</v>
      </c>
      <c r="H107">
        <v>6236370</v>
      </c>
      <c r="I107">
        <v>4600000</v>
      </c>
      <c r="J107">
        <v>309091</v>
      </c>
      <c r="K107">
        <v>3845455</v>
      </c>
      <c r="L107">
        <v>8072732</v>
      </c>
      <c r="M107">
        <v>1813635</v>
      </c>
      <c r="N107">
        <v>4154545</v>
      </c>
      <c r="O107">
        <v>7527273</v>
      </c>
      <c r="P107">
        <v>36745460</v>
      </c>
      <c r="Q107">
        <v>1840909</v>
      </c>
      <c r="R107">
        <v>3409090</v>
      </c>
      <c r="S107">
        <v>0</v>
      </c>
      <c r="T107">
        <v>10490914</v>
      </c>
      <c r="U107">
        <v>8168181</v>
      </c>
      <c r="V107">
        <v>14522732</v>
      </c>
      <c r="W107">
        <v>4027273</v>
      </c>
      <c r="X107">
        <v>26827313</v>
      </c>
      <c r="Y107">
        <v>0</v>
      </c>
      <c r="Z107">
        <v>23581837</v>
      </c>
      <c r="AA107">
        <v>23541870</v>
      </c>
      <c r="AB107">
        <v>8390914</v>
      </c>
      <c r="AC107">
        <v>0</v>
      </c>
      <c r="AD107">
        <v>14763621</v>
      </c>
    </row>
    <row r="108" spans="1:30" x14ac:dyDescent="0.25">
      <c r="A108" t="s">
        <v>223</v>
      </c>
      <c r="B108" t="s">
        <v>224</v>
      </c>
      <c r="C108">
        <v>518484.75</v>
      </c>
      <c r="D108">
        <v>2606365</v>
      </c>
      <c r="E108">
        <v>0</v>
      </c>
      <c r="F108">
        <v>3124849.75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2606365</v>
      </c>
      <c r="AB108">
        <v>0</v>
      </c>
      <c r="AC108">
        <v>0</v>
      </c>
      <c r="AD108">
        <v>0</v>
      </c>
    </row>
    <row r="109" spans="1:30" x14ac:dyDescent="0.25">
      <c r="A109" t="s">
        <v>225</v>
      </c>
      <c r="B109" t="s">
        <v>226</v>
      </c>
      <c r="C109">
        <v>76107420.850046858</v>
      </c>
      <c r="D109">
        <v>68975440</v>
      </c>
      <c r="E109">
        <v>57413626</v>
      </c>
      <c r="F109">
        <v>87669234.850046858</v>
      </c>
      <c r="G109">
        <v>4009080</v>
      </c>
      <c r="H109">
        <v>5763636</v>
      </c>
      <c r="I109">
        <v>7058182</v>
      </c>
      <c r="J109">
        <v>0</v>
      </c>
      <c r="K109">
        <v>3209085</v>
      </c>
      <c r="L109">
        <v>9281806</v>
      </c>
      <c r="M109">
        <v>1150000</v>
      </c>
      <c r="N109">
        <v>0</v>
      </c>
      <c r="O109">
        <v>1560000</v>
      </c>
      <c r="P109">
        <v>409091</v>
      </c>
      <c r="Q109">
        <v>2544546</v>
      </c>
      <c r="R109">
        <v>0</v>
      </c>
      <c r="S109">
        <v>860000</v>
      </c>
      <c r="T109">
        <v>545454</v>
      </c>
      <c r="U109">
        <v>6737274</v>
      </c>
      <c r="V109">
        <v>4463638</v>
      </c>
      <c r="W109">
        <v>4818182</v>
      </c>
      <c r="X109">
        <v>5736365</v>
      </c>
      <c r="Y109">
        <v>29691820</v>
      </c>
      <c r="Z109">
        <v>26709091</v>
      </c>
      <c r="AA109">
        <v>4795455</v>
      </c>
      <c r="AB109">
        <v>0</v>
      </c>
      <c r="AC109">
        <v>2541816</v>
      </c>
      <c r="AD109">
        <v>4504545</v>
      </c>
    </row>
    <row r="110" spans="1:30" x14ac:dyDescent="0.25">
      <c r="A110" t="s">
        <v>227</v>
      </c>
      <c r="B110" t="s">
        <v>228</v>
      </c>
      <c r="C110">
        <v>76808383.166189104</v>
      </c>
      <c r="D110">
        <v>75989091</v>
      </c>
      <c r="E110">
        <v>34500899</v>
      </c>
      <c r="F110">
        <v>118296575.1661891</v>
      </c>
      <c r="G110">
        <v>11860000</v>
      </c>
      <c r="H110">
        <v>780000</v>
      </c>
      <c r="I110">
        <v>0</v>
      </c>
      <c r="J110">
        <v>863636</v>
      </c>
      <c r="K110">
        <v>0</v>
      </c>
      <c r="L110">
        <v>7231812</v>
      </c>
      <c r="M110">
        <v>10230000</v>
      </c>
      <c r="N110">
        <v>1854547</v>
      </c>
      <c r="O110">
        <v>5890000</v>
      </c>
      <c r="P110">
        <v>2136361</v>
      </c>
      <c r="Q110">
        <v>0</v>
      </c>
      <c r="R110">
        <v>2090909</v>
      </c>
      <c r="S110">
        <v>13730000</v>
      </c>
      <c r="T110">
        <v>3109092</v>
      </c>
      <c r="U110">
        <v>26689091</v>
      </c>
      <c r="V110">
        <v>11827272</v>
      </c>
      <c r="W110">
        <v>0</v>
      </c>
      <c r="X110">
        <v>727272</v>
      </c>
      <c r="Y110">
        <v>7590000</v>
      </c>
      <c r="Z110">
        <v>1116363</v>
      </c>
      <c r="AA110">
        <v>0</v>
      </c>
      <c r="AB110">
        <v>490908</v>
      </c>
      <c r="AC110">
        <v>0</v>
      </c>
      <c r="AD110">
        <v>2272727</v>
      </c>
    </row>
    <row r="111" spans="1:30" x14ac:dyDescent="0.25">
      <c r="A111" t="s">
        <v>229</v>
      </c>
      <c r="B111" t="s">
        <v>230</v>
      </c>
      <c r="C111">
        <v>1892138.8936170209</v>
      </c>
      <c r="D111">
        <v>0</v>
      </c>
      <c r="E111">
        <v>0</v>
      </c>
      <c r="F111">
        <v>1892138.8936170209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231</v>
      </c>
      <c r="B112" t="s">
        <v>232</v>
      </c>
      <c r="C112">
        <v>55387790.259079903</v>
      </c>
      <c r="D112">
        <v>41568182</v>
      </c>
      <c r="E112">
        <v>49404545</v>
      </c>
      <c r="F112">
        <v>47551427.259079903</v>
      </c>
      <c r="G112">
        <v>0</v>
      </c>
      <c r="H112">
        <v>0</v>
      </c>
      <c r="I112">
        <v>0</v>
      </c>
      <c r="J112">
        <v>5454545</v>
      </c>
      <c r="K112">
        <v>1936362</v>
      </c>
      <c r="L112">
        <v>1681820</v>
      </c>
      <c r="M112">
        <v>0</v>
      </c>
      <c r="N112">
        <v>4636364</v>
      </c>
      <c r="O112">
        <v>0</v>
      </c>
      <c r="P112">
        <v>0</v>
      </c>
      <c r="Q112">
        <v>3545455</v>
      </c>
      <c r="R112">
        <v>936364</v>
      </c>
      <c r="S112">
        <v>0</v>
      </c>
      <c r="T112">
        <v>672728</v>
      </c>
      <c r="U112">
        <v>3918183</v>
      </c>
      <c r="V112">
        <v>6881815</v>
      </c>
      <c r="W112">
        <v>5309091</v>
      </c>
      <c r="X112">
        <v>327273</v>
      </c>
      <c r="Y112">
        <v>0</v>
      </c>
      <c r="Z112">
        <v>0</v>
      </c>
      <c r="AA112">
        <v>22381818</v>
      </c>
      <c r="AB112">
        <v>26363636</v>
      </c>
      <c r="AC112">
        <v>4477273</v>
      </c>
      <c r="AD112">
        <v>2450000</v>
      </c>
    </row>
    <row r="113" spans="1:30" x14ac:dyDescent="0.25">
      <c r="A113" t="s">
        <v>233</v>
      </c>
      <c r="B113" t="s">
        <v>234</v>
      </c>
      <c r="C113">
        <v>252999408.390264</v>
      </c>
      <c r="D113">
        <v>121774494</v>
      </c>
      <c r="E113">
        <v>22223005</v>
      </c>
      <c r="F113">
        <v>352550897.39026397</v>
      </c>
      <c r="G113">
        <v>15867273</v>
      </c>
      <c r="H113">
        <v>818182</v>
      </c>
      <c r="I113">
        <v>0</v>
      </c>
      <c r="J113">
        <v>0</v>
      </c>
      <c r="K113">
        <v>21276331</v>
      </c>
      <c r="L113">
        <v>6681821</v>
      </c>
      <c r="M113">
        <v>4998178</v>
      </c>
      <c r="N113">
        <v>3123001</v>
      </c>
      <c r="O113">
        <v>0</v>
      </c>
      <c r="P113">
        <v>372728</v>
      </c>
      <c r="Q113">
        <v>2181816</v>
      </c>
      <c r="R113">
        <v>1718182</v>
      </c>
      <c r="S113">
        <v>0</v>
      </c>
      <c r="T113">
        <v>5381817</v>
      </c>
      <c r="U113">
        <v>0</v>
      </c>
      <c r="V113">
        <v>90909</v>
      </c>
      <c r="W113">
        <v>10935456</v>
      </c>
      <c r="X113">
        <v>809091</v>
      </c>
      <c r="Y113">
        <v>29133633</v>
      </c>
      <c r="Z113">
        <v>845455</v>
      </c>
      <c r="AA113">
        <v>14299995</v>
      </c>
      <c r="AB113">
        <v>0</v>
      </c>
      <c r="AC113">
        <v>23081812</v>
      </c>
      <c r="AD113">
        <v>2381819</v>
      </c>
    </row>
    <row r="114" spans="1:30" x14ac:dyDescent="0.25">
      <c r="A114" t="s">
        <v>235</v>
      </c>
      <c r="B114" t="s">
        <v>236</v>
      </c>
      <c r="C114">
        <v>15491058.620689649</v>
      </c>
      <c r="D114">
        <v>19707272</v>
      </c>
      <c r="E114">
        <v>11404545</v>
      </c>
      <c r="F114">
        <v>23793785.620689649</v>
      </c>
      <c r="G114">
        <v>0</v>
      </c>
      <c r="H114">
        <v>0</v>
      </c>
      <c r="I114">
        <v>0</v>
      </c>
      <c r="J114">
        <v>0</v>
      </c>
      <c r="K114">
        <v>12034544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263636</v>
      </c>
      <c r="S114">
        <v>0</v>
      </c>
      <c r="T114">
        <v>1840909</v>
      </c>
      <c r="U114">
        <v>0</v>
      </c>
      <c r="V114">
        <v>0</v>
      </c>
      <c r="W114">
        <v>1818182</v>
      </c>
      <c r="X114">
        <v>1354545</v>
      </c>
      <c r="Y114">
        <v>3563637</v>
      </c>
      <c r="Z114">
        <v>3818182</v>
      </c>
      <c r="AA114">
        <v>0</v>
      </c>
      <c r="AB114">
        <v>1309091</v>
      </c>
      <c r="AC114">
        <v>2290909</v>
      </c>
      <c r="AD114">
        <v>2818182</v>
      </c>
    </row>
    <row r="115" spans="1:30" x14ac:dyDescent="0.25">
      <c r="A115" t="s">
        <v>237</v>
      </c>
      <c r="B115" t="s">
        <v>238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239</v>
      </c>
      <c r="B116" t="s">
        <v>240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241</v>
      </c>
      <c r="B117" t="s">
        <v>242</v>
      </c>
      <c r="C117">
        <v>2400000</v>
      </c>
      <c r="D117">
        <v>0</v>
      </c>
      <c r="E117">
        <v>0</v>
      </c>
      <c r="F117">
        <v>2400000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243</v>
      </c>
      <c r="B118" t="s">
        <v>244</v>
      </c>
      <c r="C118">
        <v>2200000</v>
      </c>
      <c r="D118">
        <v>0</v>
      </c>
      <c r="E118">
        <v>0</v>
      </c>
      <c r="F118">
        <v>2200000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245</v>
      </c>
      <c r="B119" t="s">
        <v>246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247</v>
      </c>
      <c r="B120" t="s">
        <v>248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249</v>
      </c>
      <c r="B121" t="s">
        <v>250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251</v>
      </c>
      <c r="B122" t="s">
        <v>252</v>
      </c>
      <c r="C122">
        <v>1854545</v>
      </c>
      <c r="D122">
        <v>0</v>
      </c>
      <c r="E122">
        <v>0</v>
      </c>
      <c r="F122">
        <v>1854545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253</v>
      </c>
      <c r="B123" t="s">
        <v>254</v>
      </c>
      <c r="C123">
        <v>51720516.616306961</v>
      </c>
      <c r="D123">
        <v>38809090</v>
      </c>
      <c r="E123">
        <v>69385450</v>
      </c>
      <c r="F123">
        <v>21144156.616306961</v>
      </c>
      <c r="G123">
        <v>16400000</v>
      </c>
      <c r="H123">
        <v>2767273</v>
      </c>
      <c r="I123">
        <v>4100000</v>
      </c>
      <c r="J123">
        <v>1272728</v>
      </c>
      <c r="K123">
        <v>0</v>
      </c>
      <c r="L123">
        <v>21090908</v>
      </c>
      <c r="M123">
        <v>0</v>
      </c>
      <c r="N123">
        <v>0</v>
      </c>
      <c r="O123">
        <v>6150000</v>
      </c>
      <c r="P123">
        <v>10909091</v>
      </c>
      <c r="Q123">
        <v>0</v>
      </c>
      <c r="R123">
        <v>727273</v>
      </c>
      <c r="S123">
        <v>3700000</v>
      </c>
      <c r="T123">
        <v>1563636</v>
      </c>
      <c r="U123">
        <v>1850000</v>
      </c>
      <c r="V123">
        <v>5636364</v>
      </c>
      <c r="W123">
        <v>3700000</v>
      </c>
      <c r="X123">
        <v>0</v>
      </c>
      <c r="Y123">
        <v>2909090</v>
      </c>
      <c r="Z123">
        <v>3700000</v>
      </c>
      <c r="AA123">
        <v>0</v>
      </c>
      <c r="AB123">
        <v>3236364</v>
      </c>
      <c r="AC123">
        <v>0</v>
      </c>
      <c r="AD123">
        <v>18481813</v>
      </c>
    </row>
    <row r="124" spans="1:30" x14ac:dyDescent="0.25">
      <c r="A124" t="s">
        <v>255</v>
      </c>
      <c r="B124" t="s">
        <v>256</v>
      </c>
      <c r="C124">
        <v>30172515.84722222</v>
      </c>
      <c r="D124">
        <v>0</v>
      </c>
      <c r="E124">
        <v>0</v>
      </c>
      <c r="F124">
        <v>30172515.84722222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 t="s">
        <v>257</v>
      </c>
      <c r="B125" t="s">
        <v>258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259</v>
      </c>
      <c r="B126" t="s">
        <v>260</v>
      </c>
      <c r="C126">
        <v>253526997.2321918</v>
      </c>
      <c r="D126">
        <v>220446356</v>
      </c>
      <c r="E126">
        <v>124269095</v>
      </c>
      <c r="F126">
        <v>349704258.2321918</v>
      </c>
      <c r="G126">
        <v>24317274</v>
      </c>
      <c r="H126">
        <v>14379093</v>
      </c>
      <c r="I126">
        <v>36465456</v>
      </c>
      <c r="J126">
        <v>909091</v>
      </c>
      <c r="K126">
        <v>12804543</v>
      </c>
      <c r="L126">
        <v>14744546</v>
      </c>
      <c r="M126">
        <v>40588168</v>
      </c>
      <c r="N126">
        <v>37618183</v>
      </c>
      <c r="O126">
        <v>12333633</v>
      </c>
      <c r="P126">
        <v>0</v>
      </c>
      <c r="Q126">
        <v>1927273</v>
      </c>
      <c r="R126">
        <v>0</v>
      </c>
      <c r="S126">
        <v>6990909</v>
      </c>
      <c r="T126">
        <v>2863636</v>
      </c>
      <c r="U126">
        <v>16888182</v>
      </c>
      <c r="V126">
        <v>990909</v>
      </c>
      <c r="W126">
        <v>23522731</v>
      </c>
      <c r="X126">
        <v>25790909</v>
      </c>
      <c r="Y126">
        <v>13408183</v>
      </c>
      <c r="Z126">
        <v>10063639</v>
      </c>
      <c r="AA126">
        <v>17513639</v>
      </c>
      <c r="AB126">
        <v>6327272</v>
      </c>
      <c r="AC126">
        <v>13686365</v>
      </c>
      <c r="AD126">
        <v>10581817</v>
      </c>
    </row>
    <row r="127" spans="1:30" x14ac:dyDescent="0.25">
      <c r="A127" t="s">
        <v>261</v>
      </c>
      <c r="B127" t="s">
        <v>262</v>
      </c>
      <c r="C127">
        <v>1971197.142857143</v>
      </c>
      <c r="D127">
        <v>1404545</v>
      </c>
      <c r="E127">
        <v>900000</v>
      </c>
      <c r="F127">
        <v>2475742.1428571432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731818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672727</v>
      </c>
      <c r="AD127">
        <v>900000</v>
      </c>
    </row>
    <row r="128" spans="1:30" x14ac:dyDescent="0.25">
      <c r="A128" t="s">
        <v>263</v>
      </c>
      <c r="B128" t="s">
        <v>264</v>
      </c>
      <c r="C128">
        <v>8312628.4090909092</v>
      </c>
      <c r="D128">
        <v>9818181</v>
      </c>
      <c r="E128">
        <v>8490908</v>
      </c>
      <c r="F128">
        <v>9639901.4090909101</v>
      </c>
      <c r="G128">
        <v>3236363</v>
      </c>
      <c r="H128">
        <v>3409090</v>
      </c>
      <c r="I128">
        <v>0</v>
      </c>
      <c r="J128">
        <v>0</v>
      </c>
      <c r="K128">
        <v>0</v>
      </c>
      <c r="L128">
        <v>0</v>
      </c>
      <c r="M128">
        <v>881818</v>
      </c>
      <c r="N128">
        <v>0</v>
      </c>
      <c r="O128">
        <v>936364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2054545</v>
      </c>
      <c r="X128">
        <v>2536364</v>
      </c>
      <c r="Y128">
        <v>0</v>
      </c>
      <c r="Z128">
        <v>900000</v>
      </c>
      <c r="AA128">
        <v>2709091</v>
      </c>
      <c r="AB128">
        <v>1645454</v>
      </c>
      <c r="AC128">
        <v>0</v>
      </c>
      <c r="AD128">
        <v>0</v>
      </c>
    </row>
    <row r="129" spans="1:30" x14ac:dyDescent="0.25">
      <c r="A129" t="s">
        <v>265</v>
      </c>
      <c r="B129" t="s">
        <v>266</v>
      </c>
      <c r="C129">
        <v>29354161.75</v>
      </c>
      <c r="D129">
        <v>17445455</v>
      </c>
      <c r="E129">
        <v>17499999</v>
      </c>
      <c r="F129">
        <v>29299617.75</v>
      </c>
      <c r="G129">
        <v>0</v>
      </c>
      <c r="H129">
        <v>0</v>
      </c>
      <c r="I129">
        <v>2600000</v>
      </c>
      <c r="J129">
        <v>0</v>
      </c>
      <c r="K129">
        <v>0</v>
      </c>
      <c r="L129">
        <v>0</v>
      </c>
      <c r="M129">
        <v>3845455</v>
      </c>
      <c r="N129">
        <v>4227272</v>
      </c>
      <c r="O129">
        <v>0</v>
      </c>
      <c r="P129">
        <v>0</v>
      </c>
      <c r="Q129">
        <v>0</v>
      </c>
      <c r="R129">
        <v>0</v>
      </c>
      <c r="S129">
        <v>11000000</v>
      </c>
      <c r="T129">
        <v>13272727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267</v>
      </c>
      <c r="B130" t="s">
        <v>268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269</v>
      </c>
      <c r="B131" t="s">
        <v>270</v>
      </c>
      <c r="C131">
        <v>150854874.5194805</v>
      </c>
      <c r="D131">
        <v>62509102</v>
      </c>
      <c r="E131">
        <v>58827273</v>
      </c>
      <c r="F131">
        <v>154536703.5194805</v>
      </c>
      <c r="G131">
        <v>5672730</v>
      </c>
      <c r="H131">
        <v>2931816</v>
      </c>
      <c r="I131">
        <v>2409091</v>
      </c>
      <c r="J131">
        <v>2418182</v>
      </c>
      <c r="K131">
        <v>5945461</v>
      </c>
      <c r="L131">
        <v>7239090</v>
      </c>
      <c r="M131">
        <v>12427269</v>
      </c>
      <c r="N131">
        <v>5427274</v>
      </c>
      <c r="O131">
        <v>4713639</v>
      </c>
      <c r="P131">
        <v>0</v>
      </c>
      <c r="Q131">
        <v>4940912</v>
      </c>
      <c r="R131">
        <v>0</v>
      </c>
      <c r="S131">
        <v>0</v>
      </c>
      <c r="T131">
        <v>909090</v>
      </c>
      <c r="U131">
        <v>4609093</v>
      </c>
      <c r="V131">
        <v>0</v>
      </c>
      <c r="W131">
        <v>445454</v>
      </c>
      <c r="X131">
        <v>28265458</v>
      </c>
      <c r="Y131">
        <v>6127271</v>
      </c>
      <c r="Z131">
        <v>5181818</v>
      </c>
      <c r="AA131">
        <v>15218182</v>
      </c>
      <c r="AB131">
        <v>3818181</v>
      </c>
      <c r="AC131">
        <v>0</v>
      </c>
      <c r="AD131">
        <v>2636364</v>
      </c>
    </row>
    <row r="132" spans="1:30" x14ac:dyDescent="0.25">
      <c r="A132" t="s">
        <v>271</v>
      </c>
      <c r="B132" t="s">
        <v>272</v>
      </c>
      <c r="C132">
        <v>14763956.7489301</v>
      </c>
      <c r="D132">
        <v>2890908</v>
      </c>
      <c r="E132">
        <v>3831818</v>
      </c>
      <c r="F132">
        <v>13823046.7489301</v>
      </c>
      <c r="G132">
        <v>0</v>
      </c>
      <c r="H132">
        <v>0</v>
      </c>
      <c r="I132">
        <v>0</v>
      </c>
      <c r="J132">
        <v>0</v>
      </c>
      <c r="K132">
        <v>2890908</v>
      </c>
      <c r="L132">
        <v>0</v>
      </c>
      <c r="M132">
        <v>0</v>
      </c>
      <c r="N132">
        <v>3581818</v>
      </c>
      <c r="O132">
        <v>0</v>
      </c>
      <c r="P132">
        <v>0</v>
      </c>
      <c r="Q132">
        <v>0</v>
      </c>
      <c r="R132">
        <v>250000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t="s">
        <v>273</v>
      </c>
      <c r="B133" t="s">
        <v>274</v>
      </c>
      <c r="C133">
        <v>98924200.769411772</v>
      </c>
      <c r="D133">
        <v>32308170</v>
      </c>
      <c r="E133">
        <v>22535459</v>
      </c>
      <c r="F133">
        <v>108696911.7694118</v>
      </c>
      <c r="G133">
        <v>628182</v>
      </c>
      <c r="H133">
        <v>0</v>
      </c>
      <c r="I133">
        <v>1318183</v>
      </c>
      <c r="J133">
        <v>200000</v>
      </c>
      <c r="K133">
        <v>1949998</v>
      </c>
      <c r="L133">
        <v>245455</v>
      </c>
      <c r="M133">
        <v>2576363</v>
      </c>
      <c r="N133">
        <v>645454</v>
      </c>
      <c r="O133">
        <v>990907</v>
      </c>
      <c r="P133">
        <v>2690000</v>
      </c>
      <c r="Q133">
        <v>1148181</v>
      </c>
      <c r="R133">
        <v>0</v>
      </c>
      <c r="S133">
        <v>2954545</v>
      </c>
      <c r="T133">
        <v>2218181</v>
      </c>
      <c r="U133">
        <v>1227272</v>
      </c>
      <c r="V133">
        <v>872728</v>
      </c>
      <c r="W133">
        <v>4040906</v>
      </c>
      <c r="X133">
        <v>1881819</v>
      </c>
      <c r="Y133">
        <v>5958181</v>
      </c>
      <c r="Z133">
        <v>10036364</v>
      </c>
      <c r="AA133">
        <v>6915452</v>
      </c>
      <c r="AB133">
        <v>2009092</v>
      </c>
      <c r="AC133">
        <v>2600000</v>
      </c>
      <c r="AD133">
        <v>1736366</v>
      </c>
    </row>
    <row r="134" spans="1:30" x14ac:dyDescent="0.25">
      <c r="A134" t="s">
        <v>275</v>
      </c>
      <c r="B134" t="s">
        <v>276</v>
      </c>
      <c r="C134">
        <v>33513417.08433735</v>
      </c>
      <c r="D134">
        <v>36938179</v>
      </c>
      <c r="E134">
        <v>29304545</v>
      </c>
      <c r="F134">
        <v>41147051.084337354</v>
      </c>
      <c r="G134">
        <v>3300000</v>
      </c>
      <c r="H134">
        <v>618182</v>
      </c>
      <c r="I134">
        <v>1957273</v>
      </c>
      <c r="J134">
        <v>927272</v>
      </c>
      <c r="K134">
        <v>3214545</v>
      </c>
      <c r="L134">
        <v>4309091</v>
      </c>
      <c r="M134">
        <v>4487270</v>
      </c>
      <c r="N134">
        <v>0</v>
      </c>
      <c r="O134">
        <v>2211817</v>
      </c>
      <c r="P134">
        <v>5272728</v>
      </c>
      <c r="Q134">
        <v>954546</v>
      </c>
      <c r="R134">
        <v>0</v>
      </c>
      <c r="S134">
        <v>1400000</v>
      </c>
      <c r="T134">
        <v>1818182</v>
      </c>
      <c r="U134">
        <v>3500000</v>
      </c>
      <c r="V134">
        <v>4500000</v>
      </c>
      <c r="W134">
        <v>3436364</v>
      </c>
      <c r="X134">
        <v>5727273</v>
      </c>
      <c r="Y134">
        <v>5823636</v>
      </c>
      <c r="Z134">
        <v>2790908</v>
      </c>
      <c r="AA134">
        <v>5380001</v>
      </c>
      <c r="AB134">
        <v>3340909</v>
      </c>
      <c r="AC134">
        <v>1272727</v>
      </c>
      <c r="AD134">
        <v>0</v>
      </c>
    </row>
    <row r="135" spans="1:30" x14ac:dyDescent="0.25">
      <c r="A135" t="s">
        <v>277</v>
      </c>
      <c r="B135" t="s">
        <v>278</v>
      </c>
      <c r="C135">
        <v>358922.57142857142</v>
      </c>
      <c r="D135">
        <v>0</v>
      </c>
      <c r="E135">
        <v>0</v>
      </c>
      <c r="F135">
        <v>358922.57142857142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279</v>
      </c>
      <c r="B136" t="s">
        <v>280</v>
      </c>
      <c r="C136">
        <v>1118537.368421053</v>
      </c>
      <c r="D136">
        <v>0</v>
      </c>
      <c r="E136">
        <v>0</v>
      </c>
      <c r="F136">
        <v>1118537.368421053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281</v>
      </c>
      <c r="B137" t="s">
        <v>282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283</v>
      </c>
      <c r="B138" t="s">
        <v>284</v>
      </c>
      <c r="C138">
        <v>21518658.860465121</v>
      </c>
      <c r="D138">
        <v>8134545</v>
      </c>
      <c r="E138">
        <v>7681818</v>
      </c>
      <c r="F138">
        <v>21971385.860465121</v>
      </c>
      <c r="G138">
        <v>5554545</v>
      </c>
      <c r="H138">
        <v>7681818</v>
      </c>
      <c r="I138">
        <v>0</v>
      </c>
      <c r="J138">
        <v>0</v>
      </c>
      <c r="K138">
        <v>2580000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285</v>
      </c>
      <c r="B139" t="s">
        <v>286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287</v>
      </c>
      <c r="B140" t="s">
        <v>288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289</v>
      </c>
      <c r="B141" t="s">
        <v>290</v>
      </c>
      <c r="C141">
        <v>28409354.838709679</v>
      </c>
      <c r="D141">
        <v>14500000</v>
      </c>
      <c r="E141">
        <v>26380000</v>
      </c>
      <c r="F141">
        <v>16529354.83870968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10600000</v>
      </c>
      <c r="R141">
        <v>2190000</v>
      </c>
      <c r="S141">
        <v>0</v>
      </c>
      <c r="T141">
        <v>19450000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1300000</v>
      </c>
      <c r="AB141">
        <v>0</v>
      </c>
      <c r="AC141">
        <v>2600000</v>
      </c>
      <c r="AD141">
        <v>4740000</v>
      </c>
    </row>
    <row r="142" spans="1:30" x14ac:dyDescent="0.25">
      <c r="A142" t="s">
        <v>291</v>
      </c>
      <c r="B142" t="s">
        <v>292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293</v>
      </c>
      <c r="B143" t="s">
        <v>294</v>
      </c>
      <c r="C143">
        <v>47739168.115942031</v>
      </c>
      <c r="D143">
        <v>72067000</v>
      </c>
      <c r="E143">
        <v>100280000</v>
      </c>
      <c r="F143">
        <v>19526168.115942031</v>
      </c>
      <c r="G143">
        <v>19500000</v>
      </c>
      <c r="H143">
        <v>31480000</v>
      </c>
      <c r="I143">
        <v>0</v>
      </c>
      <c r="J143">
        <v>0</v>
      </c>
      <c r="K143">
        <v>16352000</v>
      </c>
      <c r="L143">
        <v>2740000</v>
      </c>
      <c r="M143">
        <v>0</v>
      </c>
      <c r="N143">
        <v>300000</v>
      </c>
      <c r="O143">
        <v>0</v>
      </c>
      <c r="P143">
        <v>3240000</v>
      </c>
      <c r="Q143">
        <v>8210000</v>
      </c>
      <c r="R143">
        <v>2780000</v>
      </c>
      <c r="S143">
        <v>8070000</v>
      </c>
      <c r="T143">
        <v>10960000</v>
      </c>
      <c r="U143">
        <v>0</v>
      </c>
      <c r="V143">
        <v>1860000</v>
      </c>
      <c r="W143">
        <v>19500000</v>
      </c>
      <c r="X143">
        <v>30870000</v>
      </c>
      <c r="Y143">
        <v>435000</v>
      </c>
      <c r="Z143">
        <v>2370000</v>
      </c>
      <c r="AA143">
        <v>0</v>
      </c>
      <c r="AB143">
        <v>3300000</v>
      </c>
      <c r="AC143">
        <v>0</v>
      </c>
      <c r="AD143">
        <v>10380000</v>
      </c>
    </row>
    <row r="144" spans="1:30" x14ac:dyDescent="0.25">
      <c r="A144" t="s">
        <v>295</v>
      </c>
      <c r="B144" t="s">
        <v>296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297</v>
      </c>
      <c r="B145" t="s">
        <v>298</v>
      </c>
      <c r="C145">
        <v>2435955.1515151509</v>
      </c>
      <c r="D145">
        <v>0</v>
      </c>
      <c r="E145">
        <v>0</v>
      </c>
      <c r="F145">
        <v>2435955.1515151509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299</v>
      </c>
      <c r="B146" t="s">
        <v>300</v>
      </c>
      <c r="C146">
        <v>665627019.55999994</v>
      </c>
      <c r="D146">
        <v>1158583651.9200001</v>
      </c>
      <c r="E146">
        <v>1031070746</v>
      </c>
      <c r="F146">
        <v>793139925.4799999</v>
      </c>
      <c r="G146">
        <v>132934941</v>
      </c>
      <c r="H146">
        <v>93915928</v>
      </c>
      <c r="I146">
        <v>98454138.549999997</v>
      </c>
      <c r="J146">
        <v>28102525</v>
      </c>
      <c r="K146">
        <v>75453007</v>
      </c>
      <c r="L146">
        <v>92072057</v>
      </c>
      <c r="M146">
        <v>171733575</v>
      </c>
      <c r="N146">
        <v>183469367</v>
      </c>
      <c r="O146">
        <v>65154569</v>
      </c>
      <c r="P146">
        <v>58964241</v>
      </c>
      <c r="Q146">
        <v>74785887.370000005</v>
      </c>
      <c r="R146">
        <v>41128280</v>
      </c>
      <c r="S146">
        <v>55900984</v>
      </c>
      <c r="T146">
        <v>135937032</v>
      </c>
      <c r="U146">
        <v>85666412</v>
      </c>
      <c r="V146">
        <v>80696639</v>
      </c>
      <c r="W146">
        <v>129160372</v>
      </c>
      <c r="X146">
        <v>109609927</v>
      </c>
      <c r="Y146">
        <v>68623852</v>
      </c>
      <c r="Z146">
        <v>50100000</v>
      </c>
      <c r="AA146">
        <v>84182756</v>
      </c>
      <c r="AB146">
        <v>77117004</v>
      </c>
      <c r="AC146">
        <v>116533158</v>
      </c>
      <c r="AD146">
        <v>79957746</v>
      </c>
    </row>
    <row r="147" spans="1:30" x14ac:dyDescent="0.25">
      <c r="A147" t="s">
        <v>301</v>
      </c>
      <c r="C147">
        <v>20007382430.870441</v>
      </c>
      <c r="D147">
        <v>21100924194.779999</v>
      </c>
      <c r="E147">
        <v>18548273147</v>
      </c>
      <c r="F147">
        <v>24146571300.88002</v>
      </c>
      <c r="G147">
        <v>894375124.36000001</v>
      </c>
      <c r="H147">
        <v>669303744</v>
      </c>
      <c r="I147">
        <v>1343244143.55</v>
      </c>
      <c r="J147">
        <v>392055119</v>
      </c>
      <c r="K147">
        <v>2004971488</v>
      </c>
      <c r="L147">
        <v>1672659838</v>
      </c>
      <c r="M147">
        <v>608310270</v>
      </c>
      <c r="N147">
        <v>1022838904</v>
      </c>
      <c r="O147">
        <v>739806624</v>
      </c>
      <c r="P147">
        <v>1668824554</v>
      </c>
      <c r="Q147">
        <v>2671403006.8899999</v>
      </c>
      <c r="R147">
        <v>1006059066</v>
      </c>
      <c r="S147">
        <v>1287615396</v>
      </c>
      <c r="T147">
        <v>2921066635</v>
      </c>
      <c r="U147">
        <v>1873539680.1800001</v>
      </c>
      <c r="V147">
        <v>1949899571</v>
      </c>
      <c r="W147">
        <v>2288978562</v>
      </c>
      <c r="X147">
        <v>1705683581</v>
      </c>
      <c r="Y147">
        <v>1363242070</v>
      </c>
      <c r="Z147">
        <v>1488943809</v>
      </c>
      <c r="AA147">
        <v>2204608683.8000002</v>
      </c>
      <c r="AB147">
        <v>1376722729</v>
      </c>
      <c r="AC147">
        <v>3820829146</v>
      </c>
      <c r="AD147">
        <v>2674215597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  <vt:lpstr>Hoadon</vt:lpstr>
      <vt:lpstr>xnt12thang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2026-03-25T04:15:27Z</dcterms:created>
  <dcterms:modified xsi:type="dcterms:W3CDTF">2026-03-25T16:56:54Z</dcterms:modified>
</cp:coreProperties>
</file>