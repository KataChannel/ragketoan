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EEA6CBF-3B51-488D-A872-89A42EF7AAB1}" xr6:coauthVersionLast="47" xr6:coauthVersionMax="47" xr10:uidLastSave="{00000000-0000-0000-0000-000000000000}"/>
  <bookViews>
    <workbookView xWindow="-120" yWindow="-120" windowWidth="20730" windowHeight="11160" xr2:uid="{5B66E858-3C9B-4357-8774-E58469BBA886}"/>
  </bookViews>
  <sheets>
    <sheet name="BẢNG KÊ HĐ VÀ TK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1" l="1"/>
  <c r="B18" i="1"/>
  <c r="M17" i="1"/>
  <c r="K17" i="1"/>
  <c r="L17" i="1"/>
  <c r="J17" i="1"/>
  <c r="M6" i="1"/>
  <c r="M7" i="1"/>
  <c r="M8" i="1"/>
  <c r="M9" i="1"/>
  <c r="M10" i="1"/>
  <c r="M11" i="1"/>
  <c r="M12" i="1"/>
  <c r="M13" i="1"/>
  <c r="M14" i="1"/>
  <c r="M15" i="1"/>
  <c r="M16" i="1"/>
  <c r="L6" i="1"/>
  <c r="L7" i="1"/>
  <c r="L8" i="1"/>
  <c r="L9" i="1"/>
  <c r="L10" i="1"/>
  <c r="L11" i="1"/>
  <c r="L12" i="1"/>
  <c r="L13" i="1"/>
  <c r="L14" i="1"/>
  <c r="L15" i="1"/>
  <c r="L16" i="1"/>
  <c r="M5" i="1"/>
  <c r="L5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N4" i="1"/>
  <c r="C17" i="1"/>
  <c r="D17" i="1"/>
  <c r="H17" i="1"/>
  <c r="I17" i="1"/>
  <c r="B17" i="1"/>
  <c r="Q10" i="1"/>
  <c r="Q16" i="1"/>
  <c r="Q9" i="1"/>
  <c r="Q11" i="1"/>
  <c r="Q12" i="1"/>
  <c r="Q13" i="1"/>
  <c r="Q14" i="1"/>
  <c r="Q15" i="1"/>
  <c r="Q6" i="1"/>
  <c r="Q7" i="1"/>
  <c r="Q8" i="1"/>
  <c r="Q5" i="1"/>
  <c r="N5" i="1" l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P17" i="1"/>
  <c r="R16" i="1" l="1"/>
  <c r="R17" i="1" s="1"/>
</calcChain>
</file>

<file path=xl/sharedStrings.xml><?xml version="1.0" encoding="utf-8"?>
<sst xmlns="http://schemas.openxmlformats.org/spreadsheetml/2006/main" count="19" uniqueCount="12">
  <si>
    <t>DT</t>
  </si>
  <si>
    <t>THUẾ GTGT</t>
  </si>
  <si>
    <t>THUẾ CÒN KT</t>
  </si>
  <si>
    <t>DT K CHỊU THUẾ</t>
  </si>
  <si>
    <t>TC</t>
  </si>
  <si>
    <t>THEO TỜ KHAI</t>
  </si>
  <si>
    <t>BÁN RA HĐ</t>
  </si>
  <si>
    <t>MUA VÀO THEO HĐ</t>
  </si>
  <si>
    <t>MUA VÀO KÊ KHAI</t>
  </si>
  <si>
    <t>CL HĐ VÀ KK</t>
  </si>
  <si>
    <t>MUA VÀO CÓ HOÁ ĐƠN CHI PHÍ</t>
  </si>
  <si>
    <t>TỔNG DOANH THU BÁN RA 12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</si>
</sst>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Times New Roman"/>
      <family val="1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808080"/>
      </left>
      <right style="medium">
        <color rgb="FFCCCCCC"/>
      </right>
      <top style="medium">
        <color rgb="FF808080"/>
      </top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2" fillId="0" borderId="2" xfId="0" applyFont="1" applyBorder="1"/>
    <xf numFmtId="3" fontId="2" fillId="0" borderId="2" xfId="0" applyNumberFormat="1" applyFont="1" applyBorder="1"/>
    <xf numFmtId="3" fontId="3" fillId="0" borderId="2" xfId="0" applyNumberFormat="1" applyFont="1" applyBorder="1"/>
    <xf numFmtId="3" fontId="2" fillId="0" borderId="0" xfId="0" applyNumberFormat="1" applyFont="1"/>
    <xf numFmtId="3" fontId="3" fillId="0" borderId="0" xfId="0" applyNumberFormat="1" applyFont="1"/>
    <xf numFmtId="164" fontId="2" fillId="0" borderId="2" xfId="1" applyNumberFormat="1" applyFont="1" applyBorder="1"/>
    <xf numFmtId="3" fontId="3" fillId="2" borderId="1" xfId="0" applyNumberFormat="1" applyFont="1" applyFill="1" applyBorder="1" applyAlignment="1">
      <alignment vertical="center" wrapText="1"/>
    </xf>
    <xf numFmtId="0" fontId="4" fillId="0" borderId="2" xfId="0" applyFont="1" applyBorder="1"/>
    <xf numFmtId="3" fontId="4" fillId="0" borderId="2" xfId="0" applyNumberFormat="1" applyFont="1" applyBorder="1"/>
    <xf numFmtId="3" fontId="4" fillId="0" borderId="0" xfId="0" applyNumberFormat="1" applyFont="1"/>
    <xf numFmtId="0" fontId="4" fillId="0" borderId="0" xfId="0" applyFont="1"/>
    <xf numFmtId="0" fontId="5" fillId="0" borderId="2" xfId="0" applyFont="1" applyBorder="1"/>
    <xf numFmtId="164" fontId="5" fillId="0" borderId="2" xfId="1" applyNumberFormat="1" applyFont="1" applyBorder="1"/>
    <xf numFmtId="164" fontId="6" fillId="0" borderId="2" xfId="1" applyNumberFormat="1" applyFont="1" applyBorder="1"/>
    <xf numFmtId="3" fontId="7" fillId="0" borderId="2" xfId="0" applyNumberFormat="1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0" xfId="0" applyFont="1"/>
    <xf numFmtId="3" fontId="7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DANH%20S&#193;CH%20H&#211;A%20&#272;&#416;NMV%20T1%202023%20HV.xlsx" TargetMode="External"/><Relationship Id="rId1" Type="http://schemas.openxmlformats.org/officeDocument/2006/relationships/externalLinkPath" Target="QT%20HV%202023/DANH%20S&#193;CH%20H&#211;A%20&#272;&#416;NMV%20T1%202023%20HV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DANH%20S&#193;CH%20H&#211;A%20&#272;&#416;N%20MV%20T2%202023%20HV.xlsx" TargetMode="External"/><Relationship Id="rId1" Type="http://schemas.openxmlformats.org/officeDocument/2006/relationships/externalLinkPath" Target="QT%20HV%202023/DANH%20S&#193;CH%20H&#211;A%20&#272;&#416;N%20MV%20T2%202023%20HV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DANH%20S&#193;CH%20H&#211;A%20&#272;&#416;NMV%20T3%202023%20HV.xlsx" TargetMode="External"/><Relationship Id="rId1" Type="http://schemas.openxmlformats.org/officeDocument/2006/relationships/externalLinkPath" Target="QT%20HV%202023/DANH%20S&#193;CH%20H&#211;A%20&#272;&#416;NMV%20T3%202023%20HV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DANH%20S&#193;CH%20H&#211;A%20&#272;&#416;NMV%20T4%202023%20HV.xlsx" TargetMode="External"/><Relationship Id="rId1" Type="http://schemas.openxmlformats.org/officeDocument/2006/relationships/externalLinkPath" Target="QT%20HV%202023/DANH%20S&#193;CH%20H&#211;A%20&#272;&#416;NMV%20T4%202023%20HV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GOM%20FILE%2004%2001%202026\HUY%20V&#360;\H&#272;%20MV%202023%20HV\DANH%20S&#193;CH%20H&#211;A%20&#272;&#416;NMV%20T5%202023.xlsx" TargetMode="External"/><Relationship Id="rId1" Type="http://schemas.openxmlformats.org/officeDocument/2006/relationships/externalLinkPath" Target="GOM%20FILE%2004%2001%202026/HUY%20V&#360;/H&#272;%20MV%202023%20HV/DANH%20S&#193;CH%20H&#211;A%20&#272;&#416;NMV%20T5%202023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DANH%20S&#193;CH%20H&#211;A%20&#272;&#416;NMV%20T6%202023%20HV.xlsx" TargetMode="External"/><Relationship Id="rId1" Type="http://schemas.openxmlformats.org/officeDocument/2006/relationships/externalLinkPath" Target="QT%20HV%202023/DANH%20S&#193;CH%20H&#211;A%20&#272;&#416;NMV%20T6%202023%20HV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DANH%20S&#193;CH%20H&#211;A%20&#272;&#416;NMV%20T7%202023%20HV.xlsx" TargetMode="External"/><Relationship Id="rId1" Type="http://schemas.openxmlformats.org/officeDocument/2006/relationships/externalLinkPath" Target="QT%20HV%202023/DANH%20S&#193;CH%20H&#211;A%20&#272;&#416;NMV%20T7%202023%20HV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DANH%20S&#193;CH%20H&#211;A%20&#272;&#416;NMV%20T8%202023%20HV.xlsx" TargetMode="External"/><Relationship Id="rId1" Type="http://schemas.openxmlformats.org/officeDocument/2006/relationships/externalLinkPath" Target="QT%20HV%202023/DANH%20S&#193;CH%20H&#211;A%20&#272;&#416;NMV%20T8%202023%20HV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DANH%20S&#193;CH%20H&#211;A%20&#272;&#416;NMV%20T9%202023%20HV.xlsx" TargetMode="External"/><Relationship Id="rId1" Type="http://schemas.openxmlformats.org/officeDocument/2006/relationships/externalLinkPath" Target="QT%20HV%202023/DANH%20S&#193;CH%20H&#211;A%20&#272;&#416;NMV%20T9%202023%20HV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DANH%20S&#193;CH%20H&#211;A%20&#272;&#416;NMV%20T10%202023%20HV.xlsx" TargetMode="External"/><Relationship Id="rId1" Type="http://schemas.openxmlformats.org/officeDocument/2006/relationships/externalLinkPath" Target="QT%20HV%202023/DANH%20S&#193;CH%20H&#211;A%20&#272;&#416;NMV%20T10%202023%20HV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DANH%20S&#193;CH%20H&#211;A%20&#272;&#416;NMV%20T11%202023%20HV.xlsx" TargetMode="External"/><Relationship Id="rId1" Type="http://schemas.openxmlformats.org/officeDocument/2006/relationships/externalLinkPath" Target="QT%20HV%202023/DANH%20S&#193;CH%20H&#211;A%20&#272;&#416;NMV%20T11%202023%20HV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DANH%20S&#193;CH%20H&#211;A%20&#272;&#416;NMV%20T12%202023%20HV.xlsx" TargetMode="External"/><Relationship Id="rId1" Type="http://schemas.openxmlformats.org/officeDocument/2006/relationships/externalLinkPath" Target="QT%20HV%202023/DANH%20S&#193;CH%20H&#211;A%20&#272;&#416;NMV%20T12%202023%20H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 1"/>
    </sheetNames>
    <sheetDataSet>
      <sheetData sheetId="0">
        <row r="34">
          <cell r="K34">
            <v>42870874</v>
          </cell>
        </row>
        <row r="35">
          <cell r="K35">
            <v>1154981164</v>
          </cell>
          <cell r="L35">
            <v>115559137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75">
          <cell r="K75">
            <v>50560605</v>
          </cell>
        </row>
        <row r="76">
          <cell r="K76">
            <v>1745704064</v>
          </cell>
          <cell r="L76">
            <v>174741765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 1"/>
    </sheetNames>
    <sheetDataSet>
      <sheetData sheetId="0">
        <row r="91">
          <cell r="K91">
            <v>1536437738</v>
          </cell>
          <cell r="L91">
            <v>153152886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 1"/>
    </sheetNames>
    <sheetDataSet>
      <sheetData sheetId="0">
        <row r="48">
          <cell r="N48">
            <v>130000</v>
          </cell>
        </row>
        <row r="51">
          <cell r="K51">
            <v>757550609</v>
          </cell>
          <cell r="L51">
            <v>75858644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64">
          <cell r="I64">
            <v>600350985</v>
          </cell>
          <cell r="J64">
            <v>59060355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76">
          <cell r="K76">
            <v>69127116</v>
          </cell>
        </row>
        <row r="77">
          <cell r="K77">
            <v>749561478</v>
          </cell>
          <cell r="L77">
            <v>74805086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 1"/>
    </sheetNames>
    <sheetDataSet>
      <sheetData sheetId="0">
        <row r="59">
          <cell r="K59">
            <v>895409563</v>
          </cell>
          <cell r="L59">
            <v>89300654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86">
          <cell r="K86">
            <v>1812197507</v>
          </cell>
          <cell r="L86">
            <v>180737190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 1"/>
    </sheetNames>
    <sheetDataSet>
      <sheetData sheetId="0">
        <row r="68">
          <cell r="K68">
            <v>1552056812</v>
          </cell>
          <cell r="L68">
            <v>154879749</v>
          </cell>
        </row>
      </sheetData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 1"/>
    </sheetNames>
    <sheetDataSet>
      <sheetData sheetId="0">
        <row r="84">
          <cell r="K84">
            <v>890284926</v>
          </cell>
          <cell r="L84">
            <v>88851211</v>
          </cell>
        </row>
      </sheetData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89">
          <cell r="K89">
            <v>1564643572</v>
          </cell>
          <cell r="L89">
            <v>155603657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 1"/>
    </sheetNames>
    <sheetDataSet>
      <sheetData sheetId="0">
        <row r="96">
          <cell r="K96">
            <v>2381764450</v>
          </cell>
          <cell r="L96">
            <v>235693624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2ADC6-DF5B-49F3-8ED5-1A24810605AA}">
  <dimension ref="A1:R18"/>
  <sheetViews>
    <sheetView tabSelected="1" topLeftCell="A7" workbookViewId="0">
      <selection activeCell="A18" sqref="A18:XFD18"/>
    </sheetView>
  </sheetViews>
  <sheetFormatPr defaultRowHeight="15" x14ac:dyDescent="0.25"/>
  <cols>
    <col min="1" max="1" width="33.85546875" style="1" customWidth="1"/>
    <col min="2" max="2" width="20.85546875" style="1" customWidth="1"/>
    <col min="3" max="3" width="15.42578125" style="1" bestFit="1" customWidth="1"/>
    <col min="4" max="4" width="15" style="1" customWidth="1"/>
    <col min="5" max="7" width="15" style="1" hidden="1" customWidth="1"/>
    <col min="8" max="8" width="18.7109375" style="1" bestFit="1" customWidth="1"/>
    <col min="9" max="9" width="15" style="1" customWidth="1"/>
    <col min="10" max="10" width="15.7109375" style="1" bestFit="1" customWidth="1"/>
    <col min="11" max="15" width="15" style="1" customWidth="1"/>
    <col min="16" max="16" width="15" style="1" bestFit="1" customWidth="1"/>
    <col min="17" max="17" width="13.140625" style="1" customWidth="1"/>
    <col min="18" max="18" width="20.140625" style="1" customWidth="1"/>
    <col min="19" max="16384" width="9.140625" style="1"/>
  </cols>
  <sheetData>
    <row r="1" spans="1:18" x14ac:dyDescent="0.25">
      <c r="A1" s="23" t="s">
        <v>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5"/>
    </row>
    <row r="2" spans="1:18" x14ac:dyDescent="0.25">
      <c r="B2" s="20" t="s">
        <v>6</v>
      </c>
      <c r="C2" s="21"/>
      <c r="D2" s="22"/>
      <c r="E2" s="2"/>
      <c r="F2" s="2"/>
      <c r="G2" s="2"/>
      <c r="H2" s="23" t="s">
        <v>8</v>
      </c>
      <c r="I2" s="24"/>
      <c r="J2" s="24" t="s">
        <v>7</v>
      </c>
      <c r="K2" s="24"/>
      <c r="L2" s="24" t="s">
        <v>9</v>
      </c>
      <c r="M2" s="24"/>
      <c r="N2" s="3"/>
      <c r="O2" s="3"/>
      <c r="P2" s="4"/>
    </row>
    <row r="3" spans="1:18" x14ac:dyDescent="0.25">
      <c r="A3" s="5"/>
      <c r="B3" s="5" t="s">
        <v>0</v>
      </c>
      <c r="C3" s="5" t="s">
        <v>1</v>
      </c>
      <c r="D3" s="5" t="s">
        <v>3</v>
      </c>
      <c r="E3" s="5"/>
      <c r="F3" s="5"/>
      <c r="G3" s="5"/>
      <c r="H3" s="5" t="s">
        <v>0</v>
      </c>
      <c r="I3" s="5" t="s">
        <v>1</v>
      </c>
      <c r="J3" s="16" t="s">
        <v>0</v>
      </c>
      <c r="K3" s="16" t="s">
        <v>1</v>
      </c>
      <c r="L3" s="5" t="s">
        <v>0</v>
      </c>
      <c r="M3" s="5" t="s">
        <v>1</v>
      </c>
      <c r="N3" s="5" t="s">
        <v>2</v>
      </c>
      <c r="O3" s="5"/>
      <c r="P3" s="5" t="s">
        <v>2</v>
      </c>
      <c r="Q3" s="5"/>
    </row>
    <row r="4" spans="1:18" ht="15.75" x14ac:dyDescent="0.25">
      <c r="A4" s="5"/>
      <c r="B4" s="5"/>
      <c r="C4" s="5"/>
      <c r="D4" s="5"/>
      <c r="E4" s="5"/>
      <c r="F4" s="5"/>
      <c r="G4" s="5"/>
      <c r="H4" s="5"/>
      <c r="I4" s="5"/>
      <c r="J4" s="16"/>
      <c r="K4" s="16"/>
      <c r="L4" s="5"/>
      <c r="M4" s="5"/>
      <c r="N4" s="6">
        <f>P4</f>
        <v>100889754</v>
      </c>
      <c r="O4" s="5"/>
      <c r="P4" s="7">
        <v>100889754</v>
      </c>
      <c r="Q4" s="6"/>
      <c r="R4" s="8"/>
    </row>
    <row r="5" spans="1:18" ht="15.75" x14ac:dyDescent="0.25">
      <c r="A5" s="5">
        <v>1</v>
      </c>
      <c r="B5" s="9">
        <v>890556850</v>
      </c>
      <c r="C5" s="7">
        <v>89055685</v>
      </c>
      <c r="D5" s="7">
        <v>650000</v>
      </c>
      <c r="E5" s="7"/>
      <c r="F5" s="7"/>
      <c r="G5" s="7"/>
      <c r="H5" s="7">
        <v>1364554555</v>
      </c>
      <c r="I5" s="7">
        <v>136448956</v>
      </c>
      <c r="J5" s="17">
        <f>[1]Sheet1!$K$35</f>
        <v>1154981164</v>
      </c>
      <c r="K5" s="17">
        <f>[1]Sheet1!$L$35</f>
        <v>115559137</v>
      </c>
      <c r="L5" s="10">
        <f>J5-H5</f>
        <v>-209573391</v>
      </c>
      <c r="M5" s="10">
        <f>K5-I5</f>
        <v>-20889819</v>
      </c>
      <c r="N5" s="7">
        <f>C5-K5-N4</f>
        <v>-127393206</v>
      </c>
      <c r="O5" s="7"/>
      <c r="P5" s="7">
        <v>148283025</v>
      </c>
      <c r="Q5" s="6">
        <f t="shared" ref="Q5:Q16" si="0">C5-I5-P4</f>
        <v>-148283025</v>
      </c>
    </row>
    <row r="6" spans="1:18" ht="15.75" x14ac:dyDescent="0.25">
      <c r="A6" s="5">
        <v>2</v>
      </c>
      <c r="B6" s="9">
        <v>1062540911</v>
      </c>
      <c r="C6" s="7">
        <v>106254091</v>
      </c>
      <c r="D6" s="7">
        <v>2100000</v>
      </c>
      <c r="E6" s="7"/>
      <c r="F6" s="7"/>
      <c r="G6" s="7"/>
      <c r="H6" s="7">
        <v>1921094551</v>
      </c>
      <c r="I6" s="7">
        <v>192109455</v>
      </c>
      <c r="J6" s="18">
        <f>'[2]sheet 1'!$K$76</f>
        <v>1745704064</v>
      </c>
      <c r="K6" s="17">
        <f>'[2]sheet 1'!$L$76</f>
        <v>174741765</v>
      </c>
      <c r="L6" s="10">
        <f t="shared" ref="L6:L16" si="1">J6-H6</f>
        <v>-175390487</v>
      </c>
      <c r="M6" s="10">
        <f t="shared" ref="M6:M16" si="2">K6-I6</f>
        <v>-17367690</v>
      </c>
      <c r="N6" s="7">
        <f t="shared" ref="N6:N16" si="3">C6-K6+N5</f>
        <v>-195880880</v>
      </c>
      <c r="O6" s="7"/>
      <c r="P6" s="7">
        <v>234138389</v>
      </c>
      <c r="Q6" s="6">
        <f t="shared" si="0"/>
        <v>-234138389</v>
      </c>
    </row>
    <row r="7" spans="1:18" ht="16.5" thickBot="1" x14ac:dyDescent="0.3">
      <c r="A7" s="5">
        <v>3</v>
      </c>
      <c r="B7" s="9">
        <v>1702314546</v>
      </c>
      <c r="C7" s="7">
        <v>170231455</v>
      </c>
      <c r="D7" s="7">
        <v>7500000</v>
      </c>
      <c r="E7" s="7"/>
      <c r="F7" s="7"/>
      <c r="G7" s="7"/>
      <c r="H7" s="7">
        <v>1624984763</v>
      </c>
      <c r="I7" s="7">
        <v>161758476</v>
      </c>
      <c r="J7" s="18">
        <f>[3]Sheet1!$K$91</f>
        <v>1536437738</v>
      </c>
      <c r="K7" s="17">
        <f>[3]Sheet1!$L$91</f>
        <v>153152886</v>
      </c>
      <c r="L7" s="10">
        <f t="shared" si="1"/>
        <v>-88547025</v>
      </c>
      <c r="M7" s="10">
        <f t="shared" si="2"/>
        <v>-8605590</v>
      </c>
      <c r="N7" s="7">
        <f t="shared" si="3"/>
        <v>-178802311</v>
      </c>
      <c r="O7" s="7"/>
      <c r="P7" s="7">
        <v>225665410</v>
      </c>
      <c r="Q7" s="6">
        <f t="shared" si="0"/>
        <v>-225665410</v>
      </c>
    </row>
    <row r="8" spans="1:18" ht="16.5" thickBot="1" x14ac:dyDescent="0.3">
      <c r="A8" s="5">
        <v>4</v>
      </c>
      <c r="B8" s="11">
        <v>976118179</v>
      </c>
      <c r="C8" s="9">
        <v>97611818</v>
      </c>
      <c r="D8" s="7">
        <v>2050000</v>
      </c>
      <c r="E8" s="7"/>
      <c r="F8" s="7"/>
      <c r="G8" s="7"/>
      <c r="H8" s="7">
        <v>910158607</v>
      </c>
      <c r="I8" s="7">
        <v>90480861</v>
      </c>
      <c r="J8" s="18">
        <f>[4]Sheet1!$K$51</f>
        <v>757550609</v>
      </c>
      <c r="K8" s="17">
        <f>[4]Sheet1!$L$51</f>
        <v>75858644</v>
      </c>
      <c r="L8" s="10">
        <f t="shared" si="1"/>
        <v>-152607998</v>
      </c>
      <c r="M8" s="10">
        <f t="shared" si="2"/>
        <v>-14622217</v>
      </c>
      <c r="N8" s="7">
        <f t="shared" si="3"/>
        <v>-157049137</v>
      </c>
      <c r="O8" s="7"/>
      <c r="P8" s="7">
        <v>218534453</v>
      </c>
      <c r="Q8" s="6">
        <f t="shared" si="0"/>
        <v>-218534453</v>
      </c>
    </row>
    <row r="9" spans="1:18" ht="15.75" x14ac:dyDescent="0.25">
      <c r="A9" s="5">
        <v>5</v>
      </c>
      <c r="B9" s="9">
        <v>856337274</v>
      </c>
      <c r="C9" s="7">
        <v>85633727</v>
      </c>
      <c r="D9" s="7">
        <v>1500000</v>
      </c>
      <c r="E9" s="7"/>
      <c r="F9" s="7"/>
      <c r="G9" s="7"/>
      <c r="H9" s="7">
        <v>485613575</v>
      </c>
      <c r="I9" s="7">
        <v>48266358</v>
      </c>
      <c r="J9" s="18">
        <f>'[5]sheet 1'!$I$64</f>
        <v>600350985</v>
      </c>
      <c r="K9" s="17">
        <f>'[5]sheet 1'!$J$64</f>
        <v>59060355</v>
      </c>
      <c r="L9" s="10">
        <f t="shared" si="1"/>
        <v>114737410</v>
      </c>
      <c r="M9" s="10">
        <f t="shared" si="2"/>
        <v>10793997</v>
      </c>
      <c r="N9" s="7">
        <f t="shared" si="3"/>
        <v>-130475765</v>
      </c>
      <c r="O9" s="7"/>
      <c r="P9" s="7">
        <v>181167084</v>
      </c>
      <c r="Q9" s="6">
        <f t="shared" si="0"/>
        <v>-181167084</v>
      </c>
    </row>
    <row r="10" spans="1:18" ht="16.5" thickBot="1" x14ac:dyDescent="0.3">
      <c r="A10" s="5">
        <v>6</v>
      </c>
      <c r="B10" s="9">
        <v>979997269</v>
      </c>
      <c r="C10" s="7">
        <v>97999727</v>
      </c>
      <c r="D10" s="7">
        <v>4400000</v>
      </c>
      <c r="E10" s="7"/>
      <c r="F10" s="7"/>
      <c r="G10" s="7"/>
      <c r="H10" s="7">
        <v>698473714</v>
      </c>
      <c r="I10" s="7">
        <v>69569371</v>
      </c>
      <c r="J10" s="18">
        <f>'[6]sheet 1'!$K$77</f>
        <v>749561478</v>
      </c>
      <c r="K10" s="17">
        <f>'[6]sheet 1'!$L$77</f>
        <v>74805086</v>
      </c>
      <c r="L10" s="10">
        <f t="shared" si="1"/>
        <v>51087764</v>
      </c>
      <c r="M10" s="10">
        <f t="shared" si="2"/>
        <v>5235715</v>
      </c>
      <c r="N10" s="7">
        <f t="shared" si="3"/>
        <v>-107281124</v>
      </c>
      <c r="O10" s="7"/>
      <c r="P10" s="7">
        <v>152736728</v>
      </c>
      <c r="Q10" s="6">
        <f t="shared" si="0"/>
        <v>-152736728</v>
      </c>
    </row>
    <row r="11" spans="1:18" ht="16.5" thickBot="1" x14ac:dyDescent="0.3">
      <c r="A11" s="5">
        <v>7</v>
      </c>
      <c r="B11" s="11">
        <v>1153648183</v>
      </c>
      <c r="C11" s="9">
        <v>115648183</v>
      </c>
      <c r="D11" s="7">
        <v>1200000</v>
      </c>
      <c r="E11" s="7"/>
      <c r="F11" s="7"/>
      <c r="G11" s="7"/>
      <c r="H11" s="7">
        <v>817954184</v>
      </c>
      <c r="I11" s="7">
        <v>80873825</v>
      </c>
      <c r="J11" s="17">
        <f>[7]Sheet1!$K$59</f>
        <v>895409563</v>
      </c>
      <c r="K11" s="17">
        <f>[7]Sheet1!$L$59</f>
        <v>89300654</v>
      </c>
      <c r="L11" s="10">
        <f t="shared" si="1"/>
        <v>77455379</v>
      </c>
      <c r="M11" s="10">
        <f t="shared" si="2"/>
        <v>8426829</v>
      </c>
      <c r="N11" s="7">
        <f t="shared" si="3"/>
        <v>-80933595</v>
      </c>
      <c r="O11" s="7"/>
      <c r="P11" s="7">
        <v>117962370</v>
      </c>
      <c r="Q11" s="6">
        <f t="shared" si="0"/>
        <v>-117962370</v>
      </c>
    </row>
    <row r="12" spans="1:18" ht="15.75" x14ac:dyDescent="0.25">
      <c r="A12" s="5">
        <v>8</v>
      </c>
      <c r="B12" s="9">
        <v>1158949228</v>
      </c>
      <c r="C12" s="7">
        <v>115159771</v>
      </c>
      <c r="D12" s="7">
        <v>9860000</v>
      </c>
      <c r="E12" s="7"/>
      <c r="F12" s="7"/>
      <c r="G12" s="7"/>
      <c r="H12" s="7">
        <v>1452450939</v>
      </c>
      <c r="I12" s="7">
        <v>144621024</v>
      </c>
      <c r="J12" s="17">
        <f>'[8]sheet 1'!$K$86</f>
        <v>1812197507</v>
      </c>
      <c r="K12" s="17">
        <f>'[8]sheet 1'!$L$86</f>
        <v>180737190</v>
      </c>
      <c r="L12" s="10">
        <f t="shared" si="1"/>
        <v>359746568</v>
      </c>
      <c r="M12" s="10">
        <f t="shared" si="2"/>
        <v>36116166</v>
      </c>
      <c r="N12" s="7">
        <f t="shared" si="3"/>
        <v>-146511014</v>
      </c>
      <c r="O12" s="7"/>
      <c r="P12" s="7">
        <v>147423623</v>
      </c>
      <c r="Q12" s="6">
        <f t="shared" si="0"/>
        <v>-147423623</v>
      </c>
    </row>
    <row r="13" spans="1:18" ht="15.75" x14ac:dyDescent="0.25">
      <c r="A13" s="5">
        <v>9</v>
      </c>
      <c r="B13" s="9">
        <v>1281113807</v>
      </c>
      <c r="C13" s="7">
        <v>128001196</v>
      </c>
      <c r="D13" s="7">
        <v>4020000</v>
      </c>
      <c r="E13" s="7"/>
      <c r="F13" s="7"/>
      <c r="G13" s="7"/>
      <c r="H13" s="7">
        <v>1744615631</v>
      </c>
      <c r="I13" s="7">
        <v>173470629</v>
      </c>
      <c r="J13" s="17">
        <f>[9]Sheet1!$K$68</f>
        <v>1552056812</v>
      </c>
      <c r="K13" s="17">
        <f>[9]Sheet1!$L$68</f>
        <v>154879749</v>
      </c>
      <c r="L13" s="10">
        <f t="shared" si="1"/>
        <v>-192558819</v>
      </c>
      <c r="M13" s="10">
        <f t="shared" si="2"/>
        <v>-18590880</v>
      </c>
      <c r="N13" s="7">
        <f t="shared" si="3"/>
        <v>-173389567</v>
      </c>
      <c r="O13" s="7"/>
      <c r="P13" s="7">
        <v>192893056</v>
      </c>
      <c r="Q13" s="6">
        <f t="shared" si="0"/>
        <v>-192893056</v>
      </c>
    </row>
    <row r="14" spans="1:18" ht="15.75" x14ac:dyDescent="0.25">
      <c r="A14" s="5">
        <v>10</v>
      </c>
      <c r="B14" s="9">
        <v>1420458661</v>
      </c>
      <c r="C14" s="7">
        <v>141712347</v>
      </c>
      <c r="D14" s="7">
        <v>6040000</v>
      </c>
      <c r="E14" s="7"/>
      <c r="F14" s="7"/>
      <c r="G14" s="7"/>
      <c r="H14" s="7">
        <v>1039255079</v>
      </c>
      <c r="I14" s="7">
        <v>103641841</v>
      </c>
      <c r="J14" s="17">
        <f>[10]Sheet1!$K$84</f>
        <v>890284926</v>
      </c>
      <c r="K14" s="17">
        <f>[10]Sheet1!$L$84</f>
        <v>88851211</v>
      </c>
      <c r="L14" s="10">
        <f t="shared" si="1"/>
        <v>-148970153</v>
      </c>
      <c r="M14" s="10">
        <f t="shared" si="2"/>
        <v>-14790630</v>
      </c>
      <c r="N14" s="7">
        <f t="shared" si="3"/>
        <v>-120528431</v>
      </c>
      <c r="O14" s="7"/>
      <c r="P14" s="7">
        <v>154822550</v>
      </c>
      <c r="Q14" s="6">
        <f t="shared" si="0"/>
        <v>-154822550</v>
      </c>
    </row>
    <row r="15" spans="1:18" ht="15.75" x14ac:dyDescent="0.25">
      <c r="A15" s="5">
        <v>11</v>
      </c>
      <c r="B15" s="9">
        <v>1483313992</v>
      </c>
      <c r="C15" s="7">
        <v>147876029</v>
      </c>
      <c r="D15" s="7">
        <v>13240000</v>
      </c>
      <c r="E15" s="7"/>
      <c r="F15" s="7"/>
      <c r="G15" s="7"/>
      <c r="H15" s="7">
        <v>1511469924</v>
      </c>
      <c r="I15" s="7">
        <v>149840844</v>
      </c>
      <c r="J15" s="17">
        <f>'[11]sheet 1'!$K$89</f>
        <v>1564643572</v>
      </c>
      <c r="K15" s="17">
        <f>'[11]sheet 1'!$L$89</f>
        <v>155603657</v>
      </c>
      <c r="L15" s="10">
        <f t="shared" si="1"/>
        <v>53173648</v>
      </c>
      <c r="M15" s="10">
        <f t="shared" si="2"/>
        <v>5762813</v>
      </c>
      <c r="N15" s="7">
        <f t="shared" si="3"/>
        <v>-128256059</v>
      </c>
      <c r="O15" s="7"/>
      <c r="P15" s="7">
        <v>156787365</v>
      </c>
      <c r="Q15" s="6">
        <f t="shared" si="0"/>
        <v>-156787365</v>
      </c>
    </row>
    <row r="16" spans="1:18" ht="15.75" x14ac:dyDescent="0.25">
      <c r="A16" s="5">
        <v>12</v>
      </c>
      <c r="B16" s="9">
        <v>3205182101</v>
      </c>
      <c r="C16" s="7">
        <v>319853114</v>
      </c>
      <c r="D16" s="7">
        <v>17340000</v>
      </c>
      <c r="E16" s="7"/>
      <c r="F16" s="7"/>
      <c r="G16" s="7"/>
      <c r="H16" s="7">
        <v>2242712585</v>
      </c>
      <c r="I16" s="7">
        <v>221646051</v>
      </c>
      <c r="J16" s="17">
        <f>[12]Sheet1!$K$96</f>
        <v>2381764450</v>
      </c>
      <c r="K16" s="17">
        <f>[12]Sheet1!$L$96</f>
        <v>235693624</v>
      </c>
      <c r="L16" s="10">
        <f t="shared" si="1"/>
        <v>139051865</v>
      </c>
      <c r="M16" s="10">
        <f t="shared" si="2"/>
        <v>14047573</v>
      </c>
      <c r="N16" s="7">
        <f t="shared" si="3"/>
        <v>-44096569</v>
      </c>
      <c r="O16" s="7"/>
      <c r="P16" s="7">
        <v>58580302</v>
      </c>
      <c r="Q16" s="6">
        <f t="shared" si="0"/>
        <v>-58580302</v>
      </c>
      <c r="R16" s="8" t="e">
        <f>P16+#REF!</f>
        <v>#REF!</v>
      </c>
    </row>
    <row r="17" spans="1:18" s="15" customFormat="1" x14ac:dyDescent="0.25">
      <c r="A17" s="12" t="s">
        <v>4</v>
      </c>
      <c r="B17" s="13">
        <f>SUM(B5:B16)</f>
        <v>16170531001</v>
      </c>
      <c r="C17" s="13">
        <f t="shared" ref="C17:I17" si="4">SUM(C5:C16)</f>
        <v>1615037143</v>
      </c>
      <c r="D17" s="13">
        <f t="shared" si="4"/>
        <v>69900000</v>
      </c>
      <c r="E17" s="13"/>
      <c r="F17" s="13"/>
      <c r="G17" s="13"/>
      <c r="H17" s="13">
        <f t="shared" si="4"/>
        <v>15813338107</v>
      </c>
      <c r="I17" s="13">
        <f t="shared" si="4"/>
        <v>1572727691</v>
      </c>
      <c r="J17" s="19">
        <f>SUM(J5:J16)</f>
        <v>15640942868</v>
      </c>
      <c r="K17" s="19">
        <f t="shared" ref="K17:L17" si="5">SUM(K5:K16)</f>
        <v>1558243958</v>
      </c>
      <c r="L17" s="13">
        <f t="shared" si="5"/>
        <v>-172395239</v>
      </c>
      <c r="M17" s="13">
        <f>SUM(M5:M16)</f>
        <v>-14483733</v>
      </c>
      <c r="N17" s="13"/>
      <c r="O17" s="13"/>
      <c r="P17" s="13">
        <f>C17-I17-P4</f>
        <v>-58580302</v>
      </c>
      <c r="Q17" s="13"/>
      <c r="R17" s="14" t="e">
        <f>P16-R16</f>
        <v>#REF!</v>
      </c>
    </row>
    <row r="18" spans="1:18" s="26" customFormat="1" x14ac:dyDescent="0.25">
      <c r="A18" s="26" t="s">
        <v>11</v>
      </c>
      <c r="B18" s="27">
        <f>B17+D17</f>
        <v>16240431001</v>
      </c>
      <c r="H18" s="26" t="s">
        <v>10</v>
      </c>
      <c r="J18" s="27">
        <f>J17</f>
        <v>15640942868</v>
      </c>
    </row>
  </sheetData>
  <mergeCells count="5">
    <mergeCell ref="B2:D2"/>
    <mergeCell ref="A1:Q1"/>
    <mergeCell ref="H2:I2"/>
    <mergeCell ref="J2:K2"/>
    <mergeCell ref="L2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KÊ HĐ VÀ 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2026-02-22T22:00:36Z</dcterms:created>
  <dcterms:modified xsi:type="dcterms:W3CDTF">2026-03-21T14:11:58Z</dcterms:modified>
</cp:coreProperties>
</file>