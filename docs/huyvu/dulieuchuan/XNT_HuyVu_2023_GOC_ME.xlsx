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352E20C-D61F-4BA3-850D-B8CA2CC29FDD}" xr6:coauthVersionLast="47" xr6:coauthVersionMax="47" xr10:uidLastSave="{00000000-0000-0000-0000-000000000000}"/>
  <bookViews>
    <workbookView xWindow="-120" yWindow="-120" windowWidth="20730" windowHeight="11160" firstSheet="7" activeTab="12" xr2:uid="{00000000-000D-0000-FFFF-FFFF00000000}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  <sheet name="Hoadon" sheetId="13" r:id="rId13"/>
    <sheet name="xnt12thang" sheetId="14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3" l="1"/>
  <c r="H26" i="13"/>
  <c r="H5" i="13"/>
  <c r="H7" i="13"/>
  <c r="H9" i="13"/>
  <c r="H11" i="13"/>
  <c r="H13" i="13"/>
  <c r="H15" i="13"/>
  <c r="H17" i="13"/>
  <c r="H19" i="13"/>
  <c r="H20" i="13"/>
  <c r="H22" i="13"/>
  <c r="H24" i="13"/>
  <c r="H3" i="13"/>
  <c r="G26" i="13"/>
  <c r="G24" i="13"/>
  <c r="E28" i="13"/>
  <c r="G22" i="13"/>
  <c r="G17" i="13"/>
  <c r="G15" i="13"/>
  <c r="G13" i="13"/>
  <c r="G11" i="13"/>
  <c r="G9" i="13"/>
  <c r="G7" i="13"/>
  <c r="G5" i="13"/>
  <c r="G3" i="13"/>
  <c r="G28" i="13" s="1"/>
  <c r="E29" i="13" l="1"/>
</calcChain>
</file>

<file path=xl/sharedStrings.xml><?xml version="1.0" encoding="utf-8"?>
<sst xmlns="http://schemas.openxmlformats.org/spreadsheetml/2006/main" count="4032" uniqueCount="356">
  <si>
    <t>STT</t>
  </si>
  <si>
    <t>Mã Nhóm</t>
  </si>
  <si>
    <t>Tên Nhóm Sản Phẩm</t>
  </si>
  <si>
    <t>Tồn Đầu Kỳ (SL)</t>
  </si>
  <si>
    <t>Tồn Đầu Kỳ (VNĐ)</t>
  </si>
  <si>
    <t>Nhập (SL)</t>
  </si>
  <si>
    <t>Nhập (VNĐ)</t>
  </si>
  <si>
    <t>Xuất (SL)</t>
  </si>
  <si>
    <t>Xuất (VNĐ)</t>
  </si>
  <si>
    <t>Tồn Cuối (SL)</t>
  </si>
  <si>
    <t>Tồn Cuối (VNĐ)</t>
  </si>
  <si>
    <t>PC-DELL-LAT</t>
  </si>
  <si>
    <t>Laptop DELL Latitude Series</t>
  </si>
  <si>
    <t>PC-DELL-VOS</t>
  </si>
  <si>
    <t>Laptop DELL Vostro Series</t>
  </si>
  <si>
    <t>PC-DELL-INS</t>
  </si>
  <si>
    <t>Laptop DELL Inspiron Series</t>
  </si>
  <si>
    <t>PC-DELL-XPS</t>
  </si>
  <si>
    <t>Laptop DELL XPS Premium</t>
  </si>
  <si>
    <t>PC-ASU-VIVO</t>
  </si>
  <si>
    <t>Laptop ASUS VivoBook</t>
  </si>
  <si>
    <t>PC-ASU-ZEN</t>
  </si>
  <si>
    <t>Laptop ASUS ZenBook</t>
  </si>
  <si>
    <t>PC-ASU-EXP</t>
  </si>
  <si>
    <t>Laptop ASUS ExpertBook</t>
  </si>
  <si>
    <t>PC-ASU-ROG</t>
  </si>
  <si>
    <t>Laptop ASUS Gaming (ROG/TUF)</t>
  </si>
  <si>
    <t>PC-LEN-TP</t>
  </si>
  <si>
    <t>Laptop LENOVO ThinkPad</t>
  </si>
  <si>
    <t>PC-LEN-IP</t>
  </si>
  <si>
    <t>Laptop LENOVO IdeaPad</t>
  </si>
  <si>
    <t>PC-LEN-V</t>
  </si>
  <si>
    <t>Laptop LENOVO V-Series</t>
  </si>
  <si>
    <t>PC-MSI-MOD</t>
  </si>
  <si>
    <t>Laptop MSI Modern Series</t>
  </si>
  <si>
    <t>PC-MSI-GF</t>
  </si>
  <si>
    <t>Laptop MSI Gaming Series</t>
  </si>
  <si>
    <t>PC-HP-PAV</t>
  </si>
  <si>
    <t>Laptop HP Pavilion</t>
  </si>
  <si>
    <t>PC-HP-PRO</t>
  </si>
  <si>
    <t>Laptop HP ProBook</t>
  </si>
  <si>
    <t>PC-HP-EL</t>
  </si>
  <si>
    <t>Laptop HP EliteBook</t>
  </si>
  <si>
    <t>PC-ACER-ASP</t>
  </si>
  <si>
    <t>Laptop ACER Aspire</t>
  </si>
  <si>
    <t>PC-ACER-NIT</t>
  </si>
  <si>
    <t>Laptop ACER Nitro Gaming</t>
  </si>
  <si>
    <t>PC-MAC-AIR</t>
  </si>
  <si>
    <t>Apple MacBook Air</t>
  </si>
  <si>
    <t>PC-MAC-PRO</t>
  </si>
  <si>
    <t>Apple MacBook Pro</t>
  </si>
  <si>
    <t>PC-TAB-IPAD</t>
  </si>
  <si>
    <t>Apple iPad Tablet</t>
  </si>
  <si>
    <t>PC-TAB-SAM</t>
  </si>
  <si>
    <t>Samsung Galaxy Tab</t>
  </si>
  <si>
    <t>PC-SYS-I3</t>
  </si>
  <si>
    <t>PC Văn phòng Core i3</t>
  </si>
  <si>
    <t>PC-SYS-I5</t>
  </si>
  <si>
    <t>PC Văn phòng Core i5</t>
  </si>
  <si>
    <t>PC-SYS-I7</t>
  </si>
  <si>
    <t>PC Đồ họa Core i7</t>
  </si>
  <si>
    <t>PC-SYS-G</t>
  </si>
  <si>
    <t>PC Gaming (Entry/Mid)</t>
  </si>
  <si>
    <t>PC-WS-XEON</t>
  </si>
  <si>
    <t>Workstation / Server Xeon</t>
  </si>
  <si>
    <t>PC-AIO-DELL</t>
  </si>
  <si>
    <t>All-in-One DELL</t>
  </si>
  <si>
    <t>PC-AIO-HP</t>
  </si>
  <si>
    <t>All-in-One HP</t>
  </si>
  <si>
    <t>PC-MINI</t>
  </si>
  <si>
    <t>NUC / Mini PC</t>
  </si>
  <si>
    <t>LCD-SAM-19</t>
  </si>
  <si>
    <t>Màn hình Samsung 19-20 inch</t>
  </si>
  <si>
    <t>LCD-SAM-24</t>
  </si>
  <si>
    <t>Màn hình Samsung 24-27 inch</t>
  </si>
  <si>
    <t>LCD-DELL-22</t>
  </si>
  <si>
    <t>Màn hình DELL 22 inch</t>
  </si>
  <si>
    <t>LCD-DELL-24</t>
  </si>
  <si>
    <t>Màn hình DELL 24 inch</t>
  </si>
  <si>
    <t>LCD-DELL-27</t>
  </si>
  <si>
    <t>Màn hình DELL 27 inch</t>
  </si>
  <si>
    <t>LCD-ASU-24</t>
  </si>
  <si>
    <t>Màn hình ASUS 24 inch</t>
  </si>
  <si>
    <t>LCD-LG-24</t>
  </si>
  <si>
    <t>Màn hình LG 24-27 inch</t>
  </si>
  <si>
    <t>LCD-VIEW-24</t>
  </si>
  <si>
    <t>Màn hình ViewSonic</t>
  </si>
  <si>
    <t>LCD-GAM-144</t>
  </si>
  <si>
    <t>Màn hình Gaming (144Hz+)</t>
  </si>
  <si>
    <t>LCD-PRO-4K</t>
  </si>
  <si>
    <t>Màn hình Đồ họa 4K</t>
  </si>
  <si>
    <t>PRN-CAN-LBP</t>
  </si>
  <si>
    <t>Máy in Laser Canon (LBP)</t>
  </si>
  <si>
    <t>PRN-CAN-MF</t>
  </si>
  <si>
    <t>Máy in Đa năng Canon (MF)</t>
  </si>
  <si>
    <t>PRN-BRO-HL</t>
  </si>
  <si>
    <t>Máy in Laser Brother (HL)</t>
  </si>
  <si>
    <t>PRN-BRO-DCP</t>
  </si>
  <si>
    <t>Máy in Đa năng Brother (DCP)</t>
  </si>
  <si>
    <t>PRN-HP-LJ</t>
  </si>
  <si>
    <t>Máy in Laser HP (LaserJet)</t>
  </si>
  <si>
    <t>PRN-EPS-L</t>
  </si>
  <si>
    <t>Máy in Phun màu Epson (L-Series)</t>
  </si>
  <si>
    <t>SCN-CAN-CANO</t>
  </si>
  <si>
    <t>Máy quét Canon (LiDE)</t>
  </si>
  <si>
    <t>SCN-HP-SJ</t>
  </si>
  <si>
    <t>Máy quét HP (ScanJet)</t>
  </si>
  <si>
    <t>PRN-POS-80</t>
  </si>
  <si>
    <t>Máy in Hóa đơn (K80)</t>
  </si>
  <si>
    <t>SCN-BAR</t>
  </si>
  <si>
    <t>Đầu đọc mã vạch</t>
  </si>
  <si>
    <t>OFF-CHAIR-ST</t>
  </si>
  <si>
    <t>Ghế văn phòng (Xoay/Lưới)</t>
  </si>
  <si>
    <t>OFF-DESK-W</t>
  </si>
  <si>
    <t>Bàn làm việc gỗ</t>
  </si>
  <si>
    <t>OFF-CAB-I</t>
  </si>
  <si>
    <t>Tủ hồ sơ sắt/gỗ</t>
  </si>
  <si>
    <t>OFF-PROJ-P</t>
  </si>
  <si>
    <t>Máy chiếu (Projector)</t>
  </si>
  <si>
    <t>OFF-SCR-P</t>
  </si>
  <si>
    <t>Màn chiếu</t>
  </si>
  <si>
    <t>OFF-SHRED</t>
  </si>
  <si>
    <t>Máy hủy tài liệu</t>
  </si>
  <si>
    <t>OFF-BIND</t>
  </si>
  <si>
    <t>Máy đóng sách / Ép nhựa</t>
  </si>
  <si>
    <t>INK-CAN-12A</t>
  </si>
  <si>
    <t>Hộp mực Canon 12A / Cartridge 303</t>
  </si>
  <si>
    <t>INK-CAN-35A</t>
  </si>
  <si>
    <t>Hộp mực Canon 35A / 85A</t>
  </si>
  <si>
    <t>INK-CAN-051</t>
  </si>
  <si>
    <t>Hộp mực Canon 051 / 054</t>
  </si>
  <si>
    <t>INK-BRO-2385</t>
  </si>
  <si>
    <t>Hộp mực Brother TN-2385</t>
  </si>
  <si>
    <t>INK-BRO-B022</t>
  </si>
  <si>
    <t>Hộp mực Brother TN-B022 / B027</t>
  </si>
  <si>
    <t>INK-BRO-1010</t>
  </si>
  <si>
    <t>Hộp mực Brother TN-1010</t>
  </si>
  <si>
    <t>INK-HP-17A</t>
  </si>
  <si>
    <t>Hộp mực HP 17A / 107A</t>
  </si>
  <si>
    <t>INK-EPS-673</t>
  </si>
  <si>
    <t>Mực nước Epson 673 (L805)</t>
  </si>
  <si>
    <t>INK-EPS-003</t>
  </si>
  <si>
    <t>Mực nước Epson 003 (L3110)</t>
  </si>
  <si>
    <t>INK-CAN-71</t>
  </si>
  <si>
    <t>Mực nước Canon GI-71 (G1020)</t>
  </si>
  <si>
    <t>INK-RIB-80</t>
  </si>
  <si>
    <t>Ruy băng / Phim fax</t>
  </si>
  <si>
    <t>WST-DRUM</t>
  </si>
  <si>
    <t>Trống máy in (Drum)</t>
  </si>
  <si>
    <t>WST-ROLL</t>
  </si>
  <si>
    <t>Trục sấy / Trục từ / Rulo</t>
  </si>
  <si>
    <t>WST-CHIP</t>
  </si>
  <si>
    <t>Chip mực / Cò sấy</t>
  </si>
  <si>
    <t>WST-PAPER-A4</t>
  </si>
  <si>
    <t>Giấy in A4 (Double A/Paper One)</t>
  </si>
  <si>
    <t>CPU-INT-I3</t>
  </si>
  <si>
    <t>CPU Intel Core i3</t>
  </si>
  <si>
    <t>CPU-INT-I5</t>
  </si>
  <si>
    <t>CPU Intel Core i5</t>
  </si>
  <si>
    <t>CPU-INT-I7</t>
  </si>
  <si>
    <t>CPU Intel Core i7</t>
  </si>
  <si>
    <t>CPU-AMD-RY</t>
  </si>
  <si>
    <t>CPU AMD Ryzen</t>
  </si>
  <si>
    <t>MB-H610</t>
  </si>
  <si>
    <t>Mainboard H610</t>
  </si>
  <si>
    <t>MB-B760</t>
  </si>
  <si>
    <t>Mainboard B760 / B660</t>
  </si>
  <si>
    <t>MB-Z790</t>
  </si>
  <si>
    <t>Mainboard Z690 / Z790</t>
  </si>
  <si>
    <t>RAM-8G-D4</t>
  </si>
  <si>
    <t>RAM 8GB DDR4</t>
  </si>
  <si>
    <t>RAM-16G-D4</t>
  </si>
  <si>
    <t>RAM 16GB DDR4</t>
  </si>
  <si>
    <t>RAM-D5</t>
  </si>
  <si>
    <t>RAM DDR5 (8GB/16GB/32GB)</t>
  </si>
  <si>
    <t>VGA-GTX-16</t>
  </si>
  <si>
    <t>VGA GTX 1650 / 1660</t>
  </si>
  <si>
    <t>VGA-RTX-30</t>
  </si>
  <si>
    <t>VGA RTX 3050 / 3060</t>
  </si>
  <si>
    <t>VGA-RTX-40</t>
  </si>
  <si>
    <t>VGA RTX 4060 / 4070 / 4080</t>
  </si>
  <si>
    <t>UPS-SAN-500</t>
  </si>
  <si>
    <t>UPS Santak 500VA / 1000VA</t>
  </si>
  <si>
    <t>UPS-APC-PRO</t>
  </si>
  <si>
    <t>UPS APC / Maruson High-end</t>
  </si>
  <si>
    <t>SSD-128-256</t>
  </si>
  <si>
    <t>SSD 120GB / 128GB / 240GB / 256GB</t>
  </si>
  <si>
    <t>SSD-480-512</t>
  </si>
  <si>
    <t>SSD 480GB / 500GB / 512GB</t>
  </si>
  <si>
    <t>SSD-1T-2T</t>
  </si>
  <si>
    <t>SSD 1TB / 2TB</t>
  </si>
  <si>
    <t>HDD-1TB</t>
  </si>
  <si>
    <t>HDD 1TB Desktop</t>
  </si>
  <si>
    <t>HDD-2TB-4TB</t>
  </si>
  <si>
    <t>HDD 2TB / 4TB / 8TB (Video/Server)</t>
  </si>
  <si>
    <t>HDD-EXT</t>
  </si>
  <si>
    <t>HDD/SSD Di động</t>
  </si>
  <si>
    <t>USB-32G</t>
  </si>
  <si>
    <t>USB 16GB / 32GB</t>
  </si>
  <si>
    <t>USB-64-128</t>
  </si>
  <si>
    <t>USB 64GB / 128GB</t>
  </si>
  <si>
    <t>SD-CARD</t>
  </si>
  <si>
    <t>Thẻ nhớ MicroSD / SD</t>
  </si>
  <si>
    <t>CASE-OFF</t>
  </si>
  <si>
    <t>Vỏ máy tính văn phòng</t>
  </si>
  <si>
    <t>CASE-GAM</t>
  </si>
  <si>
    <t>Vỏ máy tính Gaming / LED</t>
  </si>
  <si>
    <t>PSU-OFF</t>
  </si>
  <si>
    <t>Nguồn văn phòng (350W-450W)</t>
  </si>
  <si>
    <t>PSU-GAM</t>
  </si>
  <si>
    <t>Nguồn công suất thực (500W-1000W)</t>
  </si>
  <si>
    <t>COOL-FAN</t>
  </si>
  <si>
    <t>Quạt tản nhiệt / Tản khí</t>
  </si>
  <si>
    <t>COOL-AIO</t>
  </si>
  <si>
    <t>Tản nhiệt nước AIO</t>
  </si>
  <si>
    <t>MS-LOGI</t>
  </si>
  <si>
    <t>Chuột Logitech</t>
  </si>
  <si>
    <t>MS-GAM</t>
  </si>
  <si>
    <t>Chuột Gaming</t>
  </si>
  <si>
    <t>MS-RAPO</t>
  </si>
  <si>
    <t>Chuột Rapoo / Mitsumi</t>
  </si>
  <si>
    <t>KB-OFF</t>
  </si>
  <si>
    <t>Bàn phím văn phòng</t>
  </si>
  <si>
    <t>KB-MECH</t>
  </si>
  <si>
    <t>Bàn phím cơ / Gaming</t>
  </si>
  <si>
    <t>HDSET-OFF</t>
  </si>
  <si>
    <t>Tai nghe văn phòng</t>
  </si>
  <si>
    <t>SPK-2.0</t>
  </si>
  <si>
    <t>Loa máy tính 2.0 / 2.1</t>
  </si>
  <si>
    <t>HUB-USB</t>
  </si>
  <si>
    <t>Bộ chia cổng USB / Hub Type-C</t>
  </si>
  <si>
    <t>CAM-WC</t>
  </si>
  <si>
    <t>Webcam dạy học / họp</t>
  </si>
  <si>
    <t>NET-WF-HOME</t>
  </si>
  <si>
    <t>Router WiFi gia đình (N/AC)</t>
  </si>
  <si>
    <t>NET-WF-DUAL</t>
  </si>
  <si>
    <t>Router WiFi Băng tần kép (AC/AX)</t>
  </si>
  <si>
    <t>NET-WF-MESH</t>
  </si>
  <si>
    <t>Hệ thống WiFi Mesh</t>
  </si>
  <si>
    <t>NET-WF-PRO</t>
  </si>
  <si>
    <t>WiFi Chuyên dụng (Aruba/Unifi)</t>
  </si>
  <si>
    <t>NET-SW-OFF</t>
  </si>
  <si>
    <t>Switch văn phòng (5/8/16 cổng)</t>
  </si>
  <si>
    <t>NET-SW-RACK</t>
  </si>
  <si>
    <t>Switch Rackmount (24/48 cổng)</t>
  </si>
  <si>
    <t>NET-SW-POE</t>
  </si>
  <si>
    <t>Switch cấp nguồn PoE (Camera)</t>
  </si>
  <si>
    <t>NET-CARD</t>
  </si>
  <si>
    <t>Card mạng / USB WiFi</t>
  </si>
  <si>
    <t>NET-4G-W</t>
  </si>
  <si>
    <t>Bộ phát WiFi 4G/LTE</t>
  </si>
  <si>
    <t>NET-CAB-NET</t>
  </si>
  <si>
    <t>Tủ mạng / Tủ Rack</t>
  </si>
  <si>
    <t>CAM-WIFI-2M</t>
  </si>
  <si>
    <t>Camera WiFi 2MP (Cố định/Xoay)</t>
  </si>
  <si>
    <t>CAM-WIFI-4M</t>
  </si>
  <si>
    <t>Camera WiFi 4MP / Outdoor</t>
  </si>
  <si>
    <t>CAM-IP-DOME</t>
  </si>
  <si>
    <t>Camera IP Dome (Trong nhà)</t>
  </si>
  <si>
    <t>CAM-IP-BUL</t>
  </si>
  <si>
    <t>Camera IP Thân (Ngoài trời)</t>
  </si>
  <si>
    <t>CAM-DVR-4C</t>
  </si>
  <si>
    <t>Đầu ghi hình 4 kênh</t>
  </si>
  <si>
    <t>CAM-DVR-8C</t>
  </si>
  <si>
    <t>Đầu ghi hình 8 kênh</t>
  </si>
  <si>
    <t>CAM-DVR-16</t>
  </si>
  <si>
    <t>Đầu ghi hình 16/32 kênh</t>
  </si>
  <si>
    <t>CAM-ACC-BS</t>
  </si>
  <si>
    <t>Chân đế / Hộp kỹ thuật Camera</t>
  </si>
  <si>
    <t>CAB-LAN-C5</t>
  </si>
  <si>
    <t>Dây cáp mạng Cat5e</t>
  </si>
  <si>
    <t>CAB-LAN-C6</t>
  </si>
  <si>
    <t>Dây cáp mạng Cat6</t>
  </si>
  <si>
    <t>CAB-HDMI-3</t>
  </si>
  <si>
    <t>Cáp HDMI (1.5m - 5m)</t>
  </si>
  <si>
    <t>CAB-HDMI-15</t>
  </si>
  <si>
    <t>Cáp HDMI dài (10m - 30m)</t>
  </si>
  <si>
    <t>CAB-VGA-DP</t>
  </si>
  <si>
    <t>Cáp VGA / DisplayPort / DVI</t>
  </si>
  <si>
    <t>VT-RJ45</t>
  </si>
  <si>
    <t>Đầu bấm mạng (Hạt mạng)</t>
  </si>
  <si>
    <t>VT-RJ11</t>
  </si>
  <si>
    <t>Hạt điện thoại / Mặt wallplate</t>
  </si>
  <si>
    <t>RADIO-W</t>
  </si>
  <si>
    <t>Bộ đàm (Walkie Talkie)</t>
  </si>
  <si>
    <t>TEL-PHONE</t>
  </si>
  <si>
    <t>Điện thoại bàn / IP Phone</t>
  </si>
  <si>
    <t>VT-TOOLS</t>
  </si>
  <si>
    <t>Công cụ thi công (Kềm, Máy test)</t>
  </si>
  <si>
    <t>SW-WIN-PRO</t>
  </si>
  <si>
    <t>Bản quyền Windows</t>
  </si>
  <si>
    <t>SW-OFF-365</t>
  </si>
  <si>
    <t>Bản quyền Office 365 / 2021</t>
  </si>
  <si>
    <t>SW-AV-KAS</t>
  </si>
  <si>
    <t>Phần mềm Diệt Virus</t>
  </si>
  <si>
    <t>SRV-INSTALL</t>
  </si>
  <si>
    <t>Phí lắp đặt / Cài đặt</t>
  </si>
  <si>
    <t>SRV-MAINT</t>
  </si>
  <si>
    <t>Phí bảo trì / Sửa chữa</t>
  </si>
  <si>
    <t>OTH-GEN</t>
  </si>
  <si>
    <t>Hàng hóa khác không phân loại</t>
  </si>
  <si>
    <t>Tổng cộng</t>
  </si>
  <si>
    <t>Tháng</t>
  </si>
  <si>
    <t>Loại HD</t>
  </si>
  <si>
    <t>Tình trạng (Mã)</t>
  </si>
  <si>
    <t>Số lượng</t>
  </si>
  <si>
    <t>Tổng giá tiền (VNĐ)</t>
  </si>
  <si>
    <t>01</t>
  </si>
  <si>
    <t>Bán ra</t>
  </si>
  <si>
    <t>1</t>
  </si>
  <si>
    <t>Mua vào</t>
  </si>
  <si>
    <t>02</t>
  </si>
  <si>
    <t>03</t>
  </si>
  <si>
    <t>04</t>
  </si>
  <si>
    <t>05</t>
  </si>
  <si>
    <t>06</t>
  </si>
  <si>
    <t>07</t>
  </si>
  <si>
    <t>08</t>
  </si>
  <si>
    <t>09</t>
  </si>
  <si>
    <t>5</t>
  </si>
  <si>
    <t>10</t>
  </si>
  <si>
    <t>11</t>
  </si>
  <si>
    <t>12</t>
  </si>
  <si>
    <t>Tên Nhóm</t>
  </si>
  <si>
    <t>Tổng Tồn Đầu</t>
  </si>
  <si>
    <t>Tổng Nhập</t>
  </si>
  <si>
    <t>Tổng Xuất</t>
  </si>
  <si>
    <t>Tổng Tồn Cuối</t>
  </si>
  <si>
    <t>Tháng 1 Nhập</t>
  </si>
  <si>
    <t>Tháng 1 Xuất</t>
  </si>
  <si>
    <t>Tháng 2 Nhập</t>
  </si>
  <si>
    <t>Tháng 2 Xuất</t>
  </si>
  <si>
    <t>Tháng 3 Nhập</t>
  </si>
  <si>
    <t>Tháng 3 Xuất</t>
  </si>
  <si>
    <t>Tháng 4 Nhập</t>
  </si>
  <si>
    <t>Tháng 4 Xuất</t>
  </si>
  <si>
    <t>Tháng 5 Nhập</t>
  </si>
  <si>
    <t>Tháng 5 Xuất</t>
  </si>
  <si>
    <t>Tháng 6 Nhập</t>
  </si>
  <si>
    <t>Tháng 6 Xuất</t>
  </si>
  <si>
    <t>Tháng 7 Nhập</t>
  </si>
  <si>
    <t>Tháng 7 Xuất</t>
  </si>
  <si>
    <t>Tháng 8 Nhập</t>
  </si>
  <si>
    <t>Tháng 8 Xuất</t>
  </si>
  <si>
    <t>Tháng 9 Nhập</t>
  </si>
  <si>
    <t>Tháng 9 Xuất</t>
  </si>
  <si>
    <t>Tháng 10 Nhập</t>
  </si>
  <si>
    <t>Tháng 10 Xuất</t>
  </si>
  <si>
    <t>Tháng 11 Nhập</t>
  </si>
  <si>
    <t>Tháng 11 Xuất</t>
  </si>
  <si>
    <t>Tháng 12 Nhập</t>
  </si>
  <si>
    <t>Tháng 12 Xuất</t>
  </si>
  <si>
    <t>NHẬP CỦA NỘI</t>
  </si>
  <si>
    <t>CL KIỆT VÀ NỘI</t>
  </si>
  <si>
    <t>TC BÁN</t>
  </si>
  <si>
    <t>TC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</si>
</sst>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165" fontId="0" fillId="0" borderId="0" xfId="1" applyNumberFormat="1" applyFont="1"/>
    <xf numFmtId="165" fontId="0" fillId="0" borderId="0" xfId="1" applyNumberFormat="1" applyFont="1" applyBorder="1"/>
    <xf numFmtId="0" fontId="0" fillId="0" borderId="0" xfId="0" applyBorder="1"/>
    <xf numFmtId="0" fontId="0" fillId="0" borderId="2" xfId="0" applyBorder="1"/>
    <xf numFmtId="165" fontId="0" fillId="0" borderId="2" xfId="1" applyNumberFormat="1" applyFont="1" applyBorder="1"/>
    <xf numFmtId="165" fontId="0" fillId="0" borderId="1" xfId="1" applyNumberFormat="1" applyFont="1" applyFill="1" applyBorder="1"/>
    <xf numFmtId="165" fontId="2" fillId="0" borderId="1" xfId="0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165" fontId="3" fillId="0" borderId="1" xfId="0" applyNumberFormat="1" applyFont="1" applyBorder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3%20HV\SL%20QUY&#7870;T%20TO&#193;N%202023%20HV.xlsx" TargetMode="External"/><Relationship Id="rId1" Type="http://schemas.openxmlformats.org/officeDocument/2006/relationships/externalLinkPath" Target="N&#258;M%202023%20HV/SL%20QUY&#7870;T%20TO&#193;N%202023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k 131"/>
      <sheetName val="QTTTNDN 2023"/>
      <sheetName val="Sheet1"/>
    </sheetNames>
    <sheetDataSet>
      <sheetData sheetId="0"/>
      <sheetData sheetId="1"/>
      <sheetData sheetId="2">
        <row r="5">
          <cell r="L5">
            <v>1154981164</v>
          </cell>
        </row>
        <row r="6">
          <cell r="L6">
            <v>1745704064</v>
          </cell>
        </row>
        <row r="7">
          <cell r="L7">
            <v>1536437738</v>
          </cell>
        </row>
        <row r="8">
          <cell r="L8">
            <v>757550609</v>
          </cell>
        </row>
        <row r="9">
          <cell r="L9">
            <v>600350985</v>
          </cell>
        </row>
        <row r="10">
          <cell r="L10">
            <v>749561478</v>
          </cell>
        </row>
        <row r="11">
          <cell r="L11">
            <v>895409563</v>
          </cell>
        </row>
        <row r="12">
          <cell r="L12">
            <v>1812197507</v>
          </cell>
        </row>
        <row r="14">
          <cell r="L14">
            <v>890284926</v>
          </cell>
        </row>
        <row r="15">
          <cell r="L15">
            <v>1564643572</v>
          </cell>
        </row>
        <row r="16">
          <cell r="L16">
            <v>2381764450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opLeftCell="A137" workbookViewId="0">
      <selection activeCell="G147" sqref="G147"/>
    </sheetView>
  </sheetViews>
  <sheetFormatPr defaultRowHeight="15" x14ac:dyDescent="0.25"/>
  <cols>
    <col min="1" max="3" width="9.140625" style="1"/>
    <col min="4" max="4" width="10.5703125" style="2" bestFit="1" customWidth="1"/>
    <col min="5" max="5" width="18" style="2" bestFit="1" customWidth="1"/>
    <col min="6" max="6" width="9.28515625" style="2" bestFit="1" customWidth="1"/>
    <col min="7" max="7" width="16.85546875" style="2" bestFit="1" customWidth="1"/>
    <col min="8" max="8" width="9.28515625" style="2" bestFit="1" customWidth="1"/>
    <col min="9" max="9" width="15.28515625" style="2" bestFit="1" customWidth="1"/>
    <col min="10" max="10" width="10.5703125" style="2" bestFit="1" customWidth="1"/>
    <col min="11" max="11" width="18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2">
        <v>14</v>
      </c>
      <c r="E2" s="2">
        <v>146799020.77272731</v>
      </c>
      <c r="F2" s="2">
        <v>0</v>
      </c>
      <c r="G2" s="2">
        <v>0</v>
      </c>
      <c r="H2" s="2">
        <v>0</v>
      </c>
      <c r="I2" s="2">
        <v>0</v>
      </c>
      <c r="J2" s="2">
        <v>14</v>
      </c>
      <c r="K2" s="2">
        <v>146799020.77272731</v>
      </c>
    </row>
    <row r="3" spans="1:11" x14ac:dyDescent="0.25">
      <c r="A3" s="1">
        <v>2</v>
      </c>
      <c r="B3" s="1" t="s">
        <v>13</v>
      </c>
      <c r="C3" s="1" t="s">
        <v>14</v>
      </c>
      <c r="D3" s="2">
        <v>20</v>
      </c>
      <c r="E3" s="2">
        <v>233231065</v>
      </c>
      <c r="F3" s="2">
        <v>1</v>
      </c>
      <c r="G3" s="2">
        <v>614371</v>
      </c>
      <c r="H3" s="2">
        <v>0</v>
      </c>
      <c r="I3" s="2">
        <v>0</v>
      </c>
      <c r="J3" s="2">
        <v>21</v>
      </c>
      <c r="K3" s="2">
        <v>233845436</v>
      </c>
    </row>
    <row r="4" spans="1:11" x14ac:dyDescent="0.25">
      <c r="A4" s="1">
        <v>3</v>
      </c>
      <c r="B4" s="1" t="s">
        <v>15</v>
      </c>
      <c r="C4" s="1" t="s">
        <v>16</v>
      </c>
      <c r="D4" s="2">
        <v>160</v>
      </c>
      <c r="E4" s="2">
        <v>2081579237.201292</v>
      </c>
      <c r="F4" s="2">
        <v>0</v>
      </c>
      <c r="G4" s="2">
        <v>0</v>
      </c>
      <c r="H4" s="2">
        <v>1</v>
      </c>
      <c r="I4" s="2">
        <v>16000000</v>
      </c>
      <c r="J4" s="2">
        <v>159</v>
      </c>
      <c r="K4" s="2">
        <v>2065579237.201292</v>
      </c>
    </row>
    <row r="5" spans="1:11" x14ac:dyDescent="0.25">
      <c r="A5" s="1">
        <v>4</v>
      </c>
      <c r="B5" s="1" t="s">
        <v>17</v>
      </c>
      <c r="C5" s="1" t="s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1">
        <v>5</v>
      </c>
      <c r="B6" s="1" t="s">
        <v>19</v>
      </c>
      <c r="C6" s="1" t="s">
        <v>20</v>
      </c>
      <c r="D6" s="2">
        <v>18</v>
      </c>
      <c r="E6" s="2">
        <v>198829984.1785714</v>
      </c>
      <c r="F6" s="2">
        <v>0</v>
      </c>
      <c r="G6" s="2">
        <v>0</v>
      </c>
      <c r="H6" s="2">
        <v>0</v>
      </c>
      <c r="I6" s="2">
        <v>0</v>
      </c>
      <c r="J6" s="2">
        <v>18</v>
      </c>
      <c r="K6" s="2">
        <v>198829984.1785714</v>
      </c>
    </row>
    <row r="7" spans="1:11" x14ac:dyDescent="0.25">
      <c r="A7" s="1">
        <v>6</v>
      </c>
      <c r="B7" s="1" t="s">
        <v>21</v>
      </c>
      <c r="C7" s="1" t="s">
        <v>22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1">
        <v>7</v>
      </c>
      <c r="B8" s="1" t="s">
        <v>23</v>
      </c>
      <c r="C8" s="1" t="s">
        <v>24</v>
      </c>
      <c r="D8" s="2">
        <v>9</v>
      </c>
      <c r="E8" s="2">
        <v>102473554.09090909</v>
      </c>
      <c r="F8" s="2">
        <v>0</v>
      </c>
      <c r="G8" s="2">
        <v>0</v>
      </c>
      <c r="H8" s="2">
        <v>0</v>
      </c>
      <c r="I8" s="2">
        <v>0</v>
      </c>
      <c r="J8" s="2">
        <v>9</v>
      </c>
      <c r="K8" s="2">
        <v>102473554.09090909</v>
      </c>
    </row>
    <row r="9" spans="1:11" x14ac:dyDescent="0.25">
      <c r="A9" s="1">
        <v>8</v>
      </c>
      <c r="B9" s="1" t="s">
        <v>25</v>
      </c>
      <c r="C9" s="1" t="s">
        <v>26</v>
      </c>
      <c r="D9" s="2">
        <v>6</v>
      </c>
      <c r="E9" s="2">
        <v>18159000.449999999</v>
      </c>
      <c r="F9" s="2">
        <v>0</v>
      </c>
      <c r="G9" s="2">
        <v>0</v>
      </c>
      <c r="H9" s="2">
        <v>0</v>
      </c>
      <c r="I9" s="2">
        <v>0</v>
      </c>
      <c r="J9" s="2">
        <v>6</v>
      </c>
      <c r="K9" s="2">
        <v>18159000.449999999</v>
      </c>
    </row>
    <row r="10" spans="1:11" x14ac:dyDescent="0.25">
      <c r="A10" s="1">
        <v>9</v>
      </c>
      <c r="B10" s="1" t="s">
        <v>27</v>
      </c>
      <c r="C10" s="1" t="s">
        <v>28</v>
      </c>
      <c r="D10" s="2">
        <v>170</v>
      </c>
      <c r="E10" s="2">
        <v>771147313.5951941</v>
      </c>
      <c r="F10" s="2">
        <v>0</v>
      </c>
      <c r="G10" s="2">
        <v>0</v>
      </c>
      <c r="H10" s="2">
        <v>0</v>
      </c>
      <c r="I10" s="2">
        <v>0</v>
      </c>
      <c r="J10" s="2">
        <v>170</v>
      </c>
      <c r="K10" s="2">
        <v>771147313.5951941</v>
      </c>
    </row>
    <row r="11" spans="1:11" x14ac:dyDescent="0.25">
      <c r="A11" s="1">
        <v>10</v>
      </c>
      <c r="B11" s="1" t="s">
        <v>29</v>
      </c>
      <c r="C11" s="1" t="s">
        <v>30</v>
      </c>
      <c r="D11" s="2">
        <v>7</v>
      </c>
      <c r="E11" s="2">
        <v>63284373.25</v>
      </c>
      <c r="F11" s="2">
        <v>0</v>
      </c>
      <c r="G11" s="2">
        <v>0</v>
      </c>
      <c r="H11" s="2">
        <v>0</v>
      </c>
      <c r="I11" s="2">
        <v>0</v>
      </c>
      <c r="J11" s="2">
        <v>7</v>
      </c>
      <c r="K11" s="2">
        <v>63284373.25</v>
      </c>
    </row>
    <row r="12" spans="1:11" x14ac:dyDescent="0.25">
      <c r="A12" s="1">
        <v>11</v>
      </c>
      <c r="B12" s="1" t="s">
        <v>31</v>
      </c>
      <c r="C12" s="1" t="s">
        <v>32</v>
      </c>
      <c r="D12" s="2">
        <v>219</v>
      </c>
      <c r="E12" s="2">
        <v>2743591045.2191219</v>
      </c>
      <c r="F12" s="2">
        <v>0</v>
      </c>
      <c r="G12" s="2">
        <v>0</v>
      </c>
      <c r="H12" s="2">
        <v>0</v>
      </c>
      <c r="I12" s="2">
        <v>0</v>
      </c>
      <c r="J12" s="2">
        <v>219</v>
      </c>
      <c r="K12" s="2">
        <v>2743591045.2191219</v>
      </c>
    </row>
    <row r="13" spans="1:11" x14ac:dyDescent="0.25">
      <c r="A13" s="1">
        <v>12</v>
      </c>
      <c r="B13" s="1" t="s">
        <v>33</v>
      </c>
      <c r="C13" s="1" t="s">
        <v>34</v>
      </c>
      <c r="D13" s="2">
        <v>18</v>
      </c>
      <c r="E13" s="2">
        <v>299544230.76923078</v>
      </c>
      <c r="F13" s="2">
        <v>0</v>
      </c>
      <c r="G13" s="2">
        <v>0</v>
      </c>
      <c r="H13" s="2">
        <v>0</v>
      </c>
      <c r="I13" s="2">
        <v>0</v>
      </c>
      <c r="J13" s="2">
        <v>18</v>
      </c>
      <c r="K13" s="2">
        <v>299544230.76923078</v>
      </c>
    </row>
    <row r="14" spans="1:11" x14ac:dyDescent="0.25">
      <c r="A14" s="1">
        <v>13</v>
      </c>
      <c r="B14" s="1" t="s">
        <v>35</v>
      </c>
      <c r="C14" s="1" t="s">
        <v>36</v>
      </c>
      <c r="D14" s="2">
        <v>11</v>
      </c>
      <c r="E14" s="2">
        <v>181784405.28947371</v>
      </c>
      <c r="F14" s="2">
        <v>0</v>
      </c>
      <c r="G14" s="2">
        <v>0</v>
      </c>
      <c r="H14" s="2">
        <v>0</v>
      </c>
      <c r="I14" s="2">
        <v>0</v>
      </c>
      <c r="J14" s="2">
        <v>11</v>
      </c>
      <c r="K14" s="2">
        <v>181784405.28947371</v>
      </c>
    </row>
    <row r="15" spans="1:11" x14ac:dyDescent="0.25">
      <c r="A15" s="1">
        <v>14</v>
      </c>
      <c r="B15" s="1" t="s">
        <v>37</v>
      </c>
      <c r="C15" s="1" t="s">
        <v>38</v>
      </c>
      <c r="D15" s="2">
        <v>36</v>
      </c>
      <c r="E15" s="2">
        <v>407695040.93430662</v>
      </c>
      <c r="F15" s="2">
        <v>0</v>
      </c>
      <c r="G15" s="2">
        <v>0</v>
      </c>
      <c r="H15" s="2">
        <v>1</v>
      </c>
      <c r="I15" s="2">
        <v>15445454</v>
      </c>
      <c r="J15" s="2">
        <v>35</v>
      </c>
      <c r="K15" s="2">
        <v>392249586.93430662</v>
      </c>
    </row>
    <row r="16" spans="1:11" x14ac:dyDescent="0.25">
      <c r="A16" s="1">
        <v>15</v>
      </c>
      <c r="B16" s="1" t="s">
        <v>39</v>
      </c>
      <c r="C16" s="1" t="s">
        <v>40</v>
      </c>
      <c r="D16" s="2">
        <v>12</v>
      </c>
      <c r="E16" s="2">
        <v>168825899.10447761</v>
      </c>
      <c r="F16" s="2">
        <v>0</v>
      </c>
      <c r="G16" s="2">
        <v>0</v>
      </c>
      <c r="H16" s="2">
        <v>0</v>
      </c>
      <c r="I16" s="2">
        <v>0</v>
      </c>
      <c r="J16" s="2">
        <v>12</v>
      </c>
      <c r="K16" s="2">
        <v>168825899.10447761</v>
      </c>
    </row>
    <row r="17" spans="1:11" x14ac:dyDescent="0.25">
      <c r="A17" s="1">
        <v>16</v>
      </c>
      <c r="B17" s="1" t="s">
        <v>41</v>
      </c>
      <c r="C17" s="1" t="s">
        <v>42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5">
      <c r="A18" s="1">
        <v>17</v>
      </c>
      <c r="B18" s="1" t="s">
        <v>43</v>
      </c>
      <c r="C18" s="1" t="s">
        <v>44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1">
        <v>18</v>
      </c>
      <c r="B19" s="1" t="s">
        <v>45</v>
      </c>
      <c r="C19" s="1" t="s">
        <v>46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 s="1">
        <v>19</v>
      </c>
      <c r="B20" s="1" t="s">
        <v>47</v>
      </c>
      <c r="C20" s="1" t="s">
        <v>48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 s="1">
        <v>20</v>
      </c>
      <c r="B21" s="1" t="s">
        <v>49</v>
      </c>
      <c r="C21" s="1" t="s">
        <v>50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5">
      <c r="A22" s="1">
        <v>21</v>
      </c>
      <c r="B22" s="1" t="s">
        <v>51</v>
      </c>
      <c r="C22" s="1" t="s">
        <v>52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 s="1">
        <v>22</v>
      </c>
      <c r="B23" s="1" t="s">
        <v>53</v>
      </c>
      <c r="C23" s="1" t="s">
        <v>54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5">
      <c r="A24" s="1">
        <v>23</v>
      </c>
      <c r="B24" s="1" t="s">
        <v>55</v>
      </c>
      <c r="C24" s="1" t="s">
        <v>56</v>
      </c>
      <c r="D24" s="2">
        <v>259</v>
      </c>
      <c r="E24" s="2">
        <v>2212212917.5497241</v>
      </c>
      <c r="F24" s="2">
        <v>0</v>
      </c>
      <c r="G24" s="2">
        <v>0</v>
      </c>
      <c r="H24" s="2">
        <v>3</v>
      </c>
      <c r="I24" s="2">
        <v>31427273</v>
      </c>
      <c r="J24" s="2">
        <v>256</v>
      </c>
      <c r="K24" s="2">
        <v>2180785644.5497241</v>
      </c>
    </row>
    <row r="25" spans="1:11" x14ac:dyDescent="0.25">
      <c r="A25" s="1">
        <v>24</v>
      </c>
      <c r="B25" s="1" t="s">
        <v>57</v>
      </c>
      <c r="C25" s="1" t="s">
        <v>58</v>
      </c>
      <c r="D25" s="2">
        <v>326</v>
      </c>
      <c r="E25" s="2">
        <v>2490461620.361217</v>
      </c>
      <c r="F25" s="2">
        <v>31</v>
      </c>
      <c r="G25" s="2">
        <v>286563636</v>
      </c>
      <c r="H25" s="2">
        <v>8</v>
      </c>
      <c r="I25" s="2">
        <v>91454546</v>
      </c>
      <c r="J25" s="2">
        <v>349</v>
      </c>
      <c r="K25" s="2">
        <v>2685570710.361217</v>
      </c>
    </row>
    <row r="26" spans="1:11" x14ac:dyDescent="0.25">
      <c r="A26" s="1">
        <v>25</v>
      </c>
      <c r="B26" s="1" t="s">
        <v>59</v>
      </c>
      <c r="C26" s="1" t="s">
        <v>60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1">
        <v>26</v>
      </c>
      <c r="B27" s="1" t="s">
        <v>61</v>
      </c>
      <c r="C27" s="1" t="s">
        <v>62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 s="1">
        <v>27</v>
      </c>
      <c r="B28" s="1" t="s">
        <v>63</v>
      </c>
      <c r="C28" s="1" t="s">
        <v>64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 s="1">
        <v>28</v>
      </c>
      <c r="B29" s="1" t="s">
        <v>65</v>
      </c>
      <c r="C29" s="1" t="s">
        <v>66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5">
      <c r="A30" s="1">
        <v>29</v>
      </c>
      <c r="B30" s="1" t="s">
        <v>67</v>
      </c>
      <c r="C30" s="1" t="s">
        <v>68</v>
      </c>
      <c r="D30" s="2">
        <v>7</v>
      </c>
      <c r="E30" s="2">
        <v>99179231.307692319</v>
      </c>
      <c r="F30" s="2">
        <v>0</v>
      </c>
      <c r="G30" s="2">
        <v>0</v>
      </c>
      <c r="H30" s="2">
        <v>0</v>
      </c>
      <c r="I30" s="2">
        <v>0</v>
      </c>
      <c r="J30" s="2">
        <v>7</v>
      </c>
      <c r="K30" s="2">
        <v>99179231.307692319</v>
      </c>
    </row>
    <row r="31" spans="1:11" x14ac:dyDescent="0.25">
      <c r="A31" s="1">
        <v>30</v>
      </c>
      <c r="B31" s="1" t="s">
        <v>69</v>
      </c>
      <c r="C31" s="1" t="s">
        <v>70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 s="1">
        <v>31</v>
      </c>
      <c r="B32" s="1" t="s">
        <v>71</v>
      </c>
      <c r="C32" s="1" t="s">
        <v>72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1">
        <v>32</v>
      </c>
      <c r="B33" s="1" t="s">
        <v>73</v>
      </c>
      <c r="C33" s="1" t="s">
        <v>74</v>
      </c>
      <c r="D33" s="2">
        <v>5</v>
      </c>
      <c r="E33" s="2">
        <v>25381986.5</v>
      </c>
      <c r="F33" s="2">
        <v>0</v>
      </c>
      <c r="G33" s="2">
        <v>0</v>
      </c>
      <c r="H33" s="2">
        <v>0</v>
      </c>
      <c r="I33" s="2">
        <v>0</v>
      </c>
      <c r="J33" s="2">
        <v>5</v>
      </c>
      <c r="K33" s="2">
        <v>25381986.5</v>
      </c>
    </row>
    <row r="34" spans="1:11" x14ac:dyDescent="0.25">
      <c r="A34" s="1">
        <v>33</v>
      </c>
      <c r="B34" s="1" t="s">
        <v>75</v>
      </c>
      <c r="C34" s="1" t="s">
        <v>76</v>
      </c>
      <c r="D34" s="2">
        <v>43</v>
      </c>
      <c r="E34" s="2">
        <v>119495262.18326689</v>
      </c>
      <c r="F34" s="2">
        <v>0</v>
      </c>
      <c r="G34" s="2">
        <v>0</v>
      </c>
      <c r="H34" s="2">
        <v>0</v>
      </c>
      <c r="I34" s="2">
        <v>0</v>
      </c>
      <c r="J34" s="2">
        <v>43</v>
      </c>
      <c r="K34" s="2">
        <v>119495262.18326689</v>
      </c>
    </row>
    <row r="35" spans="1:11" x14ac:dyDescent="0.25">
      <c r="A35" s="1">
        <v>34</v>
      </c>
      <c r="B35" s="1" t="s">
        <v>77</v>
      </c>
      <c r="C35" s="1" t="s">
        <v>78</v>
      </c>
      <c r="D35" s="2">
        <v>470</v>
      </c>
      <c r="E35" s="2">
        <v>1007815081.553802</v>
      </c>
      <c r="F35" s="2">
        <v>0</v>
      </c>
      <c r="G35" s="2">
        <v>0</v>
      </c>
      <c r="H35" s="2">
        <v>37</v>
      </c>
      <c r="I35" s="2">
        <v>81400000</v>
      </c>
      <c r="J35" s="2">
        <v>433</v>
      </c>
      <c r="K35" s="2">
        <v>926415081.55380154</v>
      </c>
    </row>
    <row r="36" spans="1:11" x14ac:dyDescent="0.25">
      <c r="A36" s="1">
        <v>35</v>
      </c>
      <c r="B36" s="1" t="s">
        <v>79</v>
      </c>
      <c r="C36" s="1" t="s">
        <v>80</v>
      </c>
      <c r="D36" s="2">
        <v>16</v>
      </c>
      <c r="E36" s="2">
        <v>57095345.021276593</v>
      </c>
      <c r="F36" s="2">
        <v>0</v>
      </c>
      <c r="G36" s="2">
        <v>0</v>
      </c>
      <c r="H36" s="2">
        <v>0</v>
      </c>
      <c r="I36" s="2">
        <v>0</v>
      </c>
      <c r="J36" s="2">
        <v>16</v>
      </c>
      <c r="K36" s="2">
        <v>57095345.021276593</v>
      </c>
    </row>
    <row r="37" spans="1:11" x14ac:dyDescent="0.25">
      <c r="A37" s="1">
        <v>36</v>
      </c>
      <c r="B37" s="1" t="s">
        <v>81</v>
      </c>
      <c r="C37" s="1" t="s">
        <v>82</v>
      </c>
      <c r="D37" s="2">
        <v>44</v>
      </c>
      <c r="E37" s="2">
        <v>117092195.1964286</v>
      </c>
      <c r="F37" s="2">
        <v>0</v>
      </c>
      <c r="G37" s="2">
        <v>0</v>
      </c>
      <c r="H37" s="2">
        <v>0</v>
      </c>
      <c r="I37" s="2">
        <v>0</v>
      </c>
      <c r="J37" s="2">
        <v>44</v>
      </c>
      <c r="K37" s="2">
        <v>117092195.1964286</v>
      </c>
    </row>
    <row r="38" spans="1:11" x14ac:dyDescent="0.25">
      <c r="A38" s="1">
        <v>37</v>
      </c>
      <c r="B38" s="1" t="s">
        <v>83</v>
      </c>
      <c r="C38" s="1" t="s">
        <v>84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25">
      <c r="A39" s="1">
        <v>38</v>
      </c>
      <c r="B39" s="1" t="s">
        <v>85</v>
      </c>
      <c r="C39" s="1" t="s">
        <v>86</v>
      </c>
      <c r="D39" s="2">
        <v>68</v>
      </c>
      <c r="E39" s="2">
        <v>165102239.38106239</v>
      </c>
      <c r="F39" s="2">
        <v>0</v>
      </c>
      <c r="G39" s="2">
        <v>0</v>
      </c>
      <c r="H39" s="2">
        <v>0</v>
      </c>
      <c r="I39" s="2">
        <v>0</v>
      </c>
      <c r="J39" s="2">
        <v>68</v>
      </c>
      <c r="K39" s="2">
        <v>165102239.38106239</v>
      </c>
    </row>
    <row r="40" spans="1:11" x14ac:dyDescent="0.25">
      <c r="A40" s="1">
        <v>39</v>
      </c>
      <c r="B40" s="1" t="s">
        <v>87</v>
      </c>
      <c r="C40" s="1" t="s">
        <v>88</v>
      </c>
      <c r="D40" s="2">
        <v>5</v>
      </c>
      <c r="E40" s="2">
        <v>29525252.77777778</v>
      </c>
      <c r="F40" s="2">
        <v>0</v>
      </c>
      <c r="G40" s="2">
        <v>0</v>
      </c>
      <c r="H40" s="2">
        <v>0</v>
      </c>
      <c r="I40" s="2">
        <v>0</v>
      </c>
      <c r="J40" s="2">
        <v>5</v>
      </c>
      <c r="K40" s="2">
        <v>29525252.77777778</v>
      </c>
    </row>
    <row r="41" spans="1:11" x14ac:dyDescent="0.25">
      <c r="A41" s="1">
        <v>40</v>
      </c>
      <c r="B41" s="1" t="s">
        <v>89</v>
      </c>
      <c r="C41" s="1" t="s">
        <v>90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25">
      <c r="A42" s="1">
        <v>41</v>
      </c>
      <c r="B42" s="1" t="s">
        <v>91</v>
      </c>
      <c r="C42" s="1" t="s">
        <v>92</v>
      </c>
      <c r="D42" s="2">
        <v>848</v>
      </c>
      <c r="E42" s="2">
        <v>786981154.34484041</v>
      </c>
      <c r="F42" s="2">
        <v>2</v>
      </c>
      <c r="G42" s="2">
        <v>9818182</v>
      </c>
      <c r="H42" s="2">
        <v>4</v>
      </c>
      <c r="I42" s="2">
        <v>14472728</v>
      </c>
      <c r="J42" s="2">
        <v>846</v>
      </c>
      <c r="K42" s="2">
        <v>782326608.34484041</v>
      </c>
    </row>
    <row r="43" spans="1:11" x14ac:dyDescent="0.25">
      <c r="A43" s="1">
        <v>42</v>
      </c>
      <c r="B43" s="1" t="s">
        <v>93</v>
      </c>
      <c r="C43" s="1" t="s">
        <v>94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 s="1">
        <v>43</v>
      </c>
      <c r="B44" s="1" t="s">
        <v>95</v>
      </c>
      <c r="C44" s="1" t="s">
        <v>96</v>
      </c>
      <c r="D44" s="2">
        <v>308</v>
      </c>
      <c r="E44" s="2">
        <v>817754260.97474432</v>
      </c>
      <c r="F44" s="2">
        <v>172</v>
      </c>
      <c r="G44" s="2">
        <v>466360002</v>
      </c>
      <c r="H44" s="2">
        <v>57</v>
      </c>
      <c r="I44" s="2">
        <v>150254546</v>
      </c>
      <c r="J44" s="2">
        <v>423</v>
      </c>
      <c r="K44" s="2">
        <v>1133859716.9747441</v>
      </c>
    </row>
    <row r="45" spans="1:11" x14ac:dyDescent="0.25">
      <c r="A45" s="1">
        <v>44</v>
      </c>
      <c r="B45" s="1" t="s">
        <v>97</v>
      </c>
      <c r="C45" s="1" t="s">
        <v>98</v>
      </c>
      <c r="D45" s="2">
        <v>46</v>
      </c>
      <c r="E45" s="2">
        <v>208623436.97297299</v>
      </c>
      <c r="F45" s="2">
        <v>28</v>
      </c>
      <c r="G45" s="2">
        <v>111077544</v>
      </c>
      <c r="H45" s="2">
        <v>2</v>
      </c>
      <c r="I45" s="2">
        <v>8518182</v>
      </c>
      <c r="J45" s="2">
        <v>72</v>
      </c>
      <c r="K45" s="2">
        <v>311182798.97297299</v>
      </c>
    </row>
    <row r="46" spans="1:11" x14ac:dyDescent="0.25">
      <c r="A46" s="1">
        <v>45</v>
      </c>
      <c r="B46" s="1" t="s">
        <v>99</v>
      </c>
      <c r="C46" s="1" t="s">
        <v>100</v>
      </c>
      <c r="D46" s="2">
        <v>88</v>
      </c>
      <c r="E46" s="2">
        <v>94182298.992571428</v>
      </c>
      <c r="F46" s="2">
        <v>2</v>
      </c>
      <c r="G46" s="2">
        <v>9818182</v>
      </c>
      <c r="H46" s="2">
        <v>0</v>
      </c>
      <c r="I46" s="2">
        <v>0</v>
      </c>
      <c r="J46" s="2">
        <v>90</v>
      </c>
      <c r="K46" s="2">
        <v>104000480.9925714</v>
      </c>
    </row>
    <row r="47" spans="1:11" x14ac:dyDescent="0.25">
      <c r="A47" s="1">
        <v>46</v>
      </c>
      <c r="B47" s="1" t="s">
        <v>101</v>
      </c>
      <c r="C47" s="1" t="s">
        <v>102</v>
      </c>
      <c r="D47" s="2">
        <v>44</v>
      </c>
      <c r="E47" s="2">
        <v>123580665.74567381</v>
      </c>
      <c r="F47" s="2">
        <v>3</v>
      </c>
      <c r="G47" s="2">
        <v>8610000</v>
      </c>
      <c r="H47" s="2">
        <v>3</v>
      </c>
      <c r="I47" s="2">
        <v>10063636</v>
      </c>
      <c r="J47" s="2">
        <v>44</v>
      </c>
      <c r="K47" s="2">
        <v>122127029.74567381</v>
      </c>
    </row>
    <row r="48" spans="1:11" x14ac:dyDescent="0.25">
      <c r="A48" s="1">
        <v>47</v>
      </c>
      <c r="B48" s="1" t="s">
        <v>103</v>
      </c>
      <c r="C48" s="1" t="s">
        <v>104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 s="1">
        <v>48</v>
      </c>
      <c r="B49" s="1" t="s">
        <v>105</v>
      </c>
      <c r="C49" s="1" t="s">
        <v>106</v>
      </c>
      <c r="D49" s="2">
        <v>44</v>
      </c>
      <c r="E49" s="2">
        <v>305578613.15224141</v>
      </c>
      <c r="F49" s="2">
        <v>3</v>
      </c>
      <c r="G49" s="2">
        <v>24772727</v>
      </c>
      <c r="H49" s="2">
        <v>3</v>
      </c>
      <c r="I49" s="2">
        <v>27863636</v>
      </c>
      <c r="J49" s="2">
        <v>44</v>
      </c>
      <c r="K49" s="2">
        <v>302487704.15224141</v>
      </c>
    </row>
    <row r="50" spans="1:11" x14ac:dyDescent="0.25">
      <c r="A50" s="1">
        <v>49</v>
      </c>
      <c r="B50" s="1" t="s">
        <v>107</v>
      </c>
      <c r="C50" s="1" t="s">
        <v>108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 s="1">
        <v>50</v>
      </c>
      <c r="B51" s="1" t="s">
        <v>109</v>
      </c>
      <c r="C51" s="1" t="s">
        <v>110</v>
      </c>
      <c r="D51" s="2">
        <v>3</v>
      </c>
      <c r="E51" s="2">
        <v>3435136.2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3435136.2</v>
      </c>
    </row>
    <row r="52" spans="1:11" x14ac:dyDescent="0.25">
      <c r="A52" s="1">
        <v>51</v>
      </c>
      <c r="B52" s="1" t="s">
        <v>111</v>
      </c>
      <c r="C52" s="1" t="s">
        <v>112</v>
      </c>
      <c r="D52" s="2">
        <v>38</v>
      </c>
      <c r="E52" s="2">
        <v>63910517.266938783</v>
      </c>
      <c r="F52" s="2">
        <v>11</v>
      </c>
      <c r="G52" s="2">
        <v>21194546</v>
      </c>
      <c r="H52" s="2">
        <v>0</v>
      </c>
      <c r="I52" s="2">
        <v>0</v>
      </c>
      <c r="J52" s="2">
        <v>49</v>
      </c>
      <c r="K52" s="2">
        <v>85105063.266938776</v>
      </c>
    </row>
    <row r="53" spans="1:11" x14ac:dyDescent="0.25">
      <c r="A53" s="1">
        <v>52</v>
      </c>
      <c r="B53" s="1" t="s">
        <v>113</v>
      </c>
      <c r="C53" s="1" t="s">
        <v>114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1">
        <v>53</v>
      </c>
      <c r="B54" s="1" t="s">
        <v>115</v>
      </c>
      <c r="C54" s="1" t="s">
        <v>116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1">
        <v>54</v>
      </c>
      <c r="B55" s="1" t="s">
        <v>117</v>
      </c>
      <c r="C55" s="1" t="s">
        <v>118</v>
      </c>
      <c r="D55" s="2">
        <v>65</v>
      </c>
      <c r="E55" s="2">
        <v>241447572.17270201</v>
      </c>
      <c r="F55" s="2">
        <v>11</v>
      </c>
      <c r="G55" s="2">
        <v>11217000</v>
      </c>
      <c r="H55" s="2">
        <v>6</v>
      </c>
      <c r="I55" s="2">
        <v>12363637</v>
      </c>
      <c r="J55" s="2">
        <v>70</v>
      </c>
      <c r="K55" s="2">
        <v>240300935.17270201</v>
      </c>
    </row>
    <row r="56" spans="1:11" x14ac:dyDescent="0.25">
      <c r="A56" s="1">
        <v>55</v>
      </c>
      <c r="B56" s="1" t="s">
        <v>119</v>
      </c>
      <c r="C56" s="1" t="s">
        <v>120</v>
      </c>
      <c r="D56" s="2">
        <v>20</v>
      </c>
      <c r="E56" s="2">
        <v>23569139.491525419</v>
      </c>
      <c r="F56" s="2">
        <v>0</v>
      </c>
      <c r="G56" s="2">
        <v>0</v>
      </c>
      <c r="H56" s="2">
        <v>1</v>
      </c>
      <c r="I56" s="2">
        <v>909091</v>
      </c>
      <c r="J56" s="2">
        <v>19</v>
      </c>
      <c r="K56" s="2">
        <v>22660048.491525419</v>
      </c>
    </row>
    <row r="57" spans="1:11" x14ac:dyDescent="0.25">
      <c r="A57" s="1">
        <v>56</v>
      </c>
      <c r="B57" s="1" t="s">
        <v>121</v>
      </c>
      <c r="C57" s="1" t="s">
        <v>122</v>
      </c>
      <c r="D57" s="2">
        <v>4</v>
      </c>
      <c r="E57" s="2">
        <v>17596296.290769231</v>
      </c>
      <c r="F57" s="2">
        <v>0</v>
      </c>
      <c r="G57" s="2">
        <v>0</v>
      </c>
      <c r="H57" s="2">
        <v>0</v>
      </c>
      <c r="I57" s="2">
        <v>0</v>
      </c>
      <c r="J57" s="2">
        <v>4</v>
      </c>
      <c r="K57" s="2">
        <v>17596296.290769231</v>
      </c>
    </row>
    <row r="58" spans="1:11" x14ac:dyDescent="0.25">
      <c r="A58" s="1">
        <v>57</v>
      </c>
      <c r="B58" s="1" t="s">
        <v>123</v>
      </c>
      <c r="C58" s="1" t="s">
        <v>124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1">
        <v>58</v>
      </c>
      <c r="B59" s="1" t="s">
        <v>125</v>
      </c>
      <c r="C59" s="1" t="s">
        <v>126</v>
      </c>
      <c r="D59" s="2">
        <v>2697</v>
      </c>
      <c r="E59" s="2">
        <v>384136655.38559759</v>
      </c>
      <c r="F59" s="2">
        <v>5</v>
      </c>
      <c r="G59" s="2">
        <v>4931820</v>
      </c>
      <c r="H59" s="2">
        <v>33</v>
      </c>
      <c r="I59" s="2">
        <v>19900001</v>
      </c>
      <c r="J59" s="2">
        <v>2669</v>
      </c>
      <c r="K59" s="2">
        <v>369168474.38559759</v>
      </c>
    </row>
    <row r="60" spans="1:11" x14ac:dyDescent="0.25">
      <c r="A60" s="1">
        <v>59</v>
      </c>
      <c r="B60" s="1" t="s">
        <v>127</v>
      </c>
      <c r="C60" s="1" t="s">
        <v>128</v>
      </c>
      <c r="D60" s="2">
        <v>92</v>
      </c>
      <c r="E60" s="2">
        <v>7335728.6822262118</v>
      </c>
      <c r="F60" s="2">
        <v>0</v>
      </c>
      <c r="G60" s="2">
        <v>0</v>
      </c>
      <c r="H60" s="2">
        <v>0</v>
      </c>
      <c r="I60" s="2">
        <v>0</v>
      </c>
      <c r="J60" s="2">
        <v>92</v>
      </c>
      <c r="K60" s="2">
        <v>7335728.6822262118</v>
      </c>
    </row>
    <row r="61" spans="1:11" x14ac:dyDescent="0.25">
      <c r="A61" s="1">
        <v>60</v>
      </c>
      <c r="B61" s="1" t="s">
        <v>129</v>
      </c>
      <c r="C61" s="1" t="s">
        <v>130</v>
      </c>
      <c r="D61" s="2">
        <v>22</v>
      </c>
      <c r="E61" s="2">
        <v>3955800.75</v>
      </c>
      <c r="F61" s="2">
        <v>0</v>
      </c>
      <c r="G61" s="2">
        <v>0</v>
      </c>
      <c r="H61" s="2">
        <v>0</v>
      </c>
      <c r="I61" s="2">
        <v>0</v>
      </c>
      <c r="J61" s="2">
        <v>22</v>
      </c>
      <c r="K61" s="2">
        <v>3955800.75</v>
      </c>
    </row>
    <row r="62" spans="1:11" x14ac:dyDescent="0.25">
      <c r="A62" s="1">
        <v>61</v>
      </c>
      <c r="B62" s="1" t="s">
        <v>131</v>
      </c>
      <c r="C62" s="1" t="s">
        <v>132</v>
      </c>
      <c r="D62" s="2">
        <v>786</v>
      </c>
      <c r="E62" s="2">
        <v>92567706.878957912</v>
      </c>
      <c r="F62" s="2">
        <v>251</v>
      </c>
      <c r="G62" s="2">
        <v>85752408</v>
      </c>
      <c r="H62" s="2">
        <v>3</v>
      </c>
      <c r="I62" s="2">
        <v>845455</v>
      </c>
      <c r="J62" s="2">
        <v>1034</v>
      </c>
      <c r="K62" s="2">
        <v>177474659.8789579</v>
      </c>
    </row>
    <row r="63" spans="1:11" x14ac:dyDescent="0.25">
      <c r="A63" s="1">
        <v>62</v>
      </c>
      <c r="B63" s="1" t="s">
        <v>133</v>
      </c>
      <c r="C63" s="1" t="s">
        <v>134</v>
      </c>
      <c r="D63" s="2">
        <v>216</v>
      </c>
      <c r="E63" s="2">
        <v>40000859.711580493</v>
      </c>
      <c r="F63" s="2">
        <v>10</v>
      </c>
      <c r="G63" s="2">
        <v>4365000</v>
      </c>
      <c r="H63" s="2">
        <v>0</v>
      </c>
      <c r="I63" s="2">
        <v>0</v>
      </c>
      <c r="J63" s="2">
        <v>226</v>
      </c>
      <c r="K63" s="2">
        <v>44365859.711580493</v>
      </c>
    </row>
    <row r="64" spans="1:11" x14ac:dyDescent="0.25">
      <c r="A64" s="1">
        <v>63</v>
      </c>
      <c r="B64" s="1" t="s">
        <v>135</v>
      </c>
      <c r="C64" s="1" t="s">
        <v>136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 s="1">
        <v>64</v>
      </c>
      <c r="B65" s="1" t="s">
        <v>137</v>
      </c>
      <c r="C65" s="1" t="s">
        <v>138</v>
      </c>
      <c r="D65" s="2">
        <v>18</v>
      </c>
      <c r="E65" s="2">
        <v>16707592.0011236</v>
      </c>
      <c r="F65" s="2">
        <v>0</v>
      </c>
      <c r="G65" s="2">
        <v>0</v>
      </c>
      <c r="H65" s="2">
        <v>0</v>
      </c>
      <c r="I65" s="2">
        <v>0</v>
      </c>
      <c r="J65" s="2">
        <v>18</v>
      </c>
      <c r="K65" s="2">
        <v>16707592.0011236</v>
      </c>
    </row>
    <row r="66" spans="1:11" x14ac:dyDescent="0.25">
      <c r="A66" s="1">
        <v>65</v>
      </c>
      <c r="B66" s="1" t="s">
        <v>139</v>
      </c>
      <c r="C66" s="1" t="s">
        <v>140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 s="1">
        <v>66</v>
      </c>
      <c r="B67" s="1" t="s">
        <v>141</v>
      </c>
      <c r="C67" s="1" t="s">
        <v>142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5">
      <c r="A68" s="1">
        <v>67</v>
      </c>
      <c r="B68" s="1" t="s">
        <v>143</v>
      </c>
      <c r="C68" s="1" t="s">
        <v>144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 s="1">
        <v>68</v>
      </c>
      <c r="B69" s="1" t="s">
        <v>145</v>
      </c>
      <c r="C69" s="1" t="s">
        <v>146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 s="1">
        <v>69</v>
      </c>
      <c r="B70" s="1" t="s">
        <v>147</v>
      </c>
      <c r="C70" s="1" t="s">
        <v>148</v>
      </c>
      <c r="D70" s="2">
        <v>70</v>
      </c>
      <c r="E70" s="2">
        <v>23309582.125112109</v>
      </c>
      <c r="F70" s="2">
        <v>30</v>
      </c>
      <c r="G70" s="2">
        <v>16666364</v>
      </c>
      <c r="H70" s="2">
        <v>0</v>
      </c>
      <c r="I70" s="2">
        <v>0</v>
      </c>
      <c r="J70" s="2">
        <v>100</v>
      </c>
      <c r="K70" s="2">
        <v>39975946.125112101</v>
      </c>
    </row>
    <row r="71" spans="1:11" x14ac:dyDescent="0.25">
      <c r="A71" s="1">
        <v>70</v>
      </c>
      <c r="B71" s="1" t="s">
        <v>149</v>
      </c>
      <c r="C71" s="1" t="s">
        <v>150</v>
      </c>
      <c r="D71" s="2">
        <v>7</v>
      </c>
      <c r="E71" s="2">
        <v>1388337.16</v>
      </c>
      <c r="F71" s="2">
        <v>0</v>
      </c>
      <c r="G71" s="2">
        <v>0</v>
      </c>
      <c r="H71" s="2">
        <v>0</v>
      </c>
      <c r="I71" s="2">
        <v>0</v>
      </c>
      <c r="J71" s="2">
        <v>7</v>
      </c>
      <c r="K71" s="2">
        <v>1388337.16</v>
      </c>
    </row>
    <row r="72" spans="1:11" x14ac:dyDescent="0.25">
      <c r="A72" s="1">
        <v>71</v>
      </c>
      <c r="B72" s="1" t="s">
        <v>151</v>
      </c>
      <c r="C72" s="1" t="s">
        <v>152</v>
      </c>
      <c r="D72" s="2">
        <v>3</v>
      </c>
      <c r="E72" s="2">
        <v>1745454.6</v>
      </c>
      <c r="F72" s="2">
        <v>0</v>
      </c>
      <c r="G72" s="2">
        <v>0</v>
      </c>
      <c r="H72" s="2">
        <v>0</v>
      </c>
      <c r="I72" s="2">
        <v>0</v>
      </c>
      <c r="J72" s="2">
        <v>3</v>
      </c>
      <c r="K72" s="2">
        <v>1745454.6</v>
      </c>
    </row>
    <row r="73" spans="1:11" x14ac:dyDescent="0.25">
      <c r="A73" s="1">
        <v>72</v>
      </c>
      <c r="B73" s="1" t="s">
        <v>153</v>
      </c>
      <c r="C73" s="1" t="s">
        <v>154</v>
      </c>
      <c r="D73" s="2">
        <v>54</v>
      </c>
      <c r="E73" s="2">
        <v>440760.79768786131</v>
      </c>
      <c r="F73" s="2">
        <v>0</v>
      </c>
      <c r="G73" s="2">
        <v>0</v>
      </c>
      <c r="H73" s="2">
        <v>0</v>
      </c>
      <c r="I73" s="2">
        <v>0</v>
      </c>
      <c r="J73" s="2">
        <v>54</v>
      </c>
      <c r="K73" s="2">
        <v>440760.79768786131</v>
      </c>
    </row>
    <row r="74" spans="1:11" x14ac:dyDescent="0.25">
      <c r="A74" s="1">
        <v>73</v>
      </c>
      <c r="B74" s="1" t="s">
        <v>155</v>
      </c>
      <c r="C74" s="1" t="s">
        <v>156</v>
      </c>
      <c r="D74" s="2">
        <v>52</v>
      </c>
      <c r="E74" s="2">
        <v>127516935.07878789</v>
      </c>
      <c r="F74" s="2">
        <v>0</v>
      </c>
      <c r="G74" s="2">
        <v>0</v>
      </c>
      <c r="H74" s="2">
        <v>0</v>
      </c>
      <c r="I74" s="2">
        <v>0</v>
      </c>
      <c r="J74" s="2">
        <v>52</v>
      </c>
      <c r="K74" s="2">
        <v>127516935.07878789</v>
      </c>
    </row>
    <row r="75" spans="1:11" x14ac:dyDescent="0.25">
      <c r="A75" s="1">
        <v>74</v>
      </c>
      <c r="B75" s="1" t="s">
        <v>157</v>
      </c>
      <c r="C75" s="1" t="s">
        <v>158</v>
      </c>
      <c r="D75" s="2">
        <v>39</v>
      </c>
      <c r="E75" s="2">
        <v>132196496.7509881</v>
      </c>
      <c r="F75" s="2">
        <v>2</v>
      </c>
      <c r="G75" s="2">
        <v>6000000</v>
      </c>
      <c r="H75" s="2">
        <v>0</v>
      </c>
      <c r="I75" s="2">
        <v>0</v>
      </c>
      <c r="J75" s="2">
        <v>41</v>
      </c>
      <c r="K75" s="2">
        <v>138196496.7509881</v>
      </c>
    </row>
    <row r="76" spans="1:11" x14ac:dyDescent="0.25">
      <c r="A76" s="1">
        <v>75</v>
      </c>
      <c r="B76" s="1" t="s">
        <v>159</v>
      </c>
      <c r="C76" s="1" t="s">
        <v>160</v>
      </c>
      <c r="D76" s="2">
        <v>2</v>
      </c>
      <c r="E76" s="2">
        <v>12411910.875</v>
      </c>
      <c r="F76" s="2">
        <v>0</v>
      </c>
      <c r="G76" s="2">
        <v>0</v>
      </c>
      <c r="H76" s="2">
        <v>0</v>
      </c>
      <c r="I76" s="2">
        <v>0</v>
      </c>
      <c r="J76" s="2">
        <v>2</v>
      </c>
      <c r="K76" s="2">
        <v>12411910.875</v>
      </c>
    </row>
    <row r="77" spans="1:11" x14ac:dyDescent="0.25">
      <c r="A77" s="1">
        <v>76</v>
      </c>
      <c r="B77" s="1" t="s">
        <v>161</v>
      </c>
      <c r="C77" s="1" t="s">
        <v>162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5">
      <c r="A78" s="1">
        <v>77</v>
      </c>
      <c r="B78" s="1" t="s">
        <v>163</v>
      </c>
      <c r="C78" s="1" t="s">
        <v>164</v>
      </c>
      <c r="D78" s="2">
        <v>96</v>
      </c>
      <c r="E78" s="2">
        <v>139867893.59605911</v>
      </c>
      <c r="F78" s="2">
        <v>0</v>
      </c>
      <c r="G78" s="2">
        <v>0</v>
      </c>
      <c r="H78" s="2">
        <v>0</v>
      </c>
      <c r="I78" s="2">
        <v>0</v>
      </c>
      <c r="J78" s="2">
        <v>96</v>
      </c>
      <c r="K78" s="2">
        <v>139867893.59605911</v>
      </c>
    </row>
    <row r="79" spans="1:11" x14ac:dyDescent="0.25">
      <c r="A79" s="1">
        <v>78</v>
      </c>
      <c r="B79" s="1" t="s">
        <v>165</v>
      </c>
      <c r="C79" s="1" t="s">
        <v>166</v>
      </c>
      <c r="D79" s="2">
        <v>6</v>
      </c>
      <c r="E79" s="2">
        <v>13411842</v>
      </c>
      <c r="F79" s="2">
        <v>0</v>
      </c>
      <c r="G79" s="2">
        <v>0</v>
      </c>
      <c r="H79" s="2">
        <v>0</v>
      </c>
      <c r="I79" s="2">
        <v>0</v>
      </c>
      <c r="J79" s="2">
        <v>6</v>
      </c>
      <c r="K79" s="2">
        <v>13411842</v>
      </c>
    </row>
    <row r="80" spans="1:11" x14ac:dyDescent="0.25">
      <c r="A80" s="1">
        <v>79</v>
      </c>
      <c r="B80" s="1" t="s">
        <v>167</v>
      </c>
      <c r="C80" s="1" t="s">
        <v>168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 s="1">
        <v>80</v>
      </c>
      <c r="B81" s="1" t="s">
        <v>169</v>
      </c>
      <c r="C81" s="1" t="s">
        <v>170</v>
      </c>
      <c r="D81" s="2">
        <v>456</v>
      </c>
      <c r="E81" s="2">
        <v>166130309.62329009</v>
      </c>
      <c r="F81" s="2">
        <v>20</v>
      </c>
      <c r="G81" s="2">
        <v>5500000</v>
      </c>
      <c r="H81" s="2">
        <v>26</v>
      </c>
      <c r="I81" s="2">
        <v>16963636</v>
      </c>
      <c r="J81" s="2">
        <v>450</v>
      </c>
      <c r="K81" s="2">
        <v>154666673.62329009</v>
      </c>
    </row>
    <row r="82" spans="1:11" x14ac:dyDescent="0.25">
      <c r="A82" s="1">
        <v>81</v>
      </c>
      <c r="B82" s="1" t="s">
        <v>171</v>
      </c>
      <c r="C82" s="1" t="s">
        <v>172</v>
      </c>
      <c r="D82" s="2">
        <v>117</v>
      </c>
      <c r="E82" s="2">
        <v>72293953.117302045</v>
      </c>
      <c r="F82" s="2">
        <v>0</v>
      </c>
      <c r="G82" s="2">
        <v>0</v>
      </c>
      <c r="H82" s="2">
        <v>1</v>
      </c>
      <c r="I82" s="2">
        <v>1363636</v>
      </c>
      <c r="J82" s="2">
        <v>116</v>
      </c>
      <c r="K82" s="2">
        <v>70930317.117302045</v>
      </c>
    </row>
    <row r="83" spans="1:11" x14ac:dyDescent="0.25">
      <c r="A83" s="1">
        <v>82</v>
      </c>
      <c r="B83" s="1" t="s">
        <v>173</v>
      </c>
      <c r="C83" s="1" t="s">
        <v>174</v>
      </c>
      <c r="D83" s="2">
        <v>26</v>
      </c>
      <c r="E83" s="2">
        <v>25772651.202380959</v>
      </c>
      <c r="F83" s="2">
        <v>0</v>
      </c>
      <c r="G83" s="2">
        <v>0</v>
      </c>
      <c r="H83" s="2">
        <v>0</v>
      </c>
      <c r="I83" s="2">
        <v>0</v>
      </c>
      <c r="J83" s="2">
        <v>26</v>
      </c>
      <c r="K83" s="2">
        <v>25772651.202380959</v>
      </c>
    </row>
    <row r="84" spans="1:11" x14ac:dyDescent="0.25">
      <c r="A84" s="1">
        <v>83</v>
      </c>
      <c r="B84" s="1" t="s">
        <v>175</v>
      </c>
      <c r="C84" s="1" t="s">
        <v>176</v>
      </c>
      <c r="D84" s="2">
        <v>7</v>
      </c>
      <c r="E84" s="2">
        <v>21101182.199999999</v>
      </c>
      <c r="F84" s="2">
        <v>0</v>
      </c>
      <c r="G84" s="2">
        <v>0</v>
      </c>
      <c r="H84" s="2">
        <v>0</v>
      </c>
      <c r="I84" s="2">
        <v>0</v>
      </c>
      <c r="J84" s="2">
        <v>7</v>
      </c>
      <c r="K84" s="2">
        <v>21101182.199999999</v>
      </c>
    </row>
    <row r="85" spans="1:11" x14ac:dyDescent="0.25">
      <c r="A85" s="1">
        <v>84</v>
      </c>
      <c r="B85" s="1" t="s">
        <v>177</v>
      </c>
      <c r="C85" s="1" t="s">
        <v>178</v>
      </c>
      <c r="D85" s="2">
        <v>4</v>
      </c>
      <c r="E85" s="2">
        <v>21168255.483870968</v>
      </c>
      <c r="F85" s="2">
        <v>0</v>
      </c>
      <c r="G85" s="2">
        <v>0</v>
      </c>
      <c r="H85" s="2">
        <v>0</v>
      </c>
      <c r="I85" s="2">
        <v>0</v>
      </c>
      <c r="J85" s="2">
        <v>4</v>
      </c>
      <c r="K85" s="2">
        <v>21168255.483870968</v>
      </c>
    </row>
    <row r="86" spans="1:11" x14ac:dyDescent="0.25">
      <c r="A86" s="1">
        <v>85</v>
      </c>
      <c r="B86" s="1" t="s">
        <v>179</v>
      </c>
      <c r="C86" s="1" t="s">
        <v>180</v>
      </c>
      <c r="D86" s="2">
        <v>3</v>
      </c>
      <c r="E86" s="2">
        <v>7002218.1600000001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7002218.1600000001</v>
      </c>
    </row>
    <row r="87" spans="1:11" x14ac:dyDescent="0.25">
      <c r="A87" s="1">
        <v>86</v>
      </c>
      <c r="B87" s="1" t="s">
        <v>181</v>
      </c>
      <c r="C87" s="1" t="s">
        <v>182</v>
      </c>
      <c r="D87" s="2">
        <v>66</v>
      </c>
      <c r="E87" s="2">
        <v>90765515.572559372</v>
      </c>
      <c r="F87" s="2">
        <v>0</v>
      </c>
      <c r="G87" s="2">
        <v>0</v>
      </c>
      <c r="H87" s="2">
        <v>0</v>
      </c>
      <c r="I87" s="2">
        <v>0</v>
      </c>
      <c r="J87" s="2">
        <v>66</v>
      </c>
      <c r="K87" s="2">
        <v>90765515.572559372</v>
      </c>
    </row>
    <row r="88" spans="1:11" x14ac:dyDescent="0.25">
      <c r="A88" s="1">
        <v>87</v>
      </c>
      <c r="B88" s="1" t="s">
        <v>183</v>
      </c>
      <c r="C88" s="1" t="s">
        <v>184</v>
      </c>
      <c r="D88" s="2">
        <v>3</v>
      </c>
      <c r="E88" s="2">
        <v>3293181.9545454541</v>
      </c>
      <c r="F88" s="2">
        <v>0</v>
      </c>
      <c r="G88" s="2">
        <v>0</v>
      </c>
      <c r="H88" s="2">
        <v>0</v>
      </c>
      <c r="I88" s="2">
        <v>0</v>
      </c>
      <c r="J88" s="2">
        <v>3</v>
      </c>
      <c r="K88" s="2">
        <v>3293181.9545454541</v>
      </c>
    </row>
    <row r="89" spans="1:11" x14ac:dyDescent="0.25">
      <c r="A89" s="1">
        <v>88</v>
      </c>
      <c r="B89" s="1" t="s">
        <v>185</v>
      </c>
      <c r="C89" s="1" t="s">
        <v>186</v>
      </c>
      <c r="D89" s="2">
        <v>889</v>
      </c>
      <c r="E89" s="2">
        <v>342425851.74628812</v>
      </c>
      <c r="F89" s="2">
        <v>0</v>
      </c>
      <c r="G89" s="2">
        <v>0</v>
      </c>
      <c r="H89" s="2">
        <v>16</v>
      </c>
      <c r="I89" s="2">
        <v>10572727</v>
      </c>
      <c r="J89" s="2">
        <v>873</v>
      </c>
      <c r="K89" s="2">
        <v>331853124.74628812</v>
      </c>
    </row>
    <row r="90" spans="1:11" x14ac:dyDescent="0.25">
      <c r="A90" s="1">
        <v>89</v>
      </c>
      <c r="B90" s="1" t="s">
        <v>187</v>
      </c>
      <c r="C90" s="1" t="s">
        <v>188</v>
      </c>
      <c r="D90" s="2">
        <v>189</v>
      </c>
      <c r="E90" s="2">
        <v>179876392.34957021</v>
      </c>
      <c r="F90" s="2">
        <v>0</v>
      </c>
      <c r="G90" s="2">
        <v>0</v>
      </c>
      <c r="H90" s="2">
        <v>2</v>
      </c>
      <c r="I90" s="2">
        <v>1636364</v>
      </c>
      <c r="J90" s="2">
        <v>187</v>
      </c>
      <c r="K90" s="2">
        <v>178240028.34957021</v>
      </c>
    </row>
    <row r="91" spans="1:11" x14ac:dyDescent="0.25">
      <c r="A91" s="1">
        <v>90</v>
      </c>
      <c r="B91" s="1" t="s">
        <v>189</v>
      </c>
      <c r="C91" s="1" t="s">
        <v>190</v>
      </c>
      <c r="D91" s="2">
        <v>41</v>
      </c>
      <c r="E91" s="2">
        <v>56980504.992395438</v>
      </c>
      <c r="F91" s="2">
        <v>0</v>
      </c>
      <c r="G91" s="2">
        <v>0</v>
      </c>
      <c r="H91" s="2">
        <v>0</v>
      </c>
      <c r="I91" s="2">
        <v>0</v>
      </c>
      <c r="J91" s="2">
        <v>41</v>
      </c>
      <c r="K91" s="2">
        <v>56980504.992395438</v>
      </c>
    </row>
    <row r="92" spans="1:11" x14ac:dyDescent="0.25">
      <c r="A92" s="1">
        <v>91</v>
      </c>
      <c r="B92" s="1" t="s">
        <v>191</v>
      </c>
      <c r="C92" s="1" t="s">
        <v>192</v>
      </c>
      <c r="D92" s="2">
        <v>132</v>
      </c>
      <c r="E92" s="2">
        <v>112291418.1280788</v>
      </c>
      <c r="F92" s="2">
        <v>0</v>
      </c>
      <c r="G92" s="2">
        <v>0</v>
      </c>
      <c r="H92" s="2">
        <v>15</v>
      </c>
      <c r="I92" s="2">
        <v>16300000</v>
      </c>
      <c r="J92" s="2">
        <v>117</v>
      </c>
      <c r="K92" s="2">
        <v>95991418.128078818</v>
      </c>
    </row>
    <row r="93" spans="1:11" x14ac:dyDescent="0.25">
      <c r="A93" s="1">
        <v>92</v>
      </c>
      <c r="B93" s="1" t="s">
        <v>193</v>
      </c>
      <c r="C93" s="1" t="s">
        <v>194</v>
      </c>
      <c r="D93" s="2">
        <v>37</v>
      </c>
      <c r="E93" s="2">
        <v>64384966.432558142</v>
      </c>
      <c r="F93" s="2">
        <v>0</v>
      </c>
      <c r="G93" s="2">
        <v>0</v>
      </c>
      <c r="H93" s="2">
        <v>1</v>
      </c>
      <c r="I93" s="2">
        <v>5300000</v>
      </c>
      <c r="J93" s="2">
        <v>36</v>
      </c>
      <c r="K93" s="2">
        <v>59084966.432558142</v>
      </c>
    </row>
    <row r="94" spans="1:11" x14ac:dyDescent="0.25">
      <c r="A94" s="1">
        <v>93</v>
      </c>
      <c r="B94" s="1" t="s">
        <v>195</v>
      </c>
      <c r="C94" s="1" t="s">
        <v>196</v>
      </c>
      <c r="D94" s="2">
        <v>300</v>
      </c>
      <c r="E94" s="2">
        <v>122528863.6155607</v>
      </c>
      <c r="F94" s="2">
        <v>0</v>
      </c>
      <c r="G94" s="2">
        <v>0</v>
      </c>
      <c r="H94" s="2">
        <v>1</v>
      </c>
      <c r="I94" s="2">
        <v>1318182</v>
      </c>
      <c r="J94" s="2">
        <v>299</v>
      </c>
      <c r="K94" s="2">
        <v>121210681.6155607</v>
      </c>
    </row>
    <row r="95" spans="1:11" x14ac:dyDescent="0.25">
      <c r="A95" s="1">
        <v>94</v>
      </c>
      <c r="B95" s="1" t="s">
        <v>197</v>
      </c>
      <c r="C95" s="1" t="s">
        <v>198</v>
      </c>
      <c r="D95" s="2">
        <v>35</v>
      </c>
      <c r="E95" s="2">
        <v>4450999.8672566377</v>
      </c>
      <c r="F95" s="2">
        <v>0</v>
      </c>
      <c r="G95" s="2">
        <v>0</v>
      </c>
      <c r="H95" s="2">
        <v>0</v>
      </c>
      <c r="I95" s="2">
        <v>0</v>
      </c>
      <c r="J95" s="2">
        <v>35</v>
      </c>
      <c r="K95" s="2">
        <v>4450999.8672566377</v>
      </c>
    </row>
    <row r="96" spans="1:11" x14ac:dyDescent="0.25">
      <c r="A96" s="1">
        <v>95</v>
      </c>
      <c r="B96" s="1" t="s">
        <v>199</v>
      </c>
      <c r="C96" s="1" t="s">
        <v>200</v>
      </c>
      <c r="D96" s="2">
        <v>57</v>
      </c>
      <c r="E96" s="2">
        <v>5827921.0819672132</v>
      </c>
      <c r="F96" s="2">
        <v>0</v>
      </c>
      <c r="G96" s="2">
        <v>0</v>
      </c>
      <c r="H96" s="2">
        <v>0</v>
      </c>
      <c r="I96" s="2">
        <v>0</v>
      </c>
      <c r="J96" s="2">
        <v>57</v>
      </c>
      <c r="K96" s="2">
        <v>5827921.0819672132</v>
      </c>
    </row>
    <row r="97" spans="1:11" x14ac:dyDescent="0.25">
      <c r="A97" s="1">
        <v>96</v>
      </c>
      <c r="B97" s="1" t="s">
        <v>201</v>
      </c>
      <c r="C97" s="1" t="s">
        <v>202</v>
      </c>
      <c r="D97" s="2">
        <v>657</v>
      </c>
      <c r="E97" s="2">
        <v>93086985.436195686</v>
      </c>
      <c r="F97" s="2">
        <v>5</v>
      </c>
      <c r="G97" s="2">
        <v>3550000</v>
      </c>
      <c r="H97" s="2">
        <v>10</v>
      </c>
      <c r="I97" s="2">
        <v>581820</v>
      </c>
      <c r="J97" s="2">
        <v>652</v>
      </c>
      <c r="K97" s="2">
        <v>96055165.436195686</v>
      </c>
    </row>
    <row r="98" spans="1:11" x14ac:dyDescent="0.25">
      <c r="A98" s="1">
        <v>97</v>
      </c>
      <c r="B98" s="1" t="s">
        <v>203</v>
      </c>
      <c r="C98" s="1" t="s">
        <v>204</v>
      </c>
      <c r="D98" s="2">
        <v>291</v>
      </c>
      <c r="E98" s="2">
        <v>60182575.620727673</v>
      </c>
      <c r="F98" s="2">
        <v>0</v>
      </c>
      <c r="G98" s="2">
        <v>0</v>
      </c>
      <c r="H98" s="2">
        <v>5</v>
      </c>
      <c r="I98" s="2">
        <v>1363635</v>
      </c>
      <c r="J98" s="2">
        <v>286</v>
      </c>
      <c r="K98" s="2">
        <v>58818940.620727673</v>
      </c>
    </row>
    <row r="99" spans="1:11" x14ac:dyDescent="0.25">
      <c r="A99" s="1">
        <v>98</v>
      </c>
      <c r="B99" s="1" t="s">
        <v>205</v>
      </c>
      <c r="C99" s="1" t="s">
        <v>206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s="1">
        <v>99</v>
      </c>
      <c r="B100" s="1" t="s">
        <v>207</v>
      </c>
      <c r="C100" s="1" t="s">
        <v>208</v>
      </c>
      <c r="D100" s="2">
        <v>11</v>
      </c>
      <c r="E100" s="2">
        <v>16917241.758620691</v>
      </c>
      <c r="F100" s="2">
        <v>0</v>
      </c>
      <c r="G100" s="2">
        <v>0</v>
      </c>
      <c r="H100" s="2">
        <v>0</v>
      </c>
      <c r="I100" s="2">
        <v>0</v>
      </c>
      <c r="J100" s="2">
        <v>11</v>
      </c>
      <c r="K100" s="2">
        <v>16917241.758620691</v>
      </c>
    </row>
    <row r="101" spans="1:11" x14ac:dyDescent="0.25">
      <c r="A101" s="1">
        <v>100</v>
      </c>
      <c r="B101" s="1" t="s">
        <v>209</v>
      </c>
      <c r="C101" s="1" t="s">
        <v>210</v>
      </c>
      <c r="D101" s="2">
        <v>4</v>
      </c>
      <c r="E101" s="2">
        <v>3674579</v>
      </c>
      <c r="F101" s="2">
        <v>0</v>
      </c>
      <c r="G101" s="2">
        <v>0</v>
      </c>
      <c r="H101" s="2">
        <v>0</v>
      </c>
      <c r="I101" s="2">
        <v>0</v>
      </c>
      <c r="J101" s="2">
        <v>4</v>
      </c>
      <c r="K101" s="2">
        <v>3674579</v>
      </c>
    </row>
    <row r="102" spans="1:11" x14ac:dyDescent="0.25">
      <c r="A102" s="1">
        <v>101</v>
      </c>
      <c r="B102" s="1" t="s">
        <v>211</v>
      </c>
      <c r="C102" s="1" t="s">
        <v>212</v>
      </c>
      <c r="D102" s="2">
        <v>40</v>
      </c>
      <c r="E102" s="2">
        <v>20371565.66929134</v>
      </c>
      <c r="F102" s="2">
        <v>0</v>
      </c>
      <c r="G102" s="2">
        <v>0</v>
      </c>
      <c r="H102" s="2">
        <v>0</v>
      </c>
      <c r="I102" s="2">
        <v>0</v>
      </c>
      <c r="J102" s="2">
        <v>40</v>
      </c>
      <c r="K102" s="2">
        <v>20371565.66929134</v>
      </c>
    </row>
    <row r="103" spans="1:11" x14ac:dyDescent="0.25">
      <c r="A103" s="1">
        <v>102</v>
      </c>
      <c r="B103" s="1" t="s">
        <v>213</v>
      </c>
      <c r="C103" s="1" t="s">
        <v>214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5">
      <c r="A104" s="1">
        <v>103</v>
      </c>
      <c r="B104" s="1" t="s">
        <v>215</v>
      </c>
      <c r="C104" s="1" t="s">
        <v>216</v>
      </c>
      <c r="D104" s="2">
        <v>997</v>
      </c>
      <c r="E104" s="2">
        <v>124730462.4637845</v>
      </c>
      <c r="F104" s="2">
        <v>0</v>
      </c>
      <c r="G104" s="2">
        <v>0</v>
      </c>
      <c r="H104" s="2">
        <v>19</v>
      </c>
      <c r="I104" s="2">
        <v>2918181</v>
      </c>
      <c r="J104" s="2">
        <v>978</v>
      </c>
      <c r="K104" s="2">
        <v>121812281.4637845</v>
      </c>
    </row>
    <row r="105" spans="1:11" x14ac:dyDescent="0.25">
      <c r="A105" s="1">
        <v>104</v>
      </c>
      <c r="B105" s="1" t="s">
        <v>217</v>
      </c>
      <c r="C105" s="1" t="s">
        <v>218</v>
      </c>
      <c r="D105" s="2">
        <v>89</v>
      </c>
      <c r="E105" s="2">
        <v>27637179.992982451</v>
      </c>
      <c r="F105" s="2">
        <v>0</v>
      </c>
      <c r="G105" s="2">
        <v>0</v>
      </c>
      <c r="H105" s="2">
        <v>0</v>
      </c>
      <c r="I105" s="2">
        <v>0</v>
      </c>
      <c r="J105" s="2">
        <v>89</v>
      </c>
      <c r="K105" s="2">
        <v>27637179.992982451</v>
      </c>
    </row>
    <row r="106" spans="1:11" x14ac:dyDescent="0.25">
      <c r="A106" s="1">
        <v>105</v>
      </c>
      <c r="B106" s="1" t="s">
        <v>219</v>
      </c>
      <c r="C106" s="1" t="s">
        <v>220</v>
      </c>
      <c r="D106" s="2">
        <v>1574</v>
      </c>
      <c r="E106" s="2">
        <v>174683717.69023031</v>
      </c>
      <c r="F106" s="2">
        <v>0</v>
      </c>
      <c r="G106" s="2">
        <v>0</v>
      </c>
      <c r="H106" s="2">
        <v>27</v>
      </c>
      <c r="I106" s="2">
        <v>1318182</v>
      </c>
      <c r="J106" s="2">
        <v>1547</v>
      </c>
      <c r="K106" s="2">
        <v>173365535.69023031</v>
      </c>
    </row>
    <row r="107" spans="1:11" x14ac:dyDescent="0.25">
      <c r="A107" s="1">
        <v>106</v>
      </c>
      <c r="B107" s="1" t="s">
        <v>221</v>
      </c>
      <c r="C107" s="1" t="s">
        <v>222</v>
      </c>
      <c r="D107" s="2">
        <v>1049</v>
      </c>
      <c r="E107" s="2">
        <v>145834778.3291294</v>
      </c>
      <c r="F107" s="2">
        <v>0</v>
      </c>
      <c r="G107" s="2">
        <v>0</v>
      </c>
      <c r="H107" s="2">
        <v>37</v>
      </c>
      <c r="I107" s="2">
        <v>4990910</v>
      </c>
      <c r="J107" s="2">
        <v>1012</v>
      </c>
      <c r="K107" s="2">
        <v>140843868.3291294</v>
      </c>
    </row>
    <row r="108" spans="1:11" x14ac:dyDescent="0.25">
      <c r="A108" s="1">
        <v>107</v>
      </c>
      <c r="B108" s="1" t="s">
        <v>223</v>
      </c>
      <c r="C108" s="1" t="s">
        <v>224</v>
      </c>
      <c r="D108" s="2">
        <v>1</v>
      </c>
      <c r="E108" s="2">
        <v>518484.75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518484.75</v>
      </c>
    </row>
    <row r="109" spans="1:11" x14ac:dyDescent="0.25">
      <c r="A109" s="1">
        <v>108</v>
      </c>
      <c r="B109" s="1" t="s">
        <v>225</v>
      </c>
      <c r="C109" s="1" t="s">
        <v>226</v>
      </c>
      <c r="D109" s="2">
        <v>168</v>
      </c>
      <c r="E109" s="2">
        <v>46805599.850046858</v>
      </c>
      <c r="F109" s="2">
        <v>15</v>
      </c>
      <c r="G109" s="2">
        <v>2950000</v>
      </c>
      <c r="H109" s="2">
        <v>1</v>
      </c>
      <c r="I109" s="2">
        <v>500000</v>
      </c>
      <c r="J109" s="2">
        <v>182</v>
      </c>
      <c r="K109" s="2">
        <v>49255599.850046858</v>
      </c>
    </row>
    <row r="110" spans="1:11" x14ac:dyDescent="0.25">
      <c r="A110" s="1">
        <v>109</v>
      </c>
      <c r="B110" s="1" t="s">
        <v>227</v>
      </c>
      <c r="C110" s="1" t="s">
        <v>228</v>
      </c>
      <c r="D110" s="2">
        <v>168</v>
      </c>
      <c r="E110" s="2">
        <v>58182014.166189112</v>
      </c>
      <c r="F110" s="2">
        <v>3</v>
      </c>
      <c r="G110" s="2">
        <v>810000</v>
      </c>
      <c r="H110" s="2">
        <v>5</v>
      </c>
      <c r="I110" s="2">
        <v>1390909</v>
      </c>
      <c r="J110" s="2">
        <v>166</v>
      </c>
      <c r="K110" s="2">
        <v>57601105.166189112</v>
      </c>
    </row>
    <row r="111" spans="1:11" x14ac:dyDescent="0.25">
      <c r="A111" s="1">
        <v>110</v>
      </c>
      <c r="B111" s="1" t="s">
        <v>229</v>
      </c>
      <c r="C111" s="1" t="s">
        <v>230</v>
      </c>
      <c r="D111" s="2">
        <v>14</v>
      </c>
      <c r="E111" s="2">
        <v>937615.89361702127</v>
      </c>
      <c r="F111" s="2">
        <v>20</v>
      </c>
      <c r="G111" s="2">
        <v>1636340</v>
      </c>
      <c r="H111" s="2">
        <v>0</v>
      </c>
      <c r="I111" s="2">
        <v>0</v>
      </c>
      <c r="J111" s="2">
        <v>34</v>
      </c>
      <c r="K111" s="2">
        <v>2573955.8936170209</v>
      </c>
    </row>
    <row r="112" spans="1:11" x14ac:dyDescent="0.25">
      <c r="A112" s="1">
        <v>111</v>
      </c>
      <c r="B112" s="1" t="s">
        <v>231</v>
      </c>
      <c r="C112" s="1" t="s">
        <v>232</v>
      </c>
      <c r="D112" s="2">
        <v>69</v>
      </c>
      <c r="E112" s="2">
        <v>33053246.2590799</v>
      </c>
      <c r="F112" s="2">
        <v>0</v>
      </c>
      <c r="G112" s="2">
        <v>0</v>
      </c>
      <c r="H112" s="2">
        <v>3</v>
      </c>
      <c r="I112" s="2">
        <v>1200000</v>
      </c>
      <c r="J112" s="2">
        <v>66</v>
      </c>
      <c r="K112" s="2">
        <v>31853246.2590799</v>
      </c>
    </row>
    <row r="113" spans="1:11" x14ac:dyDescent="0.25">
      <c r="A113" s="1">
        <v>112</v>
      </c>
      <c r="B113" s="1" t="s">
        <v>233</v>
      </c>
      <c r="C113" s="1" t="s">
        <v>234</v>
      </c>
      <c r="D113" s="2">
        <v>191</v>
      </c>
      <c r="E113" s="2">
        <v>70026291.390264019</v>
      </c>
      <c r="F113" s="2">
        <v>0</v>
      </c>
      <c r="G113" s="2">
        <v>0</v>
      </c>
      <c r="H113" s="2">
        <v>0</v>
      </c>
      <c r="I113" s="2">
        <v>0</v>
      </c>
      <c r="J113" s="2">
        <v>191</v>
      </c>
      <c r="K113" s="2">
        <v>70026291.390264019</v>
      </c>
    </row>
    <row r="114" spans="1:11" x14ac:dyDescent="0.25">
      <c r="A114" s="1">
        <v>113</v>
      </c>
      <c r="B114" s="1" t="s">
        <v>235</v>
      </c>
      <c r="C114" s="1" t="s">
        <v>236</v>
      </c>
      <c r="D114" s="2">
        <v>18</v>
      </c>
      <c r="E114" s="2">
        <v>11650149.620689649</v>
      </c>
      <c r="F114" s="2">
        <v>0</v>
      </c>
      <c r="G114" s="2">
        <v>0</v>
      </c>
      <c r="H114" s="2">
        <v>0</v>
      </c>
      <c r="I114" s="2">
        <v>0</v>
      </c>
      <c r="J114" s="2">
        <v>18</v>
      </c>
      <c r="K114" s="2">
        <v>11650149.620689649</v>
      </c>
    </row>
    <row r="115" spans="1:11" x14ac:dyDescent="0.25">
      <c r="A115" s="1">
        <v>114</v>
      </c>
      <c r="B115" s="1" t="s">
        <v>237</v>
      </c>
      <c r="C115" s="1" t="s">
        <v>238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5">
      <c r="A116" s="1">
        <v>115</v>
      </c>
      <c r="B116" s="1" t="s">
        <v>239</v>
      </c>
      <c r="C116" s="1" t="s">
        <v>240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 s="1">
        <v>116</v>
      </c>
      <c r="B117" s="1" t="s">
        <v>241</v>
      </c>
      <c r="C117" s="1" t="s">
        <v>242</v>
      </c>
      <c r="D117" s="2">
        <v>5</v>
      </c>
      <c r="E117" s="2">
        <v>12000000</v>
      </c>
      <c r="F117" s="2">
        <v>0</v>
      </c>
      <c r="G117" s="2">
        <v>0</v>
      </c>
      <c r="H117" s="2">
        <v>4</v>
      </c>
      <c r="I117" s="2">
        <v>9600000</v>
      </c>
      <c r="J117" s="2">
        <v>1</v>
      </c>
      <c r="K117" s="2">
        <v>2400000</v>
      </c>
    </row>
    <row r="118" spans="1:11" x14ac:dyDescent="0.25">
      <c r="A118" s="1">
        <v>117</v>
      </c>
      <c r="B118" s="1" t="s">
        <v>243</v>
      </c>
      <c r="C118" s="1" t="s">
        <v>244</v>
      </c>
      <c r="D118" s="2">
        <v>2</v>
      </c>
      <c r="E118" s="2">
        <v>4400000</v>
      </c>
      <c r="F118" s="2">
        <v>0</v>
      </c>
      <c r="G118" s="2">
        <v>0</v>
      </c>
      <c r="H118" s="2">
        <v>1</v>
      </c>
      <c r="I118" s="2">
        <v>2200000</v>
      </c>
      <c r="J118" s="2">
        <v>1</v>
      </c>
      <c r="K118" s="2">
        <v>2200000</v>
      </c>
    </row>
    <row r="119" spans="1:11" x14ac:dyDescent="0.25">
      <c r="A119" s="1">
        <v>118</v>
      </c>
      <c r="B119" s="1" t="s">
        <v>245</v>
      </c>
      <c r="C119" s="1" t="s">
        <v>246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5">
      <c r="A120" s="1">
        <v>119</v>
      </c>
      <c r="B120" s="1" t="s">
        <v>247</v>
      </c>
      <c r="C120" s="1" t="s">
        <v>248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5">
      <c r="A121" s="1">
        <v>120</v>
      </c>
      <c r="B121" s="1" t="s">
        <v>249</v>
      </c>
      <c r="C121" s="1" t="s">
        <v>250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5">
      <c r="A122" s="1">
        <v>121</v>
      </c>
      <c r="B122" s="1" t="s">
        <v>251</v>
      </c>
      <c r="C122" s="1" t="s">
        <v>252</v>
      </c>
      <c r="D122" s="2">
        <v>11</v>
      </c>
      <c r="E122" s="2">
        <v>14879999.869565221</v>
      </c>
      <c r="F122" s="2">
        <v>0</v>
      </c>
      <c r="G122" s="2">
        <v>0</v>
      </c>
      <c r="H122" s="2">
        <v>7</v>
      </c>
      <c r="I122" s="2">
        <v>17680000</v>
      </c>
      <c r="J122" s="2">
        <v>4</v>
      </c>
      <c r="K122" s="2">
        <v>0</v>
      </c>
    </row>
    <row r="123" spans="1:11" x14ac:dyDescent="0.25">
      <c r="A123" s="1">
        <v>122</v>
      </c>
      <c r="B123" s="1" t="s">
        <v>253</v>
      </c>
      <c r="C123" s="1" t="s">
        <v>254</v>
      </c>
      <c r="D123" s="2">
        <v>172</v>
      </c>
      <c r="E123" s="2">
        <v>64388663.616306953</v>
      </c>
      <c r="F123" s="2">
        <v>30</v>
      </c>
      <c r="G123" s="2">
        <v>13200000</v>
      </c>
      <c r="H123" s="2">
        <v>0</v>
      </c>
      <c r="I123" s="2">
        <v>0</v>
      </c>
      <c r="J123" s="2">
        <v>202</v>
      </c>
      <c r="K123" s="2">
        <v>77588663.616306961</v>
      </c>
    </row>
    <row r="124" spans="1:11" x14ac:dyDescent="0.25">
      <c r="A124" s="1">
        <v>123</v>
      </c>
      <c r="B124" s="1" t="s">
        <v>255</v>
      </c>
      <c r="C124" s="1" t="s">
        <v>256</v>
      </c>
      <c r="D124" s="2">
        <v>11</v>
      </c>
      <c r="E124" s="2">
        <v>6030694.847222222</v>
      </c>
      <c r="F124" s="2">
        <v>5</v>
      </c>
      <c r="G124" s="2">
        <v>2950000</v>
      </c>
      <c r="H124" s="2">
        <v>0</v>
      </c>
      <c r="I124" s="2">
        <v>0</v>
      </c>
      <c r="J124" s="2">
        <v>16</v>
      </c>
      <c r="K124" s="2">
        <v>8980694.847222222</v>
      </c>
    </row>
    <row r="125" spans="1:11" x14ac:dyDescent="0.25">
      <c r="A125" s="1">
        <v>124</v>
      </c>
      <c r="B125" s="1" t="s">
        <v>257</v>
      </c>
      <c r="C125" s="1" t="s">
        <v>258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1">
        <v>125</v>
      </c>
      <c r="B126" s="1" t="s">
        <v>259</v>
      </c>
      <c r="C126" s="1" t="s">
        <v>260</v>
      </c>
      <c r="D126" s="2">
        <v>293</v>
      </c>
      <c r="E126" s="2">
        <v>233421272.2321918</v>
      </c>
      <c r="F126" s="2">
        <v>0</v>
      </c>
      <c r="G126" s="2">
        <v>0</v>
      </c>
      <c r="H126" s="2">
        <v>62</v>
      </c>
      <c r="I126" s="2">
        <v>104609000</v>
      </c>
      <c r="J126" s="2">
        <v>231</v>
      </c>
      <c r="K126" s="2">
        <v>128812272.2321918</v>
      </c>
    </row>
    <row r="127" spans="1:11" x14ac:dyDescent="0.25">
      <c r="A127" s="1">
        <v>126</v>
      </c>
      <c r="B127" s="1" t="s">
        <v>261</v>
      </c>
      <c r="C127" s="1" t="s">
        <v>262</v>
      </c>
      <c r="D127" s="2">
        <v>4</v>
      </c>
      <c r="E127" s="2">
        <v>3389147.1428571432</v>
      </c>
      <c r="F127" s="2">
        <v>0</v>
      </c>
      <c r="G127" s="2">
        <v>0</v>
      </c>
      <c r="H127" s="2">
        <v>1</v>
      </c>
      <c r="I127" s="2">
        <v>1500000</v>
      </c>
      <c r="J127" s="2">
        <v>3</v>
      </c>
      <c r="K127" s="2">
        <v>1889147.142857143</v>
      </c>
    </row>
    <row r="128" spans="1:11" x14ac:dyDescent="0.25">
      <c r="A128" s="1">
        <v>127</v>
      </c>
      <c r="B128" s="1" t="s">
        <v>263</v>
      </c>
      <c r="C128" s="1" t="s">
        <v>264</v>
      </c>
      <c r="D128" s="2">
        <v>3</v>
      </c>
      <c r="E128" s="2">
        <v>4198242.4090909092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4198242.4090909092</v>
      </c>
    </row>
    <row r="129" spans="1:11" x14ac:dyDescent="0.25">
      <c r="A129" s="1">
        <v>128</v>
      </c>
      <c r="B129" s="1" t="s">
        <v>265</v>
      </c>
      <c r="C129" s="1" t="s">
        <v>266</v>
      </c>
      <c r="D129" s="2">
        <v>8</v>
      </c>
      <c r="E129" s="2">
        <v>25156286.75</v>
      </c>
      <c r="F129" s="2">
        <v>0</v>
      </c>
      <c r="G129" s="2">
        <v>0</v>
      </c>
      <c r="H129" s="2">
        <v>2</v>
      </c>
      <c r="I129" s="2">
        <v>6500000</v>
      </c>
      <c r="J129" s="2">
        <v>6</v>
      </c>
      <c r="K129" s="2">
        <v>18656286.75</v>
      </c>
    </row>
    <row r="130" spans="1:11" x14ac:dyDescent="0.25">
      <c r="A130" s="1">
        <v>129</v>
      </c>
      <c r="B130" s="1" t="s">
        <v>267</v>
      </c>
      <c r="C130" s="1" t="s">
        <v>268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5">
      <c r="A131" s="1">
        <v>130</v>
      </c>
      <c r="B131" s="1" t="s">
        <v>269</v>
      </c>
      <c r="C131" s="1" t="s">
        <v>270</v>
      </c>
      <c r="D131" s="2">
        <v>890</v>
      </c>
      <c r="E131" s="2">
        <v>234573417.5194805</v>
      </c>
      <c r="F131" s="2">
        <v>0</v>
      </c>
      <c r="G131" s="2">
        <v>0</v>
      </c>
      <c r="H131" s="2">
        <v>350</v>
      </c>
      <c r="I131" s="2">
        <v>93000000</v>
      </c>
      <c r="J131" s="2">
        <v>540</v>
      </c>
      <c r="K131" s="2">
        <v>141573417.5194805</v>
      </c>
    </row>
    <row r="132" spans="1:11" x14ac:dyDescent="0.25">
      <c r="A132" s="1">
        <v>131</v>
      </c>
      <c r="B132" s="1" t="s">
        <v>271</v>
      </c>
      <c r="C132" s="1" t="s">
        <v>272</v>
      </c>
      <c r="D132" s="2">
        <v>116</v>
      </c>
      <c r="E132" s="2">
        <v>19745531.7489301</v>
      </c>
      <c r="F132" s="2">
        <v>1</v>
      </c>
      <c r="G132" s="2">
        <v>90909</v>
      </c>
      <c r="H132" s="2">
        <v>0</v>
      </c>
      <c r="I132" s="2">
        <v>0</v>
      </c>
      <c r="J132" s="2">
        <v>117</v>
      </c>
      <c r="K132" s="2">
        <v>19836440.7489301</v>
      </c>
    </row>
    <row r="133" spans="1:11" x14ac:dyDescent="0.25">
      <c r="A133" s="1">
        <v>132</v>
      </c>
      <c r="B133" s="1" t="s">
        <v>273</v>
      </c>
      <c r="C133" s="1" t="s">
        <v>274</v>
      </c>
      <c r="D133" s="2">
        <v>203</v>
      </c>
      <c r="E133" s="2">
        <v>46241481.769411772</v>
      </c>
      <c r="F133" s="2">
        <v>1</v>
      </c>
      <c r="G133" s="2">
        <v>290909</v>
      </c>
      <c r="H133" s="2">
        <v>3</v>
      </c>
      <c r="I133" s="2">
        <v>5100000</v>
      </c>
      <c r="J133" s="2">
        <v>201</v>
      </c>
      <c r="K133" s="2">
        <v>41432390.769411772</v>
      </c>
    </row>
    <row r="134" spans="1:11" x14ac:dyDescent="0.25">
      <c r="A134" s="1">
        <v>133</v>
      </c>
      <c r="B134" s="1" t="s">
        <v>275</v>
      </c>
      <c r="C134" s="1" t="s">
        <v>276</v>
      </c>
      <c r="D134" s="2">
        <v>69</v>
      </c>
      <c r="E134" s="2">
        <v>27696151.08433735</v>
      </c>
      <c r="F134" s="2">
        <v>0</v>
      </c>
      <c r="G134" s="2">
        <v>0</v>
      </c>
      <c r="H134" s="2">
        <v>1</v>
      </c>
      <c r="I134" s="2">
        <v>700000</v>
      </c>
      <c r="J134" s="2">
        <v>68</v>
      </c>
      <c r="K134" s="2">
        <v>26996151.08433735</v>
      </c>
    </row>
    <row r="135" spans="1:11" x14ac:dyDescent="0.25">
      <c r="A135" s="1">
        <v>134</v>
      </c>
      <c r="B135" s="1" t="s">
        <v>277</v>
      </c>
      <c r="C135" s="1" t="s">
        <v>278</v>
      </c>
      <c r="D135" s="2">
        <v>2</v>
      </c>
      <c r="E135" s="2">
        <v>358922.57142857142</v>
      </c>
      <c r="F135" s="2">
        <v>0</v>
      </c>
      <c r="G135" s="2">
        <v>0</v>
      </c>
      <c r="H135" s="2">
        <v>0</v>
      </c>
      <c r="I135" s="2">
        <v>0</v>
      </c>
      <c r="J135" s="2">
        <v>2</v>
      </c>
      <c r="K135" s="2">
        <v>358922.57142857142</v>
      </c>
    </row>
    <row r="136" spans="1:11" x14ac:dyDescent="0.25">
      <c r="A136" s="1">
        <v>135</v>
      </c>
      <c r="B136" s="1" t="s">
        <v>279</v>
      </c>
      <c r="C136" s="1" t="s">
        <v>280</v>
      </c>
      <c r="D136" s="2">
        <v>11</v>
      </c>
      <c r="E136" s="2">
        <v>1573083.368421053</v>
      </c>
      <c r="F136" s="2">
        <v>0</v>
      </c>
      <c r="G136" s="2">
        <v>0</v>
      </c>
      <c r="H136" s="2">
        <v>0</v>
      </c>
      <c r="I136" s="2">
        <v>0</v>
      </c>
      <c r="J136" s="2">
        <v>11</v>
      </c>
      <c r="K136" s="2">
        <v>1573083.368421053</v>
      </c>
    </row>
    <row r="137" spans="1:11" x14ac:dyDescent="0.25">
      <c r="A137" s="1">
        <v>136</v>
      </c>
      <c r="B137" s="1" t="s">
        <v>281</v>
      </c>
      <c r="C137" s="1" t="s">
        <v>282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 s="1">
        <v>137</v>
      </c>
      <c r="B138" s="1" t="s">
        <v>283</v>
      </c>
      <c r="C138" s="1" t="s">
        <v>284</v>
      </c>
      <c r="D138" s="2">
        <v>23</v>
      </c>
      <c r="E138" s="2">
        <v>31253386.860465121</v>
      </c>
      <c r="F138" s="2">
        <v>0</v>
      </c>
      <c r="G138" s="2">
        <v>0</v>
      </c>
      <c r="H138" s="2">
        <v>0</v>
      </c>
      <c r="I138" s="2">
        <v>0</v>
      </c>
      <c r="J138" s="2">
        <v>23</v>
      </c>
      <c r="K138" s="2">
        <v>31253386.860465121</v>
      </c>
    </row>
    <row r="139" spans="1:11" x14ac:dyDescent="0.25">
      <c r="A139" s="1">
        <v>138</v>
      </c>
      <c r="B139" s="1" t="s">
        <v>285</v>
      </c>
      <c r="C139" s="1" t="s">
        <v>286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 s="1">
        <v>139</v>
      </c>
      <c r="B140" s="1" t="s">
        <v>287</v>
      </c>
      <c r="C140" s="1" t="s">
        <v>288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 s="1">
        <v>140</v>
      </c>
      <c r="B141" s="1" t="s">
        <v>289</v>
      </c>
      <c r="C141" s="1" t="s">
        <v>290</v>
      </c>
      <c r="D141" s="2">
        <v>4</v>
      </c>
      <c r="E141" s="2">
        <v>20379354.838709679</v>
      </c>
      <c r="F141" s="2">
        <v>0</v>
      </c>
      <c r="G141" s="2">
        <v>0</v>
      </c>
      <c r="H141" s="2">
        <v>0</v>
      </c>
      <c r="I141" s="2">
        <v>0</v>
      </c>
      <c r="J141" s="2">
        <v>4</v>
      </c>
      <c r="K141" s="2">
        <v>20379354.838709679</v>
      </c>
    </row>
    <row r="142" spans="1:11" x14ac:dyDescent="0.25">
      <c r="A142" s="1">
        <v>141</v>
      </c>
      <c r="B142" s="1" t="s">
        <v>291</v>
      </c>
      <c r="C142" s="1" t="s">
        <v>292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5">
      <c r="A143" s="1">
        <v>142</v>
      </c>
      <c r="B143" s="1" t="s">
        <v>293</v>
      </c>
      <c r="C143" s="1" t="s">
        <v>294</v>
      </c>
      <c r="D143" s="2">
        <v>169</v>
      </c>
      <c r="E143" s="2">
        <v>70006168.115942031</v>
      </c>
      <c r="F143" s="2">
        <v>0</v>
      </c>
      <c r="G143" s="2">
        <v>0</v>
      </c>
      <c r="H143" s="2">
        <v>1</v>
      </c>
      <c r="I143" s="2">
        <v>650000</v>
      </c>
      <c r="J143" s="2">
        <v>168</v>
      </c>
      <c r="K143" s="2">
        <v>69356168.115942031</v>
      </c>
    </row>
    <row r="144" spans="1:11" x14ac:dyDescent="0.25">
      <c r="A144" s="1">
        <v>143</v>
      </c>
      <c r="B144" s="1" t="s">
        <v>295</v>
      </c>
      <c r="C144" s="1" t="s">
        <v>296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5">
      <c r="A145" s="1">
        <v>144</v>
      </c>
      <c r="B145" s="1" t="s">
        <v>297</v>
      </c>
      <c r="C145" s="1" t="s">
        <v>298</v>
      </c>
      <c r="D145" s="2">
        <v>10</v>
      </c>
      <c r="E145" s="2">
        <v>445955.15151515149</v>
      </c>
      <c r="F145" s="2">
        <v>0</v>
      </c>
      <c r="G145" s="2">
        <v>0</v>
      </c>
      <c r="H145" s="2">
        <v>0</v>
      </c>
      <c r="I145" s="2">
        <v>0</v>
      </c>
      <c r="J145" s="2">
        <v>10</v>
      </c>
      <c r="K145" s="2">
        <v>445955.15151515149</v>
      </c>
    </row>
    <row r="146" spans="1:11" x14ac:dyDescent="0.25">
      <c r="A146" s="1">
        <v>145</v>
      </c>
      <c r="B146" s="1" t="s">
        <v>299</v>
      </c>
      <c r="C146" s="1" t="s">
        <v>300</v>
      </c>
      <c r="D146" s="2">
        <v>50</v>
      </c>
      <c r="E146" s="2">
        <v>100000000</v>
      </c>
      <c r="F146" s="2">
        <v>250.89</v>
      </c>
      <c r="G146" s="2">
        <v>56241224</v>
      </c>
      <c r="H146" s="2">
        <v>59</v>
      </c>
      <c r="I146" s="2">
        <v>100381483</v>
      </c>
      <c r="J146" s="2">
        <v>241.89</v>
      </c>
      <c r="K146" s="2">
        <v>55859741</v>
      </c>
    </row>
    <row r="147" spans="1:11" x14ac:dyDescent="0.25">
      <c r="A147" s="1" t="s">
        <v>301</v>
      </c>
      <c r="D147" s="2">
        <v>17370</v>
      </c>
      <c r="E147" s="2">
        <v>20528682383</v>
      </c>
      <c r="F147" s="2">
        <v>912.89</v>
      </c>
      <c r="G147" s="2">
        <v>1154981164</v>
      </c>
      <c r="H147" s="2">
        <v>822</v>
      </c>
      <c r="I147" s="2">
        <v>890556850</v>
      </c>
      <c r="J147" s="2">
        <v>17460.89</v>
      </c>
      <c r="K147" s="2">
        <v>20795906697.13044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14</v>
      </c>
      <c r="E2">
        <v>146799020.77272731</v>
      </c>
      <c r="F2">
        <v>0</v>
      </c>
      <c r="G2">
        <v>0</v>
      </c>
      <c r="H2">
        <v>0</v>
      </c>
      <c r="I2">
        <v>0</v>
      </c>
      <c r="J2">
        <v>14</v>
      </c>
      <c r="K2">
        <v>146799020.77272731</v>
      </c>
    </row>
    <row r="3" spans="1:11" x14ac:dyDescent="0.25">
      <c r="A3">
        <v>2</v>
      </c>
      <c r="B3" t="s">
        <v>13</v>
      </c>
      <c r="C3" t="s">
        <v>14</v>
      </c>
      <c r="D3">
        <v>21</v>
      </c>
      <c r="E3">
        <v>233845436</v>
      </c>
      <c r="F3">
        <v>2</v>
      </c>
      <c r="G3">
        <v>1278416</v>
      </c>
      <c r="H3">
        <v>1</v>
      </c>
      <c r="I3">
        <v>10445455</v>
      </c>
      <c r="J3">
        <v>22</v>
      </c>
      <c r="K3">
        <v>224678397</v>
      </c>
    </row>
    <row r="4" spans="1:11" x14ac:dyDescent="0.25">
      <c r="A4">
        <v>3</v>
      </c>
      <c r="B4" t="s">
        <v>15</v>
      </c>
      <c r="C4" t="s">
        <v>16</v>
      </c>
      <c r="D4">
        <v>159</v>
      </c>
      <c r="E4">
        <v>2065579237.201292</v>
      </c>
      <c r="F4">
        <v>0</v>
      </c>
      <c r="G4">
        <v>0</v>
      </c>
      <c r="H4">
        <v>0</v>
      </c>
      <c r="I4">
        <v>0</v>
      </c>
      <c r="J4">
        <v>159</v>
      </c>
      <c r="K4">
        <v>2065579237.201292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18</v>
      </c>
      <c r="E6">
        <v>198829984.1785714</v>
      </c>
      <c r="F6">
        <v>0</v>
      </c>
      <c r="G6">
        <v>0</v>
      </c>
      <c r="H6">
        <v>0</v>
      </c>
      <c r="I6">
        <v>0</v>
      </c>
      <c r="J6">
        <v>18</v>
      </c>
      <c r="K6">
        <v>198829984.1785714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9</v>
      </c>
      <c r="E8">
        <v>102473554.09090909</v>
      </c>
      <c r="F8">
        <v>0</v>
      </c>
      <c r="G8">
        <v>0</v>
      </c>
      <c r="H8">
        <v>0</v>
      </c>
      <c r="I8">
        <v>0</v>
      </c>
      <c r="J8">
        <v>9</v>
      </c>
      <c r="K8">
        <v>102473554.09090909</v>
      </c>
    </row>
    <row r="9" spans="1:11" x14ac:dyDescent="0.25">
      <c r="A9">
        <v>8</v>
      </c>
      <c r="B9" t="s">
        <v>25</v>
      </c>
      <c r="C9" t="s">
        <v>26</v>
      </c>
      <c r="D9">
        <v>6</v>
      </c>
      <c r="E9">
        <v>18159000.449999999</v>
      </c>
      <c r="F9">
        <v>1</v>
      </c>
      <c r="G9">
        <v>2909091</v>
      </c>
      <c r="H9">
        <v>0</v>
      </c>
      <c r="I9">
        <v>0</v>
      </c>
      <c r="J9">
        <v>7</v>
      </c>
      <c r="K9">
        <v>21068091.449999999</v>
      </c>
    </row>
    <row r="10" spans="1:11" x14ac:dyDescent="0.25">
      <c r="A10">
        <v>9</v>
      </c>
      <c r="B10" t="s">
        <v>27</v>
      </c>
      <c r="C10" t="s">
        <v>28</v>
      </c>
      <c r="D10">
        <v>170</v>
      </c>
      <c r="E10">
        <v>771147313.5951941</v>
      </c>
      <c r="F10">
        <v>0</v>
      </c>
      <c r="G10">
        <v>0</v>
      </c>
      <c r="H10">
        <v>0</v>
      </c>
      <c r="I10">
        <v>0</v>
      </c>
      <c r="J10">
        <v>170</v>
      </c>
      <c r="K10">
        <v>771147313.5951941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0</v>
      </c>
      <c r="G11">
        <v>0</v>
      </c>
      <c r="H11">
        <v>0</v>
      </c>
      <c r="I11">
        <v>0</v>
      </c>
      <c r="J11">
        <v>7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219</v>
      </c>
      <c r="E12">
        <v>2743591045.2191219</v>
      </c>
      <c r="F12">
        <v>0</v>
      </c>
      <c r="G12">
        <v>0</v>
      </c>
      <c r="H12">
        <v>4</v>
      </c>
      <c r="I12">
        <v>51954545</v>
      </c>
      <c r="J12">
        <v>215</v>
      </c>
      <c r="K12">
        <v>2691636500.2191219</v>
      </c>
    </row>
    <row r="13" spans="1:11" x14ac:dyDescent="0.25">
      <c r="A13">
        <v>12</v>
      </c>
      <c r="B13" t="s">
        <v>33</v>
      </c>
      <c r="C13" t="s">
        <v>34</v>
      </c>
      <c r="D13">
        <v>18</v>
      </c>
      <c r="E13">
        <v>299544230.76923078</v>
      </c>
      <c r="F13">
        <v>4</v>
      </c>
      <c r="G13">
        <v>44545455</v>
      </c>
      <c r="H13">
        <v>0</v>
      </c>
      <c r="I13">
        <v>0</v>
      </c>
      <c r="J13">
        <v>22</v>
      </c>
      <c r="K13">
        <v>344089685.76923078</v>
      </c>
    </row>
    <row r="14" spans="1:11" x14ac:dyDescent="0.25">
      <c r="A14">
        <v>13</v>
      </c>
      <c r="B14" t="s">
        <v>35</v>
      </c>
      <c r="C14" t="s">
        <v>36</v>
      </c>
      <c r="D14">
        <v>11</v>
      </c>
      <c r="E14">
        <v>181784405.28947371</v>
      </c>
      <c r="F14">
        <v>9</v>
      </c>
      <c r="G14">
        <v>157072727</v>
      </c>
      <c r="H14">
        <v>1</v>
      </c>
      <c r="I14">
        <v>17700000</v>
      </c>
      <c r="J14">
        <v>19</v>
      </c>
      <c r="K14">
        <v>321157132.28947371</v>
      </c>
    </row>
    <row r="15" spans="1:11" x14ac:dyDescent="0.25">
      <c r="A15">
        <v>14</v>
      </c>
      <c r="B15" t="s">
        <v>37</v>
      </c>
      <c r="C15" t="s">
        <v>38</v>
      </c>
      <c r="D15">
        <v>35</v>
      </c>
      <c r="E15">
        <v>392249586.93430662</v>
      </c>
      <c r="F15">
        <v>1</v>
      </c>
      <c r="G15">
        <v>22216364</v>
      </c>
      <c r="H15">
        <v>1</v>
      </c>
      <c r="I15">
        <v>23809091</v>
      </c>
      <c r="J15">
        <v>35</v>
      </c>
      <c r="K15">
        <v>390656859.93430662</v>
      </c>
    </row>
    <row r="16" spans="1:11" x14ac:dyDescent="0.25">
      <c r="A16">
        <v>15</v>
      </c>
      <c r="B16" t="s">
        <v>39</v>
      </c>
      <c r="C16" t="s">
        <v>40</v>
      </c>
      <c r="D16">
        <v>12</v>
      </c>
      <c r="E16">
        <v>168825899.10447761</v>
      </c>
      <c r="F16">
        <v>0</v>
      </c>
      <c r="G16">
        <v>0</v>
      </c>
      <c r="H16">
        <v>0</v>
      </c>
      <c r="I16">
        <v>0</v>
      </c>
      <c r="J16">
        <v>12</v>
      </c>
      <c r="K16">
        <v>168825899.10447761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256</v>
      </c>
      <c r="E24">
        <v>2180785644.5497241</v>
      </c>
      <c r="F24">
        <v>0</v>
      </c>
      <c r="G24">
        <v>0</v>
      </c>
      <c r="H24">
        <v>3</v>
      </c>
      <c r="I24">
        <v>26518181</v>
      </c>
      <c r="J24">
        <v>253</v>
      </c>
      <c r="K24">
        <v>2154267463.5497241</v>
      </c>
    </row>
    <row r="25" spans="1:11" x14ac:dyDescent="0.25">
      <c r="A25">
        <v>24</v>
      </c>
      <c r="B25" t="s">
        <v>57</v>
      </c>
      <c r="C25" t="s">
        <v>58</v>
      </c>
      <c r="D25">
        <v>349</v>
      </c>
      <c r="E25">
        <v>2685570710.361217</v>
      </c>
      <c r="F25">
        <v>46</v>
      </c>
      <c r="G25">
        <v>351890909</v>
      </c>
      <c r="H25">
        <v>63</v>
      </c>
      <c r="I25">
        <v>466145454</v>
      </c>
      <c r="J25">
        <v>332</v>
      </c>
      <c r="K25">
        <v>2571316165.361217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99179231.307692319</v>
      </c>
      <c r="F30">
        <v>1</v>
      </c>
      <c r="G30">
        <v>17000000</v>
      </c>
      <c r="H30">
        <v>1</v>
      </c>
      <c r="I30">
        <v>18145455</v>
      </c>
      <c r="J30">
        <v>7</v>
      </c>
      <c r="K30">
        <v>98033776.307692319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25381986.5</v>
      </c>
      <c r="F33">
        <v>0</v>
      </c>
      <c r="G33">
        <v>0</v>
      </c>
      <c r="H33">
        <v>0</v>
      </c>
      <c r="I33">
        <v>0</v>
      </c>
      <c r="J33">
        <v>5</v>
      </c>
      <c r="K33">
        <v>25381986.5</v>
      </c>
    </row>
    <row r="34" spans="1:11" x14ac:dyDescent="0.25">
      <c r="A34">
        <v>33</v>
      </c>
      <c r="B34" t="s">
        <v>75</v>
      </c>
      <c r="C34" t="s">
        <v>76</v>
      </c>
      <c r="D34">
        <v>43</v>
      </c>
      <c r="E34">
        <v>119495262.18326689</v>
      </c>
      <c r="F34">
        <v>5</v>
      </c>
      <c r="G34">
        <v>27954545</v>
      </c>
      <c r="H34">
        <v>3</v>
      </c>
      <c r="I34">
        <v>8454545</v>
      </c>
      <c r="J34">
        <v>45</v>
      </c>
      <c r="K34">
        <v>138995262.18326691</v>
      </c>
    </row>
    <row r="35" spans="1:11" x14ac:dyDescent="0.25">
      <c r="A35">
        <v>34</v>
      </c>
      <c r="B35" t="s">
        <v>77</v>
      </c>
      <c r="C35" t="s">
        <v>78</v>
      </c>
      <c r="D35">
        <v>433</v>
      </c>
      <c r="E35">
        <v>926415081.55380154</v>
      </c>
      <c r="F35">
        <v>1</v>
      </c>
      <c r="G35">
        <v>6409091</v>
      </c>
      <c r="H35">
        <v>9</v>
      </c>
      <c r="I35">
        <v>25609092</v>
      </c>
      <c r="J35">
        <v>425</v>
      </c>
      <c r="K35">
        <v>907215080.55380154</v>
      </c>
    </row>
    <row r="36" spans="1:11" x14ac:dyDescent="0.25">
      <c r="A36">
        <v>35</v>
      </c>
      <c r="B36" t="s">
        <v>79</v>
      </c>
      <c r="C36" t="s">
        <v>80</v>
      </c>
      <c r="D36">
        <v>16</v>
      </c>
      <c r="E36">
        <v>57095345.021276593</v>
      </c>
      <c r="F36">
        <v>0</v>
      </c>
      <c r="G36">
        <v>0</v>
      </c>
      <c r="H36">
        <v>0</v>
      </c>
      <c r="I36">
        <v>0</v>
      </c>
      <c r="J36">
        <v>16</v>
      </c>
      <c r="K36">
        <v>57095345.021276593</v>
      </c>
    </row>
    <row r="37" spans="1:11" x14ac:dyDescent="0.25">
      <c r="A37">
        <v>36</v>
      </c>
      <c r="B37" t="s">
        <v>81</v>
      </c>
      <c r="C37" t="s">
        <v>82</v>
      </c>
      <c r="D37">
        <v>44</v>
      </c>
      <c r="E37">
        <v>117092195.1964286</v>
      </c>
      <c r="F37">
        <v>0</v>
      </c>
      <c r="G37">
        <v>0</v>
      </c>
      <c r="H37">
        <v>2</v>
      </c>
      <c r="I37">
        <v>9590909</v>
      </c>
      <c r="J37">
        <v>42</v>
      </c>
      <c r="K37">
        <v>107501286.1964286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68</v>
      </c>
      <c r="E39">
        <v>165102239.38106239</v>
      </c>
      <c r="F39">
        <v>60</v>
      </c>
      <c r="G39">
        <v>158136363</v>
      </c>
      <c r="H39">
        <v>3</v>
      </c>
      <c r="I39">
        <v>9227273</v>
      </c>
      <c r="J39">
        <v>125</v>
      </c>
      <c r="K39">
        <v>314011329.38106239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846</v>
      </c>
      <c r="E42">
        <v>782326608.34484041</v>
      </c>
      <c r="F42">
        <v>8</v>
      </c>
      <c r="G42">
        <v>37263637</v>
      </c>
      <c r="H42">
        <v>14</v>
      </c>
      <c r="I42">
        <v>52509091</v>
      </c>
      <c r="J42">
        <v>840</v>
      </c>
      <c r="K42">
        <v>767081154.34484041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423</v>
      </c>
      <c r="E44">
        <v>1133859716.9747441</v>
      </c>
      <c r="F44">
        <v>71</v>
      </c>
      <c r="G44">
        <v>204892654</v>
      </c>
      <c r="H44">
        <v>50</v>
      </c>
      <c r="I44">
        <v>122768179</v>
      </c>
      <c r="J44">
        <v>444</v>
      </c>
      <c r="K44">
        <v>1215984191.9747441</v>
      </c>
    </row>
    <row r="45" spans="1:11" x14ac:dyDescent="0.25">
      <c r="A45">
        <v>44</v>
      </c>
      <c r="B45" t="s">
        <v>97</v>
      </c>
      <c r="C45" t="s">
        <v>98</v>
      </c>
      <c r="D45">
        <v>72</v>
      </c>
      <c r="E45">
        <v>311182798.97297299</v>
      </c>
      <c r="F45">
        <v>6</v>
      </c>
      <c r="G45">
        <v>29738182</v>
      </c>
      <c r="H45">
        <v>2</v>
      </c>
      <c r="I45">
        <v>10145454</v>
      </c>
      <c r="J45">
        <v>76</v>
      </c>
      <c r="K45">
        <v>330775526.97297299</v>
      </c>
    </row>
    <row r="46" spans="1:11" x14ac:dyDescent="0.25">
      <c r="A46">
        <v>45</v>
      </c>
      <c r="B46" t="s">
        <v>99</v>
      </c>
      <c r="C46" t="s">
        <v>100</v>
      </c>
      <c r="D46">
        <v>90</v>
      </c>
      <c r="E46">
        <v>104000480.9925714</v>
      </c>
      <c r="F46">
        <v>23</v>
      </c>
      <c r="G46">
        <v>29236365</v>
      </c>
      <c r="H46">
        <v>1</v>
      </c>
      <c r="I46">
        <v>18000000</v>
      </c>
      <c r="J46">
        <v>112</v>
      </c>
      <c r="K46">
        <v>115236845.9925714</v>
      </c>
    </row>
    <row r="47" spans="1:11" x14ac:dyDescent="0.25">
      <c r="A47">
        <v>46</v>
      </c>
      <c r="B47" t="s">
        <v>101</v>
      </c>
      <c r="C47" t="s">
        <v>102</v>
      </c>
      <c r="D47">
        <v>44</v>
      </c>
      <c r="E47">
        <v>122127029.74567381</v>
      </c>
      <c r="F47">
        <v>0</v>
      </c>
      <c r="G47">
        <v>0</v>
      </c>
      <c r="H47">
        <v>0</v>
      </c>
      <c r="I47">
        <v>0</v>
      </c>
      <c r="J47">
        <v>44</v>
      </c>
      <c r="K47">
        <v>122127029.74567381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44</v>
      </c>
      <c r="E49">
        <v>302487704.15224141</v>
      </c>
      <c r="F49">
        <v>1</v>
      </c>
      <c r="G49">
        <v>8818182</v>
      </c>
      <c r="H49">
        <v>3</v>
      </c>
      <c r="I49">
        <v>20809091</v>
      </c>
      <c r="J49">
        <v>42</v>
      </c>
      <c r="K49">
        <v>290496795.15224141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3</v>
      </c>
      <c r="E51">
        <v>3435136.2</v>
      </c>
      <c r="F51">
        <v>2</v>
      </c>
      <c r="G51">
        <v>2200000</v>
      </c>
      <c r="H51">
        <v>0</v>
      </c>
      <c r="I51">
        <v>0</v>
      </c>
      <c r="J51">
        <v>5</v>
      </c>
      <c r="K51">
        <v>5635136.1999999993</v>
      </c>
    </row>
    <row r="52" spans="1:11" x14ac:dyDescent="0.25">
      <c r="A52">
        <v>51</v>
      </c>
      <c r="B52" t="s">
        <v>111</v>
      </c>
      <c r="C52" t="s">
        <v>112</v>
      </c>
      <c r="D52">
        <v>49</v>
      </c>
      <c r="E52">
        <v>85105063.266938776</v>
      </c>
      <c r="F52">
        <v>8</v>
      </c>
      <c r="G52">
        <v>18836364</v>
      </c>
      <c r="H52">
        <v>1</v>
      </c>
      <c r="I52">
        <v>2263636</v>
      </c>
      <c r="J52">
        <v>56</v>
      </c>
      <c r="K52">
        <v>101677791.26693881</v>
      </c>
    </row>
    <row r="53" spans="1:11" x14ac:dyDescent="0.25">
      <c r="A53">
        <v>52</v>
      </c>
      <c r="B53" t="s">
        <v>113</v>
      </c>
      <c r="C53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70</v>
      </c>
      <c r="E55">
        <v>240300935.17270201</v>
      </c>
      <c r="F55">
        <v>4</v>
      </c>
      <c r="G55">
        <v>1030000</v>
      </c>
      <c r="H55">
        <v>3</v>
      </c>
      <c r="I55">
        <v>927273</v>
      </c>
      <c r="J55">
        <v>71</v>
      </c>
      <c r="K55">
        <v>240403662.17270201</v>
      </c>
    </row>
    <row r="56" spans="1:11" x14ac:dyDescent="0.25">
      <c r="A56">
        <v>55</v>
      </c>
      <c r="B56" t="s">
        <v>119</v>
      </c>
      <c r="C56" t="s">
        <v>120</v>
      </c>
      <c r="D56">
        <v>19</v>
      </c>
      <c r="E56">
        <v>22660048.491525419</v>
      </c>
      <c r="F56">
        <v>7</v>
      </c>
      <c r="G56">
        <v>4260000</v>
      </c>
      <c r="H56">
        <v>0</v>
      </c>
      <c r="I56">
        <v>0</v>
      </c>
      <c r="J56">
        <v>26</v>
      </c>
      <c r="K56">
        <v>26920048.491525419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17596296.290769231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17596296.290769231</v>
      </c>
    </row>
    <row r="58" spans="1:11" x14ac:dyDescent="0.25">
      <c r="A58">
        <v>57</v>
      </c>
      <c r="B58" t="s">
        <v>123</v>
      </c>
      <c r="C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58</v>
      </c>
      <c r="B59" t="s">
        <v>125</v>
      </c>
      <c r="C59" t="s">
        <v>126</v>
      </c>
      <c r="D59">
        <v>2669</v>
      </c>
      <c r="E59">
        <v>369168474.38559759</v>
      </c>
      <c r="F59">
        <v>166</v>
      </c>
      <c r="G59">
        <v>63889889</v>
      </c>
      <c r="H59">
        <v>120</v>
      </c>
      <c r="I59">
        <v>32800001</v>
      </c>
      <c r="J59">
        <v>2715</v>
      </c>
      <c r="K59">
        <v>400258362.38559759</v>
      </c>
    </row>
    <row r="60" spans="1:11" x14ac:dyDescent="0.25">
      <c r="A60">
        <v>59</v>
      </c>
      <c r="B60" t="s">
        <v>127</v>
      </c>
      <c r="C60" t="s">
        <v>128</v>
      </c>
      <c r="D60">
        <v>92</v>
      </c>
      <c r="E60">
        <v>7335728.6822262118</v>
      </c>
      <c r="F60">
        <v>2</v>
      </c>
      <c r="G60">
        <v>520000</v>
      </c>
      <c r="H60">
        <v>0</v>
      </c>
      <c r="I60">
        <v>0</v>
      </c>
      <c r="J60">
        <v>94</v>
      </c>
      <c r="K60">
        <v>7855728.6822262118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3955800.75</v>
      </c>
      <c r="F61">
        <v>0</v>
      </c>
      <c r="G61">
        <v>0</v>
      </c>
      <c r="H61">
        <v>0</v>
      </c>
      <c r="I61">
        <v>0</v>
      </c>
      <c r="J61">
        <v>22</v>
      </c>
      <c r="K61">
        <v>3955800.75</v>
      </c>
    </row>
    <row r="62" spans="1:11" x14ac:dyDescent="0.25">
      <c r="A62">
        <v>61</v>
      </c>
      <c r="B62" t="s">
        <v>131</v>
      </c>
      <c r="C62" t="s">
        <v>132</v>
      </c>
      <c r="D62">
        <v>1034</v>
      </c>
      <c r="E62">
        <v>177474659.8789579</v>
      </c>
      <c r="F62">
        <v>83</v>
      </c>
      <c r="G62">
        <v>15768150</v>
      </c>
      <c r="H62">
        <v>5</v>
      </c>
      <c r="I62">
        <v>2536363</v>
      </c>
      <c r="J62">
        <v>1112</v>
      </c>
      <c r="K62">
        <v>190706446.8789579</v>
      </c>
    </row>
    <row r="63" spans="1:11" x14ac:dyDescent="0.25">
      <c r="A63">
        <v>62</v>
      </c>
      <c r="B63" t="s">
        <v>133</v>
      </c>
      <c r="C63" t="s">
        <v>134</v>
      </c>
      <c r="D63">
        <v>226</v>
      </c>
      <c r="E63">
        <v>44365859.711580493</v>
      </c>
      <c r="F63">
        <v>0</v>
      </c>
      <c r="G63">
        <v>0</v>
      </c>
      <c r="H63">
        <v>0</v>
      </c>
      <c r="I63">
        <v>0</v>
      </c>
      <c r="J63">
        <v>226</v>
      </c>
      <c r="K63">
        <v>44365859.711580493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18</v>
      </c>
      <c r="E65">
        <v>16707592.0011236</v>
      </c>
      <c r="F65">
        <v>2</v>
      </c>
      <c r="G65">
        <v>735000</v>
      </c>
      <c r="H65">
        <v>1</v>
      </c>
      <c r="I65">
        <v>809091</v>
      </c>
      <c r="J65">
        <v>19</v>
      </c>
      <c r="K65">
        <v>16633501.0011236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100</v>
      </c>
      <c r="E70">
        <v>39975946.125112101</v>
      </c>
      <c r="F70">
        <v>0</v>
      </c>
      <c r="G70">
        <v>0</v>
      </c>
      <c r="H70">
        <v>0</v>
      </c>
      <c r="I70">
        <v>0</v>
      </c>
      <c r="J70">
        <v>100</v>
      </c>
      <c r="K70">
        <v>39975946.125112101</v>
      </c>
    </row>
    <row r="71" spans="1:11" x14ac:dyDescent="0.25">
      <c r="A71">
        <v>70</v>
      </c>
      <c r="B71" t="s">
        <v>149</v>
      </c>
      <c r="C71" t="s">
        <v>150</v>
      </c>
      <c r="D71">
        <v>7</v>
      </c>
      <c r="E71">
        <v>1388337.16</v>
      </c>
      <c r="F71">
        <v>0</v>
      </c>
      <c r="G71">
        <v>0</v>
      </c>
      <c r="H71">
        <v>0</v>
      </c>
      <c r="I71">
        <v>0</v>
      </c>
      <c r="J71">
        <v>7</v>
      </c>
      <c r="K71">
        <v>1388337.16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52</v>
      </c>
      <c r="E74">
        <v>127516935.07878789</v>
      </c>
      <c r="F74">
        <v>4</v>
      </c>
      <c r="G74">
        <v>10854546</v>
      </c>
      <c r="H74">
        <v>2</v>
      </c>
      <c r="I74">
        <v>15800000</v>
      </c>
      <c r="J74">
        <v>54</v>
      </c>
      <c r="K74">
        <v>122571481.07878789</v>
      </c>
    </row>
    <row r="75" spans="1:11" x14ac:dyDescent="0.25">
      <c r="A75">
        <v>74</v>
      </c>
      <c r="B75" t="s">
        <v>157</v>
      </c>
      <c r="C75" t="s">
        <v>158</v>
      </c>
      <c r="D75">
        <v>41</v>
      </c>
      <c r="E75">
        <v>138196496.7509881</v>
      </c>
      <c r="F75">
        <v>6</v>
      </c>
      <c r="G75">
        <v>18909091</v>
      </c>
      <c r="H75">
        <v>0</v>
      </c>
      <c r="I75">
        <v>0</v>
      </c>
      <c r="J75">
        <v>47</v>
      </c>
      <c r="K75">
        <v>157105587.7509881</v>
      </c>
    </row>
    <row r="76" spans="1:11" x14ac:dyDescent="0.25">
      <c r="A76">
        <v>75</v>
      </c>
      <c r="B76" t="s">
        <v>159</v>
      </c>
      <c r="C76" t="s">
        <v>160</v>
      </c>
      <c r="D76">
        <v>2</v>
      </c>
      <c r="E76">
        <v>12411910.875</v>
      </c>
      <c r="F76">
        <v>1</v>
      </c>
      <c r="G76">
        <v>5227273</v>
      </c>
      <c r="H76">
        <v>0</v>
      </c>
      <c r="I76">
        <v>0</v>
      </c>
      <c r="J76">
        <v>3</v>
      </c>
      <c r="K76">
        <v>17639183.875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96</v>
      </c>
      <c r="E78">
        <v>139867893.59605911</v>
      </c>
      <c r="F78">
        <v>0</v>
      </c>
      <c r="G78">
        <v>0</v>
      </c>
      <c r="H78">
        <v>0</v>
      </c>
      <c r="I78">
        <v>0</v>
      </c>
      <c r="J78">
        <v>96</v>
      </c>
      <c r="K78">
        <v>139867893.59605911</v>
      </c>
    </row>
    <row r="79" spans="1:11" x14ac:dyDescent="0.25">
      <c r="A79">
        <v>78</v>
      </c>
      <c r="B79" t="s">
        <v>165</v>
      </c>
      <c r="C79" t="s">
        <v>166</v>
      </c>
      <c r="D79">
        <v>6</v>
      </c>
      <c r="E79">
        <v>13411842</v>
      </c>
      <c r="F79">
        <v>0</v>
      </c>
      <c r="G79">
        <v>0</v>
      </c>
      <c r="H79">
        <v>0</v>
      </c>
      <c r="I79">
        <v>0</v>
      </c>
      <c r="J79">
        <v>6</v>
      </c>
      <c r="K79">
        <v>13411842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450</v>
      </c>
      <c r="E81">
        <v>154666673.62329009</v>
      </c>
      <c r="F81">
        <v>75</v>
      </c>
      <c r="G81">
        <v>22881808</v>
      </c>
      <c r="H81">
        <v>16</v>
      </c>
      <c r="I81">
        <v>6209090</v>
      </c>
      <c r="J81">
        <v>509</v>
      </c>
      <c r="K81">
        <v>171339391.62329009</v>
      </c>
    </row>
    <row r="82" spans="1:11" x14ac:dyDescent="0.25">
      <c r="A82">
        <v>81</v>
      </c>
      <c r="B82" t="s">
        <v>171</v>
      </c>
      <c r="C82" t="s">
        <v>172</v>
      </c>
      <c r="D82">
        <v>116</v>
      </c>
      <c r="E82">
        <v>70930317.117302045</v>
      </c>
      <c r="F82">
        <v>3</v>
      </c>
      <c r="G82">
        <v>2918181</v>
      </c>
      <c r="H82">
        <v>2</v>
      </c>
      <c r="I82">
        <v>2072728</v>
      </c>
      <c r="J82">
        <v>117</v>
      </c>
      <c r="K82">
        <v>71775770.117302045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21101182.199999999</v>
      </c>
      <c r="F84">
        <v>0</v>
      </c>
      <c r="G84">
        <v>0</v>
      </c>
      <c r="H84">
        <v>0</v>
      </c>
      <c r="I84">
        <v>0</v>
      </c>
      <c r="J84">
        <v>7</v>
      </c>
      <c r="K84">
        <v>21101182.199999999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21168255.483870968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21168255.483870968</v>
      </c>
    </row>
    <row r="86" spans="1:11" x14ac:dyDescent="0.25">
      <c r="A86">
        <v>85</v>
      </c>
      <c r="B86" t="s">
        <v>179</v>
      </c>
      <c r="C86" t="s">
        <v>180</v>
      </c>
      <c r="D86">
        <v>3</v>
      </c>
      <c r="E86">
        <v>7002218.1600000001</v>
      </c>
      <c r="F86">
        <v>5</v>
      </c>
      <c r="G86">
        <v>2681820</v>
      </c>
      <c r="H86">
        <v>0</v>
      </c>
      <c r="I86">
        <v>0</v>
      </c>
      <c r="J86">
        <v>8</v>
      </c>
      <c r="K86">
        <v>9684038.1600000001</v>
      </c>
    </row>
    <row r="87" spans="1:11" x14ac:dyDescent="0.25">
      <c r="A87">
        <v>86</v>
      </c>
      <c r="B87" t="s">
        <v>181</v>
      </c>
      <c r="C87" t="s">
        <v>182</v>
      </c>
      <c r="D87">
        <v>66</v>
      </c>
      <c r="E87">
        <v>90765515.572559372</v>
      </c>
      <c r="F87">
        <v>3</v>
      </c>
      <c r="G87">
        <v>6081818</v>
      </c>
      <c r="H87">
        <v>5</v>
      </c>
      <c r="I87">
        <v>9154546</v>
      </c>
      <c r="J87">
        <v>64</v>
      </c>
      <c r="K87">
        <v>87692787.572559372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3293181.9545454541</v>
      </c>
      <c r="F88">
        <v>0</v>
      </c>
      <c r="G88">
        <v>0</v>
      </c>
      <c r="H88">
        <v>0</v>
      </c>
      <c r="I88">
        <v>0</v>
      </c>
      <c r="J88">
        <v>3</v>
      </c>
      <c r="K88">
        <v>3293181.9545454541</v>
      </c>
    </row>
    <row r="89" spans="1:11" x14ac:dyDescent="0.25">
      <c r="A89">
        <v>88</v>
      </c>
      <c r="B89" t="s">
        <v>185</v>
      </c>
      <c r="C89" t="s">
        <v>186</v>
      </c>
      <c r="D89">
        <v>873</v>
      </c>
      <c r="E89">
        <v>331853124.74628812</v>
      </c>
      <c r="F89">
        <v>108</v>
      </c>
      <c r="G89">
        <v>30645454</v>
      </c>
      <c r="H89">
        <v>22</v>
      </c>
      <c r="I89">
        <v>14009092</v>
      </c>
      <c r="J89">
        <v>959</v>
      </c>
      <c r="K89">
        <v>348489486.74628812</v>
      </c>
    </row>
    <row r="90" spans="1:11" x14ac:dyDescent="0.25">
      <c r="A90">
        <v>89</v>
      </c>
      <c r="B90" t="s">
        <v>187</v>
      </c>
      <c r="C90" t="s">
        <v>188</v>
      </c>
      <c r="D90">
        <v>187</v>
      </c>
      <c r="E90">
        <v>178240028.34957021</v>
      </c>
      <c r="F90">
        <v>0</v>
      </c>
      <c r="G90">
        <v>0</v>
      </c>
      <c r="H90">
        <v>4</v>
      </c>
      <c r="I90">
        <v>2890909</v>
      </c>
      <c r="J90">
        <v>183</v>
      </c>
      <c r="K90">
        <v>175349119.34957021</v>
      </c>
    </row>
    <row r="91" spans="1:11" x14ac:dyDescent="0.25">
      <c r="A91">
        <v>90</v>
      </c>
      <c r="B91" t="s">
        <v>189</v>
      </c>
      <c r="C91" t="s">
        <v>190</v>
      </c>
      <c r="D91">
        <v>41</v>
      </c>
      <c r="E91">
        <v>56980504.992395438</v>
      </c>
      <c r="F91">
        <v>0</v>
      </c>
      <c r="G91">
        <v>0</v>
      </c>
      <c r="H91">
        <v>0</v>
      </c>
      <c r="I91">
        <v>0</v>
      </c>
      <c r="J91">
        <v>41</v>
      </c>
      <c r="K91">
        <v>56980504.992395438</v>
      </c>
    </row>
    <row r="92" spans="1:11" x14ac:dyDescent="0.25">
      <c r="A92">
        <v>91</v>
      </c>
      <c r="B92" t="s">
        <v>191</v>
      </c>
      <c r="C92" t="s">
        <v>192</v>
      </c>
      <c r="D92">
        <v>117</v>
      </c>
      <c r="E92">
        <v>95991418.128078818</v>
      </c>
      <c r="F92">
        <v>3</v>
      </c>
      <c r="G92">
        <v>5727273</v>
      </c>
      <c r="H92">
        <v>6</v>
      </c>
      <c r="I92">
        <v>6872728</v>
      </c>
      <c r="J92">
        <v>114</v>
      </c>
      <c r="K92">
        <v>94845963.128078818</v>
      </c>
    </row>
    <row r="93" spans="1:11" x14ac:dyDescent="0.25">
      <c r="A93">
        <v>92</v>
      </c>
      <c r="B93" t="s">
        <v>193</v>
      </c>
      <c r="C93" t="s">
        <v>194</v>
      </c>
      <c r="D93">
        <v>36</v>
      </c>
      <c r="E93">
        <v>59084966.432558142</v>
      </c>
      <c r="F93">
        <v>2</v>
      </c>
      <c r="G93">
        <v>4954545</v>
      </c>
      <c r="H93">
        <v>4</v>
      </c>
      <c r="I93">
        <v>7336364</v>
      </c>
      <c r="J93">
        <v>34</v>
      </c>
      <c r="K93">
        <v>56703147.432558142</v>
      </c>
    </row>
    <row r="94" spans="1:11" x14ac:dyDescent="0.25">
      <c r="A94">
        <v>93</v>
      </c>
      <c r="B94" t="s">
        <v>195</v>
      </c>
      <c r="C94" t="s">
        <v>196</v>
      </c>
      <c r="D94">
        <v>299</v>
      </c>
      <c r="E94">
        <v>121210681.6155607</v>
      </c>
      <c r="F94">
        <v>0</v>
      </c>
      <c r="G94">
        <v>0</v>
      </c>
      <c r="H94">
        <v>17</v>
      </c>
      <c r="I94">
        <v>6827273</v>
      </c>
      <c r="J94">
        <v>282</v>
      </c>
      <c r="K94">
        <v>114383408.6155607</v>
      </c>
    </row>
    <row r="95" spans="1:11" x14ac:dyDescent="0.25">
      <c r="A95">
        <v>94</v>
      </c>
      <c r="B95" t="s">
        <v>197</v>
      </c>
      <c r="C95" t="s">
        <v>198</v>
      </c>
      <c r="D95">
        <v>35</v>
      </c>
      <c r="E95">
        <v>4450999.8672566377</v>
      </c>
      <c r="F95">
        <v>0</v>
      </c>
      <c r="G95">
        <v>0</v>
      </c>
      <c r="H95">
        <v>0</v>
      </c>
      <c r="I95">
        <v>0</v>
      </c>
      <c r="J95">
        <v>35</v>
      </c>
      <c r="K95">
        <v>4450999.8672566377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652</v>
      </c>
      <c r="E97">
        <v>96055165.436195686</v>
      </c>
      <c r="F97">
        <v>19</v>
      </c>
      <c r="G97">
        <v>14456363</v>
      </c>
      <c r="H97">
        <v>0</v>
      </c>
      <c r="I97">
        <v>0</v>
      </c>
      <c r="J97">
        <v>671</v>
      </c>
      <c r="K97">
        <v>110511528.4361957</v>
      </c>
    </row>
    <row r="98" spans="1:11" x14ac:dyDescent="0.25">
      <c r="A98">
        <v>97</v>
      </c>
      <c r="B98" t="s">
        <v>203</v>
      </c>
      <c r="C98" t="s">
        <v>204</v>
      </c>
      <c r="D98">
        <v>286</v>
      </c>
      <c r="E98">
        <v>58818940.620727673</v>
      </c>
      <c r="F98">
        <v>201</v>
      </c>
      <c r="G98">
        <v>39090909</v>
      </c>
      <c r="H98">
        <v>2</v>
      </c>
      <c r="I98">
        <v>945455</v>
      </c>
      <c r="J98">
        <v>485</v>
      </c>
      <c r="K98">
        <v>96964394.620727673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3674579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3674579</v>
      </c>
    </row>
    <row r="102" spans="1:11" x14ac:dyDescent="0.25">
      <c r="A102">
        <v>101</v>
      </c>
      <c r="B102" t="s">
        <v>211</v>
      </c>
      <c r="C102" t="s">
        <v>212</v>
      </c>
      <c r="D102">
        <v>40</v>
      </c>
      <c r="E102">
        <v>20371565.66929134</v>
      </c>
      <c r="F102">
        <v>41</v>
      </c>
      <c r="G102">
        <v>55909091</v>
      </c>
      <c r="H102">
        <v>0</v>
      </c>
      <c r="I102">
        <v>0</v>
      </c>
      <c r="J102">
        <v>81</v>
      </c>
      <c r="K102">
        <v>76280656.669291347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978</v>
      </c>
      <c r="E104">
        <v>121812281.4637845</v>
      </c>
      <c r="F104">
        <v>289</v>
      </c>
      <c r="G104">
        <v>46116355</v>
      </c>
      <c r="H104">
        <v>12</v>
      </c>
      <c r="I104">
        <v>2845455</v>
      </c>
      <c r="J104">
        <v>1255</v>
      </c>
      <c r="K104">
        <v>165083181.46378449</v>
      </c>
    </row>
    <row r="105" spans="1:11" x14ac:dyDescent="0.25">
      <c r="A105">
        <v>104</v>
      </c>
      <c r="B105" t="s">
        <v>217</v>
      </c>
      <c r="C105" t="s">
        <v>218</v>
      </c>
      <c r="D105">
        <v>89</v>
      </c>
      <c r="E105">
        <v>27637179.992982451</v>
      </c>
      <c r="F105">
        <v>16</v>
      </c>
      <c r="G105">
        <v>7418178</v>
      </c>
      <c r="H105">
        <v>0</v>
      </c>
      <c r="I105">
        <v>0</v>
      </c>
      <c r="J105">
        <v>105</v>
      </c>
      <c r="K105">
        <v>35055357.992982447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1547</v>
      </c>
      <c r="E106">
        <v>173365535.69023031</v>
      </c>
      <c r="F106">
        <v>39</v>
      </c>
      <c r="G106">
        <v>18400000</v>
      </c>
      <c r="H106">
        <v>30</v>
      </c>
      <c r="I106">
        <v>4045454</v>
      </c>
      <c r="J106">
        <v>1556</v>
      </c>
      <c r="K106">
        <v>187720081.69023031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1012</v>
      </c>
      <c r="E107">
        <v>140843868.3291294</v>
      </c>
      <c r="F107">
        <v>54</v>
      </c>
      <c r="G107">
        <v>8590910</v>
      </c>
      <c r="H107">
        <v>28</v>
      </c>
      <c r="I107">
        <v>4018182</v>
      </c>
      <c r="J107">
        <v>1038</v>
      </c>
      <c r="K107">
        <v>145416596.3291294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182</v>
      </c>
      <c r="E109">
        <v>49255599.850046858</v>
      </c>
      <c r="F109">
        <v>16</v>
      </c>
      <c r="G109">
        <v>5829999</v>
      </c>
      <c r="H109">
        <v>1</v>
      </c>
      <c r="I109">
        <v>400000</v>
      </c>
      <c r="J109">
        <v>197</v>
      </c>
      <c r="K109">
        <v>54685598.850046858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166</v>
      </c>
      <c r="E110">
        <v>57601105.166189112</v>
      </c>
      <c r="F110">
        <v>18</v>
      </c>
      <c r="G110">
        <v>7270000</v>
      </c>
      <c r="H110">
        <v>7</v>
      </c>
      <c r="I110">
        <v>1590909</v>
      </c>
      <c r="J110">
        <v>177</v>
      </c>
      <c r="K110">
        <v>63280196.166189112</v>
      </c>
    </row>
    <row r="111" spans="1:11" x14ac:dyDescent="0.25">
      <c r="A111">
        <v>110</v>
      </c>
      <c r="B111" t="s">
        <v>229</v>
      </c>
      <c r="C111" t="s">
        <v>230</v>
      </c>
      <c r="D111">
        <v>34</v>
      </c>
      <c r="E111">
        <v>2573955.8936170209</v>
      </c>
      <c r="F111">
        <v>0</v>
      </c>
      <c r="G111">
        <v>0</v>
      </c>
      <c r="H111">
        <v>0</v>
      </c>
      <c r="I111">
        <v>0</v>
      </c>
      <c r="J111">
        <v>34</v>
      </c>
      <c r="K111">
        <v>2573955.8936170209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66</v>
      </c>
      <c r="E112">
        <v>31853246.2590799</v>
      </c>
      <c r="F112">
        <v>15</v>
      </c>
      <c r="G112">
        <v>5477275</v>
      </c>
      <c r="H112">
        <v>0</v>
      </c>
      <c r="I112">
        <v>0</v>
      </c>
      <c r="J112">
        <v>81</v>
      </c>
      <c r="K112">
        <v>37330521.259079903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191</v>
      </c>
      <c r="E113">
        <v>70026291.390264019</v>
      </c>
      <c r="F113">
        <v>0</v>
      </c>
      <c r="G113">
        <v>0</v>
      </c>
      <c r="H113">
        <v>0</v>
      </c>
      <c r="I113">
        <v>0</v>
      </c>
      <c r="J113">
        <v>191</v>
      </c>
      <c r="K113">
        <v>70026291.390264019</v>
      </c>
    </row>
    <row r="114" spans="1:11" x14ac:dyDescent="0.25">
      <c r="A114">
        <v>113</v>
      </c>
      <c r="B114" t="s">
        <v>235</v>
      </c>
      <c r="C114" t="s">
        <v>236</v>
      </c>
      <c r="D114">
        <v>18</v>
      </c>
      <c r="E114">
        <v>11650149.620689649</v>
      </c>
      <c r="F114">
        <v>1</v>
      </c>
      <c r="G114">
        <v>1250000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4</v>
      </c>
      <c r="E122">
        <v>0</v>
      </c>
      <c r="F122">
        <v>1</v>
      </c>
      <c r="G122">
        <v>650000</v>
      </c>
      <c r="H122">
        <v>1</v>
      </c>
      <c r="I122">
        <v>778182</v>
      </c>
      <c r="J122">
        <v>4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202</v>
      </c>
      <c r="E123">
        <v>77588663.616306961</v>
      </c>
      <c r="F123">
        <v>55</v>
      </c>
      <c r="G123">
        <v>23877273</v>
      </c>
      <c r="H123">
        <v>0</v>
      </c>
      <c r="I123">
        <v>0</v>
      </c>
      <c r="J123">
        <v>257</v>
      </c>
      <c r="K123">
        <v>101465936.61630701</v>
      </c>
    </row>
    <row r="124" spans="1:11" x14ac:dyDescent="0.25">
      <c r="A124">
        <v>123</v>
      </c>
      <c r="B124" t="s">
        <v>255</v>
      </c>
      <c r="C124" t="s">
        <v>256</v>
      </c>
      <c r="D124">
        <v>16</v>
      </c>
      <c r="E124">
        <v>8980694.847222222</v>
      </c>
      <c r="F124">
        <v>5</v>
      </c>
      <c r="G124">
        <v>2950000</v>
      </c>
      <c r="H124">
        <v>0</v>
      </c>
      <c r="I124">
        <v>0</v>
      </c>
      <c r="J124">
        <v>21</v>
      </c>
      <c r="K124">
        <v>11930694.84722222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231</v>
      </c>
      <c r="E126">
        <v>128812272.2321918</v>
      </c>
      <c r="F126">
        <v>52</v>
      </c>
      <c r="G126">
        <v>35694922</v>
      </c>
      <c r="H126">
        <v>0</v>
      </c>
      <c r="I126">
        <v>0</v>
      </c>
      <c r="J126">
        <v>283</v>
      </c>
      <c r="K126">
        <v>164507194.2321918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3</v>
      </c>
      <c r="E128">
        <v>4198242.4090909092</v>
      </c>
      <c r="F128">
        <v>1</v>
      </c>
      <c r="G128">
        <v>777450</v>
      </c>
      <c r="H128">
        <v>0</v>
      </c>
      <c r="I128">
        <v>0</v>
      </c>
      <c r="J128">
        <v>4</v>
      </c>
      <c r="K128">
        <v>4975692.4090909092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6</v>
      </c>
      <c r="E129">
        <v>18656286.75</v>
      </c>
      <c r="F129">
        <v>3</v>
      </c>
      <c r="G129">
        <v>4449286</v>
      </c>
      <c r="H129">
        <v>0</v>
      </c>
      <c r="I129">
        <v>0</v>
      </c>
      <c r="J129">
        <v>9</v>
      </c>
      <c r="K129">
        <v>23105572.75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540</v>
      </c>
      <c r="E131">
        <v>141573417.5194805</v>
      </c>
      <c r="F131">
        <v>4</v>
      </c>
      <c r="G131">
        <v>1000000</v>
      </c>
      <c r="H131">
        <v>9</v>
      </c>
      <c r="I131">
        <v>921819</v>
      </c>
      <c r="J131">
        <v>535</v>
      </c>
      <c r="K131">
        <v>141651598.5194805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117</v>
      </c>
      <c r="E132">
        <v>19836440.7489301</v>
      </c>
      <c r="F132">
        <v>308</v>
      </c>
      <c r="G132">
        <v>9936604</v>
      </c>
      <c r="H132">
        <v>4</v>
      </c>
      <c r="I132">
        <v>5118182</v>
      </c>
      <c r="J132">
        <v>421</v>
      </c>
      <c r="K132">
        <v>24654862.7489301</v>
      </c>
    </row>
    <row r="133" spans="1:11" x14ac:dyDescent="0.25">
      <c r="A133">
        <v>132</v>
      </c>
      <c r="B133" t="s">
        <v>273</v>
      </c>
      <c r="C133" t="s">
        <v>274</v>
      </c>
      <c r="D133">
        <v>201</v>
      </c>
      <c r="E133">
        <v>41432390.769411772</v>
      </c>
      <c r="F133">
        <v>0</v>
      </c>
      <c r="G133">
        <v>0</v>
      </c>
      <c r="H133">
        <v>0</v>
      </c>
      <c r="I133">
        <v>0</v>
      </c>
      <c r="J133">
        <v>201</v>
      </c>
      <c r="K133">
        <v>41432390.769411772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68</v>
      </c>
      <c r="E134">
        <v>26996151.08433735</v>
      </c>
      <c r="F134">
        <v>0</v>
      </c>
      <c r="G134">
        <v>0</v>
      </c>
      <c r="H134">
        <v>0</v>
      </c>
      <c r="I134">
        <v>0</v>
      </c>
      <c r="J134">
        <v>68</v>
      </c>
      <c r="K134">
        <v>26996151.08433735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11</v>
      </c>
      <c r="E136">
        <v>1573083.368421053</v>
      </c>
      <c r="F136">
        <v>0</v>
      </c>
      <c r="G136">
        <v>0</v>
      </c>
      <c r="H136">
        <v>0</v>
      </c>
      <c r="I136">
        <v>0</v>
      </c>
      <c r="J136">
        <v>11</v>
      </c>
      <c r="K136">
        <v>1573083.368421053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23</v>
      </c>
      <c r="E138">
        <v>31253386.860465121</v>
      </c>
      <c r="F138">
        <v>0</v>
      </c>
      <c r="G138">
        <v>0</v>
      </c>
      <c r="H138">
        <v>0</v>
      </c>
      <c r="I138">
        <v>0</v>
      </c>
      <c r="J138">
        <v>23</v>
      </c>
      <c r="K138">
        <v>31253386.860465121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4</v>
      </c>
      <c r="E141">
        <v>20379354.838709679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20379354.838709679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168</v>
      </c>
      <c r="E143">
        <v>69356168.115942031</v>
      </c>
      <c r="F143">
        <v>0</v>
      </c>
      <c r="G143">
        <v>0</v>
      </c>
      <c r="H143">
        <v>3</v>
      </c>
      <c r="I143">
        <v>2100000</v>
      </c>
      <c r="J143">
        <v>165</v>
      </c>
      <c r="K143">
        <v>67256168.115942031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241.89</v>
      </c>
      <c r="E146">
        <v>55859741</v>
      </c>
      <c r="F146">
        <v>112</v>
      </c>
      <c r="G146">
        <v>139076256</v>
      </c>
      <c r="H146">
        <v>30</v>
      </c>
      <c r="I146">
        <v>37436364</v>
      </c>
      <c r="J146">
        <v>323.89</v>
      </c>
      <c r="K146">
        <v>157499633</v>
      </c>
    </row>
    <row r="147" spans="1:11" x14ac:dyDescent="0.25">
      <c r="A147" t="s">
        <v>301</v>
      </c>
      <c r="D147">
        <v>17460.89</v>
      </c>
      <c r="E147">
        <v>20795906697.13044</v>
      </c>
      <c r="F147">
        <v>1973</v>
      </c>
      <c r="G147">
        <v>1745704064</v>
      </c>
      <c r="H147">
        <v>496</v>
      </c>
      <c r="I147">
        <v>1062540911</v>
      </c>
      <c r="J147">
        <v>18937.89</v>
      </c>
      <c r="K147">
        <v>21479198032.13044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14</v>
      </c>
      <c r="E2">
        <v>146799020.77272731</v>
      </c>
      <c r="F2">
        <v>0</v>
      </c>
      <c r="G2">
        <v>0</v>
      </c>
      <c r="H2">
        <v>1</v>
      </c>
      <c r="I2">
        <v>10454545</v>
      </c>
      <c r="J2">
        <v>13</v>
      </c>
      <c r="K2">
        <v>136344475.77272731</v>
      </c>
    </row>
    <row r="3" spans="1:11" x14ac:dyDescent="0.25">
      <c r="A3">
        <v>2</v>
      </c>
      <c r="B3" t="s">
        <v>13</v>
      </c>
      <c r="C3" t="s">
        <v>14</v>
      </c>
      <c r="D3">
        <v>22</v>
      </c>
      <c r="E3">
        <v>224678397</v>
      </c>
      <c r="F3">
        <v>0</v>
      </c>
      <c r="G3">
        <v>0</v>
      </c>
      <c r="H3">
        <v>1</v>
      </c>
      <c r="I3">
        <v>10909091</v>
      </c>
      <c r="J3">
        <v>21</v>
      </c>
      <c r="K3">
        <v>213769306</v>
      </c>
    </row>
    <row r="4" spans="1:11" x14ac:dyDescent="0.25">
      <c r="A4">
        <v>3</v>
      </c>
      <c r="B4" t="s">
        <v>15</v>
      </c>
      <c r="C4" t="s">
        <v>16</v>
      </c>
      <c r="D4">
        <v>159</v>
      </c>
      <c r="E4">
        <v>2065579237.201292</v>
      </c>
      <c r="F4">
        <v>6</v>
      </c>
      <c r="G4">
        <v>101454545</v>
      </c>
      <c r="H4">
        <v>1</v>
      </c>
      <c r="I4">
        <v>10445455</v>
      </c>
      <c r="J4">
        <v>164</v>
      </c>
      <c r="K4">
        <v>2156588327.201292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18</v>
      </c>
      <c r="E6">
        <v>198829984.1785714</v>
      </c>
      <c r="F6">
        <v>0</v>
      </c>
      <c r="G6">
        <v>0</v>
      </c>
      <c r="H6">
        <v>0</v>
      </c>
      <c r="I6">
        <v>0</v>
      </c>
      <c r="J6">
        <v>18</v>
      </c>
      <c r="K6">
        <v>198829984.1785714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9</v>
      </c>
      <c r="E8">
        <v>102473554.09090909</v>
      </c>
      <c r="F8">
        <v>0</v>
      </c>
      <c r="G8">
        <v>0</v>
      </c>
      <c r="H8">
        <v>2</v>
      </c>
      <c r="I8">
        <v>30345455</v>
      </c>
      <c r="J8">
        <v>7</v>
      </c>
      <c r="K8">
        <v>72128099.090909094</v>
      </c>
    </row>
    <row r="9" spans="1:11" x14ac:dyDescent="0.25">
      <c r="A9">
        <v>8</v>
      </c>
      <c r="B9" t="s">
        <v>25</v>
      </c>
      <c r="C9" t="s">
        <v>26</v>
      </c>
      <c r="D9">
        <v>7</v>
      </c>
      <c r="E9">
        <v>21068091.449999999</v>
      </c>
      <c r="F9">
        <v>0</v>
      </c>
      <c r="G9">
        <v>0</v>
      </c>
      <c r="H9">
        <v>0</v>
      </c>
      <c r="I9">
        <v>0</v>
      </c>
      <c r="J9">
        <v>7</v>
      </c>
      <c r="K9">
        <v>21068091.449999999</v>
      </c>
    </row>
    <row r="10" spans="1:11" x14ac:dyDescent="0.25">
      <c r="A10">
        <v>9</v>
      </c>
      <c r="B10" t="s">
        <v>27</v>
      </c>
      <c r="C10" t="s">
        <v>28</v>
      </c>
      <c r="D10">
        <v>170</v>
      </c>
      <c r="E10">
        <v>771147313.5951941</v>
      </c>
      <c r="F10">
        <v>3</v>
      </c>
      <c r="G10">
        <v>24545454</v>
      </c>
      <c r="H10">
        <v>1</v>
      </c>
      <c r="I10">
        <v>17272727</v>
      </c>
      <c r="J10">
        <v>172</v>
      </c>
      <c r="K10">
        <v>778420040.5951941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0</v>
      </c>
      <c r="G11">
        <v>0</v>
      </c>
      <c r="H11">
        <v>0</v>
      </c>
      <c r="I11">
        <v>0</v>
      </c>
      <c r="J11">
        <v>7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215</v>
      </c>
      <c r="E12">
        <v>2691636500.2191219</v>
      </c>
      <c r="F12">
        <v>6</v>
      </c>
      <c r="G12">
        <v>67036364</v>
      </c>
      <c r="H12">
        <v>3</v>
      </c>
      <c r="I12">
        <v>39009091</v>
      </c>
      <c r="J12">
        <v>218</v>
      </c>
      <c r="K12">
        <v>2719663773.2191219</v>
      </c>
    </row>
    <row r="13" spans="1:11" x14ac:dyDescent="0.25">
      <c r="A13">
        <v>12</v>
      </c>
      <c r="B13" t="s">
        <v>33</v>
      </c>
      <c r="C13" t="s">
        <v>34</v>
      </c>
      <c r="D13">
        <v>22</v>
      </c>
      <c r="E13">
        <v>344089685.76923078</v>
      </c>
      <c r="F13">
        <v>7</v>
      </c>
      <c r="G13">
        <v>99836363</v>
      </c>
      <c r="H13">
        <v>0</v>
      </c>
      <c r="I13">
        <v>0</v>
      </c>
      <c r="J13">
        <v>29</v>
      </c>
      <c r="K13">
        <v>443926048.76923078</v>
      </c>
    </row>
    <row r="14" spans="1:11" x14ac:dyDescent="0.25">
      <c r="A14">
        <v>13</v>
      </c>
      <c r="B14" t="s">
        <v>35</v>
      </c>
      <c r="C14" t="s">
        <v>36</v>
      </c>
      <c r="D14">
        <v>19</v>
      </c>
      <c r="E14">
        <v>321157132.28947371</v>
      </c>
      <c r="F14">
        <v>3</v>
      </c>
      <c r="G14">
        <v>61881818</v>
      </c>
      <c r="H14">
        <v>1</v>
      </c>
      <c r="I14">
        <v>14545455</v>
      </c>
      <c r="J14">
        <v>21</v>
      </c>
      <c r="K14">
        <v>368493495.28947371</v>
      </c>
    </row>
    <row r="15" spans="1:11" x14ac:dyDescent="0.25">
      <c r="A15">
        <v>14</v>
      </c>
      <c r="B15" t="s">
        <v>37</v>
      </c>
      <c r="C15" t="s">
        <v>38</v>
      </c>
      <c r="D15">
        <v>35</v>
      </c>
      <c r="E15">
        <v>390656859.93430662</v>
      </c>
      <c r="F15">
        <v>22</v>
      </c>
      <c r="G15">
        <v>161909092</v>
      </c>
      <c r="H15">
        <v>7</v>
      </c>
      <c r="I15">
        <v>65445455</v>
      </c>
      <c r="J15">
        <v>50</v>
      </c>
      <c r="K15">
        <v>487120496.93430662</v>
      </c>
    </row>
    <row r="16" spans="1:11" x14ac:dyDescent="0.25">
      <c r="A16">
        <v>15</v>
      </c>
      <c r="B16" t="s">
        <v>39</v>
      </c>
      <c r="C16" t="s">
        <v>40</v>
      </c>
      <c r="D16">
        <v>12</v>
      </c>
      <c r="E16">
        <v>168825899.10447761</v>
      </c>
      <c r="F16">
        <v>0</v>
      </c>
      <c r="G16">
        <v>0</v>
      </c>
      <c r="H16">
        <v>0</v>
      </c>
      <c r="I16">
        <v>0</v>
      </c>
      <c r="J16">
        <v>12</v>
      </c>
      <c r="K16">
        <v>168825899.10447761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1</v>
      </c>
      <c r="G20">
        <v>23363636</v>
      </c>
      <c r="H20">
        <v>1</v>
      </c>
      <c r="I20">
        <v>23363636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253</v>
      </c>
      <c r="E24">
        <v>2154267463.5497241</v>
      </c>
      <c r="F24">
        <v>0</v>
      </c>
      <c r="G24">
        <v>0</v>
      </c>
      <c r="H24">
        <v>45</v>
      </c>
      <c r="I24">
        <v>416736362</v>
      </c>
      <c r="J24">
        <v>208</v>
      </c>
      <c r="K24">
        <v>1737531101.5497241</v>
      </c>
    </row>
    <row r="25" spans="1:11" x14ac:dyDescent="0.25">
      <c r="A25">
        <v>24</v>
      </c>
      <c r="B25" t="s">
        <v>57</v>
      </c>
      <c r="C25" t="s">
        <v>58</v>
      </c>
      <c r="D25">
        <v>332</v>
      </c>
      <c r="E25">
        <v>2571316165.361217</v>
      </c>
      <c r="F25">
        <v>17</v>
      </c>
      <c r="G25">
        <v>143320000</v>
      </c>
      <c r="H25">
        <v>37</v>
      </c>
      <c r="I25">
        <v>295390909</v>
      </c>
      <c r="J25">
        <v>312</v>
      </c>
      <c r="K25">
        <v>2419245256.361217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98033776.307692319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98033776.307692319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25381986.5</v>
      </c>
      <c r="F33">
        <v>0</v>
      </c>
      <c r="G33">
        <v>0</v>
      </c>
      <c r="H33">
        <v>0</v>
      </c>
      <c r="I33">
        <v>0</v>
      </c>
      <c r="J33">
        <v>5</v>
      </c>
      <c r="K33">
        <v>25381986.5</v>
      </c>
    </row>
    <row r="34" spans="1:11" x14ac:dyDescent="0.25">
      <c r="A34">
        <v>33</v>
      </c>
      <c r="B34" t="s">
        <v>75</v>
      </c>
      <c r="C34" t="s">
        <v>76</v>
      </c>
      <c r="D34">
        <v>45</v>
      </c>
      <c r="E34">
        <v>138995262.18326691</v>
      </c>
      <c r="F34">
        <v>17</v>
      </c>
      <c r="G34">
        <v>60054546</v>
      </c>
      <c r="H34">
        <v>11</v>
      </c>
      <c r="I34">
        <v>41163636</v>
      </c>
      <c r="J34">
        <v>51</v>
      </c>
      <c r="K34">
        <v>157886172.18326691</v>
      </c>
    </row>
    <row r="35" spans="1:11" x14ac:dyDescent="0.25">
      <c r="A35">
        <v>34</v>
      </c>
      <c r="B35" t="s">
        <v>77</v>
      </c>
      <c r="C35" t="s">
        <v>78</v>
      </c>
      <c r="D35">
        <v>425</v>
      </c>
      <c r="E35">
        <v>907215080.55380154</v>
      </c>
      <c r="F35">
        <v>53</v>
      </c>
      <c r="G35">
        <v>126390909</v>
      </c>
      <c r="H35">
        <v>50</v>
      </c>
      <c r="I35">
        <v>134718182</v>
      </c>
      <c r="J35">
        <v>428</v>
      </c>
      <c r="K35">
        <v>898887807.55380154</v>
      </c>
    </row>
    <row r="36" spans="1:11" x14ac:dyDescent="0.25">
      <c r="A36">
        <v>35</v>
      </c>
      <c r="B36" t="s">
        <v>79</v>
      </c>
      <c r="C36" t="s">
        <v>80</v>
      </c>
      <c r="D36">
        <v>16</v>
      </c>
      <c r="E36">
        <v>57095345.021276593</v>
      </c>
      <c r="F36">
        <v>0</v>
      </c>
      <c r="G36">
        <v>0</v>
      </c>
      <c r="H36">
        <v>3</v>
      </c>
      <c r="I36">
        <v>11181818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42</v>
      </c>
      <c r="E37">
        <v>107501286.1964286</v>
      </c>
      <c r="F37">
        <v>12</v>
      </c>
      <c r="G37">
        <v>29745455</v>
      </c>
      <c r="H37">
        <v>0</v>
      </c>
      <c r="I37">
        <v>0</v>
      </c>
      <c r="J37">
        <v>54</v>
      </c>
      <c r="K37">
        <v>137246741.1964286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125</v>
      </c>
      <c r="E39">
        <v>314011329.38106239</v>
      </c>
      <c r="F39">
        <v>5</v>
      </c>
      <c r="G39">
        <v>25909091</v>
      </c>
      <c r="H39">
        <v>16</v>
      </c>
      <c r="I39">
        <v>38372727</v>
      </c>
      <c r="J39">
        <v>114</v>
      </c>
      <c r="K39">
        <v>301547693.38106239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840</v>
      </c>
      <c r="E42">
        <v>767081154.34484041</v>
      </c>
      <c r="F42">
        <v>24</v>
      </c>
      <c r="G42">
        <v>19465553</v>
      </c>
      <c r="H42">
        <v>23</v>
      </c>
      <c r="I42">
        <v>61581819</v>
      </c>
      <c r="J42">
        <v>841</v>
      </c>
      <c r="K42">
        <v>724964888.34484041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444</v>
      </c>
      <c r="E44">
        <v>1215984191.9747441</v>
      </c>
      <c r="F44">
        <v>0</v>
      </c>
      <c r="G44">
        <v>0</v>
      </c>
      <c r="H44">
        <v>17</v>
      </c>
      <c r="I44">
        <v>41240909</v>
      </c>
      <c r="J44">
        <v>427</v>
      </c>
      <c r="K44">
        <v>1174743282.9747441</v>
      </c>
    </row>
    <row r="45" spans="1:11" x14ac:dyDescent="0.25">
      <c r="A45">
        <v>44</v>
      </c>
      <c r="B45" t="s">
        <v>97</v>
      </c>
      <c r="C45" t="s">
        <v>98</v>
      </c>
      <c r="D45">
        <v>76</v>
      </c>
      <c r="E45">
        <v>330775526.97297299</v>
      </c>
      <c r="F45">
        <v>1</v>
      </c>
      <c r="G45">
        <v>4818181.82</v>
      </c>
      <c r="H45">
        <v>11</v>
      </c>
      <c r="I45">
        <v>48463637</v>
      </c>
      <c r="J45">
        <v>66</v>
      </c>
      <c r="K45">
        <v>287130071.79297298</v>
      </c>
    </row>
    <row r="46" spans="1:11" x14ac:dyDescent="0.25">
      <c r="A46">
        <v>45</v>
      </c>
      <c r="B46" t="s">
        <v>99</v>
      </c>
      <c r="C46" t="s">
        <v>100</v>
      </c>
      <c r="D46">
        <v>112</v>
      </c>
      <c r="E46">
        <v>115236845.9925714</v>
      </c>
      <c r="F46">
        <v>2</v>
      </c>
      <c r="G46">
        <v>10000000</v>
      </c>
      <c r="H46">
        <v>3</v>
      </c>
      <c r="I46">
        <v>16518182</v>
      </c>
      <c r="J46">
        <v>111</v>
      </c>
      <c r="K46">
        <v>108718663.9925714</v>
      </c>
    </row>
    <row r="47" spans="1:11" x14ac:dyDescent="0.25">
      <c r="A47">
        <v>46</v>
      </c>
      <c r="B47" t="s">
        <v>101</v>
      </c>
      <c r="C47" t="s">
        <v>102</v>
      </c>
      <c r="D47">
        <v>44</v>
      </c>
      <c r="E47">
        <v>122127029.74567381</v>
      </c>
      <c r="F47">
        <v>2</v>
      </c>
      <c r="G47">
        <v>7454545</v>
      </c>
      <c r="H47">
        <v>0</v>
      </c>
      <c r="I47">
        <v>0</v>
      </c>
      <c r="J47">
        <v>46</v>
      </c>
      <c r="K47">
        <v>129581574.74567381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42</v>
      </c>
      <c r="E49">
        <v>290496795.15224141</v>
      </c>
      <c r="F49">
        <v>1</v>
      </c>
      <c r="G49">
        <v>8863636</v>
      </c>
      <c r="H49">
        <v>1</v>
      </c>
      <c r="I49">
        <v>9627273</v>
      </c>
      <c r="J49">
        <v>42</v>
      </c>
      <c r="K49">
        <v>289733158.15224141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5635136.1999999993</v>
      </c>
      <c r="F51">
        <v>0</v>
      </c>
      <c r="G51">
        <v>0</v>
      </c>
      <c r="H51">
        <v>1</v>
      </c>
      <c r="I51">
        <v>1445454</v>
      </c>
      <c r="J51">
        <v>4</v>
      </c>
      <c r="K51">
        <v>4189682.1999999988</v>
      </c>
    </row>
    <row r="52" spans="1:11" x14ac:dyDescent="0.25">
      <c r="A52">
        <v>51</v>
      </c>
      <c r="B52" t="s">
        <v>111</v>
      </c>
      <c r="C52" t="s">
        <v>112</v>
      </c>
      <c r="D52">
        <v>56</v>
      </c>
      <c r="E52">
        <v>101677791.26693881</v>
      </c>
      <c r="F52">
        <v>0</v>
      </c>
      <c r="G52">
        <v>0</v>
      </c>
      <c r="H52">
        <v>0</v>
      </c>
      <c r="I52">
        <v>0</v>
      </c>
      <c r="J52">
        <v>56</v>
      </c>
      <c r="K52">
        <v>101677791.26693881</v>
      </c>
    </row>
    <row r="53" spans="1:11" x14ac:dyDescent="0.25">
      <c r="A53">
        <v>52</v>
      </c>
      <c r="B53" t="s">
        <v>113</v>
      </c>
      <c r="C53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71</v>
      </c>
      <c r="E55">
        <v>240403662.17270201</v>
      </c>
      <c r="F55">
        <v>3</v>
      </c>
      <c r="G55">
        <v>30500000</v>
      </c>
      <c r="H55">
        <v>3</v>
      </c>
      <c r="I55">
        <v>11263637</v>
      </c>
      <c r="J55">
        <v>71</v>
      </c>
      <c r="K55">
        <v>259640025.17270201</v>
      </c>
    </row>
    <row r="56" spans="1:11" x14ac:dyDescent="0.25">
      <c r="A56">
        <v>55</v>
      </c>
      <c r="B56" t="s">
        <v>119</v>
      </c>
      <c r="C56" t="s">
        <v>120</v>
      </c>
      <c r="D56">
        <v>26</v>
      </c>
      <c r="E56">
        <v>26920048.491525419</v>
      </c>
      <c r="F56">
        <v>2</v>
      </c>
      <c r="G56">
        <v>1527273</v>
      </c>
      <c r="H56">
        <v>1</v>
      </c>
      <c r="I56">
        <v>954545</v>
      </c>
      <c r="J56">
        <v>27</v>
      </c>
      <c r="K56">
        <v>27492776.491525419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17596296.290769231</v>
      </c>
      <c r="F57">
        <v>1</v>
      </c>
      <c r="G57">
        <v>2800000</v>
      </c>
      <c r="H57">
        <v>1</v>
      </c>
      <c r="I57">
        <v>4300000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58</v>
      </c>
      <c r="B59" t="s">
        <v>125</v>
      </c>
      <c r="C59" t="s">
        <v>126</v>
      </c>
      <c r="D59">
        <v>2715</v>
      </c>
      <c r="E59">
        <v>400258362.38559759</v>
      </c>
      <c r="F59">
        <v>532</v>
      </c>
      <c r="G59">
        <v>53512728</v>
      </c>
      <c r="H59">
        <v>88</v>
      </c>
      <c r="I59">
        <v>27218182</v>
      </c>
      <c r="J59">
        <v>3159</v>
      </c>
      <c r="K59">
        <v>426552908.38559759</v>
      </c>
    </row>
    <row r="60" spans="1:11" x14ac:dyDescent="0.25">
      <c r="A60">
        <v>59</v>
      </c>
      <c r="B60" t="s">
        <v>127</v>
      </c>
      <c r="C60" t="s">
        <v>128</v>
      </c>
      <c r="D60">
        <v>94</v>
      </c>
      <c r="E60">
        <v>7855728.6822262118</v>
      </c>
      <c r="F60">
        <v>0</v>
      </c>
      <c r="G60">
        <v>0</v>
      </c>
      <c r="H60">
        <v>0</v>
      </c>
      <c r="I60">
        <v>0</v>
      </c>
      <c r="J60">
        <v>94</v>
      </c>
      <c r="K60">
        <v>7855728.6822262118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3955800.75</v>
      </c>
      <c r="F61">
        <v>0</v>
      </c>
      <c r="G61">
        <v>0</v>
      </c>
      <c r="H61">
        <v>0</v>
      </c>
      <c r="I61">
        <v>0</v>
      </c>
      <c r="J61">
        <v>22</v>
      </c>
      <c r="K61">
        <v>3955800.75</v>
      </c>
    </row>
    <row r="62" spans="1:11" x14ac:dyDescent="0.25">
      <c r="A62">
        <v>61</v>
      </c>
      <c r="B62" t="s">
        <v>131</v>
      </c>
      <c r="C62" t="s">
        <v>132</v>
      </c>
      <c r="D62">
        <v>1112</v>
      </c>
      <c r="E62">
        <v>190706446.8789579</v>
      </c>
      <c r="F62">
        <v>130</v>
      </c>
      <c r="G62">
        <v>32935909</v>
      </c>
      <c r="H62">
        <v>25</v>
      </c>
      <c r="I62">
        <v>4518183</v>
      </c>
      <c r="J62">
        <v>1217</v>
      </c>
      <c r="K62">
        <v>219124172.8789579</v>
      </c>
    </row>
    <row r="63" spans="1:11" x14ac:dyDescent="0.25">
      <c r="A63">
        <v>62</v>
      </c>
      <c r="B63" t="s">
        <v>133</v>
      </c>
      <c r="C63" t="s">
        <v>134</v>
      </c>
      <c r="D63">
        <v>226</v>
      </c>
      <c r="E63">
        <v>44365859.711580493</v>
      </c>
      <c r="F63">
        <v>10</v>
      </c>
      <c r="G63">
        <v>4365000</v>
      </c>
      <c r="H63">
        <v>0</v>
      </c>
      <c r="I63">
        <v>0</v>
      </c>
      <c r="J63">
        <v>236</v>
      </c>
      <c r="K63">
        <v>48730859.711580493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19</v>
      </c>
      <c r="E65">
        <v>16633501.0011236</v>
      </c>
      <c r="F65">
        <v>11</v>
      </c>
      <c r="G65">
        <v>13318181.810000001</v>
      </c>
      <c r="H65">
        <v>11</v>
      </c>
      <c r="I65">
        <v>15354547</v>
      </c>
      <c r="J65">
        <v>19</v>
      </c>
      <c r="K65">
        <v>14597135.811123591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100</v>
      </c>
      <c r="E70">
        <v>39975946.125112101</v>
      </c>
      <c r="F70">
        <v>15</v>
      </c>
      <c r="G70">
        <v>8333182</v>
      </c>
      <c r="H70">
        <v>3</v>
      </c>
      <c r="I70">
        <v>2090909</v>
      </c>
      <c r="J70">
        <v>112</v>
      </c>
      <c r="K70">
        <v>46218219.125112101</v>
      </c>
    </row>
    <row r="71" spans="1:11" x14ac:dyDescent="0.25">
      <c r="A71">
        <v>70</v>
      </c>
      <c r="B71" t="s">
        <v>149</v>
      </c>
      <c r="C71" t="s">
        <v>150</v>
      </c>
      <c r="D71">
        <v>7</v>
      </c>
      <c r="E71">
        <v>1388337.16</v>
      </c>
      <c r="F71">
        <v>0</v>
      </c>
      <c r="G71">
        <v>0</v>
      </c>
      <c r="H71">
        <v>0</v>
      </c>
      <c r="I71">
        <v>0</v>
      </c>
      <c r="J71">
        <v>7</v>
      </c>
      <c r="K71">
        <v>1388337.16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54</v>
      </c>
      <c r="E74">
        <v>122571481.07878789</v>
      </c>
      <c r="F74">
        <v>9</v>
      </c>
      <c r="G74">
        <v>19609088</v>
      </c>
      <c r="H74">
        <v>3</v>
      </c>
      <c r="I74">
        <v>6854546</v>
      </c>
      <c r="J74">
        <v>60</v>
      </c>
      <c r="K74">
        <v>135326023.07878789</v>
      </c>
    </row>
    <row r="75" spans="1:11" x14ac:dyDescent="0.25">
      <c r="A75">
        <v>74</v>
      </c>
      <c r="B75" t="s">
        <v>157</v>
      </c>
      <c r="C75" t="s">
        <v>158</v>
      </c>
      <c r="D75">
        <v>47</v>
      </c>
      <c r="E75">
        <v>157105587.7509881</v>
      </c>
      <c r="F75">
        <v>15</v>
      </c>
      <c r="G75">
        <v>50163637</v>
      </c>
      <c r="H75">
        <v>0</v>
      </c>
      <c r="I75">
        <v>0</v>
      </c>
      <c r="J75">
        <v>62</v>
      </c>
      <c r="K75">
        <v>207269224.7509881</v>
      </c>
    </row>
    <row r="76" spans="1:11" x14ac:dyDescent="0.25">
      <c r="A76">
        <v>75</v>
      </c>
      <c r="B76" t="s">
        <v>159</v>
      </c>
      <c r="C76" t="s">
        <v>160</v>
      </c>
      <c r="D76">
        <v>3</v>
      </c>
      <c r="E76">
        <v>17639183.875</v>
      </c>
      <c r="F76">
        <v>1</v>
      </c>
      <c r="G76">
        <v>5227273</v>
      </c>
      <c r="H76">
        <v>0</v>
      </c>
      <c r="I76">
        <v>0</v>
      </c>
      <c r="J76">
        <v>4</v>
      </c>
      <c r="K76">
        <v>22866456.875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96</v>
      </c>
      <c r="E78">
        <v>139867893.59605911</v>
      </c>
      <c r="F78">
        <v>4</v>
      </c>
      <c r="G78">
        <v>6654544</v>
      </c>
      <c r="H78">
        <v>0</v>
      </c>
      <c r="I78">
        <v>0</v>
      </c>
      <c r="J78">
        <v>100</v>
      </c>
      <c r="K78">
        <v>146522437.59605911</v>
      </c>
    </row>
    <row r="79" spans="1:11" x14ac:dyDescent="0.25">
      <c r="A79">
        <v>78</v>
      </c>
      <c r="B79" t="s">
        <v>165</v>
      </c>
      <c r="C79" t="s">
        <v>166</v>
      </c>
      <c r="D79">
        <v>6</v>
      </c>
      <c r="E79">
        <v>13411842</v>
      </c>
      <c r="F79">
        <v>0</v>
      </c>
      <c r="G79">
        <v>0</v>
      </c>
      <c r="H79">
        <v>0</v>
      </c>
      <c r="I79">
        <v>0</v>
      </c>
      <c r="J79">
        <v>6</v>
      </c>
      <c r="K79">
        <v>13411842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509</v>
      </c>
      <c r="E81">
        <v>171339391.62329009</v>
      </c>
      <c r="F81">
        <v>57</v>
      </c>
      <c r="G81">
        <v>24127291</v>
      </c>
      <c r="H81">
        <v>59</v>
      </c>
      <c r="I81">
        <v>20472726</v>
      </c>
      <c r="J81">
        <v>507</v>
      </c>
      <c r="K81">
        <v>174993956.62329009</v>
      </c>
    </row>
    <row r="82" spans="1:11" x14ac:dyDescent="0.25">
      <c r="A82">
        <v>81</v>
      </c>
      <c r="B82" t="s">
        <v>171</v>
      </c>
      <c r="C82" t="s">
        <v>172</v>
      </c>
      <c r="D82">
        <v>117</v>
      </c>
      <c r="E82">
        <v>71775770.117302045</v>
      </c>
      <c r="F82">
        <v>12</v>
      </c>
      <c r="G82">
        <v>12727271</v>
      </c>
      <c r="H82">
        <v>4</v>
      </c>
      <c r="I82">
        <v>4481818</v>
      </c>
      <c r="J82">
        <v>125</v>
      </c>
      <c r="K82">
        <v>80021223.117302045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7</v>
      </c>
      <c r="E84">
        <v>21101182.199999999</v>
      </c>
      <c r="F84">
        <v>6</v>
      </c>
      <c r="G84">
        <v>19809090</v>
      </c>
      <c r="H84">
        <v>1</v>
      </c>
      <c r="I84">
        <v>3718182</v>
      </c>
      <c r="J84">
        <v>12</v>
      </c>
      <c r="K84">
        <v>37192090.200000003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21168255.483870968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21168255.483870968</v>
      </c>
    </row>
    <row r="86" spans="1:11" x14ac:dyDescent="0.25">
      <c r="A86">
        <v>85</v>
      </c>
      <c r="B86" t="s">
        <v>179</v>
      </c>
      <c r="C86" t="s">
        <v>180</v>
      </c>
      <c r="D86">
        <v>8</v>
      </c>
      <c r="E86">
        <v>9684038.1600000001</v>
      </c>
      <c r="F86">
        <v>4</v>
      </c>
      <c r="G86">
        <v>2145455</v>
      </c>
      <c r="H86">
        <v>0</v>
      </c>
      <c r="I86">
        <v>0</v>
      </c>
      <c r="J86">
        <v>12</v>
      </c>
      <c r="K86">
        <v>11829493.16</v>
      </c>
    </row>
    <row r="87" spans="1:11" x14ac:dyDescent="0.25">
      <c r="A87">
        <v>86</v>
      </c>
      <c r="B87" t="s">
        <v>181</v>
      </c>
      <c r="C87" t="s">
        <v>182</v>
      </c>
      <c r="D87">
        <v>64</v>
      </c>
      <c r="E87">
        <v>87692787.572559372</v>
      </c>
      <c r="F87">
        <v>18</v>
      </c>
      <c r="G87">
        <v>15894553</v>
      </c>
      <c r="H87">
        <v>13</v>
      </c>
      <c r="I87">
        <v>13136364</v>
      </c>
      <c r="J87">
        <v>69</v>
      </c>
      <c r="K87">
        <v>90450976.572559372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3293181.9545454541</v>
      </c>
      <c r="F88">
        <v>0</v>
      </c>
      <c r="G88">
        <v>0</v>
      </c>
      <c r="H88">
        <v>0</v>
      </c>
      <c r="I88">
        <v>0</v>
      </c>
      <c r="J88">
        <v>3</v>
      </c>
      <c r="K88">
        <v>3293181.9545454541</v>
      </c>
    </row>
    <row r="89" spans="1:11" x14ac:dyDescent="0.25">
      <c r="A89">
        <v>88</v>
      </c>
      <c r="B89" t="s">
        <v>185</v>
      </c>
      <c r="C89" t="s">
        <v>186</v>
      </c>
      <c r="D89">
        <v>959</v>
      </c>
      <c r="E89">
        <v>348489486.74628812</v>
      </c>
      <c r="F89">
        <v>39</v>
      </c>
      <c r="G89">
        <v>21472728</v>
      </c>
      <c r="H89">
        <v>44</v>
      </c>
      <c r="I89">
        <v>30877275</v>
      </c>
      <c r="J89">
        <v>954</v>
      </c>
      <c r="K89">
        <v>339084939.74628812</v>
      </c>
    </row>
    <row r="90" spans="1:11" x14ac:dyDescent="0.25">
      <c r="A90">
        <v>89</v>
      </c>
      <c r="B90" t="s">
        <v>187</v>
      </c>
      <c r="C90" t="s">
        <v>188</v>
      </c>
      <c r="D90">
        <v>183</v>
      </c>
      <c r="E90">
        <v>175349119.34957021</v>
      </c>
      <c r="F90">
        <v>0</v>
      </c>
      <c r="G90">
        <v>0</v>
      </c>
      <c r="H90">
        <v>4</v>
      </c>
      <c r="I90">
        <v>3654546</v>
      </c>
      <c r="J90">
        <v>179</v>
      </c>
      <c r="K90">
        <v>171694573.34957021</v>
      </c>
    </row>
    <row r="91" spans="1:11" x14ac:dyDescent="0.25">
      <c r="A91">
        <v>90</v>
      </c>
      <c r="B91" t="s">
        <v>189</v>
      </c>
      <c r="C91" t="s">
        <v>190</v>
      </c>
      <c r="D91">
        <v>41</v>
      </c>
      <c r="E91">
        <v>56980504.992395438</v>
      </c>
      <c r="F91">
        <v>3</v>
      </c>
      <c r="G91">
        <v>4500000</v>
      </c>
      <c r="H91">
        <v>0</v>
      </c>
      <c r="I91">
        <v>0</v>
      </c>
      <c r="J91">
        <v>44</v>
      </c>
      <c r="K91">
        <v>61480504.992395438</v>
      </c>
    </row>
    <row r="92" spans="1:11" x14ac:dyDescent="0.25">
      <c r="A92">
        <v>91</v>
      </c>
      <c r="B92" t="s">
        <v>191</v>
      </c>
      <c r="C92" t="s">
        <v>192</v>
      </c>
      <c r="D92">
        <v>114</v>
      </c>
      <c r="E92">
        <v>94845963.128078818</v>
      </c>
      <c r="F92">
        <v>0</v>
      </c>
      <c r="G92">
        <v>0</v>
      </c>
      <c r="H92">
        <v>7</v>
      </c>
      <c r="I92">
        <v>9223637</v>
      </c>
      <c r="J92">
        <v>107</v>
      </c>
      <c r="K92">
        <v>85622326.128078818</v>
      </c>
    </row>
    <row r="93" spans="1:11" x14ac:dyDescent="0.25">
      <c r="A93">
        <v>92</v>
      </c>
      <c r="B93" t="s">
        <v>193</v>
      </c>
      <c r="C93" t="s">
        <v>194</v>
      </c>
      <c r="D93">
        <v>34</v>
      </c>
      <c r="E93">
        <v>56703147.432558142</v>
      </c>
      <c r="F93">
        <v>7</v>
      </c>
      <c r="G93">
        <v>9681818</v>
      </c>
      <c r="H93">
        <v>1</v>
      </c>
      <c r="I93">
        <v>1318182</v>
      </c>
      <c r="J93">
        <v>40</v>
      </c>
      <c r="K93">
        <v>65066783.432558142</v>
      </c>
    </row>
    <row r="94" spans="1:11" x14ac:dyDescent="0.25">
      <c r="A94">
        <v>93</v>
      </c>
      <c r="B94" t="s">
        <v>195</v>
      </c>
      <c r="C94" t="s">
        <v>196</v>
      </c>
      <c r="D94">
        <v>282</v>
      </c>
      <c r="E94">
        <v>114383408.6155607</v>
      </c>
      <c r="F94">
        <v>0</v>
      </c>
      <c r="G94">
        <v>0</v>
      </c>
      <c r="H94">
        <v>26</v>
      </c>
      <c r="I94">
        <v>4918182</v>
      </c>
      <c r="J94">
        <v>256</v>
      </c>
      <c r="K94">
        <v>109465226.6155607</v>
      </c>
    </row>
    <row r="95" spans="1:11" x14ac:dyDescent="0.25">
      <c r="A95">
        <v>94</v>
      </c>
      <c r="B95" t="s">
        <v>197</v>
      </c>
      <c r="C95" t="s">
        <v>198</v>
      </c>
      <c r="D95">
        <v>35</v>
      </c>
      <c r="E95">
        <v>4450999.8672566377</v>
      </c>
      <c r="F95">
        <v>0</v>
      </c>
      <c r="G95">
        <v>0</v>
      </c>
      <c r="H95">
        <v>4</v>
      </c>
      <c r="I95">
        <v>836364</v>
      </c>
      <c r="J95">
        <v>31</v>
      </c>
      <c r="K95">
        <v>3614635.8672566381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671</v>
      </c>
      <c r="E97">
        <v>110511528.4361957</v>
      </c>
      <c r="F97">
        <v>5</v>
      </c>
      <c r="G97">
        <v>4300000</v>
      </c>
      <c r="H97">
        <v>47</v>
      </c>
      <c r="I97">
        <v>5472727</v>
      </c>
      <c r="J97">
        <v>629</v>
      </c>
      <c r="K97">
        <v>109338801.4361957</v>
      </c>
    </row>
    <row r="98" spans="1:11" x14ac:dyDescent="0.25">
      <c r="A98">
        <v>97</v>
      </c>
      <c r="B98" t="s">
        <v>203</v>
      </c>
      <c r="C98" t="s">
        <v>204</v>
      </c>
      <c r="D98">
        <v>485</v>
      </c>
      <c r="E98">
        <v>96964394.620727673</v>
      </c>
      <c r="F98">
        <v>0</v>
      </c>
      <c r="G98">
        <v>0</v>
      </c>
      <c r="H98">
        <v>9</v>
      </c>
      <c r="I98">
        <v>3609091</v>
      </c>
      <c r="J98">
        <v>476</v>
      </c>
      <c r="K98">
        <v>93355303.620727673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3674579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3674579</v>
      </c>
    </row>
    <row r="102" spans="1:11" x14ac:dyDescent="0.25">
      <c r="A102">
        <v>101</v>
      </c>
      <c r="B102" t="s">
        <v>211</v>
      </c>
      <c r="C102" t="s">
        <v>212</v>
      </c>
      <c r="D102">
        <v>81</v>
      </c>
      <c r="E102">
        <v>76280656.669291347</v>
      </c>
      <c r="F102">
        <v>0</v>
      </c>
      <c r="G102">
        <v>0</v>
      </c>
      <c r="H102">
        <v>0</v>
      </c>
      <c r="I102">
        <v>0</v>
      </c>
      <c r="J102">
        <v>81</v>
      </c>
      <c r="K102">
        <v>76280656.669291347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1255</v>
      </c>
      <c r="E104">
        <v>165083181.46378449</v>
      </c>
      <c r="F104">
        <v>88</v>
      </c>
      <c r="G104">
        <v>11772720</v>
      </c>
      <c r="H104">
        <v>71</v>
      </c>
      <c r="I104">
        <v>8140908</v>
      </c>
      <c r="J104">
        <v>1272</v>
      </c>
      <c r="K104">
        <v>168714993.46378449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105</v>
      </c>
      <c r="E105">
        <v>35055357.992982447</v>
      </c>
      <c r="F105">
        <v>13</v>
      </c>
      <c r="G105">
        <v>5800000</v>
      </c>
      <c r="H105">
        <v>2</v>
      </c>
      <c r="I105">
        <v>600000</v>
      </c>
      <c r="J105">
        <v>116</v>
      </c>
      <c r="K105">
        <v>40255357.992982447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1556</v>
      </c>
      <c r="E106">
        <v>187720081.69023031</v>
      </c>
      <c r="F106">
        <v>0</v>
      </c>
      <c r="G106">
        <v>0</v>
      </c>
      <c r="H106">
        <v>41</v>
      </c>
      <c r="I106">
        <v>5922727</v>
      </c>
      <c r="J106">
        <v>1515</v>
      </c>
      <c r="K106">
        <v>181797354.69023031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1038</v>
      </c>
      <c r="E107">
        <v>145416596.3291294</v>
      </c>
      <c r="F107">
        <v>6</v>
      </c>
      <c r="G107">
        <v>7163636</v>
      </c>
      <c r="H107">
        <v>64</v>
      </c>
      <c r="I107">
        <v>8654542</v>
      </c>
      <c r="J107">
        <v>980</v>
      </c>
      <c r="K107">
        <v>143925690.3291294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197</v>
      </c>
      <c r="E109">
        <v>54685598.850046858</v>
      </c>
      <c r="F109">
        <v>22</v>
      </c>
      <c r="G109">
        <v>9838182</v>
      </c>
      <c r="H109">
        <v>21</v>
      </c>
      <c r="I109">
        <v>4409092</v>
      </c>
      <c r="J109">
        <v>198</v>
      </c>
      <c r="K109">
        <v>60114688.850046858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177</v>
      </c>
      <c r="E110">
        <v>63280196.166189112</v>
      </c>
      <c r="F110">
        <v>35</v>
      </c>
      <c r="G110">
        <v>9020000</v>
      </c>
      <c r="H110">
        <v>9</v>
      </c>
      <c r="I110">
        <v>3763636</v>
      </c>
      <c r="J110">
        <v>203</v>
      </c>
      <c r="K110">
        <v>68536560.166189104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34</v>
      </c>
      <c r="E111">
        <v>2573955.8936170209</v>
      </c>
      <c r="F111">
        <v>0</v>
      </c>
      <c r="G111">
        <v>0</v>
      </c>
      <c r="H111">
        <v>0</v>
      </c>
      <c r="I111">
        <v>0</v>
      </c>
      <c r="J111">
        <v>34</v>
      </c>
      <c r="K111">
        <v>2573955.8936170209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81</v>
      </c>
      <c r="E112">
        <v>37330521.259079903</v>
      </c>
      <c r="F112">
        <v>4</v>
      </c>
      <c r="G112">
        <v>7963636</v>
      </c>
      <c r="H112">
        <v>0</v>
      </c>
      <c r="I112">
        <v>0</v>
      </c>
      <c r="J112">
        <v>85</v>
      </c>
      <c r="K112">
        <v>45294157.259079903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191</v>
      </c>
      <c r="E113">
        <v>70026291.390264019</v>
      </c>
      <c r="F113">
        <v>0</v>
      </c>
      <c r="G113">
        <v>0</v>
      </c>
      <c r="H113">
        <v>0</v>
      </c>
      <c r="I113">
        <v>0</v>
      </c>
      <c r="J113">
        <v>191</v>
      </c>
      <c r="K113">
        <v>70026291.390264019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</v>
      </c>
      <c r="K122">
        <v>0</v>
      </c>
    </row>
    <row r="123" spans="1:11" x14ac:dyDescent="0.25">
      <c r="A123">
        <v>122</v>
      </c>
      <c r="B123" t="s">
        <v>253</v>
      </c>
      <c r="C123" t="s">
        <v>254</v>
      </c>
      <c r="D123">
        <v>257</v>
      </c>
      <c r="E123">
        <v>101465936.61630701</v>
      </c>
      <c r="F123">
        <v>0</v>
      </c>
      <c r="G123">
        <v>0</v>
      </c>
      <c r="H123">
        <v>30</v>
      </c>
      <c r="I123">
        <v>16363636</v>
      </c>
      <c r="J123">
        <v>227</v>
      </c>
      <c r="K123">
        <v>85102300.616306961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21</v>
      </c>
      <c r="E124">
        <v>11930694.84722222</v>
      </c>
      <c r="F124">
        <v>0</v>
      </c>
      <c r="G124">
        <v>0</v>
      </c>
      <c r="H124">
        <v>0</v>
      </c>
      <c r="I124">
        <v>0</v>
      </c>
      <c r="J124">
        <v>21</v>
      </c>
      <c r="K124">
        <v>11930694.84722222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283</v>
      </c>
      <c r="E126">
        <v>164507194.2321918</v>
      </c>
      <c r="F126">
        <v>33</v>
      </c>
      <c r="G126">
        <v>16237346</v>
      </c>
      <c r="H126">
        <v>18</v>
      </c>
      <c r="I126">
        <v>16918182</v>
      </c>
      <c r="J126">
        <v>298</v>
      </c>
      <c r="K126">
        <v>163826358.2321918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4</v>
      </c>
      <c r="E128">
        <v>4975692.4090909092</v>
      </c>
      <c r="F128">
        <v>0</v>
      </c>
      <c r="G128">
        <v>0</v>
      </c>
      <c r="H128">
        <v>1</v>
      </c>
      <c r="I128">
        <v>1936364</v>
      </c>
      <c r="J128">
        <v>3</v>
      </c>
      <c r="K128">
        <v>3039328.4090909092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9</v>
      </c>
      <c r="E129">
        <v>23105572.75</v>
      </c>
      <c r="F129">
        <v>1</v>
      </c>
      <c r="G129">
        <v>1364400</v>
      </c>
      <c r="H129">
        <v>1</v>
      </c>
      <c r="I129">
        <v>2727273</v>
      </c>
      <c r="J129">
        <v>9</v>
      </c>
      <c r="K129">
        <v>21742699.75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535</v>
      </c>
      <c r="E131">
        <v>141651598.5194805</v>
      </c>
      <c r="F131">
        <v>0</v>
      </c>
      <c r="G131">
        <v>0</v>
      </c>
      <c r="H131">
        <v>8</v>
      </c>
      <c r="I131">
        <v>1809092</v>
      </c>
      <c r="J131">
        <v>527</v>
      </c>
      <c r="K131">
        <v>139842506.5194805</v>
      </c>
    </row>
    <row r="132" spans="1:11" x14ac:dyDescent="0.25">
      <c r="A132">
        <v>131</v>
      </c>
      <c r="B132" t="s">
        <v>271</v>
      </c>
      <c r="C132" t="s">
        <v>272</v>
      </c>
      <c r="D132">
        <v>421</v>
      </c>
      <c r="E132">
        <v>24654862.7489301</v>
      </c>
      <c r="F132">
        <v>0</v>
      </c>
      <c r="G132">
        <v>0</v>
      </c>
      <c r="H132">
        <v>307</v>
      </c>
      <c r="I132">
        <v>7581816</v>
      </c>
      <c r="J132">
        <v>114</v>
      </c>
      <c r="K132">
        <v>17073046.7489301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201</v>
      </c>
      <c r="E133">
        <v>41432390.769411772</v>
      </c>
      <c r="F133">
        <v>42</v>
      </c>
      <c r="G133">
        <v>4482738</v>
      </c>
      <c r="H133">
        <v>13</v>
      </c>
      <c r="I133">
        <v>3181818</v>
      </c>
      <c r="J133">
        <v>230</v>
      </c>
      <c r="K133">
        <v>42733310.769411772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68</v>
      </c>
      <c r="E134">
        <v>26996151.08433735</v>
      </c>
      <c r="F134">
        <v>4</v>
      </c>
      <c r="G134">
        <v>1781816</v>
      </c>
      <c r="H134">
        <v>6</v>
      </c>
      <c r="I134">
        <v>3063636</v>
      </c>
      <c r="J134">
        <v>66</v>
      </c>
      <c r="K134">
        <v>25714331.08433735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11</v>
      </c>
      <c r="E136">
        <v>1573083.368421053</v>
      </c>
      <c r="F136">
        <v>0</v>
      </c>
      <c r="G136">
        <v>0</v>
      </c>
      <c r="H136">
        <v>0</v>
      </c>
      <c r="I136">
        <v>0</v>
      </c>
      <c r="J136">
        <v>11</v>
      </c>
      <c r="K136">
        <v>1573083.368421053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23</v>
      </c>
      <c r="E138">
        <v>31253386.860465121</v>
      </c>
      <c r="F138">
        <v>0</v>
      </c>
      <c r="G138">
        <v>0</v>
      </c>
      <c r="H138">
        <v>0</v>
      </c>
      <c r="I138">
        <v>0</v>
      </c>
      <c r="J138">
        <v>23</v>
      </c>
      <c r="K138">
        <v>31253386.860465121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4</v>
      </c>
      <c r="E141">
        <v>20379354.838709679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20379354.838709679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165</v>
      </c>
      <c r="E143">
        <v>67256168.115942031</v>
      </c>
      <c r="F143">
        <v>2</v>
      </c>
      <c r="G143">
        <v>5600000</v>
      </c>
      <c r="H143">
        <v>0</v>
      </c>
      <c r="I143">
        <v>0</v>
      </c>
      <c r="J143">
        <v>167</v>
      </c>
      <c r="K143">
        <v>72856168.115942031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323.89</v>
      </c>
      <c r="E146">
        <v>157499633</v>
      </c>
      <c r="F146">
        <v>200.41</v>
      </c>
      <c r="G146">
        <v>135759053</v>
      </c>
      <c r="H146">
        <v>55</v>
      </c>
      <c r="I146">
        <v>104736363</v>
      </c>
      <c r="J146">
        <v>469.3</v>
      </c>
      <c r="K146">
        <v>188522323</v>
      </c>
    </row>
    <row r="147" spans="1:11" x14ac:dyDescent="0.25">
      <c r="A147" t="s">
        <v>301</v>
      </c>
      <c r="D147">
        <v>18937.89</v>
      </c>
      <c r="E147">
        <v>21479198032.13044</v>
      </c>
      <c r="F147">
        <v>1516.41</v>
      </c>
      <c r="G147">
        <v>1536437737.6300001</v>
      </c>
      <c r="H147">
        <v>1237</v>
      </c>
      <c r="I147">
        <v>1702314546</v>
      </c>
      <c r="J147">
        <v>19217.3</v>
      </c>
      <c r="K147">
        <v>21313321223.760429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13</v>
      </c>
      <c r="E2">
        <v>136344475.77272731</v>
      </c>
      <c r="F2">
        <v>0</v>
      </c>
      <c r="G2">
        <v>0</v>
      </c>
      <c r="H2">
        <v>2</v>
      </c>
      <c r="I2">
        <v>26081819</v>
      </c>
      <c r="J2">
        <v>11</v>
      </c>
      <c r="K2">
        <v>110262656.7727273</v>
      </c>
    </row>
    <row r="3" spans="1:11" x14ac:dyDescent="0.25">
      <c r="A3">
        <v>2</v>
      </c>
      <c r="B3" t="s">
        <v>13</v>
      </c>
      <c r="C3" t="s">
        <v>14</v>
      </c>
      <c r="D3">
        <v>21</v>
      </c>
      <c r="E3">
        <v>213769306</v>
      </c>
      <c r="F3">
        <v>0</v>
      </c>
      <c r="G3">
        <v>0</v>
      </c>
      <c r="H3">
        <v>1</v>
      </c>
      <c r="I3">
        <v>10445455</v>
      </c>
      <c r="J3">
        <v>20</v>
      </c>
      <c r="K3">
        <v>203323851</v>
      </c>
    </row>
    <row r="4" spans="1:11" x14ac:dyDescent="0.25">
      <c r="A4">
        <v>3</v>
      </c>
      <c r="B4" t="s">
        <v>15</v>
      </c>
      <c r="C4" t="s">
        <v>16</v>
      </c>
      <c r="D4">
        <v>164</v>
      </c>
      <c r="E4">
        <v>2156588327.201292</v>
      </c>
      <c r="F4">
        <v>0</v>
      </c>
      <c r="G4">
        <v>0</v>
      </c>
      <c r="H4">
        <v>1</v>
      </c>
      <c r="I4">
        <v>14090909</v>
      </c>
      <c r="J4">
        <v>163</v>
      </c>
      <c r="K4">
        <v>2142497418.201292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18</v>
      </c>
      <c r="E6">
        <v>198829984.1785714</v>
      </c>
      <c r="F6">
        <v>1</v>
      </c>
      <c r="G6">
        <v>12545455</v>
      </c>
      <c r="H6">
        <v>0</v>
      </c>
      <c r="I6">
        <v>0</v>
      </c>
      <c r="J6">
        <v>19</v>
      </c>
      <c r="K6">
        <v>211375439.1785714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7</v>
      </c>
      <c r="E8">
        <v>72128099.090909094</v>
      </c>
      <c r="F8">
        <v>0</v>
      </c>
      <c r="G8">
        <v>0</v>
      </c>
      <c r="H8">
        <v>1</v>
      </c>
      <c r="I8">
        <v>13454545</v>
      </c>
      <c r="J8">
        <v>6</v>
      </c>
      <c r="K8">
        <v>58673554.090909094</v>
      </c>
    </row>
    <row r="9" spans="1:11" x14ac:dyDescent="0.25">
      <c r="A9">
        <v>8</v>
      </c>
      <c r="B9" t="s">
        <v>25</v>
      </c>
      <c r="C9" t="s">
        <v>26</v>
      </c>
      <c r="D9">
        <v>7</v>
      </c>
      <c r="E9">
        <v>21068091.449999999</v>
      </c>
      <c r="F9">
        <v>0</v>
      </c>
      <c r="G9">
        <v>0</v>
      </c>
      <c r="H9">
        <v>0</v>
      </c>
      <c r="I9">
        <v>0</v>
      </c>
      <c r="J9">
        <v>7</v>
      </c>
      <c r="K9">
        <v>21068091.449999999</v>
      </c>
    </row>
    <row r="10" spans="1:11" x14ac:dyDescent="0.25">
      <c r="A10">
        <v>9</v>
      </c>
      <c r="B10" t="s">
        <v>27</v>
      </c>
      <c r="C10" t="s">
        <v>28</v>
      </c>
      <c r="D10">
        <v>172</v>
      </c>
      <c r="E10">
        <v>778420040.5951941</v>
      </c>
      <c r="F10">
        <v>2</v>
      </c>
      <c r="G10">
        <v>15454545</v>
      </c>
      <c r="H10">
        <v>2</v>
      </c>
      <c r="I10">
        <v>15545455</v>
      </c>
      <c r="J10">
        <v>172</v>
      </c>
      <c r="K10">
        <v>778329130.5951941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0</v>
      </c>
      <c r="G11">
        <v>0</v>
      </c>
      <c r="H11">
        <v>0</v>
      </c>
      <c r="I11">
        <v>0</v>
      </c>
      <c r="J11">
        <v>7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218</v>
      </c>
      <c r="E12">
        <v>2719663773.2191219</v>
      </c>
      <c r="F12">
        <v>0</v>
      </c>
      <c r="G12">
        <v>0</v>
      </c>
      <c r="H12">
        <v>3</v>
      </c>
      <c r="I12">
        <v>40063636</v>
      </c>
      <c r="J12">
        <v>215</v>
      </c>
      <c r="K12">
        <v>2679600137.2191219</v>
      </c>
    </row>
    <row r="13" spans="1:11" x14ac:dyDescent="0.25">
      <c r="A13">
        <v>12</v>
      </c>
      <c r="B13" t="s">
        <v>33</v>
      </c>
      <c r="C13" t="s">
        <v>34</v>
      </c>
      <c r="D13">
        <v>29</v>
      </c>
      <c r="E13">
        <v>443926048.76923078</v>
      </c>
      <c r="F13">
        <v>0</v>
      </c>
      <c r="G13">
        <v>0</v>
      </c>
      <c r="H13">
        <v>0</v>
      </c>
      <c r="I13">
        <v>0</v>
      </c>
      <c r="J13">
        <v>29</v>
      </c>
      <c r="K13">
        <v>443926048.76923078</v>
      </c>
    </row>
    <row r="14" spans="1:11" x14ac:dyDescent="0.25">
      <c r="A14">
        <v>13</v>
      </c>
      <c r="B14" t="s">
        <v>35</v>
      </c>
      <c r="C14" t="s">
        <v>36</v>
      </c>
      <c r="D14">
        <v>21</v>
      </c>
      <c r="E14">
        <v>368493495.28947371</v>
      </c>
      <c r="F14">
        <v>0</v>
      </c>
      <c r="G14">
        <v>0</v>
      </c>
      <c r="H14">
        <v>1</v>
      </c>
      <c r="I14">
        <v>13727273</v>
      </c>
      <c r="J14">
        <v>20</v>
      </c>
      <c r="K14">
        <v>354766222.28947371</v>
      </c>
    </row>
    <row r="15" spans="1:11" x14ac:dyDescent="0.25">
      <c r="A15">
        <v>14</v>
      </c>
      <c r="B15" t="s">
        <v>37</v>
      </c>
      <c r="C15" t="s">
        <v>38</v>
      </c>
      <c r="D15">
        <v>50</v>
      </c>
      <c r="E15">
        <v>487120496.93430662</v>
      </c>
      <c r="F15">
        <v>0</v>
      </c>
      <c r="G15">
        <v>0</v>
      </c>
      <c r="H15">
        <v>3</v>
      </c>
      <c r="I15">
        <v>43000000</v>
      </c>
      <c r="J15">
        <v>47</v>
      </c>
      <c r="K15">
        <v>444120496.93430662</v>
      </c>
    </row>
    <row r="16" spans="1:11" x14ac:dyDescent="0.25">
      <c r="A16">
        <v>15</v>
      </c>
      <c r="B16" t="s">
        <v>39</v>
      </c>
      <c r="C16" t="s">
        <v>40</v>
      </c>
      <c r="D16">
        <v>12</v>
      </c>
      <c r="E16">
        <v>168825899.10447761</v>
      </c>
      <c r="F16">
        <v>0</v>
      </c>
      <c r="G16">
        <v>0</v>
      </c>
      <c r="H16">
        <v>1</v>
      </c>
      <c r="I16">
        <v>10509091</v>
      </c>
      <c r="J16">
        <v>11</v>
      </c>
      <c r="K16">
        <v>158316808.10447761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1</v>
      </c>
      <c r="G20">
        <v>16818182</v>
      </c>
      <c r="H20">
        <v>1</v>
      </c>
      <c r="I20">
        <v>17718182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208</v>
      </c>
      <c r="E24">
        <v>1737531101.5497241</v>
      </c>
      <c r="F24">
        <v>0</v>
      </c>
      <c r="G24">
        <v>0</v>
      </c>
      <c r="H24">
        <v>5</v>
      </c>
      <c r="I24">
        <v>48863636</v>
      </c>
      <c r="J24">
        <v>203</v>
      </c>
      <c r="K24">
        <v>1688667465.5497241</v>
      </c>
    </row>
    <row r="25" spans="1:11" x14ac:dyDescent="0.25">
      <c r="A25">
        <v>24</v>
      </c>
      <c r="B25" t="s">
        <v>57</v>
      </c>
      <c r="C25" t="s">
        <v>58</v>
      </c>
      <c r="D25">
        <v>312</v>
      </c>
      <c r="E25">
        <v>2419245256.361217</v>
      </c>
      <c r="F25">
        <v>0</v>
      </c>
      <c r="G25">
        <v>0</v>
      </c>
      <c r="H25">
        <v>13</v>
      </c>
      <c r="I25">
        <v>103536364</v>
      </c>
      <c r="J25">
        <v>299</v>
      </c>
      <c r="K25">
        <v>2315708892.361217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98033776.307692319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98033776.307692319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25381986.5</v>
      </c>
      <c r="F33">
        <v>0</v>
      </c>
      <c r="G33">
        <v>0</v>
      </c>
      <c r="H33">
        <v>0</v>
      </c>
      <c r="I33">
        <v>0</v>
      </c>
      <c r="J33">
        <v>5</v>
      </c>
      <c r="K33">
        <v>25381986.5</v>
      </c>
    </row>
    <row r="34" spans="1:11" x14ac:dyDescent="0.25">
      <c r="A34">
        <v>33</v>
      </c>
      <c r="B34" t="s">
        <v>75</v>
      </c>
      <c r="C34" t="s">
        <v>76</v>
      </c>
      <c r="D34">
        <v>51</v>
      </c>
      <c r="E34">
        <v>157886172.18326691</v>
      </c>
      <c r="F34">
        <v>0</v>
      </c>
      <c r="G34">
        <v>0</v>
      </c>
      <c r="H34">
        <v>2</v>
      </c>
      <c r="I34">
        <v>6036364</v>
      </c>
      <c r="J34">
        <v>49</v>
      </c>
      <c r="K34">
        <v>151849808.18326691</v>
      </c>
    </row>
    <row r="35" spans="1:11" x14ac:dyDescent="0.25">
      <c r="A35">
        <v>34</v>
      </c>
      <c r="B35" t="s">
        <v>77</v>
      </c>
      <c r="C35" t="s">
        <v>78</v>
      </c>
      <c r="D35">
        <v>428</v>
      </c>
      <c r="E35">
        <v>898887807.55380154</v>
      </c>
      <c r="F35">
        <v>0</v>
      </c>
      <c r="G35">
        <v>0</v>
      </c>
      <c r="H35">
        <v>33</v>
      </c>
      <c r="I35">
        <v>71572727</v>
      </c>
      <c r="J35">
        <v>395</v>
      </c>
      <c r="K35">
        <v>827315080.55380154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0</v>
      </c>
      <c r="G36">
        <v>0</v>
      </c>
      <c r="H36">
        <v>0</v>
      </c>
      <c r="I36">
        <v>0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54</v>
      </c>
      <c r="E37">
        <v>137246741.1964286</v>
      </c>
      <c r="F37">
        <v>0</v>
      </c>
      <c r="G37">
        <v>0</v>
      </c>
      <c r="H37">
        <v>0</v>
      </c>
      <c r="I37">
        <v>0</v>
      </c>
      <c r="J37">
        <v>54</v>
      </c>
      <c r="K37">
        <v>137246741.1964286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114</v>
      </c>
      <c r="E39">
        <v>301547693.38106239</v>
      </c>
      <c r="F39">
        <v>0</v>
      </c>
      <c r="G39">
        <v>0</v>
      </c>
      <c r="H39">
        <v>2</v>
      </c>
      <c r="I39">
        <v>7127273</v>
      </c>
      <c r="J39">
        <v>112</v>
      </c>
      <c r="K39">
        <v>294420420.38106239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841</v>
      </c>
      <c r="E42">
        <v>724964888.34484041</v>
      </c>
      <c r="F42">
        <v>24</v>
      </c>
      <c r="G42">
        <v>43509090.090000004</v>
      </c>
      <c r="H42">
        <v>17</v>
      </c>
      <c r="I42">
        <v>61949999</v>
      </c>
      <c r="J42">
        <v>848</v>
      </c>
      <c r="K42">
        <v>706523979.43484044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427</v>
      </c>
      <c r="E44">
        <v>1174743282.9747441</v>
      </c>
      <c r="F44">
        <v>66</v>
      </c>
      <c r="G44">
        <v>185389092</v>
      </c>
      <c r="H44">
        <v>64</v>
      </c>
      <c r="I44">
        <v>157772726</v>
      </c>
      <c r="J44">
        <v>429</v>
      </c>
      <c r="K44">
        <v>1202359648.9747441</v>
      </c>
    </row>
    <row r="45" spans="1:11" x14ac:dyDescent="0.25">
      <c r="A45">
        <v>44</v>
      </c>
      <c r="B45" t="s">
        <v>97</v>
      </c>
      <c r="C45" t="s">
        <v>98</v>
      </c>
      <c r="D45">
        <v>66</v>
      </c>
      <c r="E45">
        <v>287130071.79297298</v>
      </c>
      <c r="F45">
        <v>24</v>
      </c>
      <c r="G45">
        <v>91158182</v>
      </c>
      <c r="H45">
        <v>0</v>
      </c>
      <c r="I45">
        <v>0</v>
      </c>
      <c r="J45">
        <v>90</v>
      </c>
      <c r="K45">
        <v>378288253.79297298</v>
      </c>
    </row>
    <row r="46" spans="1:11" x14ac:dyDescent="0.25">
      <c r="A46">
        <v>45</v>
      </c>
      <c r="B46" t="s">
        <v>99</v>
      </c>
      <c r="C46" t="s">
        <v>100</v>
      </c>
      <c r="D46">
        <v>111</v>
      </c>
      <c r="E46">
        <v>108718663.9925714</v>
      </c>
      <c r="F46">
        <v>1</v>
      </c>
      <c r="G46">
        <v>5363636</v>
      </c>
      <c r="H46">
        <v>1</v>
      </c>
      <c r="I46">
        <v>5909091</v>
      </c>
      <c r="J46">
        <v>111</v>
      </c>
      <c r="K46">
        <v>108173208.9925714</v>
      </c>
    </row>
    <row r="47" spans="1:11" x14ac:dyDescent="0.25">
      <c r="A47">
        <v>46</v>
      </c>
      <c r="B47" t="s">
        <v>101</v>
      </c>
      <c r="C47" t="s">
        <v>102</v>
      </c>
      <c r="D47">
        <v>46</v>
      </c>
      <c r="E47">
        <v>129581574.74567381</v>
      </c>
      <c r="F47">
        <v>4</v>
      </c>
      <c r="G47">
        <v>24036364</v>
      </c>
      <c r="H47">
        <v>2</v>
      </c>
      <c r="I47">
        <v>18409091</v>
      </c>
      <c r="J47">
        <v>48</v>
      </c>
      <c r="K47">
        <v>135208847.74567381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42</v>
      </c>
      <c r="E49">
        <v>289733158.15224141</v>
      </c>
      <c r="F49">
        <v>1</v>
      </c>
      <c r="G49">
        <v>6818182</v>
      </c>
      <c r="H49">
        <v>2</v>
      </c>
      <c r="I49">
        <v>9772728</v>
      </c>
      <c r="J49">
        <v>41</v>
      </c>
      <c r="K49">
        <v>286778612.15224141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4</v>
      </c>
      <c r="E51">
        <v>4189682.1999999988</v>
      </c>
      <c r="F51">
        <v>0</v>
      </c>
      <c r="G51">
        <v>0</v>
      </c>
      <c r="H51">
        <v>1</v>
      </c>
      <c r="I51">
        <v>1445455</v>
      </c>
      <c r="J51">
        <v>3</v>
      </c>
      <c r="K51">
        <v>2744227.1999999988</v>
      </c>
    </row>
    <row r="52" spans="1:11" x14ac:dyDescent="0.25">
      <c r="A52">
        <v>51</v>
      </c>
      <c r="B52" t="s">
        <v>111</v>
      </c>
      <c r="C52" t="s">
        <v>112</v>
      </c>
      <c r="D52">
        <v>56</v>
      </c>
      <c r="E52">
        <v>101677791.26693881</v>
      </c>
      <c r="F52">
        <v>1</v>
      </c>
      <c r="G52">
        <v>227273</v>
      </c>
      <c r="H52">
        <v>0</v>
      </c>
      <c r="I52">
        <v>0</v>
      </c>
      <c r="J52">
        <v>57</v>
      </c>
      <c r="K52">
        <v>101905064.26693881</v>
      </c>
    </row>
    <row r="53" spans="1:11" x14ac:dyDescent="0.25">
      <c r="A53">
        <v>52</v>
      </c>
      <c r="B53" t="s">
        <v>113</v>
      </c>
      <c r="C53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71</v>
      </c>
      <c r="E55">
        <v>259640025.17270201</v>
      </c>
      <c r="F55">
        <v>10</v>
      </c>
      <c r="G55">
        <v>2268000</v>
      </c>
      <c r="H55">
        <v>10</v>
      </c>
      <c r="I55">
        <v>37881818</v>
      </c>
      <c r="J55">
        <v>71</v>
      </c>
      <c r="K55">
        <v>224026207.17270201</v>
      </c>
    </row>
    <row r="56" spans="1:11" x14ac:dyDescent="0.25">
      <c r="A56">
        <v>55</v>
      </c>
      <c r="B56" t="s">
        <v>119</v>
      </c>
      <c r="C56" t="s">
        <v>120</v>
      </c>
      <c r="D56">
        <v>27</v>
      </c>
      <c r="E56">
        <v>27492776.491525419</v>
      </c>
      <c r="F56">
        <v>0</v>
      </c>
      <c r="G56">
        <v>0</v>
      </c>
      <c r="H56">
        <v>3</v>
      </c>
      <c r="I56">
        <v>3545455</v>
      </c>
      <c r="J56">
        <v>24</v>
      </c>
      <c r="K56">
        <v>23947321.491525419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58</v>
      </c>
      <c r="B59" t="s">
        <v>125</v>
      </c>
      <c r="C59" t="s">
        <v>126</v>
      </c>
      <c r="D59">
        <v>3159</v>
      </c>
      <c r="E59">
        <v>426552908.38559759</v>
      </c>
      <c r="F59">
        <v>10</v>
      </c>
      <c r="G59">
        <v>5831820</v>
      </c>
      <c r="H59">
        <v>27</v>
      </c>
      <c r="I59">
        <v>13663636</v>
      </c>
      <c r="J59">
        <v>3142</v>
      </c>
      <c r="K59">
        <v>418721092.38559759</v>
      </c>
    </row>
    <row r="60" spans="1:11" x14ac:dyDescent="0.25">
      <c r="A60">
        <v>59</v>
      </c>
      <c r="B60" t="s">
        <v>127</v>
      </c>
      <c r="C60" t="s">
        <v>128</v>
      </c>
      <c r="D60">
        <v>94</v>
      </c>
      <c r="E60">
        <v>7855728.6822262118</v>
      </c>
      <c r="F60">
        <v>0</v>
      </c>
      <c r="G60">
        <v>0</v>
      </c>
      <c r="H60">
        <v>0</v>
      </c>
      <c r="I60">
        <v>0</v>
      </c>
      <c r="J60">
        <v>94</v>
      </c>
      <c r="K60">
        <v>7855728.6822262118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3955800.75</v>
      </c>
      <c r="F61">
        <v>0</v>
      </c>
      <c r="G61">
        <v>0</v>
      </c>
      <c r="H61">
        <v>0</v>
      </c>
      <c r="I61">
        <v>0</v>
      </c>
      <c r="J61">
        <v>22</v>
      </c>
      <c r="K61">
        <v>3955800.75</v>
      </c>
    </row>
    <row r="62" spans="1:11" x14ac:dyDescent="0.25">
      <c r="A62">
        <v>61</v>
      </c>
      <c r="B62" t="s">
        <v>131</v>
      </c>
      <c r="C62" t="s">
        <v>132</v>
      </c>
      <c r="D62">
        <v>1217</v>
      </c>
      <c r="E62">
        <v>219124172.8789579</v>
      </c>
      <c r="F62">
        <v>245</v>
      </c>
      <c r="G62">
        <v>77181135</v>
      </c>
      <c r="H62">
        <v>8</v>
      </c>
      <c r="I62">
        <v>1718181</v>
      </c>
      <c r="J62">
        <v>1454</v>
      </c>
      <c r="K62">
        <v>294587126.87895793</v>
      </c>
    </row>
    <row r="63" spans="1:11" x14ac:dyDescent="0.25">
      <c r="A63">
        <v>62</v>
      </c>
      <c r="B63" t="s">
        <v>133</v>
      </c>
      <c r="C63" t="s">
        <v>134</v>
      </c>
      <c r="D63">
        <v>236</v>
      </c>
      <c r="E63">
        <v>48730859.711580493</v>
      </c>
      <c r="F63">
        <v>25</v>
      </c>
      <c r="G63">
        <v>10912500</v>
      </c>
      <c r="H63">
        <v>0</v>
      </c>
      <c r="I63">
        <v>0</v>
      </c>
      <c r="J63">
        <v>261</v>
      </c>
      <c r="K63">
        <v>59643359.711580493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19</v>
      </c>
      <c r="E65">
        <v>14597135.811123591</v>
      </c>
      <c r="F65">
        <v>1</v>
      </c>
      <c r="G65">
        <v>350000</v>
      </c>
      <c r="H65">
        <v>1</v>
      </c>
      <c r="I65">
        <v>954545</v>
      </c>
      <c r="J65">
        <v>19</v>
      </c>
      <c r="K65">
        <v>13992590.811123591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112</v>
      </c>
      <c r="E70">
        <v>46218219.125112101</v>
      </c>
      <c r="F70">
        <v>35</v>
      </c>
      <c r="G70">
        <v>19444091</v>
      </c>
      <c r="H70">
        <v>2</v>
      </c>
      <c r="I70">
        <v>1454546</v>
      </c>
      <c r="J70">
        <v>145</v>
      </c>
      <c r="K70">
        <v>64207764.125112101</v>
      </c>
    </row>
    <row r="71" spans="1:11" x14ac:dyDescent="0.25">
      <c r="A71">
        <v>70</v>
      </c>
      <c r="B71" t="s">
        <v>149</v>
      </c>
      <c r="C71" t="s">
        <v>150</v>
      </c>
      <c r="D71">
        <v>7</v>
      </c>
      <c r="E71">
        <v>1388337.16</v>
      </c>
      <c r="F71">
        <v>0</v>
      </c>
      <c r="G71">
        <v>0</v>
      </c>
      <c r="H71">
        <v>0</v>
      </c>
      <c r="I71">
        <v>0</v>
      </c>
      <c r="J71">
        <v>7</v>
      </c>
      <c r="K71">
        <v>1388337.16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60</v>
      </c>
      <c r="E74">
        <v>135326023.07878789</v>
      </c>
      <c r="F74">
        <v>0</v>
      </c>
      <c r="G74">
        <v>0</v>
      </c>
      <c r="H74">
        <v>2</v>
      </c>
      <c r="I74">
        <v>8536363</v>
      </c>
      <c r="J74">
        <v>58</v>
      </c>
      <c r="K74">
        <v>126789660.07878789</v>
      </c>
    </row>
    <row r="75" spans="1:11" x14ac:dyDescent="0.25">
      <c r="A75">
        <v>74</v>
      </c>
      <c r="B75" t="s">
        <v>157</v>
      </c>
      <c r="C75" t="s">
        <v>158</v>
      </c>
      <c r="D75">
        <v>62</v>
      </c>
      <c r="E75">
        <v>207269224.7509881</v>
      </c>
      <c r="F75">
        <v>1</v>
      </c>
      <c r="G75">
        <v>2809091</v>
      </c>
      <c r="H75">
        <v>0</v>
      </c>
      <c r="I75">
        <v>0</v>
      </c>
      <c r="J75">
        <v>63</v>
      </c>
      <c r="K75">
        <v>210078315.7509881</v>
      </c>
    </row>
    <row r="76" spans="1:11" x14ac:dyDescent="0.25">
      <c r="A76">
        <v>75</v>
      </c>
      <c r="B76" t="s">
        <v>159</v>
      </c>
      <c r="C76" t="s">
        <v>160</v>
      </c>
      <c r="D76">
        <v>4</v>
      </c>
      <c r="E76">
        <v>22866456.875</v>
      </c>
      <c r="F76">
        <v>0</v>
      </c>
      <c r="G76">
        <v>0</v>
      </c>
      <c r="H76">
        <v>0</v>
      </c>
      <c r="I76">
        <v>0</v>
      </c>
      <c r="J76">
        <v>4</v>
      </c>
      <c r="K76">
        <v>22866456.875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100</v>
      </c>
      <c r="E78">
        <v>146522437.59605911</v>
      </c>
      <c r="F78">
        <v>0</v>
      </c>
      <c r="G78">
        <v>0</v>
      </c>
      <c r="H78">
        <v>0</v>
      </c>
      <c r="I78">
        <v>0</v>
      </c>
      <c r="J78">
        <v>100</v>
      </c>
      <c r="K78">
        <v>146522437.59605911</v>
      </c>
    </row>
    <row r="79" spans="1:11" x14ac:dyDescent="0.25">
      <c r="A79">
        <v>78</v>
      </c>
      <c r="B79" t="s">
        <v>165</v>
      </c>
      <c r="C79" t="s">
        <v>166</v>
      </c>
      <c r="D79">
        <v>6</v>
      </c>
      <c r="E79">
        <v>13411842</v>
      </c>
      <c r="F79">
        <v>0</v>
      </c>
      <c r="G79">
        <v>0</v>
      </c>
      <c r="H79">
        <v>0</v>
      </c>
      <c r="I79">
        <v>0</v>
      </c>
      <c r="J79">
        <v>6</v>
      </c>
      <c r="K79">
        <v>13411842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507</v>
      </c>
      <c r="E81">
        <v>174993956.62329009</v>
      </c>
      <c r="F81">
        <v>10</v>
      </c>
      <c r="G81">
        <v>3090910</v>
      </c>
      <c r="H81">
        <v>59</v>
      </c>
      <c r="I81">
        <v>28227271</v>
      </c>
      <c r="J81">
        <v>458</v>
      </c>
      <c r="K81">
        <v>149857595.62329009</v>
      </c>
    </row>
    <row r="82" spans="1:11" x14ac:dyDescent="0.25">
      <c r="A82">
        <v>81</v>
      </c>
      <c r="B82" t="s">
        <v>171</v>
      </c>
      <c r="C82" t="s">
        <v>172</v>
      </c>
      <c r="D82">
        <v>125</v>
      </c>
      <c r="E82">
        <v>80021223.117302045</v>
      </c>
      <c r="F82">
        <v>7</v>
      </c>
      <c r="G82">
        <v>6468181</v>
      </c>
      <c r="H82">
        <v>10</v>
      </c>
      <c r="I82">
        <v>863636</v>
      </c>
      <c r="J82">
        <v>122</v>
      </c>
      <c r="K82">
        <v>85625768.117302045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12</v>
      </c>
      <c r="E84">
        <v>37192090.200000003</v>
      </c>
      <c r="F84">
        <v>0</v>
      </c>
      <c r="G84">
        <v>0</v>
      </c>
      <c r="H84">
        <v>0</v>
      </c>
      <c r="I84">
        <v>0</v>
      </c>
      <c r="J84">
        <v>12</v>
      </c>
      <c r="K84">
        <v>37192090.200000003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21168255.483870968</v>
      </c>
      <c r="F85">
        <v>1</v>
      </c>
      <c r="G85">
        <v>7037273</v>
      </c>
      <c r="H85">
        <v>0</v>
      </c>
      <c r="I85">
        <v>0</v>
      </c>
      <c r="J85">
        <v>5</v>
      </c>
      <c r="K85">
        <v>28205528.483870968</v>
      </c>
    </row>
    <row r="86" spans="1:11" x14ac:dyDescent="0.25">
      <c r="A86">
        <v>85</v>
      </c>
      <c r="B86" t="s">
        <v>179</v>
      </c>
      <c r="C86" t="s">
        <v>180</v>
      </c>
      <c r="D86">
        <v>12</v>
      </c>
      <c r="E86">
        <v>11829493.16</v>
      </c>
      <c r="F86">
        <v>0</v>
      </c>
      <c r="G86">
        <v>0</v>
      </c>
      <c r="H86">
        <v>0</v>
      </c>
      <c r="I86">
        <v>0</v>
      </c>
      <c r="J86">
        <v>12</v>
      </c>
      <c r="K86">
        <v>11829493.16</v>
      </c>
    </row>
    <row r="87" spans="1:11" x14ac:dyDescent="0.25">
      <c r="A87">
        <v>86</v>
      </c>
      <c r="B87" t="s">
        <v>181</v>
      </c>
      <c r="C87" t="s">
        <v>182</v>
      </c>
      <c r="D87">
        <v>69</v>
      </c>
      <c r="E87">
        <v>90450976.572559372</v>
      </c>
      <c r="F87">
        <v>0</v>
      </c>
      <c r="G87">
        <v>0</v>
      </c>
      <c r="H87">
        <v>1</v>
      </c>
      <c r="I87">
        <v>1018182</v>
      </c>
      <c r="J87">
        <v>68</v>
      </c>
      <c r="K87">
        <v>89432794.572559372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3293181.9545454541</v>
      </c>
      <c r="F88">
        <v>0</v>
      </c>
      <c r="G88">
        <v>0</v>
      </c>
      <c r="H88">
        <v>0</v>
      </c>
      <c r="I88">
        <v>0</v>
      </c>
      <c r="J88">
        <v>3</v>
      </c>
      <c r="K88">
        <v>3293181.9545454541</v>
      </c>
    </row>
    <row r="89" spans="1:11" x14ac:dyDescent="0.25">
      <c r="A89">
        <v>88</v>
      </c>
      <c r="B89" t="s">
        <v>185</v>
      </c>
      <c r="C89" t="s">
        <v>186</v>
      </c>
      <c r="D89">
        <v>954</v>
      </c>
      <c r="E89">
        <v>339084939.74628812</v>
      </c>
      <c r="F89">
        <v>0</v>
      </c>
      <c r="G89">
        <v>0</v>
      </c>
      <c r="H89">
        <v>48</v>
      </c>
      <c r="I89">
        <v>44463638</v>
      </c>
      <c r="J89">
        <v>906</v>
      </c>
      <c r="K89">
        <v>294621301.74628812</v>
      </c>
    </row>
    <row r="90" spans="1:11" x14ac:dyDescent="0.25">
      <c r="A90">
        <v>89</v>
      </c>
      <c r="B90" t="s">
        <v>187</v>
      </c>
      <c r="C90" t="s">
        <v>188</v>
      </c>
      <c r="D90">
        <v>179</v>
      </c>
      <c r="E90">
        <v>171694573.34957021</v>
      </c>
      <c r="F90">
        <v>0</v>
      </c>
      <c r="G90">
        <v>0</v>
      </c>
      <c r="H90">
        <v>3</v>
      </c>
      <c r="I90">
        <v>2763636</v>
      </c>
      <c r="J90">
        <v>176</v>
      </c>
      <c r="K90">
        <v>168930937.34957021</v>
      </c>
    </row>
    <row r="91" spans="1:11" x14ac:dyDescent="0.25">
      <c r="A91">
        <v>90</v>
      </c>
      <c r="B91" t="s">
        <v>189</v>
      </c>
      <c r="C91" t="s">
        <v>190</v>
      </c>
      <c r="D91">
        <v>44</v>
      </c>
      <c r="E91">
        <v>61480504.992395438</v>
      </c>
      <c r="F91">
        <v>0</v>
      </c>
      <c r="G91">
        <v>0</v>
      </c>
      <c r="H91">
        <v>0</v>
      </c>
      <c r="I91">
        <v>0</v>
      </c>
      <c r="J91">
        <v>44</v>
      </c>
      <c r="K91">
        <v>61480504.992395438</v>
      </c>
    </row>
    <row r="92" spans="1:11" x14ac:dyDescent="0.25">
      <c r="A92">
        <v>91</v>
      </c>
      <c r="B92" t="s">
        <v>191</v>
      </c>
      <c r="C92" t="s">
        <v>192</v>
      </c>
      <c r="D92">
        <v>107</v>
      </c>
      <c r="E92">
        <v>85622326.128078818</v>
      </c>
      <c r="F92">
        <v>1</v>
      </c>
      <c r="G92">
        <v>809091</v>
      </c>
      <c r="H92">
        <v>11</v>
      </c>
      <c r="I92">
        <v>11281818</v>
      </c>
      <c r="J92">
        <v>97</v>
      </c>
      <c r="K92">
        <v>75149599.128078818</v>
      </c>
    </row>
    <row r="93" spans="1:11" x14ac:dyDescent="0.25">
      <c r="A93">
        <v>92</v>
      </c>
      <c r="B93" t="s">
        <v>193</v>
      </c>
      <c r="C93" t="s">
        <v>194</v>
      </c>
      <c r="D93">
        <v>40</v>
      </c>
      <c r="E93">
        <v>65066783.432558142</v>
      </c>
      <c r="F93">
        <v>0</v>
      </c>
      <c r="G93">
        <v>0</v>
      </c>
      <c r="H93">
        <v>2</v>
      </c>
      <c r="I93">
        <v>3981818</v>
      </c>
      <c r="J93">
        <v>38</v>
      </c>
      <c r="K93">
        <v>61084965.432558142</v>
      </c>
    </row>
    <row r="94" spans="1:11" x14ac:dyDescent="0.25">
      <c r="A94">
        <v>93</v>
      </c>
      <c r="B94" t="s">
        <v>195</v>
      </c>
      <c r="C94" t="s">
        <v>196</v>
      </c>
      <c r="D94">
        <v>256</v>
      </c>
      <c r="E94">
        <v>109465226.6155607</v>
      </c>
      <c r="F94">
        <v>0</v>
      </c>
      <c r="G94">
        <v>0</v>
      </c>
      <c r="H94">
        <v>4</v>
      </c>
      <c r="I94">
        <v>7172727</v>
      </c>
      <c r="J94">
        <v>252</v>
      </c>
      <c r="K94">
        <v>102292499.6155607</v>
      </c>
    </row>
    <row r="95" spans="1:11" x14ac:dyDescent="0.25">
      <c r="A95">
        <v>94</v>
      </c>
      <c r="B95" t="s">
        <v>197</v>
      </c>
      <c r="C95" t="s">
        <v>198</v>
      </c>
      <c r="D95">
        <v>31</v>
      </c>
      <c r="E95">
        <v>3614635.8672566381</v>
      </c>
      <c r="F95">
        <v>0</v>
      </c>
      <c r="G95">
        <v>0</v>
      </c>
      <c r="H95">
        <v>8</v>
      </c>
      <c r="I95">
        <v>840909</v>
      </c>
      <c r="J95">
        <v>23</v>
      </c>
      <c r="K95">
        <v>2773726.8672566381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629</v>
      </c>
      <c r="E97">
        <v>109338801.4361957</v>
      </c>
      <c r="F97">
        <v>10</v>
      </c>
      <c r="G97">
        <v>4840912</v>
      </c>
      <c r="H97">
        <v>12</v>
      </c>
      <c r="I97">
        <v>1145455</v>
      </c>
      <c r="J97">
        <v>627</v>
      </c>
      <c r="K97">
        <v>113034258.4361957</v>
      </c>
    </row>
    <row r="98" spans="1:11" x14ac:dyDescent="0.25">
      <c r="A98">
        <v>97</v>
      </c>
      <c r="B98" t="s">
        <v>203</v>
      </c>
      <c r="C98" t="s">
        <v>204</v>
      </c>
      <c r="D98">
        <v>476</v>
      </c>
      <c r="E98">
        <v>93355303.620727673</v>
      </c>
      <c r="F98">
        <v>0</v>
      </c>
      <c r="G98">
        <v>0</v>
      </c>
      <c r="H98">
        <v>2</v>
      </c>
      <c r="I98">
        <v>609090</v>
      </c>
      <c r="J98">
        <v>474</v>
      </c>
      <c r="K98">
        <v>92746213.620727673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3674579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3674579</v>
      </c>
    </row>
    <row r="102" spans="1:11" x14ac:dyDescent="0.25">
      <c r="A102">
        <v>101</v>
      </c>
      <c r="B102" t="s">
        <v>211</v>
      </c>
      <c r="C102" t="s">
        <v>212</v>
      </c>
      <c r="D102">
        <v>81</v>
      </c>
      <c r="E102">
        <v>76280656.669291347</v>
      </c>
      <c r="F102">
        <v>5</v>
      </c>
      <c r="G102">
        <v>6363636</v>
      </c>
      <c r="H102">
        <v>0</v>
      </c>
      <c r="I102">
        <v>0</v>
      </c>
      <c r="J102">
        <v>86</v>
      </c>
      <c r="K102">
        <v>82644292.669291347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1272</v>
      </c>
      <c r="E104">
        <v>168714993.46378449</v>
      </c>
      <c r="F104">
        <v>13</v>
      </c>
      <c r="G104">
        <v>5831819</v>
      </c>
      <c r="H104">
        <v>19</v>
      </c>
      <c r="I104">
        <v>3245454</v>
      </c>
      <c r="J104">
        <v>1266</v>
      </c>
      <c r="K104">
        <v>171301358.46378449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116</v>
      </c>
      <c r="E105">
        <v>40255357.992982447</v>
      </c>
      <c r="F105">
        <v>0</v>
      </c>
      <c r="G105">
        <v>0</v>
      </c>
      <c r="H105">
        <v>0</v>
      </c>
      <c r="I105">
        <v>0</v>
      </c>
      <c r="J105">
        <v>116</v>
      </c>
      <c r="K105">
        <v>40255357.992982447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1515</v>
      </c>
      <c r="E106">
        <v>181797354.69023031</v>
      </c>
      <c r="F106">
        <v>0</v>
      </c>
      <c r="G106">
        <v>0</v>
      </c>
      <c r="H106">
        <v>34</v>
      </c>
      <c r="I106">
        <v>6718182</v>
      </c>
      <c r="J106">
        <v>1481</v>
      </c>
      <c r="K106">
        <v>175079172.69023031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980</v>
      </c>
      <c r="E107">
        <v>143925690.3291294</v>
      </c>
      <c r="F107">
        <v>0</v>
      </c>
      <c r="G107">
        <v>0</v>
      </c>
      <c r="H107">
        <v>23</v>
      </c>
      <c r="I107">
        <v>3363638</v>
      </c>
      <c r="J107">
        <v>957</v>
      </c>
      <c r="K107">
        <v>140562052.3291294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198</v>
      </c>
      <c r="E109">
        <v>60114688.850046858</v>
      </c>
      <c r="F109">
        <v>2</v>
      </c>
      <c r="G109">
        <v>1160909</v>
      </c>
      <c r="H109">
        <v>2</v>
      </c>
      <c r="I109">
        <v>509091</v>
      </c>
      <c r="J109">
        <v>198</v>
      </c>
      <c r="K109">
        <v>60766506.850046858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203</v>
      </c>
      <c r="E110">
        <v>68536560.166189104</v>
      </c>
      <c r="F110">
        <v>23</v>
      </c>
      <c r="G110">
        <v>13439997</v>
      </c>
      <c r="H110">
        <v>2</v>
      </c>
      <c r="I110">
        <v>690910</v>
      </c>
      <c r="J110">
        <v>224</v>
      </c>
      <c r="K110">
        <v>81285647.166189104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34</v>
      </c>
      <c r="E111">
        <v>2573955.8936170209</v>
      </c>
      <c r="F111">
        <v>0</v>
      </c>
      <c r="G111">
        <v>0</v>
      </c>
      <c r="H111">
        <v>2</v>
      </c>
      <c r="I111">
        <v>299999</v>
      </c>
      <c r="J111">
        <v>32</v>
      </c>
      <c r="K111">
        <v>2273956.8936170209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85</v>
      </c>
      <c r="E112">
        <v>45294157.259079903</v>
      </c>
      <c r="F112">
        <v>8</v>
      </c>
      <c r="G112">
        <v>2881819</v>
      </c>
      <c r="H112">
        <v>0</v>
      </c>
      <c r="I112">
        <v>0</v>
      </c>
      <c r="J112">
        <v>93</v>
      </c>
      <c r="K112">
        <v>48175976.259079903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191</v>
      </c>
      <c r="E113">
        <v>70026291.390264019</v>
      </c>
      <c r="F113">
        <v>20</v>
      </c>
      <c r="G113">
        <v>2081090</v>
      </c>
      <c r="H113">
        <v>0</v>
      </c>
      <c r="I113">
        <v>0</v>
      </c>
      <c r="J113">
        <v>211</v>
      </c>
      <c r="K113">
        <v>72107381.390264019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4</v>
      </c>
      <c r="E122">
        <v>0</v>
      </c>
      <c r="F122">
        <v>1</v>
      </c>
      <c r="G122">
        <v>636364</v>
      </c>
      <c r="H122">
        <v>0</v>
      </c>
      <c r="I122">
        <v>0</v>
      </c>
      <c r="J122">
        <v>5</v>
      </c>
      <c r="K122">
        <v>636364</v>
      </c>
    </row>
    <row r="123" spans="1:11" x14ac:dyDescent="0.25">
      <c r="A123">
        <v>122</v>
      </c>
      <c r="B123" t="s">
        <v>253</v>
      </c>
      <c r="C123" t="s">
        <v>254</v>
      </c>
      <c r="D123">
        <v>227</v>
      </c>
      <c r="E123">
        <v>85102300.616306961</v>
      </c>
      <c r="F123">
        <v>30</v>
      </c>
      <c r="G123">
        <v>12600000</v>
      </c>
      <c r="H123">
        <v>2</v>
      </c>
      <c r="I123">
        <v>1363636</v>
      </c>
      <c r="J123">
        <v>255</v>
      </c>
      <c r="K123">
        <v>96338664.616306961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21</v>
      </c>
      <c r="E124">
        <v>11930694.84722222</v>
      </c>
      <c r="F124">
        <v>5</v>
      </c>
      <c r="G124">
        <v>2840910</v>
      </c>
      <c r="H124">
        <v>0</v>
      </c>
      <c r="I124">
        <v>0</v>
      </c>
      <c r="J124">
        <v>26</v>
      </c>
      <c r="K124">
        <v>14771604.84722222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298</v>
      </c>
      <c r="E126">
        <v>163826358.2321918</v>
      </c>
      <c r="F126">
        <v>34</v>
      </c>
      <c r="G126">
        <v>22915940</v>
      </c>
      <c r="H126">
        <v>24</v>
      </c>
      <c r="I126">
        <v>20945455</v>
      </c>
      <c r="J126">
        <v>308</v>
      </c>
      <c r="K126">
        <v>165796843.2321918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3</v>
      </c>
      <c r="E128">
        <v>3039328.4090909092</v>
      </c>
      <c r="F128">
        <v>2</v>
      </c>
      <c r="G128">
        <v>3373300</v>
      </c>
      <c r="H128">
        <v>0</v>
      </c>
      <c r="I128">
        <v>0</v>
      </c>
      <c r="J128">
        <v>5</v>
      </c>
      <c r="K128">
        <v>6412628.4090909092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9</v>
      </c>
      <c r="E129">
        <v>21742699.75</v>
      </c>
      <c r="F129">
        <v>1</v>
      </c>
      <c r="G129">
        <v>1688000</v>
      </c>
      <c r="H129">
        <v>1</v>
      </c>
      <c r="I129">
        <v>2318182</v>
      </c>
      <c r="J129">
        <v>9</v>
      </c>
      <c r="K129">
        <v>21112517.75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527</v>
      </c>
      <c r="E131">
        <v>139842506.5194805</v>
      </c>
      <c r="F131">
        <v>6</v>
      </c>
      <c r="G131">
        <v>4418184</v>
      </c>
      <c r="H131">
        <v>1</v>
      </c>
      <c r="I131">
        <v>481818</v>
      </c>
      <c r="J131">
        <v>532</v>
      </c>
      <c r="K131">
        <v>143778872.5194805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114</v>
      </c>
      <c r="E132">
        <v>17073046.7489301</v>
      </c>
      <c r="F132">
        <v>1</v>
      </c>
      <c r="G132">
        <v>2200000</v>
      </c>
      <c r="H132">
        <v>1</v>
      </c>
      <c r="I132">
        <v>1590909</v>
      </c>
      <c r="J132">
        <v>114</v>
      </c>
      <c r="K132">
        <v>17682137.7489301</v>
      </c>
    </row>
    <row r="133" spans="1:11" x14ac:dyDescent="0.25">
      <c r="A133">
        <v>132</v>
      </c>
      <c r="B133" t="s">
        <v>273</v>
      </c>
      <c r="C133" t="s">
        <v>274</v>
      </c>
      <c r="D133">
        <v>230</v>
      </c>
      <c r="E133">
        <v>42733310.769411772</v>
      </c>
      <c r="F133">
        <v>17</v>
      </c>
      <c r="G133">
        <v>7213631</v>
      </c>
      <c r="H133">
        <v>10</v>
      </c>
      <c r="I133">
        <v>2118182</v>
      </c>
      <c r="J133">
        <v>237</v>
      </c>
      <c r="K133">
        <v>47828759.769411772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66</v>
      </c>
      <c r="E134">
        <v>25714331.08433735</v>
      </c>
      <c r="F134">
        <v>5</v>
      </c>
      <c r="G134">
        <v>2227270</v>
      </c>
      <c r="H134">
        <v>5</v>
      </c>
      <c r="I134">
        <v>3254545</v>
      </c>
      <c r="J134">
        <v>66</v>
      </c>
      <c r="K134">
        <v>24687056.08433735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11</v>
      </c>
      <c r="E136">
        <v>1573083.368421053</v>
      </c>
      <c r="F136">
        <v>0</v>
      </c>
      <c r="G136">
        <v>0</v>
      </c>
      <c r="H136">
        <v>2</v>
      </c>
      <c r="I136">
        <v>454546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23</v>
      </c>
      <c r="E138">
        <v>31253386.860465121</v>
      </c>
      <c r="F138">
        <v>10</v>
      </c>
      <c r="G138">
        <v>14000000</v>
      </c>
      <c r="H138">
        <v>12</v>
      </c>
      <c r="I138">
        <v>15909091</v>
      </c>
      <c r="J138">
        <v>21</v>
      </c>
      <c r="K138">
        <v>29344295.860465121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4</v>
      </c>
      <c r="E141">
        <v>20379354.838709679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20379354.838709679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167</v>
      </c>
      <c r="E143">
        <v>72856168.115942031</v>
      </c>
      <c r="F143">
        <v>0</v>
      </c>
      <c r="G143">
        <v>0</v>
      </c>
      <c r="H143">
        <v>0</v>
      </c>
      <c r="I143">
        <v>0</v>
      </c>
      <c r="J143">
        <v>167</v>
      </c>
      <c r="K143">
        <v>72856168.115942031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469.3</v>
      </c>
      <c r="E146">
        <v>188522323</v>
      </c>
      <c r="F146">
        <v>189.73</v>
      </c>
      <c r="G146">
        <v>109314735</v>
      </c>
      <c r="H146">
        <v>124</v>
      </c>
      <c r="I146">
        <v>45699998</v>
      </c>
      <c r="J146">
        <v>535.03</v>
      </c>
      <c r="K146">
        <v>252137060</v>
      </c>
    </row>
    <row r="147" spans="1:11" x14ac:dyDescent="0.25">
      <c r="A147" t="s">
        <v>301</v>
      </c>
      <c r="D147">
        <v>19217.3</v>
      </c>
      <c r="E147">
        <v>21313321223.760429</v>
      </c>
      <c r="F147">
        <v>853.73</v>
      </c>
      <c r="G147">
        <v>757550609.09000003</v>
      </c>
      <c r="H147">
        <v>635</v>
      </c>
      <c r="I147">
        <v>976118179</v>
      </c>
      <c r="J147">
        <v>19436.03</v>
      </c>
      <c r="K147">
        <v>21095653653.85043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11</v>
      </c>
      <c r="E2">
        <v>110262656.7727273</v>
      </c>
      <c r="F2">
        <v>0</v>
      </c>
      <c r="G2">
        <v>0</v>
      </c>
      <c r="H2">
        <v>1</v>
      </c>
      <c r="I2">
        <v>15263636</v>
      </c>
      <c r="J2">
        <v>10</v>
      </c>
      <c r="K2">
        <v>94999020.772727281</v>
      </c>
    </row>
    <row r="3" spans="1:11" x14ac:dyDescent="0.25">
      <c r="A3">
        <v>2</v>
      </c>
      <c r="B3" t="s">
        <v>13</v>
      </c>
      <c r="C3" t="s">
        <v>14</v>
      </c>
      <c r="D3">
        <v>20</v>
      </c>
      <c r="E3">
        <v>203323851</v>
      </c>
      <c r="F3">
        <v>4</v>
      </c>
      <c r="G3">
        <v>44000000</v>
      </c>
      <c r="H3">
        <v>0</v>
      </c>
      <c r="I3">
        <v>0</v>
      </c>
      <c r="J3">
        <v>24</v>
      </c>
      <c r="K3">
        <v>247323851</v>
      </c>
    </row>
    <row r="4" spans="1:11" x14ac:dyDescent="0.25">
      <c r="A4">
        <v>3</v>
      </c>
      <c r="B4" t="s">
        <v>15</v>
      </c>
      <c r="C4" t="s">
        <v>16</v>
      </c>
      <c r="D4">
        <v>163</v>
      </c>
      <c r="E4">
        <v>2142497418.201292</v>
      </c>
      <c r="F4">
        <v>0</v>
      </c>
      <c r="G4">
        <v>0</v>
      </c>
      <c r="H4">
        <v>1</v>
      </c>
      <c r="I4">
        <v>13000000</v>
      </c>
      <c r="J4">
        <v>162</v>
      </c>
      <c r="K4">
        <v>2129497418.201292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19</v>
      </c>
      <c r="E6">
        <v>211375439.1785714</v>
      </c>
      <c r="F6">
        <v>0</v>
      </c>
      <c r="G6">
        <v>0</v>
      </c>
      <c r="H6">
        <v>0</v>
      </c>
      <c r="I6">
        <v>0</v>
      </c>
      <c r="J6">
        <v>19</v>
      </c>
      <c r="K6">
        <v>211375439.1785714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6</v>
      </c>
      <c r="E8">
        <v>58673554.090909094</v>
      </c>
      <c r="F8">
        <v>0</v>
      </c>
      <c r="G8">
        <v>0</v>
      </c>
      <c r="H8">
        <v>1</v>
      </c>
      <c r="I8">
        <v>13627273</v>
      </c>
      <c r="J8">
        <v>5</v>
      </c>
      <c r="K8">
        <v>45046281.090909094</v>
      </c>
    </row>
    <row r="9" spans="1:11" x14ac:dyDescent="0.25">
      <c r="A9">
        <v>8</v>
      </c>
      <c r="B9" t="s">
        <v>25</v>
      </c>
      <c r="C9" t="s">
        <v>26</v>
      </c>
      <c r="D9">
        <v>7</v>
      </c>
      <c r="E9">
        <v>21068091.449999999</v>
      </c>
      <c r="F9">
        <v>0</v>
      </c>
      <c r="G9">
        <v>0</v>
      </c>
      <c r="H9">
        <v>0</v>
      </c>
      <c r="I9">
        <v>0</v>
      </c>
      <c r="J9">
        <v>7</v>
      </c>
      <c r="K9">
        <v>21068091.449999999</v>
      </c>
    </row>
    <row r="10" spans="1:11" x14ac:dyDescent="0.25">
      <c r="A10">
        <v>9</v>
      </c>
      <c r="B10" t="s">
        <v>27</v>
      </c>
      <c r="C10" t="s">
        <v>28</v>
      </c>
      <c r="D10">
        <v>172</v>
      </c>
      <c r="E10">
        <v>778329130.5951941</v>
      </c>
      <c r="F10">
        <v>2</v>
      </c>
      <c r="G10">
        <v>23881818</v>
      </c>
      <c r="H10">
        <v>1</v>
      </c>
      <c r="I10">
        <v>25454545</v>
      </c>
      <c r="J10">
        <v>173</v>
      </c>
      <c r="K10">
        <v>776756403.5951941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0</v>
      </c>
      <c r="G11">
        <v>0</v>
      </c>
      <c r="H11">
        <v>0</v>
      </c>
      <c r="I11">
        <v>0</v>
      </c>
      <c r="J11">
        <v>7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215</v>
      </c>
      <c r="E12">
        <v>2679600137.2191219</v>
      </c>
      <c r="F12">
        <v>0</v>
      </c>
      <c r="G12">
        <v>0</v>
      </c>
      <c r="H12">
        <v>2</v>
      </c>
      <c r="I12">
        <v>27090909</v>
      </c>
      <c r="J12">
        <v>213</v>
      </c>
      <c r="K12">
        <v>2652509228.2191219</v>
      </c>
    </row>
    <row r="13" spans="1:11" x14ac:dyDescent="0.25">
      <c r="A13">
        <v>12</v>
      </c>
      <c r="B13" t="s">
        <v>33</v>
      </c>
      <c r="C13" t="s">
        <v>34</v>
      </c>
      <c r="D13">
        <v>29</v>
      </c>
      <c r="E13">
        <v>443926048.76923078</v>
      </c>
      <c r="F13">
        <v>0</v>
      </c>
      <c r="G13">
        <v>0</v>
      </c>
      <c r="H13">
        <v>0</v>
      </c>
      <c r="I13">
        <v>0</v>
      </c>
      <c r="J13">
        <v>29</v>
      </c>
      <c r="K13">
        <v>443926048.76923078</v>
      </c>
    </row>
    <row r="14" spans="1:11" x14ac:dyDescent="0.25">
      <c r="A14">
        <v>13</v>
      </c>
      <c r="B14" t="s">
        <v>35</v>
      </c>
      <c r="C14" t="s">
        <v>36</v>
      </c>
      <c r="D14">
        <v>20</v>
      </c>
      <c r="E14">
        <v>354766222.28947371</v>
      </c>
      <c r="F14">
        <v>0</v>
      </c>
      <c r="G14">
        <v>0</v>
      </c>
      <c r="H14">
        <v>0</v>
      </c>
      <c r="I14">
        <v>0</v>
      </c>
      <c r="J14">
        <v>20</v>
      </c>
      <c r="K14">
        <v>354766222.28947371</v>
      </c>
    </row>
    <row r="15" spans="1:11" x14ac:dyDescent="0.25">
      <c r="A15">
        <v>14</v>
      </c>
      <c r="B15" t="s">
        <v>37</v>
      </c>
      <c r="C15" t="s">
        <v>38</v>
      </c>
      <c r="D15">
        <v>47</v>
      </c>
      <c r="E15">
        <v>444120496.93430662</v>
      </c>
      <c r="F15">
        <v>1</v>
      </c>
      <c r="G15">
        <v>13954545</v>
      </c>
      <c r="H15">
        <v>19</v>
      </c>
      <c r="I15">
        <v>186636364</v>
      </c>
      <c r="J15">
        <v>29</v>
      </c>
      <c r="K15">
        <v>271438677.93430662</v>
      </c>
    </row>
    <row r="16" spans="1:11" x14ac:dyDescent="0.25">
      <c r="A16">
        <v>15</v>
      </c>
      <c r="B16" t="s">
        <v>39</v>
      </c>
      <c r="C16" t="s">
        <v>40</v>
      </c>
      <c r="D16">
        <v>11</v>
      </c>
      <c r="E16">
        <v>158316808.10447761</v>
      </c>
      <c r="F16">
        <v>0</v>
      </c>
      <c r="G16">
        <v>0</v>
      </c>
      <c r="H16">
        <v>0</v>
      </c>
      <c r="I16">
        <v>0</v>
      </c>
      <c r="J16">
        <v>11</v>
      </c>
      <c r="K16">
        <v>158316808.10447761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203</v>
      </c>
      <c r="E24">
        <v>1688667465.5497241</v>
      </c>
      <c r="F24">
        <v>15</v>
      </c>
      <c r="G24">
        <v>5590905</v>
      </c>
      <c r="H24">
        <v>8</v>
      </c>
      <c r="I24">
        <v>70654545</v>
      </c>
      <c r="J24">
        <v>210</v>
      </c>
      <c r="K24">
        <v>1623603825.5497241</v>
      </c>
    </row>
    <row r="25" spans="1:11" x14ac:dyDescent="0.25">
      <c r="A25">
        <v>24</v>
      </c>
      <c r="B25" t="s">
        <v>57</v>
      </c>
      <c r="C25" t="s">
        <v>58</v>
      </c>
      <c r="D25">
        <v>299</v>
      </c>
      <c r="E25">
        <v>2315708892.361217</v>
      </c>
      <c r="F25">
        <v>11</v>
      </c>
      <c r="G25">
        <v>44068182</v>
      </c>
      <c r="H25">
        <v>10</v>
      </c>
      <c r="I25">
        <v>94036364</v>
      </c>
      <c r="J25">
        <v>300</v>
      </c>
      <c r="K25">
        <v>2265740710.361217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98033776.307692319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98033776.307692319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5</v>
      </c>
      <c r="E33">
        <v>25381986.5</v>
      </c>
      <c r="F33">
        <v>1</v>
      </c>
      <c r="G33">
        <v>4772727</v>
      </c>
      <c r="H33">
        <v>0</v>
      </c>
      <c r="I33">
        <v>0</v>
      </c>
      <c r="J33">
        <v>6</v>
      </c>
      <c r="K33">
        <v>30154713.5</v>
      </c>
    </row>
    <row r="34" spans="1:11" x14ac:dyDescent="0.25">
      <c r="A34">
        <v>33</v>
      </c>
      <c r="B34" t="s">
        <v>75</v>
      </c>
      <c r="C34" t="s">
        <v>76</v>
      </c>
      <c r="D34">
        <v>49</v>
      </c>
      <c r="E34">
        <v>151849808.18326691</v>
      </c>
      <c r="F34">
        <v>0</v>
      </c>
      <c r="G34">
        <v>0</v>
      </c>
      <c r="H34">
        <v>6</v>
      </c>
      <c r="I34">
        <v>22754545</v>
      </c>
      <c r="J34">
        <v>43</v>
      </c>
      <c r="K34">
        <v>129095263.18326689</v>
      </c>
    </row>
    <row r="35" spans="1:11" x14ac:dyDescent="0.25">
      <c r="A35">
        <v>34</v>
      </c>
      <c r="B35" t="s">
        <v>77</v>
      </c>
      <c r="C35" t="s">
        <v>78</v>
      </c>
      <c r="D35">
        <v>395</v>
      </c>
      <c r="E35">
        <v>827315080.55380154</v>
      </c>
      <c r="F35">
        <v>7</v>
      </c>
      <c r="G35">
        <v>27545452</v>
      </c>
      <c r="H35">
        <v>5</v>
      </c>
      <c r="I35">
        <v>13390908</v>
      </c>
      <c r="J35">
        <v>397</v>
      </c>
      <c r="K35">
        <v>841469624.55380154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0</v>
      </c>
      <c r="G36">
        <v>0</v>
      </c>
      <c r="H36">
        <v>0</v>
      </c>
      <c r="I36">
        <v>0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54</v>
      </c>
      <c r="E37">
        <v>137246741.1964286</v>
      </c>
      <c r="F37">
        <v>0</v>
      </c>
      <c r="G37">
        <v>0</v>
      </c>
      <c r="H37">
        <v>1</v>
      </c>
      <c r="I37">
        <v>1081818</v>
      </c>
      <c r="J37">
        <v>53</v>
      </c>
      <c r="K37">
        <v>136164923.1964286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112</v>
      </c>
      <c r="E39">
        <v>294420420.38106239</v>
      </c>
      <c r="F39">
        <v>0</v>
      </c>
      <c r="G39">
        <v>0</v>
      </c>
      <c r="H39">
        <v>2</v>
      </c>
      <c r="I39">
        <v>6990909</v>
      </c>
      <c r="J39">
        <v>110</v>
      </c>
      <c r="K39">
        <v>287429511.38106239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848</v>
      </c>
      <c r="E42">
        <v>706523979.43484044</v>
      </c>
      <c r="F42">
        <v>1</v>
      </c>
      <c r="G42">
        <v>2900000</v>
      </c>
      <c r="H42">
        <v>16</v>
      </c>
      <c r="I42">
        <v>64863638</v>
      </c>
      <c r="J42">
        <v>833</v>
      </c>
      <c r="K42">
        <v>644560341.43484044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429</v>
      </c>
      <c r="E44">
        <v>1202359648.9747441</v>
      </c>
      <c r="F44">
        <v>0</v>
      </c>
      <c r="G44">
        <v>0</v>
      </c>
      <c r="H44">
        <v>2</v>
      </c>
      <c r="I44">
        <v>5072727</v>
      </c>
      <c r="J44">
        <v>427</v>
      </c>
      <c r="K44">
        <v>1197286921.9747441</v>
      </c>
    </row>
    <row r="45" spans="1:11" x14ac:dyDescent="0.25">
      <c r="A45">
        <v>44</v>
      </c>
      <c r="B45" t="s">
        <v>97</v>
      </c>
      <c r="C45" t="s">
        <v>98</v>
      </c>
      <c r="D45">
        <v>90</v>
      </c>
      <c r="E45">
        <v>378288253.79297298</v>
      </c>
      <c r="F45">
        <v>0</v>
      </c>
      <c r="G45">
        <v>0</v>
      </c>
      <c r="H45">
        <v>5</v>
      </c>
      <c r="I45">
        <v>23554545</v>
      </c>
      <c r="J45">
        <v>85</v>
      </c>
      <c r="K45">
        <v>354733708.79297298</v>
      </c>
    </row>
    <row r="46" spans="1:11" x14ac:dyDescent="0.25">
      <c r="A46">
        <v>45</v>
      </c>
      <c r="B46" t="s">
        <v>99</v>
      </c>
      <c r="C46" t="s">
        <v>100</v>
      </c>
      <c r="D46">
        <v>111</v>
      </c>
      <c r="E46">
        <v>108173208.9925714</v>
      </c>
      <c r="F46">
        <v>53</v>
      </c>
      <c r="G46">
        <v>16600005</v>
      </c>
      <c r="H46">
        <v>2</v>
      </c>
      <c r="I46">
        <v>14772728</v>
      </c>
      <c r="J46">
        <v>162</v>
      </c>
      <c r="K46">
        <v>110000485.9925714</v>
      </c>
    </row>
    <row r="47" spans="1:11" x14ac:dyDescent="0.25">
      <c r="A47">
        <v>46</v>
      </c>
      <c r="B47" t="s">
        <v>101</v>
      </c>
      <c r="C47" t="s">
        <v>102</v>
      </c>
      <c r="D47">
        <v>48</v>
      </c>
      <c r="E47">
        <v>135208847.74567381</v>
      </c>
      <c r="F47">
        <v>4</v>
      </c>
      <c r="G47">
        <v>17809091.09</v>
      </c>
      <c r="H47">
        <v>1</v>
      </c>
      <c r="I47">
        <v>5272727</v>
      </c>
      <c r="J47">
        <v>51</v>
      </c>
      <c r="K47">
        <v>147745211.83567381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41</v>
      </c>
      <c r="E49">
        <v>286778612.15224141</v>
      </c>
      <c r="F49">
        <v>2</v>
      </c>
      <c r="G49">
        <v>8818181.8100000005</v>
      </c>
      <c r="H49">
        <v>3</v>
      </c>
      <c r="I49">
        <v>13690909</v>
      </c>
      <c r="J49">
        <v>40</v>
      </c>
      <c r="K49">
        <v>281905884.96224141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3</v>
      </c>
      <c r="E51">
        <v>2744227.1999999988</v>
      </c>
      <c r="F51">
        <v>0</v>
      </c>
      <c r="G51">
        <v>0</v>
      </c>
      <c r="H51">
        <v>0</v>
      </c>
      <c r="I51">
        <v>0</v>
      </c>
      <c r="J51">
        <v>3</v>
      </c>
      <c r="K51">
        <v>2744227.1999999988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101905064.26693881</v>
      </c>
      <c r="F52">
        <v>0</v>
      </c>
      <c r="G52">
        <v>0</v>
      </c>
      <c r="H52">
        <v>0</v>
      </c>
      <c r="I52">
        <v>0</v>
      </c>
      <c r="J52">
        <v>57</v>
      </c>
      <c r="K52">
        <v>101905064.26693881</v>
      </c>
    </row>
    <row r="53" spans="1:11" x14ac:dyDescent="0.25">
      <c r="A53">
        <v>52</v>
      </c>
      <c r="B53" t="s">
        <v>113</v>
      </c>
      <c r="C53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71</v>
      </c>
      <c r="E55">
        <v>224026207.17270201</v>
      </c>
      <c r="F55">
        <v>6</v>
      </c>
      <c r="G55">
        <v>3600000</v>
      </c>
      <c r="H55">
        <v>4</v>
      </c>
      <c r="I55">
        <v>1409090</v>
      </c>
      <c r="J55">
        <v>73</v>
      </c>
      <c r="K55">
        <v>226217117.17270201</v>
      </c>
    </row>
    <row r="56" spans="1:11" x14ac:dyDescent="0.25">
      <c r="A56">
        <v>55</v>
      </c>
      <c r="B56" t="s">
        <v>119</v>
      </c>
      <c r="C56" t="s">
        <v>120</v>
      </c>
      <c r="D56">
        <v>24</v>
      </c>
      <c r="E56">
        <v>23947321.491525419</v>
      </c>
      <c r="F56">
        <v>0</v>
      </c>
      <c r="G56">
        <v>0</v>
      </c>
      <c r="H56">
        <v>3</v>
      </c>
      <c r="I56">
        <v>3409091</v>
      </c>
      <c r="J56">
        <v>21</v>
      </c>
      <c r="K56">
        <v>20538230.491525419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0</v>
      </c>
      <c r="E58">
        <v>0</v>
      </c>
      <c r="F58">
        <v>2</v>
      </c>
      <c r="G58">
        <v>2181818.1800000002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3142</v>
      </c>
      <c r="E59">
        <v>418721092.38559759</v>
      </c>
      <c r="F59">
        <v>247</v>
      </c>
      <c r="G59">
        <v>19660909</v>
      </c>
      <c r="H59">
        <v>132</v>
      </c>
      <c r="I59">
        <v>34308184</v>
      </c>
      <c r="J59">
        <v>3257</v>
      </c>
      <c r="K59">
        <v>404073817.38559759</v>
      </c>
    </row>
    <row r="60" spans="1:11" x14ac:dyDescent="0.25">
      <c r="A60">
        <v>59</v>
      </c>
      <c r="B60" t="s">
        <v>127</v>
      </c>
      <c r="C60" t="s">
        <v>128</v>
      </c>
      <c r="D60">
        <v>94</v>
      </c>
      <c r="E60">
        <v>7855728.6822262118</v>
      </c>
      <c r="F60">
        <v>10</v>
      </c>
      <c r="G60">
        <v>59090</v>
      </c>
      <c r="H60">
        <v>3</v>
      </c>
      <c r="I60">
        <v>227272</v>
      </c>
      <c r="J60">
        <v>101</v>
      </c>
      <c r="K60">
        <v>7687546.6822262118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3955800.75</v>
      </c>
      <c r="F61">
        <v>2</v>
      </c>
      <c r="G61">
        <v>600000</v>
      </c>
      <c r="H61">
        <v>2</v>
      </c>
      <c r="I61">
        <v>954545</v>
      </c>
      <c r="J61">
        <v>22</v>
      </c>
      <c r="K61">
        <v>3601255.75</v>
      </c>
    </row>
    <row r="62" spans="1:11" x14ac:dyDescent="0.25">
      <c r="A62">
        <v>61</v>
      </c>
      <c r="B62" t="s">
        <v>131</v>
      </c>
      <c r="C62" t="s">
        <v>132</v>
      </c>
      <c r="D62">
        <v>1454</v>
      </c>
      <c r="E62">
        <v>294587126.87895793</v>
      </c>
      <c r="F62">
        <v>0</v>
      </c>
      <c r="G62">
        <v>0</v>
      </c>
      <c r="H62">
        <v>13</v>
      </c>
      <c r="I62">
        <v>2663637</v>
      </c>
      <c r="J62">
        <v>1441</v>
      </c>
      <c r="K62">
        <v>291923489.87895793</v>
      </c>
    </row>
    <row r="63" spans="1:11" x14ac:dyDescent="0.25">
      <c r="A63">
        <v>62</v>
      </c>
      <c r="B63" t="s">
        <v>133</v>
      </c>
      <c r="C63" t="s">
        <v>134</v>
      </c>
      <c r="D63">
        <v>261</v>
      </c>
      <c r="E63">
        <v>59643359.711580493</v>
      </c>
      <c r="F63">
        <v>0</v>
      </c>
      <c r="G63">
        <v>0</v>
      </c>
      <c r="H63">
        <v>0</v>
      </c>
      <c r="I63">
        <v>0</v>
      </c>
      <c r="J63">
        <v>261</v>
      </c>
      <c r="K63">
        <v>59643359.711580493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19</v>
      </c>
      <c r="E65">
        <v>13992590.811123591</v>
      </c>
      <c r="F65">
        <v>7</v>
      </c>
      <c r="G65">
        <v>9718181.8200000003</v>
      </c>
      <c r="H65">
        <v>2</v>
      </c>
      <c r="I65">
        <v>1218182</v>
      </c>
      <c r="J65">
        <v>24</v>
      </c>
      <c r="K65">
        <v>22492590.631123591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145</v>
      </c>
      <c r="E70">
        <v>64207764.125112101</v>
      </c>
      <c r="F70">
        <v>2</v>
      </c>
      <c r="G70">
        <v>700000</v>
      </c>
      <c r="H70">
        <v>4</v>
      </c>
      <c r="I70">
        <v>2409090</v>
      </c>
      <c r="J70">
        <v>143</v>
      </c>
      <c r="K70">
        <v>62498674.125112101</v>
      </c>
    </row>
    <row r="71" spans="1:11" x14ac:dyDescent="0.25">
      <c r="A71">
        <v>70</v>
      </c>
      <c r="B71" t="s">
        <v>149</v>
      </c>
      <c r="C71" t="s">
        <v>150</v>
      </c>
      <c r="D71">
        <v>7</v>
      </c>
      <c r="E71">
        <v>1388337.16</v>
      </c>
      <c r="F71">
        <v>0</v>
      </c>
      <c r="G71">
        <v>0</v>
      </c>
      <c r="H71">
        <v>0</v>
      </c>
      <c r="I71">
        <v>0</v>
      </c>
      <c r="J71">
        <v>7</v>
      </c>
      <c r="K71">
        <v>1388337.16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58</v>
      </c>
      <c r="E74">
        <v>126789660.07878789</v>
      </c>
      <c r="F74">
        <v>11</v>
      </c>
      <c r="G74">
        <v>26090909</v>
      </c>
      <c r="H74">
        <v>1</v>
      </c>
      <c r="I74">
        <v>2263636</v>
      </c>
      <c r="J74">
        <v>68</v>
      </c>
      <c r="K74">
        <v>150616933.07878789</v>
      </c>
    </row>
    <row r="75" spans="1:11" x14ac:dyDescent="0.25">
      <c r="A75">
        <v>74</v>
      </c>
      <c r="B75" t="s">
        <v>157</v>
      </c>
      <c r="C75" t="s">
        <v>158</v>
      </c>
      <c r="D75">
        <v>63</v>
      </c>
      <c r="E75">
        <v>210078315.7509881</v>
      </c>
      <c r="F75">
        <v>4</v>
      </c>
      <c r="G75">
        <v>10600000</v>
      </c>
      <c r="H75">
        <v>0</v>
      </c>
      <c r="I75">
        <v>0</v>
      </c>
      <c r="J75">
        <v>67</v>
      </c>
      <c r="K75">
        <v>220678315.7509881</v>
      </c>
    </row>
    <row r="76" spans="1:11" x14ac:dyDescent="0.25">
      <c r="A76">
        <v>75</v>
      </c>
      <c r="B76" t="s">
        <v>159</v>
      </c>
      <c r="C76" t="s">
        <v>160</v>
      </c>
      <c r="D76">
        <v>4</v>
      </c>
      <c r="E76">
        <v>22866456.875</v>
      </c>
      <c r="F76">
        <v>0</v>
      </c>
      <c r="G76">
        <v>0</v>
      </c>
      <c r="H76">
        <v>0</v>
      </c>
      <c r="I76">
        <v>0</v>
      </c>
      <c r="J76">
        <v>4</v>
      </c>
      <c r="K76">
        <v>22866456.875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100</v>
      </c>
      <c r="E78">
        <v>146522437.59605911</v>
      </c>
      <c r="F78">
        <v>0</v>
      </c>
      <c r="G78">
        <v>0</v>
      </c>
      <c r="H78">
        <v>1</v>
      </c>
      <c r="I78">
        <v>1590909</v>
      </c>
      <c r="J78">
        <v>99</v>
      </c>
      <c r="K78">
        <v>144931528.59605911</v>
      </c>
    </row>
    <row r="79" spans="1:11" x14ac:dyDescent="0.25">
      <c r="A79">
        <v>78</v>
      </c>
      <c r="B79" t="s">
        <v>165</v>
      </c>
      <c r="C79" t="s">
        <v>166</v>
      </c>
      <c r="D79">
        <v>6</v>
      </c>
      <c r="E79">
        <v>13411842</v>
      </c>
      <c r="F79">
        <v>0</v>
      </c>
      <c r="G79">
        <v>0</v>
      </c>
      <c r="H79">
        <v>0</v>
      </c>
      <c r="I79">
        <v>0</v>
      </c>
      <c r="J79">
        <v>6</v>
      </c>
      <c r="K79">
        <v>13411842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458</v>
      </c>
      <c r="E81">
        <v>149857595.62329009</v>
      </c>
      <c r="F81">
        <v>10</v>
      </c>
      <c r="G81">
        <v>3681819</v>
      </c>
      <c r="H81">
        <v>8</v>
      </c>
      <c r="I81">
        <v>28009092</v>
      </c>
      <c r="J81">
        <v>460</v>
      </c>
      <c r="K81">
        <v>125530322.62329011</v>
      </c>
    </row>
    <row r="82" spans="1:11" x14ac:dyDescent="0.25">
      <c r="A82">
        <v>81</v>
      </c>
      <c r="B82" t="s">
        <v>171</v>
      </c>
      <c r="C82" t="s">
        <v>172</v>
      </c>
      <c r="D82">
        <v>122</v>
      </c>
      <c r="E82">
        <v>85625768.117302045</v>
      </c>
      <c r="F82">
        <v>0</v>
      </c>
      <c r="G82">
        <v>0</v>
      </c>
      <c r="H82">
        <v>2</v>
      </c>
      <c r="I82">
        <v>1945454</v>
      </c>
      <c r="J82">
        <v>120</v>
      </c>
      <c r="K82">
        <v>83680314.117302045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12</v>
      </c>
      <c r="E84">
        <v>37192090.200000003</v>
      </c>
      <c r="F84">
        <v>0</v>
      </c>
      <c r="G84">
        <v>0</v>
      </c>
      <c r="H84">
        <v>0</v>
      </c>
      <c r="I84">
        <v>0</v>
      </c>
      <c r="J84">
        <v>12</v>
      </c>
      <c r="K84">
        <v>37192090.200000003</v>
      </c>
    </row>
    <row r="85" spans="1:11" x14ac:dyDescent="0.25">
      <c r="A85">
        <v>84</v>
      </c>
      <c r="B85" t="s">
        <v>177</v>
      </c>
      <c r="C85" t="s">
        <v>178</v>
      </c>
      <c r="D85">
        <v>5</v>
      </c>
      <c r="E85">
        <v>28205528.483870968</v>
      </c>
      <c r="F85">
        <v>0</v>
      </c>
      <c r="G85">
        <v>0</v>
      </c>
      <c r="H85">
        <v>1</v>
      </c>
      <c r="I85">
        <v>7681818</v>
      </c>
      <c r="J85">
        <v>4</v>
      </c>
      <c r="K85">
        <v>20523710.483870968</v>
      </c>
    </row>
    <row r="86" spans="1:11" x14ac:dyDescent="0.25">
      <c r="A86">
        <v>85</v>
      </c>
      <c r="B86" t="s">
        <v>179</v>
      </c>
      <c r="C86" t="s">
        <v>180</v>
      </c>
      <c r="D86">
        <v>12</v>
      </c>
      <c r="E86">
        <v>11829493.16</v>
      </c>
      <c r="F86">
        <v>0</v>
      </c>
      <c r="G86">
        <v>0</v>
      </c>
      <c r="H86">
        <v>0</v>
      </c>
      <c r="I86">
        <v>0</v>
      </c>
      <c r="J86">
        <v>12</v>
      </c>
      <c r="K86">
        <v>11829493.16</v>
      </c>
    </row>
    <row r="87" spans="1:11" x14ac:dyDescent="0.25">
      <c r="A87">
        <v>86</v>
      </c>
      <c r="B87" t="s">
        <v>181</v>
      </c>
      <c r="C87" t="s">
        <v>182</v>
      </c>
      <c r="D87">
        <v>68</v>
      </c>
      <c r="E87">
        <v>89432794.572559372</v>
      </c>
      <c r="F87">
        <v>23</v>
      </c>
      <c r="G87">
        <v>23718196</v>
      </c>
      <c r="H87">
        <v>17</v>
      </c>
      <c r="I87">
        <v>15272727</v>
      </c>
      <c r="J87">
        <v>74</v>
      </c>
      <c r="K87">
        <v>97878263.572559372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3293181.9545454541</v>
      </c>
      <c r="F88">
        <v>0</v>
      </c>
      <c r="G88">
        <v>0</v>
      </c>
      <c r="H88">
        <v>0</v>
      </c>
      <c r="I88">
        <v>0</v>
      </c>
      <c r="J88">
        <v>3</v>
      </c>
      <c r="K88">
        <v>3293181.9545454541</v>
      </c>
    </row>
    <row r="89" spans="1:11" x14ac:dyDescent="0.25">
      <c r="A89">
        <v>88</v>
      </c>
      <c r="B89" t="s">
        <v>185</v>
      </c>
      <c r="C89" t="s">
        <v>186</v>
      </c>
      <c r="D89">
        <v>906</v>
      </c>
      <c r="E89">
        <v>294621301.74628812</v>
      </c>
      <c r="F89">
        <v>3</v>
      </c>
      <c r="G89">
        <v>33818184</v>
      </c>
      <c r="H89">
        <v>25</v>
      </c>
      <c r="I89">
        <v>26309093</v>
      </c>
      <c r="J89">
        <v>884</v>
      </c>
      <c r="K89">
        <v>302130392.74628812</v>
      </c>
    </row>
    <row r="90" spans="1:11" x14ac:dyDescent="0.25">
      <c r="A90">
        <v>89</v>
      </c>
      <c r="B90" t="s">
        <v>187</v>
      </c>
      <c r="C90" t="s">
        <v>188</v>
      </c>
      <c r="D90">
        <v>176</v>
      </c>
      <c r="E90">
        <v>168930937.34957021</v>
      </c>
      <c r="F90">
        <v>0</v>
      </c>
      <c r="G90">
        <v>0</v>
      </c>
      <c r="H90">
        <v>8</v>
      </c>
      <c r="I90">
        <v>6527273</v>
      </c>
      <c r="J90">
        <v>168</v>
      </c>
      <c r="K90">
        <v>162403664.34957021</v>
      </c>
    </row>
    <row r="91" spans="1:11" x14ac:dyDescent="0.25">
      <c r="A91">
        <v>90</v>
      </c>
      <c r="B91" t="s">
        <v>189</v>
      </c>
      <c r="C91" t="s">
        <v>190</v>
      </c>
      <c r="D91">
        <v>44</v>
      </c>
      <c r="E91">
        <v>61480504.992395438</v>
      </c>
      <c r="F91">
        <v>0</v>
      </c>
      <c r="G91">
        <v>0</v>
      </c>
      <c r="H91">
        <v>0</v>
      </c>
      <c r="I91">
        <v>0</v>
      </c>
      <c r="J91">
        <v>44</v>
      </c>
      <c r="K91">
        <v>61480504.992395438</v>
      </c>
    </row>
    <row r="92" spans="1:11" x14ac:dyDescent="0.25">
      <c r="A92">
        <v>91</v>
      </c>
      <c r="B92" t="s">
        <v>191</v>
      </c>
      <c r="C92" t="s">
        <v>192</v>
      </c>
      <c r="D92">
        <v>97</v>
      </c>
      <c r="E92">
        <v>75149599.128078818</v>
      </c>
      <c r="F92">
        <v>14</v>
      </c>
      <c r="G92">
        <v>21486364</v>
      </c>
      <c r="H92">
        <v>4</v>
      </c>
      <c r="I92">
        <v>14181818</v>
      </c>
      <c r="J92">
        <v>107</v>
      </c>
      <c r="K92">
        <v>82454145.128078818</v>
      </c>
    </row>
    <row r="93" spans="1:11" x14ac:dyDescent="0.25">
      <c r="A93">
        <v>92</v>
      </c>
      <c r="B93" t="s">
        <v>193</v>
      </c>
      <c r="C93" t="s">
        <v>194</v>
      </c>
      <c r="D93">
        <v>38</v>
      </c>
      <c r="E93">
        <v>61084965.432558142</v>
      </c>
      <c r="F93">
        <v>8</v>
      </c>
      <c r="G93">
        <v>10500000</v>
      </c>
      <c r="H93">
        <v>0</v>
      </c>
      <c r="I93">
        <v>0</v>
      </c>
      <c r="J93">
        <v>46</v>
      </c>
      <c r="K93">
        <v>71584965.432558149</v>
      </c>
    </row>
    <row r="94" spans="1:11" x14ac:dyDescent="0.25">
      <c r="A94">
        <v>93</v>
      </c>
      <c r="B94" t="s">
        <v>195</v>
      </c>
      <c r="C94" t="s">
        <v>196</v>
      </c>
      <c r="D94">
        <v>252</v>
      </c>
      <c r="E94">
        <v>102292499.6155607</v>
      </c>
      <c r="F94">
        <v>0</v>
      </c>
      <c r="G94">
        <v>0</v>
      </c>
      <c r="H94">
        <v>45</v>
      </c>
      <c r="I94">
        <v>3445454</v>
      </c>
      <c r="J94">
        <v>207</v>
      </c>
      <c r="K94">
        <v>98847045.615560651</v>
      </c>
    </row>
    <row r="95" spans="1:11" x14ac:dyDescent="0.25">
      <c r="A95">
        <v>94</v>
      </c>
      <c r="B95" t="s">
        <v>197</v>
      </c>
      <c r="C95" t="s">
        <v>198</v>
      </c>
      <c r="D95">
        <v>23</v>
      </c>
      <c r="E95">
        <v>2773726.8672566381</v>
      </c>
      <c r="F95">
        <v>0</v>
      </c>
      <c r="G95">
        <v>0</v>
      </c>
      <c r="H95">
        <v>0</v>
      </c>
      <c r="I95">
        <v>0</v>
      </c>
      <c r="J95">
        <v>23</v>
      </c>
      <c r="K95">
        <v>2773726.8672566381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627</v>
      </c>
      <c r="E97">
        <v>113034258.4361957</v>
      </c>
      <c r="F97">
        <v>9</v>
      </c>
      <c r="G97">
        <v>7690909</v>
      </c>
      <c r="H97">
        <v>175</v>
      </c>
      <c r="I97">
        <v>16263636</v>
      </c>
      <c r="J97">
        <v>461</v>
      </c>
      <c r="K97">
        <v>104461531.4361957</v>
      </c>
    </row>
    <row r="98" spans="1:11" x14ac:dyDescent="0.25">
      <c r="A98">
        <v>97</v>
      </c>
      <c r="B98" t="s">
        <v>203</v>
      </c>
      <c r="C98" t="s">
        <v>204</v>
      </c>
      <c r="D98">
        <v>474</v>
      </c>
      <c r="E98">
        <v>92746213.620727673</v>
      </c>
      <c r="F98">
        <v>3</v>
      </c>
      <c r="G98">
        <v>1945454</v>
      </c>
      <c r="H98">
        <v>4</v>
      </c>
      <c r="I98">
        <v>1145455</v>
      </c>
      <c r="J98">
        <v>473</v>
      </c>
      <c r="K98">
        <v>93546212.620727673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3674579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3674579</v>
      </c>
    </row>
    <row r="102" spans="1:11" x14ac:dyDescent="0.25">
      <c r="A102">
        <v>101</v>
      </c>
      <c r="B102" t="s">
        <v>211</v>
      </c>
      <c r="C102" t="s">
        <v>212</v>
      </c>
      <c r="D102">
        <v>86</v>
      </c>
      <c r="E102">
        <v>82644292.669291347</v>
      </c>
      <c r="F102">
        <v>1</v>
      </c>
      <c r="G102">
        <v>1818182</v>
      </c>
      <c r="H102">
        <v>0</v>
      </c>
      <c r="I102">
        <v>0</v>
      </c>
      <c r="J102">
        <v>87</v>
      </c>
      <c r="K102">
        <v>84462474.669291347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1266</v>
      </c>
      <c r="E104">
        <v>171301358.46378449</v>
      </c>
      <c r="F104">
        <v>7</v>
      </c>
      <c r="G104">
        <v>2131819</v>
      </c>
      <c r="H104">
        <v>11</v>
      </c>
      <c r="I104">
        <v>2545454</v>
      </c>
      <c r="J104">
        <v>1262</v>
      </c>
      <c r="K104">
        <v>170887723.46378449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116</v>
      </c>
      <c r="E105">
        <v>40255357.992982447</v>
      </c>
      <c r="F105">
        <v>0</v>
      </c>
      <c r="G105">
        <v>0</v>
      </c>
      <c r="H105">
        <v>1</v>
      </c>
      <c r="I105">
        <v>381818</v>
      </c>
      <c r="J105">
        <v>115</v>
      </c>
      <c r="K105">
        <v>39873539.992982447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1481</v>
      </c>
      <c r="E106">
        <v>175079172.69023031</v>
      </c>
      <c r="F106">
        <v>0</v>
      </c>
      <c r="G106">
        <v>0</v>
      </c>
      <c r="H106">
        <v>57</v>
      </c>
      <c r="I106">
        <v>5345456</v>
      </c>
      <c r="J106">
        <v>1424</v>
      </c>
      <c r="K106">
        <v>169733716.69023031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957</v>
      </c>
      <c r="E107">
        <v>140562052.3291294</v>
      </c>
      <c r="F107">
        <v>3</v>
      </c>
      <c r="G107">
        <v>1431819</v>
      </c>
      <c r="H107">
        <v>6</v>
      </c>
      <c r="I107">
        <v>1481818</v>
      </c>
      <c r="J107">
        <v>954</v>
      </c>
      <c r="K107">
        <v>140512053.3291294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198</v>
      </c>
      <c r="E109">
        <v>60766506.850046858</v>
      </c>
      <c r="F109">
        <v>0</v>
      </c>
      <c r="G109">
        <v>0</v>
      </c>
      <c r="H109">
        <v>0</v>
      </c>
      <c r="I109">
        <v>0</v>
      </c>
      <c r="J109">
        <v>198</v>
      </c>
      <c r="K109">
        <v>60766506.850046858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224</v>
      </c>
      <c r="E110">
        <v>81285647.166189104</v>
      </c>
      <c r="F110">
        <v>0</v>
      </c>
      <c r="G110">
        <v>0</v>
      </c>
      <c r="H110">
        <v>3</v>
      </c>
      <c r="I110">
        <v>1124546</v>
      </c>
      <c r="J110">
        <v>221</v>
      </c>
      <c r="K110">
        <v>80161101.166189104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32</v>
      </c>
      <c r="E111">
        <v>2273956.8936170209</v>
      </c>
      <c r="F111">
        <v>0</v>
      </c>
      <c r="G111">
        <v>0</v>
      </c>
      <c r="H111">
        <v>5</v>
      </c>
      <c r="I111">
        <v>381818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93</v>
      </c>
      <c r="E112">
        <v>48175976.259079903</v>
      </c>
      <c r="F112">
        <v>3</v>
      </c>
      <c r="G112">
        <v>2490000</v>
      </c>
      <c r="H112">
        <v>0</v>
      </c>
      <c r="I112">
        <v>0</v>
      </c>
      <c r="J112">
        <v>96</v>
      </c>
      <c r="K112">
        <v>50665976.259079903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211</v>
      </c>
      <c r="E113">
        <v>72107381.390264019</v>
      </c>
      <c r="F113">
        <v>48</v>
      </c>
      <c r="G113">
        <v>14889276</v>
      </c>
      <c r="H113">
        <v>0</v>
      </c>
      <c r="I113">
        <v>0</v>
      </c>
      <c r="J113">
        <v>259</v>
      </c>
      <c r="K113">
        <v>86996657.390264019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5</v>
      </c>
      <c r="E122">
        <v>636364</v>
      </c>
      <c r="F122">
        <v>0</v>
      </c>
      <c r="G122">
        <v>0</v>
      </c>
      <c r="H122">
        <v>0</v>
      </c>
      <c r="I122">
        <v>0</v>
      </c>
      <c r="J122">
        <v>5</v>
      </c>
      <c r="K122">
        <v>636364</v>
      </c>
    </row>
    <row r="123" spans="1:11" x14ac:dyDescent="0.25">
      <c r="A123">
        <v>122</v>
      </c>
      <c r="B123" t="s">
        <v>253</v>
      </c>
      <c r="C123" t="s">
        <v>254</v>
      </c>
      <c r="D123">
        <v>255</v>
      </c>
      <c r="E123">
        <v>96338664.616306961</v>
      </c>
      <c r="F123">
        <v>0</v>
      </c>
      <c r="G123">
        <v>0</v>
      </c>
      <c r="H123">
        <v>40</v>
      </c>
      <c r="I123">
        <v>15636364</v>
      </c>
      <c r="J123">
        <v>215</v>
      </c>
      <c r="K123">
        <v>80702300.616306961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26</v>
      </c>
      <c r="E124">
        <v>14771604.84722222</v>
      </c>
      <c r="F124">
        <v>10</v>
      </c>
      <c r="G124">
        <v>5650000</v>
      </c>
      <c r="H124">
        <v>3</v>
      </c>
      <c r="I124">
        <v>2509091</v>
      </c>
      <c r="J124">
        <v>33</v>
      </c>
      <c r="K124">
        <v>17912513.84722222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308</v>
      </c>
      <c r="E126">
        <v>165796843.2321918</v>
      </c>
      <c r="F126">
        <v>17</v>
      </c>
      <c r="G126">
        <v>14603818</v>
      </c>
      <c r="H126">
        <v>0</v>
      </c>
      <c r="I126">
        <v>0</v>
      </c>
      <c r="J126">
        <v>325</v>
      </c>
      <c r="K126">
        <v>180400661.2321918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5</v>
      </c>
      <c r="E128">
        <v>6412628.4090909092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6412628.4090909092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9</v>
      </c>
      <c r="E129">
        <v>21112517.75</v>
      </c>
      <c r="F129">
        <v>1</v>
      </c>
      <c r="G129">
        <v>1688000</v>
      </c>
      <c r="H129">
        <v>0</v>
      </c>
      <c r="I129">
        <v>0</v>
      </c>
      <c r="J129">
        <v>10</v>
      </c>
      <c r="K129">
        <v>22800517.75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532</v>
      </c>
      <c r="E131">
        <v>143778872.5194805</v>
      </c>
      <c r="F131">
        <v>7</v>
      </c>
      <c r="G131">
        <v>6554184</v>
      </c>
      <c r="H131">
        <v>2</v>
      </c>
      <c r="I131">
        <v>2345455</v>
      </c>
      <c r="J131">
        <v>537</v>
      </c>
      <c r="K131">
        <v>147987601.5194805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114</v>
      </c>
      <c r="E132">
        <v>17682137.7489301</v>
      </c>
      <c r="F132">
        <v>0</v>
      </c>
      <c r="G132">
        <v>0</v>
      </c>
      <c r="H132">
        <v>2</v>
      </c>
      <c r="I132">
        <v>2181818</v>
      </c>
      <c r="J132">
        <v>112</v>
      </c>
      <c r="K132">
        <v>15500319.7489301</v>
      </c>
    </row>
    <row r="133" spans="1:11" x14ac:dyDescent="0.25">
      <c r="A133">
        <v>132</v>
      </c>
      <c r="B133" t="s">
        <v>273</v>
      </c>
      <c r="C133" t="s">
        <v>274</v>
      </c>
      <c r="D133">
        <v>237</v>
      </c>
      <c r="E133">
        <v>47828759.769411772</v>
      </c>
      <c r="F133">
        <v>1</v>
      </c>
      <c r="G133">
        <v>1127273</v>
      </c>
      <c r="H133">
        <v>18</v>
      </c>
      <c r="I133">
        <v>6172727</v>
      </c>
      <c r="J133">
        <v>220</v>
      </c>
      <c r="K133">
        <v>42783305.769411772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66</v>
      </c>
      <c r="E134">
        <v>24687056.08433735</v>
      </c>
      <c r="F134">
        <v>0</v>
      </c>
      <c r="G134">
        <v>0</v>
      </c>
      <c r="H134">
        <v>0</v>
      </c>
      <c r="I134">
        <v>0</v>
      </c>
      <c r="J134">
        <v>66</v>
      </c>
      <c r="K134">
        <v>24687056.08433735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29344295.860465121</v>
      </c>
      <c r="F138">
        <v>14</v>
      </c>
      <c r="G138">
        <v>28638000</v>
      </c>
      <c r="H138">
        <v>0</v>
      </c>
      <c r="I138">
        <v>0</v>
      </c>
      <c r="J138">
        <v>35</v>
      </c>
      <c r="K138">
        <v>57982295.860465117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4</v>
      </c>
      <c r="E141">
        <v>20379354.838709679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20379354.838709679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167</v>
      </c>
      <c r="E143">
        <v>72856168.115942031</v>
      </c>
      <c r="F143">
        <v>0</v>
      </c>
      <c r="G143">
        <v>0</v>
      </c>
      <c r="H143">
        <v>3</v>
      </c>
      <c r="I143">
        <v>1500000</v>
      </c>
      <c r="J143">
        <v>164</v>
      </c>
      <c r="K143">
        <v>71356168.115942031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535.03</v>
      </c>
      <c r="E146">
        <v>252137060</v>
      </c>
      <c r="F146">
        <v>208</v>
      </c>
      <c r="G146">
        <v>133335873</v>
      </c>
      <c r="H146">
        <v>27</v>
      </c>
      <c r="I146">
        <v>26286363</v>
      </c>
      <c r="J146">
        <v>716.03</v>
      </c>
      <c r="K146">
        <v>359186570</v>
      </c>
    </row>
    <row r="147" spans="1:11" x14ac:dyDescent="0.25">
      <c r="A147" t="s">
        <v>301</v>
      </c>
      <c r="D147">
        <v>19436.03</v>
      </c>
      <c r="E147">
        <v>21095653653.85043</v>
      </c>
      <c r="F147">
        <v>782</v>
      </c>
      <c r="G147">
        <v>600350984.89999998</v>
      </c>
      <c r="H147">
        <v>718</v>
      </c>
      <c r="I147">
        <v>856337274</v>
      </c>
      <c r="J147">
        <v>19500.03</v>
      </c>
      <c r="K147">
        <v>20839667364.750431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10</v>
      </c>
      <c r="E2">
        <v>94999020.772727281</v>
      </c>
      <c r="F2">
        <v>0</v>
      </c>
      <c r="G2">
        <v>0</v>
      </c>
      <c r="H2">
        <v>1</v>
      </c>
      <c r="I2">
        <v>9045454</v>
      </c>
      <c r="J2">
        <v>9</v>
      </c>
      <c r="K2">
        <v>85953566.772727281</v>
      </c>
    </row>
    <row r="3" spans="1:11" x14ac:dyDescent="0.25">
      <c r="A3">
        <v>2</v>
      </c>
      <c r="B3" t="s">
        <v>13</v>
      </c>
      <c r="C3" t="s">
        <v>14</v>
      </c>
      <c r="D3">
        <v>24</v>
      </c>
      <c r="E3">
        <v>247323851</v>
      </c>
      <c r="F3">
        <v>0</v>
      </c>
      <c r="G3">
        <v>0</v>
      </c>
      <c r="H3">
        <v>8</v>
      </c>
      <c r="I3">
        <v>115981817</v>
      </c>
      <c r="J3">
        <v>16</v>
      </c>
      <c r="K3">
        <v>131342034</v>
      </c>
    </row>
    <row r="4" spans="1:11" x14ac:dyDescent="0.25">
      <c r="A4">
        <v>3</v>
      </c>
      <c r="B4" t="s">
        <v>15</v>
      </c>
      <c r="C4" t="s">
        <v>16</v>
      </c>
      <c r="D4">
        <v>162</v>
      </c>
      <c r="E4">
        <v>2129497418.201292</v>
      </c>
      <c r="F4">
        <v>0</v>
      </c>
      <c r="G4">
        <v>0</v>
      </c>
      <c r="H4">
        <v>5</v>
      </c>
      <c r="I4">
        <v>83616364</v>
      </c>
      <c r="J4">
        <v>157</v>
      </c>
      <c r="K4">
        <v>2045881054.201292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19</v>
      </c>
      <c r="E6">
        <v>211375439.1785714</v>
      </c>
      <c r="F6">
        <v>0</v>
      </c>
      <c r="G6">
        <v>0</v>
      </c>
      <c r="H6">
        <v>2</v>
      </c>
      <c r="I6">
        <v>24772727</v>
      </c>
      <c r="J6">
        <v>17</v>
      </c>
      <c r="K6">
        <v>186602712.1785714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5</v>
      </c>
      <c r="E8">
        <v>45046281.090909094</v>
      </c>
      <c r="F8">
        <v>0</v>
      </c>
      <c r="G8">
        <v>0</v>
      </c>
      <c r="H8">
        <v>2</v>
      </c>
      <c r="I8">
        <v>16454546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7</v>
      </c>
      <c r="E9">
        <v>21068091.449999999</v>
      </c>
      <c r="F9">
        <v>1</v>
      </c>
      <c r="G9">
        <v>3177273</v>
      </c>
      <c r="H9">
        <v>0</v>
      </c>
      <c r="I9">
        <v>0</v>
      </c>
      <c r="J9">
        <v>8</v>
      </c>
      <c r="K9">
        <v>24245364.449999999</v>
      </c>
    </row>
    <row r="10" spans="1:11" x14ac:dyDescent="0.25">
      <c r="A10">
        <v>9</v>
      </c>
      <c r="B10" t="s">
        <v>27</v>
      </c>
      <c r="C10" t="s">
        <v>28</v>
      </c>
      <c r="D10">
        <v>173</v>
      </c>
      <c r="E10">
        <v>776756403.5951941</v>
      </c>
      <c r="F10">
        <v>0</v>
      </c>
      <c r="G10">
        <v>0</v>
      </c>
      <c r="H10">
        <v>0</v>
      </c>
      <c r="I10">
        <v>0</v>
      </c>
      <c r="J10">
        <v>173</v>
      </c>
      <c r="K10">
        <v>776756403.5951941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0</v>
      </c>
      <c r="G11">
        <v>0</v>
      </c>
      <c r="H11">
        <v>0</v>
      </c>
      <c r="I11">
        <v>0</v>
      </c>
      <c r="J11">
        <v>7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213</v>
      </c>
      <c r="E12">
        <v>2652509228.2191219</v>
      </c>
      <c r="F12">
        <v>1</v>
      </c>
      <c r="G12">
        <v>15090909</v>
      </c>
      <c r="H12">
        <v>1</v>
      </c>
      <c r="I12">
        <v>14863636</v>
      </c>
      <c r="J12">
        <v>213</v>
      </c>
      <c r="K12">
        <v>2652736501.2191219</v>
      </c>
    </row>
    <row r="13" spans="1:11" x14ac:dyDescent="0.25">
      <c r="A13">
        <v>12</v>
      </c>
      <c r="B13" t="s">
        <v>33</v>
      </c>
      <c r="C13" t="s">
        <v>34</v>
      </c>
      <c r="D13">
        <v>29</v>
      </c>
      <c r="E13">
        <v>443926048.76923078</v>
      </c>
      <c r="F13">
        <v>0</v>
      </c>
      <c r="G13">
        <v>0</v>
      </c>
      <c r="H13">
        <v>0</v>
      </c>
      <c r="I13">
        <v>0</v>
      </c>
      <c r="J13">
        <v>29</v>
      </c>
      <c r="K13">
        <v>443926048.76923078</v>
      </c>
    </row>
    <row r="14" spans="1:11" x14ac:dyDescent="0.25">
      <c r="A14">
        <v>13</v>
      </c>
      <c r="B14" t="s">
        <v>35</v>
      </c>
      <c r="C14" t="s">
        <v>36</v>
      </c>
      <c r="D14">
        <v>20</v>
      </c>
      <c r="E14">
        <v>354766222.28947371</v>
      </c>
      <c r="F14">
        <v>0</v>
      </c>
      <c r="G14">
        <v>0</v>
      </c>
      <c r="H14">
        <v>0</v>
      </c>
      <c r="I14">
        <v>0</v>
      </c>
      <c r="J14">
        <v>20</v>
      </c>
      <c r="K14">
        <v>354766222.28947371</v>
      </c>
    </row>
    <row r="15" spans="1:11" x14ac:dyDescent="0.25">
      <c r="A15">
        <v>14</v>
      </c>
      <c r="B15" t="s">
        <v>37</v>
      </c>
      <c r="C15" t="s">
        <v>38</v>
      </c>
      <c r="D15">
        <v>29</v>
      </c>
      <c r="E15">
        <v>271438677.93430662</v>
      </c>
      <c r="F15">
        <v>0</v>
      </c>
      <c r="G15">
        <v>0</v>
      </c>
      <c r="H15">
        <v>5</v>
      </c>
      <c r="I15">
        <v>49718183</v>
      </c>
      <c r="J15">
        <v>24</v>
      </c>
      <c r="K15">
        <v>221720494.93430659</v>
      </c>
    </row>
    <row r="16" spans="1:11" x14ac:dyDescent="0.25">
      <c r="A16">
        <v>15</v>
      </c>
      <c r="B16" t="s">
        <v>39</v>
      </c>
      <c r="C16" t="s">
        <v>40</v>
      </c>
      <c r="D16">
        <v>11</v>
      </c>
      <c r="E16">
        <v>158316808.10447761</v>
      </c>
      <c r="F16">
        <v>0</v>
      </c>
      <c r="G16">
        <v>0</v>
      </c>
      <c r="H16">
        <v>0</v>
      </c>
      <c r="I16">
        <v>0</v>
      </c>
      <c r="J16">
        <v>11</v>
      </c>
      <c r="K16">
        <v>158316808.10447761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210</v>
      </c>
      <c r="E24">
        <v>1623603825.5497241</v>
      </c>
      <c r="F24">
        <v>12</v>
      </c>
      <c r="G24">
        <v>4145460</v>
      </c>
      <c r="H24">
        <v>23</v>
      </c>
      <c r="I24">
        <v>106772728</v>
      </c>
      <c r="J24">
        <v>199</v>
      </c>
      <c r="K24">
        <v>1520976557.5497241</v>
      </c>
    </row>
    <row r="25" spans="1:11" x14ac:dyDescent="0.25">
      <c r="A25">
        <v>24</v>
      </c>
      <c r="B25" t="s">
        <v>57</v>
      </c>
      <c r="C25" t="s">
        <v>58</v>
      </c>
      <c r="D25">
        <v>300</v>
      </c>
      <c r="E25">
        <v>2265740710.361217</v>
      </c>
      <c r="F25">
        <v>8</v>
      </c>
      <c r="G25">
        <v>4131818</v>
      </c>
      <c r="H25">
        <v>7</v>
      </c>
      <c r="I25">
        <v>65399999</v>
      </c>
      <c r="J25">
        <v>301</v>
      </c>
      <c r="K25">
        <v>2204472529.361217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98033776.307692319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98033776.307692319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30154713.5</v>
      </c>
      <c r="F33">
        <v>0</v>
      </c>
      <c r="G33">
        <v>0</v>
      </c>
      <c r="H33">
        <v>0</v>
      </c>
      <c r="I33">
        <v>0</v>
      </c>
      <c r="J33">
        <v>6</v>
      </c>
      <c r="K33">
        <v>30154713.5</v>
      </c>
    </row>
    <row r="34" spans="1:11" x14ac:dyDescent="0.25">
      <c r="A34">
        <v>33</v>
      </c>
      <c r="B34" t="s">
        <v>75</v>
      </c>
      <c r="C34" t="s">
        <v>76</v>
      </c>
      <c r="D34">
        <v>43</v>
      </c>
      <c r="E34">
        <v>129095263.18326689</v>
      </c>
      <c r="F34">
        <v>0</v>
      </c>
      <c r="G34">
        <v>0</v>
      </c>
      <c r="H34">
        <v>3</v>
      </c>
      <c r="I34">
        <v>7199999</v>
      </c>
      <c r="J34">
        <v>40</v>
      </c>
      <c r="K34">
        <v>121895264.18326689</v>
      </c>
    </row>
    <row r="35" spans="1:11" x14ac:dyDescent="0.25">
      <c r="A35">
        <v>34</v>
      </c>
      <c r="B35" t="s">
        <v>77</v>
      </c>
      <c r="C35" t="s">
        <v>78</v>
      </c>
      <c r="D35">
        <v>397</v>
      </c>
      <c r="E35">
        <v>841469624.55380154</v>
      </c>
      <c r="F35">
        <v>12</v>
      </c>
      <c r="G35">
        <v>16909091</v>
      </c>
      <c r="H35">
        <v>22</v>
      </c>
      <c r="I35">
        <v>50481820</v>
      </c>
      <c r="J35">
        <v>387</v>
      </c>
      <c r="K35">
        <v>807896895.55380154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0</v>
      </c>
      <c r="G36">
        <v>0</v>
      </c>
      <c r="H36">
        <v>0</v>
      </c>
      <c r="I36">
        <v>0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53</v>
      </c>
      <c r="E37">
        <v>136164923.1964286</v>
      </c>
      <c r="F37">
        <v>0</v>
      </c>
      <c r="G37">
        <v>0</v>
      </c>
      <c r="H37">
        <v>0</v>
      </c>
      <c r="I37">
        <v>0</v>
      </c>
      <c r="J37">
        <v>53</v>
      </c>
      <c r="K37">
        <v>136164923.1964286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110</v>
      </c>
      <c r="E39">
        <v>287429511.38106239</v>
      </c>
      <c r="F39">
        <v>0</v>
      </c>
      <c r="G39">
        <v>0</v>
      </c>
      <c r="H39">
        <v>5</v>
      </c>
      <c r="I39">
        <v>17090909</v>
      </c>
      <c r="J39">
        <v>105</v>
      </c>
      <c r="K39">
        <v>270338602.38106239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833</v>
      </c>
      <c r="E42">
        <v>644560341.43484044</v>
      </c>
      <c r="F42">
        <v>27</v>
      </c>
      <c r="G42">
        <v>18240909</v>
      </c>
      <c r="H42">
        <v>15</v>
      </c>
      <c r="I42">
        <v>45245455</v>
      </c>
      <c r="J42">
        <v>845</v>
      </c>
      <c r="K42">
        <v>617555795.43484044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427</v>
      </c>
      <c r="E44">
        <v>1197286921.9747441</v>
      </c>
      <c r="F44">
        <v>0</v>
      </c>
      <c r="G44">
        <v>0</v>
      </c>
      <c r="H44">
        <v>4</v>
      </c>
      <c r="I44">
        <v>11318181</v>
      </c>
      <c r="J44">
        <v>423</v>
      </c>
      <c r="K44">
        <v>1185968740.9747441</v>
      </c>
    </row>
    <row r="45" spans="1:11" x14ac:dyDescent="0.25">
      <c r="A45">
        <v>44</v>
      </c>
      <c r="B45" t="s">
        <v>97</v>
      </c>
      <c r="C45" t="s">
        <v>98</v>
      </c>
      <c r="D45">
        <v>85</v>
      </c>
      <c r="E45">
        <v>354733708.79297298</v>
      </c>
      <c r="F45">
        <v>0</v>
      </c>
      <c r="G45">
        <v>0</v>
      </c>
      <c r="H45">
        <v>5</v>
      </c>
      <c r="I45">
        <v>26572728</v>
      </c>
      <c r="J45">
        <v>80</v>
      </c>
      <c r="K45">
        <v>328160980.79297298</v>
      </c>
    </row>
    <row r="46" spans="1:11" x14ac:dyDescent="0.25">
      <c r="A46">
        <v>45</v>
      </c>
      <c r="B46" t="s">
        <v>99</v>
      </c>
      <c r="C46" t="s">
        <v>100</v>
      </c>
      <c r="D46">
        <v>162</v>
      </c>
      <c r="E46">
        <v>110000485.9925714</v>
      </c>
      <c r="F46">
        <v>1</v>
      </c>
      <c r="G46">
        <v>13090909</v>
      </c>
      <c r="H46">
        <v>2</v>
      </c>
      <c r="I46">
        <v>13195455</v>
      </c>
      <c r="J46">
        <v>161</v>
      </c>
      <c r="K46">
        <v>109895939.9925714</v>
      </c>
    </row>
    <row r="47" spans="1:11" x14ac:dyDescent="0.25">
      <c r="A47">
        <v>46</v>
      </c>
      <c r="B47" t="s">
        <v>101</v>
      </c>
      <c r="C47" t="s">
        <v>102</v>
      </c>
      <c r="D47">
        <v>51</v>
      </c>
      <c r="E47">
        <v>147745211.83567381</v>
      </c>
      <c r="F47">
        <v>0</v>
      </c>
      <c r="G47">
        <v>0</v>
      </c>
      <c r="H47">
        <v>1</v>
      </c>
      <c r="I47">
        <v>8545454</v>
      </c>
      <c r="J47">
        <v>50</v>
      </c>
      <c r="K47">
        <v>139199757.83567381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40</v>
      </c>
      <c r="E49">
        <v>281905884.96224141</v>
      </c>
      <c r="F49">
        <v>0</v>
      </c>
      <c r="G49">
        <v>0</v>
      </c>
      <c r="H49">
        <v>2</v>
      </c>
      <c r="I49">
        <v>4000000</v>
      </c>
      <c r="J49">
        <v>38</v>
      </c>
      <c r="K49">
        <v>277905884.96224141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3</v>
      </c>
      <c r="E51">
        <v>2744227.1999999988</v>
      </c>
      <c r="F51">
        <v>7</v>
      </c>
      <c r="G51">
        <v>6500000</v>
      </c>
      <c r="H51">
        <v>3</v>
      </c>
      <c r="I51">
        <v>5863636</v>
      </c>
      <c r="J51">
        <v>7</v>
      </c>
      <c r="K51">
        <v>3380591.1999999988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101905064.26693881</v>
      </c>
      <c r="F52">
        <v>3</v>
      </c>
      <c r="G52">
        <v>1772727</v>
      </c>
      <c r="H52">
        <v>0</v>
      </c>
      <c r="I52">
        <v>0</v>
      </c>
      <c r="J52">
        <v>60</v>
      </c>
      <c r="K52">
        <v>103677791.26693881</v>
      </c>
    </row>
    <row r="53" spans="1:11" x14ac:dyDescent="0.25">
      <c r="A53">
        <v>52</v>
      </c>
      <c r="B53" t="s">
        <v>113</v>
      </c>
      <c r="C53" t="s">
        <v>114</v>
      </c>
      <c r="D53">
        <v>0</v>
      </c>
      <c r="E53">
        <v>0</v>
      </c>
      <c r="F53">
        <v>3</v>
      </c>
      <c r="G53">
        <v>5580000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73</v>
      </c>
      <c r="E55">
        <v>226217117.17270201</v>
      </c>
      <c r="F55">
        <v>4</v>
      </c>
      <c r="G55">
        <v>13870000</v>
      </c>
      <c r="H55">
        <v>5</v>
      </c>
      <c r="I55">
        <v>33336364</v>
      </c>
      <c r="J55">
        <v>72</v>
      </c>
      <c r="K55">
        <v>206750753.17270201</v>
      </c>
    </row>
    <row r="56" spans="1:11" x14ac:dyDescent="0.25">
      <c r="A56">
        <v>55</v>
      </c>
      <c r="B56" t="s">
        <v>119</v>
      </c>
      <c r="C56" t="s">
        <v>120</v>
      </c>
      <c r="D56">
        <v>21</v>
      </c>
      <c r="E56">
        <v>20538230.491525419</v>
      </c>
      <c r="F56">
        <v>4</v>
      </c>
      <c r="G56">
        <v>4140000</v>
      </c>
      <c r="H56">
        <v>2</v>
      </c>
      <c r="I56">
        <v>3636363</v>
      </c>
      <c r="J56">
        <v>23</v>
      </c>
      <c r="K56">
        <v>21041867.491525419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0</v>
      </c>
      <c r="G58">
        <v>0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3257</v>
      </c>
      <c r="E59">
        <v>404073817.38559759</v>
      </c>
      <c r="F59">
        <v>632</v>
      </c>
      <c r="G59">
        <v>41126379</v>
      </c>
      <c r="H59">
        <v>44</v>
      </c>
      <c r="I59">
        <v>13377275</v>
      </c>
      <c r="J59">
        <v>3845</v>
      </c>
      <c r="K59">
        <v>431822921.38559759</v>
      </c>
    </row>
    <row r="60" spans="1:11" x14ac:dyDescent="0.25">
      <c r="A60">
        <v>59</v>
      </c>
      <c r="B60" t="s">
        <v>127</v>
      </c>
      <c r="C60" t="s">
        <v>128</v>
      </c>
      <c r="D60">
        <v>101</v>
      </c>
      <c r="E60">
        <v>7687546.6822262118</v>
      </c>
      <c r="F60">
        <v>0</v>
      </c>
      <c r="G60">
        <v>0</v>
      </c>
      <c r="H60">
        <v>0</v>
      </c>
      <c r="I60">
        <v>0</v>
      </c>
      <c r="J60">
        <v>101</v>
      </c>
      <c r="K60">
        <v>7687546.6822262118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3601255.75</v>
      </c>
      <c r="F61">
        <v>0</v>
      </c>
      <c r="G61">
        <v>0</v>
      </c>
      <c r="H61">
        <v>1</v>
      </c>
      <c r="I61">
        <v>772727</v>
      </c>
      <c r="J61">
        <v>21</v>
      </c>
      <c r="K61">
        <v>2828528.75</v>
      </c>
    </row>
    <row r="62" spans="1:11" x14ac:dyDescent="0.25">
      <c r="A62">
        <v>61</v>
      </c>
      <c r="B62" t="s">
        <v>131</v>
      </c>
      <c r="C62" t="s">
        <v>132</v>
      </c>
      <c r="D62">
        <v>1441</v>
      </c>
      <c r="E62">
        <v>291923489.87895793</v>
      </c>
      <c r="F62">
        <v>0</v>
      </c>
      <c r="G62">
        <v>0</v>
      </c>
      <c r="H62">
        <v>3</v>
      </c>
      <c r="I62">
        <v>709091</v>
      </c>
      <c r="J62">
        <v>1438</v>
      </c>
      <c r="K62">
        <v>291214398.87895793</v>
      </c>
    </row>
    <row r="63" spans="1:11" x14ac:dyDescent="0.25">
      <c r="A63">
        <v>62</v>
      </c>
      <c r="B63" t="s">
        <v>133</v>
      </c>
      <c r="C63" t="s">
        <v>134</v>
      </c>
      <c r="D63">
        <v>261</v>
      </c>
      <c r="E63">
        <v>59643359.711580493</v>
      </c>
      <c r="F63">
        <v>0</v>
      </c>
      <c r="G63">
        <v>0</v>
      </c>
      <c r="H63">
        <v>0</v>
      </c>
      <c r="I63">
        <v>0</v>
      </c>
      <c r="J63">
        <v>261</v>
      </c>
      <c r="K63">
        <v>59643359.711580493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24</v>
      </c>
      <c r="E65">
        <v>22492590.631123591</v>
      </c>
      <c r="F65">
        <v>0</v>
      </c>
      <c r="G65">
        <v>0</v>
      </c>
      <c r="H65">
        <v>7</v>
      </c>
      <c r="I65">
        <v>11118181</v>
      </c>
      <c r="J65">
        <v>17</v>
      </c>
      <c r="K65">
        <v>11374409.631123589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143</v>
      </c>
      <c r="E70">
        <v>62498674.125112101</v>
      </c>
      <c r="F70">
        <v>0</v>
      </c>
      <c r="G70">
        <v>0</v>
      </c>
      <c r="H70">
        <v>0</v>
      </c>
      <c r="I70">
        <v>0</v>
      </c>
      <c r="J70">
        <v>143</v>
      </c>
      <c r="K70">
        <v>62498674.125112101</v>
      </c>
    </row>
    <row r="71" spans="1:11" x14ac:dyDescent="0.25">
      <c r="A71">
        <v>70</v>
      </c>
      <c r="B71" t="s">
        <v>149</v>
      </c>
      <c r="C71" t="s">
        <v>150</v>
      </c>
      <c r="D71">
        <v>7</v>
      </c>
      <c r="E71">
        <v>1388337.16</v>
      </c>
      <c r="F71">
        <v>2</v>
      </c>
      <c r="G71">
        <v>1781818</v>
      </c>
      <c r="H71">
        <v>0</v>
      </c>
      <c r="I71">
        <v>0</v>
      </c>
      <c r="J71">
        <v>9</v>
      </c>
      <c r="K71">
        <v>3170155.16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68</v>
      </c>
      <c r="E74">
        <v>150616933.07878789</v>
      </c>
      <c r="F74">
        <v>19</v>
      </c>
      <c r="G74">
        <v>42963636</v>
      </c>
      <c r="H74">
        <v>14</v>
      </c>
      <c r="I74">
        <v>32854545</v>
      </c>
      <c r="J74">
        <v>73</v>
      </c>
      <c r="K74">
        <v>160726024.07878789</v>
      </c>
    </row>
    <row r="75" spans="1:11" x14ac:dyDescent="0.25">
      <c r="A75">
        <v>74</v>
      </c>
      <c r="B75" t="s">
        <v>157</v>
      </c>
      <c r="C75" t="s">
        <v>158</v>
      </c>
      <c r="D75">
        <v>67</v>
      </c>
      <c r="E75">
        <v>220678315.7509881</v>
      </c>
      <c r="F75">
        <v>13</v>
      </c>
      <c r="G75">
        <v>37990910</v>
      </c>
      <c r="H75">
        <v>0</v>
      </c>
      <c r="I75">
        <v>0</v>
      </c>
      <c r="J75">
        <v>80</v>
      </c>
      <c r="K75">
        <v>258669225.7509881</v>
      </c>
    </row>
    <row r="76" spans="1:11" x14ac:dyDescent="0.25">
      <c r="A76">
        <v>75</v>
      </c>
      <c r="B76" t="s">
        <v>159</v>
      </c>
      <c r="C76" t="s">
        <v>160</v>
      </c>
      <c r="D76">
        <v>4</v>
      </c>
      <c r="E76">
        <v>22866456.875</v>
      </c>
      <c r="F76">
        <v>0</v>
      </c>
      <c r="G76">
        <v>0</v>
      </c>
      <c r="H76">
        <v>0</v>
      </c>
      <c r="I76">
        <v>0</v>
      </c>
      <c r="J76">
        <v>4</v>
      </c>
      <c r="K76">
        <v>22866456.875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99</v>
      </c>
      <c r="E78">
        <v>144931528.59605911</v>
      </c>
      <c r="F78">
        <v>18</v>
      </c>
      <c r="G78">
        <v>26058183</v>
      </c>
      <c r="H78">
        <v>11</v>
      </c>
      <c r="I78">
        <v>15500000</v>
      </c>
      <c r="J78">
        <v>106</v>
      </c>
      <c r="K78">
        <v>155489711.59605911</v>
      </c>
    </row>
    <row r="79" spans="1:11" x14ac:dyDescent="0.25">
      <c r="A79">
        <v>78</v>
      </c>
      <c r="B79" t="s">
        <v>165</v>
      </c>
      <c r="C79" t="s">
        <v>166</v>
      </c>
      <c r="D79">
        <v>6</v>
      </c>
      <c r="E79">
        <v>13411842</v>
      </c>
      <c r="F79">
        <v>2</v>
      </c>
      <c r="G79">
        <v>4878181</v>
      </c>
      <c r="H79">
        <v>0</v>
      </c>
      <c r="I79">
        <v>0</v>
      </c>
      <c r="J79">
        <v>8</v>
      </c>
      <c r="K79">
        <v>18290023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460</v>
      </c>
      <c r="E81">
        <v>125530322.62329011</v>
      </c>
      <c r="F81">
        <v>25</v>
      </c>
      <c r="G81">
        <v>8954545</v>
      </c>
      <c r="H81">
        <v>10</v>
      </c>
      <c r="I81">
        <v>4390910</v>
      </c>
      <c r="J81">
        <v>475</v>
      </c>
      <c r="K81">
        <v>130093957.62329011</v>
      </c>
    </row>
    <row r="82" spans="1:11" x14ac:dyDescent="0.25">
      <c r="A82">
        <v>81</v>
      </c>
      <c r="B82" t="s">
        <v>171</v>
      </c>
      <c r="C82" t="s">
        <v>172</v>
      </c>
      <c r="D82">
        <v>120</v>
      </c>
      <c r="E82">
        <v>83680314.117302045</v>
      </c>
      <c r="F82">
        <v>7</v>
      </c>
      <c r="G82">
        <v>5213636</v>
      </c>
      <c r="H82">
        <v>0</v>
      </c>
      <c r="I82">
        <v>0</v>
      </c>
      <c r="J82">
        <v>127</v>
      </c>
      <c r="K82">
        <v>88893950.117302045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12</v>
      </c>
      <c r="E84">
        <v>37192090.200000003</v>
      </c>
      <c r="F84">
        <v>0</v>
      </c>
      <c r="G84">
        <v>0</v>
      </c>
      <c r="H84">
        <v>0</v>
      </c>
      <c r="I84">
        <v>0</v>
      </c>
      <c r="J84">
        <v>12</v>
      </c>
      <c r="K84">
        <v>37192090.200000003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20523710.483870968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20523710.483870968</v>
      </c>
    </row>
    <row r="86" spans="1:11" x14ac:dyDescent="0.25">
      <c r="A86">
        <v>85</v>
      </c>
      <c r="B86" t="s">
        <v>179</v>
      </c>
      <c r="C86" t="s">
        <v>180</v>
      </c>
      <c r="D86">
        <v>12</v>
      </c>
      <c r="E86">
        <v>11829493.16</v>
      </c>
      <c r="F86">
        <v>0</v>
      </c>
      <c r="G86">
        <v>0</v>
      </c>
      <c r="H86">
        <v>0</v>
      </c>
      <c r="I86">
        <v>0</v>
      </c>
      <c r="J86">
        <v>12</v>
      </c>
      <c r="K86">
        <v>11829493.16</v>
      </c>
    </row>
    <row r="87" spans="1:11" x14ac:dyDescent="0.25">
      <c r="A87">
        <v>86</v>
      </c>
      <c r="B87" t="s">
        <v>181</v>
      </c>
      <c r="C87" t="s">
        <v>182</v>
      </c>
      <c r="D87">
        <v>74</v>
      </c>
      <c r="E87">
        <v>97878263.572559372</v>
      </c>
      <c r="F87">
        <v>0</v>
      </c>
      <c r="G87">
        <v>0</v>
      </c>
      <c r="H87">
        <v>1</v>
      </c>
      <c r="I87">
        <v>890909</v>
      </c>
      <c r="J87">
        <v>73</v>
      </c>
      <c r="K87">
        <v>96987354.572559372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3293181.9545454541</v>
      </c>
      <c r="F88">
        <v>11</v>
      </c>
      <c r="G88">
        <v>11650001</v>
      </c>
      <c r="H88">
        <v>11</v>
      </c>
      <c r="I88">
        <v>12500000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884</v>
      </c>
      <c r="E89">
        <v>302130392.74628812</v>
      </c>
      <c r="F89">
        <v>104</v>
      </c>
      <c r="G89">
        <v>33827273</v>
      </c>
      <c r="H89">
        <v>49</v>
      </c>
      <c r="I89">
        <v>21654546</v>
      </c>
      <c r="J89">
        <v>939</v>
      </c>
      <c r="K89">
        <v>314303119.74628812</v>
      </c>
    </row>
    <row r="90" spans="1:11" x14ac:dyDescent="0.25">
      <c r="A90">
        <v>89</v>
      </c>
      <c r="B90" t="s">
        <v>187</v>
      </c>
      <c r="C90" t="s">
        <v>188</v>
      </c>
      <c r="D90">
        <v>168</v>
      </c>
      <c r="E90">
        <v>162403664.34957021</v>
      </c>
      <c r="F90">
        <v>5</v>
      </c>
      <c r="G90">
        <v>3022727</v>
      </c>
      <c r="H90">
        <v>6</v>
      </c>
      <c r="I90">
        <v>4663636</v>
      </c>
      <c r="J90">
        <v>167</v>
      </c>
      <c r="K90">
        <v>160762755.34957021</v>
      </c>
    </row>
    <row r="91" spans="1:11" x14ac:dyDescent="0.25">
      <c r="A91">
        <v>90</v>
      </c>
      <c r="B91" t="s">
        <v>189</v>
      </c>
      <c r="C91" t="s">
        <v>190</v>
      </c>
      <c r="D91">
        <v>44</v>
      </c>
      <c r="E91">
        <v>61480504.992395438</v>
      </c>
      <c r="F91">
        <v>2</v>
      </c>
      <c r="G91">
        <v>3000000</v>
      </c>
      <c r="H91">
        <v>0</v>
      </c>
      <c r="I91">
        <v>0</v>
      </c>
      <c r="J91">
        <v>46</v>
      </c>
      <c r="K91">
        <v>64480504.992395438</v>
      </c>
    </row>
    <row r="92" spans="1:11" x14ac:dyDescent="0.25">
      <c r="A92">
        <v>91</v>
      </c>
      <c r="B92" t="s">
        <v>191</v>
      </c>
      <c r="C92" t="s">
        <v>192</v>
      </c>
      <c r="D92">
        <v>107</v>
      </c>
      <c r="E92">
        <v>82454145.128078818</v>
      </c>
      <c r="F92">
        <v>54</v>
      </c>
      <c r="G92">
        <v>7418162</v>
      </c>
      <c r="H92">
        <v>2</v>
      </c>
      <c r="I92">
        <v>2500000</v>
      </c>
      <c r="J92">
        <v>159</v>
      </c>
      <c r="K92">
        <v>87372307.128078818</v>
      </c>
    </row>
    <row r="93" spans="1:11" x14ac:dyDescent="0.25">
      <c r="A93">
        <v>92</v>
      </c>
      <c r="B93" t="s">
        <v>193</v>
      </c>
      <c r="C93" t="s">
        <v>194</v>
      </c>
      <c r="D93">
        <v>46</v>
      </c>
      <c r="E93">
        <v>71584965.432558149</v>
      </c>
      <c r="F93">
        <v>10</v>
      </c>
      <c r="G93">
        <v>19727272</v>
      </c>
      <c r="H93">
        <v>1</v>
      </c>
      <c r="I93">
        <v>5000000</v>
      </c>
      <c r="J93">
        <v>55</v>
      </c>
      <c r="K93">
        <v>86312237.432558149</v>
      </c>
    </row>
    <row r="94" spans="1:11" x14ac:dyDescent="0.25">
      <c r="A94">
        <v>93</v>
      </c>
      <c r="B94" t="s">
        <v>195</v>
      </c>
      <c r="C94" t="s">
        <v>196</v>
      </c>
      <c r="D94">
        <v>207</v>
      </c>
      <c r="E94">
        <v>98847045.615560651</v>
      </c>
      <c r="F94">
        <v>30</v>
      </c>
      <c r="G94">
        <v>42595450</v>
      </c>
      <c r="H94">
        <v>5</v>
      </c>
      <c r="I94">
        <v>3081818</v>
      </c>
      <c r="J94">
        <v>232</v>
      </c>
      <c r="K94">
        <v>138360677.61556071</v>
      </c>
    </row>
    <row r="95" spans="1:11" x14ac:dyDescent="0.25">
      <c r="A95">
        <v>94</v>
      </c>
      <c r="B95" t="s">
        <v>197</v>
      </c>
      <c r="C95" t="s">
        <v>198</v>
      </c>
      <c r="D95">
        <v>23</v>
      </c>
      <c r="E95">
        <v>2773726.8672566381</v>
      </c>
      <c r="F95">
        <v>0</v>
      </c>
      <c r="G95">
        <v>0</v>
      </c>
      <c r="H95">
        <v>0</v>
      </c>
      <c r="I95">
        <v>0</v>
      </c>
      <c r="J95">
        <v>23</v>
      </c>
      <c r="K95">
        <v>2773726.8672566381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461</v>
      </c>
      <c r="E97">
        <v>104461531.4361957</v>
      </c>
      <c r="F97">
        <v>58</v>
      </c>
      <c r="G97">
        <v>7354551</v>
      </c>
      <c r="H97">
        <v>8</v>
      </c>
      <c r="I97">
        <v>795454</v>
      </c>
      <c r="J97">
        <v>511</v>
      </c>
      <c r="K97">
        <v>111020628.4361957</v>
      </c>
    </row>
    <row r="98" spans="1:11" x14ac:dyDescent="0.25">
      <c r="A98">
        <v>97</v>
      </c>
      <c r="B98" t="s">
        <v>203</v>
      </c>
      <c r="C98" t="s">
        <v>204</v>
      </c>
      <c r="D98">
        <v>473</v>
      </c>
      <c r="E98">
        <v>93546212.620727673</v>
      </c>
      <c r="F98">
        <v>2</v>
      </c>
      <c r="G98">
        <v>981818</v>
      </c>
      <c r="H98">
        <v>35</v>
      </c>
      <c r="I98">
        <v>7999999</v>
      </c>
      <c r="J98">
        <v>440</v>
      </c>
      <c r="K98">
        <v>86528031.620727673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4</v>
      </c>
      <c r="E101">
        <v>3674579</v>
      </c>
      <c r="F101">
        <v>1</v>
      </c>
      <c r="G101">
        <v>1363636</v>
      </c>
      <c r="H101">
        <v>2</v>
      </c>
      <c r="I101">
        <v>1809091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87</v>
      </c>
      <c r="E102">
        <v>84462474.669291347</v>
      </c>
      <c r="F102">
        <v>25</v>
      </c>
      <c r="G102">
        <v>10454545</v>
      </c>
      <c r="H102">
        <v>0</v>
      </c>
      <c r="I102">
        <v>0</v>
      </c>
      <c r="J102">
        <v>112</v>
      </c>
      <c r="K102">
        <v>94917019.669291347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1262</v>
      </c>
      <c r="E104">
        <v>170887723.46378449</v>
      </c>
      <c r="F104">
        <v>182</v>
      </c>
      <c r="G104">
        <v>20040908</v>
      </c>
      <c r="H104">
        <v>60</v>
      </c>
      <c r="I104">
        <v>7831816</v>
      </c>
      <c r="J104">
        <v>1384</v>
      </c>
      <c r="K104">
        <v>183096815.46378449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115</v>
      </c>
      <c r="E105">
        <v>39873539.992982447</v>
      </c>
      <c r="F105">
        <v>12</v>
      </c>
      <c r="G105">
        <v>4604546</v>
      </c>
      <c r="H105">
        <v>0</v>
      </c>
      <c r="I105">
        <v>0</v>
      </c>
      <c r="J105">
        <v>127</v>
      </c>
      <c r="K105">
        <v>44478085.992982447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1424</v>
      </c>
      <c r="E106">
        <v>169733716.69023031</v>
      </c>
      <c r="F106">
        <v>360</v>
      </c>
      <c r="G106">
        <v>37636364</v>
      </c>
      <c r="H106">
        <v>33</v>
      </c>
      <c r="I106">
        <v>4295454</v>
      </c>
      <c r="J106">
        <v>1751</v>
      </c>
      <c r="K106">
        <v>203074626.69023031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954</v>
      </c>
      <c r="E107">
        <v>140512053.3291294</v>
      </c>
      <c r="F107">
        <v>72</v>
      </c>
      <c r="G107">
        <v>9363636</v>
      </c>
      <c r="H107">
        <v>35</v>
      </c>
      <c r="I107">
        <v>4713637</v>
      </c>
      <c r="J107">
        <v>991</v>
      </c>
      <c r="K107">
        <v>145162052.3291294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198</v>
      </c>
      <c r="E109">
        <v>60766506.850046858</v>
      </c>
      <c r="F109">
        <v>36</v>
      </c>
      <c r="G109">
        <v>13230909</v>
      </c>
      <c r="H109">
        <v>20</v>
      </c>
      <c r="I109">
        <v>11663636</v>
      </c>
      <c r="J109">
        <v>214</v>
      </c>
      <c r="K109">
        <v>62333779.850046858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221</v>
      </c>
      <c r="E110">
        <v>80161101.166189104</v>
      </c>
      <c r="F110">
        <v>28</v>
      </c>
      <c r="G110">
        <v>7830000</v>
      </c>
      <c r="H110">
        <v>11</v>
      </c>
      <c r="I110">
        <v>5281818</v>
      </c>
      <c r="J110">
        <v>238</v>
      </c>
      <c r="K110">
        <v>82709283.166189104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96</v>
      </c>
      <c r="E112">
        <v>50665976.259079903</v>
      </c>
      <c r="F112">
        <v>0</v>
      </c>
      <c r="G112">
        <v>0</v>
      </c>
      <c r="H112">
        <v>0</v>
      </c>
      <c r="I112">
        <v>0</v>
      </c>
      <c r="J112">
        <v>96</v>
      </c>
      <c r="K112">
        <v>50665976.259079903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259</v>
      </c>
      <c r="E113">
        <v>86996657.390264019</v>
      </c>
      <c r="F113">
        <v>60</v>
      </c>
      <c r="G113">
        <v>15731820</v>
      </c>
      <c r="H113">
        <v>2</v>
      </c>
      <c r="I113">
        <v>781818</v>
      </c>
      <c r="J113">
        <v>317</v>
      </c>
      <c r="K113">
        <v>101946659.390264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5</v>
      </c>
      <c r="E122">
        <v>636364</v>
      </c>
      <c r="F122">
        <v>4</v>
      </c>
      <c r="G122">
        <v>2400000</v>
      </c>
      <c r="H122">
        <v>0</v>
      </c>
      <c r="I122">
        <v>0</v>
      </c>
      <c r="J122">
        <v>9</v>
      </c>
      <c r="K122">
        <v>3036364</v>
      </c>
    </row>
    <row r="123" spans="1:11" x14ac:dyDescent="0.25">
      <c r="A123">
        <v>122</v>
      </c>
      <c r="B123" t="s">
        <v>253</v>
      </c>
      <c r="C123" t="s">
        <v>254</v>
      </c>
      <c r="D123">
        <v>215</v>
      </c>
      <c r="E123">
        <v>80702300.616306961</v>
      </c>
      <c r="F123">
        <v>15</v>
      </c>
      <c r="G123">
        <v>6068175</v>
      </c>
      <c r="H123">
        <v>17</v>
      </c>
      <c r="I123">
        <v>6940000</v>
      </c>
      <c r="J123">
        <v>213</v>
      </c>
      <c r="K123">
        <v>79830475.616306961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33</v>
      </c>
      <c r="E124">
        <v>17912513.84722222</v>
      </c>
      <c r="F124">
        <v>5</v>
      </c>
      <c r="G124">
        <v>2727275</v>
      </c>
      <c r="H124">
        <v>0</v>
      </c>
      <c r="I124">
        <v>0</v>
      </c>
      <c r="J124">
        <v>38</v>
      </c>
      <c r="K124">
        <v>20639788.84722222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325</v>
      </c>
      <c r="E126">
        <v>180400661.2321918</v>
      </c>
      <c r="F126">
        <v>45</v>
      </c>
      <c r="G126">
        <v>29192146</v>
      </c>
      <c r="H126">
        <v>9</v>
      </c>
      <c r="I126">
        <v>6290910</v>
      </c>
      <c r="J126">
        <v>361</v>
      </c>
      <c r="K126">
        <v>203301897.2321918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5</v>
      </c>
      <c r="E128">
        <v>6412628.4090909092</v>
      </c>
      <c r="F128">
        <v>2</v>
      </c>
      <c r="G128">
        <v>1900000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10</v>
      </c>
      <c r="E129">
        <v>22800517.75</v>
      </c>
      <c r="F129">
        <v>5</v>
      </c>
      <c r="G129">
        <v>9702721</v>
      </c>
      <c r="H129">
        <v>2</v>
      </c>
      <c r="I129">
        <v>3727272</v>
      </c>
      <c r="J129">
        <v>13</v>
      </c>
      <c r="K129">
        <v>28775966.75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537</v>
      </c>
      <c r="E131">
        <v>147987601.5194805</v>
      </c>
      <c r="F131">
        <v>13</v>
      </c>
      <c r="G131">
        <v>12568184</v>
      </c>
      <c r="H131">
        <v>0</v>
      </c>
      <c r="I131">
        <v>0</v>
      </c>
      <c r="J131">
        <v>550</v>
      </c>
      <c r="K131">
        <v>160555785.5194805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112</v>
      </c>
      <c r="E132">
        <v>15500319.7489301</v>
      </c>
      <c r="F132">
        <v>3</v>
      </c>
      <c r="G132">
        <v>6681818</v>
      </c>
      <c r="H132">
        <v>1</v>
      </c>
      <c r="I132">
        <v>1590909</v>
      </c>
      <c r="J132">
        <v>114</v>
      </c>
      <c r="K132">
        <v>20591228.7489301</v>
      </c>
    </row>
    <row r="133" spans="1:11" x14ac:dyDescent="0.25">
      <c r="A133">
        <v>132</v>
      </c>
      <c r="B133" t="s">
        <v>273</v>
      </c>
      <c r="C133" t="s">
        <v>274</v>
      </c>
      <c r="D133">
        <v>220</v>
      </c>
      <c r="E133">
        <v>42783305.769411772</v>
      </c>
      <c r="F133">
        <v>6</v>
      </c>
      <c r="G133">
        <v>16000000</v>
      </c>
      <c r="H133">
        <v>0</v>
      </c>
      <c r="I133">
        <v>0</v>
      </c>
      <c r="J133">
        <v>226</v>
      </c>
      <c r="K133">
        <v>58783305.769411772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66</v>
      </c>
      <c r="E134">
        <v>24687056.08433735</v>
      </c>
      <c r="F134">
        <v>8</v>
      </c>
      <c r="G134">
        <v>3536361</v>
      </c>
      <c r="H134">
        <v>2</v>
      </c>
      <c r="I134">
        <v>1045455</v>
      </c>
      <c r="J134">
        <v>72</v>
      </c>
      <c r="K134">
        <v>27177962.08433735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35</v>
      </c>
      <c r="E138">
        <v>57982295.860465117</v>
      </c>
      <c r="F138">
        <v>0</v>
      </c>
      <c r="G138">
        <v>0</v>
      </c>
      <c r="H138">
        <v>0</v>
      </c>
      <c r="I138">
        <v>0</v>
      </c>
      <c r="J138">
        <v>35</v>
      </c>
      <c r="K138">
        <v>57982295.860465117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4</v>
      </c>
      <c r="E141">
        <v>20379354.838709679</v>
      </c>
      <c r="F141">
        <v>1</v>
      </c>
      <c r="G141">
        <v>2780000</v>
      </c>
      <c r="H141">
        <v>0</v>
      </c>
      <c r="I141">
        <v>0</v>
      </c>
      <c r="J141">
        <v>5</v>
      </c>
      <c r="K141">
        <v>23159354.838709679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164</v>
      </c>
      <c r="E143">
        <v>71356168.115942031</v>
      </c>
      <c r="F143">
        <v>0</v>
      </c>
      <c r="G143">
        <v>0</v>
      </c>
      <c r="H143">
        <v>0</v>
      </c>
      <c r="I143">
        <v>0</v>
      </c>
      <c r="J143">
        <v>164</v>
      </c>
      <c r="K143">
        <v>71356168.115942031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716.03</v>
      </c>
      <c r="E146">
        <v>359186570</v>
      </c>
      <c r="F146">
        <v>228.22</v>
      </c>
      <c r="G146">
        <v>130554796.09999999</v>
      </c>
      <c r="H146">
        <v>81</v>
      </c>
      <c r="I146">
        <v>73104544</v>
      </c>
      <c r="J146">
        <v>863.25</v>
      </c>
      <c r="K146">
        <v>416636822.10000002</v>
      </c>
    </row>
    <row r="147" spans="1:11" x14ac:dyDescent="0.25">
      <c r="A147" t="s">
        <v>301</v>
      </c>
      <c r="D147">
        <v>19500.03</v>
      </c>
      <c r="E147">
        <v>20839667364.750431</v>
      </c>
      <c r="F147">
        <v>2188.2199999999998</v>
      </c>
      <c r="G147">
        <v>749561478.10000002</v>
      </c>
      <c r="H147">
        <v>606</v>
      </c>
      <c r="I147">
        <v>979997269</v>
      </c>
      <c r="J147">
        <v>21082.25</v>
      </c>
      <c r="K147">
        <v>20609231573.85043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9</v>
      </c>
      <c r="E2">
        <v>85953566.772727281</v>
      </c>
      <c r="F2">
        <v>8</v>
      </c>
      <c r="G2">
        <v>82181818</v>
      </c>
      <c r="H2">
        <v>9</v>
      </c>
      <c r="I2">
        <v>94454546</v>
      </c>
      <c r="J2">
        <v>8</v>
      </c>
      <c r="K2">
        <v>73680838.772727281</v>
      </c>
    </row>
    <row r="3" spans="1:11" x14ac:dyDescent="0.25">
      <c r="A3">
        <v>2</v>
      </c>
      <c r="B3" t="s">
        <v>13</v>
      </c>
      <c r="C3" t="s">
        <v>14</v>
      </c>
      <c r="D3">
        <v>16</v>
      </c>
      <c r="E3">
        <v>131342034</v>
      </c>
      <c r="F3">
        <v>3</v>
      </c>
      <c r="G3">
        <v>44657076</v>
      </c>
      <c r="H3">
        <v>3</v>
      </c>
      <c r="I3">
        <v>51277273</v>
      </c>
      <c r="J3">
        <v>16</v>
      </c>
      <c r="K3">
        <v>124721837</v>
      </c>
    </row>
    <row r="4" spans="1:11" x14ac:dyDescent="0.25">
      <c r="A4">
        <v>3</v>
      </c>
      <c r="B4" t="s">
        <v>15</v>
      </c>
      <c r="C4" t="s">
        <v>16</v>
      </c>
      <c r="D4">
        <v>157</v>
      </c>
      <c r="E4">
        <v>2045881054.201292</v>
      </c>
      <c r="F4">
        <v>18</v>
      </c>
      <c r="G4">
        <v>206454545</v>
      </c>
      <c r="H4">
        <v>2</v>
      </c>
      <c r="I4">
        <v>36000000</v>
      </c>
      <c r="J4">
        <v>173</v>
      </c>
      <c r="K4">
        <v>2216335599.201292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19</v>
      </c>
      <c r="C6" t="s">
        <v>20</v>
      </c>
      <c r="D6">
        <v>17</v>
      </c>
      <c r="E6">
        <v>186602712.1785714</v>
      </c>
      <c r="F6">
        <v>2</v>
      </c>
      <c r="G6">
        <v>26909091</v>
      </c>
      <c r="H6">
        <v>4</v>
      </c>
      <c r="I6">
        <v>32727272</v>
      </c>
      <c r="J6">
        <v>15</v>
      </c>
      <c r="K6">
        <v>180784531.1785714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0</v>
      </c>
      <c r="I8">
        <v>0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8</v>
      </c>
      <c r="E9">
        <v>24245364.449999999</v>
      </c>
      <c r="F9">
        <v>0</v>
      </c>
      <c r="G9">
        <v>0</v>
      </c>
      <c r="H9">
        <v>0</v>
      </c>
      <c r="I9">
        <v>0</v>
      </c>
      <c r="J9">
        <v>8</v>
      </c>
      <c r="K9">
        <v>24245364.449999999</v>
      </c>
    </row>
    <row r="10" spans="1:11" x14ac:dyDescent="0.25">
      <c r="A10">
        <v>9</v>
      </c>
      <c r="B10" t="s">
        <v>27</v>
      </c>
      <c r="C10" t="s">
        <v>28</v>
      </c>
      <c r="D10">
        <v>173</v>
      </c>
      <c r="E10">
        <v>776756403.5951941</v>
      </c>
      <c r="F10">
        <v>4</v>
      </c>
      <c r="G10">
        <v>17909091</v>
      </c>
      <c r="H10">
        <v>2</v>
      </c>
      <c r="I10">
        <v>34181818</v>
      </c>
      <c r="J10">
        <v>175</v>
      </c>
      <c r="K10">
        <v>760483676.5951941</v>
      </c>
    </row>
    <row r="11" spans="1:11" x14ac:dyDescent="0.25">
      <c r="A11">
        <v>10</v>
      </c>
      <c r="B11" t="s">
        <v>29</v>
      </c>
      <c r="C11" t="s">
        <v>30</v>
      </c>
      <c r="D11">
        <v>7</v>
      </c>
      <c r="E11">
        <v>63284373.25</v>
      </c>
      <c r="F11">
        <v>1</v>
      </c>
      <c r="G11">
        <v>0</v>
      </c>
      <c r="H11">
        <v>0</v>
      </c>
      <c r="I11">
        <v>0</v>
      </c>
      <c r="J11">
        <v>8</v>
      </c>
      <c r="K11">
        <v>63284373.25</v>
      </c>
    </row>
    <row r="12" spans="1:11" x14ac:dyDescent="0.25">
      <c r="A12">
        <v>11</v>
      </c>
      <c r="B12" t="s">
        <v>31</v>
      </c>
      <c r="C12" t="s">
        <v>32</v>
      </c>
      <c r="D12">
        <v>213</v>
      </c>
      <c r="E12">
        <v>2652736501.2191219</v>
      </c>
      <c r="F12">
        <v>3</v>
      </c>
      <c r="G12">
        <v>34873636</v>
      </c>
      <c r="H12">
        <v>6</v>
      </c>
      <c r="I12">
        <v>64172727</v>
      </c>
      <c r="J12">
        <v>210</v>
      </c>
      <c r="K12">
        <v>2623437410.2191219</v>
      </c>
    </row>
    <row r="13" spans="1:11" x14ac:dyDescent="0.25">
      <c r="A13">
        <v>12</v>
      </c>
      <c r="B13" t="s">
        <v>33</v>
      </c>
      <c r="C13" t="s">
        <v>34</v>
      </c>
      <c r="D13">
        <v>29</v>
      </c>
      <c r="E13">
        <v>443926048.76923078</v>
      </c>
      <c r="F13">
        <v>2</v>
      </c>
      <c r="G13">
        <v>43618182</v>
      </c>
      <c r="H13">
        <v>1</v>
      </c>
      <c r="I13">
        <v>20354545</v>
      </c>
      <c r="J13">
        <v>30</v>
      </c>
      <c r="K13">
        <v>467189685.76923078</v>
      </c>
    </row>
    <row r="14" spans="1:11" x14ac:dyDescent="0.25">
      <c r="A14">
        <v>13</v>
      </c>
      <c r="B14" t="s">
        <v>35</v>
      </c>
      <c r="C14" t="s">
        <v>36</v>
      </c>
      <c r="D14">
        <v>20</v>
      </c>
      <c r="E14">
        <v>354766222.28947371</v>
      </c>
      <c r="F14">
        <v>0</v>
      </c>
      <c r="G14">
        <v>0</v>
      </c>
      <c r="H14">
        <v>3</v>
      </c>
      <c r="I14">
        <v>49318180</v>
      </c>
      <c r="J14">
        <v>17</v>
      </c>
      <c r="K14">
        <v>305448042.28947371</v>
      </c>
    </row>
    <row r="15" spans="1:11" x14ac:dyDescent="0.25">
      <c r="A15">
        <v>14</v>
      </c>
      <c r="B15" t="s">
        <v>37</v>
      </c>
      <c r="C15" t="s">
        <v>38</v>
      </c>
      <c r="D15">
        <v>24</v>
      </c>
      <c r="E15">
        <v>221720494.93430659</v>
      </c>
      <c r="F15">
        <v>1</v>
      </c>
      <c r="G15">
        <v>14081818</v>
      </c>
      <c r="H15">
        <v>3</v>
      </c>
      <c r="I15">
        <v>27718182</v>
      </c>
      <c r="J15">
        <v>22</v>
      </c>
      <c r="K15">
        <v>208084130.93430659</v>
      </c>
    </row>
    <row r="16" spans="1:11" x14ac:dyDescent="0.25">
      <c r="A16">
        <v>15</v>
      </c>
      <c r="B16" t="s">
        <v>39</v>
      </c>
      <c r="C16" t="s">
        <v>40</v>
      </c>
      <c r="D16">
        <v>11</v>
      </c>
      <c r="E16">
        <v>158316808.10447761</v>
      </c>
      <c r="F16">
        <v>0</v>
      </c>
      <c r="G16">
        <v>0</v>
      </c>
      <c r="H16">
        <v>0</v>
      </c>
      <c r="I16">
        <v>0</v>
      </c>
      <c r="J16">
        <v>11</v>
      </c>
      <c r="K16">
        <v>158316808.10447761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199</v>
      </c>
      <c r="E24">
        <v>1520976557.5497241</v>
      </c>
      <c r="F24">
        <v>0</v>
      </c>
      <c r="G24">
        <v>0</v>
      </c>
      <c r="H24">
        <v>6</v>
      </c>
      <c r="I24">
        <v>52845454</v>
      </c>
      <c r="J24">
        <v>193</v>
      </c>
      <c r="K24">
        <v>1468131103.5497241</v>
      </c>
    </row>
    <row r="25" spans="1:11" x14ac:dyDescent="0.25">
      <c r="A25">
        <v>24</v>
      </c>
      <c r="B25" t="s">
        <v>57</v>
      </c>
      <c r="C25" t="s">
        <v>58</v>
      </c>
      <c r="D25">
        <v>301</v>
      </c>
      <c r="E25">
        <v>2204472529.361217</v>
      </c>
      <c r="F25">
        <v>24</v>
      </c>
      <c r="G25">
        <v>49077272</v>
      </c>
      <c r="H25">
        <v>21</v>
      </c>
      <c r="I25">
        <v>58963637</v>
      </c>
      <c r="J25">
        <v>304</v>
      </c>
      <c r="K25">
        <v>2194586164.361217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98033776.307692319</v>
      </c>
      <c r="F30">
        <v>1</v>
      </c>
      <c r="G30">
        <v>12181818</v>
      </c>
      <c r="H30">
        <v>1</v>
      </c>
      <c r="I30">
        <v>14363636</v>
      </c>
      <c r="J30">
        <v>7</v>
      </c>
      <c r="K30">
        <v>95851958.307692319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30154713.5</v>
      </c>
      <c r="F33">
        <v>0</v>
      </c>
      <c r="G33">
        <v>0</v>
      </c>
      <c r="H33">
        <v>0</v>
      </c>
      <c r="I33">
        <v>0</v>
      </c>
      <c r="J33">
        <v>6</v>
      </c>
      <c r="K33">
        <v>30154713.5</v>
      </c>
    </row>
    <row r="34" spans="1:11" x14ac:dyDescent="0.25">
      <c r="A34">
        <v>33</v>
      </c>
      <c r="B34" t="s">
        <v>75</v>
      </c>
      <c r="C34" t="s">
        <v>76</v>
      </c>
      <c r="D34">
        <v>40</v>
      </c>
      <c r="E34">
        <v>121895264.18326689</v>
      </c>
      <c r="F34">
        <v>12</v>
      </c>
      <c r="G34">
        <v>28800000</v>
      </c>
      <c r="H34">
        <v>4</v>
      </c>
      <c r="I34">
        <v>11727272</v>
      </c>
      <c r="J34">
        <v>48</v>
      </c>
      <c r="K34">
        <v>138967992.18326691</v>
      </c>
    </row>
    <row r="35" spans="1:11" x14ac:dyDescent="0.25">
      <c r="A35">
        <v>34</v>
      </c>
      <c r="B35" t="s">
        <v>77</v>
      </c>
      <c r="C35" t="s">
        <v>78</v>
      </c>
      <c r="D35">
        <v>387</v>
      </c>
      <c r="E35">
        <v>807896895.55380154</v>
      </c>
      <c r="F35">
        <v>22</v>
      </c>
      <c r="G35">
        <v>43544543</v>
      </c>
      <c r="H35">
        <v>29</v>
      </c>
      <c r="I35">
        <v>64836364</v>
      </c>
      <c r="J35">
        <v>380</v>
      </c>
      <c r="K35">
        <v>786605074.55380154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0</v>
      </c>
      <c r="G36">
        <v>0</v>
      </c>
      <c r="H36">
        <v>0</v>
      </c>
      <c r="I36">
        <v>0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53</v>
      </c>
      <c r="E37">
        <v>136164923.1964286</v>
      </c>
      <c r="F37">
        <v>4</v>
      </c>
      <c r="G37">
        <v>4618182</v>
      </c>
      <c r="H37">
        <v>0</v>
      </c>
      <c r="I37">
        <v>0</v>
      </c>
      <c r="J37">
        <v>57</v>
      </c>
      <c r="K37">
        <v>140783105.1964286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85</v>
      </c>
      <c r="C39" t="s">
        <v>86</v>
      </c>
      <c r="D39">
        <v>105</v>
      </c>
      <c r="E39">
        <v>270338602.38106239</v>
      </c>
      <c r="F39">
        <v>0</v>
      </c>
      <c r="G39">
        <v>0</v>
      </c>
      <c r="H39">
        <v>0</v>
      </c>
      <c r="I39">
        <v>0</v>
      </c>
      <c r="J39">
        <v>105</v>
      </c>
      <c r="K39">
        <v>270338602.38106239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845</v>
      </c>
      <c r="E42">
        <v>617555795.43484044</v>
      </c>
      <c r="F42">
        <v>5</v>
      </c>
      <c r="G42">
        <v>477270</v>
      </c>
      <c r="H42">
        <v>35</v>
      </c>
      <c r="I42">
        <v>113472726</v>
      </c>
      <c r="J42">
        <v>815</v>
      </c>
      <c r="K42">
        <v>504560339.43484038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423</v>
      </c>
      <c r="E44">
        <v>1185968740.9747441</v>
      </c>
      <c r="F44">
        <v>0</v>
      </c>
      <c r="G44">
        <v>0</v>
      </c>
      <c r="H44">
        <v>59</v>
      </c>
      <c r="I44">
        <v>138145454</v>
      </c>
      <c r="J44">
        <v>364</v>
      </c>
      <c r="K44">
        <v>1047823286.974744</v>
      </c>
    </row>
    <row r="45" spans="1:11" x14ac:dyDescent="0.25">
      <c r="A45">
        <v>44</v>
      </c>
      <c r="B45" t="s">
        <v>97</v>
      </c>
      <c r="C45" t="s">
        <v>98</v>
      </c>
      <c r="D45">
        <v>80</v>
      </c>
      <c r="E45">
        <v>328160980.79297298</v>
      </c>
      <c r="F45">
        <v>0</v>
      </c>
      <c r="G45">
        <v>0</v>
      </c>
      <c r="H45">
        <v>8</v>
      </c>
      <c r="I45">
        <v>26027272</v>
      </c>
      <c r="J45">
        <v>72</v>
      </c>
      <c r="K45">
        <v>302133708.79297298</v>
      </c>
    </row>
    <row r="46" spans="1:11" x14ac:dyDescent="0.25">
      <c r="A46">
        <v>45</v>
      </c>
      <c r="B46" t="s">
        <v>99</v>
      </c>
      <c r="C46" t="s">
        <v>100</v>
      </c>
      <c r="D46">
        <v>161</v>
      </c>
      <c r="E46">
        <v>109895939.9925714</v>
      </c>
      <c r="F46">
        <v>0</v>
      </c>
      <c r="G46">
        <v>0</v>
      </c>
      <c r="H46">
        <v>0</v>
      </c>
      <c r="I46">
        <v>0</v>
      </c>
      <c r="J46">
        <v>161</v>
      </c>
      <c r="K46">
        <v>109895939.9925714</v>
      </c>
    </row>
    <row r="47" spans="1:11" x14ac:dyDescent="0.25">
      <c r="A47">
        <v>46</v>
      </c>
      <c r="B47" t="s">
        <v>101</v>
      </c>
      <c r="C47" t="s">
        <v>102</v>
      </c>
      <c r="D47">
        <v>50</v>
      </c>
      <c r="E47">
        <v>139199757.83567381</v>
      </c>
      <c r="F47">
        <v>2</v>
      </c>
      <c r="G47">
        <v>10136363</v>
      </c>
      <c r="H47">
        <v>3</v>
      </c>
      <c r="I47">
        <v>5100000</v>
      </c>
      <c r="J47">
        <v>49</v>
      </c>
      <c r="K47">
        <v>144236120.83567381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277905884.96224141</v>
      </c>
      <c r="F49">
        <v>1</v>
      </c>
      <c r="G49">
        <v>6436364</v>
      </c>
      <c r="H49">
        <v>1</v>
      </c>
      <c r="I49">
        <v>7227273</v>
      </c>
      <c r="J49">
        <v>38</v>
      </c>
      <c r="K49">
        <v>277114975.96224141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7</v>
      </c>
      <c r="E51">
        <v>3380591.1999999988</v>
      </c>
      <c r="F51">
        <v>0</v>
      </c>
      <c r="G51">
        <v>0</v>
      </c>
      <c r="H51">
        <v>0</v>
      </c>
      <c r="I51">
        <v>0</v>
      </c>
      <c r="J51">
        <v>7</v>
      </c>
      <c r="K51">
        <v>3380591.1999999988</v>
      </c>
    </row>
    <row r="52" spans="1:11" x14ac:dyDescent="0.25">
      <c r="A52">
        <v>51</v>
      </c>
      <c r="B52" t="s">
        <v>111</v>
      </c>
      <c r="C52" t="s">
        <v>112</v>
      </c>
      <c r="D52">
        <v>60</v>
      </c>
      <c r="E52">
        <v>103677791.26693881</v>
      </c>
      <c r="F52">
        <v>0</v>
      </c>
      <c r="G52">
        <v>0</v>
      </c>
      <c r="H52">
        <v>0</v>
      </c>
      <c r="I52">
        <v>0</v>
      </c>
      <c r="J52">
        <v>60</v>
      </c>
      <c r="K52">
        <v>103677791.26693881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72</v>
      </c>
      <c r="E55">
        <v>206750753.17270201</v>
      </c>
      <c r="F55">
        <v>3</v>
      </c>
      <c r="G55">
        <v>34100000</v>
      </c>
      <c r="H55">
        <v>3</v>
      </c>
      <c r="I55">
        <v>36427272</v>
      </c>
      <c r="J55">
        <v>72</v>
      </c>
      <c r="K55">
        <v>204423481.17270201</v>
      </c>
    </row>
    <row r="56" spans="1:11" x14ac:dyDescent="0.25">
      <c r="A56">
        <v>55</v>
      </c>
      <c r="B56" t="s">
        <v>119</v>
      </c>
      <c r="C56" t="s">
        <v>120</v>
      </c>
      <c r="D56">
        <v>23</v>
      </c>
      <c r="E56">
        <v>21041867.491525419</v>
      </c>
      <c r="F56">
        <v>0</v>
      </c>
      <c r="G56">
        <v>0</v>
      </c>
      <c r="H56">
        <v>0</v>
      </c>
      <c r="I56">
        <v>0</v>
      </c>
      <c r="J56">
        <v>23</v>
      </c>
      <c r="K56">
        <v>21041867.491525419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0</v>
      </c>
      <c r="G58">
        <v>0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3845</v>
      </c>
      <c r="E59">
        <v>431822921.38559759</v>
      </c>
      <c r="F59">
        <v>18</v>
      </c>
      <c r="G59">
        <v>14960001</v>
      </c>
      <c r="H59">
        <v>32</v>
      </c>
      <c r="I59">
        <v>15296365</v>
      </c>
      <c r="J59">
        <v>3831</v>
      </c>
      <c r="K59">
        <v>431486557.38559759</v>
      </c>
    </row>
    <row r="60" spans="1:11" x14ac:dyDescent="0.25">
      <c r="A60">
        <v>59</v>
      </c>
      <c r="B60" t="s">
        <v>127</v>
      </c>
      <c r="C60" t="s">
        <v>128</v>
      </c>
      <c r="D60">
        <v>101</v>
      </c>
      <c r="E60">
        <v>7687546.6822262118</v>
      </c>
      <c r="F60">
        <v>0</v>
      </c>
      <c r="G60">
        <v>0</v>
      </c>
      <c r="H60">
        <v>0</v>
      </c>
      <c r="I60">
        <v>0</v>
      </c>
      <c r="J60">
        <v>101</v>
      </c>
      <c r="K60">
        <v>7687546.6822262118</v>
      </c>
    </row>
    <row r="61" spans="1:11" x14ac:dyDescent="0.25">
      <c r="A61">
        <v>60</v>
      </c>
      <c r="B61" t="s">
        <v>129</v>
      </c>
      <c r="C61" t="s">
        <v>130</v>
      </c>
      <c r="D61">
        <v>21</v>
      </c>
      <c r="E61">
        <v>2828528.75</v>
      </c>
      <c r="F61">
        <v>0</v>
      </c>
      <c r="G61">
        <v>0</v>
      </c>
      <c r="H61">
        <v>0</v>
      </c>
      <c r="I61">
        <v>0</v>
      </c>
      <c r="J61">
        <v>21</v>
      </c>
      <c r="K61">
        <v>2828528.75</v>
      </c>
    </row>
    <row r="62" spans="1:11" x14ac:dyDescent="0.25">
      <c r="A62">
        <v>61</v>
      </c>
      <c r="B62" t="s">
        <v>131</v>
      </c>
      <c r="C62" t="s">
        <v>132</v>
      </c>
      <c r="D62">
        <v>1438</v>
      </c>
      <c r="E62">
        <v>291214398.87895793</v>
      </c>
      <c r="F62">
        <v>0</v>
      </c>
      <c r="G62">
        <v>0</v>
      </c>
      <c r="H62">
        <v>21</v>
      </c>
      <c r="I62">
        <v>3499998</v>
      </c>
      <c r="J62">
        <v>1417</v>
      </c>
      <c r="K62">
        <v>287714400.87895793</v>
      </c>
    </row>
    <row r="63" spans="1:11" x14ac:dyDescent="0.25">
      <c r="A63">
        <v>62</v>
      </c>
      <c r="B63" t="s">
        <v>133</v>
      </c>
      <c r="C63" t="s">
        <v>134</v>
      </c>
      <c r="D63">
        <v>261</v>
      </c>
      <c r="E63">
        <v>59643359.711580493</v>
      </c>
      <c r="F63">
        <v>0</v>
      </c>
      <c r="G63">
        <v>0</v>
      </c>
      <c r="H63">
        <v>2</v>
      </c>
      <c r="I63">
        <v>1000000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17</v>
      </c>
      <c r="E65">
        <v>11374409.631123589</v>
      </c>
      <c r="F65">
        <v>1</v>
      </c>
      <c r="G65">
        <v>2227272.73</v>
      </c>
      <c r="H65">
        <v>0</v>
      </c>
      <c r="I65">
        <v>0</v>
      </c>
      <c r="J65">
        <v>18</v>
      </c>
      <c r="K65">
        <v>13601682.361123599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143</v>
      </c>
      <c r="E70">
        <v>62498674.125112101</v>
      </c>
      <c r="F70">
        <v>0</v>
      </c>
      <c r="G70">
        <v>0</v>
      </c>
      <c r="H70">
        <v>0</v>
      </c>
      <c r="I70">
        <v>0</v>
      </c>
      <c r="J70">
        <v>143</v>
      </c>
      <c r="K70">
        <v>62498674.125112101</v>
      </c>
    </row>
    <row r="71" spans="1:11" x14ac:dyDescent="0.25">
      <c r="A71">
        <v>70</v>
      </c>
      <c r="B71" t="s">
        <v>149</v>
      </c>
      <c r="C71" t="s">
        <v>150</v>
      </c>
      <c r="D71">
        <v>9</v>
      </c>
      <c r="E71">
        <v>3170155.16</v>
      </c>
      <c r="F71">
        <v>0</v>
      </c>
      <c r="G71">
        <v>0</v>
      </c>
      <c r="H71">
        <v>3</v>
      </c>
      <c r="I71">
        <v>272727</v>
      </c>
      <c r="J71">
        <v>6</v>
      </c>
      <c r="K71">
        <v>2897428.16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73</v>
      </c>
      <c r="E74">
        <v>160726024.07878789</v>
      </c>
      <c r="F74">
        <v>0</v>
      </c>
      <c r="G74">
        <v>0</v>
      </c>
      <c r="H74">
        <v>2</v>
      </c>
      <c r="I74">
        <v>4500000</v>
      </c>
      <c r="J74">
        <v>71</v>
      </c>
      <c r="K74">
        <v>156226024.07878789</v>
      </c>
    </row>
    <row r="75" spans="1:11" x14ac:dyDescent="0.25">
      <c r="A75">
        <v>74</v>
      </c>
      <c r="B75" t="s">
        <v>157</v>
      </c>
      <c r="C75" t="s">
        <v>158</v>
      </c>
      <c r="D75">
        <v>80</v>
      </c>
      <c r="E75">
        <v>258669225.7509881</v>
      </c>
      <c r="F75">
        <v>0</v>
      </c>
      <c r="G75">
        <v>0</v>
      </c>
      <c r="H75">
        <v>1</v>
      </c>
      <c r="I75">
        <v>3000000</v>
      </c>
      <c r="J75">
        <v>79</v>
      </c>
      <c r="K75">
        <v>255669225.7509881</v>
      </c>
    </row>
    <row r="76" spans="1:11" x14ac:dyDescent="0.25">
      <c r="A76">
        <v>75</v>
      </c>
      <c r="B76" t="s">
        <v>159</v>
      </c>
      <c r="C76" t="s">
        <v>160</v>
      </c>
      <c r="D76">
        <v>4</v>
      </c>
      <c r="E76">
        <v>22866456.875</v>
      </c>
      <c r="F76">
        <v>0</v>
      </c>
      <c r="G76">
        <v>0</v>
      </c>
      <c r="H76">
        <v>0</v>
      </c>
      <c r="I76">
        <v>0</v>
      </c>
      <c r="J76">
        <v>4</v>
      </c>
      <c r="K76">
        <v>22866456.875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106</v>
      </c>
      <c r="E78">
        <v>155489711.59605911</v>
      </c>
      <c r="F78">
        <v>10</v>
      </c>
      <c r="G78">
        <v>17272728</v>
      </c>
      <c r="H78">
        <v>0</v>
      </c>
      <c r="I78">
        <v>0</v>
      </c>
      <c r="J78">
        <v>116</v>
      </c>
      <c r="K78">
        <v>172762439.59605911</v>
      </c>
    </row>
    <row r="79" spans="1:11" x14ac:dyDescent="0.25">
      <c r="A79">
        <v>78</v>
      </c>
      <c r="B79" t="s">
        <v>165</v>
      </c>
      <c r="C79" t="s">
        <v>166</v>
      </c>
      <c r="D79">
        <v>8</v>
      </c>
      <c r="E79">
        <v>18290023</v>
      </c>
      <c r="F79">
        <v>0</v>
      </c>
      <c r="G79">
        <v>0</v>
      </c>
      <c r="H79">
        <v>0</v>
      </c>
      <c r="I79">
        <v>0</v>
      </c>
      <c r="J79">
        <v>8</v>
      </c>
      <c r="K79">
        <v>18290023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475</v>
      </c>
      <c r="E81">
        <v>130093957.62329011</v>
      </c>
      <c r="F81">
        <v>5</v>
      </c>
      <c r="G81">
        <v>1772727</v>
      </c>
      <c r="H81">
        <v>3</v>
      </c>
      <c r="I81">
        <v>1418181</v>
      </c>
      <c r="J81">
        <v>477</v>
      </c>
      <c r="K81">
        <v>130448503.62329011</v>
      </c>
    </row>
    <row r="82" spans="1:11" x14ac:dyDescent="0.25">
      <c r="A82">
        <v>81</v>
      </c>
      <c r="B82" t="s">
        <v>171</v>
      </c>
      <c r="C82" t="s">
        <v>172</v>
      </c>
      <c r="D82">
        <v>127</v>
      </c>
      <c r="E82">
        <v>88893950.117302045</v>
      </c>
      <c r="F82">
        <v>4</v>
      </c>
      <c r="G82">
        <v>2490909</v>
      </c>
      <c r="H82">
        <v>12</v>
      </c>
      <c r="I82">
        <v>7718183</v>
      </c>
      <c r="J82">
        <v>119</v>
      </c>
      <c r="K82">
        <v>83666676.117302045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12</v>
      </c>
      <c r="E84">
        <v>37192090.200000003</v>
      </c>
      <c r="F84">
        <v>2</v>
      </c>
      <c r="G84">
        <v>652591</v>
      </c>
      <c r="H84">
        <v>1</v>
      </c>
      <c r="I84">
        <v>4454545</v>
      </c>
      <c r="J84">
        <v>13</v>
      </c>
      <c r="K84">
        <v>33390136.199999999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20523710.483870968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20523710.483870968</v>
      </c>
    </row>
    <row r="86" spans="1:11" x14ac:dyDescent="0.25">
      <c r="A86">
        <v>85</v>
      </c>
      <c r="B86" t="s">
        <v>179</v>
      </c>
      <c r="C86" t="s">
        <v>180</v>
      </c>
      <c r="D86">
        <v>12</v>
      </c>
      <c r="E86">
        <v>11829493.16</v>
      </c>
      <c r="F86">
        <v>0</v>
      </c>
      <c r="G86">
        <v>0</v>
      </c>
      <c r="H86">
        <v>0</v>
      </c>
      <c r="I86">
        <v>0</v>
      </c>
      <c r="J86">
        <v>12</v>
      </c>
      <c r="K86">
        <v>11829493.16</v>
      </c>
    </row>
    <row r="87" spans="1:11" x14ac:dyDescent="0.25">
      <c r="A87">
        <v>86</v>
      </c>
      <c r="B87" t="s">
        <v>181</v>
      </c>
      <c r="C87" t="s">
        <v>182</v>
      </c>
      <c r="D87">
        <v>73</v>
      </c>
      <c r="E87">
        <v>96987354.572559372</v>
      </c>
      <c r="F87">
        <v>8</v>
      </c>
      <c r="G87">
        <v>9345454</v>
      </c>
      <c r="H87">
        <v>2</v>
      </c>
      <c r="I87">
        <v>3309091</v>
      </c>
      <c r="J87">
        <v>79</v>
      </c>
      <c r="K87">
        <v>103023717.5725594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939</v>
      </c>
      <c r="E89">
        <v>314303119.74628812</v>
      </c>
      <c r="F89">
        <v>46</v>
      </c>
      <c r="G89">
        <v>14218182</v>
      </c>
      <c r="H89">
        <v>135</v>
      </c>
      <c r="I89">
        <v>49300001</v>
      </c>
      <c r="J89">
        <v>850</v>
      </c>
      <c r="K89">
        <v>279221300.74628812</v>
      </c>
    </row>
    <row r="90" spans="1:11" x14ac:dyDescent="0.25">
      <c r="A90">
        <v>89</v>
      </c>
      <c r="B90" t="s">
        <v>187</v>
      </c>
      <c r="C90" t="s">
        <v>188</v>
      </c>
      <c r="D90">
        <v>167</v>
      </c>
      <c r="E90">
        <v>160762755.34957021</v>
      </c>
      <c r="F90">
        <v>0</v>
      </c>
      <c r="G90">
        <v>0</v>
      </c>
      <c r="H90">
        <v>1</v>
      </c>
      <c r="I90">
        <v>1281818</v>
      </c>
      <c r="J90">
        <v>166</v>
      </c>
      <c r="K90">
        <v>159480937.34957021</v>
      </c>
    </row>
    <row r="91" spans="1:11" x14ac:dyDescent="0.25">
      <c r="A91">
        <v>90</v>
      </c>
      <c r="B91" t="s">
        <v>189</v>
      </c>
      <c r="C91" t="s">
        <v>190</v>
      </c>
      <c r="D91">
        <v>46</v>
      </c>
      <c r="E91">
        <v>64480504.992395438</v>
      </c>
      <c r="F91">
        <v>2</v>
      </c>
      <c r="G91">
        <v>2036364</v>
      </c>
      <c r="H91">
        <v>0</v>
      </c>
      <c r="I91">
        <v>0</v>
      </c>
      <c r="J91">
        <v>48</v>
      </c>
      <c r="K91">
        <v>66516868.992395438</v>
      </c>
    </row>
    <row r="92" spans="1:11" x14ac:dyDescent="0.25">
      <c r="A92">
        <v>91</v>
      </c>
      <c r="B92" t="s">
        <v>191</v>
      </c>
      <c r="C92" t="s">
        <v>192</v>
      </c>
      <c r="D92">
        <v>159</v>
      </c>
      <c r="E92">
        <v>87372307.128078818</v>
      </c>
      <c r="F92">
        <v>20</v>
      </c>
      <c r="G92">
        <v>16000000</v>
      </c>
      <c r="H92">
        <v>2</v>
      </c>
      <c r="I92">
        <v>1600000</v>
      </c>
      <c r="J92">
        <v>177</v>
      </c>
      <c r="K92">
        <v>101772307.1280788</v>
      </c>
    </row>
    <row r="93" spans="1:11" x14ac:dyDescent="0.25">
      <c r="A93">
        <v>92</v>
      </c>
      <c r="B93" t="s">
        <v>193</v>
      </c>
      <c r="C93" t="s">
        <v>194</v>
      </c>
      <c r="D93">
        <v>55</v>
      </c>
      <c r="E93">
        <v>86312237.432558149</v>
      </c>
      <c r="F93">
        <v>5</v>
      </c>
      <c r="G93">
        <v>9809091</v>
      </c>
      <c r="H93">
        <v>0</v>
      </c>
      <c r="I93">
        <v>0</v>
      </c>
      <c r="J93">
        <v>60</v>
      </c>
      <c r="K93">
        <v>96121328.432558149</v>
      </c>
    </row>
    <row r="94" spans="1:11" x14ac:dyDescent="0.25">
      <c r="A94">
        <v>93</v>
      </c>
      <c r="B94" t="s">
        <v>195</v>
      </c>
      <c r="C94" t="s">
        <v>196</v>
      </c>
      <c r="D94">
        <v>232</v>
      </c>
      <c r="E94">
        <v>138360677.61556071</v>
      </c>
      <c r="F94">
        <v>0</v>
      </c>
      <c r="G94">
        <v>0</v>
      </c>
      <c r="H94">
        <v>22</v>
      </c>
      <c r="I94">
        <v>6013637</v>
      </c>
      <c r="J94">
        <v>210</v>
      </c>
      <c r="K94">
        <v>132347040.6155607</v>
      </c>
    </row>
    <row r="95" spans="1:11" x14ac:dyDescent="0.25">
      <c r="A95">
        <v>94</v>
      </c>
      <c r="B95" t="s">
        <v>197</v>
      </c>
      <c r="C95" t="s">
        <v>198</v>
      </c>
      <c r="D95">
        <v>23</v>
      </c>
      <c r="E95">
        <v>2773726.8672566381</v>
      </c>
      <c r="F95">
        <v>0</v>
      </c>
      <c r="G95">
        <v>0</v>
      </c>
      <c r="H95">
        <v>0</v>
      </c>
      <c r="I95">
        <v>0</v>
      </c>
      <c r="J95">
        <v>23</v>
      </c>
      <c r="K95">
        <v>2773726.8672566381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511</v>
      </c>
      <c r="E97">
        <v>111020628.4361957</v>
      </c>
      <c r="F97">
        <v>0</v>
      </c>
      <c r="G97">
        <v>0</v>
      </c>
      <c r="H97">
        <v>22</v>
      </c>
      <c r="I97">
        <v>7127282</v>
      </c>
      <c r="J97">
        <v>489</v>
      </c>
      <c r="K97">
        <v>103893346.4361957</v>
      </c>
    </row>
    <row r="98" spans="1:11" x14ac:dyDescent="0.25">
      <c r="A98">
        <v>97</v>
      </c>
      <c r="B98" t="s">
        <v>203</v>
      </c>
      <c r="C98" t="s">
        <v>204</v>
      </c>
      <c r="D98">
        <v>440</v>
      </c>
      <c r="E98">
        <v>86528031.620727673</v>
      </c>
      <c r="F98">
        <v>0</v>
      </c>
      <c r="G98">
        <v>0</v>
      </c>
      <c r="H98">
        <v>1</v>
      </c>
      <c r="I98">
        <v>250000</v>
      </c>
      <c r="J98">
        <v>439</v>
      </c>
      <c r="K98">
        <v>86278031.620727673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112</v>
      </c>
      <c r="E102">
        <v>94917019.669291347</v>
      </c>
      <c r="F102">
        <v>0</v>
      </c>
      <c r="G102">
        <v>0</v>
      </c>
      <c r="H102">
        <v>0</v>
      </c>
      <c r="I102">
        <v>0</v>
      </c>
      <c r="J102">
        <v>112</v>
      </c>
      <c r="K102">
        <v>94917019.669291347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1384</v>
      </c>
      <c r="E104">
        <v>183096815.46378449</v>
      </c>
      <c r="F104">
        <v>28</v>
      </c>
      <c r="G104">
        <v>7259094</v>
      </c>
      <c r="H104">
        <v>40</v>
      </c>
      <c r="I104">
        <v>4131817</v>
      </c>
      <c r="J104">
        <v>1372</v>
      </c>
      <c r="K104">
        <v>186224092.46378449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127</v>
      </c>
      <c r="E105">
        <v>44478085.992982447</v>
      </c>
      <c r="F105">
        <v>6</v>
      </c>
      <c r="G105">
        <v>5527272</v>
      </c>
      <c r="H105">
        <v>0</v>
      </c>
      <c r="I105">
        <v>0</v>
      </c>
      <c r="J105">
        <v>133</v>
      </c>
      <c r="K105">
        <v>50005357.992982447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1751</v>
      </c>
      <c r="E106">
        <v>203074626.69023031</v>
      </c>
      <c r="F106">
        <v>0</v>
      </c>
      <c r="G106">
        <v>0</v>
      </c>
      <c r="H106">
        <v>243</v>
      </c>
      <c r="I106">
        <v>27319999</v>
      </c>
      <c r="J106">
        <v>1508</v>
      </c>
      <c r="K106">
        <v>175754627.69023031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991</v>
      </c>
      <c r="E107">
        <v>145162052.3291294</v>
      </c>
      <c r="F107">
        <v>19</v>
      </c>
      <c r="G107">
        <v>8873635</v>
      </c>
      <c r="H107">
        <v>18</v>
      </c>
      <c r="I107">
        <v>2668182</v>
      </c>
      <c r="J107">
        <v>992</v>
      </c>
      <c r="K107">
        <v>151367505.3291294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214</v>
      </c>
      <c r="E109">
        <v>62333779.850046858</v>
      </c>
      <c r="F109">
        <v>0</v>
      </c>
      <c r="G109">
        <v>0</v>
      </c>
      <c r="H109">
        <v>3</v>
      </c>
      <c r="I109">
        <v>1009091</v>
      </c>
      <c r="J109">
        <v>211</v>
      </c>
      <c r="K109">
        <v>61324688.850046858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238</v>
      </c>
      <c r="E110">
        <v>82709283.166189104</v>
      </c>
      <c r="F110">
        <v>0</v>
      </c>
      <c r="G110">
        <v>0</v>
      </c>
      <c r="H110">
        <v>2</v>
      </c>
      <c r="I110">
        <v>1545455</v>
      </c>
      <c r="J110">
        <v>236</v>
      </c>
      <c r="K110">
        <v>81163828.166189104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96</v>
      </c>
      <c r="E112">
        <v>50665976.259079903</v>
      </c>
      <c r="F112">
        <v>7</v>
      </c>
      <c r="G112">
        <v>2500000</v>
      </c>
      <c r="H112">
        <v>1</v>
      </c>
      <c r="I112">
        <v>409091</v>
      </c>
      <c r="J112">
        <v>102</v>
      </c>
      <c r="K112">
        <v>52756885.259079903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317</v>
      </c>
      <c r="E113">
        <v>101946659.390264</v>
      </c>
      <c r="F113">
        <v>25</v>
      </c>
      <c r="G113">
        <v>2800005</v>
      </c>
      <c r="H113">
        <v>37</v>
      </c>
      <c r="I113">
        <v>4059089</v>
      </c>
      <c r="J113">
        <v>305</v>
      </c>
      <c r="K113">
        <v>100687575.390264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9</v>
      </c>
      <c r="E122">
        <v>3036364</v>
      </c>
      <c r="F122">
        <v>2</v>
      </c>
      <c r="G122">
        <v>1272727</v>
      </c>
      <c r="H122">
        <v>1</v>
      </c>
      <c r="I122">
        <v>818182</v>
      </c>
      <c r="J122">
        <v>10</v>
      </c>
      <c r="K122">
        <v>3490909</v>
      </c>
    </row>
    <row r="123" spans="1:11" x14ac:dyDescent="0.25">
      <c r="A123">
        <v>122</v>
      </c>
      <c r="B123" t="s">
        <v>253</v>
      </c>
      <c r="C123" t="s">
        <v>254</v>
      </c>
      <c r="D123">
        <v>213</v>
      </c>
      <c r="E123">
        <v>79830475.616306961</v>
      </c>
      <c r="F123">
        <v>0</v>
      </c>
      <c r="G123">
        <v>0</v>
      </c>
      <c r="H123">
        <v>50</v>
      </c>
      <c r="I123">
        <v>18181818</v>
      </c>
      <c r="J123">
        <v>163</v>
      </c>
      <c r="K123">
        <v>61648657.616306961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38</v>
      </c>
      <c r="E124">
        <v>20639788.84722222</v>
      </c>
      <c r="F124">
        <v>0</v>
      </c>
      <c r="G124">
        <v>0</v>
      </c>
      <c r="H124">
        <v>0</v>
      </c>
      <c r="I124">
        <v>0</v>
      </c>
      <c r="J124">
        <v>38</v>
      </c>
      <c r="K124">
        <v>20639788.84722222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361</v>
      </c>
      <c r="E126">
        <v>203301897.2321918</v>
      </c>
      <c r="F126">
        <v>2</v>
      </c>
      <c r="G126">
        <v>1000000</v>
      </c>
      <c r="H126">
        <v>2</v>
      </c>
      <c r="I126">
        <v>1554545</v>
      </c>
      <c r="J126">
        <v>361</v>
      </c>
      <c r="K126">
        <v>202747352.2321918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1889147.142857143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13</v>
      </c>
      <c r="E129">
        <v>28775966.75</v>
      </c>
      <c r="F129">
        <v>0</v>
      </c>
      <c r="G129">
        <v>0</v>
      </c>
      <c r="H129">
        <v>0</v>
      </c>
      <c r="I129">
        <v>0</v>
      </c>
      <c r="J129">
        <v>13</v>
      </c>
      <c r="K129">
        <v>28775966.75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550</v>
      </c>
      <c r="E131">
        <v>160555785.5194805</v>
      </c>
      <c r="F131">
        <v>2</v>
      </c>
      <c r="G131">
        <v>400000</v>
      </c>
      <c r="H131">
        <v>1</v>
      </c>
      <c r="I131">
        <v>345455</v>
      </c>
      <c r="J131">
        <v>551</v>
      </c>
      <c r="K131">
        <v>160610330.5194805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114</v>
      </c>
      <c r="E132">
        <v>20591228.7489301</v>
      </c>
      <c r="F132">
        <v>0</v>
      </c>
      <c r="G132">
        <v>0</v>
      </c>
      <c r="H132">
        <v>0</v>
      </c>
      <c r="I132">
        <v>0</v>
      </c>
      <c r="J132">
        <v>114</v>
      </c>
      <c r="K132">
        <v>20591228.7489301</v>
      </c>
    </row>
    <row r="133" spans="1:11" x14ac:dyDescent="0.25">
      <c r="A133">
        <v>132</v>
      </c>
      <c r="B133" t="s">
        <v>273</v>
      </c>
      <c r="C133" t="s">
        <v>274</v>
      </c>
      <c r="D133">
        <v>226</v>
      </c>
      <c r="E133">
        <v>58783305.769411772</v>
      </c>
      <c r="F133">
        <v>29</v>
      </c>
      <c r="G133">
        <v>5981810</v>
      </c>
      <c r="H133">
        <v>4</v>
      </c>
      <c r="I133">
        <v>1286364</v>
      </c>
      <c r="J133">
        <v>251</v>
      </c>
      <c r="K133">
        <v>63478751.769411772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72</v>
      </c>
      <c r="E134">
        <v>27177962.08433735</v>
      </c>
      <c r="F134">
        <v>0</v>
      </c>
      <c r="G134">
        <v>0</v>
      </c>
      <c r="H134">
        <v>1</v>
      </c>
      <c r="I134">
        <v>400000</v>
      </c>
      <c r="J134">
        <v>71</v>
      </c>
      <c r="K134">
        <v>26777962.08433735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35</v>
      </c>
      <c r="E138">
        <v>57982295.860465117</v>
      </c>
      <c r="F138">
        <v>0</v>
      </c>
      <c r="G138">
        <v>0</v>
      </c>
      <c r="H138">
        <v>0</v>
      </c>
      <c r="I138">
        <v>0</v>
      </c>
      <c r="J138">
        <v>35</v>
      </c>
      <c r="K138">
        <v>57982295.860465117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5</v>
      </c>
      <c r="E141">
        <v>23159354.838709679</v>
      </c>
      <c r="F141">
        <v>1</v>
      </c>
      <c r="G141">
        <v>2650000</v>
      </c>
      <c r="H141">
        <v>0</v>
      </c>
      <c r="I141">
        <v>0</v>
      </c>
      <c r="J141">
        <v>6</v>
      </c>
      <c r="K141">
        <v>25809354.838709679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164</v>
      </c>
      <c r="E143">
        <v>71356168.115942031</v>
      </c>
      <c r="F143">
        <v>0</v>
      </c>
      <c r="G143">
        <v>0</v>
      </c>
      <c r="H143">
        <v>1</v>
      </c>
      <c r="I143">
        <v>900000</v>
      </c>
      <c r="J143">
        <v>163</v>
      </c>
      <c r="K143">
        <v>70456168.115942031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863.25</v>
      </c>
      <c r="E146">
        <v>416636822.10000002</v>
      </c>
      <c r="F146">
        <v>85</v>
      </c>
      <c r="G146">
        <v>106302631</v>
      </c>
      <c r="H146">
        <v>20</v>
      </c>
      <c r="I146">
        <v>39636364</v>
      </c>
      <c r="J146">
        <v>928.25</v>
      </c>
      <c r="K146">
        <v>483303089.10000002</v>
      </c>
    </row>
    <row r="147" spans="1:11" x14ac:dyDescent="0.25">
      <c r="A147" t="s">
        <v>301</v>
      </c>
      <c r="D147">
        <v>21082.25</v>
      </c>
      <c r="E147">
        <v>20609231573.85043</v>
      </c>
      <c r="F147">
        <v>443</v>
      </c>
      <c r="G147">
        <v>895409562.73000002</v>
      </c>
      <c r="H147">
        <v>889</v>
      </c>
      <c r="I147">
        <v>1153648183</v>
      </c>
      <c r="J147">
        <v>20636.25</v>
      </c>
      <c r="K147">
        <v>20350992953.580441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8</v>
      </c>
      <c r="E2">
        <v>73680838.772727281</v>
      </c>
      <c r="F2">
        <v>0</v>
      </c>
      <c r="G2">
        <v>0</v>
      </c>
      <c r="H2">
        <v>1</v>
      </c>
      <c r="I2">
        <v>14545455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16</v>
      </c>
      <c r="E3">
        <v>124721837</v>
      </c>
      <c r="F3">
        <v>6</v>
      </c>
      <c r="G3">
        <v>73062428</v>
      </c>
      <c r="H3">
        <v>1</v>
      </c>
      <c r="I3">
        <v>18000000</v>
      </c>
      <c r="J3">
        <v>21</v>
      </c>
      <c r="K3">
        <v>179784265</v>
      </c>
    </row>
    <row r="4" spans="1:11" x14ac:dyDescent="0.25">
      <c r="A4">
        <v>3</v>
      </c>
      <c r="B4" t="s">
        <v>15</v>
      </c>
      <c r="C4" t="s">
        <v>16</v>
      </c>
      <c r="D4">
        <v>173</v>
      </c>
      <c r="E4">
        <v>2216335599.201292</v>
      </c>
      <c r="F4">
        <v>16</v>
      </c>
      <c r="G4">
        <v>240973635</v>
      </c>
      <c r="H4">
        <v>5</v>
      </c>
      <c r="I4">
        <v>83627273</v>
      </c>
      <c r="J4">
        <v>184</v>
      </c>
      <c r="K4">
        <v>2373681961.201292</v>
      </c>
    </row>
    <row r="5" spans="1:11" x14ac:dyDescent="0.25">
      <c r="A5">
        <v>4</v>
      </c>
      <c r="B5" t="s">
        <v>17</v>
      </c>
      <c r="C5" t="s">
        <v>18</v>
      </c>
      <c r="D5">
        <v>0</v>
      </c>
      <c r="E5">
        <v>0</v>
      </c>
      <c r="F5">
        <v>1</v>
      </c>
      <c r="G5">
        <v>29283636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15</v>
      </c>
      <c r="E6">
        <v>180784531.1785714</v>
      </c>
      <c r="F6">
        <v>0</v>
      </c>
      <c r="G6">
        <v>0</v>
      </c>
      <c r="H6">
        <v>1</v>
      </c>
      <c r="I6">
        <v>13636363</v>
      </c>
      <c r="J6">
        <v>14</v>
      </c>
      <c r="K6">
        <v>167148168.1785714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0</v>
      </c>
      <c r="I8">
        <v>0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8</v>
      </c>
      <c r="E9">
        <v>24245364.449999999</v>
      </c>
      <c r="F9">
        <v>2</v>
      </c>
      <c r="G9">
        <v>6727272</v>
      </c>
      <c r="H9">
        <v>0</v>
      </c>
      <c r="I9">
        <v>0</v>
      </c>
      <c r="J9">
        <v>10</v>
      </c>
      <c r="K9">
        <v>30972636.449999999</v>
      </c>
    </row>
    <row r="10" spans="1:11" x14ac:dyDescent="0.25">
      <c r="A10">
        <v>9</v>
      </c>
      <c r="B10" t="s">
        <v>27</v>
      </c>
      <c r="C10" t="s">
        <v>28</v>
      </c>
      <c r="D10">
        <v>175</v>
      </c>
      <c r="E10">
        <v>760483676.5951941</v>
      </c>
      <c r="F10">
        <v>21</v>
      </c>
      <c r="G10">
        <v>74545455</v>
      </c>
      <c r="H10">
        <v>4</v>
      </c>
      <c r="I10">
        <v>44718182</v>
      </c>
      <c r="J10">
        <v>192</v>
      </c>
      <c r="K10">
        <v>790310949.5951941</v>
      </c>
    </row>
    <row r="11" spans="1:11" x14ac:dyDescent="0.25">
      <c r="A11">
        <v>10</v>
      </c>
      <c r="B11" t="s">
        <v>29</v>
      </c>
      <c r="C11" t="s">
        <v>30</v>
      </c>
      <c r="D11">
        <v>8</v>
      </c>
      <c r="E11">
        <v>63284373.25</v>
      </c>
      <c r="F11">
        <v>1</v>
      </c>
      <c r="G11">
        <v>12272727</v>
      </c>
      <c r="H11">
        <v>0</v>
      </c>
      <c r="I11">
        <v>0</v>
      </c>
      <c r="J11">
        <v>9</v>
      </c>
      <c r="K11">
        <v>75557100.25</v>
      </c>
    </row>
    <row r="12" spans="1:11" x14ac:dyDescent="0.25">
      <c r="A12">
        <v>11</v>
      </c>
      <c r="B12" t="s">
        <v>31</v>
      </c>
      <c r="C12" t="s">
        <v>32</v>
      </c>
      <c r="D12">
        <v>210</v>
      </c>
      <c r="E12">
        <v>2623437410.2191219</v>
      </c>
      <c r="F12">
        <v>38</v>
      </c>
      <c r="G12">
        <v>365119998</v>
      </c>
      <c r="H12">
        <v>25</v>
      </c>
      <c r="I12">
        <v>211454547</v>
      </c>
      <c r="J12">
        <v>223</v>
      </c>
      <c r="K12">
        <v>2777102861.2191219</v>
      </c>
    </row>
    <row r="13" spans="1:11" x14ac:dyDescent="0.25">
      <c r="A13">
        <v>12</v>
      </c>
      <c r="B13" t="s">
        <v>33</v>
      </c>
      <c r="C13" t="s">
        <v>34</v>
      </c>
      <c r="D13">
        <v>30</v>
      </c>
      <c r="E13">
        <v>467189685.76923078</v>
      </c>
      <c r="F13">
        <v>0</v>
      </c>
      <c r="G13">
        <v>0</v>
      </c>
      <c r="H13">
        <v>3</v>
      </c>
      <c r="I13">
        <v>28181818</v>
      </c>
      <c r="J13">
        <v>27</v>
      </c>
      <c r="K13">
        <v>439007867.76923078</v>
      </c>
    </row>
    <row r="14" spans="1:11" x14ac:dyDescent="0.25">
      <c r="A14">
        <v>13</v>
      </c>
      <c r="B14" t="s">
        <v>35</v>
      </c>
      <c r="C14" t="s">
        <v>36</v>
      </c>
      <c r="D14">
        <v>17</v>
      </c>
      <c r="E14">
        <v>305448042.28947371</v>
      </c>
      <c r="F14">
        <v>7</v>
      </c>
      <c r="G14">
        <v>118354545</v>
      </c>
      <c r="H14">
        <v>0</v>
      </c>
      <c r="I14">
        <v>0</v>
      </c>
      <c r="J14">
        <v>24</v>
      </c>
      <c r="K14">
        <v>423802587.28947371</v>
      </c>
    </row>
    <row r="15" spans="1:11" x14ac:dyDescent="0.25">
      <c r="A15">
        <v>14</v>
      </c>
      <c r="B15" t="s">
        <v>37</v>
      </c>
      <c r="C15" t="s">
        <v>38</v>
      </c>
      <c r="D15">
        <v>22</v>
      </c>
      <c r="E15">
        <v>208084130.93430659</v>
      </c>
      <c r="F15">
        <v>4</v>
      </c>
      <c r="G15">
        <v>26181820</v>
      </c>
      <c r="H15">
        <v>1</v>
      </c>
      <c r="I15">
        <v>6954545</v>
      </c>
      <c r="J15">
        <v>25</v>
      </c>
      <c r="K15">
        <v>227311405.93430659</v>
      </c>
    </row>
    <row r="16" spans="1:11" x14ac:dyDescent="0.25">
      <c r="A16">
        <v>15</v>
      </c>
      <c r="B16" t="s">
        <v>39</v>
      </c>
      <c r="C16" t="s">
        <v>40</v>
      </c>
      <c r="D16">
        <v>11</v>
      </c>
      <c r="E16">
        <v>158316808.10447761</v>
      </c>
      <c r="F16">
        <v>0</v>
      </c>
      <c r="G16">
        <v>0</v>
      </c>
      <c r="H16">
        <v>0</v>
      </c>
      <c r="I16">
        <v>0</v>
      </c>
      <c r="J16">
        <v>11</v>
      </c>
      <c r="K16">
        <v>158316808.10447761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193</v>
      </c>
      <c r="E24">
        <v>1468131103.5497241</v>
      </c>
      <c r="F24">
        <v>0</v>
      </c>
      <c r="G24">
        <v>0</v>
      </c>
      <c r="H24">
        <v>7</v>
      </c>
      <c r="I24">
        <v>86585454</v>
      </c>
      <c r="J24">
        <v>186</v>
      </c>
      <c r="K24">
        <v>1381545649.5497241</v>
      </c>
    </row>
    <row r="25" spans="1:11" x14ac:dyDescent="0.25">
      <c r="A25">
        <v>24</v>
      </c>
      <c r="B25" t="s">
        <v>57</v>
      </c>
      <c r="C25" t="s">
        <v>58</v>
      </c>
      <c r="D25">
        <v>304</v>
      </c>
      <c r="E25">
        <v>2194586164.361217</v>
      </c>
      <c r="F25">
        <v>3</v>
      </c>
      <c r="G25">
        <v>20156364</v>
      </c>
      <c r="H25">
        <v>12</v>
      </c>
      <c r="I25">
        <v>41300000</v>
      </c>
      <c r="J25">
        <v>295</v>
      </c>
      <c r="K25">
        <v>2173442528.361217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95851958.307692319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95851958.307692319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30154713.5</v>
      </c>
      <c r="F33">
        <v>1</v>
      </c>
      <c r="G33">
        <v>2000000</v>
      </c>
      <c r="H33">
        <v>1</v>
      </c>
      <c r="I33">
        <v>2136364</v>
      </c>
      <c r="J33">
        <v>6</v>
      </c>
      <c r="K33">
        <v>30018349.5</v>
      </c>
    </row>
    <row r="34" spans="1:11" x14ac:dyDescent="0.25">
      <c r="A34">
        <v>33</v>
      </c>
      <c r="B34" t="s">
        <v>75</v>
      </c>
      <c r="C34" t="s">
        <v>76</v>
      </c>
      <c r="D34">
        <v>48</v>
      </c>
      <c r="E34">
        <v>138967992.18326691</v>
      </c>
      <c r="F34">
        <v>2</v>
      </c>
      <c r="G34">
        <v>4181818</v>
      </c>
      <c r="H34">
        <v>4</v>
      </c>
      <c r="I34">
        <v>15636363</v>
      </c>
      <c r="J34">
        <v>46</v>
      </c>
      <c r="K34">
        <v>127513447.18326689</v>
      </c>
    </row>
    <row r="35" spans="1:11" x14ac:dyDescent="0.25">
      <c r="A35">
        <v>34</v>
      </c>
      <c r="B35" t="s">
        <v>77</v>
      </c>
      <c r="C35" t="s">
        <v>78</v>
      </c>
      <c r="D35">
        <v>380</v>
      </c>
      <c r="E35">
        <v>786605074.55380154</v>
      </c>
      <c r="F35">
        <v>47</v>
      </c>
      <c r="G35">
        <v>110718182</v>
      </c>
      <c r="H35">
        <v>29</v>
      </c>
      <c r="I35">
        <v>64545454</v>
      </c>
      <c r="J35">
        <v>398</v>
      </c>
      <c r="K35">
        <v>832777802.55380154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0</v>
      </c>
      <c r="G36">
        <v>0</v>
      </c>
      <c r="H36">
        <v>0</v>
      </c>
      <c r="I36">
        <v>0</v>
      </c>
      <c r="J36">
        <v>13</v>
      </c>
      <c r="K36">
        <v>45913527.021276593</v>
      </c>
    </row>
    <row r="37" spans="1:11" x14ac:dyDescent="0.25">
      <c r="A37">
        <v>36</v>
      </c>
      <c r="B37" t="s">
        <v>81</v>
      </c>
      <c r="C37" t="s">
        <v>82</v>
      </c>
      <c r="D37">
        <v>57</v>
      </c>
      <c r="E37">
        <v>140783105.1964286</v>
      </c>
      <c r="F37">
        <v>1</v>
      </c>
      <c r="G37">
        <v>10281818</v>
      </c>
      <c r="H37">
        <v>1</v>
      </c>
      <c r="I37">
        <v>4772727</v>
      </c>
      <c r="J37">
        <v>57</v>
      </c>
      <c r="K37">
        <v>146292196.1964286</v>
      </c>
    </row>
    <row r="38" spans="1:11" x14ac:dyDescent="0.25">
      <c r="A38">
        <v>37</v>
      </c>
      <c r="B38" t="s">
        <v>83</v>
      </c>
      <c r="C38" t="s">
        <v>84</v>
      </c>
      <c r="D38">
        <v>0</v>
      </c>
      <c r="E38">
        <v>0</v>
      </c>
      <c r="F38">
        <v>1</v>
      </c>
      <c r="G38">
        <v>4636364</v>
      </c>
      <c r="H38">
        <v>0</v>
      </c>
      <c r="I38">
        <v>0</v>
      </c>
      <c r="J38">
        <v>1</v>
      </c>
      <c r="K38">
        <v>4636364</v>
      </c>
    </row>
    <row r="39" spans="1:11" x14ac:dyDescent="0.25">
      <c r="A39">
        <v>38</v>
      </c>
      <c r="B39" t="s">
        <v>85</v>
      </c>
      <c r="C39" t="s">
        <v>86</v>
      </c>
      <c r="D39">
        <v>105</v>
      </c>
      <c r="E39">
        <v>270338602.38106239</v>
      </c>
      <c r="F39">
        <v>0</v>
      </c>
      <c r="G39">
        <v>0</v>
      </c>
      <c r="H39">
        <v>9</v>
      </c>
      <c r="I39">
        <v>22427273</v>
      </c>
      <c r="J39">
        <v>96</v>
      </c>
      <c r="K39">
        <v>247911329.38106239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815</v>
      </c>
      <c r="E42">
        <v>504560339.43484038</v>
      </c>
      <c r="F42">
        <v>34</v>
      </c>
      <c r="G42">
        <v>23490910</v>
      </c>
      <c r="H42">
        <v>27</v>
      </c>
      <c r="I42">
        <v>50780910</v>
      </c>
      <c r="J42">
        <v>822</v>
      </c>
      <c r="K42">
        <v>477270339.43484038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364</v>
      </c>
      <c r="E44">
        <v>1047823286.974744</v>
      </c>
      <c r="F44">
        <v>11</v>
      </c>
      <c r="G44">
        <v>4027275.45</v>
      </c>
      <c r="H44">
        <v>25</v>
      </c>
      <c r="I44">
        <v>67163637</v>
      </c>
      <c r="J44">
        <v>350</v>
      </c>
      <c r="K44">
        <v>984686925.42474437</v>
      </c>
    </row>
    <row r="45" spans="1:11" x14ac:dyDescent="0.25">
      <c r="A45">
        <v>44</v>
      </c>
      <c r="B45" t="s">
        <v>97</v>
      </c>
      <c r="C45" t="s">
        <v>98</v>
      </c>
      <c r="D45">
        <v>72</v>
      </c>
      <c r="E45">
        <v>302133708.79297298</v>
      </c>
      <c r="F45">
        <v>0</v>
      </c>
      <c r="G45">
        <v>0</v>
      </c>
      <c r="H45">
        <v>4</v>
      </c>
      <c r="I45">
        <v>19026364</v>
      </c>
      <c r="J45">
        <v>68</v>
      </c>
      <c r="K45">
        <v>283107344.79297298</v>
      </c>
    </row>
    <row r="46" spans="1:11" x14ac:dyDescent="0.25">
      <c r="A46">
        <v>45</v>
      </c>
      <c r="B46" t="s">
        <v>99</v>
      </c>
      <c r="C46" t="s">
        <v>100</v>
      </c>
      <c r="D46">
        <v>161</v>
      </c>
      <c r="E46">
        <v>109895939.9925714</v>
      </c>
      <c r="F46">
        <v>22</v>
      </c>
      <c r="G46">
        <v>17227272.640000001</v>
      </c>
      <c r="H46">
        <v>2</v>
      </c>
      <c r="I46">
        <v>18490909</v>
      </c>
      <c r="J46">
        <v>181</v>
      </c>
      <c r="K46">
        <v>108632303.6325714</v>
      </c>
    </row>
    <row r="47" spans="1:11" x14ac:dyDescent="0.25">
      <c r="A47">
        <v>46</v>
      </c>
      <c r="B47" t="s">
        <v>101</v>
      </c>
      <c r="C47" t="s">
        <v>102</v>
      </c>
      <c r="D47">
        <v>49</v>
      </c>
      <c r="E47">
        <v>144236120.83567381</v>
      </c>
      <c r="F47">
        <v>4</v>
      </c>
      <c r="G47">
        <v>388889</v>
      </c>
      <c r="H47">
        <v>4</v>
      </c>
      <c r="I47">
        <v>592593</v>
      </c>
      <c r="J47">
        <v>49</v>
      </c>
      <c r="K47">
        <v>144032416.83567381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38</v>
      </c>
      <c r="E49">
        <v>277114975.96224141</v>
      </c>
      <c r="F49">
        <v>1</v>
      </c>
      <c r="G49">
        <v>8000000</v>
      </c>
      <c r="H49">
        <v>2</v>
      </c>
      <c r="I49">
        <v>18172727</v>
      </c>
      <c r="J49">
        <v>37</v>
      </c>
      <c r="K49">
        <v>266942248.96224141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7</v>
      </c>
      <c r="E51">
        <v>3380591.1999999988</v>
      </c>
      <c r="F51">
        <v>0</v>
      </c>
      <c r="G51">
        <v>0</v>
      </c>
      <c r="H51">
        <v>0</v>
      </c>
      <c r="I51">
        <v>0</v>
      </c>
      <c r="J51">
        <v>7</v>
      </c>
      <c r="K51">
        <v>3380591.1999999988</v>
      </c>
    </row>
    <row r="52" spans="1:11" x14ac:dyDescent="0.25">
      <c r="A52">
        <v>51</v>
      </c>
      <c r="B52" t="s">
        <v>111</v>
      </c>
      <c r="C52" t="s">
        <v>112</v>
      </c>
      <c r="D52">
        <v>60</v>
      </c>
      <c r="E52">
        <v>103677791.26693881</v>
      </c>
      <c r="F52">
        <v>0</v>
      </c>
      <c r="G52">
        <v>0</v>
      </c>
      <c r="H52">
        <v>3</v>
      </c>
      <c r="I52">
        <v>2416667</v>
      </c>
      <c r="J52">
        <v>57</v>
      </c>
      <c r="K52">
        <v>101261124.26693881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72</v>
      </c>
      <c r="E55">
        <v>204423481.17270201</v>
      </c>
      <c r="F55">
        <v>2</v>
      </c>
      <c r="G55">
        <v>27000000</v>
      </c>
      <c r="H55">
        <v>8</v>
      </c>
      <c r="I55">
        <v>20268182</v>
      </c>
      <c r="J55">
        <v>66</v>
      </c>
      <c r="K55">
        <v>211155299.17270201</v>
      </c>
    </row>
    <row r="56" spans="1:11" x14ac:dyDescent="0.25">
      <c r="A56">
        <v>55</v>
      </c>
      <c r="B56" t="s">
        <v>119</v>
      </c>
      <c r="C56" t="s">
        <v>120</v>
      </c>
      <c r="D56">
        <v>23</v>
      </c>
      <c r="E56">
        <v>21041867.491525419</v>
      </c>
      <c r="F56">
        <v>5</v>
      </c>
      <c r="G56">
        <v>3992592</v>
      </c>
      <c r="H56">
        <v>2</v>
      </c>
      <c r="I56">
        <v>2962963</v>
      </c>
      <c r="J56">
        <v>26</v>
      </c>
      <c r="K56">
        <v>22071496.491525419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0</v>
      </c>
      <c r="G58">
        <v>0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3831</v>
      </c>
      <c r="E59">
        <v>431486557.38559759</v>
      </c>
      <c r="F59">
        <v>172</v>
      </c>
      <c r="G59">
        <v>12229092</v>
      </c>
      <c r="H59">
        <v>93</v>
      </c>
      <c r="I59">
        <v>30789093</v>
      </c>
      <c r="J59">
        <v>3910</v>
      </c>
      <c r="K59">
        <v>412926556.38559759</v>
      </c>
    </row>
    <row r="60" spans="1:11" x14ac:dyDescent="0.25">
      <c r="A60">
        <v>59</v>
      </c>
      <c r="B60" t="s">
        <v>127</v>
      </c>
      <c r="C60" t="s">
        <v>128</v>
      </c>
      <c r="D60">
        <v>101</v>
      </c>
      <c r="E60">
        <v>7687546.6822262118</v>
      </c>
      <c r="F60">
        <v>0</v>
      </c>
      <c r="G60">
        <v>0</v>
      </c>
      <c r="H60">
        <v>1</v>
      </c>
      <c r="I60">
        <v>363636</v>
      </c>
      <c r="J60">
        <v>100</v>
      </c>
      <c r="K60">
        <v>7323910.6822262118</v>
      </c>
    </row>
    <row r="61" spans="1:11" x14ac:dyDescent="0.25">
      <c r="A61">
        <v>60</v>
      </c>
      <c r="B61" t="s">
        <v>129</v>
      </c>
      <c r="C61" t="s">
        <v>130</v>
      </c>
      <c r="D61">
        <v>21</v>
      </c>
      <c r="E61">
        <v>2828528.75</v>
      </c>
      <c r="F61">
        <v>0</v>
      </c>
      <c r="G61">
        <v>0</v>
      </c>
      <c r="H61">
        <v>1</v>
      </c>
      <c r="I61">
        <v>772727</v>
      </c>
      <c r="J61">
        <v>20</v>
      </c>
      <c r="K61">
        <v>2055801.75</v>
      </c>
    </row>
    <row r="62" spans="1:11" x14ac:dyDescent="0.25">
      <c r="A62">
        <v>61</v>
      </c>
      <c r="B62" t="s">
        <v>131</v>
      </c>
      <c r="C62" t="s">
        <v>132</v>
      </c>
      <c r="D62">
        <v>1417</v>
      </c>
      <c r="E62">
        <v>287714400.87895793</v>
      </c>
      <c r="F62">
        <v>105</v>
      </c>
      <c r="G62">
        <v>2725136</v>
      </c>
      <c r="H62">
        <v>7</v>
      </c>
      <c r="I62">
        <v>945455</v>
      </c>
      <c r="J62">
        <v>1515</v>
      </c>
      <c r="K62">
        <v>289494081.87895793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18</v>
      </c>
      <c r="E65">
        <v>13601682.361123599</v>
      </c>
      <c r="F65">
        <v>8</v>
      </c>
      <c r="G65">
        <v>6759088.0899999999</v>
      </c>
      <c r="H65">
        <v>1</v>
      </c>
      <c r="I65">
        <v>2445455</v>
      </c>
      <c r="J65">
        <v>25</v>
      </c>
      <c r="K65">
        <v>17915315.451123599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143</v>
      </c>
      <c r="E70">
        <v>62498674.125112101</v>
      </c>
      <c r="F70">
        <v>20</v>
      </c>
      <c r="G70">
        <v>581818</v>
      </c>
      <c r="H70">
        <v>1</v>
      </c>
      <c r="I70">
        <v>618182</v>
      </c>
      <c r="J70">
        <v>162</v>
      </c>
      <c r="K70">
        <v>62462310.125112101</v>
      </c>
    </row>
    <row r="71" spans="1:11" x14ac:dyDescent="0.25">
      <c r="A71">
        <v>70</v>
      </c>
      <c r="B71" t="s">
        <v>149</v>
      </c>
      <c r="C71" t="s">
        <v>150</v>
      </c>
      <c r="D71">
        <v>6</v>
      </c>
      <c r="E71">
        <v>2897428.16</v>
      </c>
      <c r="F71">
        <v>0</v>
      </c>
      <c r="G71">
        <v>0</v>
      </c>
      <c r="H71">
        <v>2</v>
      </c>
      <c r="I71">
        <v>2200000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71</v>
      </c>
      <c r="E74">
        <v>156226024.07878789</v>
      </c>
      <c r="F74">
        <v>16</v>
      </c>
      <c r="G74">
        <v>36936363</v>
      </c>
      <c r="H74">
        <v>4</v>
      </c>
      <c r="I74">
        <v>10345455</v>
      </c>
      <c r="J74">
        <v>83</v>
      </c>
      <c r="K74">
        <v>182816932.07878789</v>
      </c>
    </row>
    <row r="75" spans="1:11" x14ac:dyDescent="0.25">
      <c r="A75">
        <v>74</v>
      </c>
      <c r="B75" t="s">
        <v>157</v>
      </c>
      <c r="C75" t="s">
        <v>158</v>
      </c>
      <c r="D75">
        <v>79</v>
      </c>
      <c r="E75">
        <v>255669225.7509881</v>
      </c>
      <c r="F75">
        <v>10</v>
      </c>
      <c r="G75">
        <v>27181818</v>
      </c>
      <c r="H75">
        <v>0</v>
      </c>
      <c r="I75">
        <v>0</v>
      </c>
      <c r="J75">
        <v>89</v>
      </c>
      <c r="K75">
        <v>282851043.75098813</v>
      </c>
    </row>
    <row r="76" spans="1:11" x14ac:dyDescent="0.25">
      <c r="A76">
        <v>75</v>
      </c>
      <c r="B76" t="s">
        <v>159</v>
      </c>
      <c r="C76" t="s">
        <v>160</v>
      </c>
      <c r="D76">
        <v>4</v>
      </c>
      <c r="E76">
        <v>22866456.875</v>
      </c>
      <c r="F76">
        <v>1</v>
      </c>
      <c r="G76">
        <v>5227273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116</v>
      </c>
      <c r="E78">
        <v>172762439.59605911</v>
      </c>
      <c r="F78">
        <v>0</v>
      </c>
      <c r="G78">
        <v>0</v>
      </c>
      <c r="H78">
        <v>0</v>
      </c>
      <c r="I78">
        <v>0</v>
      </c>
      <c r="J78">
        <v>116</v>
      </c>
      <c r="K78">
        <v>172762439.59605911</v>
      </c>
    </row>
    <row r="79" spans="1:11" x14ac:dyDescent="0.25">
      <c r="A79">
        <v>78</v>
      </c>
      <c r="B79" t="s">
        <v>165</v>
      </c>
      <c r="C79" t="s">
        <v>166</v>
      </c>
      <c r="D79">
        <v>8</v>
      </c>
      <c r="E79">
        <v>18290023</v>
      </c>
      <c r="F79">
        <v>0</v>
      </c>
      <c r="G79">
        <v>0</v>
      </c>
      <c r="H79">
        <v>1</v>
      </c>
      <c r="I79">
        <v>2445455</v>
      </c>
      <c r="J79">
        <v>7</v>
      </c>
      <c r="K79">
        <v>15844568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477</v>
      </c>
      <c r="E81">
        <v>130448503.62329011</v>
      </c>
      <c r="F81">
        <v>21</v>
      </c>
      <c r="G81">
        <v>7350000</v>
      </c>
      <c r="H81">
        <v>9</v>
      </c>
      <c r="I81">
        <v>3836363</v>
      </c>
      <c r="J81">
        <v>489</v>
      </c>
      <c r="K81">
        <v>133962140.62329011</v>
      </c>
    </row>
    <row r="82" spans="1:11" x14ac:dyDescent="0.25">
      <c r="A82">
        <v>81</v>
      </c>
      <c r="B82" t="s">
        <v>171</v>
      </c>
      <c r="C82" t="s">
        <v>172</v>
      </c>
      <c r="D82">
        <v>119</v>
      </c>
      <c r="E82">
        <v>83666676.117302045</v>
      </c>
      <c r="F82">
        <v>5</v>
      </c>
      <c r="G82">
        <v>3113636</v>
      </c>
      <c r="H82">
        <v>7</v>
      </c>
      <c r="I82">
        <v>3900001</v>
      </c>
      <c r="J82">
        <v>117</v>
      </c>
      <c r="K82">
        <v>82880311.117302045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13</v>
      </c>
      <c r="E84">
        <v>33390136.199999999</v>
      </c>
      <c r="F84">
        <v>14</v>
      </c>
      <c r="G84">
        <v>37867409</v>
      </c>
      <c r="H84">
        <v>0</v>
      </c>
      <c r="I84">
        <v>0</v>
      </c>
      <c r="J84">
        <v>27</v>
      </c>
      <c r="K84">
        <v>71257545.200000003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20523710.483870968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20523710.483870968</v>
      </c>
    </row>
    <row r="86" spans="1:11" x14ac:dyDescent="0.25">
      <c r="A86">
        <v>85</v>
      </c>
      <c r="B86" t="s">
        <v>179</v>
      </c>
      <c r="C86" t="s">
        <v>180</v>
      </c>
      <c r="D86">
        <v>12</v>
      </c>
      <c r="E86">
        <v>11829493.16</v>
      </c>
      <c r="F86">
        <v>4</v>
      </c>
      <c r="G86">
        <v>2072727</v>
      </c>
      <c r="H86">
        <v>0</v>
      </c>
      <c r="I86">
        <v>0</v>
      </c>
      <c r="J86">
        <v>16</v>
      </c>
      <c r="K86">
        <v>13902220.16</v>
      </c>
    </row>
    <row r="87" spans="1:11" x14ac:dyDescent="0.25">
      <c r="A87">
        <v>86</v>
      </c>
      <c r="B87" t="s">
        <v>181</v>
      </c>
      <c r="C87" t="s">
        <v>182</v>
      </c>
      <c r="D87">
        <v>79</v>
      </c>
      <c r="E87">
        <v>103023717.5725594</v>
      </c>
      <c r="F87">
        <v>0</v>
      </c>
      <c r="G87">
        <v>0</v>
      </c>
      <c r="H87">
        <v>5</v>
      </c>
      <c r="I87">
        <v>6072727</v>
      </c>
      <c r="J87">
        <v>74</v>
      </c>
      <c r="K87">
        <v>96950990.572559372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850</v>
      </c>
      <c r="E89">
        <v>279221300.74628812</v>
      </c>
      <c r="F89">
        <v>310</v>
      </c>
      <c r="G89">
        <v>85454581</v>
      </c>
      <c r="H89">
        <v>60</v>
      </c>
      <c r="I89">
        <v>72599998</v>
      </c>
      <c r="J89">
        <v>1100</v>
      </c>
      <c r="K89">
        <v>292075883.74628812</v>
      </c>
    </row>
    <row r="90" spans="1:11" x14ac:dyDescent="0.25">
      <c r="A90">
        <v>89</v>
      </c>
      <c r="B90" t="s">
        <v>187</v>
      </c>
      <c r="C90" t="s">
        <v>188</v>
      </c>
      <c r="D90">
        <v>166</v>
      </c>
      <c r="E90">
        <v>159480937.34957021</v>
      </c>
      <c r="F90">
        <v>10</v>
      </c>
      <c r="G90">
        <v>7545453</v>
      </c>
      <c r="H90">
        <v>9</v>
      </c>
      <c r="I90">
        <v>10090908</v>
      </c>
      <c r="J90">
        <v>167</v>
      </c>
      <c r="K90">
        <v>156935482.34957021</v>
      </c>
    </row>
    <row r="91" spans="1:11" x14ac:dyDescent="0.25">
      <c r="A91">
        <v>90</v>
      </c>
      <c r="B91" t="s">
        <v>189</v>
      </c>
      <c r="C91" t="s">
        <v>190</v>
      </c>
      <c r="D91">
        <v>48</v>
      </c>
      <c r="E91">
        <v>66516868.992395438</v>
      </c>
      <c r="F91">
        <v>5</v>
      </c>
      <c r="G91">
        <v>7986364</v>
      </c>
      <c r="H91">
        <v>1</v>
      </c>
      <c r="I91">
        <v>2718182</v>
      </c>
      <c r="J91">
        <v>52</v>
      </c>
      <c r="K91">
        <v>71785050.992395431</v>
      </c>
    </row>
    <row r="92" spans="1:11" x14ac:dyDescent="0.25">
      <c r="A92">
        <v>91</v>
      </c>
      <c r="B92" t="s">
        <v>191</v>
      </c>
      <c r="C92" t="s">
        <v>192</v>
      </c>
      <c r="D92">
        <v>177</v>
      </c>
      <c r="E92">
        <v>101772307.1280788</v>
      </c>
      <c r="F92">
        <v>0</v>
      </c>
      <c r="G92">
        <v>0</v>
      </c>
      <c r="H92">
        <v>2</v>
      </c>
      <c r="I92">
        <v>1709091</v>
      </c>
      <c r="J92">
        <v>175</v>
      </c>
      <c r="K92">
        <v>100063216.1280788</v>
      </c>
    </row>
    <row r="93" spans="1:11" x14ac:dyDescent="0.25">
      <c r="A93">
        <v>92</v>
      </c>
      <c r="B93" t="s">
        <v>193</v>
      </c>
      <c r="C93" t="s">
        <v>194</v>
      </c>
      <c r="D93">
        <v>60</v>
      </c>
      <c r="E93">
        <v>96121328.432558149</v>
      </c>
      <c r="F93">
        <v>7</v>
      </c>
      <c r="G93">
        <v>8136364</v>
      </c>
      <c r="H93">
        <v>0</v>
      </c>
      <c r="I93">
        <v>0</v>
      </c>
      <c r="J93">
        <v>67</v>
      </c>
      <c r="K93">
        <v>104257692.4325581</v>
      </c>
    </row>
    <row r="94" spans="1:11" x14ac:dyDescent="0.25">
      <c r="A94">
        <v>93</v>
      </c>
      <c r="B94" t="s">
        <v>195</v>
      </c>
      <c r="C94" t="s">
        <v>196</v>
      </c>
      <c r="D94">
        <v>210</v>
      </c>
      <c r="E94">
        <v>132347040.6155607</v>
      </c>
      <c r="F94">
        <v>130</v>
      </c>
      <c r="G94">
        <v>11500020</v>
      </c>
      <c r="H94">
        <v>19</v>
      </c>
      <c r="I94">
        <v>11745455</v>
      </c>
      <c r="J94">
        <v>321</v>
      </c>
      <c r="K94">
        <v>132101605.6155607</v>
      </c>
    </row>
    <row r="95" spans="1:11" x14ac:dyDescent="0.25">
      <c r="A95">
        <v>94</v>
      </c>
      <c r="B95" t="s">
        <v>197</v>
      </c>
      <c r="C95" t="s">
        <v>198</v>
      </c>
      <c r="D95">
        <v>23</v>
      </c>
      <c r="E95">
        <v>2773726.8672566381</v>
      </c>
      <c r="F95">
        <v>0</v>
      </c>
      <c r="G95">
        <v>0</v>
      </c>
      <c r="H95">
        <v>5</v>
      </c>
      <c r="I95">
        <v>500000</v>
      </c>
      <c r="J95">
        <v>18</v>
      </c>
      <c r="K95">
        <v>2273726.8672566381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489</v>
      </c>
      <c r="E97">
        <v>103893346.4361957</v>
      </c>
      <c r="F97">
        <v>311</v>
      </c>
      <c r="G97">
        <v>22579093</v>
      </c>
      <c r="H97">
        <v>1</v>
      </c>
      <c r="I97">
        <v>395455</v>
      </c>
      <c r="J97">
        <v>799</v>
      </c>
      <c r="K97">
        <v>126076984.4361957</v>
      </c>
    </row>
    <row r="98" spans="1:11" x14ac:dyDescent="0.25">
      <c r="A98">
        <v>97</v>
      </c>
      <c r="B98" t="s">
        <v>203</v>
      </c>
      <c r="C98" t="s">
        <v>204</v>
      </c>
      <c r="D98">
        <v>439</v>
      </c>
      <c r="E98">
        <v>86278031.620727673</v>
      </c>
      <c r="F98">
        <v>5</v>
      </c>
      <c r="G98">
        <v>4836364</v>
      </c>
      <c r="H98">
        <v>6</v>
      </c>
      <c r="I98">
        <v>1745455</v>
      </c>
      <c r="J98">
        <v>438</v>
      </c>
      <c r="K98">
        <v>89368940.620727673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112</v>
      </c>
      <c r="E102">
        <v>94917019.669291347</v>
      </c>
      <c r="F102">
        <v>3</v>
      </c>
      <c r="G102">
        <v>4445454</v>
      </c>
      <c r="H102">
        <v>2</v>
      </c>
      <c r="I102">
        <v>3879966</v>
      </c>
      <c r="J102">
        <v>113</v>
      </c>
      <c r="K102">
        <v>95482507.669291347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 t="s">
        <v>215</v>
      </c>
      <c r="C104" t="s">
        <v>216</v>
      </c>
      <c r="D104">
        <v>1372</v>
      </c>
      <c r="E104">
        <v>186224092.46378449</v>
      </c>
      <c r="F104">
        <v>40</v>
      </c>
      <c r="G104">
        <v>9863630</v>
      </c>
      <c r="H104">
        <v>26</v>
      </c>
      <c r="I104">
        <v>4218181</v>
      </c>
      <c r="J104">
        <v>1386</v>
      </c>
      <c r="K104">
        <v>191869541.46378449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133</v>
      </c>
      <c r="E105">
        <v>50005357.992982447</v>
      </c>
      <c r="F105">
        <v>23</v>
      </c>
      <c r="G105">
        <v>7763631</v>
      </c>
      <c r="H105">
        <v>0</v>
      </c>
      <c r="I105">
        <v>0</v>
      </c>
      <c r="J105">
        <v>156</v>
      </c>
      <c r="K105">
        <v>57768988.992982447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1508</v>
      </c>
      <c r="E106">
        <v>175754627.69023031</v>
      </c>
      <c r="F106">
        <v>366</v>
      </c>
      <c r="G106">
        <v>40881818</v>
      </c>
      <c r="H106">
        <v>35</v>
      </c>
      <c r="I106">
        <v>3700002</v>
      </c>
      <c r="J106">
        <v>1839</v>
      </c>
      <c r="K106">
        <v>212936443.69023031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992</v>
      </c>
      <c r="E107">
        <v>151367505.3291294</v>
      </c>
      <c r="F107">
        <v>0</v>
      </c>
      <c r="G107">
        <v>0</v>
      </c>
      <c r="H107">
        <v>16</v>
      </c>
      <c r="I107">
        <v>2509088</v>
      </c>
      <c r="J107">
        <v>976</v>
      </c>
      <c r="K107">
        <v>148858417.3291294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211</v>
      </c>
      <c r="E109">
        <v>61324688.850046858</v>
      </c>
      <c r="F109">
        <v>30</v>
      </c>
      <c r="G109">
        <v>9803640</v>
      </c>
      <c r="H109">
        <v>4</v>
      </c>
      <c r="I109">
        <v>854546</v>
      </c>
      <c r="J109">
        <v>237</v>
      </c>
      <c r="K109">
        <v>70273782.850046858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236</v>
      </c>
      <c r="E110">
        <v>81163828.166189104</v>
      </c>
      <c r="F110">
        <v>22</v>
      </c>
      <c r="G110">
        <v>9798182</v>
      </c>
      <c r="H110">
        <v>8</v>
      </c>
      <c r="I110">
        <v>4718182</v>
      </c>
      <c r="J110">
        <v>250</v>
      </c>
      <c r="K110">
        <v>86243828.166189104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102</v>
      </c>
      <c r="E112">
        <v>52756885.259079903</v>
      </c>
      <c r="F112">
        <v>5</v>
      </c>
      <c r="G112">
        <v>1704545</v>
      </c>
      <c r="H112">
        <v>2</v>
      </c>
      <c r="I112">
        <v>636364</v>
      </c>
      <c r="J112">
        <v>105</v>
      </c>
      <c r="K112">
        <v>53825066.259079903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305</v>
      </c>
      <c r="E113">
        <v>100687575.390264</v>
      </c>
      <c r="F113">
        <v>393</v>
      </c>
      <c r="G113">
        <v>113396370</v>
      </c>
      <c r="H113">
        <v>0</v>
      </c>
      <c r="I113">
        <v>0</v>
      </c>
      <c r="J113">
        <v>698</v>
      </c>
      <c r="K113">
        <v>214083945.390264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0</v>
      </c>
      <c r="G114">
        <v>0</v>
      </c>
      <c r="H114">
        <v>0</v>
      </c>
      <c r="I114">
        <v>0</v>
      </c>
      <c r="J114">
        <v>19</v>
      </c>
      <c r="K114">
        <v>12900149.620689649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10</v>
      </c>
      <c r="E122">
        <v>3490909</v>
      </c>
      <c r="F122">
        <v>0</v>
      </c>
      <c r="G122">
        <v>0</v>
      </c>
      <c r="H122">
        <v>0</v>
      </c>
      <c r="I122">
        <v>0</v>
      </c>
      <c r="J122">
        <v>10</v>
      </c>
      <c r="K122">
        <v>3490909</v>
      </c>
    </row>
    <row r="123" spans="1:11" x14ac:dyDescent="0.25">
      <c r="A123">
        <v>122</v>
      </c>
      <c r="B123" t="s">
        <v>253</v>
      </c>
      <c r="C123" t="s">
        <v>254</v>
      </c>
      <c r="D123">
        <v>163</v>
      </c>
      <c r="E123">
        <v>61648657.616306961</v>
      </c>
      <c r="F123">
        <v>15</v>
      </c>
      <c r="G123">
        <v>6150000</v>
      </c>
      <c r="H123">
        <v>0</v>
      </c>
      <c r="I123">
        <v>0</v>
      </c>
      <c r="J123">
        <v>178</v>
      </c>
      <c r="K123">
        <v>67798657.616306961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38</v>
      </c>
      <c r="E124">
        <v>20639788.84722222</v>
      </c>
      <c r="F124">
        <v>6</v>
      </c>
      <c r="G124">
        <v>3360000</v>
      </c>
      <c r="H124">
        <v>0</v>
      </c>
      <c r="I124">
        <v>0</v>
      </c>
      <c r="J124">
        <v>44</v>
      </c>
      <c r="K124">
        <v>23999788.84722222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361</v>
      </c>
      <c r="E126">
        <v>202747352.2321918</v>
      </c>
      <c r="F126">
        <v>34</v>
      </c>
      <c r="G126">
        <v>24338028</v>
      </c>
      <c r="H126">
        <v>0</v>
      </c>
      <c r="I126">
        <v>0</v>
      </c>
      <c r="J126">
        <v>395</v>
      </c>
      <c r="K126">
        <v>227085380.2321918</v>
      </c>
    </row>
    <row r="127" spans="1:11" x14ac:dyDescent="0.25">
      <c r="A127">
        <v>126</v>
      </c>
      <c r="B127" t="s">
        <v>261</v>
      </c>
      <c r="C127" t="s">
        <v>262</v>
      </c>
      <c r="D127">
        <v>3</v>
      </c>
      <c r="E127">
        <v>1889147.142857143</v>
      </c>
      <c r="F127">
        <v>1</v>
      </c>
      <c r="G127">
        <v>681818</v>
      </c>
      <c r="H127">
        <v>0</v>
      </c>
      <c r="I127">
        <v>0</v>
      </c>
      <c r="J127">
        <v>4</v>
      </c>
      <c r="K127">
        <v>2570965.1428571432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13</v>
      </c>
      <c r="E129">
        <v>28775966.75</v>
      </c>
      <c r="F129">
        <v>2</v>
      </c>
      <c r="G129">
        <v>2923650</v>
      </c>
      <c r="H129">
        <v>0</v>
      </c>
      <c r="I129">
        <v>0</v>
      </c>
      <c r="J129">
        <v>15</v>
      </c>
      <c r="K129">
        <v>31699616.75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551</v>
      </c>
      <c r="E131">
        <v>160610330.5194805</v>
      </c>
      <c r="F131">
        <v>18</v>
      </c>
      <c r="G131">
        <v>2377273</v>
      </c>
      <c r="H131">
        <v>0</v>
      </c>
      <c r="I131">
        <v>0</v>
      </c>
      <c r="J131">
        <v>569</v>
      </c>
      <c r="K131">
        <v>162987603.5194805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114</v>
      </c>
      <c r="E132">
        <v>20591228.7489301</v>
      </c>
      <c r="F132">
        <v>6</v>
      </c>
      <c r="G132">
        <v>4527273</v>
      </c>
      <c r="H132">
        <v>0</v>
      </c>
      <c r="I132">
        <v>0</v>
      </c>
      <c r="J132">
        <v>120</v>
      </c>
      <c r="K132">
        <v>25118501.7489301</v>
      </c>
    </row>
    <row r="133" spans="1:11" x14ac:dyDescent="0.25">
      <c r="A133">
        <v>132</v>
      </c>
      <c r="B133" t="s">
        <v>273</v>
      </c>
      <c r="C133" t="s">
        <v>274</v>
      </c>
      <c r="D133">
        <v>251</v>
      </c>
      <c r="E133">
        <v>63478751.769411772</v>
      </c>
      <c r="F133">
        <v>13</v>
      </c>
      <c r="G133">
        <v>1277272</v>
      </c>
      <c r="H133">
        <v>2</v>
      </c>
      <c r="I133">
        <v>345455</v>
      </c>
      <c r="J133">
        <v>262</v>
      </c>
      <c r="K133">
        <v>64410568.769411772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71</v>
      </c>
      <c r="E134">
        <v>26777962.08433735</v>
      </c>
      <c r="F134">
        <v>8</v>
      </c>
      <c r="G134">
        <v>3613636</v>
      </c>
      <c r="H134">
        <v>1</v>
      </c>
      <c r="I134">
        <v>500000</v>
      </c>
      <c r="J134">
        <v>78</v>
      </c>
      <c r="K134">
        <v>29891598.08433735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35</v>
      </c>
      <c r="E138">
        <v>57982295.860465117</v>
      </c>
      <c r="F138">
        <v>0</v>
      </c>
      <c r="G138">
        <v>0</v>
      </c>
      <c r="H138">
        <v>14</v>
      </c>
      <c r="I138">
        <v>36463637</v>
      </c>
      <c r="J138">
        <v>21</v>
      </c>
      <c r="K138">
        <v>21518658.860465121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25809354.838709679</v>
      </c>
      <c r="F141">
        <v>0</v>
      </c>
      <c r="G141">
        <v>0</v>
      </c>
      <c r="H141">
        <v>0</v>
      </c>
      <c r="I141">
        <v>0</v>
      </c>
      <c r="J141">
        <v>6</v>
      </c>
      <c r="K141">
        <v>25809354.838709679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163</v>
      </c>
      <c r="E143">
        <v>70456168.115942031</v>
      </c>
      <c r="F143">
        <v>20</v>
      </c>
      <c r="G143">
        <v>3700000</v>
      </c>
      <c r="H143">
        <v>40</v>
      </c>
      <c r="I143">
        <v>9860000</v>
      </c>
      <c r="J143">
        <v>143</v>
      </c>
      <c r="K143">
        <v>64296168.115942031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928.25</v>
      </c>
      <c r="E146">
        <v>483303089.10000002</v>
      </c>
      <c r="F146">
        <v>392.49</v>
      </c>
      <c r="G146">
        <v>88885686.640000001</v>
      </c>
      <c r="H146">
        <v>384</v>
      </c>
      <c r="I146">
        <v>66627944</v>
      </c>
      <c r="J146">
        <v>936.74</v>
      </c>
      <c r="K146">
        <v>505560831.74000001</v>
      </c>
    </row>
    <row r="147" spans="1:11" x14ac:dyDescent="0.25">
      <c r="A147" t="s">
        <v>301</v>
      </c>
      <c r="D147">
        <v>20636.25</v>
      </c>
      <c r="E147">
        <v>20350992953.580441</v>
      </c>
      <c r="F147">
        <v>2781.49</v>
      </c>
      <c r="G147">
        <v>1812197506.8199999</v>
      </c>
      <c r="H147">
        <v>950</v>
      </c>
      <c r="I147">
        <v>1158949228</v>
      </c>
      <c r="J147">
        <v>22467.74</v>
      </c>
      <c r="K147">
        <v>21004241232.40044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21</v>
      </c>
      <c r="E3">
        <v>179784265</v>
      </c>
      <c r="F3">
        <v>0</v>
      </c>
      <c r="G3">
        <v>0</v>
      </c>
      <c r="H3">
        <v>0</v>
      </c>
      <c r="I3">
        <v>0</v>
      </c>
      <c r="J3">
        <v>21</v>
      </c>
      <c r="K3">
        <v>179784265</v>
      </c>
    </row>
    <row r="4" spans="1:11" x14ac:dyDescent="0.25">
      <c r="A4">
        <v>3</v>
      </c>
      <c r="B4" t="s">
        <v>15</v>
      </c>
      <c r="C4" t="s">
        <v>16</v>
      </c>
      <c r="D4">
        <v>184</v>
      </c>
      <c r="E4">
        <v>2373681961.201292</v>
      </c>
      <c r="F4">
        <v>0</v>
      </c>
      <c r="G4">
        <v>0</v>
      </c>
      <c r="H4">
        <v>3</v>
      </c>
      <c r="I4">
        <v>43618181</v>
      </c>
      <c r="J4">
        <v>181</v>
      </c>
      <c r="K4">
        <v>2330063780.201292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14</v>
      </c>
      <c r="E6">
        <v>167148168.1785714</v>
      </c>
      <c r="F6">
        <v>0</v>
      </c>
      <c r="G6">
        <v>0</v>
      </c>
      <c r="H6">
        <v>0</v>
      </c>
      <c r="I6">
        <v>0</v>
      </c>
      <c r="J6">
        <v>14</v>
      </c>
      <c r="K6">
        <v>167148168.1785714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0</v>
      </c>
      <c r="I8">
        <v>0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30972636.449999999</v>
      </c>
      <c r="F9">
        <v>0</v>
      </c>
      <c r="G9">
        <v>0</v>
      </c>
      <c r="H9">
        <v>0</v>
      </c>
      <c r="I9">
        <v>0</v>
      </c>
      <c r="J9">
        <v>10</v>
      </c>
      <c r="K9">
        <v>30972636.449999999</v>
      </c>
    </row>
    <row r="10" spans="1:11" x14ac:dyDescent="0.25">
      <c r="A10">
        <v>9</v>
      </c>
      <c r="B10" t="s">
        <v>27</v>
      </c>
      <c r="C10" t="s">
        <v>28</v>
      </c>
      <c r="D10">
        <v>192</v>
      </c>
      <c r="E10">
        <v>790310949.5951941</v>
      </c>
      <c r="F10">
        <v>9</v>
      </c>
      <c r="G10">
        <v>28909091</v>
      </c>
      <c r="H10">
        <v>7</v>
      </c>
      <c r="I10">
        <v>28909090</v>
      </c>
      <c r="J10">
        <v>194</v>
      </c>
      <c r="K10">
        <v>790310950.5951941</v>
      </c>
    </row>
    <row r="11" spans="1:11" x14ac:dyDescent="0.25">
      <c r="A11">
        <v>10</v>
      </c>
      <c r="B11" t="s">
        <v>29</v>
      </c>
      <c r="C11" t="s">
        <v>30</v>
      </c>
      <c r="D11">
        <v>9</v>
      </c>
      <c r="E11">
        <v>75557100.25</v>
      </c>
      <c r="F11">
        <v>0</v>
      </c>
      <c r="G11">
        <v>0</v>
      </c>
      <c r="H11">
        <v>1</v>
      </c>
      <c r="I11">
        <v>12322727</v>
      </c>
      <c r="J11">
        <v>8</v>
      </c>
      <c r="K11">
        <v>63234373.25</v>
      </c>
    </row>
    <row r="12" spans="1:11" x14ac:dyDescent="0.25">
      <c r="A12">
        <v>11</v>
      </c>
      <c r="B12" t="s">
        <v>31</v>
      </c>
      <c r="C12" t="s">
        <v>32</v>
      </c>
      <c r="D12">
        <v>223</v>
      </c>
      <c r="E12">
        <v>2777102861.2191219</v>
      </c>
      <c r="F12">
        <v>21</v>
      </c>
      <c r="G12">
        <v>228130363</v>
      </c>
      <c r="H12">
        <v>24</v>
      </c>
      <c r="I12">
        <v>215818182</v>
      </c>
      <c r="J12">
        <v>220</v>
      </c>
      <c r="K12">
        <v>2789415042.2191219</v>
      </c>
    </row>
    <row r="13" spans="1:11" x14ac:dyDescent="0.25">
      <c r="A13">
        <v>12</v>
      </c>
      <c r="B13" t="s">
        <v>33</v>
      </c>
      <c r="C13" t="s">
        <v>34</v>
      </c>
      <c r="D13">
        <v>27</v>
      </c>
      <c r="E13">
        <v>439007867.76923078</v>
      </c>
      <c r="F13">
        <v>0</v>
      </c>
      <c r="G13">
        <v>0</v>
      </c>
      <c r="H13">
        <v>0</v>
      </c>
      <c r="I13">
        <v>0</v>
      </c>
      <c r="J13">
        <v>27</v>
      </c>
      <c r="K13">
        <v>439007867.76923078</v>
      </c>
    </row>
    <row r="14" spans="1:11" x14ac:dyDescent="0.25">
      <c r="A14">
        <v>13</v>
      </c>
      <c r="B14" t="s">
        <v>35</v>
      </c>
      <c r="C14" t="s">
        <v>36</v>
      </c>
      <c r="D14">
        <v>24</v>
      </c>
      <c r="E14">
        <v>423802587.28947371</v>
      </c>
      <c r="F14">
        <v>1</v>
      </c>
      <c r="G14">
        <v>15127273</v>
      </c>
      <c r="H14">
        <v>2</v>
      </c>
      <c r="I14">
        <v>33818182</v>
      </c>
      <c r="J14">
        <v>23</v>
      </c>
      <c r="K14">
        <v>405111678.28947371</v>
      </c>
    </row>
    <row r="15" spans="1:11" x14ac:dyDescent="0.25">
      <c r="A15">
        <v>14</v>
      </c>
      <c r="B15" t="s">
        <v>37</v>
      </c>
      <c r="C15" t="s">
        <v>38</v>
      </c>
      <c r="D15">
        <v>25</v>
      </c>
      <c r="E15">
        <v>227311405.93430659</v>
      </c>
      <c r="F15">
        <v>11</v>
      </c>
      <c r="G15">
        <v>141400001</v>
      </c>
      <c r="H15">
        <v>7</v>
      </c>
      <c r="I15">
        <v>57354546</v>
      </c>
      <c r="J15">
        <v>29</v>
      </c>
      <c r="K15">
        <v>311356860.93430662</v>
      </c>
    </row>
    <row r="16" spans="1:11" x14ac:dyDescent="0.25">
      <c r="A16">
        <v>15</v>
      </c>
      <c r="B16" t="s">
        <v>39</v>
      </c>
      <c r="C16" t="s">
        <v>40</v>
      </c>
      <c r="D16">
        <v>11</v>
      </c>
      <c r="E16">
        <v>158316808.10447761</v>
      </c>
      <c r="F16">
        <v>6</v>
      </c>
      <c r="G16">
        <v>77404543</v>
      </c>
      <c r="H16">
        <v>2</v>
      </c>
      <c r="I16">
        <v>25772728</v>
      </c>
      <c r="J16">
        <v>15</v>
      </c>
      <c r="K16">
        <v>209948623.10447761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186</v>
      </c>
      <c r="E24">
        <v>1381545649.5497241</v>
      </c>
      <c r="F24">
        <v>0</v>
      </c>
      <c r="G24">
        <v>0</v>
      </c>
      <c r="H24">
        <v>8</v>
      </c>
      <c r="I24">
        <v>74272728</v>
      </c>
      <c r="J24">
        <v>178</v>
      </c>
      <c r="K24">
        <v>1307272921.5497241</v>
      </c>
    </row>
    <row r="25" spans="1:11" x14ac:dyDescent="0.25">
      <c r="A25">
        <v>24</v>
      </c>
      <c r="B25" t="s">
        <v>57</v>
      </c>
      <c r="C25" t="s">
        <v>58</v>
      </c>
      <c r="D25">
        <v>295</v>
      </c>
      <c r="E25">
        <v>2173442528.361217</v>
      </c>
      <c r="F25">
        <v>15</v>
      </c>
      <c r="G25">
        <v>123681818</v>
      </c>
      <c r="H25">
        <v>13</v>
      </c>
      <c r="I25">
        <v>73618180</v>
      </c>
      <c r="J25">
        <v>297</v>
      </c>
      <c r="K25">
        <v>2223506166.361217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95851958.307692319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95851958.307692319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30018349.5</v>
      </c>
      <c r="F33">
        <v>0</v>
      </c>
      <c r="G33">
        <v>0</v>
      </c>
      <c r="H33">
        <v>0</v>
      </c>
      <c r="I33">
        <v>0</v>
      </c>
      <c r="J33">
        <v>6</v>
      </c>
      <c r="K33">
        <v>30018349.5</v>
      </c>
    </row>
    <row r="34" spans="1:11" x14ac:dyDescent="0.25">
      <c r="A34">
        <v>33</v>
      </c>
      <c r="B34" t="s">
        <v>75</v>
      </c>
      <c r="C34" t="s">
        <v>76</v>
      </c>
      <c r="D34">
        <v>46</v>
      </c>
      <c r="E34">
        <v>127513447.18326689</v>
      </c>
      <c r="F34">
        <v>3</v>
      </c>
      <c r="G34">
        <v>6272727</v>
      </c>
      <c r="H34">
        <v>1</v>
      </c>
      <c r="I34">
        <v>2681818</v>
      </c>
      <c r="J34">
        <v>48</v>
      </c>
      <c r="K34">
        <v>131104356.18326689</v>
      </c>
    </row>
    <row r="35" spans="1:11" x14ac:dyDescent="0.25">
      <c r="A35">
        <v>34</v>
      </c>
      <c r="B35" t="s">
        <v>77</v>
      </c>
      <c r="C35" t="s">
        <v>78</v>
      </c>
      <c r="D35">
        <v>398</v>
      </c>
      <c r="E35">
        <v>832777802.55380154</v>
      </c>
      <c r="F35">
        <v>90</v>
      </c>
      <c r="G35">
        <v>191680882</v>
      </c>
      <c r="H35">
        <v>52</v>
      </c>
      <c r="I35">
        <v>114736362</v>
      </c>
      <c r="J35">
        <v>436</v>
      </c>
      <c r="K35">
        <v>909722322.55380154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45913527.021276593</v>
      </c>
      <c r="F36">
        <v>2</v>
      </c>
      <c r="G36">
        <v>6727273</v>
      </c>
      <c r="H36">
        <v>0</v>
      </c>
      <c r="I36">
        <v>0</v>
      </c>
      <c r="J36">
        <v>15</v>
      </c>
      <c r="K36">
        <v>52640800.021276593</v>
      </c>
    </row>
    <row r="37" spans="1:11" x14ac:dyDescent="0.25">
      <c r="A37">
        <v>36</v>
      </c>
      <c r="B37" t="s">
        <v>81</v>
      </c>
      <c r="C37" t="s">
        <v>82</v>
      </c>
      <c r="D37">
        <v>57</v>
      </c>
      <c r="E37">
        <v>146292196.1964286</v>
      </c>
      <c r="F37">
        <v>0</v>
      </c>
      <c r="G37">
        <v>0</v>
      </c>
      <c r="H37">
        <v>2</v>
      </c>
      <c r="I37">
        <v>2509090</v>
      </c>
      <c r="J37">
        <v>55</v>
      </c>
      <c r="K37">
        <v>143783106.1964286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4636364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4636364</v>
      </c>
    </row>
    <row r="39" spans="1:11" x14ac:dyDescent="0.25">
      <c r="A39">
        <v>38</v>
      </c>
      <c r="B39" t="s">
        <v>85</v>
      </c>
      <c r="C39" t="s">
        <v>86</v>
      </c>
      <c r="D39">
        <v>96</v>
      </c>
      <c r="E39">
        <v>247911329.38106239</v>
      </c>
      <c r="F39">
        <v>3</v>
      </c>
      <c r="G39">
        <v>15000000</v>
      </c>
      <c r="H39">
        <v>3</v>
      </c>
      <c r="I39">
        <v>10318182</v>
      </c>
      <c r="J39">
        <v>96</v>
      </c>
      <c r="K39">
        <v>252593147.38106239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822</v>
      </c>
      <c r="E42">
        <v>477270339.43484038</v>
      </c>
      <c r="F42">
        <v>70</v>
      </c>
      <c r="G42">
        <v>104980910</v>
      </c>
      <c r="H42">
        <v>21</v>
      </c>
      <c r="I42">
        <v>74117274</v>
      </c>
      <c r="J42">
        <v>871</v>
      </c>
      <c r="K42">
        <v>508133975.43484038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350</v>
      </c>
      <c r="E44">
        <v>984686925.42474437</v>
      </c>
      <c r="F44">
        <v>0</v>
      </c>
      <c r="G44">
        <v>0</v>
      </c>
      <c r="H44">
        <v>8</v>
      </c>
      <c r="I44">
        <v>20636365</v>
      </c>
      <c r="J44">
        <v>342</v>
      </c>
      <c r="K44">
        <v>964050560.42474437</v>
      </c>
    </row>
    <row r="45" spans="1:11" x14ac:dyDescent="0.25">
      <c r="A45">
        <v>44</v>
      </c>
      <c r="B45" t="s">
        <v>97</v>
      </c>
      <c r="C45" t="s">
        <v>98</v>
      </c>
      <c r="D45">
        <v>68</v>
      </c>
      <c r="E45">
        <v>283107344.79297298</v>
      </c>
      <c r="F45">
        <v>0</v>
      </c>
      <c r="G45">
        <v>0</v>
      </c>
      <c r="H45">
        <v>4</v>
      </c>
      <c r="I45">
        <v>18218181</v>
      </c>
      <c r="J45">
        <v>64</v>
      </c>
      <c r="K45">
        <v>264889163.79297301</v>
      </c>
    </row>
    <row r="46" spans="1:11" x14ac:dyDescent="0.25">
      <c r="A46">
        <v>45</v>
      </c>
      <c r="B46" t="s">
        <v>99</v>
      </c>
      <c r="C46" t="s">
        <v>100</v>
      </c>
      <c r="D46">
        <v>181</v>
      </c>
      <c r="E46">
        <v>108632303.6325714</v>
      </c>
      <c r="F46">
        <v>37</v>
      </c>
      <c r="G46">
        <v>3781819</v>
      </c>
      <c r="H46">
        <v>0</v>
      </c>
      <c r="I46">
        <v>0</v>
      </c>
      <c r="J46">
        <v>218</v>
      </c>
      <c r="K46">
        <v>112414122.6325714</v>
      </c>
    </row>
    <row r="47" spans="1:11" x14ac:dyDescent="0.25">
      <c r="A47">
        <v>46</v>
      </c>
      <c r="B47" t="s">
        <v>101</v>
      </c>
      <c r="C47" t="s">
        <v>102</v>
      </c>
      <c r="D47">
        <v>49</v>
      </c>
      <c r="E47">
        <v>144032416.83567381</v>
      </c>
      <c r="F47">
        <v>0</v>
      </c>
      <c r="G47">
        <v>0</v>
      </c>
      <c r="H47">
        <v>0</v>
      </c>
      <c r="I47">
        <v>0</v>
      </c>
      <c r="J47">
        <v>49</v>
      </c>
      <c r="K47">
        <v>144032416.83567381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>
        <v>266942248.96224141</v>
      </c>
      <c r="F49">
        <v>2</v>
      </c>
      <c r="G49">
        <v>12536363</v>
      </c>
      <c r="H49">
        <v>2</v>
      </c>
      <c r="I49">
        <v>9954545</v>
      </c>
      <c r="J49">
        <v>37</v>
      </c>
      <c r="K49">
        <v>269524066.96224141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7</v>
      </c>
      <c r="E51">
        <v>3380591.1999999988</v>
      </c>
      <c r="F51">
        <v>0</v>
      </c>
      <c r="G51">
        <v>0</v>
      </c>
      <c r="H51">
        <v>1</v>
      </c>
      <c r="I51">
        <v>1263636</v>
      </c>
      <c r="J51">
        <v>6</v>
      </c>
      <c r="K51">
        <v>2116955.1999999988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101261124.26693881</v>
      </c>
      <c r="F52">
        <v>0</v>
      </c>
      <c r="G52">
        <v>0</v>
      </c>
      <c r="H52">
        <v>0</v>
      </c>
      <c r="I52">
        <v>0</v>
      </c>
      <c r="J52">
        <v>57</v>
      </c>
      <c r="K52">
        <v>101261124.26693881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66</v>
      </c>
      <c r="E55">
        <v>211155299.17270201</v>
      </c>
      <c r="F55">
        <v>3</v>
      </c>
      <c r="G55">
        <v>13500000</v>
      </c>
      <c r="H55">
        <v>2</v>
      </c>
      <c r="I55">
        <v>28400000</v>
      </c>
      <c r="J55">
        <v>67</v>
      </c>
      <c r="K55">
        <v>196255299.17270201</v>
      </c>
    </row>
    <row r="56" spans="1:11" x14ac:dyDescent="0.25">
      <c r="A56">
        <v>55</v>
      </c>
      <c r="B56" t="s">
        <v>119</v>
      </c>
      <c r="C56" t="s">
        <v>120</v>
      </c>
      <c r="D56">
        <v>26</v>
      </c>
      <c r="E56">
        <v>22071496.491525419</v>
      </c>
      <c r="F56">
        <v>2</v>
      </c>
      <c r="G56">
        <v>1259259</v>
      </c>
      <c r="H56">
        <v>2</v>
      </c>
      <c r="I56">
        <v>2361111</v>
      </c>
      <c r="J56">
        <v>26</v>
      </c>
      <c r="K56">
        <v>20969644.491525419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0</v>
      </c>
      <c r="G58">
        <v>0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3910</v>
      </c>
      <c r="E59">
        <v>412926556.38559759</v>
      </c>
      <c r="F59">
        <v>67</v>
      </c>
      <c r="G59">
        <v>16376359</v>
      </c>
      <c r="H59">
        <v>50</v>
      </c>
      <c r="I59">
        <v>19572728</v>
      </c>
      <c r="J59">
        <v>3927</v>
      </c>
      <c r="K59">
        <v>409730187.38559759</v>
      </c>
    </row>
    <row r="60" spans="1:11" x14ac:dyDescent="0.25">
      <c r="A60">
        <v>59</v>
      </c>
      <c r="B60" t="s">
        <v>127</v>
      </c>
      <c r="C60" t="s">
        <v>128</v>
      </c>
      <c r="D60">
        <v>100</v>
      </c>
      <c r="E60">
        <v>7323910.6822262118</v>
      </c>
      <c r="F60">
        <v>2</v>
      </c>
      <c r="G60">
        <v>236364</v>
      </c>
      <c r="H60">
        <v>0</v>
      </c>
      <c r="I60">
        <v>0</v>
      </c>
      <c r="J60">
        <v>102</v>
      </c>
      <c r="K60">
        <v>7560274.6822262118</v>
      </c>
    </row>
    <row r="61" spans="1:11" x14ac:dyDescent="0.25">
      <c r="A61">
        <v>60</v>
      </c>
      <c r="B61" t="s">
        <v>129</v>
      </c>
      <c r="C61" t="s">
        <v>130</v>
      </c>
      <c r="D61">
        <v>20</v>
      </c>
      <c r="E61">
        <v>2055801.75</v>
      </c>
      <c r="F61">
        <v>3</v>
      </c>
      <c r="G61">
        <v>1500000</v>
      </c>
      <c r="H61">
        <v>1</v>
      </c>
      <c r="I61">
        <v>590909</v>
      </c>
      <c r="J61">
        <v>22</v>
      </c>
      <c r="K61">
        <v>2964892.75</v>
      </c>
    </row>
    <row r="62" spans="1:11" x14ac:dyDescent="0.25">
      <c r="A62">
        <v>61</v>
      </c>
      <c r="B62" t="s">
        <v>131</v>
      </c>
      <c r="C62" t="s">
        <v>132</v>
      </c>
      <c r="D62">
        <v>1515</v>
      </c>
      <c r="E62">
        <v>289494081.87895793</v>
      </c>
      <c r="F62">
        <v>0</v>
      </c>
      <c r="G62">
        <v>0</v>
      </c>
      <c r="H62">
        <v>16</v>
      </c>
      <c r="I62">
        <v>1886364</v>
      </c>
      <c r="J62">
        <v>1499</v>
      </c>
      <c r="K62">
        <v>287607717.87895793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25</v>
      </c>
      <c r="E65">
        <v>17915315.451123599</v>
      </c>
      <c r="F65">
        <v>0</v>
      </c>
      <c r="G65">
        <v>0</v>
      </c>
      <c r="H65">
        <v>6</v>
      </c>
      <c r="I65">
        <v>5727272</v>
      </c>
      <c r="J65">
        <v>19</v>
      </c>
      <c r="K65">
        <v>12188043.451123601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162</v>
      </c>
      <c r="E70">
        <v>62462310.125112101</v>
      </c>
      <c r="F70">
        <v>0</v>
      </c>
      <c r="G70">
        <v>0</v>
      </c>
      <c r="H70">
        <v>3</v>
      </c>
      <c r="I70">
        <v>2236364</v>
      </c>
      <c r="J70">
        <v>159</v>
      </c>
      <c r="K70">
        <v>60225946.125112101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83</v>
      </c>
      <c r="E74">
        <v>182816932.07878789</v>
      </c>
      <c r="F74">
        <v>8</v>
      </c>
      <c r="G74">
        <v>18700000</v>
      </c>
      <c r="H74">
        <v>2</v>
      </c>
      <c r="I74">
        <v>4290909</v>
      </c>
      <c r="J74">
        <v>89</v>
      </c>
      <c r="K74">
        <v>197226023.07878789</v>
      </c>
    </row>
    <row r="75" spans="1:11" x14ac:dyDescent="0.25">
      <c r="A75">
        <v>74</v>
      </c>
      <c r="B75" t="s">
        <v>157</v>
      </c>
      <c r="C75" t="s">
        <v>158</v>
      </c>
      <c r="D75">
        <v>89</v>
      </c>
      <c r="E75">
        <v>282851043.75098813</v>
      </c>
      <c r="F75">
        <v>5</v>
      </c>
      <c r="G75">
        <v>16136364</v>
      </c>
      <c r="H75">
        <v>3</v>
      </c>
      <c r="I75">
        <v>9772727</v>
      </c>
      <c r="J75">
        <v>91</v>
      </c>
      <c r="K75">
        <v>289214680.75098813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116</v>
      </c>
      <c r="E78">
        <v>172762439.59605911</v>
      </c>
      <c r="F78">
        <v>0</v>
      </c>
      <c r="G78">
        <v>0</v>
      </c>
      <c r="H78">
        <v>0</v>
      </c>
      <c r="I78">
        <v>0</v>
      </c>
      <c r="J78">
        <v>116</v>
      </c>
      <c r="K78">
        <v>172762439.59605911</v>
      </c>
    </row>
    <row r="79" spans="1:11" x14ac:dyDescent="0.25">
      <c r="A79">
        <v>78</v>
      </c>
      <c r="B79" t="s">
        <v>165</v>
      </c>
      <c r="C79" t="s">
        <v>166</v>
      </c>
      <c r="D79">
        <v>7</v>
      </c>
      <c r="E79">
        <v>15844568</v>
      </c>
      <c r="F79">
        <v>0</v>
      </c>
      <c r="G79">
        <v>0</v>
      </c>
      <c r="H79">
        <v>0</v>
      </c>
      <c r="I79">
        <v>0</v>
      </c>
      <c r="J79">
        <v>7</v>
      </c>
      <c r="K79">
        <v>15844568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489</v>
      </c>
      <c r="E81">
        <v>133962140.62329011</v>
      </c>
      <c r="F81">
        <v>0</v>
      </c>
      <c r="G81">
        <v>0</v>
      </c>
      <c r="H81">
        <v>31</v>
      </c>
      <c r="I81">
        <v>12599999</v>
      </c>
      <c r="J81">
        <v>458</v>
      </c>
      <c r="K81">
        <v>121362141.62329011</v>
      </c>
    </row>
    <row r="82" spans="1:11" x14ac:dyDescent="0.25">
      <c r="A82">
        <v>81</v>
      </c>
      <c r="B82" t="s">
        <v>171</v>
      </c>
      <c r="C82" t="s">
        <v>172</v>
      </c>
      <c r="D82">
        <v>117</v>
      </c>
      <c r="E82">
        <v>82880311.117302045</v>
      </c>
      <c r="F82">
        <v>1</v>
      </c>
      <c r="G82">
        <v>590909</v>
      </c>
      <c r="H82">
        <v>9</v>
      </c>
      <c r="I82">
        <v>6313635</v>
      </c>
      <c r="J82">
        <v>109</v>
      </c>
      <c r="K82">
        <v>77157585.117302045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25772651.202380959</v>
      </c>
    </row>
    <row r="84" spans="1:11" x14ac:dyDescent="0.25">
      <c r="A84">
        <v>83</v>
      </c>
      <c r="B84" t="s">
        <v>175</v>
      </c>
      <c r="C84" t="s">
        <v>176</v>
      </c>
      <c r="D84">
        <v>27</v>
      </c>
      <c r="E84">
        <v>71257545.200000003</v>
      </c>
      <c r="F84">
        <v>0</v>
      </c>
      <c r="G84">
        <v>0</v>
      </c>
      <c r="H84">
        <v>6</v>
      </c>
      <c r="I84">
        <v>20381820</v>
      </c>
      <c r="J84">
        <v>21</v>
      </c>
      <c r="K84">
        <v>50875725.200000003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20523710.483870968</v>
      </c>
      <c r="F85">
        <v>0</v>
      </c>
      <c r="G85">
        <v>0</v>
      </c>
      <c r="H85">
        <v>0</v>
      </c>
      <c r="I85">
        <v>0</v>
      </c>
      <c r="J85">
        <v>4</v>
      </c>
      <c r="K85">
        <v>20523710.483870968</v>
      </c>
    </row>
    <row r="86" spans="1:11" x14ac:dyDescent="0.25">
      <c r="A86">
        <v>85</v>
      </c>
      <c r="B86" t="s">
        <v>179</v>
      </c>
      <c r="C86" t="s">
        <v>180</v>
      </c>
      <c r="D86">
        <v>16</v>
      </c>
      <c r="E86">
        <v>13902220.16</v>
      </c>
      <c r="F86">
        <v>0</v>
      </c>
      <c r="G86">
        <v>0</v>
      </c>
      <c r="H86">
        <v>2</v>
      </c>
      <c r="I86">
        <v>909091</v>
      </c>
      <c r="J86">
        <v>14</v>
      </c>
      <c r="K86">
        <v>12993129.16</v>
      </c>
    </row>
    <row r="87" spans="1:11" x14ac:dyDescent="0.25">
      <c r="A87">
        <v>86</v>
      </c>
      <c r="B87" t="s">
        <v>181</v>
      </c>
      <c r="C87" t="s">
        <v>182</v>
      </c>
      <c r="D87">
        <v>74</v>
      </c>
      <c r="E87">
        <v>96950990.572559372</v>
      </c>
      <c r="F87">
        <v>0</v>
      </c>
      <c r="G87">
        <v>0</v>
      </c>
      <c r="H87">
        <v>0</v>
      </c>
      <c r="I87">
        <v>0</v>
      </c>
      <c r="J87">
        <v>74</v>
      </c>
      <c r="K87">
        <v>96950990.572559372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1100</v>
      </c>
      <c r="E89">
        <v>292075883.74628812</v>
      </c>
      <c r="F89">
        <v>400</v>
      </c>
      <c r="G89">
        <v>116363600</v>
      </c>
      <c r="H89">
        <v>266</v>
      </c>
      <c r="I89">
        <v>77572730</v>
      </c>
      <c r="J89">
        <v>1234</v>
      </c>
      <c r="K89">
        <v>330866753.74628812</v>
      </c>
    </row>
    <row r="90" spans="1:11" x14ac:dyDescent="0.25">
      <c r="A90">
        <v>89</v>
      </c>
      <c r="B90" t="s">
        <v>187</v>
      </c>
      <c r="C90" t="s">
        <v>188</v>
      </c>
      <c r="D90">
        <v>167</v>
      </c>
      <c r="E90">
        <v>156935482.34957021</v>
      </c>
      <c r="F90">
        <v>20</v>
      </c>
      <c r="G90">
        <v>10727280</v>
      </c>
      <c r="H90">
        <v>6</v>
      </c>
      <c r="I90">
        <v>5536362</v>
      </c>
      <c r="J90">
        <v>181</v>
      </c>
      <c r="K90">
        <v>162126400.34957021</v>
      </c>
    </row>
    <row r="91" spans="1:11" x14ac:dyDescent="0.25">
      <c r="A91">
        <v>90</v>
      </c>
      <c r="B91" t="s">
        <v>189</v>
      </c>
      <c r="C91" t="s">
        <v>190</v>
      </c>
      <c r="D91">
        <v>52</v>
      </c>
      <c r="E91">
        <v>71785050.992395431</v>
      </c>
      <c r="F91">
        <v>6</v>
      </c>
      <c r="G91">
        <v>5218180</v>
      </c>
      <c r="H91">
        <v>2</v>
      </c>
      <c r="I91">
        <v>3309091</v>
      </c>
      <c r="J91">
        <v>56</v>
      </c>
      <c r="K91">
        <v>73694139.992395431</v>
      </c>
    </row>
    <row r="92" spans="1:11" x14ac:dyDescent="0.25">
      <c r="A92">
        <v>91</v>
      </c>
      <c r="B92" t="s">
        <v>191</v>
      </c>
      <c r="C92" t="s">
        <v>192</v>
      </c>
      <c r="D92">
        <v>175</v>
      </c>
      <c r="E92">
        <v>100063216.1280788</v>
      </c>
      <c r="F92">
        <v>0</v>
      </c>
      <c r="G92">
        <v>0</v>
      </c>
      <c r="H92">
        <v>10</v>
      </c>
      <c r="I92">
        <v>8472728</v>
      </c>
      <c r="J92">
        <v>165</v>
      </c>
      <c r="K92">
        <v>91590488.128078818</v>
      </c>
    </row>
    <row r="93" spans="1:11" x14ac:dyDescent="0.25">
      <c r="A93">
        <v>92</v>
      </c>
      <c r="B93" t="s">
        <v>193</v>
      </c>
      <c r="C93" t="s">
        <v>194</v>
      </c>
      <c r="D93">
        <v>67</v>
      </c>
      <c r="E93">
        <v>104257692.4325581</v>
      </c>
      <c r="F93">
        <v>0</v>
      </c>
      <c r="G93">
        <v>0</v>
      </c>
      <c r="H93">
        <v>3</v>
      </c>
      <c r="I93">
        <v>5954546</v>
      </c>
      <c r="J93">
        <v>64</v>
      </c>
      <c r="K93">
        <v>98303146.432558149</v>
      </c>
    </row>
    <row r="94" spans="1:11" x14ac:dyDescent="0.25">
      <c r="A94">
        <v>93</v>
      </c>
      <c r="B94" t="s">
        <v>195</v>
      </c>
      <c r="C94" t="s">
        <v>196</v>
      </c>
      <c r="D94">
        <v>321</v>
      </c>
      <c r="E94">
        <v>132101605.6155607</v>
      </c>
      <c r="F94">
        <v>0</v>
      </c>
      <c r="G94">
        <v>0</v>
      </c>
      <c r="H94">
        <v>26</v>
      </c>
      <c r="I94">
        <v>6731818</v>
      </c>
      <c r="J94">
        <v>295</v>
      </c>
      <c r="K94">
        <v>125369787.6155607</v>
      </c>
    </row>
    <row r="95" spans="1:11" x14ac:dyDescent="0.25">
      <c r="A95">
        <v>94</v>
      </c>
      <c r="B95" t="s">
        <v>197</v>
      </c>
      <c r="C95" t="s">
        <v>198</v>
      </c>
      <c r="D95">
        <v>18</v>
      </c>
      <c r="E95">
        <v>2273726.8672566381</v>
      </c>
      <c r="F95">
        <v>0</v>
      </c>
      <c r="G95">
        <v>0</v>
      </c>
      <c r="H95">
        <v>0</v>
      </c>
      <c r="I95">
        <v>0</v>
      </c>
      <c r="J95">
        <v>18</v>
      </c>
      <c r="K95">
        <v>2273726.8672566381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799</v>
      </c>
      <c r="E97">
        <v>126076984.4361957</v>
      </c>
      <c r="F97">
        <v>115</v>
      </c>
      <c r="G97">
        <v>8231818</v>
      </c>
      <c r="H97">
        <v>0</v>
      </c>
      <c r="I97">
        <v>0</v>
      </c>
      <c r="J97">
        <v>914</v>
      </c>
      <c r="K97">
        <v>134308802.4361957</v>
      </c>
    </row>
    <row r="98" spans="1:11" x14ac:dyDescent="0.25">
      <c r="A98">
        <v>97</v>
      </c>
      <c r="B98" t="s">
        <v>203</v>
      </c>
      <c r="C98" t="s">
        <v>204</v>
      </c>
      <c r="D98">
        <v>438</v>
      </c>
      <c r="E98">
        <v>89368940.620727673</v>
      </c>
      <c r="F98">
        <v>0</v>
      </c>
      <c r="G98">
        <v>0</v>
      </c>
      <c r="H98">
        <v>8</v>
      </c>
      <c r="I98">
        <v>3036366</v>
      </c>
      <c r="J98">
        <v>430</v>
      </c>
      <c r="K98">
        <v>86332574.620727673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113</v>
      </c>
      <c r="E102">
        <v>95482507.669291347</v>
      </c>
      <c r="F102">
        <v>0</v>
      </c>
      <c r="G102">
        <v>0</v>
      </c>
      <c r="H102">
        <v>0</v>
      </c>
      <c r="I102">
        <v>0</v>
      </c>
      <c r="J102">
        <v>113</v>
      </c>
      <c r="K102">
        <v>95482507.669291347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0</v>
      </c>
      <c r="E103">
        <v>0</v>
      </c>
      <c r="F103">
        <v>2</v>
      </c>
      <c r="G103">
        <v>2809091</v>
      </c>
      <c r="H103">
        <v>1</v>
      </c>
      <c r="I103">
        <v>1363636</v>
      </c>
      <c r="J103">
        <v>1</v>
      </c>
      <c r="K103">
        <v>1445455</v>
      </c>
    </row>
    <row r="104" spans="1:11" x14ac:dyDescent="0.25">
      <c r="A104">
        <v>103</v>
      </c>
      <c r="B104" t="s">
        <v>215</v>
      </c>
      <c r="C104" t="s">
        <v>216</v>
      </c>
      <c r="D104">
        <v>1386</v>
      </c>
      <c r="E104">
        <v>191869541.46378449</v>
      </c>
      <c r="F104">
        <v>325</v>
      </c>
      <c r="G104">
        <v>21649954</v>
      </c>
      <c r="H104">
        <v>43</v>
      </c>
      <c r="I104">
        <v>5986364</v>
      </c>
      <c r="J104">
        <v>1668</v>
      </c>
      <c r="K104">
        <v>207533131.46378449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156</v>
      </c>
      <c r="E105">
        <v>57768988.992982447</v>
      </c>
      <c r="F105">
        <v>0</v>
      </c>
      <c r="G105">
        <v>0</v>
      </c>
      <c r="H105">
        <v>0</v>
      </c>
      <c r="I105">
        <v>0</v>
      </c>
      <c r="J105">
        <v>156</v>
      </c>
      <c r="K105">
        <v>57768988.992982447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1839</v>
      </c>
      <c r="E106">
        <v>212936443.69023031</v>
      </c>
      <c r="F106">
        <v>315</v>
      </c>
      <c r="G106">
        <v>32931818</v>
      </c>
      <c r="H106">
        <v>55</v>
      </c>
      <c r="I106">
        <v>7481818</v>
      </c>
      <c r="J106">
        <v>2099</v>
      </c>
      <c r="K106">
        <v>238386443.69023031</v>
      </c>
    </row>
    <row r="107" spans="1:11" x14ac:dyDescent="0.25">
      <c r="A107">
        <v>106</v>
      </c>
      <c r="B107" t="s">
        <v>221</v>
      </c>
      <c r="C107" t="s">
        <v>222</v>
      </c>
      <c r="D107">
        <v>976</v>
      </c>
      <c r="E107">
        <v>148858417.3291294</v>
      </c>
      <c r="F107">
        <v>100</v>
      </c>
      <c r="G107">
        <v>11454500</v>
      </c>
      <c r="H107">
        <v>20</v>
      </c>
      <c r="I107">
        <v>2918181</v>
      </c>
      <c r="J107">
        <v>1056</v>
      </c>
      <c r="K107">
        <v>157394736.3291294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237</v>
      </c>
      <c r="E109">
        <v>70273782.850046858</v>
      </c>
      <c r="F109">
        <v>5</v>
      </c>
      <c r="G109">
        <v>1610000</v>
      </c>
      <c r="H109">
        <v>4</v>
      </c>
      <c r="I109">
        <v>800000</v>
      </c>
      <c r="J109">
        <v>238</v>
      </c>
      <c r="K109">
        <v>71083782.850046858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250</v>
      </c>
      <c r="E110">
        <v>86243828.166189104</v>
      </c>
      <c r="F110">
        <v>51</v>
      </c>
      <c r="G110">
        <v>16944544</v>
      </c>
      <c r="H110">
        <v>5</v>
      </c>
      <c r="I110">
        <v>2399999</v>
      </c>
      <c r="J110">
        <v>296</v>
      </c>
      <c r="K110">
        <v>100788373.1661891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105</v>
      </c>
      <c r="E112">
        <v>53825066.259079903</v>
      </c>
      <c r="F112">
        <v>0</v>
      </c>
      <c r="G112">
        <v>0</v>
      </c>
      <c r="H112">
        <v>2</v>
      </c>
      <c r="I112">
        <v>690910</v>
      </c>
      <c r="J112">
        <v>103</v>
      </c>
      <c r="K112">
        <v>53134156.259079903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698</v>
      </c>
      <c r="E113">
        <v>214083945.390264</v>
      </c>
      <c r="F113">
        <v>68</v>
      </c>
      <c r="G113">
        <v>20459097</v>
      </c>
      <c r="H113">
        <v>3</v>
      </c>
      <c r="I113">
        <v>2263636</v>
      </c>
      <c r="J113">
        <v>763</v>
      </c>
      <c r="K113">
        <v>232279406.390264</v>
      </c>
    </row>
    <row r="114" spans="1:11" x14ac:dyDescent="0.25">
      <c r="A114">
        <v>113</v>
      </c>
      <c r="B114" t="s">
        <v>235</v>
      </c>
      <c r="C114" t="s">
        <v>236</v>
      </c>
      <c r="D114">
        <v>19</v>
      </c>
      <c r="E114">
        <v>12900149.620689649</v>
      </c>
      <c r="F114">
        <v>7</v>
      </c>
      <c r="G114">
        <v>2590909</v>
      </c>
      <c r="H114">
        <v>0</v>
      </c>
      <c r="I114">
        <v>0</v>
      </c>
      <c r="J114">
        <v>26</v>
      </c>
      <c r="K114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10</v>
      </c>
      <c r="E122">
        <v>3490909</v>
      </c>
      <c r="F122">
        <v>0</v>
      </c>
      <c r="G122">
        <v>0</v>
      </c>
      <c r="H122">
        <v>2</v>
      </c>
      <c r="I122">
        <v>1636364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178</v>
      </c>
      <c r="E123">
        <v>67798657.616306961</v>
      </c>
      <c r="F123">
        <v>30</v>
      </c>
      <c r="G123">
        <v>10636364</v>
      </c>
      <c r="H123">
        <v>0</v>
      </c>
      <c r="I123">
        <v>0</v>
      </c>
      <c r="J123">
        <v>208</v>
      </c>
      <c r="K123">
        <v>78435021.616306961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44</v>
      </c>
      <c r="E124">
        <v>23999788.84722222</v>
      </c>
      <c r="F124">
        <v>5</v>
      </c>
      <c r="G124">
        <v>2590909</v>
      </c>
      <c r="H124">
        <v>0</v>
      </c>
      <c r="I124">
        <v>0</v>
      </c>
      <c r="J124">
        <v>49</v>
      </c>
      <c r="K124">
        <v>26590697.84722222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395</v>
      </c>
      <c r="E126">
        <v>227085380.2321918</v>
      </c>
      <c r="F126">
        <v>25</v>
      </c>
      <c r="G126">
        <v>16826982</v>
      </c>
      <c r="H126">
        <v>12</v>
      </c>
      <c r="I126">
        <v>9690910</v>
      </c>
      <c r="J126">
        <v>408</v>
      </c>
      <c r="K126">
        <v>234221452.2321918</v>
      </c>
    </row>
    <row r="127" spans="1:11" x14ac:dyDescent="0.25">
      <c r="A127">
        <v>126</v>
      </c>
      <c r="B127" t="s">
        <v>261</v>
      </c>
      <c r="C127" t="s">
        <v>262</v>
      </c>
      <c r="D127">
        <v>4</v>
      </c>
      <c r="E127">
        <v>2570965.1428571432</v>
      </c>
      <c r="F127">
        <v>3</v>
      </c>
      <c r="G127">
        <v>1913868</v>
      </c>
      <c r="H127">
        <v>2</v>
      </c>
      <c r="I127">
        <v>2513636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15</v>
      </c>
      <c r="E129">
        <v>31699616.75</v>
      </c>
      <c r="F129">
        <v>0</v>
      </c>
      <c r="G129">
        <v>0</v>
      </c>
      <c r="H129">
        <v>1</v>
      </c>
      <c r="I129">
        <v>1545455</v>
      </c>
      <c r="J129">
        <v>14</v>
      </c>
      <c r="K129">
        <v>30154161.75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569</v>
      </c>
      <c r="E131">
        <v>162987603.5194805</v>
      </c>
      <c r="F131">
        <v>1</v>
      </c>
      <c r="G131">
        <v>68182</v>
      </c>
      <c r="H131">
        <v>5</v>
      </c>
      <c r="I131">
        <v>3736363</v>
      </c>
      <c r="J131">
        <v>565</v>
      </c>
      <c r="K131">
        <v>159319422.5194805</v>
      </c>
    </row>
    <row r="132" spans="1:11" x14ac:dyDescent="0.25">
      <c r="A132">
        <v>131</v>
      </c>
      <c r="B132" t="s">
        <v>271</v>
      </c>
      <c r="C132" t="s">
        <v>272</v>
      </c>
      <c r="D132">
        <v>120</v>
      </c>
      <c r="E132">
        <v>25118501.7489301</v>
      </c>
      <c r="F132">
        <v>0</v>
      </c>
      <c r="G132">
        <v>0</v>
      </c>
      <c r="H132">
        <v>1</v>
      </c>
      <c r="I132">
        <v>200000</v>
      </c>
      <c r="J132">
        <v>119</v>
      </c>
      <c r="K132">
        <v>24918501.7489301</v>
      </c>
    </row>
    <row r="133" spans="1:11" x14ac:dyDescent="0.25">
      <c r="A133">
        <v>132</v>
      </c>
      <c r="B133" t="s">
        <v>273</v>
      </c>
      <c r="C133" t="s">
        <v>274</v>
      </c>
      <c r="D133">
        <v>262</v>
      </c>
      <c r="E133">
        <v>64410568.769411772</v>
      </c>
      <c r="F133">
        <v>24</v>
      </c>
      <c r="G133">
        <v>29688181</v>
      </c>
      <c r="H133">
        <v>1</v>
      </c>
      <c r="I133">
        <v>245455</v>
      </c>
      <c r="J133">
        <v>285</v>
      </c>
      <c r="K133">
        <v>93853294.769411772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78</v>
      </c>
      <c r="E134">
        <v>29891598.08433735</v>
      </c>
      <c r="F134">
        <v>4</v>
      </c>
      <c r="G134">
        <v>1018182</v>
      </c>
      <c r="H134">
        <v>3</v>
      </c>
      <c r="I134">
        <v>1145454</v>
      </c>
      <c r="J134">
        <v>79</v>
      </c>
      <c r="K134">
        <v>29764326.08433735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21518658.860465121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21518658.860465121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25809354.838709679</v>
      </c>
      <c r="F141">
        <v>1</v>
      </c>
      <c r="G141">
        <v>2600000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143</v>
      </c>
      <c r="E143">
        <v>64296168.115942031</v>
      </c>
      <c r="F143">
        <v>1</v>
      </c>
      <c r="G143">
        <v>185000</v>
      </c>
      <c r="H143">
        <v>0</v>
      </c>
      <c r="I143">
        <v>0</v>
      </c>
      <c r="J143">
        <v>144</v>
      </c>
      <c r="K143">
        <v>64481168.115942031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445955.15151515149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936.74</v>
      </c>
      <c r="E146">
        <v>505560831.74000001</v>
      </c>
      <c r="F146">
        <v>224</v>
      </c>
      <c r="G146">
        <v>211606034.81999999</v>
      </c>
      <c r="H146">
        <v>79</v>
      </c>
      <c r="I146">
        <v>190899059</v>
      </c>
      <c r="J146">
        <v>1081.74</v>
      </c>
      <c r="K146">
        <v>526267807.55999988</v>
      </c>
    </row>
    <row r="147" spans="1:11" x14ac:dyDescent="0.25">
      <c r="A147" t="s">
        <v>301</v>
      </c>
      <c r="D147">
        <v>22467.74</v>
      </c>
      <c r="E147">
        <v>21004241232.40044</v>
      </c>
      <c r="F147">
        <v>2093</v>
      </c>
      <c r="G147">
        <v>1552056811.8199999</v>
      </c>
      <c r="H147">
        <v>854</v>
      </c>
      <c r="I147">
        <v>1281113807</v>
      </c>
      <c r="J147">
        <v>23706.74</v>
      </c>
      <c r="K147">
        <v>21275184237.22044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21</v>
      </c>
      <c r="E3">
        <v>179784265</v>
      </c>
      <c r="F3">
        <v>1</v>
      </c>
      <c r="G3">
        <v>14181818</v>
      </c>
      <c r="H3">
        <v>6</v>
      </c>
      <c r="I3">
        <v>71954546</v>
      </c>
      <c r="J3">
        <v>16</v>
      </c>
      <c r="K3">
        <v>122011537</v>
      </c>
    </row>
    <row r="4" spans="1:11" x14ac:dyDescent="0.25">
      <c r="A4">
        <v>3</v>
      </c>
      <c r="B4" t="s">
        <v>15</v>
      </c>
      <c r="C4" t="s">
        <v>16</v>
      </c>
      <c r="D4">
        <v>181</v>
      </c>
      <c r="E4">
        <v>2330063780.201292</v>
      </c>
      <c r="F4">
        <v>0</v>
      </c>
      <c r="G4">
        <v>0</v>
      </c>
      <c r="H4">
        <v>21</v>
      </c>
      <c r="I4">
        <v>274909091</v>
      </c>
      <c r="J4">
        <v>160</v>
      </c>
      <c r="K4">
        <v>2055154689.201292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14</v>
      </c>
      <c r="E6">
        <v>167148168.1785714</v>
      </c>
      <c r="F6">
        <v>0</v>
      </c>
      <c r="G6">
        <v>0</v>
      </c>
      <c r="H6">
        <v>0</v>
      </c>
      <c r="I6">
        <v>0</v>
      </c>
      <c r="J6">
        <v>14</v>
      </c>
      <c r="K6">
        <v>167148168.1785714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0</v>
      </c>
      <c r="I8">
        <v>0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30972636.449999999</v>
      </c>
      <c r="F9">
        <v>0</v>
      </c>
      <c r="G9">
        <v>0</v>
      </c>
      <c r="H9">
        <v>0</v>
      </c>
      <c r="I9">
        <v>0</v>
      </c>
      <c r="J9">
        <v>10</v>
      </c>
      <c r="K9">
        <v>30972636.449999999</v>
      </c>
    </row>
    <row r="10" spans="1:11" x14ac:dyDescent="0.25">
      <c r="A10">
        <v>9</v>
      </c>
      <c r="B10" t="s">
        <v>27</v>
      </c>
      <c r="C10" t="s">
        <v>28</v>
      </c>
      <c r="D10">
        <v>194</v>
      </c>
      <c r="E10">
        <v>790310950.5951941</v>
      </c>
      <c r="F10">
        <v>0</v>
      </c>
      <c r="G10">
        <v>0</v>
      </c>
      <c r="H10">
        <v>0</v>
      </c>
      <c r="I10">
        <v>0</v>
      </c>
      <c r="J10">
        <v>194</v>
      </c>
      <c r="K10">
        <v>790310950.5951941</v>
      </c>
    </row>
    <row r="11" spans="1:11" x14ac:dyDescent="0.25">
      <c r="A11">
        <v>10</v>
      </c>
      <c r="B11" t="s">
        <v>29</v>
      </c>
      <c r="C11" t="s">
        <v>30</v>
      </c>
      <c r="D11">
        <v>8</v>
      </c>
      <c r="E11">
        <v>63234373.25</v>
      </c>
      <c r="F11">
        <v>0</v>
      </c>
      <c r="G11">
        <v>0</v>
      </c>
      <c r="H11">
        <v>0</v>
      </c>
      <c r="I11">
        <v>0</v>
      </c>
      <c r="J11">
        <v>8</v>
      </c>
      <c r="K11">
        <v>63234373.25</v>
      </c>
    </row>
    <row r="12" spans="1:11" x14ac:dyDescent="0.25">
      <c r="A12">
        <v>11</v>
      </c>
      <c r="B12" t="s">
        <v>31</v>
      </c>
      <c r="C12" t="s">
        <v>32</v>
      </c>
      <c r="D12">
        <v>220</v>
      </c>
      <c r="E12">
        <v>2789415042.2191219</v>
      </c>
      <c r="F12">
        <v>10</v>
      </c>
      <c r="G12">
        <v>106300000</v>
      </c>
      <c r="H12">
        <v>0</v>
      </c>
      <c r="I12">
        <v>0</v>
      </c>
      <c r="J12">
        <v>230</v>
      </c>
      <c r="K12">
        <v>2895715042.2191219</v>
      </c>
    </row>
    <row r="13" spans="1:11" x14ac:dyDescent="0.25">
      <c r="A13">
        <v>12</v>
      </c>
      <c r="B13" t="s">
        <v>33</v>
      </c>
      <c r="C13" t="s">
        <v>34</v>
      </c>
      <c r="D13">
        <v>27</v>
      </c>
      <c r="E13">
        <v>439007867.76923078</v>
      </c>
      <c r="F13">
        <v>2</v>
      </c>
      <c r="G13">
        <v>32709090</v>
      </c>
      <c r="H13">
        <v>0</v>
      </c>
      <c r="I13">
        <v>0</v>
      </c>
      <c r="J13">
        <v>29</v>
      </c>
      <c r="K13">
        <v>471716957.76923078</v>
      </c>
    </row>
    <row r="14" spans="1:11" x14ac:dyDescent="0.25">
      <c r="A14">
        <v>13</v>
      </c>
      <c r="B14" t="s">
        <v>35</v>
      </c>
      <c r="C14" t="s">
        <v>36</v>
      </c>
      <c r="D14">
        <v>23</v>
      </c>
      <c r="E14">
        <v>405111678.28947371</v>
      </c>
      <c r="F14">
        <v>1</v>
      </c>
      <c r="G14">
        <v>15127273</v>
      </c>
      <c r="H14">
        <v>2</v>
      </c>
      <c r="I14">
        <v>35954546</v>
      </c>
      <c r="J14">
        <v>22</v>
      </c>
      <c r="K14">
        <v>384284405.28947371</v>
      </c>
    </row>
    <row r="15" spans="1:11" x14ac:dyDescent="0.25">
      <c r="A15">
        <v>14</v>
      </c>
      <c r="B15" t="s">
        <v>37</v>
      </c>
      <c r="C15" t="s">
        <v>38</v>
      </c>
      <c r="D15">
        <v>29</v>
      </c>
      <c r="E15">
        <v>311356860.93430662</v>
      </c>
      <c r="F15">
        <v>0</v>
      </c>
      <c r="G15">
        <v>0</v>
      </c>
      <c r="H15">
        <v>2</v>
      </c>
      <c r="I15">
        <v>21909090</v>
      </c>
      <c r="J15">
        <v>27</v>
      </c>
      <c r="K15">
        <v>289447770.93430662</v>
      </c>
    </row>
    <row r="16" spans="1:11" x14ac:dyDescent="0.25">
      <c r="A16">
        <v>15</v>
      </c>
      <c r="B16" t="s">
        <v>39</v>
      </c>
      <c r="C16" t="s">
        <v>40</v>
      </c>
      <c r="D16">
        <v>15</v>
      </c>
      <c r="E16">
        <v>209948623.10447761</v>
      </c>
      <c r="F16">
        <v>1</v>
      </c>
      <c r="G16">
        <v>17818182</v>
      </c>
      <c r="H16">
        <v>3</v>
      </c>
      <c r="I16">
        <v>48631818</v>
      </c>
      <c r="J16">
        <v>13</v>
      </c>
      <c r="K16">
        <v>179134987.10447761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178</v>
      </c>
      <c r="E24">
        <v>1307272921.5497241</v>
      </c>
      <c r="F24">
        <v>0</v>
      </c>
      <c r="G24">
        <v>0</v>
      </c>
      <c r="H24">
        <v>6</v>
      </c>
      <c r="I24">
        <v>72090908</v>
      </c>
      <c r="J24">
        <v>172</v>
      </c>
      <c r="K24">
        <v>1235182013.5497241</v>
      </c>
    </row>
    <row r="25" spans="1:11" x14ac:dyDescent="0.25">
      <c r="A25">
        <v>24</v>
      </c>
      <c r="B25" t="s">
        <v>57</v>
      </c>
      <c r="C25" t="s">
        <v>58</v>
      </c>
      <c r="D25">
        <v>297</v>
      </c>
      <c r="E25">
        <v>2223506166.361217</v>
      </c>
      <c r="F25">
        <v>6</v>
      </c>
      <c r="G25">
        <v>68190000</v>
      </c>
      <c r="H25">
        <v>14</v>
      </c>
      <c r="I25">
        <v>125127273</v>
      </c>
      <c r="J25">
        <v>289</v>
      </c>
      <c r="K25">
        <v>2166568893.361217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95851958.307692319</v>
      </c>
      <c r="F30">
        <v>0</v>
      </c>
      <c r="G30">
        <v>0</v>
      </c>
      <c r="H30">
        <v>0</v>
      </c>
      <c r="I30">
        <v>0</v>
      </c>
      <c r="J30">
        <v>7</v>
      </c>
      <c r="K30">
        <v>95851958.307692319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1</v>
      </c>
      <c r="G31">
        <v>6318182</v>
      </c>
      <c r="H31">
        <v>1</v>
      </c>
      <c r="I31">
        <v>10778182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30018349.5</v>
      </c>
      <c r="F33">
        <v>0</v>
      </c>
      <c r="G33">
        <v>0</v>
      </c>
      <c r="H33">
        <v>0</v>
      </c>
      <c r="I33">
        <v>0</v>
      </c>
      <c r="J33">
        <v>6</v>
      </c>
      <c r="K33">
        <v>30018349.5</v>
      </c>
    </row>
    <row r="34" spans="1:11" x14ac:dyDescent="0.25">
      <c r="A34">
        <v>33</v>
      </c>
      <c r="B34" t="s">
        <v>75</v>
      </c>
      <c r="C34" t="s">
        <v>76</v>
      </c>
      <c r="D34">
        <v>48</v>
      </c>
      <c r="E34">
        <v>131104356.18326689</v>
      </c>
      <c r="F34">
        <v>8</v>
      </c>
      <c r="G34">
        <v>29845454</v>
      </c>
      <c r="H34">
        <v>10</v>
      </c>
      <c r="I34">
        <v>47681819</v>
      </c>
      <c r="J34">
        <v>46</v>
      </c>
      <c r="K34">
        <v>113267991.18326689</v>
      </c>
    </row>
    <row r="35" spans="1:11" x14ac:dyDescent="0.25">
      <c r="A35">
        <v>34</v>
      </c>
      <c r="B35" t="s">
        <v>77</v>
      </c>
      <c r="C35" t="s">
        <v>78</v>
      </c>
      <c r="D35">
        <v>436</v>
      </c>
      <c r="E35">
        <v>909722322.55380154</v>
      </c>
      <c r="F35">
        <v>2</v>
      </c>
      <c r="G35">
        <v>4909091</v>
      </c>
      <c r="H35">
        <v>17</v>
      </c>
      <c r="I35">
        <v>46672727</v>
      </c>
      <c r="J35">
        <v>421</v>
      </c>
      <c r="K35">
        <v>867958686.55380154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52640800.021276593</v>
      </c>
      <c r="F36">
        <v>0</v>
      </c>
      <c r="G36">
        <v>0</v>
      </c>
      <c r="H36">
        <v>0</v>
      </c>
      <c r="I36">
        <v>0</v>
      </c>
      <c r="J36">
        <v>15</v>
      </c>
      <c r="K36">
        <v>52640800.021276593</v>
      </c>
    </row>
    <row r="37" spans="1:11" x14ac:dyDescent="0.25">
      <c r="A37">
        <v>36</v>
      </c>
      <c r="B37" t="s">
        <v>81</v>
      </c>
      <c r="C37" t="s">
        <v>82</v>
      </c>
      <c r="D37">
        <v>55</v>
      </c>
      <c r="E37">
        <v>143783106.1964286</v>
      </c>
      <c r="F37">
        <v>0</v>
      </c>
      <c r="G37">
        <v>0</v>
      </c>
      <c r="H37">
        <v>0</v>
      </c>
      <c r="I37">
        <v>0</v>
      </c>
      <c r="J37">
        <v>55</v>
      </c>
      <c r="K37">
        <v>143783106.1964286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4636364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4636364</v>
      </c>
    </row>
    <row r="39" spans="1:11" x14ac:dyDescent="0.25">
      <c r="A39">
        <v>38</v>
      </c>
      <c r="B39" t="s">
        <v>85</v>
      </c>
      <c r="C39" t="s">
        <v>86</v>
      </c>
      <c r="D39">
        <v>96</v>
      </c>
      <c r="E39">
        <v>252593147.38106239</v>
      </c>
      <c r="F39">
        <v>0</v>
      </c>
      <c r="G39">
        <v>0</v>
      </c>
      <c r="H39">
        <v>3</v>
      </c>
      <c r="I39">
        <v>6218182</v>
      </c>
      <c r="J39">
        <v>93</v>
      </c>
      <c r="K39">
        <v>246374965.38106239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871</v>
      </c>
      <c r="E42">
        <v>508133975.43484038</v>
      </c>
      <c r="F42">
        <v>80</v>
      </c>
      <c r="G42">
        <v>111654546</v>
      </c>
      <c r="H42">
        <v>36</v>
      </c>
      <c r="I42">
        <v>99481824</v>
      </c>
      <c r="J42">
        <v>915</v>
      </c>
      <c r="K42">
        <v>520306697.43484038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342</v>
      </c>
      <c r="E44">
        <v>964050560.42474437</v>
      </c>
      <c r="F44">
        <v>1</v>
      </c>
      <c r="G44">
        <v>3418182</v>
      </c>
      <c r="H44">
        <v>7</v>
      </c>
      <c r="I44">
        <v>18090909</v>
      </c>
      <c r="J44">
        <v>336</v>
      </c>
      <c r="K44">
        <v>949377833.42474437</v>
      </c>
    </row>
    <row r="45" spans="1:11" x14ac:dyDescent="0.25">
      <c r="A45">
        <v>44</v>
      </c>
      <c r="B45" t="s">
        <v>97</v>
      </c>
      <c r="C45" t="s">
        <v>98</v>
      </c>
      <c r="D45">
        <v>64</v>
      </c>
      <c r="E45">
        <v>264889163.79297301</v>
      </c>
      <c r="F45">
        <v>0</v>
      </c>
      <c r="G45">
        <v>0</v>
      </c>
      <c r="H45">
        <v>2</v>
      </c>
      <c r="I45">
        <v>8345454</v>
      </c>
      <c r="J45">
        <v>62</v>
      </c>
      <c r="K45">
        <v>256543709.79297301</v>
      </c>
    </row>
    <row r="46" spans="1:11" x14ac:dyDescent="0.25">
      <c r="A46">
        <v>45</v>
      </c>
      <c r="B46" t="s">
        <v>99</v>
      </c>
      <c r="C46" t="s">
        <v>100</v>
      </c>
      <c r="D46">
        <v>218</v>
      </c>
      <c r="E46">
        <v>112414122.6325714</v>
      </c>
      <c r="F46">
        <v>15</v>
      </c>
      <c r="G46">
        <v>1227273</v>
      </c>
      <c r="H46">
        <v>6</v>
      </c>
      <c r="I46">
        <v>681818</v>
      </c>
      <c r="J46">
        <v>227</v>
      </c>
      <c r="K46">
        <v>112959577.6325714</v>
      </c>
    </row>
    <row r="47" spans="1:11" x14ac:dyDescent="0.25">
      <c r="A47">
        <v>46</v>
      </c>
      <c r="B47" t="s">
        <v>101</v>
      </c>
      <c r="C47" t="s">
        <v>102</v>
      </c>
      <c r="D47">
        <v>49</v>
      </c>
      <c r="E47">
        <v>144032416.83567381</v>
      </c>
      <c r="F47">
        <v>13</v>
      </c>
      <c r="G47">
        <v>26555451.82</v>
      </c>
      <c r="H47">
        <v>2</v>
      </c>
      <c r="I47">
        <v>19363636</v>
      </c>
      <c r="J47">
        <v>60</v>
      </c>
      <c r="K47">
        <v>151224232.6556738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>
        <v>269524066.96224141</v>
      </c>
      <c r="F49">
        <v>2</v>
      </c>
      <c r="G49">
        <v>16000000</v>
      </c>
      <c r="H49">
        <v>2</v>
      </c>
      <c r="I49">
        <v>17800000</v>
      </c>
      <c r="J49">
        <v>37</v>
      </c>
      <c r="K49">
        <v>267724066.96224141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6</v>
      </c>
      <c r="E51">
        <v>2116955.1999999988</v>
      </c>
      <c r="F51">
        <v>0</v>
      </c>
      <c r="G51">
        <v>0</v>
      </c>
      <c r="H51">
        <v>0</v>
      </c>
      <c r="I51">
        <v>0</v>
      </c>
      <c r="J51">
        <v>6</v>
      </c>
      <c r="K51">
        <v>2116955.1999999988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101261124.26693881</v>
      </c>
      <c r="F52">
        <v>0</v>
      </c>
      <c r="G52">
        <v>0</v>
      </c>
      <c r="H52">
        <v>0</v>
      </c>
      <c r="I52">
        <v>0</v>
      </c>
      <c r="J52">
        <v>57</v>
      </c>
      <c r="K52">
        <v>101261124.26693881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67</v>
      </c>
      <c r="E55">
        <v>196255299.17270201</v>
      </c>
      <c r="F55">
        <v>10</v>
      </c>
      <c r="G55">
        <v>37591818</v>
      </c>
      <c r="H55">
        <v>20</v>
      </c>
      <c r="I55">
        <v>54409092</v>
      </c>
      <c r="J55">
        <v>57</v>
      </c>
      <c r="K55">
        <v>179438025.17270201</v>
      </c>
    </row>
    <row r="56" spans="1:11" x14ac:dyDescent="0.25">
      <c r="A56">
        <v>55</v>
      </c>
      <c r="B56" t="s">
        <v>119</v>
      </c>
      <c r="C56" t="s">
        <v>120</v>
      </c>
      <c r="D56">
        <v>26</v>
      </c>
      <c r="E56">
        <v>20969644.491525419</v>
      </c>
      <c r="F56">
        <v>4</v>
      </c>
      <c r="G56">
        <v>2587037</v>
      </c>
      <c r="H56">
        <v>3</v>
      </c>
      <c r="I56">
        <v>3287037</v>
      </c>
      <c r="J56">
        <v>27</v>
      </c>
      <c r="K56">
        <v>20269644.491525419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0</v>
      </c>
      <c r="G58">
        <v>0</v>
      </c>
      <c r="H58">
        <v>0</v>
      </c>
      <c r="I58">
        <v>0</v>
      </c>
      <c r="J58">
        <v>2</v>
      </c>
      <c r="K58">
        <v>2181818.1800000002</v>
      </c>
    </row>
    <row r="59" spans="1:11" x14ac:dyDescent="0.25">
      <c r="A59">
        <v>58</v>
      </c>
      <c r="B59" t="s">
        <v>125</v>
      </c>
      <c r="C59" t="s">
        <v>126</v>
      </c>
      <c r="D59">
        <v>3927</v>
      </c>
      <c r="E59">
        <v>409730187.38559759</v>
      </c>
      <c r="F59">
        <v>27</v>
      </c>
      <c r="G59">
        <v>8149818</v>
      </c>
      <c r="H59">
        <v>426</v>
      </c>
      <c r="I59">
        <v>70686365</v>
      </c>
      <c r="J59">
        <v>3528</v>
      </c>
      <c r="K59">
        <v>347193640.38559759</v>
      </c>
    </row>
    <row r="60" spans="1:11" x14ac:dyDescent="0.25">
      <c r="A60">
        <v>59</v>
      </c>
      <c r="B60" t="s">
        <v>127</v>
      </c>
      <c r="C60" t="s">
        <v>128</v>
      </c>
      <c r="D60">
        <v>102</v>
      </c>
      <c r="E60">
        <v>7560274.6822262118</v>
      </c>
      <c r="F60">
        <v>0</v>
      </c>
      <c r="G60">
        <v>0</v>
      </c>
      <c r="H60">
        <v>1</v>
      </c>
      <c r="I60">
        <v>300000</v>
      </c>
      <c r="J60">
        <v>101</v>
      </c>
      <c r="K60">
        <v>7260274.6822262118</v>
      </c>
    </row>
    <row r="61" spans="1:11" x14ac:dyDescent="0.25">
      <c r="A61">
        <v>60</v>
      </c>
      <c r="B61" t="s">
        <v>129</v>
      </c>
      <c r="C61" t="s">
        <v>130</v>
      </c>
      <c r="D61">
        <v>22</v>
      </c>
      <c r="E61">
        <v>2964892.75</v>
      </c>
      <c r="F61">
        <v>0</v>
      </c>
      <c r="G61">
        <v>0</v>
      </c>
      <c r="H61">
        <v>1</v>
      </c>
      <c r="I61">
        <v>863636</v>
      </c>
      <c r="J61">
        <v>21</v>
      </c>
      <c r="K61">
        <v>2101256.75</v>
      </c>
    </row>
    <row r="62" spans="1:11" x14ac:dyDescent="0.25">
      <c r="A62">
        <v>61</v>
      </c>
      <c r="B62" t="s">
        <v>131</v>
      </c>
      <c r="C62" t="s">
        <v>132</v>
      </c>
      <c r="D62">
        <v>1499</v>
      </c>
      <c r="E62">
        <v>287607717.87895793</v>
      </c>
      <c r="F62">
        <v>100</v>
      </c>
      <c r="G62">
        <v>2545455</v>
      </c>
      <c r="H62">
        <v>14</v>
      </c>
      <c r="I62">
        <v>3172727</v>
      </c>
      <c r="J62">
        <v>1585</v>
      </c>
      <c r="K62">
        <v>286980445.87895793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19</v>
      </c>
      <c r="E65">
        <v>12188043.451123601</v>
      </c>
      <c r="F65">
        <v>3</v>
      </c>
      <c r="G65">
        <v>504546</v>
      </c>
      <c r="H65">
        <v>4</v>
      </c>
      <c r="I65">
        <v>2545455</v>
      </c>
      <c r="J65">
        <v>18</v>
      </c>
      <c r="K65">
        <v>10147134.451123601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159</v>
      </c>
      <c r="E70">
        <v>60225946.125112101</v>
      </c>
      <c r="F70">
        <v>0</v>
      </c>
      <c r="G70">
        <v>0</v>
      </c>
      <c r="H70">
        <v>0</v>
      </c>
      <c r="I70">
        <v>0</v>
      </c>
      <c r="J70">
        <v>159</v>
      </c>
      <c r="K70">
        <v>60225946.125112101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89</v>
      </c>
      <c r="E74">
        <v>197226023.07878789</v>
      </c>
      <c r="F74">
        <v>12</v>
      </c>
      <c r="G74">
        <v>29381818</v>
      </c>
      <c r="H74">
        <v>0</v>
      </c>
      <c r="I74">
        <v>0</v>
      </c>
      <c r="J74">
        <v>101</v>
      </c>
      <c r="K74">
        <v>226607841.07878789</v>
      </c>
    </row>
    <row r="75" spans="1:11" x14ac:dyDescent="0.25">
      <c r="A75">
        <v>74</v>
      </c>
      <c r="B75" t="s">
        <v>157</v>
      </c>
      <c r="C75" t="s">
        <v>158</v>
      </c>
      <c r="D75">
        <v>91</v>
      </c>
      <c r="E75">
        <v>289214680.75098813</v>
      </c>
      <c r="F75">
        <v>6</v>
      </c>
      <c r="G75">
        <v>17600001</v>
      </c>
      <c r="H75">
        <v>2</v>
      </c>
      <c r="I75">
        <v>5327273</v>
      </c>
      <c r="J75">
        <v>95</v>
      </c>
      <c r="K75">
        <v>301487408.75098813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116</v>
      </c>
      <c r="E78">
        <v>172762439.59605911</v>
      </c>
      <c r="F78">
        <v>0</v>
      </c>
      <c r="G78">
        <v>0</v>
      </c>
      <c r="H78">
        <v>0</v>
      </c>
      <c r="I78">
        <v>0</v>
      </c>
      <c r="J78">
        <v>116</v>
      </c>
      <c r="K78">
        <v>172762439.59605911</v>
      </c>
    </row>
    <row r="79" spans="1:11" x14ac:dyDescent="0.25">
      <c r="A79">
        <v>78</v>
      </c>
      <c r="B79" t="s">
        <v>165</v>
      </c>
      <c r="C79" t="s">
        <v>166</v>
      </c>
      <c r="D79">
        <v>7</v>
      </c>
      <c r="E79">
        <v>15844568</v>
      </c>
      <c r="F79">
        <v>0</v>
      </c>
      <c r="G79">
        <v>0</v>
      </c>
      <c r="H79">
        <v>0</v>
      </c>
      <c r="I79">
        <v>0</v>
      </c>
      <c r="J79">
        <v>7</v>
      </c>
      <c r="K79">
        <v>15844568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458</v>
      </c>
      <c r="E81">
        <v>121362141.62329011</v>
      </c>
      <c r="F81">
        <v>100</v>
      </c>
      <c r="G81">
        <v>32727300</v>
      </c>
      <c r="H81">
        <v>4</v>
      </c>
      <c r="I81">
        <v>2000000</v>
      </c>
      <c r="J81">
        <v>554</v>
      </c>
      <c r="K81">
        <v>152089441.62329009</v>
      </c>
    </row>
    <row r="82" spans="1:11" x14ac:dyDescent="0.25">
      <c r="A82">
        <v>81</v>
      </c>
      <c r="B82" t="s">
        <v>171</v>
      </c>
      <c r="C82" t="s">
        <v>172</v>
      </c>
      <c r="D82">
        <v>109</v>
      </c>
      <c r="E82">
        <v>77157585.117302045</v>
      </c>
      <c r="F82">
        <v>0</v>
      </c>
      <c r="G82">
        <v>0</v>
      </c>
      <c r="H82">
        <v>1</v>
      </c>
      <c r="I82">
        <v>954546</v>
      </c>
      <c r="J82">
        <v>108</v>
      </c>
      <c r="K82">
        <v>76203039.117302045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25772651.202380959</v>
      </c>
      <c r="F83">
        <v>1</v>
      </c>
      <c r="G83">
        <v>5181818</v>
      </c>
      <c r="H83">
        <v>1</v>
      </c>
      <c r="I83">
        <v>6354546</v>
      </c>
      <c r="J83">
        <v>26</v>
      </c>
      <c r="K83">
        <v>24599923.202380959</v>
      </c>
    </row>
    <row r="84" spans="1:11" x14ac:dyDescent="0.25">
      <c r="A84">
        <v>83</v>
      </c>
      <c r="B84" t="s">
        <v>175</v>
      </c>
      <c r="C84" t="s">
        <v>176</v>
      </c>
      <c r="D84">
        <v>21</v>
      </c>
      <c r="E84">
        <v>50875725.200000003</v>
      </c>
      <c r="F84">
        <v>0</v>
      </c>
      <c r="G84">
        <v>0</v>
      </c>
      <c r="H84">
        <v>0</v>
      </c>
      <c r="I84">
        <v>0</v>
      </c>
      <c r="J84">
        <v>21</v>
      </c>
      <c r="K84">
        <v>50875725.200000003</v>
      </c>
    </row>
    <row r="85" spans="1:11" x14ac:dyDescent="0.25">
      <c r="A85">
        <v>84</v>
      </c>
      <c r="B85" t="s">
        <v>177</v>
      </c>
      <c r="C85" t="s">
        <v>178</v>
      </c>
      <c r="D85">
        <v>4</v>
      </c>
      <c r="E85">
        <v>20523710.483870968</v>
      </c>
      <c r="F85">
        <v>1</v>
      </c>
      <c r="G85">
        <v>6463636</v>
      </c>
      <c r="H85">
        <v>0</v>
      </c>
      <c r="I85">
        <v>0</v>
      </c>
      <c r="J85">
        <v>5</v>
      </c>
      <c r="K85">
        <v>26987346.483870968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12993129.16</v>
      </c>
      <c r="F86">
        <v>1</v>
      </c>
      <c r="G86">
        <v>16179090</v>
      </c>
      <c r="H86">
        <v>1</v>
      </c>
      <c r="I86">
        <v>17172727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74</v>
      </c>
      <c r="E87">
        <v>96950990.572559372</v>
      </c>
      <c r="F87">
        <v>6</v>
      </c>
      <c r="G87">
        <v>5372727</v>
      </c>
      <c r="H87">
        <v>3</v>
      </c>
      <c r="I87">
        <v>2809091</v>
      </c>
      <c r="J87">
        <v>77</v>
      </c>
      <c r="K87">
        <v>99514626.572559372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1234</v>
      </c>
      <c r="E89">
        <v>330866753.74628812</v>
      </c>
      <c r="F89">
        <v>0</v>
      </c>
      <c r="G89">
        <v>0</v>
      </c>
      <c r="H89">
        <v>16</v>
      </c>
      <c r="I89">
        <v>7972727</v>
      </c>
      <c r="J89">
        <v>1218</v>
      </c>
      <c r="K89">
        <v>322894026.74628812</v>
      </c>
    </row>
    <row r="90" spans="1:11" x14ac:dyDescent="0.25">
      <c r="A90">
        <v>89</v>
      </c>
      <c r="B90" t="s">
        <v>187</v>
      </c>
      <c r="C90" t="s">
        <v>188</v>
      </c>
      <c r="D90">
        <v>181</v>
      </c>
      <c r="E90">
        <v>162126400.34957021</v>
      </c>
      <c r="F90">
        <v>2</v>
      </c>
      <c r="G90">
        <v>1890909</v>
      </c>
      <c r="H90">
        <v>2</v>
      </c>
      <c r="I90">
        <v>1790910</v>
      </c>
      <c r="J90">
        <v>181</v>
      </c>
      <c r="K90">
        <v>162226399.34957021</v>
      </c>
    </row>
    <row r="91" spans="1:11" x14ac:dyDescent="0.25">
      <c r="A91">
        <v>90</v>
      </c>
      <c r="B91" t="s">
        <v>189</v>
      </c>
      <c r="C91" t="s">
        <v>190</v>
      </c>
      <c r="D91">
        <v>56</v>
      </c>
      <c r="E91">
        <v>73694139.992395431</v>
      </c>
      <c r="F91">
        <v>3</v>
      </c>
      <c r="G91">
        <v>5345455</v>
      </c>
      <c r="H91">
        <v>3</v>
      </c>
      <c r="I91">
        <v>5590909</v>
      </c>
      <c r="J91">
        <v>56</v>
      </c>
      <c r="K91">
        <v>73448685.992395431</v>
      </c>
    </row>
    <row r="92" spans="1:11" x14ac:dyDescent="0.25">
      <c r="A92">
        <v>91</v>
      </c>
      <c r="B92" t="s">
        <v>191</v>
      </c>
      <c r="C92" t="s">
        <v>192</v>
      </c>
      <c r="D92">
        <v>165</v>
      </c>
      <c r="E92">
        <v>91590488.128078818</v>
      </c>
      <c r="F92">
        <v>10</v>
      </c>
      <c r="G92">
        <v>7186364</v>
      </c>
      <c r="H92">
        <v>8</v>
      </c>
      <c r="I92">
        <v>8681819</v>
      </c>
      <c r="J92">
        <v>167</v>
      </c>
      <c r="K92">
        <v>90095033.128078818</v>
      </c>
    </row>
    <row r="93" spans="1:11" x14ac:dyDescent="0.25">
      <c r="A93">
        <v>92</v>
      </c>
      <c r="B93" t="s">
        <v>193</v>
      </c>
      <c r="C93" t="s">
        <v>194</v>
      </c>
      <c r="D93">
        <v>64</v>
      </c>
      <c r="E93">
        <v>98303146.432558149</v>
      </c>
      <c r="F93">
        <v>4</v>
      </c>
      <c r="G93">
        <v>7309091</v>
      </c>
      <c r="H93">
        <v>4</v>
      </c>
      <c r="I93">
        <v>7400000</v>
      </c>
      <c r="J93">
        <v>64</v>
      </c>
      <c r="K93">
        <v>98212237.432558149</v>
      </c>
    </row>
    <row r="94" spans="1:11" x14ac:dyDescent="0.25">
      <c r="A94">
        <v>93</v>
      </c>
      <c r="B94" t="s">
        <v>195</v>
      </c>
      <c r="C94" t="s">
        <v>196</v>
      </c>
      <c r="D94">
        <v>295</v>
      </c>
      <c r="E94">
        <v>125369787.6155607</v>
      </c>
      <c r="F94">
        <v>50</v>
      </c>
      <c r="G94">
        <v>3863636</v>
      </c>
      <c r="H94">
        <v>7</v>
      </c>
      <c r="I94">
        <v>8609090</v>
      </c>
      <c r="J94">
        <v>338</v>
      </c>
      <c r="K94">
        <v>120624333.6155607</v>
      </c>
    </row>
    <row r="95" spans="1:11" x14ac:dyDescent="0.25">
      <c r="A95">
        <v>94</v>
      </c>
      <c r="B95" t="s">
        <v>197</v>
      </c>
      <c r="C95" t="s">
        <v>198</v>
      </c>
      <c r="D95">
        <v>18</v>
      </c>
      <c r="E95">
        <v>2273726.8672566381</v>
      </c>
      <c r="F95">
        <v>0</v>
      </c>
      <c r="G95">
        <v>0</v>
      </c>
      <c r="H95">
        <v>0</v>
      </c>
      <c r="I95">
        <v>0</v>
      </c>
      <c r="J95">
        <v>18</v>
      </c>
      <c r="K95">
        <v>2273726.8672566381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914</v>
      </c>
      <c r="E97">
        <v>134308802.4361957</v>
      </c>
      <c r="F97">
        <v>117</v>
      </c>
      <c r="G97">
        <v>9051819</v>
      </c>
      <c r="H97">
        <v>163</v>
      </c>
      <c r="I97">
        <v>50890909</v>
      </c>
      <c r="J97">
        <v>868</v>
      </c>
      <c r="K97">
        <v>92469712.436195672</v>
      </c>
    </row>
    <row r="98" spans="1:11" x14ac:dyDescent="0.25">
      <c r="A98">
        <v>97</v>
      </c>
      <c r="B98" t="s">
        <v>203</v>
      </c>
      <c r="C98" t="s">
        <v>204</v>
      </c>
      <c r="D98">
        <v>430</v>
      </c>
      <c r="E98">
        <v>86332574.620727673</v>
      </c>
      <c r="F98">
        <v>11</v>
      </c>
      <c r="G98">
        <v>3618182</v>
      </c>
      <c r="H98">
        <v>3</v>
      </c>
      <c r="I98">
        <v>2309091</v>
      </c>
      <c r="J98">
        <v>438</v>
      </c>
      <c r="K98">
        <v>87641665.620727673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113</v>
      </c>
      <c r="E102">
        <v>95482507.669291347</v>
      </c>
      <c r="F102">
        <v>0</v>
      </c>
      <c r="G102">
        <v>0</v>
      </c>
      <c r="H102">
        <v>0</v>
      </c>
      <c r="I102">
        <v>0</v>
      </c>
      <c r="J102">
        <v>113</v>
      </c>
      <c r="K102">
        <v>95482507.669291347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1</v>
      </c>
      <c r="E103">
        <v>1445455</v>
      </c>
      <c r="F103">
        <v>1</v>
      </c>
      <c r="G103">
        <v>1290909</v>
      </c>
      <c r="H103">
        <v>1</v>
      </c>
      <c r="I103">
        <v>1718182</v>
      </c>
      <c r="J103">
        <v>1</v>
      </c>
      <c r="K103">
        <v>1018182</v>
      </c>
    </row>
    <row r="104" spans="1:11" x14ac:dyDescent="0.25">
      <c r="A104">
        <v>103</v>
      </c>
      <c r="B104" t="s">
        <v>215</v>
      </c>
      <c r="C104" t="s">
        <v>216</v>
      </c>
      <c r="D104">
        <v>1668</v>
      </c>
      <c r="E104">
        <v>207533131.46378449</v>
      </c>
      <c r="F104">
        <v>184</v>
      </c>
      <c r="G104">
        <v>17122728</v>
      </c>
      <c r="H104">
        <v>326</v>
      </c>
      <c r="I104">
        <v>22113641</v>
      </c>
      <c r="J104">
        <v>1526</v>
      </c>
      <c r="K104">
        <v>202542218.46378449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156</v>
      </c>
      <c r="E105">
        <v>57768988.992982447</v>
      </c>
      <c r="F105">
        <v>0</v>
      </c>
      <c r="G105">
        <v>0</v>
      </c>
      <c r="H105">
        <v>0</v>
      </c>
      <c r="I105">
        <v>0</v>
      </c>
      <c r="J105">
        <v>156</v>
      </c>
      <c r="K105">
        <v>57768988.992982447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2099</v>
      </c>
      <c r="E106">
        <v>238386443.69023031</v>
      </c>
      <c r="F106">
        <v>0</v>
      </c>
      <c r="G106">
        <v>0</v>
      </c>
      <c r="H106">
        <v>407</v>
      </c>
      <c r="I106">
        <v>40918179</v>
      </c>
      <c r="J106">
        <v>1692</v>
      </c>
      <c r="K106">
        <v>197468264.69023031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1056</v>
      </c>
      <c r="E107">
        <v>157394736.3291294</v>
      </c>
      <c r="F107">
        <v>135</v>
      </c>
      <c r="G107">
        <v>15518181</v>
      </c>
      <c r="H107">
        <v>416</v>
      </c>
      <c r="I107">
        <v>49295453</v>
      </c>
      <c r="J107">
        <v>775</v>
      </c>
      <c r="K107">
        <v>123617464.3291294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238</v>
      </c>
      <c r="E109">
        <v>71083782.850046858</v>
      </c>
      <c r="F109">
        <v>16</v>
      </c>
      <c r="G109">
        <v>3018182</v>
      </c>
      <c r="H109">
        <v>19</v>
      </c>
      <c r="I109">
        <v>7081818</v>
      </c>
      <c r="J109">
        <v>235</v>
      </c>
      <c r="K109">
        <v>67020146.850046858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296</v>
      </c>
      <c r="E110">
        <v>100788373.1661891</v>
      </c>
      <c r="F110">
        <v>0</v>
      </c>
      <c r="G110">
        <v>0</v>
      </c>
      <c r="H110">
        <v>41</v>
      </c>
      <c r="I110">
        <v>10327274</v>
      </c>
      <c r="J110">
        <v>255</v>
      </c>
      <c r="K110">
        <v>90461099.166189104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103</v>
      </c>
      <c r="E112">
        <v>53134156.259079903</v>
      </c>
      <c r="F112">
        <v>3</v>
      </c>
      <c r="G112">
        <v>1663635</v>
      </c>
      <c r="H112">
        <v>0</v>
      </c>
      <c r="I112">
        <v>0</v>
      </c>
      <c r="J112">
        <v>106</v>
      </c>
      <c r="K112">
        <v>54797791.259079903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763</v>
      </c>
      <c r="E113">
        <v>232279406.390264</v>
      </c>
      <c r="F113">
        <v>20</v>
      </c>
      <c r="G113">
        <v>9172728</v>
      </c>
      <c r="H113">
        <v>8</v>
      </c>
      <c r="I113">
        <v>3000000</v>
      </c>
      <c r="J113">
        <v>775</v>
      </c>
      <c r="K113">
        <v>238452134.390264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>
        <v>15491058.620689649</v>
      </c>
      <c r="F114">
        <v>0</v>
      </c>
      <c r="G114">
        <v>0</v>
      </c>
      <c r="H114">
        <v>0</v>
      </c>
      <c r="I114">
        <v>0</v>
      </c>
      <c r="J114">
        <v>26</v>
      </c>
      <c r="K114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208</v>
      </c>
      <c r="E123">
        <v>78435021.616306961</v>
      </c>
      <c r="F123">
        <v>4</v>
      </c>
      <c r="G123">
        <v>1418182</v>
      </c>
      <c r="H123">
        <v>1</v>
      </c>
      <c r="I123">
        <v>363636</v>
      </c>
      <c r="J123">
        <v>211</v>
      </c>
      <c r="K123">
        <v>79489567.616306961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49</v>
      </c>
      <c r="E124">
        <v>26590697.84722222</v>
      </c>
      <c r="F124">
        <v>10</v>
      </c>
      <c r="G124">
        <v>5363636</v>
      </c>
      <c r="H124">
        <v>0</v>
      </c>
      <c r="I124">
        <v>0</v>
      </c>
      <c r="J124">
        <v>59</v>
      </c>
      <c r="K124">
        <v>31954333.84722222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408</v>
      </c>
      <c r="E126">
        <v>234221452.2321918</v>
      </c>
      <c r="F126">
        <v>17</v>
      </c>
      <c r="G126">
        <v>11031819</v>
      </c>
      <c r="H126">
        <v>1</v>
      </c>
      <c r="I126">
        <v>981818</v>
      </c>
      <c r="J126">
        <v>424</v>
      </c>
      <c r="K126">
        <v>244271453.2321918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14</v>
      </c>
      <c r="E129">
        <v>30154161.75</v>
      </c>
      <c r="F129">
        <v>0</v>
      </c>
      <c r="G129">
        <v>0</v>
      </c>
      <c r="H129">
        <v>0</v>
      </c>
      <c r="I129">
        <v>0</v>
      </c>
      <c r="J129">
        <v>14</v>
      </c>
      <c r="K129">
        <v>30154161.75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565</v>
      </c>
      <c r="E131">
        <v>159319422.5194805</v>
      </c>
      <c r="F131">
        <v>17</v>
      </c>
      <c r="G131">
        <v>10753637</v>
      </c>
      <c r="H131">
        <v>0</v>
      </c>
      <c r="I131">
        <v>0</v>
      </c>
      <c r="J131">
        <v>582</v>
      </c>
      <c r="K131">
        <v>170073059.5194805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119</v>
      </c>
      <c r="E132">
        <v>24918501.7489301</v>
      </c>
      <c r="F132">
        <v>0</v>
      </c>
      <c r="G132">
        <v>0</v>
      </c>
      <c r="H132">
        <v>0</v>
      </c>
      <c r="I132">
        <v>0</v>
      </c>
      <c r="J132">
        <v>119</v>
      </c>
      <c r="K132">
        <v>24918501.7489301</v>
      </c>
    </row>
    <row r="133" spans="1:11" x14ac:dyDescent="0.25">
      <c r="A133">
        <v>132</v>
      </c>
      <c r="B133" t="s">
        <v>273</v>
      </c>
      <c r="C133" t="s">
        <v>274</v>
      </c>
      <c r="D133">
        <v>285</v>
      </c>
      <c r="E133">
        <v>93853294.769411772</v>
      </c>
      <c r="F133">
        <v>25</v>
      </c>
      <c r="G133">
        <v>2831819</v>
      </c>
      <c r="H133">
        <v>5</v>
      </c>
      <c r="I133">
        <v>1509091</v>
      </c>
      <c r="J133">
        <v>305</v>
      </c>
      <c r="K133">
        <v>95176022.769411772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79</v>
      </c>
      <c r="E134">
        <v>29764326.08433735</v>
      </c>
      <c r="F134">
        <v>18</v>
      </c>
      <c r="G134">
        <v>4543637</v>
      </c>
      <c r="H134">
        <v>7</v>
      </c>
      <c r="I134">
        <v>3409091</v>
      </c>
      <c r="J134">
        <v>90</v>
      </c>
      <c r="K134">
        <v>30898872.08433735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21518658.860465121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21518658.860465121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144</v>
      </c>
      <c r="E143">
        <v>64481168.115942031</v>
      </c>
      <c r="F143">
        <v>2</v>
      </c>
      <c r="G143">
        <v>370000</v>
      </c>
      <c r="H143">
        <v>11</v>
      </c>
      <c r="I143">
        <v>5750000</v>
      </c>
      <c r="J143">
        <v>135</v>
      </c>
      <c r="K143">
        <v>59101168.115942031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10</v>
      </c>
      <c r="E145">
        <v>445955.15151515149</v>
      </c>
      <c r="F145">
        <v>1</v>
      </c>
      <c r="G145">
        <v>250000</v>
      </c>
      <c r="H145">
        <v>0</v>
      </c>
      <c r="I145">
        <v>0</v>
      </c>
      <c r="J145">
        <v>11</v>
      </c>
      <c r="K145">
        <v>695955.15151515149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1081.74</v>
      </c>
      <c r="E146">
        <v>526267807.55999988</v>
      </c>
      <c r="F146">
        <v>202.83</v>
      </c>
      <c r="G146">
        <v>149130770</v>
      </c>
      <c r="H146">
        <v>863667</v>
      </c>
      <c r="I146">
        <v>85170705</v>
      </c>
      <c r="J146">
        <v>0</v>
      </c>
      <c r="K146">
        <v>590227872.55999994</v>
      </c>
    </row>
    <row r="147" spans="1:11" x14ac:dyDescent="0.25">
      <c r="A147" t="s">
        <v>301</v>
      </c>
      <c r="D147">
        <v>23706.74</v>
      </c>
      <c r="E147">
        <v>21275184237.22044</v>
      </c>
      <c r="F147">
        <v>1266.83</v>
      </c>
      <c r="G147">
        <v>890284925.81999993</v>
      </c>
      <c r="H147">
        <v>865737</v>
      </c>
      <c r="I147">
        <v>1420458661</v>
      </c>
      <c r="J147">
        <v>21619</v>
      </c>
      <c r="K147">
        <v>20749470502.04044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16</v>
      </c>
      <c r="E3">
        <v>122011537</v>
      </c>
      <c r="F3">
        <v>1</v>
      </c>
      <c r="G3">
        <v>14363636</v>
      </c>
      <c r="H3">
        <v>3</v>
      </c>
      <c r="I3">
        <v>28863636</v>
      </c>
      <c r="J3">
        <v>14</v>
      </c>
      <c r="K3">
        <v>107511537</v>
      </c>
    </row>
    <row r="4" spans="1:11" x14ac:dyDescent="0.25">
      <c r="A4">
        <v>3</v>
      </c>
      <c r="B4" t="s">
        <v>15</v>
      </c>
      <c r="C4" t="s">
        <v>16</v>
      </c>
      <c r="D4">
        <v>160</v>
      </c>
      <c r="E4">
        <v>2055154689.201292</v>
      </c>
      <c r="F4">
        <v>14</v>
      </c>
      <c r="G4">
        <v>171363636</v>
      </c>
      <c r="H4">
        <v>3</v>
      </c>
      <c r="I4">
        <v>44350000</v>
      </c>
      <c r="J4">
        <v>171</v>
      </c>
      <c r="K4">
        <v>2182168325.201292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14</v>
      </c>
      <c r="E6">
        <v>167148168.1785714</v>
      </c>
      <c r="F6">
        <v>0</v>
      </c>
      <c r="G6">
        <v>0</v>
      </c>
      <c r="H6">
        <v>1</v>
      </c>
      <c r="I6">
        <v>10454545</v>
      </c>
      <c r="J6">
        <v>13</v>
      </c>
      <c r="K6">
        <v>156693623.1785714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0</v>
      </c>
      <c r="I8">
        <v>0</v>
      </c>
      <c r="J8">
        <v>3</v>
      </c>
      <c r="K8">
        <v>28591735.09090909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30972636.449999999</v>
      </c>
      <c r="F9">
        <v>0</v>
      </c>
      <c r="G9">
        <v>0</v>
      </c>
      <c r="H9">
        <v>0</v>
      </c>
      <c r="I9">
        <v>0</v>
      </c>
      <c r="J9">
        <v>10</v>
      </c>
      <c r="K9">
        <v>30972636.449999999</v>
      </c>
    </row>
    <row r="10" spans="1:11" x14ac:dyDescent="0.25">
      <c r="A10">
        <v>9</v>
      </c>
      <c r="B10" t="s">
        <v>27</v>
      </c>
      <c r="C10" t="s">
        <v>28</v>
      </c>
      <c r="D10">
        <v>194</v>
      </c>
      <c r="E10">
        <v>790310950.5951941</v>
      </c>
      <c r="F10">
        <v>11</v>
      </c>
      <c r="G10">
        <v>43363636</v>
      </c>
      <c r="H10">
        <v>5</v>
      </c>
      <c r="I10">
        <v>67681818</v>
      </c>
      <c r="J10">
        <v>200</v>
      </c>
      <c r="K10">
        <v>765992768.5951941</v>
      </c>
    </row>
    <row r="11" spans="1:11" x14ac:dyDescent="0.25">
      <c r="A11">
        <v>10</v>
      </c>
      <c r="B11" t="s">
        <v>29</v>
      </c>
      <c r="C11" t="s">
        <v>30</v>
      </c>
      <c r="D11">
        <v>8</v>
      </c>
      <c r="E11">
        <v>63234373.25</v>
      </c>
      <c r="F11">
        <v>0</v>
      </c>
      <c r="G11">
        <v>0</v>
      </c>
      <c r="H11">
        <v>0</v>
      </c>
      <c r="I11">
        <v>0</v>
      </c>
      <c r="J11">
        <v>8</v>
      </c>
      <c r="K11">
        <v>63234373.25</v>
      </c>
    </row>
    <row r="12" spans="1:11" x14ac:dyDescent="0.25">
      <c r="A12">
        <v>11</v>
      </c>
      <c r="B12" t="s">
        <v>31</v>
      </c>
      <c r="C12" t="s">
        <v>32</v>
      </c>
      <c r="D12">
        <v>230</v>
      </c>
      <c r="E12">
        <v>2895715042.2191219</v>
      </c>
      <c r="F12">
        <v>5</v>
      </c>
      <c r="G12">
        <v>46808765</v>
      </c>
      <c r="H12">
        <v>7</v>
      </c>
      <c r="I12">
        <v>73781818</v>
      </c>
      <c r="J12">
        <v>228</v>
      </c>
      <c r="K12">
        <v>2868741989.2191219</v>
      </c>
    </row>
    <row r="13" spans="1:11" x14ac:dyDescent="0.25">
      <c r="A13">
        <v>12</v>
      </c>
      <c r="B13" t="s">
        <v>33</v>
      </c>
      <c r="C13" t="s">
        <v>34</v>
      </c>
      <c r="D13">
        <v>29</v>
      </c>
      <c r="E13">
        <v>471716957.76923078</v>
      </c>
      <c r="F13">
        <v>5</v>
      </c>
      <c r="G13">
        <v>87363637</v>
      </c>
      <c r="H13">
        <v>0</v>
      </c>
      <c r="I13">
        <v>0</v>
      </c>
      <c r="J13">
        <v>34</v>
      </c>
      <c r="K13">
        <v>559080594.76923084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>
        <v>384284405.28947371</v>
      </c>
      <c r="F14">
        <v>2</v>
      </c>
      <c r="G14">
        <v>29890909</v>
      </c>
      <c r="H14">
        <v>0</v>
      </c>
      <c r="I14">
        <v>0</v>
      </c>
      <c r="J14">
        <v>24</v>
      </c>
      <c r="K14">
        <v>414175314.28947371</v>
      </c>
    </row>
    <row r="15" spans="1:11" x14ac:dyDescent="0.25">
      <c r="A15">
        <v>14</v>
      </c>
      <c r="B15" t="s">
        <v>37</v>
      </c>
      <c r="C15" t="s">
        <v>38</v>
      </c>
      <c r="D15">
        <v>27</v>
      </c>
      <c r="E15">
        <v>289447770.93430662</v>
      </c>
      <c r="F15">
        <v>0</v>
      </c>
      <c r="G15">
        <v>0</v>
      </c>
      <c r="H15">
        <v>1</v>
      </c>
      <c r="I15">
        <v>16181818</v>
      </c>
      <c r="J15">
        <v>26</v>
      </c>
      <c r="K15">
        <v>273265952.93430662</v>
      </c>
    </row>
    <row r="16" spans="1:11" x14ac:dyDescent="0.25">
      <c r="A16">
        <v>15</v>
      </c>
      <c r="B16" t="s">
        <v>39</v>
      </c>
      <c r="C16" t="s">
        <v>40</v>
      </c>
      <c r="D16">
        <v>13</v>
      </c>
      <c r="E16">
        <v>179134987.10447761</v>
      </c>
      <c r="F16">
        <v>0</v>
      </c>
      <c r="G16">
        <v>0</v>
      </c>
      <c r="H16">
        <v>0</v>
      </c>
      <c r="I16">
        <v>0</v>
      </c>
      <c r="J16">
        <v>13</v>
      </c>
      <c r="K16">
        <v>179134987.10447761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172</v>
      </c>
      <c r="E24">
        <v>1235182013.5497241</v>
      </c>
      <c r="F24">
        <v>0</v>
      </c>
      <c r="G24">
        <v>0</v>
      </c>
      <c r="H24">
        <v>22</v>
      </c>
      <c r="I24">
        <v>202345456</v>
      </c>
      <c r="J24">
        <v>150</v>
      </c>
      <c r="K24">
        <v>1032836557.549724</v>
      </c>
    </row>
    <row r="25" spans="1:11" x14ac:dyDescent="0.25">
      <c r="A25">
        <v>24</v>
      </c>
      <c r="B25" t="s">
        <v>57</v>
      </c>
      <c r="C25" t="s">
        <v>58</v>
      </c>
      <c r="D25">
        <v>289</v>
      </c>
      <c r="E25">
        <v>2166568893.361217</v>
      </c>
      <c r="F25">
        <v>33</v>
      </c>
      <c r="G25">
        <v>221236365</v>
      </c>
      <c r="H25">
        <v>28</v>
      </c>
      <c r="I25">
        <v>311890911</v>
      </c>
      <c r="J25">
        <v>294</v>
      </c>
      <c r="K25">
        <v>2075914347.361217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95851958.307692319</v>
      </c>
      <c r="F30">
        <v>1</v>
      </c>
      <c r="G30">
        <v>13181818</v>
      </c>
      <c r="H30">
        <v>1</v>
      </c>
      <c r="I30">
        <v>14636364</v>
      </c>
      <c r="J30">
        <v>7</v>
      </c>
      <c r="K30">
        <v>94397412.307692319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30018349.5</v>
      </c>
      <c r="F33">
        <v>0</v>
      </c>
      <c r="G33">
        <v>0</v>
      </c>
      <c r="H33">
        <v>0</v>
      </c>
      <c r="I33">
        <v>0</v>
      </c>
      <c r="J33">
        <v>6</v>
      </c>
      <c r="K33">
        <v>30018349.5</v>
      </c>
    </row>
    <row r="34" spans="1:11" x14ac:dyDescent="0.25">
      <c r="A34">
        <v>33</v>
      </c>
      <c r="B34" t="s">
        <v>75</v>
      </c>
      <c r="C34" t="s">
        <v>76</v>
      </c>
      <c r="D34">
        <v>46</v>
      </c>
      <c r="E34">
        <v>113267991.18326689</v>
      </c>
      <c r="F34">
        <v>0</v>
      </c>
      <c r="G34">
        <v>0</v>
      </c>
      <c r="H34">
        <v>0</v>
      </c>
      <c r="I34">
        <v>0</v>
      </c>
      <c r="J34">
        <v>46</v>
      </c>
      <c r="K34">
        <v>113267991.18326689</v>
      </c>
    </row>
    <row r="35" spans="1:11" x14ac:dyDescent="0.25">
      <c r="A35">
        <v>34</v>
      </c>
      <c r="B35" t="s">
        <v>77</v>
      </c>
      <c r="C35" t="s">
        <v>78</v>
      </c>
      <c r="D35">
        <v>421</v>
      </c>
      <c r="E35">
        <v>867958686.55380154</v>
      </c>
      <c r="F35">
        <v>61</v>
      </c>
      <c r="G35">
        <v>129336335</v>
      </c>
      <c r="H35">
        <v>28</v>
      </c>
      <c r="I35">
        <v>55381817</v>
      </c>
      <c r="J35">
        <v>454</v>
      </c>
      <c r="K35">
        <v>941913204.55380154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52640800.021276593</v>
      </c>
      <c r="F36">
        <v>0</v>
      </c>
      <c r="G36">
        <v>0</v>
      </c>
      <c r="H36">
        <v>3</v>
      </c>
      <c r="I36">
        <v>14869091</v>
      </c>
      <c r="J36">
        <v>12</v>
      </c>
      <c r="K36">
        <v>37771709.021276593</v>
      </c>
    </row>
    <row r="37" spans="1:11" x14ac:dyDescent="0.25">
      <c r="A37">
        <v>36</v>
      </c>
      <c r="B37" t="s">
        <v>81</v>
      </c>
      <c r="C37" t="s">
        <v>82</v>
      </c>
      <c r="D37">
        <v>55</v>
      </c>
      <c r="E37">
        <v>143783106.1964286</v>
      </c>
      <c r="F37">
        <v>0</v>
      </c>
      <c r="G37">
        <v>0</v>
      </c>
      <c r="H37">
        <v>0</v>
      </c>
      <c r="I37">
        <v>0</v>
      </c>
      <c r="J37">
        <v>55</v>
      </c>
      <c r="K37">
        <v>143783106.1964286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4636364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4636364</v>
      </c>
    </row>
    <row r="39" spans="1:11" x14ac:dyDescent="0.25">
      <c r="A39">
        <v>38</v>
      </c>
      <c r="B39" t="s">
        <v>85</v>
      </c>
      <c r="C39" t="s">
        <v>86</v>
      </c>
      <c r="D39">
        <v>93</v>
      </c>
      <c r="E39">
        <v>246374965.38106239</v>
      </c>
      <c r="F39">
        <v>20</v>
      </c>
      <c r="G39">
        <v>23663637</v>
      </c>
      <c r="H39">
        <v>2</v>
      </c>
      <c r="I39">
        <v>2890909</v>
      </c>
      <c r="J39">
        <v>111</v>
      </c>
      <c r="K39">
        <v>267147693.38106239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0</v>
      </c>
      <c r="I40">
        <v>0</v>
      </c>
      <c r="J40">
        <v>5</v>
      </c>
      <c r="K40">
        <v>29525252.77777778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915</v>
      </c>
      <c r="E42">
        <v>520306697.43484038</v>
      </c>
      <c r="F42">
        <v>117</v>
      </c>
      <c r="G42">
        <v>82780908</v>
      </c>
      <c r="H42">
        <v>35</v>
      </c>
      <c r="I42">
        <v>79218184</v>
      </c>
      <c r="J42">
        <v>997</v>
      </c>
      <c r="K42">
        <v>523869421.43484038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336</v>
      </c>
      <c r="E44">
        <v>949377833.42474437</v>
      </c>
      <c r="F44">
        <v>14</v>
      </c>
      <c r="G44">
        <v>12995129</v>
      </c>
      <c r="H44">
        <v>20</v>
      </c>
      <c r="I44">
        <v>48545455</v>
      </c>
      <c r="J44">
        <v>330</v>
      </c>
      <c r="K44">
        <v>913827507.42474437</v>
      </c>
    </row>
    <row r="45" spans="1:11" x14ac:dyDescent="0.25">
      <c r="A45">
        <v>44</v>
      </c>
      <c r="B45" t="s">
        <v>97</v>
      </c>
      <c r="C45" t="s">
        <v>98</v>
      </c>
      <c r="D45">
        <v>62</v>
      </c>
      <c r="E45">
        <v>256543709.79297301</v>
      </c>
      <c r="F45">
        <v>1</v>
      </c>
      <c r="G45">
        <v>4807673</v>
      </c>
      <c r="H45">
        <v>2</v>
      </c>
      <c r="I45">
        <v>10072728</v>
      </c>
      <c r="J45">
        <v>61</v>
      </c>
      <c r="K45">
        <v>251278654.79297301</v>
      </c>
    </row>
    <row r="46" spans="1:11" x14ac:dyDescent="0.25">
      <c r="A46">
        <v>45</v>
      </c>
      <c r="B46" t="s">
        <v>99</v>
      </c>
      <c r="C46" t="s">
        <v>100</v>
      </c>
      <c r="D46">
        <v>227</v>
      </c>
      <c r="E46">
        <v>112959577.6325714</v>
      </c>
      <c r="F46">
        <v>13</v>
      </c>
      <c r="G46">
        <v>1909090</v>
      </c>
      <c r="H46">
        <v>0</v>
      </c>
      <c r="I46">
        <v>0</v>
      </c>
      <c r="J46">
        <v>240</v>
      </c>
      <c r="K46">
        <v>114868667.6325714</v>
      </c>
    </row>
    <row r="47" spans="1:11" x14ac:dyDescent="0.25">
      <c r="A47">
        <v>46</v>
      </c>
      <c r="B47" t="s">
        <v>101</v>
      </c>
      <c r="C47" t="s">
        <v>102</v>
      </c>
      <c r="D47">
        <v>60</v>
      </c>
      <c r="E47">
        <v>151224232.6556738</v>
      </c>
      <c r="F47">
        <v>4</v>
      </c>
      <c r="G47">
        <v>15400000.18</v>
      </c>
      <c r="H47">
        <v>2</v>
      </c>
      <c r="I47">
        <v>14818182</v>
      </c>
      <c r="J47">
        <v>62</v>
      </c>
      <c r="K47">
        <v>151806050.83567381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>
        <v>267724066.96224141</v>
      </c>
      <c r="F49">
        <v>9</v>
      </c>
      <c r="G49">
        <v>40822728</v>
      </c>
      <c r="H49">
        <v>4</v>
      </c>
      <c r="I49">
        <v>29754545</v>
      </c>
      <c r="J49">
        <v>42</v>
      </c>
      <c r="K49">
        <v>278792249.96224141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6</v>
      </c>
      <c r="E51">
        <v>2116955.1999999988</v>
      </c>
      <c r="F51">
        <v>2</v>
      </c>
      <c r="G51">
        <v>1160000</v>
      </c>
      <c r="H51">
        <v>1</v>
      </c>
      <c r="I51">
        <v>1400000</v>
      </c>
      <c r="J51">
        <v>7</v>
      </c>
      <c r="K51">
        <v>1876955.199999999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101261124.26693881</v>
      </c>
      <c r="F52">
        <v>0</v>
      </c>
      <c r="G52">
        <v>0</v>
      </c>
      <c r="H52">
        <v>0</v>
      </c>
      <c r="I52">
        <v>0</v>
      </c>
      <c r="J52">
        <v>57</v>
      </c>
      <c r="K52">
        <v>101261124.26693881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57</v>
      </c>
      <c r="E55">
        <v>179438025.17270201</v>
      </c>
      <c r="F55">
        <v>15</v>
      </c>
      <c r="G55">
        <v>105172782</v>
      </c>
      <c r="H55">
        <v>7</v>
      </c>
      <c r="I55">
        <v>97845454</v>
      </c>
      <c r="J55">
        <v>65</v>
      </c>
      <c r="K55">
        <v>186765353.17270201</v>
      </c>
    </row>
    <row r="56" spans="1:11" x14ac:dyDescent="0.25">
      <c r="A56">
        <v>55</v>
      </c>
      <c r="B56" t="s">
        <v>119</v>
      </c>
      <c r="C56" t="s">
        <v>120</v>
      </c>
      <c r="D56">
        <v>27</v>
      </c>
      <c r="E56">
        <v>20269644.491525419</v>
      </c>
      <c r="F56">
        <v>0</v>
      </c>
      <c r="G56">
        <v>0</v>
      </c>
      <c r="H56">
        <v>1</v>
      </c>
      <c r="I56">
        <v>1009259</v>
      </c>
      <c r="J56">
        <v>26</v>
      </c>
      <c r="K56">
        <v>19260385.491525419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0</v>
      </c>
      <c r="G57">
        <v>0</v>
      </c>
      <c r="H57">
        <v>0</v>
      </c>
      <c r="I57">
        <v>0</v>
      </c>
      <c r="J57">
        <v>4</v>
      </c>
      <c r="K57">
        <v>16096296.290769231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2181818.1800000002</v>
      </c>
      <c r="F58">
        <v>1</v>
      </c>
      <c r="G58">
        <v>1175925.93</v>
      </c>
      <c r="H58">
        <v>1</v>
      </c>
      <c r="I58">
        <v>1527778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3528</v>
      </c>
      <c r="E59">
        <v>347193640.38559759</v>
      </c>
      <c r="F59">
        <v>342</v>
      </c>
      <c r="G59">
        <v>36019091</v>
      </c>
      <c r="H59">
        <v>200</v>
      </c>
      <c r="I59">
        <v>29763638</v>
      </c>
      <c r="J59">
        <v>3670</v>
      </c>
      <c r="K59">
        <v>353449093.38559759</v>
      </c>
    </row>
    <row r="60" spans="1:11" x14ac:dyDescent="0.25">
      <c r="A60">
        <v>59</v>
      </c>
      <c r="B60" t="s">
        <v>127</v>
      </c>
      <c r="C60" t="s">
        <v>128</v>
      </c>
      <c r="D60">
        <v>101</v>
      </c>
      <c r="E60">
        <v>7260274.6822262118</v>
      </c>
      <c r="F60">
        <v>0</v>
      </c>
      <c r="G60">
        <v>0</v>
      </c>
      <c r="H60">
        <v>3</v>
      </c>
      <c r="I60">
        <v>845454</v>
      </c>
      <c r="J60">
        <v>98</v>
      </c>
      <c r="K60">
        <v>6414820.6822262118</v>
      </c>
    </row>
    <row r="61" spans="1:11" x14ac:dyDescent="0.25">
      <c r="A61">
        <v>60</v>
      </c>
      <c r="B61" t="s">
        <v>129</v>
      </c>
      <c r="C61" t="s">
        <v>130</v>
      </c>
      <c r="D61">
        <v>21</v>
      </c>
      <c r="E61">
        <v>2101256.75</v>
      </c>
      <c r="F61">
        <v>0</v>
      </c>
      <c r="G61">
        <v>0</v>
      </c>
      <c r="H61">
        <v>2</v>
      </c>
      <c r="I61">
        <v>1545455</v>
      </c>
      <c r="J61">
        <v>19</v>
      </c>
      <c r="K61">
        <v>555801.75</v>
      </c>
    </row>
    <row r="62" spans="1:11" x14ac:dyDescent="0.25">
      <c r="A62">
        <v>61</v>
      </c>
      <c r="B62" t="s">
        <v>131</v>
      </c>
      <c r="C62" t="s">
        <v>132</v>
      </c>
      <c r="D62">
        <v>1585</v>
      </c>
      <c r="E62">
        <v>286980445.87895793</v>
      </c>
      <c r="F62">
        <v>100</v>
      </c>
      <c r="G62">
        <v>2545455</v>
      </c>
      <c r="H62">
        <v>90</v>
      </c>
      <c r="I62">
        <v>31863640</v>
      </c>
      <c r="J62">
        <v>1595</v>
      </c>
      <c r="K62">
        <v>257662260.8789579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18</v>
      </c>
      <c r="E65">
        <v>10147134.451123601</v>
      </c>
      <c r="F65">
        <v>0</v>
      </c>
      <c r="G65">
        <v>0</v>
      </c>
      <c r="H65">
        <v>3</v>
      </c>
      <c r="I65">
        <v>2400000</v>
      </c>
      <c r="J65">
        <v>15</v>
      </c>
      <c r="K65">
        <v>7747134.4511235952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159</v>
      </c>
      <c r="E70">
        <v>60225946.125112101</v>
      </c>
      <c r="F70">
        <v>30</v>
      </c>
      <c r="G70">
        <v>900000</v>
      </c>
      <c r="H70">
        <v>0</v>
      </c>
      <c r="I70">
        <v>0</v>
      </c>
      <c r="J70">
        <v>189</v>
      </c>
      <c r="K70">
        <v>61125946.125112101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0</v>
      </c>
      <c r="I72">
        <v>0</v>
      </c>
      <c r="J72">
        <v>3</v>
      </c>
      <c r="K72">
        <v>1745454.6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0</v>
      </c>
      <c r="G73">
        <v>0</v>
      </c>
      <c r="H73">
        <v>0</v>
      </c>
      <c r="I73">
        <v>0</v>
      </c>
      <c r="J73">
        <v>54</v>
      </c>
      <c r="K73">
        <v>440760.79768786131</v>
      </c>
    </row>
    <row r="74" spans="1:11" x14ac:dyDescent="0.25">
      <c r="A74">
        <v>73</v>
      </c>
      <c r="B74" t="s">
        <v>155</v>
      </c>
      <c r="C74" t="s">
        <v>156</v>
      </c>
      <c r="D74">
        <v>101</v>
      </c>
      <c r="E74">
        <v>226607841.07878789</v>
      </c>
      <c r="F74">
        <v>6</v>
      </c>
      <c r="G74">
        <v>15236364</v>
      </c>
      <c r="H74">
        <v>7</v>
      </c>
      <c r="I74">
        <v>18000000</v>
      </c>
      <c r="J74">
        <v>100</v>
      </c>
      <c r="K74">
        <v>223844205.07878789</v>
      </c>
    </row>
    <row r="75" spans="1:11" x14ac:dyDescent="0.25">
      <c r="A75">
        <v>74</v>
      </c>
      <c r="B75" t="s">
        <v>157</v>
      </c>
      <c r="C75" t="s">
        <v>158</v>
      </c>
      <c r="D75">
        <v>95</v>
      </c>
      <c r="E75">
        <v>301487408.75098813</v>
      </c>
      <c r="F75">
        <v>10</v>
      </c>
      <c r="G75">
        <v>31054545</v>
      </c>
      <c r="H75">
        <v>1</v>
      </c>
      <c r="I75">
        <v>3809091</v>
      </c>
      <c r="J75">
        <v>104</v>
      </c>
      <c r="K75">
        <v>328732862.75098813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116</v>
      </c>
      <c r="E78">
        <v>172762439.59605911</v>
      </c>
      <c r="F78">
        <v>0</v>
      </c>
      <c r="G78">
        <v>0</v>
      </c>
      <c r="H78">
        <v>0</v>
      </c>
      <c r="I78">
        <v>0</v>
      </c>
      <c r="J78">
        <v>116</v>
      </c>
      <c r="K78">
        <v>172762439.59605911</v>
      </c>
    </row>
    <row r="79" spans="1:11" x14ac:dyDescent="0.25">
      <c r="A79">
        <v>78</v>
      </c>
      <c r="B79" t="s">
        <v>165</v>
      </c>
      <c r="C79" t="s">
        <v>166</v>
      </c>
      <c r="D79">
        <v>7</v>
      </c>
      <c r="E79">
        <v>15844568</v>
      </c>
      <c r="F79">
        <v>2</v>
      </c>
      <c r="G79">
        <v>6636364</v>
      </c>
      <c r="H79">
        <v>0</v>
      </c>
      <c r="I79">
        <v>0</v>
      </c>
      <c r="J79">
        <v>9</v>
      </c>
      <c r="K79">
        <v>22480932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554</v>
      </c>
      <c r="E81">
        <v>152089441.62329009</v>
      </c>
      <c r="F81">
        <v>1</v>
      </c>
      <c r="G81">
        <v>24363636</v>
      </c>
      <c r="H81">
        <v>22</v>
      </c>
      <c r="I81">
        <v>37209088</v>
      </c>
      <c r="J81">
        <v>533</v>
      </c>
      <c r="K81">
        <v>139243989.62329009</v>
      </c>
    </row>
    <row r="82" spans="1:11" x14ac:dyDescent="0.25">
      <c r="A82">
        <v>81</v>
      </c>
      <c r="B82" t="s">
        <v>171</v>
      </c>
      <c r="C82" t="s">
        <v>172</v>
      </c>
      <c r="D82">
        <v>108</v>
      </c>
      <c r="E82">
        <v>76203039.117302045</v>
      </c>
      <c r="F82">
        <v>9</v>
      </c>
      <c r="G82">
        <v>9840910</v>
      </c>
      <c r="H82">
        <v>2</v>
      </c>
      <c r="I82">
        <v>4263636</v>
      </c>
      <c r="J82">
        <v>115</v>
      </c>
      <c r="K82">
        <v>81780313.117302045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24599923.202380959</v>
      </c>
      <c r="F83">
        <v>0</v>
      </c>
      <c r="G83">
        <v>0</v>
      </c>
      <c r="H83">
        <v>0</v>
      </c>
      <c r="I83">
        <v>0</v>
      </c>
      <c r="J83">
        <v>26</v>
      </c>
      <c r="K83">
        <v>24599923.202380959</v>
      </c>
    </row>
    <row r="84" spans="1:11" x14ac:dyDescent="0.25">
      <c r="A84">
        <v>83</v>
      </c>
      <c r="B84" t="s">
        <v>175</v>
      </c>
      <c r="C84" t="s">
        <v>176</v>
      </c>
      <c r="D84">
        <v>21</v>
      </c>
      <c r="E84">
        <v>50875725.200000003</v>
      </c>
      <c r="F84">
        <v>3</v>
      </c>
      <c r="G84">
        <v>9875454</v>
      </c>
      <c r="H84">
        <v>1</v>
      </c>
      <c r="I84">
        <v>3990909</v>
      </c>
      <c r="J84">
        <v>23</v>
      </c>
      <c r="K84">
        <v>56760270.200000003</v>
      </c>
    </row>
    <row r="85" spans="1:11" x14ac:dyDescent="0.25">
      <c r="A85">
        <v>84</v>
      </c>
      <c r="B85" t="s">
        <v>177</v>
      </c>
      <c r="C85" t="s">
        <v>178</v>
      </c>
      <c r="D85">
        <v>5</v>
      </c>
      <c r="E85">
        <v>26987346.483870968</v>
      </c>
      <c r="F85">
        <v>0</v>
      </c>
      <c r="G85">
        <v>0</v>
      </c>
      <c r="H85">
        <v>0</v>
      </c>
      <c r="I85">
        <v>0</v>
      </c>
      <c r="J85">
        <v>5</v>
      </c>
      <c r="K85">
        <v>26987346.483870968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77</v>
      </c>
      <c r="E87">
        <v>99514626.572559372</v>
      </c>
      <c r="F87">
        <v>6</v>
      </c>
      <c r="G87">
        <v>5400000</v>
      </c>
      <c r="H87">
        <v>7</v>
      </c>
      <c r="I87">
        <v>11300000</v>
      </c>
      <c r="J87">
        <v>76</v>
      </c>
      <c r="K87">
        <v>93614626.572559372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1218</v>
      </c>
      <c r="E89">
        <v>322894026.74628812</v>
      </c>
      <c r="F89">
        <v>11</v>
      </c>
      <c r="G89">
        <v>4877273</v>
      </c>
      <c r="H89">
        <v>71</v>
      </c>
      <c r="I89">
        <v>27281820</v>
      </c>
      <c r="J89">
        <v>1158</v>
      </c>
      <c r="K89">
        <v>300489479.74628812</v>
      </c>
    </row>
    <row r="90" spans="1:11" x14ac:dyDescent="0.25">
      <c r="A90">
        <v>89</v>
      </c>
      <c r="B90" t="s">
        <v>187</v>
      </c>
      <c r="C90" t="s">
        <v>188</v>
      </c>
      <c r="D90">
        <v>181</v>
      </c>
      <c r="E90">
        <v>162226399.34957021</v>
      </c>
      <c r="F90">
        <v>26</v>
      </c>
      <c r="G90">
        <v>16474544</v>
      </c>
      <c r="H90">
        <v>7</v>
      </c>
      <c r="I90">
        <v>5772727</v>
      </c>
      <c r="J90">
        <v>200</v>
      </c>
      <c r="K90">
        <v>172928216.34957021</v>
      </c>
    </row>
    <row r="91" spans="1:11" x14ac:dyDescent="0.25">
      <c r="A91">
        <v>90</v>
      </c>
      <c r="B91" t="s">
        <v>189</v>
      </c>
      <c r="C91" t="s">
        <v>190</v>
      </c>
      <c r="D91">
        <v>56</v>
      </c>
      <c r="E91">
        <v>73448685.992395431</v>
      </c>
      <c r="F91">
        <v>3</v>
      </c>
      <c r="G91">
        <v>3945455</v>
      </c>
      <c r="H91">
        <v>2</v>
      </c>
      <c r="I91">
        <v>3527273</v>
      </c>
      <c r="J91">
        <v>57</v>
      </c>
      <c r="K91">
        <v>73866867.992395431</v>
      </c>
    </row>
    <row r="92" spans="1:11" x14ac:dyDescent="0.25">
      <c r="A92">
        <v>91</v>
      </c>
      <c r="B92" t="s">
        <v>191</v>
      </c>
      <c r="C92" t="s">
        <v>192</v>
      </c>
      <c r="D92">
        <v>167</v>
      </c>
      <c r="E92">
        <v>90095033.128078818</v>
      </c>
      <c r="F92">
        <v>7</v>
      </c>
      <c r="G92">
        <v>15727273</v>
      </c>
      <c r="H92">
        <v>23</v>
      </c>
      <c r="I92">
        <v>19609096</v>
      </c>
      <c r="J92">
        <v>151</v>
      </c>
      <c r="K92">
        <v>86213210.128078818</v>
      </c>
    </row>
    <row r="93" spans="1:11" x14ac:dyDescent="0.25">
      <c r="A93">
        <v>92</v>
      </c>
      <c r="B93" t="s">
        <v>193</v>
      </c>
      <c r="C93" t="s">
        <v>194</v>
      </c>
      <c r="D93">
        <v>64</v>
      </c>
      <c r="E93">
        <v>98212237.432558149</v>
      </c>
      <c r="F93">
        <v>5</v>
      </c>
      <c r="G93">
        <v>6272727</v>
      </c>
      <c r="H93">
        <v>2</v>
      </c>
      <c r="I93">
        <v>2890910</v>
      </c>
      <c r="J93">
        <v>67</v>
      </c>
      <c r="K93">
        <v>101594054.4325581</v>
      </c>
    </row>
    <row r="94" spans="1:11" x14ac:dyDescent="0.25">
      <c r="A94">
        <v>93</v>
      </c>
      <c r="B94" t="s">
        <v>195</v>
      </c>
      <c r="C94" t="s">
        <v>196</v>
      </c>
      <c r="D94">
        <v>338</v>
      </c>
      <c r="E94">
        <v>120624333.6155607</v>
      </c>
      <c r="F94">
        <v>0</v>
      </c>
      <c r="G94">
        <v>0</v>
      </c>
      <c r="H94">
        <v>5</v>
      </c>
      <c r="I94">
        <v>15181818</v>
      </c>
      <c r="J94">
        <v>333</v>
      </c>
      <c r="K94">
        <v>105442515.6155607</v>
      </c>
    </row>
    <row r="95" spans="1:11" x14ac:dyDescent="0.25">
      <c r="A95">
        <v>94</v>
      </c>
      <c r="B95" t="s">
        <v>197</v>
      </c>
      <c r="C95" t="s">
        <v>198</v>
      </c>
      <c r="D95">
        <v>18</v>
      </c>
      <c r="E95">
        <v>2273726.8672566381</v>
      </c>
      <c r="F95">
        <v>0</v>
      </c>
      <c r="G95">
        <v>0</v>
      </c>
      <c r="H95">
        <v>0</v>
      </c>
      <c r="I95">
        <v>0</v>
      </c>
      <c r="J95">
        <v>18</v>
      </c>
      <c r="K95">
        <v>2273726.8672566381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868</v>
      </c>
      <c r="E97">
        <v>92469712.436195672</v>
      </c>
      <c r="F97">
        <v>139</v>
      </c>
      <c r="G97">
        <v>10299998</v>
      </c>
      <c r="H97">
        <v>10</v>
      </c>
      <c r="I97">
        <v>2127272</v>
      </c>
      <c r="J97">
        <v>997</v>
      </c>
      <c r="K97">
        <v>100642438.4361957</v>
      </c>
    </row>
    <row r="98" spans="1:11" x14ac:dyDescent="0.25">
      <c r="A98">
        <v>97</v>
      </c>
      <c r="B98" t="s">
        <v>203</v>
      </c>
      <c r="C98" t="s">
        <v>204</v>
      </c>
      <c r="D98">
        <v>438</v>
      </c>
      <c r="E98">
        <v>87641665.620727673</v>
      </c>
      <c r="F98">
        <v>0</v>
      </c>
      <c r="G98">
        <v>0</v>
      </c>
      <c r="H98">
        <v>9</v>
      </c>
      <c r="I98">
        <v>2309092</v>
      </c>
      <c r="J98">
        <v>429</v>
      </c>
      <c r="K98">
        <v>85332573.620727673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0</v>
      </c>
      <c r="I100">
        <v>0</v>
      </c>
      <c r="J100">
        <v>11</v>
      </c>
      <c r="K100">
        <v>16917241.758620691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3229124</v>
      </c>
    </row>
    <row r="102" spans="1:11" x14ac:dyDescent="0.25">
      <c r="A102">
        <v>101</v>
      </c>
      <c r="B102" t="s">
        <v>211</v>
      </c>
      <c r="C102" t="s">
        <v>212</v>
      </c>
      <c r="D102">
        <v>113</v>
      </c>
      <c r="E102">
        <v>95482507.669291347</v>
      </c>
      <c r="F102">
        <v>0</v>
      </c>
      <c r="G102">
        <v>0</v>
      </c>
      <c r="H102">
        <v>0</v>
      </c>
      <c r="I102">
        <v>0</v>
      </c>
      <c r="J102">
        <v>113</v>
      </c>
      <c r="K102">
        <v>95482507.669291347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1</v>
      </c>
      <c r="E103">
        <v>1018182</v>
      </c>
      <c r="F103">
        <v>1</v>
      </c>
      <c r="G103">
        <v>1290909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1526</v>
      </c>
      <c r="E104">
        <v>202542218.46378449</v>
      </c>
      <c r="F104">
        <v>194</v>
      </c>
      <c r="G104">
        <v>11825456</v>
      </c>
      <c r="H104">
        <v>36</v>
      </c>
      <c r="I104">
        <v>5622726</v>
      </c>
      <c r="J104">
        <v>1684</v>
      </c>
      <c r="K104">
        <v>208744948.46378449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156</v>
      </c>
      <c r="E105">
        <v>57768988.992982447</v>
      </c>
      <c r="F105">
        <v>18</v>
      </c>
      <c r="G105">
        <v>5254546</v>
      </c>
      <c r="H105">
        <v>1</v>
      </c>
      <c r="I105">
        <v>327273</v>
      </c>
      <c r="J105">
        <v>173</v>
      </c>
      <c r="K105">
        <v>62696261.992982447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1692</v>
      </c>
      <c r="E106">
        <v>197468264.69023031</v>
      </c>
      <c r="F106">
        <v>0</v>
      </c>
      <c r="G106">
        <v>0</v>
      </c>
      <c r="H106">
        <v>12</v>
      </c>
      <c r="I106">
        <v>1190908</v>
      </c>
      <c r="J106">
        <v>1680</v>
      </c>
      <c r="K106">
        <v>196277356.69023031</v>
      </c>
    </row>
    <row r="107" spans="1:11" x14ac:dyDescent="0.25">
      <c r="A107">
        <v>106</v>
      </c>
      <c r="B107" t="s">
        <v>221</v>
      </c>
      <c r="C107" t="s">
        <v>222</v>
      </c>
      <c r="D107">
        <v>775</v>
      </c>
      <c r="E107">
        <v>123617464.3291294</v>
      </c>
      <c r="F107">
        <v>130</v>
      </c>
      <c r="G107">
        <v>14300000</v>
      </c>
      <c r="H107">
        <v>39</v>
      </c>
      <c r="I107">
        <v>6554552</v>
      </c>
      <c r="J107">
        <v>866</v>
      </c>
      <c r="K107">
        <v>131362912.3291294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235</v>
      </c>
      <c r="E109">
        <v>67020146.850046858</v>
      </c>
      <c r="F109">
        <v>20</v>
      </c>
      <c r="G109">
        <v>6110000</v>
      </c>
      <c r="H109">
        <v>0</v>
      </c>
      <c r="I109">
        <v>0</v>
      </c>
      <c r="J109">
        <v>255</v>
      </c>
      <c r="K109">
        <v>73130146.850046858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255</v>
      </c>
      <c r="E110">
        <v>90461099.166189104</v>
      </c>
      <c r="F110">
        <v>14</v>
      </c>
      <c r="G110">
        <v>6670000</v>
      </c>
      <c r="H110">
        <v>0</v>
      </c>
      <c r="I110">
        <v>0</v>
      </c>
      <c r="J110">
        <v>269</v>
      </c>
      <c r="K110">
        <v>97131099.166189104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106</v>
      </c>
      <c r="E112">
        <v>54797791.259079903</v>
      </c>
      <c r="F112">
        <v>0</v>
      </c>
      <c r="G112">
        <v>0</v>
      </c>
      <c r="H112">
        <v>8</v>
      </c>
      <c r="I112">
        <v>8636364</v>
      </c>
      <c r="J112">
        <v>98</v>
      </c>
      <c r="K112">
        <v>46161427.259079903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775</v>
      </c>
      <c r="E113">
        <v>238452134.390264</v>
      </c>
      <c r="F113">
        <v>8</v>
      </c>
      <c r="G113">
        <v>5709092</v>
      </c>
      <c r="H113">
        <v>0</v>
      </c>
      <c r="I113">
        <v>0</v>
      </c>
      <c r="J113">
        <v>783</v>
      </c>
      <c r="K113">
        <v>244161226.390264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>
        <v>15491058.620689649</v>
      </c>
      <c r="F114">
        <v>0</v>
      </c>
      <c r="G114">
        <v>0</v>
      </c>
      <c r="H114">
        <v>0</v>
      </c>
      <c r="I114">
        <v>0</v>
      </c>
      <c r="J114">
        <v>26</v>
      </c>
      <c r="K114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211</v>
      </c>
      <c r="E123">
        <v>79489567.616306961</v>
      </c>
      <c r="F123">
        <v>30</v>
      </c>
      <c r="G123">
        <v>12300000</v>
      </c>
      <c r="H123">
        <v>2</v>
      </c>
      <c r="I123">
        <v>1163636</v>
      </c>
      <c r="J123">
        <v>239</v>
      </c>
      <c r="K123">
        <v>90625931.616306961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59</v>
      </c>
      <c r="E124">
        <v>31954333.84722222</v>
      </c>
      <c r="F124">
        <v>0</v>
      </c>
      <c r="G124">
        <v>0</v>
      </c>
      <c r="H124">
        <v>0</v>
      </c>
      <c r="I124">
        <v>0</v>
      </c>
      <c r="J124">
        <v>59</v>
      </c>
      <c r="K124">
        <v>31954333.84722222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424</v>
      </c>
      <c r="E126">
        <v>244271453.2321918</v>
      </c>
      <c r="F126">
        <v>74</v>
      </c>
      <c r="G126">
        <v>59047363</v>
      </c>
      <c r="H126">
        <v>4</v>
      </c>
      <c r="I126">
        <v>4227274</v>
      </c>
      <c r="J126">
        <v>494</v>
      </c>
      <c r="K126">
        <v>299091542.2321918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14</v>
      </c>
      <c r="E129">
        <v>30154161.75</v>
      </c>
      <c r="F129">
        <v>1</v>
      </c>
      <c r="G129">
        <v>3850000</v>
      </c>
      <c r="H129">
        <v>0</v>
      </c>
      <c r="I129">
        <v>0</v>
      </c>
      <c r="J129">
        <v>15</v>
      </c>
      <c r="K129">
        <v>34004161.75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582</v>
      </c>
      <c r="E131">
        <v>170073059.5194805</v>
      </c>
      <c r="F131">
        <v>18</v>
      </c>
      <c r="G131">
        <v>11119092</v>
      </c>
      <c r="H131">
        <v>23</v>
      </c>
      <c r="I131">
        <v>12118185</v>
      </c>
      <c r="J131">
        <v>577</v>
      </c>
      <c r="K131">
        <v>169073966.5194805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119</v>
      </c>
      <c r="E132">
        <v>24918501.7489301</v>
      </c>
      <c r="F132">
        <v>0</v>
      </c>
      <c r="G132">
        <v>0</v>
      </c>
      <c r="H132">
        <v>0</v>
      </c>
      <c r="I132">
        <v>0</v>
      </c>
      <c r="J132">
        <v>119</v>
      </c>
      <c r="K132">
        <v>24918501.7489301</v>
      </c>
    </row>
    <row r="133" spans="1:11" x14ac:dyDescent="0.25">
      <c r="A133">
        <v>132</v>
      </c>
      <c r="B133" t="s">
        <v>273</v>
      </c>
      <c r="C133" t="s">
        <v>274</v>
      </c>
      <c r="D133">
        <v>305</v>
      </c>
      <c r="E133">
        <v>95176022.769411772</v>
      </c>
      <c r="F133">
        <v>21</v>
      </c>
      <c r="G133">
        <v>6172727</v>
      </c>
      <c r="H133">
        <v>8</v>
      </c>
      <c r="I133">
        <v>1249999</v>
      </c>
      <c r="J133">
        <v>318</v>
      </c>
      <c r="K133">
        <v>100098750.7694118</v>
      </c>
    </row>
    <row r="134" spans="1:11" x14ac:dyDescent="0.25">
      <c r="A134">
        <v>133</v>
      </c>
      <c r="B134" t="s">
        <v>275</v>
      </c>
      <c r="C134" t="s">
        <v>276</v>
      </c>
      <c r="D134">
        <v>90</v>
      </c>
      <c r="E134">
        <v>30898872.08433735</v>
      </c>
      <c r="F134">
        <v>9</v>
      </c>
      <c r="G134">
        <v>3218181</v>
      </c>
      <c r="H134">
        <v>5</v>
      </c>
      <c r="I134">
        <v>1454546</v>
      </c>
      <c r="J134">
        <v>94</v>
      </c>
      <c r="K134">
        <v>32662507.08433735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21518658.860465121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21518658.860465121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135</v>
      </c>
      <c r="E143">
        <v>59101168.115942031</v>
      </c>
      <c r="F143">
        <v>1</v>
      </c>
      <c r="G143">
        <v>3350000</v>
      </c>
      <c r="H143">
        <v>22</v>
      </c>
      <c r="I143">
        <v>12590000</v>
      </c>
      <c r="J143">
        <v>114</v>
      </c>
      <c r="K143">
        <v>49861168.115942031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11</v>
      </c>
      <c r="E145">
        <v>695955.15151515149</v>
      </c>
      <c r="F145">
        <v>1</v>
      </c>
      <c r="G145">
        <v>80000</v>
      </c>
      <c r="H145">
        <v>0</v>
      </c>
      <c r="I145">
        <v>0</v>
      </c>
      <c r="J145">
        <v>12</v>
      </c>
      <c r="K145">
        <v>775955.15151515149</v>
      </c>
    </row>
    <row r="146" spans="1:11" x14ac:dyDescent="0.25">
      <c r="A146">
        <v>145</v>
      </c>
      <c r="B146" t="s">
        <v>299</v>
      </c>
      <c r="C146" t="s">
        <v>300</v>
      </c>
      <c r="D146">
        <v>0</v>
      </c>
      <c r="E146">
        <v>590227872.55999994</v>
      </c>
      <c r="F146">
        <v>234.3</v>
      </c>
      <c r="G146">
        <v>168080507</v>
      </c>
      <c r="H146">
        <v>52</v>
      </c>
      <c r="I146">
        <v>76967842</v>
      </c>
      <c r="J146">
        <v>182.3</v>
      </c>
      <c r="K146">
        <v>681340537.55999994</v>
      </c>
    </row>
    <row r="147" spans="1:11" x14ac:dyDescent="0.25">
      <c r="A147" t="s">
        <v>301</v>
      </c>
      <c r="D147">
        <v>21619</v>
      </c>
      <c r="E147">
        <v>20749470502.04044</v>
      </c>
      <c r="F147">
        <v>1803.3</v>
      </c>
      <c r="G147">
        <v>1564643572.1099999</v>
      </c>
      <c r="H147">
        <v>856</v>
      </c>
      <c r="I147">
        <v>1483313992</v>
      </c>
      <c r="J147">
        <v>22566.3</v>
      </c>
      <c r="K147">
        <v>20830800082.15044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107511537</v>
      </c>
      <c r="F3">
        <v>10</v>
      </c>
      <c r="G3">
        <v>128181818</v>
      </c>
      <c r="H3">
        <v>0</v>
      </c>
      <c r="I3">
        <v>0</v>
      </c>
      <c r="J3">
        <v>24</v>
      </c>
      <c r="K3">
        <v>235693355</v>
      </c>
    </row>
    <row r="4" spans="1:11" x14ac:dyDescent="0.25">
      <c r="A4">
        <v>3</v>
      </c>
      <c r="B4" t="s">
        <v>15</v>
      </c>
      <c r="C4" t="s">
        <v>16</v>
      </c>
      <c r="D4">
        <v>171</v>
      </c>
      <c r="E4">
        <v>2182168325.201292</v>
      </c>
      <c r="F4">
        <v>27</v>
      </c>
      <c r="G4">
        <v>180090903</v>
      </c>
      <c r="H4">
        <v>51</v>
      </c>
      <c r="I4">
        <v>740086365</v>
      </c>
      <c r="J4">
        <v>147</v>
      </c>
      <c r="K4">
        <v>1622172863.201292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13</v>
      </c>
      <c r="E6">
        <v>156693623.1785714</v>
      </c>
      <c r="F6">
        <v>0</v>
      </c>
      <c r="G6">
        <v>0</v>
      </c>
      <c r="H6">
        <v>4</v>
      </c>
      <c r="I6">
        <v>41636364</v>
      </c>
      <c r="J6">
        <v>9</v>
      </c>
      <c r="K6">
        <v>115057259.1785714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3</v>
      </c>
      <c r="E8">
        <v>28591735.09090909</v>
      </c>
      <c r="F8">
        <v>0</v>
      </c>
      <c r="G8">
        <v>0</v>
      </c>
      <c r="H8">
        <v>1</v>
      </c>
      <c r="I8">
        <v>14727273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30972636.449999999</v>
      </c>
      <c r="F9">
        <v>1</v>
      </c>
      <c r="G9">
        <v>3363636</v>
      </c>
      <c r="H9">
        <v>0</v>
      </c>
      <c r="I9">
        <v>0</v>
      </c>
      <c r="J9">
        <v>11</v>
      </c>
      <c r="K9">
        <v>34336272.450000003</v>
      </c>
    </row>
    <row r="10" spans="1:11" x14ac:dyDescent="0.25">
      <c r="A10">
        <v>9</v>
      </c>
      <c r="B10" t="s">
        <v>27</v>
      </c>
      <c r="C10" t="s">
        <v>28</v>
      </c>
      <c r="D10">
        <v>200</v>
      </c>
      <c r="E10">
        <v>765992768.5951941</v>
      </c>
      <c r="F10">
        <v>4</v>
      </c>
      <c r="G10">
        <v>30000000</v>
      </c>
      <c r="H10">
        <v>1</v>
      </c>
      <c r="I10">
        <v>15581818</v>
      </c>
      <c r="J10">
        <v>203</v>
      </c>
      <c r="K10">
        <v>780410950.5951941</v>
      </c>
    </row>
    <row r="11" spans="1:11" x14ac:dyDescent="0.25">
      <c r="A11">
        <v>10</v>
      </c>
      <c r="B11" t="s">
        <v>29</v>
      </c>
      <c r="C11" t="s">
        <v>30</v>
      </c>
      <c r="D11">
        <v>8</v>
      </c>
      <c r="E11">
        <v>63234373.25</v>
      </c>
      <c r="F11">
        <v>0</v>
      </c>
      <c r="G11">
        <v>0</v>
      </c>
      <c r="H11">
        <v>5</v>
      </c>
      <c r="I11">
        <v>44272726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228</v>
      </c>
      <c r="E12">
        <v>2868741989.2191219</v>
      </c>
      <c r="F12">
        <v>32</v>
      </c>
      <c r="G12">
        <v>255330714</v>
      </c>
      <c r="H12">
        <v>14</v>
      </c>
      <c r="I12">
        <v>132572728</v>
      </c>
      <c r="J12">
        <v>246</v>
      </c>
      <c r="K12">
        <v>2991499975.2191219</v>
      </c>
    </row>
    <row r="13" spans="1:11" x14ac:dyDescent="0.25">
      <c r="A13">
        <v>12</v>
      </c>
      <c r="B13" t="s">
        <v>33</v>
      </c>
      <c r="C13" t="s">
        <v>34</v>
      </c>
      <c r="D13">
        <v>34</v>
      </c>
      <c r="E13">
        <v>559080594.76923084</v>
      </c>
      <c r="F13">
        <v>0</v>
      </c>
      <c r="G13">
        <v>0</v>
      </c>
      <c r="H13">
        <v>0</v>
      </c>
      <c r="I13">
        <v>0</v>
      </c>
      <c r="J13">
        <v>34</v>
      </c>
      <c r="K13">
        <v>559080594.76923084</v>
      </c>
    </row>
    <row r="14" spans="1:11" x14ac:dyDescent="0.25">
      <c r="A14">
        <v>13</v>
      </c>
      <c r="B14" t="s">
        <v>35</v>
      </c>
      <c r="C14" t="s">
        <v>36</v>
      </c>
      <c r="D14">
        <v>24</v>
      </c>
      <c r="E14">
        <v>414175314.28947371</v>
      </c>
      <c r="F14">
        <v>1</v>
      </c>
      <c r="G14">
        <v>17045454</v>
      </c>
      <c r="H14">
        <v>3</v>
      </c>
      <c r="I14">
        <v>50699999</v>
      </c>
      <c r="J14">
        <v>22</v>
      </c>
      <c r="K14">
        <v>380520769.28947371</v>
      </c>
    </row>
    <row r="15" spans="1:11" x14ac:dyDescent="0.25">
      <c r="A15">
        <v>14</v>
      </c>
      <c r="B15" t="s">
        <v>37</v>
      </c>
      <c r="C15" t="s">
        <v>38</v>
      </c>
      <c r="D15">
        <v>26</v>
      </c>
      <c r="E15">
        <v>273265952.93430662</v>
      </c>
      <c r="F15">
        <v>12</v>
      </c>
      <c r="G15">
        <v>183939088</v>
      </c>
      <c r="H15">
        <v>0</v>
      </c>
      <c r="I15">
        <v>0</v>
      </c>
      <c r="J15">
        <v>38</v>
      </c>
      <c r="K15">
        <v>457205040.93430662</v>
      </c>
    </row>
    <row r="16" spans="1:11" x14ac:dyDescent="0.25">
      <c r="A16">
        <v>15</v>
      </c>
      <c r="B16" t="s">
        <v>39</v>
      </c>
      <c r="C16" t="s">
        <v>40</v>
      </c>
      <c r="D16">
        <v>13</v>
      </c>
      <c r="E16">
        <v>179134987.10447761</v>
      </c>
      <c r="F16">
        <v>4</v>
      </c>
      <c r="G16">
        <v>50849090</v>
      </c>
      <c r="H16">
        <v>3</v>
      </c>
      <c r="I16">
        <v>29818182</v>
      </c>
      <c r="J16">
        <v>14</v>
      </c>
      <c r="K16">
        <v>200165895.10447761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150</v>
      </c>
      <c r="E24">
        <v>1032836557.549724</v>
      </c>
      <c r="F24">
        <v>0</v>
      </c>
      <c r="G24">
        <v>0</v>
      </c>
      <c r="H24">
        <v>35</v>
      </c>
      <c r="I24">
        <v>360627272</v>
      </c>
      <c r="J24">
        <v>115</v>
      </c>
      <c r="K24">
        <v>672209285.54972363</v>
      </c>
    </row>
    <row r="25" spans="1:11" x14ac:dyDescent="0.25">
      <c r="A25">
        <v>24</v>
      </c>
      <c r="B25" t="s">
        <v>57</v>
      </c>
      <c r="C25" t="s">
        <v>58</v>
      </c>
      <c r="D25">
        <v>294</v>
      </c>
      <c r="E25">
        <v>2075914347.361217</v>
      </c>
      <c r="F25">
        <v>35</v>
      </c>
      <c r="G25">
        <v>265068182</v>
      </c>
      <c r="H25">
        <v>80</v>
      </c>
      <c r="I25">
        <v>97781844</v>
      </c>
      <c r="J25">
        <v>249</v>
      </c>
      <c r="K25">
        <v>2243200685.361217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7</v>
      </c>
      <c r="E30">
        <v>94397412.307692319</v>
      </c>
      <c r="F30">
        <v>1</v>
      </c>
      <c r="G30">
        <v>363636</v>
      </c>
      <c r="H30">
        <v>3</v>
      </c>
      <c r="I30">
        <v>32836363</v>
      </c>
      <c r="J30">
        <v>5</v>
      </c>
      <c r="K30">
        <v>61924685.307692319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6</v>
      </c>
      <c r="E33">
        <v>30018349.5</v>
      </c>
      <c r="F33">
        <v>0</v>
      </c>
      <c r="G33">
        <v>0</v>
      </c>
      <c r="H33">
        <v>2</v>
      </c>
      <c r="I33">
        <v>6236364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46</v>
      </c>
      <c r="E34">
        <v>113267991.18326689</v>
      </c>
      <c r="F34">
        <v>7</v>
      </c>
      <c r="G34">
        <v>14018182</v>
      </c>
      <c r="H34">
        <v>4</v>
      </c>
      <c r="I34">
        <v>12581818</v>
      </c>
      <c r="J34">
        <v>49</v>
      </c>
      <c r="K34">
        <v>114704355.18326689</v>
      </c>
    </row>
    <row r="35" spans="1:11" x14ac:dyDescent="0.25">
      <c r="A35">
        <v>34</v>
      </c>
      <c r="B35" t="s">
        <v>77</v>
      </c>
      <c r="C35" t="s">
        <v>78</v>
      </c>
      <c r="D35">
        <v>454</v>
      </c>
      <c r="E35">
        <v>941913204.55380154</v>
      </c>
      <c r="F35">
        <v>55</v>
      </c>
      <c r="G35">
        <v>111975011</v>
      </c>
      <c r="H35">
        <v>55</v>
      </c>
      <c r="I35">
        <v>132779091</v>
      </c>
      <c r="J35">
        <v>454</v>
      </c>
      <c r="K35">
        <v>921109124.55380154</v>
      </c>
    </row>
    <row r="36" spans="1:11" x14ac:dyDescent="0.25">
      <c r="A36">
        <v>35</v>
      </c>
      <c r="B36" t="s">
        <v>79</v>
      </c>
      <c r="C36" t="s">
        <v>80</v>
      </c>
      <c r="D36">
        <v>12</v>
      </c>
      <c r="E36">
        <v>37771709.021276593</v>
      </c>
      <c r="F36">
        <v>0</v>
      </c>
      <c r="G36">
        <v>0</v>
      </c>
      <c r="H36">
        <v>4</v>
      </c>
      <c r="I36">
        <v>21154546</v>
      </c>
      <c r="J36">
        <v>8</v>
      </c>
      <c r="K36">
        <v>16617163.021276589</v>
      </c>
    </row>
    <row r="37" spans="1:11" x14ac:dyDescent="0.25">
      <c r="A37">
        <v>36</v>
      </c>
      <c r="B37" t="s">
        <v>81</v>
      </c>
      <c r="C37" t="s">
        <v>82</v>
      </c>
      <c r="D37">
        <v>55</v>
      </c>
      <c r="E37">
        <v>143783106.1964286</v>
      </c>
      <c r="F37">
        <v>0</v>
      </c>
      <c r="G37">
        <v>0</v>
      </c>
      <c r="H37">
        <v>19</v>
      </c>
      <c r="I37">
        <v>36863636</v>
      </c>
      <c r="J37">
        <v>36</v>
      </c>
      <c r="K37">
        <v>106919470.1964286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4636364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4636364</v>
      </c>
    </row>
    <row r="39" spans="1:11" x14ac:dyDescent="0.25">
      <c r="A39">
        <v>38</v>
      </c>
      <c r="B39" t="s">
        <v>85</v>
      </c>
      <c r="C39" t="s">
        <v>86</v>
      </c>
      <c r="D39">
        <v>111</v>
      </c>
      <c r="E39">
        <v>267147693.38106239</v>
      </c>
      <c r="F39">
        <v>16</v>
      </c>
      <c r="G39">
        <v>18127272</v>
      </c>
      <c r="H39">
        <v>12</v>
      </c>
      <c r="I39">
        <v>22436365</v>
      </c>
      <c r="J39">
        <v>115</v>
      </c>
      <c r="K39">
        <v>262838600.38106239</v>
      </c>
    </row>
    <row r="40" spans="1:11" x14ac:dyDescent="0.25">
      <c r="A40">
        <v>39</v>
      </c>
      <c r="B40" t="s">
        <v>87</v>
      </c>
      <c r="C40" t="s">
        <v>88</v>
      </c>
      <c r="D40">
        <v>5</v>
      </c>
      <c r="E40">
        <v>29525252.77777778</v>
      </c>
      <c r="F40">
        <v>0</v>
      </c>
      <c r="G40">
        <v>0</v>
      </c>
      <c r="H40">
        <v>2</v>
      </c>
      <c r="I40">
        <v>14136364</v>
      </c>
      <c r="J40">
        <v>3</v>
      </c>
      <c r="K40">
        <v>15388888.77777778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997</v>
      </c>
      <c r="E42">
        <v>523869421.43484038</v>
      </c>
      <c r="F42">
        <v>116</v>
      </c>
      <c r="G42">
        <v>201322728.19</v>
      </c>
      <c r="H42">
        <v>107</v>
      </c>
      <c r="I42">
        <v>257431812</v>
      </c>
      <c r="J42">
        <v>1006</v>
      </c>
      <c r="K42">
        <v>467760337.6248405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330</v>
      </c>
      <c r="E44">
        <v>913827507.42474437</v>
      </c>
      <c r="F44">
        <v>0</v>
      </c>
      <c r="G44">
        <v>0</v>
      </c>
      <c r="H44">
        <v>11</v>
      </c>
      <c r="I44">
        <v>24236366</v>
      </c>
      <c r="J44">
        <v>319</v>
      </c>
      <c r="K44">
        <v>889591141.42474437</v>
      </c>
    </row>
    <row r="45" spans="1:11" x14ac:dyDescent="0.25">
      <c r="A45">
        <v>44</v>
      </c>
      <c r="B45" t="s">
        <v>97</v>
      </c>
      <c r="C45" t="s">
        <v>98</v>
      </c>
      <c r="D45">
        <v>61</v>
      </c>
      <c r="E45">
        <v>251278654.79297301</v>
      </c>
      <c r="F45">
        <v>1</v>
      </c>
      <c r="G45">
        <v>6563636</v>
      </c>
      <c r="H45">
        <v>9</v>
      </c>
      <c r="I45">
        <v>47518184</v>
      </c>
      <c r="J45">
        <v>53</v>
      </c>
      <c r="K45">
        <v>210324106.79297301</v>
      </c>
    </row>
    <row r="46" spans="1:11" x14ac:dyDescent="0.25">
      <c r="A46">
        <v>45</v>
      </c>
      <c r="B46" t="s">
        <v>99</v>
      </c>
      <c r="C46" t="s">
        <v>100</v>
      </c>
      <c r="D46">
        <v>240</v>
      </c>
      <c r="E46">
        <v>114868667.6325714</v>
      </c>
      <c r="F46">
        <v>12</v>
      </c>
      <c r="G46">
        <v>1272728</v>
      </c>
      <c r="H46">
        <v>6</v>
      </c>
      <c r="I46">
        <v>8454547</v>
      </c>
      <c r="J46">
        <v>246</v>
      </c>
      <c r="K46">
        <v>107686848.6325714</v>
      </c>
    </row>
    <row r="47" spans="1:11" x14ac:dyDescent="0.25">
      <c r="A47">
        <v>46</v>
      </c>
      <c r="B47" t="s">
        <v>101</v>
      </c>
      <c r="C47" t="s">
        <v>102</v>
      </c>
      <c r="D47">
        <v>62</v>
      </c>
      <c r="E47">
        <v>151806050.83567381</v>
      </c>
      <c r="F47">
        <v>9</v>
      </c>
      <c r="G47">
        <v>24036363.640000001</v>
      </c>
      <c r="H47">
        <v>2</v>
      </c>
      <c r="I47">
        <v>11045455</v>
      </c>
      <c r="J47">
        <v>69</v>
      </c>
      <c r="K47">
        <v>164796959.47567379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42</v>
      </c>
      <c r="E49">
        <v>278792249.96224141</v>
      </c>
      <c r="F49">
        <v>1</v>
      </c>
      <c r="G49">
        <v>6109091</v>
      </c>
      <c r="H49">
        <v>6</v>
      </c>
      <c r="I49">
        <v>24354545</v>
      </c>
      <c r="J49">
        <v>37</v>
      </c>
      <c r="K49">
        <v>260546795.96224141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7</v>
      </c>
      <c r="E51">
        <v>1876955.199999999</v>
      </c>
      <c r="F51">
        <v>0</v>
      </c>
      <c r="G51">
        <v>0</v>
      </c>
      <c r="H51">
        <v>1</v>
      </c>
      <c r="I51">
        <v>772727</v>
      </c>
      <c r="J51">
        <v>6</v>
      </c>
      <c r="K51">
        <v>1104228.199999999</v>
      </c>
    </row>
    <row r="52" spans="1:11" x14ac:dyDescent="0.25">
      <c r="A52">
        <v>51</v>
      </c>
      <c r="B52" t="s">
        <v>111</v>
      </c>
      <c r="C52" t="s">
        <v>112</v>
      </c>
      <c r="D52">
        <v>57</v>
      </c>
      <c r="E52">
        <v>101261124.26693881</v>
      </c>
      <c r="F52">
        <v>15</v>
      </c>
      <c r="G52">
        <v>25286112</v>
      </c>
      <c r="H52">
        <v>0</v>
      </c>
      <c r="I52">
        <v>0</v>
      </c>
      <c r="J52">
        <v>72</v>
      </c>
      <c r="K52">
        <v>126547236.26693881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65</v>
      </c>
      <c r="E55">
        <v>186765353.17270201</v>
      </c>
      <c r="F55">
        <v>31</v>
      </c>
      <c r="G55">
        <v>20387000</v>
      </c>
      <c r="H55">
        <v>9</v>
      </c>
      <c r="I55">
        <v>76027273</v>
      </c>
      <c r="J55">
        <v>87</v>
      </c>
      <c r="K55">
        <v>131125080.172702</v>
      </c>
    </row>
    <row r="56" spans="1:11" x14ac:dyDescent="0.25">
      <c r="A56">
        <v>55</v>
      </c>
      <c r="B56" t="s">
        <v>119</v>
      </c>
      <c r="C56" t="s">
        <v>120</v>
      </c>
      <c r="D56">
        <v>26</v>
      </c>
      <c r="E56">
        <v>19260385.491525419</v>
      </c>
      <c r="F56">
        <v>4</v>
      </c>
      <c r="G56">
        <v>2464814</v>
      </c>
      <c r="H56">
        <v>1</v>
      </c>
      <c r="I56">
        <v>1101852</v>
      </c>
      <c r="J56">
        <v>29</v>
      </c>
      <c r="K56">
        <v>20623347.491525419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>
        <v>16096296.290769231</v>
      </c>
      <c r="F57">
        <v>4</v>
      </c>
      <c r="G57">
        <v>15888888.890000001</v>
      </c>
      <c r="H57">
        <v>4</v>
      </c>
      <c r="I57">
        <v>18402964</v>
      </c>
      <c r="J57">
        <v>4</v>
      </c>
      <c r="K57">
        <v>13582221.180769229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3670</v>
      </c>
      <c r="E59">
        <v>353449093.38559759</v>
      </c>
      <c r="F59">
        <v>311</v>
      </c>
      <c r="G59">
        <v>44737269</v>
      </c>
      <c r="H59">
        <v>1341</v>
      </c>
      <c r="I59">
        <v>148548192</v>
      </c>
      <c r="J59">
        <v>2640</v>
      </c>
      <c r="K59">
        <v>249638170.38559759</v>
      </c>
    </row>
    <row r="60" spans="1:11" x14ac:dyDescent="0.25">
      <c r="A60">
        <v>59</v>
      </c>
      <c r="B60" t="s">
        <v>127</v>
      </c>
      <c r="C60" t="s">
        <v>128</v>
      </c>
      <c r="D60">
        <v>98</v>
      </c>
      <c r="E60">
        <v>6414820.6822262118</v>
      </c>
      <c r="F60">
        <v>0</v>
      </c>
      <c r="G60">
        <v>0</v>
      </c>
      <c r="H60">
        <v>10</v>
      </c>
      <c r="I60">
        <v>1610000</v>
      </c>
      <c r="J60">
        <v>88</v>
      </c>
      <c r="K60">
        <v>4804820.6822262118</v>
      </c>
    </row>
    <row r="61" spans="1:11" x14ac:dyDescent="0.25">
      <c r="A61">
        <v>60</v>
      </c>
      <c r="B61" t="s">
        <v>129</v>
      </c>
      <c r="C61" t="s">
        <v>130</v>
      </c>
      <c r="D61">
        <v>19</v>
      </c>
      <c r="E61">
        <v>555801.75</v>
      </c>
      <c r="F61">
        <v>0</v>
      </c>
      <c r="G61">
        <v>0</v>
      </c>
      <c r="H61">
        <v>0</v>
      </c>
      <c r="I61">
        <v>0</v>
      </c>
      <c r="J61">
        <v>19</v>
      </c>
      <c r="K61">
        <v>555801.75</v>
      </c>
    </row>
    <row r="62" spans="1:11" x14ac:dyDescent="0.25">
      <c r="A62">
        <v>61</v>
      </c>
      <c r="B62" t="s">
        <v>131</v>
      </c>
      <c r="C62" t="s">
        <v>132</v>
      </c>
      <c r="D62">
        <v>1595</v>
      </c>
      <c r="E62">
        <v>257662260.8789579</v>
      </c>
      <c r="F62">
        <v>50</v>
      </c>
      <c r="G62">
        <v>1272728</v>
      </c>
      <c r="H62">
        <v>56</v>
      </c>
      <c r="I62">
        <v>17745461</v>
      </c>
      <c r="J62">
        <v>1589</v>
      </c>
      <c r="K62">
        <v>241189527.8789579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15</v>
      </c>
      <c r="E65">
        <v>7747134.4511235952</v>
      </c>
      <c r="F65">
        <v>0</v>
      </c>
      <c r="G65">
        <v>0</v>
      </c>
      <c r="H65">
        <v>0</v>
      </c>
      <c r="I65">
        <v>0</v>
      </c>
      <c r="J65">
        <v>15</v>
      </c>
      <c r="K65">
        <v>7747134.4511235952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189</v>
      </c>
      <c r="E70">
        <v>61125946.125112101</v>
      </c>
      <c r="F70">
        <v>0</v>
      </c>
      <c r="G70">
        <v>0</v>
      </c>
      <c r="H70">
        <v>12</v>
      </c>
      <c r="I70">
        <v>1618182</v>
      </c>
      <c r="J70">
        <v>177</v>
      </c>
      <c r="K70">
        <v>59507764.125112101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3</v>
      </c>
      <c r="E72">
        <v>1745454.6</v>
      </c>
      <c r="F72">
        <v>0</v>
      </c>
      <c r="G72">
        <v>0</v>
      </c>
      <c r="H72">
        <v>2</v>
      </c>
      <c r="I72">
        <v>1045455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54</v>
      </c>
      <c r="E73">
        <v>440760.79768786131</v>
      </c>
      <c r="F73">
        <v>140</v>
      </c>
      <c r="G73">
        <v>410060</v>
      </c>
      <c r="H73">
        <v>100</v>
      </c>
      <c r="I73">
        <v>712963</v>
      </c>
      <c r="J73">
        <v>94</v>
      </c>
      <c r="K73">
        <v>137857.79768786131</v>
      </c>
    </row>
    <row r="74" spans="1:11" x14ac:dyDescent="0.25">
      <c r="A74">
        <v>73</v>
      </c>
      <c r="B74" t="s">
        <v>155</v>
      </c>
      <c r="C74" t="s">
        <v>156</v>
      </c>
      <c r="D74">
        <v>100</v>
      </c>
      <c r="E74">
        <v>223844205.07878789</v>
      </c>
      <c r="F74">
        <v>24</v>
      </c>
      <c r="G74">
        <v>59604544</v>
      </c>
      <c r="H74">
        <v>8</v>
      </c>
      <c r="I74">
        <v>20172727</v>
      </c>
      <c r="J74">
        <v>116</v>
      </c>
      <c r="K74">
        <v>263276022.07878789</v>
      </c>
    </row>
    <row r="75" spans="1:11" x14ac:dyDescent="0.25">
      <c r="A75">
        <v>74</v>
      </c>
      <c r="B75" t="s">
        <v>157</v>
      </c>
      <c r="C75" t="s">
        <v>158</v>
      </c>
      <c r="D75">
        <v>104</v>
      </c>
      <c r="E75">
        <v>328732862.75098813</v>
      </c>
      <c r="F75">
        <v>35</v>
      </c>
      <c r="G75">
        <v>115990908</v>
      </c>
      <c r="H75">
        <v>9</v>
      </c>
      <c r="I75">
        <v>53009090</v>
      </c>
      <c r="J75">
        <v>130</v>
      </c>
      <c r="K75">
        <v>391714680.75098813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116</v>
      </c>
      <c r="E78">
        <v>172762439.59605911</v>
      </c>
      <c r="F78">
        <v>7</v>
      </c>
      <c r="G78">
        <v>11110911</v>
      </c>
      <c r="H78">
        <v>1</v>
      </c>
      <c r="I78">
        <v>1900000</v>
      </c>
      <c r="J78">
        <v>122</v>
      </c>
      <c r="K78">
        <v>181973350.59605911</v>
      </c>
    </row>
    <row r="79" spans="1:11" x14ac:dyDescent="0.25">
      <c r="A79">
        <v>78</v>
      </c>
      <c r="B79" t="s">
        <v>165</v>
      </c>
      <c r="C79" t="s">
        <v>166</v>
      </c>
      <c r="D79">
        <v>9</v>
      </c>
      <c r="E79">
        <v>22480932</v>
      </c>
      <c r="F79">
        <v>0</v>
      </c>
      <c r="G79">
        <v>0</v>
      </c>
      <c r="H79">
        <v>0</v>
      </c>
      <c r="I79">
        <v>0</v>
      </c>
      <c r="J79">
        <v>9</v>
      </c>
      <c r="K79">
        <v>22480932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533</v>
      </c>
      <c r="E81">
        <v>139243989.62329009</v>
      </c>
      <c r="F81">
        <v>15</v>
      </c>
      <c r="G81">
        <v>4204546</v>
      </c>
      <c r="H81">
        <v>39</v>
      </c>
      <c r="I81">
        <v>13899999</v>
      </c>
      <c r="J81">
        <v>509</v>
      </c>
      <c r="K81">
        <v>129548536.62329011</v>
      </c>
    </row>
    <row r="82" spans="1:11" x14ac:dyDescent="0.25">
      <c r="A82">
        <v>81</v>
      </c>
      <c r="B82" t="s">
        <v>171</v>
      </c>
      <c r="C82" t="s">
        <v>172</v>
      </c>
      <c r="D82">
        <v>115</v>
      </c>
      <c r="E82">
        <v>81780313.117302045</v>
      </c>
      <c r="F82">
        <v>36</v>
      </c>
      <c r="G82">
        <v>24499995</v>
      </c>
      <c r="H82">
        <v>5</v>
      </c>
      <c r="I82">
        <v>4090910</v>
      </c>
      <c r="J82">
        <v>146</v>
      </c>
      <c r="K82">
        <v>102189398.117302</v>
      </c>
    </row>
    <row r="83" spans="1:11" x14ac:dyDescent="0.25">
      <c r="A83">
        <v>82</v>
      </c>
      <c r="B83" t="s">
        <v>173</v>
      </c>
      <c r="C83" t="s">
        <v>174</v>
      </c>
      <c r="D83">
        <v>26</v>
      </c>
      <c r="E83">
        <v>24599923.202380959</v>
      </c>
      <c r="F83">
        <v>4</v>
      </c>
      <c r="G83">
        <v>2090909</v>
      </c>
      <c r="H83">
        <v>0</v>
      </c>
      <c r="I83">
        <v>0</v>
      </c>
      <c r="J83">
        <v>30</v>
      </c>
      <c r="K83">
        <v>26690832.202380959</v>
      </c>
    </row>
    <row r="84" spans="1:11" x14ac:dyDescent="0.25">
      <c r="A84">
        <v>83</v>
      </c>
      <c r="B84" t="s">
        <v>175</v>
      </c>
      <c r="C84" t="s">
        <v>176</v>
      </c>
      <c r="D84">
        <v>23</v>
      </c>
      <c r="E84">
        <v>56760270.200000003</v>
      </c>
      <c r="F84">
        <v>0</v>
      </c>
      <c r="G84">
        <v>0</v>
      </c>
      <c r="H84">
        <v>4</v>
      </c>
      <c r="I84">
        <v>15163636</v>
      </c>
      <c r="J84">
        <v>19</v>
      </c>
      <c r="K84">
        <v>41596634.200000003</v>
      </c>
    </row>
    <row r="85" spans="1:11" x14ac:dyDescent="0.25">
      <c r="A85">
        <v>84</v>
      </c>
      <c r="B85" t="s">
        <v>177</v>
      </c>
      <c r="C85" t="s">
        <v>178</v>
      </c>
      <c r="D85">
        <v>5</v>
      </c>
      <c r="E85">
        <v>26987346.483870968</v>
      </c>
      <c r="F85">
        <v>2</v>
      </c>
      <c r="G85">
        <v>495837</v>
      </c>
      <c r="H85">
        <v>0</v>
      </c>
      <c r="I85">
        <v>0</v>
      </c>
      <c r="J85">
        <v>7</v>
      </c>
      <c r="K85">
        <v>27483183.483870968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76</v>
      </c>
      <c r="E87">
        <v>93614626.572559372</v>
      </c>
      <c r="F87">
        <v>3</v>
      </c>
      <c r="G87">
        <v>9636364</v>
      </c>
      <c r="H87">
        <v>19</v>
      </c>
      <c r="I87">
        <v>28254545</v>
      </c>
      <c r="J87">
        <v>60</v>
      </c>
      <c r="K87">
        <v>74996445.572559372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1158</v>
      </c>
      <c r="E89">
        <v>300489479.74628812</v>
      </c>
      <c r="F89">
        <v>2</v>
      </c>
      <c r="G89">
        <v>6363636</v>
      </c>
      <c r="H89">
        <v>113</v>
      </c>
      <c r="I89">
        <v>41227274</v>
      </c>
      <c r="J89">
        <v>1047</v>
      </c>
      <c r="K89">
        <v>265625841.74628809</v>
      </c>
    </row>
    <row r="90" spans="1:11" x14ac:dyDescent="0.25">
      <c r="A90">
        <v>89</v>
      </c>
      <c r="B90" t="s">
        <v>187</v>
      </c>
      <c r="C90" t="s">
        <v>188</v>
      </c>
      <c r="D90">
        <v>200</v>
      </c>
      <c r="E90">
        <v>172928216.34957021</v>
      </c>
      <c r="F90">
        <v>5</v>
      </c>
      <c r="G90">
        <v>27400000</v>
      </c>
      <c r="H90">
        <v>6</v>
      </c>
      <c r="I90">
        <v>5581817</v>
      </c>
      <c r="J90">
        <v>199</v>
      </c>
      <c r="K90">
        <v>194746399.34957021</v>
      </c>
    </row>
    <row r="91" spans="1:11" x14ac:dyDescent="0.25">
      <c r="A91">
        <v>90</v>
      </c>
      <c r="B91" t="s">
        <v>189</v>
      </c>
      <c r="C91" t="s">
        <v>190</v>
      </c>
      <c r="D91">
        <v>57</v>
      </c>
      <c r="E91">
        <v>73866867.992395431</v>
      </c>
      <c r="F91">
        <v>7</v>
      </c>
      <c r="G91">
        <v>11790909</v>
      </c>
      <c r="H91">
        <v>0</v>
      </c>
      <c r="I91">
        <v>0</v>
      </c>
      <c r="J91">
        <v>64</v>
      </c>
      <c r="K91">
        <v>85657776.992395431</v>
      </c>
    </row>
    <row r="92" spans="1:11" x14ac:dyDescent="0.25">
      <c r="A92">
        <v>91</v>
      </c>
      <c r="B92" t="s">
        <v>191</v>
      </c>
      <c r="C92" t="s">
        <v>192</v>
      </c>
      <c r="D92">
        <v>151</v>
      </c>
      <c r="E92">
        <v>86213210.128078818</v>
      </c>
      <c r="F92">
        <v>7</v>
      </c>
      <c r="G92">
        <v>0</v>
      </c>
      <c r="H92">
        <v>20</v>
      </c>
      <c r="I92">
        <v>19889090</v>
      </c>
      <c r="J92">
        <v>138</v>
      </c>
      <c r="K92">
        <v>66324120.128078818</v>
      </c>
    </row>
    <row r="93" spans="1:11" x14ac:dyDescent="0.25">
      <c r="A93">
        <v>92</v>
      </c>
      <c r="B93" t="s">
        <v>193</v>
      </c>
      <c r="C93" t="s">
        <v>194</v>
      </c>
      <c r="D93">
        <v>67</v>
      </c>
      <c r="E93">
        <v>101594054.4325581</v>
      </c>
      <c r="F93">
        <v>1</v>
      </c>
      <c r="G93">
        <v>2009091</v>
      </c>
      <c r="H93">
        <v>9</v>
      </c>
      <c r="I93">
        <v>14116363</v>
      </c>
      <c r="J93">
        <v>59</v>
      </c>
      <c r="K93">
        <v>89486782.432558149</v>
      </c>
    </row>
    <row r="94" spans="1:11" x14ac:dyDescent="0.25">
      <c r="A94">
        <v>93</v>
      </c>
      <c r="B94" t="s">
        <v>195</v>
      </c>
      <c r="C94" t="s">
        <v>196</v>
      </c>
      <c r="D94">
        <v>333</v>
      </c>
      <c r="E94">
        <v>105442515.6155607</v>
      </c>
      <c r="F94">
        <v>20</v>
      </c>
      <c r="G94">
        <v>28095445</v>
      </c>
      <c r="H94">
        <v>22</v>
      </c>
      <c r="I94">
        <v>13572728</v>
      </c>
      <c r="J94">
        <v>331</v>
      </c>
      <c r="K94">
        <v>119965232.6155607</v>
      </c>
    </row>
    <row r="95" spans="1:11" x14ac:dyDescent="0.25">
      <c r="A95">
        <v>94</v>
      </c>
      <c r="B95" t="s">
        <v>197</v>
      </c>
      <c r="C95" t="s">
        <v>198</v>
      </c>
      <c r="D95">
        <v>18</v>
      </c>
      <c r="E95">
        <v>2273726.8672566381</v>
      </c>
      <c r="F95">
        <v>0</v>
      </c>
      <c r="G95">
        <v>0</v>
      </c>
      <c r="H95">
        <v>0</v>
      </c>
      <c r="I95">
        <v>0</v>
      </c>
      <c r="J95">
        <v>18</v>
      </c>
      <c r="K95">
        <v>2273726.8672566381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997</v>
      </c>
      <c r="E97">
        <v>100642438.4361957</v>
      </c>
      <c r="F97">
        <v>108</v>
      </c>
      <c r="G97">
        <v>11504545</v>
      </c>
      <c r="H97">
        <v>72</v>
      </c>
      <c r="I97">
        <v>6999998</v>
      </c>
      <c r="J97">
        <v>1033</v>
      </c>
      <c r="K97">
        <v>105146985.4361957</v>
      </c>
    </row>
    <row r="98" spans="1:11" x14ac:dyDescent="0.25">
      <c r="A98">
        <v>97</v>
      </c>
      <c r="B98" t="s">
        <v>203</v>
      </c>
      <c r="C98" t="s">
        <v>204</v>
      </c>
      <c r="D98">
        <v>429</v>
      </c>
      <c r="E98">
        <v>85332573.620727673</v>
      </c>
      <c r="F98">
        <v>100</v>
      </c>
      <c r="G98">
        <v>21818182</v>
      </c>
      <c r="H98">
        <v>158</v>
      </c>
      <c r="I98">
        <v>36800041</v>
      </c>
      <c r="J98">
        <v>371</v>
      </c>
      <c r="K98">
        <v>70350714.620727673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11</v>
      </c>
      <c r="E100">
        <v>16917241.758620691</v>
      </c>
      <c r="F100">
        <v>0</v>
      </c>
      <c r="G100">
        <v>0</v>
      </c>
      <c r="H100">
        <v>1</v>
      </c>
      <c r="I100">
        <v>690909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3229124</v>
      </c>
      <c r="F101">
        <v>0</v>
      </c>
      <c r="G101">
        <v>0</v>
      </c>
      <c r="H101">
        <v>1</v>
      </c>
      <c r="I101">
        <v>772727</v>
      </c>
      <c r="J101">
        <v>2</v>
      </c>
      <c r="K101">
        <v>2456397</v>
      </c>
    </row>
    <row r="102" spans="1:11" x14ac:dyDescent="0.25">
      <c r="A102">
        <v>101</v>
      </c>
      <c r="B102" t="s">
        <v>211</v>
      </c>
      <c r="C102" t="s">
        <v>212</v>
      </c>
      <c r="D102">
        <v>113</v>
      </c>
      <c r="E102">
        <v>95482507.669291347</v>
      </c>
      <c r="F102">
        <v>0</v>
      </c>
      <c r="G102">
        <v>0</v>
      </c>
      <c r="H102">
        <v>0</v>
      </c>
      <c r="I102">
        <v>0</v>
      </c>
      <c r="J102">
        <v>113</v>
      </c>
      <c r="K102">
        <v>95482507.669291347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1684</v>
      </c>
      <c r="E104">
        <v>208744948.46378449</v>
      </c>
      <c r="F104">
        <v>719</v>
      </c>
      <c r="G104">
        <v>52778166</v>
      </c>
      <c r="H104">
        <v>158</v>
      </c>
      <c r="I104">
        <v>27072715</v>
      </c>
      <c r="J104">
        <v>2245</v>
      </c>
      <c r="K104">
        <v>234450399.46378449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173</v>
      </c>
      <c r="E105">
        <v>62696261.992982447</v>
      </c>
      <c r="F105">
        <v>26</v>
      </c>
      <c r="G105">
        <v>10418182</v>
      </c>
      <c r="H105">
        <v>7</v>
      </c>
      <c r="I105">
        <v>2436364</v>
      </c>
      <c r="J105">
        <v>192</v>
      </c>
      <c r="K105">
        <v>70678079.992982447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1680</v>
      </c>
      <c r="E106">
        <v>196277356.69023031</v>
      </c>
      <c r="F106">
        <v>327</v>
      </c>
      <c r="G106">
        <v>56390907</v>
      </c>
      <c r="H106">
        <v>617</v>
      </c>
      <c r="I106">
        <v>30563635</v>
      </c>
      <c r="J106">
        <v>1390</v>
      </c>
      <c r="K106">
        <v>222104628.69023031</v>
      </c>
    </row>
    <row r="107" spans="1:11" x14ac:dyDescent="0.25">
      <c r="A107">
        <v>106</v>
      </c>
      <c r="B107" t="s">
        <v>221</v>
      </c>
      <c r="C107" t="s">
        <v>222</v>
      </c>
      <c r="D107">
        <v>866</v>
      </c>
      <c r="E107">
        <v>131362912.3291294</v>
      </c>
      <c r="F107">
        <v>635</v>
      </c>
      <c r="G107">
        <v>73199998</v>
      </c>
      <c r="H107">
        <v>343</v>
      </c>
      <c r="I107">
        <v>42199997</v>
      </c>
      <c r="J107">
        <v>1158</v>
      </c>
      <c r="K107">
        <v>162362913.3291294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255</v>
      </c>
      <c r="E109">
        <v>73130146.850046858</v>
      </c>
      <c r="F109">
        <v>21</v>
      </c>
      <c r="G109">
        <v>4695454</v>
      </c>
      <c r="H109">
        <v>8</v>
      </c>
      <c r="I109">
        <v>1718180</v>
      </c>
      <c r="J109">
        <v>268</v>
      </c>
      <c r="K109">
        <v>76107420.850046858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269</v>
      </c>
      <c r="E110">
        <v>97131099.166189104</v>
      </c>
      <c r="F110">
        <v>0</v>
      </c>
      <c r="G110">
        <v>0</v>
      </c>
      <c r="H110">
        <v>77</v>
      </c>
      <c r="I110">
        <v>20322716</v>
      </c>
      <c r="J110">
        <v>192</v>
      </c>
      <c r="K110">
        <v>76808383.166189104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98</v>
      </c>
      <c r="E112">
        <v>46161427.259079903</v>
      </c>
      <c r="F112">
        <v>23</v>
      </c>
      <c r="G112">
        <v>9226363</v>
      </c>
      <c r="H112">
        <v>0</v>
      </c>
      <c r="I112">
        <v>0</v>
      </c>
      <c r="J112">
        <v>121</v>
      </c>
      <c r="K112">
        <v>55387790.259079903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783</v>
      </c>
      <c r="E113">
        <v>244161226.390264</v>
      </c>
      <c r="F113">
        <v>40</v>
      </c>
      <c r="G113">
        <v>8838182</v>
      </c>
      <c r="H113">
        <v>0</v>
      </c>
      <c r="I113">
        <v>0</v>
      </c>
      <c r="J113">
        <v>823</v>
      </c>
      <c r="K113">
        <v>252999408.390264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>
        <v>15491058.620689649</v>
      </c>
      <c r="F114">
        <v>0</v>
      </c>
      <c r="G114">
        <v>0</v>
      </c>
      <c r="H114">
        <v>0</v>
      </c>
      <c r="I114">
        <v>0</v>
      </c>
      <c r="J114">
        <v>26</v>
      </c>
      <c r="K114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239</v>
      </c>
      <c r="E123">
        <v>90625931.616306961</v>
      </c>
      <c r="F123">
        <v>10</v>
      </c>
      <c r="G123">
        <v>4100000</v>
      </c>
      <c r="H123">
        <v>117</v>
      </c>
      <c r="I123">
        <v>43005415</v>
      </c>
      <c r="J123">
        <v>132</v>
      </c>
      <c r="K123">
        <v>51720516.616306961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59</v>
      </c>
      <c r="E124">
        <v>31954333.84722222</v>
      </c>
      <c r="F124">
        <v>0</v>
      </c>
      <c r="G124">
        <v>0</v>
      </c>
      <c r="H124">
        <v>3</v>
      </c>
      <c r="I124">
        <v>1781818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494</v>
      </c>
      <c r="E126">
        <v>299091542.2321918</v>
      </c>
      <c r="F126">
        <v>39</v>
      </c>
      <c r="G126">
        <v>27707272</v>
      </c>
      <c r="H126">
        <v>65</v>
      </c>
      <c r="I126">
        <v>73271817</v>
      </c>
      <c r="J126">
        <v>468</v>
      </c>
      <c r="K126">
        <v>253526997.2321918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>
        <v>8312628.4090909092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8312628.4090909092</v>
      </c>
    </row>
    <row r="129" spans="1:11" x14ac:dyDescent="0.25">
      <c r="A129">
        <v>128</v>
      </c>
      <c r="B129" t="s">
        <v>265</v>
      </c>
      <c r="C129" t="s">
        <v>266</v>
      </c>
      <c r="D129">
        <v>15</v>
      </c>
      <c r="E129">
        <v>34004161.75</v>
      </c>
      <c r="F129">
        <v>2</v>
      </c>
      <c r="G129">
        <v>5190909</v>
      </c>
      <c r="H129">
        <v>2</v>
      </c>
      <c r="I129">
        <v>9840909</v>
      </c>
      <c r="J129">
        <v>15</v>
      </c>
      <c r="K129">
        <v>29354161.75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577</v>
      </c>
      <c r="E131">
        <v>169073966.5194805</v>
      </c>
      <c r="F131">
        <v>6</v>
      </c>
      <c r="G131">
        <v>568182</v>
      </c>
      <c r="H131">
        <v>340</v>
      </c>
      <c r="I131">
        <v>18787274</v>
      </c>
      <c r="J131">
        <v>243</v>
      </c>
      <c r="K131">
        <v>150854874.5194805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119</v>
      </c>
      <c r="E132">
        <v>24918501.7489301</v>
      </c>
      <c r="F132">
        <v>0</v>
      </c>
      <c r="G132">
        <v>0</v>
      </c>
      <c r="H132">
        <v>8</v>
      </c>
      <c r="I132">
        <v>10154545</v>
      </c>
      <c r="J132">
        <v>111</v>
      </c>
      <c r="K132">
        <v>14763956.7489301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318</v>
      </c>
      <c r="E133">
        <v>100098750.7694118</v>
      </c>
      <c r="F133">
        <v>26</v>
      </c>
      <c r="G133">
        <v>2786359</v>
      </c>
      <c r="H133">
        <v>5</v>
      </c>
      <c r="I133">
        <v>3960909</v>
      </c>
      <c r="J133">
        <v>339</v>
      </c>
      <c r="K133">
        <v>98924200.769411772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94</v>
      </c>
      <c r="E134">
        <v>32662507.08433735</v>
      </c>
      <c r="F134">
        <v>3</v>
      </c>
      <c r="G134">
        <v>1941819</v>
      </c>
      <c r="H134">
        <v>2</v>
      </c>
      <c r="I134">
        <v>1090909</v>
      </c>
      <c r="J134">
        <v>95</v>
      </c>
      <c r="K134">
        <v>33513417.08433735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21518658.860465121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21518658.860465121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114</v>
      </c>
      <c r="E143">
        <v>49861168.115942031</v>
      </c>
      <c r="F143">
        <v>19</v>
      </c>
      <c r="G143">
        <v>14378000</v>
      </c>
      <c r="H143">
        <v>24</v>
      </c>
      <c r="I143">
        <v>16500000</v>
      </c>
      <c r="J143">
        <v>109</v>
      </c>
      <c r="K143">
        <v>47739168.115942031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12</v>
      </c>
      <c r="E145">
        <v>775955.15151515149</v>
      </c>
      <c r="F145">
        <v>3</v>
      </c>
      <c r="G145">
        <v>1660000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182.3</v>
      </c>
      <c r="E146">
        <v>681340537.55999994</v>
      </c>
      <c r="F146">
        <v>454</v>
      </c>
      <c r="G146">
        <v>163164430</v>
      </c>
      <c r="H146">
        <v>150</v>
      </c>
      <c r="I146">
        <v>178877948</v>
      </c>
      <c r="J146">
        <v>486.3</v>
      </c>
      <c r="K146">
        <v>665627019.55999994</v>
      </c>
    </row>
    <row r="147" spans="1:11" x14ac:dyDescent="0.25">
      <c r="A147" t="s">
        <v>301</v>
      </c>
      <c r="D147">
        <v>22566.3</v>
      </c>
      <c r="E147">
        <v>20830800082.15044</v>
      </c>
      <c r="F147">
        <v>3628</v>
      </c>
      <c r="G147">
        <v>2381764449.7199998</v>
      </c>
      <c r="H147">
        <v>4388</v>
      </c>
      <c r="I147">
        <v>3205182101</v>
      </c>
      <c r="J147">
        <v>21806.3</v>
      </c>
      <c r="K147">
        <v>20007382430.870441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tabSelected="1" topLeftCell="A13" workbookViewId="0">
      <selection activeCell="A29" sqref="A29:XFD29"/>
    </sheetView>
  </sheetViews>
  <sheetFormatPr defaultRowHeight="15" x14ac:dyDescent="0.25"/>
  <cols>
    <col min="1" max="3" width="9.140625" style="8"/>
    <col min="4" max="4" width="9.28515625" style="7" bestFit="1" customWidth="1"/>
    <col min="5" max="5" width="16.85546875" style="7" bestFit="1" customWidth="1"/>
    <col min="6" max="6" width="16.85546875" style="7" customWidth="1"/>
    <col min="7" max="7" width="18" style="6" bestFit="1" customWidth="1"/>
    <col min="8" max="8" width="14.28515625" bestFit="1" customWidth="1"/>
  </cols>
  <sheetData>
    <row r="1" spans="1:8" x14ac:dyDescent="0.25">
      <c r="A1" s="1" t="s">
        <v>302</v>
      </c>
      <c r="B1" s="1" t="s">
        <v>303</v>
      </c>
      <c r="C1" s="1" t="s">
        <v>304</v>
      </c>
      <c r="D1" s="2" t="s">
        <v>305</v>
      </c>
      <c r="E1" s="2" t="s">
        <v>306</v>
      </c>
      <c r="F1" s="2"/>
      <c r="G1" s="2" t="s">
        <v>352</v>
      </c>
      <c r="H1" s="11" t="s">
        <v>353</v>
      </c>
    </row>
    <row r="2" spans="1:8" x14ac:dyDescent="0.25">
      <c r="A2" s="9" t="s">
        <v>307</v>
      </c>
      <c r="B2" s="9" t="s">
        <v>308</v>
      </c>
      <c r="C2" s="9" t="s">
        <v>309</v>
      </c>
      <c r="D2" s="10">
        <v>52</v>
      </c>
      <c r="E2" s="10">
        <v>890556850</v>
      </c>
      <c r="F2" s="10"/>
      <c r="G2" s="10"/>
      <c r="H2" s="1"/>
    </row>
    <row r="3" spans="1:8" s="5" customFormat="1" x14ac:dyDescent="0.25">
      <c r="A3" s="3" t="s">
        <v>307</v>
      </c>
      <c r="B3" s="3" t="s">
        <v>310</v>
      </c>
      <c r="C3" s="3" t="s">
        <v>309</v>
      </c>
      <c r="D3" s="4">
        <v>62</v>
      </c>
      <c r="E3" s="4">
        <v>1154981164</v>
      </c>
      <c r="F3" s="4"/>
      <c r="G3" s="4">
        <f>[1]Sheet1!$L$5</f>
        <v>1154981164</v>
      </c>
      <c r="H3" s="12">
        <f>E3-G3</f>
        <v>0</v>
      </c>
    </row>
    <row r="4" spans="1:8" x14ac:dyDescent="0.25">
      <c r="A4" s="1" t="s">
        <v>311</v>
      </c>
      <c r="B4" s="1" t="s">
        <v>308</v>
      </c>
      <c r="C4" s="1" t="s">
        <v>309</v>
      </c>
      <c r="D4" s="2">
        <v>126</v>
      </c>
      <c r="E4" s="2">
        <v>1062540911</v>
      </c>
      <c r="F4" s="2"/>
      <c r="G4" s="2"/>
      <c r="H4" s="12"/>
    </row>
    <row r="5" spans="1:8" s="5" customFormat="1" x14ac:dyDescent="0.25">
      <c r="A5" s="3" t="s">
        <v>311</v>
      </c>
      <c r="B5" s="3" t="s">
        <v>310</v>
      </c>
      <c r="C5" s="3" t="s">
        <v>309</v>
      </c>
      <c r="D5" s="4">
        <v>120</v>
      </c>
      <c r="E5" s="4">
        <v>1735340428</v>
      </c>
      <c r="F5" s="4"/>
      <c r="G5" s="4">
        <f>[1]Sheet1!$L$6</f>
        <v>1745704064</v>
      </c>
      <c r="H5" s="12">
        <f t="shared" ref="H4:H27" si="0">E5-G5</f>
        <v>-10363636</v>
      </c>
    </row>
    <row r="6" spans="1:8" x14ac:dyDescent="0.25">
      <c r="A6" s="1" t="s">
        <v>312</v>
      </c>
      <c r="B6" s="1" t="s">
        <v>308</v>
      </c>
      <c r="C6" s="1" t="s">
        <v>309</v>
      </c>
      <c r="D6" s="2">
        <v>158</v>
      </c>
      <c r="E6" s="2">
        <v>1702314546</v>
      </c>
      <c r="F6" s="2"/>
      <c r="G6" s="2"/>
      <c r="H6" s="12"/>
    </row>
    <row r="7" spans="1:8" s="5" customFormat="1" x14ac:dyDescent="0.25">
      <c r="A7" s="3" t="s">
        <v>312</v>
      </c>
      <c r="B7" s="3" t="s">
        <v>310</v>
      </c>
      <c r="C7" s="3" t="s">
        <v>309</v>
      </c>
      <c r="D7" s="4">
        <v>130</v>
      </c>
      <c r="E7" s="4">
        <v>1536437738</v>
      </c>
      <c r="F7" s="4"/>
      <c r="G7" s="4">
        <f>[1]Sheet1!$L$7</f>
        <v>1536437738</v>
      </c>
      <c r="H7" s="12">
        <f t="shared" si="0"/>
        <v>0</v>
      </c>
    </row>
    <row r="8" spans="1:8" x14ac:dyDescent="0.25">
      <c r="A8" s="1" t="s">
        <v>313</v>
      </c>
      <c r="B8" s="1" t="s">
        <v>308</v>
      </c>
      <c r="C8" s="1" t="s">
        <v>309</v>
      </c>
      <c r="D8" s="2">
        <v>114</v>
      </c>
      <c r="E8" s="2">
        <v>976118179</v>
      </c>
      <c r="F8" s="2"/>
      <c r="G8" s="2"/>
      <c r="H8" s="12"/>
    </row>
    <row r="9" spans="1:8" s="5" customFormat="1" x14ac:dyDescent="0.25">
      <c r="A9" s="3" t="s">
        <v>313</v>
      </c>
      <c r="B9" s="3" t="s">
        <v>310</v>
      </c>
      <c r="C9" s="3" t="s">
        <v>309</v>
      </c>
      <c r="D9" s="4">
        <v>83</v>
      </c>
      <c r="E9" s="4">
        <v>757550609</v>
      </c>
      <c r="F9" s="4"/>
      <c r="G9" s="4">
        <f>[1]Sheet1!$L$8</f>
        <v>757550609</v>
      </c>
      <c r="H9" s="12">
        <f t="shared" si="0"/>
        <v>0</v>
      </c>
    </row>
    <row r="10" spans="1:8" x14ac:dyDescent="0.25">
      <c r="A10" s="1" t="s">
        <v>314</v>
      </c>
      <c r="B10" s="1" t="s">
        <v>308</v>
      </c>
      <c r="C10" s="1" t="s">
        <v>309</v>
      </c>
      <c r="D10" s="2">
        <v>107</v>
      </c>
      <c r="E10" s="2">
        <v>856337274</v>
      </c>
      <c r="F10" s="2"/>
      <c r="G10" s="2"/>
      <c r="H10" s="12"/>
    </row>
    <row r="11" spans="1:8" s="5" customFormat="1" x14ac:dyDescent="0.25">
      <c r="A11" s="3" t="s">
        <v>314</v>
      </c>
      <c r="B11" s="3" t="s">
        <v>310</v>
      </c>
      <c r="C11" s="3" t="s">
        <v>309</v>
      </c>
      <c r="D11" s="4">
        <v>110</v>
      </c>
      <c r="E11" s="4">
        <v>581305529</v>
      </c>
      <c r="F11" s="4"/>
      <c r="G11" s="4">
        <f>[1]Sheet1!$L$9</f>
        <v>600350985</v>
      </c>
      <c r="H11" s="12">
        <f t="shared" si="0"/>
        <v>-19045456</v>
      </c>
    </row>
    <row r="12" spans="1:8" x14ac:dyDescent="0.25">
      <c r="A12" s="1" t="s">
        <v>315</v>
      </c>
      <c r="B12" s="1" t="s">
        <v>308</v>
      </c>
      <c r="C12" s="1" t="s">
        <v>309</v>
      </c>
      <c r="D12" s="2">
        <v>114</v>
      </c>
      <c r="E12" s="2">
        <v>979997269</v>
      </c>
      <c r="F12" s="2"/>
      <c r="G12" s="2"/>
      <c r="H12" s="12"/>
    </row>
    <row r="13" spans="1:8" s="5" customFormat="1" x14ac:dyDescent="0.25">
      <c r="A13" s="3" t="s">
        <v>315</v>
      </c>
      <c r="B13" s="3" t="s">
        <v>310</v>
      </c>
      <c r="C13" s="3" t="s">
        <v>309</v>
      </c>
      <c r="D13" s="4">
        <v>127</v>
      </c>
      <c r="E13" s="4">
        <v>740560570</v>
      </c>
      <c r="F13" s="4"/>
      <c r="G13" s="4">
        <f>[1]Sheet1!$L$10</f>
        <v>749561478</v>
      </c>
      <c r="H13" s="12">
        <f t="shared" si="0"/>
        <v>-9000908</v>
      </c>
    </row>
    <row r="14" spans="1:8" x14ac:dyDescent="0.25">
      <c r="A14" s="1" t="s">
        <v>316</v>
      </c>
      <c r="B14" s="1" t="s">
        <v>308</v>
      </c>
      <c r="C14" s="1" t="s">
        <v>309</v>
      </c>
      <c r="D14" s="2">
        <v>96</v>
      </c>
      <c r="E14" s="2">
        <v>1153648183</v>
      </c>
      <c r="F14" s="2"/>
      <c r="G14" s="2"/>
      <c r="H14" s="12"/>
    </row>
    <row r="15" spans="1:8" s="5" customFormat="1" x14ac:dyDescent="0.25">
      <c r="A15" s="3" t="s">
        <v>316</v>
      </c>
      <c r="B15" s="3" t="s">
        <v>310</v>
      </c>
      <c r="C15" s="3" t="s">
        <v>309</v>
      </c>
      <c r="D15" s="4">
        <v>106</v>
      </c>
      <c r="E15" s="4">
        <v>895409563</v>
      </c>
      <c r="F15" s="4"/>
      <c r="G15" s="4">
        <f>[1]Sheet1!$L$11</f>
        <v>895409563</v>
      </c>
      <c r="H15" s="12">
        <f t="shared" si="0"/>
        <v>0</v>
      </c>
    </row>
    <row r="16" spans="1:8" x14ac:dyDescent="0.25">
      <c r="A16" s="1" t="s">
        <v>317</v>
      </c>
      <c r="B16" s="1" t="s">
        <v>308</v>
      </c>
      <c r="C16" s="1" t="s">
        <v>309</v>
      </c>
      <c r="D16" s="2">
        <v>119</v>
      </c>
      <c r="E16" s="2">
        <v>1158949228</v>
      </c>
      <c r="F16" s="2"/>
      <c r="G16" s="2"/>
      <c r="H16" s="12"/>
    </row>
    <row r="17" spans="1:8" s="5" customFormat="1" x14ac:dyDescent="0.25">
      <c r="A17" s="3" t="s">
        <v>317</v>
      </c>
      <c r="B17" s="3" t="s">
        <v>310</v>
      </c>
      <c r="C17" s="3" t="s">
        <v>309</v>
      </c>
      <c r="D17" s="4">
        <v>166</v>
      </c>
      <c r="E17" s="4">
        <v>1808561143</v>
      </c>
      <c r="F17" s="4"/>
      <c r="G17" s="4">
        <f>[1]Sheet1!$L$12</f>
        <v>1812197507</v>
      </c>
      <c r="H17" s="12">
        <f t="shared" si="0"/>
        <v>-3636364</v>
      </c>
    </row>
    <row r="18" spans="1:8" x14ac:dyDescent="0.25">
      <c r="A18" s="1" t="s">
        <v>318</v>
      </c>
      <c r="B18" s="1" t="s">
        <v>308</v>
      </c>
      <c r="C18" s="1" t="s">
        <v>309</v>
      </c>
      <c r="D18" s="2">
        <v>131</v>
      </c>
      <c r="E18" s="2">
        <v>1274068352</v>
      </c>
      <c r="F18" s="2"/>
      <c r="G18" s="2"/>
      <c r="H18" s="12"/>
    </row>
    <row r="19" spans="1:8" x14ac:dyDescent="0.25">
      <c r="A19" s="1" t="s">
        <v>318</v>
      </c>
      <c r="B19" s="1" t="s">
        <v>308</v>
      </c>
      <c r="C19" s="1" t="s">
        <v>319</v>
      </c>
      <c r="D19" s="2">
        <v>1</v>
      </c>
      <c r="E19" s="2">
        <v>7045455</v>
      </c>
      <c r="F19" s="2"/>
      <c r="G19" s="2"/>
      <c r="H19" s="12">
        <f t="shared" si="0"/>
        <v>7045455</v>
      </c>
    </row>
    <row r="20" spans="1:8" s="5" customFormat="1" x14ac:dyDescent="0.25">
      <c r="A20" s="3" t="s">
        <v>318</v>
      </c>
      <c r="B20" s="3" t="s">
        <v>310</v>
      </c>
      <c r="C20" s="3" t="s">
        <v>309</v>
      </c>
      <c r="D20" s="4">
        <v>98</v>
      </c>
      <c r="E20" s="4">
        <v>1543911357</v>
      </c>
      <c r="F20" s="4"/>
      <c r="G20" s="4">
        <v>1552056812</v>
      </c>
      <c r="H20" s="12">
        <f t="shared" si="0"/>
        <v>-8145455</v>
      </c>
    </row>
    <row r="21" spans="1:8" x14ac:dyDescent="0.25">
      <c r="A21" s="1" t="s">
        <v>320</v>
      </c>
      <c r="B21" s="1" t="s">
        <v>308</v>
      </c>
      <c r="C21" s="1" t="s">
        <v>309</v>
      </c>
      <c r="D21" s="2">
        <v>169</v>
      </c>
      <c r="E21" s="2">
        <v>1420458661</v>
      </c>
      <c r="F21" s="2"/>
      <c r="G21" s="2"/>
      <c r="H21" s="12"/>
    </row>
    <row r="22" spans="1:8" s="5" customFormat="1" x14ac:dyDescent="0.25">
      <c r="A22" s="3" t="s">
        <v>320</v>
      </c>
      <c r="B22" s="3" t="s">
        <v>310</v>
      </c>
      <c r="C22" s="3" t="s">
        <v>309</v>
      </c>
      <c r="D22" s="4">
        <v>131</v>
      </c>
      <c r="E22" s="4">
        <v>869394926</v>
      </c>
      <c r="F22" s="4"/>
      <c r="G22" s="4">
        <f>[1]Sheet1!$L$14</f>
        <v>890284926</v>
      </c>
      <c r="H22" s="12">
        <f t="shared" si="0"/>
        <v>-20890000</v>
      </c>
    </row>
    <row r="23" spans="1:8" x14ac:dyDescent="0.25">
      <c r="A23" s="1" t="s">
        <v>321</v>
      </c>
      <c r="B23" s="1" t="s">
        <v>308</v>
      </c>
      <c r="C23" s="1" t="s">
        <v>309</v>
      </c>
      <c r="D23" s="2">
        <v>147</v>
      </c>
      <c r="E23" s="2">
        <v>1483313992</v>
      </c>
      <c r="F23" s="2"/>
      <c r="G23" s="2"/>
      <c r="H23" s="12"/>
    </row>
    <row r="24" spans="1:8" s="5" customFormat="1" x14ac:dyDescent="0.25">
      <c r="A24" s="3" t="s">
        <v>321</v>
      </c>
      <c r="B24" s="3" t="s">
        <v>310</v>
      </c>
      <c r="C24" s="3" t="s">
        <v>309</v>
      </c>
      <c r="D24" s="4">
        <v>150</v>
      </c>
      <c r="E24" s="4">
        <v>1556689026</v>
      </c>
      <c r="F24" s="4"/>
      <c r="G24" s="4">
        <f>[1]Sheet1!$L$15</f>
        <v>1564643572</v>
      </c>
      <c r="H24" s="12">
        <f t="shared" si="0"/>
        <v>-7954546</v>
      </c>
    </row>
    <row r="25" spans="1:8" x14ac:dyDescent="0.25">
      <c r="A25" s="1" t="s">
        <v>322</v>
      </c>
      <c r="B25" s="1" t="s">
        <v>308</v>
      </c>
      <c r="C25" s="1" t="s">
        <v>309</v>
      </c>
      <c r="D25" s="2">
        <v>222</v>
      </c>
      <c r="E25" s="2">
        <v>3205182101</v>
      </c>
      <c r="F25" s="2"/>
      <c r="G25" s="2"/>
      <c r="H25" s="12"/>
    </row>
    <row r="26" spans="1:8" s="5" customFormat="1" x14ac:dyDescent="0.25">
      <c r="A26" s="3" t="s">
        <v>322</v>
      </c>
      <c r="B26" s="3" t="s">
        <v>310</v>
      </c>
      <c r="C26" s="3" t="s">
        <v>309</v>
      </c>
      <c r="D26" s="4">
        <v>173</v>
      </c>
      <c r="E26" s="4">
        <v>2166953178</v>
      </c>
      <c r="F26" s="4"/>
      <c r="G26" s="4">
        <f>[1]Sheet1!$L$16</f>
        <v>2381764450</v>
      </c>
      <c r="H26" s="12">
        <f>E26+E27-G26</f>
        <v>-168265817</v>
      </c>
    </row>
    <row r="27" spans="1:8" s="5" customFormat="1" x14ac:dyDescent="0.25">
      <c r="A27" s="3" t="s">
        <v>322</v>
      </c>
      <c r="B27" s="3" t="s">
        <v>310</v>
      </c>
      <c r="C27" s="3" t="s">
        <v>319</v>
      </c>
      <c r="D27" s="4">
        <v>2</v>
      </c>
      <c r="E27" s="4">
        <v>46545455</v>
      </c>
      <c r="F27" s="4"/>
      <c r="G27" s="4"/>
      <c r="H27" s="12"/>
    </row>
    <row r="28" spans="1:8" s="16" customFormat="1" x14ac:dyDescent="0.25">
      <c r="A28" s="13"/>
      <c r="B28" s="13" t="s">
        <v>355</v>
      </c>
      <c r="C28" s="13"/>
      <c r="D28" s="14"/>
      <c r="E28" s="14">
        <f>E3+E5+E7+E9+E11+E13+E15+E17+E20+E22+E24+E26+E27</f>
        <v>15393640686</v>
      </c>
      <c r="F28" s="14"/>
      <c r="G28" s="14">
        <f>SUM(G3:G27)</f>
        <v>15640942868</v>
      </c>
      <c r="H28" s="15">
        <f>SUM(H2:H27)</f>
        <v>-240256727</v>
      </c>
    </row>
    <row r="29" spans="1:8" s="5" customFormat="1" x14ac:dyDescent="0.25">
      <c r="A29" s="3"/>
      <c r="B29" s="3" t="s">
        <v>354</v>
      </c>
      <c r="C29" s="3"/>
      <c r="D29" s="4"/>
      <c r="E29" s="4">
        <f>E2+E4+E6+E8+E10+E12+E14+E16+E18+E19+E21+E23+E25</f>
        <v>16170531001</v>
      </c>
      <c r="F29" s="4">
        <v>16170531001</v>
      </c>
      <c r="G29" s="4"/>
      <c r="H29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47"/>
  <sheetViews>
    <sheetView workbookViewId="0"/>
  </sheetViews>
  <sheetFormatPr defaultRowHeight="15" x14ac:dyDescent="0.25"/>
  <sheetData>
    <row r="1" spans="1:30" x14ac:dyDescent="0.25">
      <c r="A1" t="s">
        <v>1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t="s">
        <v>347</v>
      </c>
      <c r="AA1" t="s">
        <v>348</v>
      </c>
      <c r="AB1" t="s">
        <v>349</v>
      </c>
      <c r="AC1" t="s">
        <v>350</v>
      </c>
      <c r="AD1" t="s">
        <v>351</v>
      </c>
    </row>
    <row r="2" spans="1:30" x14ac:dyDescent="0.25">
      <c r="A2" t="s">
        <v>11</v>
      </c>
      <c r="B2" t="s">
        <v>12</v>
      </c>
      <c r="C2">
        <v>146799020.77272731</v>
      </c>
      <c r="D2">
        <v>82181818</v>
      </c>
      <c r="E2">
        <v>169845455</v>
      </c>
      <c r="F2">
        <v>59135383.772727281</v>
      </c>
      <c r="G2">
        <v>0</v>
      </c>
      <c r="H2">
        <v>0</v>
      </c>
      <c r="I2">
        <v>0</v>
      </c>
      <c r="J2">
        <v>0</v>
      </c>
      <c r="K2">
        <v>0</v>
      </c>
      <c r="L2">
        <v>10454545</v>
      </c>
      <c r="M2">
        <v>0</v>
      </c>
      <c r="N2">
        <v>26081819</v>
      </c>
      <c r="O2">
        <v>0</v>
      </c>
      <c r="P2">
        <v>15263636</v>
      </c>
      <c r="Q2">
        <v>0</v>
      </c>
      <c r="R2">
        <v>9045454</v>
      </c>
      <c r="S2">
        <v>82181818</v>
      </c>
      <c r="T2">
        <v>94454546</v>
      </c>
      <c r="U2">
        <v>0</v>
      </c>
      <c r="V2">
        <v>14545455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13</v>
      </c>
      <c r="B3" t="s">
        <v>14</v>
      </c>
      <c r="C3">
        <v>233231065</v>
      </c>
      <c r="D3">
        <v>320339563</v>
      </c>
      <c r="E3">
        <v>317877273</v>
      </c>
      <c r="F3">
        <v>235693355</v>
      </c>
      <c r="G3">
        <v>614371</v>
      </c>
      <c r="H3">
        <v>0</v>
      </c>
      <c r="I3">
        <v>1278416</v>
      </c>
      <c r="J3">
        <v>10445455</v>
      </c>
      <c r="K3">
        <v>0</v>
      </c>
      <c r="L3">
        <v>10909091</v>
      </c>
      <c r="M3">
        <v>0</v>
      </c>
      <c r="N3">
        <v>10445455</v>
      </c>
      <c r="O3">
        <v>44000000</v>
      </c>
      <c r="P3">
        <v>0</v>
      </c>
      <c r="Q3">
        <v>0</v>
      </c>
      <c r="R3">
        <v>115981817</v>
      </c>
      <c r="S3">
        <v>44657076</v>
      </c>
      <c r="T3">
        <v>51277273</v>
      </c>
      <c r="U3">
        <v>73062428</v>
      </c>
      <c r="V3">
        <v>18000000</v>
      </c>
      <c r="W3">
        <v>0</v>
      </c>
      <c r="X3">
        <v>0</v>
      </c>
      <c r="Y3">
        <v>14181818</v>
      </c>
      <c r="Z3">
        <v>71954546</v>
      </c>
      <c r="AA3">
        <v>14363636</v>
      </c>
      <c r="AB3">
        <v>28863636</v>
      </c>
      <c r="AC3">
        <v>128181818</v>
      </c>
      <c r="AD3">
        <v>0</v>
      </c>
    </row>
    <row r="4" spans="1:30" x14ac:dyDescent="0.25">
      <c r="A4" t="s">
        <v>15</v>
      </c>
      <c r="B4" t="s">
        <v>16</v>
      </c>
      <c r="C4">
        <v>2081579237.201292</v>
      </c>
      <c r="D4">
        <v>900337264</v>
      </c>
      <c r="E4">
        <v>1359743638</v>
      </c>
      <c r="F4">
        <v>1622172863.201292</v>
      </c>
      <c r="G4">
        <v>0</v>
      </c>
      <c r="H4">
        <v>16000000</v>
      </c>
      <c r="I4">
        <v>0</v>
      </c>
      <c r="J4">
        <v>0</v>
      </c>
      <c r="K4">
        <v>101454545</v>
      </c>
      <c r="L4">
        <v>10445455</v>
      </c>
      <c r="M4">
        <v>0</v>
      </c>
      <c r="N4">
        <v>14090909</v>
      </c>
      <c r="O4">
        <v>0</v>
      </c>
      <c r="P4">
        <v>13000000</v>
      </c>
      <c r="Q4">
        <v>0</v>
      </c>
      <c r="R4">
        <v>83616364</v>
      </c>
      <c r="S4">
        <v>206454545</v>
      </c>
      <c r="T4">
        <v>36000000</v>
      </c>
      <c r="U4">
        <v>240973635</v>
      </c>
      <c r="V4">
        <v>83627273</v>
      </c>
      <c r="W4">
        <v>0</v>
      </c>
      <c r="X4">
        <v>43618181</v>
      </c>
      <c r="Y4">
        <v>0</v>
      </c>
      <c r="Z4">
        <v>274909091</v>
      </c>
      <c r="AA4">
        <v>171363636</v>
      </c>
      <c r="AB4">
        <v>44350000</v>
      </c>
      <c r="AC4">
        <v>180090903</v>
      </c>
      <c r="AD4">
        <v>740086365</v>
      </c>
    </row>
    <row r="5" spans="1:30" x14ac:dyDescent="0.25">
      <c r="A5" t="s">
        <v>17</v>
      </c>
      <c r="B5" t="s">
        <v>18</v>
      </c>
      <c r="C5">
        <v>0</v>
      </c>
      <c r="D5">
        <v>29283636</v>
      </c>
      <c r="E5">
        <v>0</v>
      </c>
      <c r="F5">
        <v>29283636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29283636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19</v>
      </c>
      <c r="B6" t="s">
        <v>20</v>
      </c>
      <c r="C6">
        <v>198829984.1785714</v>
      </c>
      <c r="D6">
        <v>39454546</v>
      </c>
      <c r="E6">
        <v>123227271</v>
      </c>
      <c r="F6">
        <v>115057259.1785714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12545455</v>
      </c>
      <c r="N6">
        <v>0</v>
      </c>
      <c r="O6">
        <v>0</v>
      </c>
      <c r="P6">
        <v>0</v>
      </c>
      <c r="Q6">
        <v>0</v>
      </c>
      <c r="R6">
        <v>24772727</v>
      </c>
      <c r="S6">
        <v>26909091</v>
      </c>
      <c r="T6">
        <v>32727272</v>
      </c>
      <c r="U6">
        <v>0</v>
      </c>
      <c r="V6">
        <v>13636363</v>
      </c>
      <c r="W6">
        <v>0</v>
      </c>
      <c r="X6">
        <v>0</v>
      </c>
      <c r="Y6">
        <v>0</v>
      </c>
      <c r="Z6">
        <v>0</v>
      </c>
      <c r="AA6">
        <v>0</v>
      </c>
      <c r="AB6">
        <v>10454545</v>
      </c>
      <c r="AC6">
        <v>0</v>
      </c>
      <c r="AD6">
        <v>41636364</v>
      </c>
    </row>
    <row r="7" spans="1:30" x14ac:dyDescent="0.25">
      <c r="A7" t="s">
        <v>21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23</v>
      </c>
      <c r="B8" t="s">
        <v>24</v>
      </c>
      <c r="C8">
        <v>102473554.09090909</v>
      </c>
      <c r="D8">
        <v>0</v>
      </c>
      <c r="E8">
        <v>88609092</v>
      </c>
      <c r="F8">
        <v>13864462.09090909</v>
      </c>
      <c r="G8">
        <v>0</v>
      </c>
      <c r="H8">
        <v>0</v>
      </c>
      <c r="I8">
        <v>0</v>
      </c>
      <c r="J8">
        <v>0</v>
      </c>
      <c r="K8">
        <v>0</v>
      </c>
      <c r="L8">
        <v>30345455</v>
      </c>
      <c r="M8">
        <v>0</v>
      </c>
      <c r="N8">
        <v>13454545</v>
      </c>
      <c r="O8">
        <v>0</v>
      </c>
      <c r="P8">
        <v>13627273</v>
      </c>
      <c r="Q8">
        <v>0</v>
      </c>
      <c r="R8">
        <v>16454546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14727273</v>
      </c>
    </row>
    <row r="9" spans="1:30" x14ac:dyDescent="0.25">
      <c r="A9" t="s">
        <v>25</v>
      </c>
      <c r="B9" t="s">
        <v>26</v>
      </c>
      <c r="C9">
        <v>18159000.449999999</v>
      </c>
      <c r="D9">
        <v>16177272</v>
      </c>
      <c r="E9">
        <v>0</v>
      </c>
      <c r="F9">
        <v>34336272.450000003</v>
      </c>
      <c r="G9">
        <v>0</v>
      </c>
      <c r="H9">
        <v>0</v>
      </c>
      <c r="I9">
        <v>2909091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3177273</v>
      </c>
      <c r="R9">
        <v>0</v>
      </c>
      <c r="S9">
        <v>0</v>
      </c>
      <c r="T9">
        <v>0</v>
      </c>
      <c r="U9">
        <v>6727272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3363636</v>
      </c>
      <c r="AD9">
        <v>0</v>
      </c>
    </row>
    <row r="10" spans="1:30" x14ac:dyDescent="0.25">
      <c r="A10" t="s">
        <v>27</v>
      </c>
      <c r="B10" t="s">
        <v>28</v>
      </c>
      <c r="C10">
        <v>771147313.5951941</v>
      </c>
      <c r="D10">
        <v>258609090</v>
      </c>
      <c r="E10">
        <v>249345453</v>
      </c>
      <c r="F10">
        <v>780410950.5951941</v>
      </c>
      <c r="G10">
        <v>0</v>
      </c>
      <c r="H10">
        <v>0</v>
      </c>
      <c r="I10">
        <v>0</v>
      </c>
      <c r="J10">
        <v>0</v>
      </c>
      <c r="K10">
        <v>24545454</v>
      </c>
      <c r="L10">
        <v>17272727</v>
      </c>
      <c r="M10">
        <v>15454545</v>
      </c>
      <c r="N10">
        <v>15545455</v>
      </c>
      <c r="O10">
        <v>23881818</v>
      </c>
      <c r="P10">
        <v>25454545</v>
      </c>
      <c r="Q10">
        <v>0</v>
      </c>
      <c r="R10">
        <v>0</v>
      </c>
      <c r="S10">
        <v>17909091</v>
      </c>
      <c r="T10">
        <v>34181818</v>
      </c>
      <c r="U10">
        <v>74545455</v>
      </c>
      <c r="V10">
        <v>44718182</v>
      </c>
      <c r="W10">
        <v>28909091</v>
      </c>
      <c r="X10">
        <v>28909090</v>
      </c>
      <c r="Y10">
        <v>0</v>
      </c>
      <c r="Z10">
        <v>0</v>
      </c>
      <c r="AA10">
        <v>43363636</v>
      </c>
      <c r="AB10">
        <v>67681818</v>
      </c>
      <c r="AC10">
        <v>30000000</v>
      </c>
      <c r="AD10">
        <v>15581818</v>
      </c>
    </row>
    <row r="11" spans="1:30" x14ac:dyDescent="0.25">
      <c r="A11" t="s">
        <v>29</v>
      </c>
      <c r="B11" t="s">
        <v>30</v>
      </c>
      <c r="C11">
        <v>63284373.25</v>
      </c>
      <c r="D11">
        <v>12272727</v>
      </c>
      <c r="E11">
        <v>56595453</v>
      </c>
      <c r="F11">
        <v>18961647.25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12272727</v>
      </c>
      <c r="V11">
        <v>0</v>
      </c>
      <c r="W11">
        <v>0</v>
      </c>
      <c r="X11">
        <v>12322727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44272726</v>
      </c>
    </row>
    <row r="12" spans="1:30" x14ac:dyDescent="0.25">
      <c r="A12" t="s">
        <v>31</v>
      </c>
      <c r="B12" t="s">
        <v>32</v>
      </c>
      <c r="C12">
        <v>2743591045.2191219</v>
      </c>
      <c r="D12">
        <v>1118690749</v>
      </c>
      <c r="E12">
        <v>870781819</v>
      </c>
      <c r="F12">
        <v>2991499975.2191219</v>
      </c>
      <c r="G12">
        <v>0</v>
      </c>
      <c r="H12">
        <v>0</v>
      </c>
      <c r="I12">
        <v>0</v>
      </c>
      <c r="J12">
        <v>51954545</v>
      </c>
      <c r="K12">
        <v>67036364</v>
      </c>
      <c r="L12">
        <v>39009091</v>
      </c>
      <c r="M12">
        <v>0</v>
      </c>
      <c r="N12">
        <v>40063636</v>
      </c>
      <c r="O12">
        <v>0</v>
      </c>
      <c r="P12">
        <v>27090909</v>
      </c>
      <c r="Q12">
        <v>15090909</v>
      </c>
      <c r="R12">
        <v>14863636</v>
      </c>
      <c r="S12">
        <v>34873636</v>
      </c>
      <c r="T12">
        <v>64172727</v>
      </c>
      <c r="U12">
        <v>365119998</v>
      </c>
      <c r="V12">
        <v>211454547</v>
      </c>
      <c r="W12">
        <v>228130363</v>
      </c>
      <c r="X12">
        <v>215818182</v>
      </c>
      <c r="Y12">
        <v>106300000</v>
      </c>
      <c r="Z12">
        <v>0</v>
      </c>
      <c r="AA12">
        <v>46808765</v>
      </c>
      <c r="AB12">
        <v>73781818</v>
      </c>
      <c r="AC12">
        <v>255330714</v>
      </c>
      <c r="AD12">
        <v>132572728</v>
      </c>
    </row>
    <row r="13" spans="1:30" x14ac:dyDescent="0.25">
      <c r="A13" t="s">
        <v>33</v>
      </c>
      <c r="B13" t="s">
        <v>34</v>
      </c>
      <c r="C13">
        <v>299544230.76923078</v>
      </c>
      <c r="D13">
        <v>308072727</v>
      </c>
      <c r="E13">
        <v>48536363</v>
      </c>
      <c r="F13">
        <v>559080594.76923084</v>
      </c>
      <c r="G13">
        <v>0</v>
      </c>
      <c r="H13">
        <v>0</v>
      </c>
      <c r="I13">
        <v>44545455</v>
      </c>
      <c r="J13">
        <v>0</v>
      </c>
      <c r="K13">
        <v>99836363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43618182</v>
      </c>
      <c r="T13">
        <v>20354545</v>
      </c>
      <c r="U13">
        <v>0</v>
      </c>
      <c r="V13">
        <v>28181818</v>
      </c>
      <c r="W13">
        <v>0</v>
      </c>
      <c r="X13">
        <v>0</v>
      </c>
      <c r="Y13">
        <v>32709090</v>
      </c>
      <c r="Z13">
        <v>0</v>
      </c>
      <c r="AA13">
        <v>87363637</v>
      </c>
      <c r="AB13">
        <v>0</v>
      </c>
      <c r="AC13">
        <v>0</v>
      </c>
      <c r="AD13">
        <v>0</v>
      </c>
    </row>
    <row r="14" spans="1:30" x14ac:dyDescent="0.25">
      <c r="A14" t="s">
        <v>35</v>
      </c>
      <c r="B14" t="s">
        <v>36</v>
      </c>
      <c r="C14">
        <v>181784405.28947371</v>
      </c>
      <c r="D14">
        <v>414499999</v>
      </c>
      <c r="E14">
        <v>215763635</v>
      </c>
      <c r="F14">
        <v>380520769.28947371</v>
      </c>
      <c r="G14">
        <v>0</v>
      </c>
      <c r="H14">
        <v>0</v>
      </c>
      <c r="I14">
        <v>157072727</v>
      </c>
      <c r="J14">
        <v>17700000</v>
      </c>
      <c r="K14">
        <v>61881818</v>
      </c>
      <c r="L14">
        <v>14545455</v>
      </c>
      <c r="M14">
        <v>0</v>
      </c>
      <c r="N14">
        <v>13727273</v>
      </c>
      <c r="O14">
        <v>0</v>
      </c>
      <c r="P14">
        <v>0</v>
      </c>
      <c r="Q14">
        <v>0</v>
      </c>
      <c r="R14">
        <v>0</v>
      </c>
      <c r="S14">
        <v>0</v>
      </c>
      <c r="T14">
        <v>49318180</v>
      </c>
      <c r="U14">
        <v>118354545</v>
      </c>
      <c r="V14">
        <v>0</v>
      </c>
      <c r="W14">
        <v>15127273</v>
      </c>
      <c r="X14">
        <v>33818182</v>
      </c>
      <c r="Y14">
        <v>15127273</v>
      </c>
      <c r="Z14">
        <v>35954546</v>
      </c>
      <c r="AA14">
        <v>29890909</v>
      </c>
      <c r="AB14">
        <v>0</v>
      </c>
      <c r="AC14">
        <v>17045454</v>
      </c>
      <c r="AD14">
        <v>50699999</v>
      </c>
    </row>
    <row r="15" spans="1:30" x14ac:dyDescent="0.25">
      <c r="A15" t="s">
        <v>37</v>
      </c>
      <c r="B15" t="s">
        <v>38</v>
      </c>
      <c r="C15">
        <v>407695040.93430662</v>
      </c>
      <c r="D15">
        <v>563682728</v>
      </c>
      <c r="E15">
        <v>514172728</v>
      </c>
      <c r="F15">
        <v>457205040.93430662</v>
      </c>
      <c r="G15">
        <v>0</v>
      </c>
      <c r="H15">
        <v>15445454</v>
      </c>
      <c r="I15">
        <v>22216364</v>
      </c>
      <c r="J15">
        <v>23809091</v>
      </c>
      <c r="K15">
        <v>161909092</v>
      </c>
      <c r="L15">
        <v>65445455</v>
      </c>
      <c r="M15">
        <v>0</v>
      </c>
      <c r="N15">
        <v>43000000</v>
      </c>
      <c r="O15">
        <v>13954545</v>
      </c>
      <c r="P15">
        <v>186636364</v>
      </c>
      <c r="Q15">
        <v>0</v>
      </c>
      <c r="R15">
        <v>49718183</v>
      </c>
      <c r="S15">
        <v>14081818</v>
      </c>
      <c r="T15">
        <v>27718182</v>
      </c>
      <c r="U15">
        <v>26181820</v>
      </c>
      <c r="V15">
        <v>6954545</v>
      </c>
      <c r="W15">
        <v>141400001</v>
      </c>
      <c r="X15">
        <v>57354546</v>
      </c>
      <c r="Y15">
        <v>0</v>
      </c>
      <c r="Z15">
        <v>21909090</v>
      </c>
      <c r="AA15">
        <v>0</v>
      </c>
      <c r="AB15">
        <v>16181818</v>
      </c>
      <c r="AC15">
        <v>183939088</v>
      </c>
      <c r="AD15">
        <v>0</v>
      </c>
    </row>
    <row r="16" spans="1:30" x14ac:dyDescent="0.25">
      <c r="A16" t="s">
        <v>39</v>
      </c>
      <c r="B16" t="s">
        <v>40</v>
      </c>
      <c r="C16">
        <v>168825899.10447761</v>
      </c>
      <c r="D16">
        <v>146071815</v>
      </c>
      <c r="E16">
        <v>114731819</v>
      </c>
      <c r="F16">
        <v>200165895.10447761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10509091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77404543</v>
      </c>
      <c r="X16">
        <v>25772728</v>
      </c>
      <c r="Y16">
        <v>17818182</v>
      </c>
      <c r="Z16">
        <v>48631818</v>
      </c>
      <c r="AA16">
        <v>0</v>
      </c>
      <c r="AB16">
        <v>0</v>
      </c>
      <c r="AC16">
        <v>50849090</v>
      </c>
      <c r="AD16">
        <v>29818182</v>
      </c>
    </row>
    <row r="17" spans="1:30" x14ac:dyDescent="0.25">
      <c r="A17" t="s">
        <v>41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43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45</v>
      </c>
      <c r="B19" t="s">
        <v>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47</v>
      </c>
      <c r="B20" t="s">
        <v>48</v>
      </c>
      <c r="C20">
        <v>0</v>
      </c>
      <c r="D20">
        <v>40181818</v>
      </c>
      <c r="E20">
        <v>41081818</v>
      </c>
      <c r="F20">
        <v>0</v>
      </c>
      <c r="G20">
        <v>0</v>
      </c>
      <c r="H20">
        <v>0</v>
      </c>
      <c r="I20">
        <v>0</v>
      </c>
      <c r="J20">
        <v>0</v>
      </c>
      <c r="K20">
        <v>23363636</v>
      </c>
      <c r="L20">
        <v>23363636</v>
      </c>
      <c r="M20">
        <v>16818182</v>
      </c>
      <c r="N20">
        <v>17718182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49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51</v>
      </c>
      <c r="B22" t="s">
        <v>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53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55</v>
      </c>
      <c r="B24" t="s">
        <v>56</v>
      </c>
      <c r="C24">
        <v>2212212917.5497241</v>
      </c>
      <c r="D24">
        <v>9736365</v>
      </c>
      <c r="E24">
        <v>1549739997</v>
      </c>
      <c r="F24">
        <v>672209285.54972363</v>
      </c>
      <c r="G24">
        <v>0</v>
      </c>
      <c r="H24">
        <v>31427273</v>
      </c>
      <c r="I24">
        <v>0</v>
      </c>
      <c r="J24">
        <v>26518181</v>
      </c>
      <c r="K24">
        <v>0</v>
      </c>
      <c r="L24">
        <v>416736362</v>
      </c>
      <c r="M24">
        <v>0</v>
      </c>
      <c r="N24">
        <v>48863636</v>
      </c>
      <c r="O24">
        <v>5590905</v>
      </c>
      <c r="P24">
        <v>70654545</v>
      </c>
      <c r="Q24">
        <v>4145460</v>
      </c>
      <c r="R24">
        <v>106772728</v>
      </c>
      <c r="S24">
        <v>0</v>
      </c>
      <c r="T24">
        <v>52845454</v>
      </c>
      <c r="U24">
        <v>0</v>
      </c>
      <c r="V24">
        <v>86585454</v>
      </c>
      <c r="W24">
        <v>0</v>
      </c>
      <c r="X24">
        <v>74272728</v>
      </c>
      <c r="Y24">
        <v>0</v>
      </c>
      <c r="Z24">
        <v>72090908</v>
      </c>
      <c r="AA24">
        <v>0</v>
      </c>
      <c r="AB24">
        <v>202345456</v>
      </c>
      <c r="AC24">
        <v>0</v>
      </c>
      <c r="AD24">
        <v>360627272</v>
      </c>
    </row>
    <row r="25" spans="1:30" x14ac:dyDescent="0.25">
      <c r="A25" t="s">
        <v>57</v>
      </c>
      <c r="B25" t="s">
        <v>58</v>
      </c>
      <c r="C25">
        <v>2490461620.361217</v>
      </c>
      <c r="D25">
        <v>1577384546</v>
      </c>
      <c r="E25">
        <v>1824645481</v>
      </c>
      <c r="F25">
        <v>2243200685.361217</v>
      </c>
      <c r="G25">
        <v>286563636</v>
      </c>
      <c r="H25">
        <v>91454546</v>
      </c>
      <c r="I25">
        <v>351890909</v>
      </c>
      <c r="J25">
        <v>466145454</v>
      </c>
      <c r="K25">
        <v>143320000</v>
      </c>
      <c r="L25">
        <v>295390909</v>
      </c>
      <c r="M25">
        <v>0</v>
      </c>
      <c r="N25">
        <v>103536364</v>
      </c>
      <c r="O25">
        <v>44068182</v>
      </c>
      <c r="P25">
        <v>94036364</v>
      </c>
      <c r="Q25">
        <v>4131818</v>
      </c>
      <c r="R25">
        <v>65399999</v>
      </c>
      <c r="S25">
        <v>49077272</v>
      </c>
      <c r="T25">
        <v>58963637</v>
      </c>
      <c r="U25">
        <v>20156364</v>
      </c>
      <c r="V25">
        <v>41300000</v>
      </c>
      <c r="W25">
        <v>123681818</v>
      </c>
      <c r="X25">
        <v>73618180</v>
      </c>
      <c r="Y25">
        <v>68190000</v>
      </c>
      <c r="Z25">
        <v>125127273</v>
      </c>
      <c r="AA25">
        <v>221236365</v>
      </c>
      <c r="AB25">
        <v>311890911</v>
      </c>
      <c r="AC25">
        <v>265068182</v>
      </c>
      <c r="AD25">
        <v>97781844</v>
      </c>
    </row>
    <row r="26" spans="1:30" x14ac:dyDescent="0.25">
      <c r="A26" t="s">
        <v>59</v>
      </c>
      <c r="B26" t="s">
        <v>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61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63</v>
      </c>
      <c r="B28" t="s">
        <v>64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65</v>
      </c>
      <c r="B29" t="s">
        <v>66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67</v>
      </c>
      <c r="B30" t="s">
        <v>68</v>
      </c>
      <c r="C30">
        <v>99179231.307692319</v>
      </c>
      <c r="D30">
        <v>42727272</v>
      </c>
      <c r="E30">
        <v>79981818</v>
      </c>
      <c r="F30">
        <v>61924685.307692319</v>
      </c>
      <c r="G30">
        <v>0</v>
      </c>
      <c r="H30">
        <v>0</v>
      </c>
      <c r="I30">
        <v>17000000</v>
      </c>
      <c r="J30">
        <v>18145455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12181818</v>
      </c>
      <c r="T30">
        <v>14363636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13181818</v>
      </c>
      <c r="AB30">
        <v>14636364</v>
      </c>
      <c r="AC30">
        <v>363636</v>
      </c>
      <c r="AD30">
        <v>32836363</v>
      </c>
    </row>
    <row r="31" spans="1:30" x14ac:dyDescent="0.25">
      <c r="A31" t="s">
        <v>69</v>
      </c>
      <c r="B31" t="s">
        <v>70</v>
      </c>
      <c r="C31">
        <v>0</v>
      </c>
      <c r="D31">
        <v>6318182</v>
      </c>
      <c r="E31">
        <v>10778182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6318182</v>
      </c>
      <c r="Z31">
        <v>10778182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71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73</v>
      </c>
      <c r="B33" t="s">
        <v>74</v>
      </c>
      <c r="C33">
        <v>25381986.5</v>
      </c>
      <c r="D33">
        <v>6772727</v>
      </c>
      <c r="E33">
        <v>8372728</v>
      </c>
      <c r="F33">
        <v>23781985.5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4772727</v>
      </c>
      <c r="P33">
        <v>0</v>
      </c>
      <c r="Q33">
        <v>0</v>
      </c>
      <c r="R33">
        <v>0</v>
      </c>
      <c r="S33">
        <v>0</v>
      </c>
      <c r="T33">
        <v>0</v>
      </c>
      <c r="U33">
        <v>2000000</v>
      </c>
      <c r="V33">
        <v>2136364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6236364</v>
      </c>
    </row>
    <row r="34" spans="1:30" x14ac:dyDescent="0.25">
      <c r="A34" t="s">
        <v>75</v>
      </c>
      <c r="B34" t="s">
        <v>76</v>
      </c>
      <c r="C34">
        <v>119495262.18326689</v>
      </c>
      <c r="D34">
        <v>171127272</v>
      </c>
      <c r="E34">
        <v>175918179</v>
      </c>
      <c r="F34">
        <v>114704355.18326689</v>
      </c>
      <c r="G34">
        <v>0</v>
      </c>
      <c r="H34">
        <v>0</v>
      </c>
      <c r="I34">
        <v>27954545</v>
      </c>
      <c r="J34">
        <v>8454545</v>
      </c>
      <c r="K34">
        <v>60054546</v>
      </c>
      <c r="L34">
        <v>41163636</v>
      </c>
      <c r="M34">
        <v>0</v>
      </c>
      <c r="N34">
        <v>6036364</v>
      </c>
      <c r="O34">
        <v>0</v>
      </c>
      <c r="P34">
        <v>22754545</v>
      </c>
      <c r="Q34">
        <v>0</v>
      </c>
      <c r="R34">
        <v>7199999</v>
      </c>
      <c r="S34">
        <v>28800000</v>
      </c>
      <c r="T34">
        <v>11727272</v>
      </c>
      <c r="U34">
        <v>4181818</v>
      </c>
      <c r="V34">
        <v>15636363</v>
      </c>
      <c r="W34">
        <v>6272727</v>
      </c>
      <c r="X34">
        <v>2681818</v>
      </c>
      <c r="Y34">
        <v>29845454</v>
      </c>
      <c r="Z34">
        <v>47681819</v>
      </c>
      <c r="AA34">
        <v>0</v>
      </c>
      <c r="AB34">
        <v>0</v>
      </c>
      <c r="AC34">
        <v>14018182</v>
      </c>
      <c r="AD34">
        <v>12581818</v>
      </c>
    </row>
    <row r="35" spans="1:30" x14ac:dyDescent="0.25">
      <c r="A35" t="s">
        <v>77</v>
      </c>
      <c r="B35" t="s">
        <v>78</v>
      </c>
      <c r="C35">
        <v>1007815081.553802</v>
      </c>
      <c r="D35">
        <v>769418587</v>
      </c>
      <c r="E35">
        <v>856124544</v>
      </c>
      <c r="F35">
        <v>921109124.55380154</v>
      </c>
      <c r="G35">
        <v>0</v>
      </c>
      <c r="H35">
        <v>81400000</v>
      </c>
      <c r="I35">
        <v>6409091</v>
      </c>
      <c r="J35">
        <v>25609092</v>
      </c>
      <c r="K35">
        <v>126390909</v>
      </c>
      <c r="L35">
        <v>134718182</v>
      </c>
      <c r="M35">
        <v>0</v>
      </c>
      <c r="N35">
        <v>71572727</v>
      </c>
      <c r="O35">
        <v>27545452</v>
      </c>
      <c r="P35">
        <v>13390908</v>
      </c>
      <c r="Q35">
        <v>16909091</v>
      </c>
      <c r="R35">
        <v>50481820</v>
      </c>
      <c r="S35">
        <v>43544543</v>
      </c>
      <c r="T35">
        <v>64836364</v>
      </c>
      <c r="U35">
        <v>110718182</v>
      </c>
      <c r="V35">
        <v>64545454</v>
      </c>
      <c r="W35">
        <v>191680882</v>
      </c>
      <c r="X35">
        <v>114736362</v>
      </c>
      <c r="Y35">
        <v>4909091</v>
      </c>
      <c r="Z35">
        <v>46672727</v>
      </c>
      <c r="AA35">
        <v>129336335</v>
      </c>
      <c r="AB35">
        <v>55381817</v>
      </c>
      <c r="AC35">
        <v>111975011</v>
      </c>
      <c r="AD35">
        <v>132779091</v>
      </c>
    </row>
    <row r="36" spans="1:30" x14ac:dyDescent="0.25">
      <c r="A36" t="s">
        <v>79</v>
      </c>
      <c r="B36" t="s">
        <v>80</v>
      </c>
      <c r="C36">
        <v>57095345.021276593</v>
      </c>
      <c r="D36">
        <v>6727273</v>
      </c>
      <c r="E36">
        <v>47205455</v>
      </c>
      <c r="F36">
        <v>16617163.021276589</v>
      </c>
      <c r="G36">
        <v>0</v>
      </c>
      <c r="H36">
        <v>0</v>
      </c>
      <c r="I36">
        <v>0</v>
      </c>
      <c r="J36">
        <v>0</v>
      </c>
      <c r="K36">
        <v>0</v>
      </c>
      <c r="L36">
        <v>11181818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6727273</v>
      </c>
      <c r="X36">
        <v>0</v>
      </c>
      <c r="Y36">
        <v>0</v>
      </c>
      <c r="Z36">
        <v>0</v>
      </c>
      <c r="AA36">
        <v>0</v>
      </c>
      <c r="AB36">
        <v>14869091</v>
      </c>
      <c r="AC36">
        <v>0</v>
      </c>
      <c r="AD36">
        <v>21154546</v>
      </c>
    </row>
    <row r="37" spans="1:30" x14ac:dyDescent="0.25">
      <c r="A37" t="s">
        <v>81</v>
      </c>
      <c r="B37" t="s">
        <v>82</v>
      </c>
      <c r="C37">
        <v>117092195.1964286</v>
      </c>
      <c r="D37">
        <v>44645455</v>
      </c>
      <c r="E37">
        <v>54818180</v>
      </c>
      <c r="F37">
        <v>106919470.1964286</v>
      </c>
      <c r="G37">
        <v>0</v>
      </c>
      <c r="H37">
        <v>0</v>
      </c>
      <c r="I37">
        <v>0</v>
      </c>
      <c r="J37">
        <v>9590909</v>
      </c>
      <c r="K37">
        <v>29745455</v>
      </c>
      <c r="L37">
        <v>0</v>
      </c>
      <c r="M37">
        <v>0</v>
      </c>
      <c r="N37">
        <v>0</v>
      </c>
      <c r="O37">
        <v>0</v>
      </c>
      <c r="P37">
        <v>1081818</v>
      </c>
      <c r="Q37">
        <v>0</v>
      </c>
      <c r="R37">
        <v>0</v>
      </c>
      <c r="S37">
        <v>4618182</v>
      </c>
      <c r="T37">
        <v>0</v>
      </c>
      <c r="U37">
        <v>10281818</v>
      </c>
      <c r="V37">
        <v>4772727</v>
      </c>
      <c r="W37">
        <v>0</v>
      </c>
      <c r="X37">
        <v>2509090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36863636</v>
      </c>
    </row>
    <row r="38" spans="1:30" x14ac:dyDescent="0.25">
      <c r="A38" t="s">
        <v>83</v>
      </c>
      <c r="B38" t="s">
        <v>84</v>
      </c>
      <c r="C38">
        <v>0</v>
      </c>
      <c r="D38">
        <v>4636364</v>
      </c>
      <c r="E38">
        <v>0</v>
      </c>
      <c r="F38">
        <v>4636364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4636364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85</v>
      </c>
      <c r="B39" t="s">
        <v>86</v>
      </c>
      <c r="C39">
        <v>165102239.38106239</v>
      </c>
      <c r="D39">
        <v>240836363</v>
      </c>
      <c r="E39">
        <v>143100002</v>
      </c>
      <c r="F39">
        <v>262838600.38106239</v>
      </c>
      <c r="G39">
        <v>0</v>
      </c>
      <c r="H39">
        <v>0</v>
      </c>
      <c r="I39">
        <v>158136363</v>
      </c>
      <c r="J39">
        <v>9227273</v>
      </c>
      <c r="K39">
        <v>25909091</v>
      </c>
      <c r="L39">
        <v>38372727</v>
      </c>
      <c r="M39">
        <v>0</v>
      </c>
      <c r="N39">
        <v>7127273</v>
      </c>
      <c r="O39">
        <v>0</v>
      </c>
      <c r="P39">
        <v>6990909</v>
      </c>
      <c r="Q39">
        <v>0</v>
      </c>
      <c r="R39">
        <v>17090909</v>
      </c>
      <c r="S39">
        <v>0</v>
      </c>
      <c r="T39">
        <v>0</v>
      </c>
      <c r="U39">
        <v>0</v>
      </c>
      <c r="V39">
        <v>22427273</v>
      </c>
      <c r="W39">
        <v>15000000</v>
      </c>
      <c r="X39">
        <v>10318182</v>
      </c>
      <c r="Y39">
        <v>0</v>
      </c>
      <c r="Z39">
        <v>6218182</v>
      </c>
      <c r="AA39">
        <v>23663637</v>
      </c>
      <c r="AB39">
        <v>2890909</v>
      </c>
      <c r="AC39">
        <v>18127272</v>
      </c>
      <c r="AD39">
        <v>22436365</v>
      </c>
    </row>
    <row r="40" spans="1:30" x14ac:dyDescent="0.25">
      <c r="A40" t="s">
        <v>87</v>
      </c>
      <c r="B40" t="s">
        <v>88</v>
      </c>
      <c r="C40">
        <v>29525252.77777778</v>
      </c>
      <c r="D40">
        <v>0</v>
      </c>
      <c r="E40">
        <v>14136364</v>
      </c>
      <c r="F40">
        <v>15388888.77777778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14136364</v>
      </c>
    </row>
    <row r="41" spans="1:30" x14ac:dyDescent="0.25">
      <c r="A41" t="s">
        <v>89</v>
      </c>
      <c r="B41" t="s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91</v>
      </c>
      <c r="B42" t="s">
        <v>92</v>
      </c>
      <c r="C42">
        <v>786981154.34484041</v>
      </c>
      <c r="D42">
        <v>655904643.27999997</v>
      </c>
      <c r="E42">
        <v>975125460</v>
      </c>
      <c r="F42">
        <v>467760337.6248405</v>
      </c>
      <c r="G42">
        <v>9818182</v>
      </c>
      <c r="H42">
        <v>14472728</v>
      </c>
      <c r="I42">
        <v>37263637</v>
      </c>
      <c r="J42">
        <v>52509091</v>
      </c>
      <c r="K42">
        <v>19465553</v>
      </c>
      <c r="L42">
        <v>61581819</v>
      </c>
      <c r="M42">
        <v>43509090.090000004</v>
      </c>
      <c r="N42">
        <v>61949999</v>
      </c>
      <c r="O42">
        <v>2900000</v>
      </c>
      <c r="P42">
        <v>64863638</v>
      </c>
      <c r="Q42">
        <v>18240909</v>
      </c>
      <c r="R42">
        <v>45245455</v>
      </c>
      <c r="S42">
        <v>477270</v>
      </c>
      <c r="T42">
        <v>113472726</v>
      </c>
      <c r="U42">
        <v>23490910</v>
      </c>
      <c r="V42">
        <v>50780910</v>
      </c>
      <c r="W42">
        <v>104980910</v>
      </c>
      <c r="X42">
        <v>74117274</v>
      </c>
      <c r="Y42">
        <v>111654546</v>
      </c>
      <c r="Z42">
        <v>99481824</v>
      </c>
      <c r="AA42">
        <v>82780908</v>
      </c>
      <c r="AB42">
        <v>79218184</v>
      </c>
      <c r="AC42">
        <v>201322728.19</v>
      </c>
      <c r="AD42">
        <v>257431812</v>
      </c>
    </row>
    <row r="43" spans="1:30" x14ac:dyDescent="0.25">
      <c r="A43" t="s">
        <v>93</v>
      </c>
      <c r="B43" t="s">
        <v>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95</v>
      </c>
      <c r="B44" t="s">
        <v>96</v>
      </c>
      <c r="C44">
        <v>817754260.97474432</v>
      </c>
      <c r="D44">
        <v>877082334.45000005</v>
      </c>
      <c r="E44">
        <v>805245454</v>
      </c>
      <c r="F44">
        <v>889591141.42474437</v>
      </c>
      <c r="G44">
        <v>466360002</v>
      </c>
      <c r="H44">
        <v>150254546</v>
      </c>
      <c r="I44">
        <v>204892654</v>
      </c>
      <c r="J44">
        <v>122768179</v>
      </c>
      <c r="K44">
        <v>0</v>
      </c>
      <c r="L44">
        <v>41240909</v>
      </c>
      <c r="M44">
        <v>185389092</v>
      </c>
      <c r="N44">
        <v>157772726</v>
      </c>
      <c r="O44">
        <v>0</v>
      </c>
      <c r="P44">
        <v>5072727</v>
      </c>
      <c r="Q44">
        <v>0</v>
      </c>
      <c r="R44">
        <v>11318181</v>
      </c>
      <c r="S44">
        <v>0</v>
      </c>
      <c r="T44">
        <v>138145454</v>
      </c>
      <c r="U44">
        <v>4027275.45</v>
      </c>
      <c r="V44">
        <v>67163637</v>
      </c>
      <c r="W44">
        <v>0</v>
      </c>
      <c r="X44">
        <v>20636365</v>
      </c>
      <c r="Y44">
        <v>3418182</v>
      </c>
      <c r="Z44">
        <v>18090909</v>
      </c>
      <c r="AA44">
        <v>12995129</v>
      </c>
      <c r="AB44">
        <v>48545455</v>
      </c>
      <c r="AC44">
        <v>0</v>
      </c>
      <c r="AD44">
        <v>24236366</v>
      </c>
    </row>
    <row r="45" spans="1:30" x14ac:dyDescent="0.25">
      <c r="A45" t="s">
        <v>97</v>
      </c>
      <c r="B45" t="s">
        <v>98</v>
      </c>
      <c r="C45">
        <v>208623436.97297299</v>
      </c>
      <c r="D45">
        <v>248163398.81999999</v>
      </c>
      <c r="E45">
        <v>246462729</v>
      </c>
      <c r="F45">
        <v>210324106.79297301</v>
      </c>
      <c r="G45">
        <v>111077544</v>
      </c>
      <c r="H45">
        <v>8518182</v>
      </c>
      <c r="I45">
        <v>29738182</v>
      </c>
      <c r="J45">
        <v>10145454</v>
      </c>
      <c r="K45">
        <v>4818181.82</v>
      </c>
      <c r="L45">
        <v>48463637</v>
      </c>
      <c r="M45">
        <v>91158182</v>
      </c>
      <c r="N45">
        <v>0</v>
      </c>
      <c r="O45">
        <v>0</v>
      </c>
      <c r="P45">
        <v>23554545</v>
      </c>
      <c r="Q45">
        <v>0</v>
      </c>
      <c r="R45">
        <v>26572728</v>
      </c>
      <c r="S45">
        <v>0</v>
      </c>
      <c r="T45">
        <v>26027272</v>
      </c>
      <c r="U45">
        <v>0</v>
      </c>
      <c r="V45">
        <v>19026364</v>
      </c>
      <c r="W45">
        <v>0</v>
      </c>
      <c r="X45">
        <v>18218181</v>
      </c>
      <c r="Y45">
        <v>0</v>
      </c>
      <c r="Z45">
        <v>8345454</v>
      </c>
      <c r="AA45">
        <v>4807673</v>
      </c>
      <c r="AB45">
        <v>10072728</v>
      </c>
      <c r="AC45">
        <v>6563636</v>
      </c>
      <c r="AD45">
        <v>47518184</v>
      </c>
    </row>
    <row r="46" spans="1:30" x14ac:dyDescent="0.25">
      <c r="A46" t="s">
        <v>99</v>
      </c>
      <c r="B46" t="s">
        <v>100</v>
      </c>
      <c r="C46">
        <v>94182298.992571428</v>
      </c>
      <c r="D46">
        <v>109527279.64</v>
      </c>
      <c r="E46">
        <v>96022730</v>
      </c>
      <c r="F46">
        <v>107686848.6325714</v>
      </c>
      <c r="G46">
        <v>9818182</v>
      </c>
      <c r="H46">
        <v>0</v>
      </c>
      <c r="I46">
        <v>29236365</v>
      </c>
      <c r="J46">
        <v>18000000</v>
      </c>
      <c r="K46">
        <v>10000000</v>
      </c>
      <c r="L46">
        <v>16518182</v>
      </c>
      <c r="M46">
        <v>5363636</v>
      </c>
      <c r="N46">
        <v>5909091</v>
      </c>
      <c r="O46">
        <v>16600005</v>
      </c>
      <c r="P46">
        <v>14772728</v>
      </c>
      <c r="Q46">
        <v>13090909</v>
      </c>
      <c r="R46">
        <v>13195455</v>
      </c>
      <c r="S46">
        <v>0</v>
      </c>
      <c r="T46">
        <v>0</v>
      </c>
      <c r="U46">
        <v>17227272.640000001</v>
      </c>
      <c r="V46">
        <v>18490909</v>
      </c>
      <c r="W46">
        <v>3781819</v>
      </c>
      <c r="X46">
        <v>0</v>
      </c>
      <c r="Y46">
        <v>1227273</v>
      </c>
      <c r="Z46">
        <v>681818</v>
      </c>
      <c r="AA46">
        <v>1909090</v>
      </c>
      <c r="AB46">
        <v>0</v>
      </c>
      <c r="AC46">
        <v>1272728</v>
      </c>
      <c r="AD46">
        <v>8454547</v>
      </c>
    </row>
    <row r="47" spans="1:30" x14ac:dyDescent="0.25">
      <c r="A47" t="s">
        <v>101</v>
      </c>
      <c r="B47" t="s">
        <v>102</v>
      </c>
      <c r="C47">
        <v>123580665.74567381</v>
      </c>
      <c r="D47">
        <v>134427067.72999999</v>
      </c>
      <c r="E47">
        <v>93210774</v>
      </c>
      <c r="F47">
        <v>164796959.47567379</v>
      </c>
      <c r="G47">
        <v>8610000</v>
      </c>
      <c r="H47">
        <v>10063636</v>
      </c>
      <c r="I47">
        <v>0</v>
      </c>
      <c r="J47">
        <v>0</v>
      </c>
      <c r="K47">
        <v>7454545</v>
      </c>
      <c r="L47">
        <v>0</v>
      </c>
      <c r="M47">
        <v>24036364</v>
      </c>
      <c r="N47">
        <v>18409091</v>
      </c>
      <c r="O47">
        <v>17809091.09</v>
      </c>
      <c r="P47">
        <v>5272727</v>
      </c>
      <c r="Q47">
        <v>0</v>
      </c>
      <c r="R47">
        <v>8545454</v>
      </c>
      <c r="S47">
        <v>10136363</v>
      </c>
      <c r="T47">
        <v>5100000</v>
      </c>
      <c r="U47">
        <v>388889</v>
      </c>
      <c r="V47">
        <v>592593</v>
      </c>
      <c r="W47">
        <v>0</v>
      </c>
      <c r="X47">
        <v>0</v>
      </c>
      <c r="Y47">
        <v>26555451.82</v>
      </c>
      <c r="Z47">
        <v>19363636</v>
      </c>
      <c r="AA47">
        <v>15400000.18</v>
      </c>
      <c r="AB47">
        <v>14818182</v>
      </c>
      <c r="AC47">
        <v>24036363.640000001</v>
      </c>
      <c r="AD47">
        <v>11045455</v>
      </c>
    </row>
    <row r="48" spans="1:30" x14ac:dyDescent="0.25">
      <c r="A48" t="s">
        <v>103</v>
      </c>
      <c r="B48" t="s">
        <v>104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105</v>
      </c>
      <c r="B49" t="s">
        <v>106</v>
      </c>
      <c r="C49">
        <v>305578613.15224141</v>
      </c>
      <c r="D49">
        <v>147995454.81</v>
      </c>
      <c r="E49">
        <v>193027272</v>
      </c>
      <c r="F49">
        <v>260546795.96224141</v>
      </c>
      <c r="G49">
        <v>24772727</v>
      </c>
      <c r="H49">
        <v>27863636</v>
      </c>
      <c r="I49">
        <v>8818182</v>
      </c>
      <c r="J49">
        <v>20809091</v>
      </c>
      <c r="K49">
        <v>8863636</v>
      </c>
      <c r="L49">
        <v>9627273</v>
      </c>
      <c r="M49">
        <v>6818182</v>
      </c>
      <c r="N49">
        <v>9772728</v>
      </c>
      <c r="O49">
        <v>8818181.8100000005</v>
      </c>
      <c r="P49">
        <v>13690909</v>
      </c>
      <c r="Q49">
        <v>0</v>
      </c>
      <c r="R49">
        <v>4000000</v>
      </c>
      <c r="S49">
        <v>6436364</v>
      </c>
      <c r="T49">
        <v>7227273</v>
      </c>
      <c r="U49">
        <v>8000000</v>
      </c>
      <c r="V49">
        <v>18172727</v>
      </c>
      <c r="W49">
        <v>12536363</v>
      </c>
      <c r="X49">
        <v>9954545</v>
      </c>
      <c r="Y49">
        <v>16000000</v>
      </c>
      <c r="Z49">
        <v>17800000</v>
      </c>
      <c r="AA49">
        <v>40822728</v>
      </c>
      <c r="AB49">
        <v>29754545</v>
      </c>
      <c r="AC49">
        <v>6109091</v>
      </c>
      <c r="AD49">
        <v>24354545</v>
      </c>
    </row>
    <row r="50" spans="1:30" x14ac:dyDescent="0.25">
      <c r="A50" t="s">
        <v>107</v>
      </c>
      <c r="B50" t="s">
        <v>108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109</v>
      </c>
      <c r="B51" t="s">
        <v>110</v>
      </c>
      <c r="C51">
        <v>3435136.2</v>
      </c>
      <c r="D51">
        <v>9860000</v>
      </c>
      <c r="E51">
        <v>12190908</v>
      </c>
      <c r="F51">
        <v>1104228.199999999</v>
      </c>
      <c r="G51">
        <v>0</v>
      </c>
      <c r="H51">
        <v>0</v>
      </c>
      <c r="I51">
        <v>2200000</v>
      </c>
      <c r="J51">
        <v>0</v>
      </c>
      <c r="K51">
        <v>0</v>
      </c>
      <c r="L51">
        <v>1445454</v>
      </c>
      <c r="M51">
        <v>0</v>
      </c>
      <c r="N51">
        <v>1445455</v>
      </c>
      <c r="O51">
        <v>0</v>
      </c>
      <c r="P51">
        <v>0</v>
      </c>
      <c r="Q51">
        <v>6500000</v>
      </c>
      <c r="R51">
        <v>5863636</v>
      </c>
      <c r="S51">
        <v>0</v>
      </c>
      <c r="T51">
        <v>0</v>
      </c>
      <c r="U51">
        <v>0</v>
      </c>
      <c r="V51">
        <v>0</v>
      </c>
      <c r="W51">
        <v>0</v>
      </c>
      <c r="X51">
        <v>1263636</v>
      </c>
      <c r="Y51">
        <v>0</v>
      </c>
      <c r="Z51">
        <v>0</v>
      </c>
      <c r="AA51">
        <v>1160000</v>
      </c>
      <c r="AB51">
        <v>1400000</v>
      </c>
      <c r="AC51">
        <v>0</v>
      </c>
      <c r="AD51">
        <v>772727</v>
      </c>
    </row>
    <row r="52" spans="1:30" x14ac:dyDescent="0.25">
      <c r="A52" t="s">
        <v>111</v>
      </c>
      <c r="B52" t="s">
        <v>112</v>
      </c>
      <c r="C52">
        <v>63910517.266938783</v>
      </c>
      <c r="D52">
        <v>67317022</v>
      </c>
      <c r="E52">
        <v>4680303</v>
      </c>
      <c r="F52">
        <v>126547236.26693881</v>
      </c>
      <c r="G52">
        <v>21194546</v>
      </c>
      <c r="H52">
        <v>0</v>
      </c>
      <c r="I52">
        <v>18836364</v>
      </c>
      <c r="J52">
        <v>2263636</v>
      </c>
      <c r="K52">
        <v>0</v>
      </c>
      <c r="L52">
        <v>0</v>
      </c>
      <c r="M52">
        <v>227273</v>
      </c>
      <c r="N52">
        <v>0</v>
      </c>
      <c r="O52">
        <v>0</v>
      </c>
      <c r="P52">
        <v>0</v>
      </c>
      <c r="Q52">
        <v>1772727</v>
      </c>
      <c r="R52">
        <v>0</v>
      </c>
      <c r="S52">
        <v>0</v>
      </c>
      <c r="T52">
        <v>0</v>
      </c>
      <c r="U52">
        <v>0</v>
      </c>
      <c r="V52">
        <v>2416667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25286112</v>
      </c>
      <c r="AD52">
        <v>0</v>
      </c>
    </row>
    <row r="53" spans="1:30" x14ac:dyDescent="0.25">
      <c r="A53" t="s">
        <v>113</v>
      </c>
      <c r="B53" t="s">
        <v>114</v>
      </c>
      <c r="C53">
        <v>0</v>
      </c>
      <c r="D53">
        <v>5580000</v>
      </c>
      <c r="E53">
        <v>0</v>
      </c>
      <c r="F53">
        <v>5580000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5580000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115</v>
      </c>
      <c r="B54" t="s">
        <v>116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117</v>
      </c>
      <c r="B55" t="s">
        <v>118</v>
      </c>
      <c r="C55">
        <v>241447572.17270201</v>
      </c>
      <c r="D55">
        <v>300236600</v>
      </c>
      <c r="E55">
        <v>410559092</v>
      </c>
      <c r="F55">
        <v>131125080.172702</v>
      </c>
      <c r="G55">
        <v>11217000</v>
      </c>
      <c r="H55">
        <v>12363637</v>
      </c>
      <c r="I55">
        <v>1030000</v>
      </c>
      <c r="J55">
        <v>927273</v>
      </c>
      <c r="K55">
        <v>30500000</v>
      </c>
      <c r="L55">
        <v>11263637</v>
      </c>
      <c r="M55">
        <v>2268000</v>
      </c>
      <c r="N55">
        <v>37881818</v>
      </c>
      <c r="O55">
        <v>3600000</v>
      </c>
      <c r="P55">
        <v>1409090</v>
      </c>
      <c r="Q55">
        <v>13870000</v>
      </c>
      <c r="R55">
        <v>33336364</v>
      </c>
      <c r="S55">
        <v>34100000</v>
      </c>
      <c r="T55">
        <v>36427272</v>
      </c>
      <c r="U55">
        <v>27000000</v>
      </c>
      <c r="V55">
        <v>20268182</v>
      </c>
      <c r="W55">
        <v>13500000</v>
      </c>
      <c r="X55">
        <v>28400000</v>
      </c>
      <c r="Y55">
        <v>37591818</v>
      </c>
      <c r="Z55">
        <v>54409092</v>
      </c>
      <c r="AA55">
        <v>105172782</v>
      </c>
      <c r="AB55">
        <v>97845454</v>
      </c>
      <c r="AC55">
        <v>20387000</v>
      </c>
      <c r="AD55">
        <v>76027273</v>
      </c>
    </row>
    <row r="56" spans="1:30" x14ac:dyDescent="0.25">
      <c r="A56" t="s">
        <v>119</v>
      </c>
      <c r="B56" t="s">
        <v>120</v>
      </c>
      <c r="C56">
        <v>23569139.491525419</v>
      </c>
      <c r="D56">
        <v>20230975</v>
      </c>
      <c r="E56">
        <v>23176767</v>
      </c>
      <c r="F56">
        <v>20623347.491525419</v>
      </c>
      <c r="G56">
        <v>0</v>
      </c>
      <c r="H56">
        <v>909091</v>
      </c>
      <c r="I56">
        <v>4260000</v>
      </c>
      <c r="J56">
        <v>0</v>
      </c>
      <c r="K56">
        <v>1527273</v>
      </c>
      <c r="L56">
        <v>954545</v>
      </c>
      <c r="M56">
        <v>0</v>
      </c>
      <c r="N56">
        <v>3545455</v>
      </c>
      <c r="O56">
        <v>0</v>
      </c>
      <c r="P56">
        <v>3409091</v>
      </c>
      <c r="Q56">
        <v>4140000</v>
      </c>
      <c r="R56">
        <v>3636363</v>
      </c>
      <c r="S56">
        <v>0</v>
      </c>
      <c r="T56">
        <v>0</v>
      </c>
      <c r="U56">
        <v>3992592</v>
      </c>
      <c r="V56">
        <v>2962963</v>
      </c>
      <c r="W56">
        <v>1259259</v>
      </c>
      <c r="X56">
        <v>2361111</v>
      </c>
      <c r="Y56">
        <v>2587037</v>
      </c>
      <c r="Z56">
        <v>3287037</v>
      </c>
      <c r="AA56">
        <v>0</v>
      </c>
      <c r="AB56">
        <v>1009259</v>
      </c>
      <c r="AC56">
        <v>2464814</v>
      </c>
      <c r="AD56">
        <v>1101852</v>
      </c>
    </row>
    <row r="57" spans="1:30" x14ac:dyDescent="0.25">
      <c r="A57" t="s">
        <v>121</v>
      </c>
      <c r="B57" t="s">
        <v>122</v>
      </c>
      <c r="C57">
        <v>17596296.290769231</v>
      </c>
      <c r="D57">
        <v>18688888.890000001</v>
      </c>
      <c r="E57">
        <v>22702964</v>
      </c>
      <c r="F57">
        <v>13582221.180769229</v>
      </c>
      <c r="G57">
        <v>0</v>
      </c>
      <c r="H57">
        <v>0</v>
      </c>
      <c r="I57">
        <v>0</v>
      </c>
      <c r="J57">
        <v>0</v>
      </c>
      <c r="K57">
        <v>2800000</v>
      </c>
      <c r="L57">
        <v>4300000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15888888.890000001</v>
      </c>
      <c r="AD57">
        <v>18402964</v>
      </c>
    </row>
    <row r="58" spans="1:30" x14ac:dyDescent="0.25">
      <c r="A58" t="s">
        <v>123</v>
      </c>
      <c r="B58" t="s">
        <v>124</v>
      </c>
      <c r="C58">
        <v>0</v>
      </c>
      <c r="D58">
        <v>3357744.11</v>
      </c>
      <c r="E58">
        <v>1527778</v>
      </c>
      <c r="F58">
        <v>1829966.11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2181818.1800000002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1175925.93</v>
      </c>
      <c r="AB58">
        <v>1527778</v>
      </c>
      <c r="AC58">
        <v>0</v>
      </c>
      <c r="AD58">
        <v>0</v>
      </c>
    </row>
    <row r="59" spans="1:30" x14ac:dyDescent="0.25">
      <c r="A59" t="s">
        <v>125</v>
      </c>
      <c r="B59" t="s">
        <v>126</v>
      </c>
      <c r="C59">
        <v>384136655.38559759</v>
      </c>
      <c r="D59">
        <v>321425175</v>
      </c>
      <c r="E59">
        <v>455923660</v>
      </c>
      <c r="F59">
        <v>249638170.38559759</v>
      </c>
      <c r="G59">
        <v>4931820</v>
      </c>
      <c r="H59">
        <v>19900001</v>
      </c>
      <c r="I59">
        <v>63889889</v>
      </c>
      <c r="J59">
        <v>32800001</v>
      </c>
      <c r="K59">
        <v>53512728</v>
      </c>
      <c r="L59">
        <v>27218182</v>
      </c>
      <c r="M59">
        <v>5831820</v>
      </c>
      <c r="N59">
        <v>13663636</v>
      </c>
      <c r="O59">
        <v>19660909</v>
      </c>
      <c r="P59">
        <v>34308184</v>
      </c>
      <c r="Q59">
        <v>41126379</v>
      </c>
      <c r="R59">
        <v>13377275</v>
      </c>
      <c r="S59">
        <v>14960001</v>
      </c>
      <c r="T59">
        <v>15296365</v>
      </c>
      <c r="U59">
        <v>12229092</v>
      </c>
      <c r="V59">
        <v>30789093</v>
      </c>
      <c r="W59">
        <v>16376359</v>
      </c>
      <c r="X59">
        <v>19572728</v>
      </c>
      <c r="Y59">
        <v>8149818</v>
      </c>
      <c r="Z59">
        <v>70686365</v>
      </c>
      <c r="AA59">
        <v>36019091</v>
      </c>
      <c r="AB59">
        <v>29763638</v>
      </c>
      <c r="AC59">
        <v>44737269</v>
      </c>
      <c r="AD59">
        <v>148548192</v>
      </c>
    </row>
    <row r="60" spans="1:30" x14ac:dyDescent="0.25">
      <c r="A60" t="s">
        <v>127</v>
      </c>
      <c r="B60" t="s">
        <v>128</v>
      </c>
      <c r="C60">
        <v>7335728.6822262118</v>
      </c>
      <c r="D60">
        <v>815454</v>
      </c>
      <c r="E60">
        <v>3346362</v>
      </c>
      <c r="F60">
        <v>4804820.6822262118</v>
      </c>
      <c r="G60">
        <v>0</v>
      </c>
      <c r="H60">
        <v>0</v>
      </c>
      <c r="I60">
        <v>520000</v>
      </c>
      <c r="J60">
        <v>0</v>
      </c>
      <c r="K60">
        <v>0</v>
      </c>
      <c r="L60">
        <v>0</v>
      </c>
      <c r="M60">
        <v>0</v>
      </c>
      <c r="N60">
        <v>0</v>
      </c>
      <c r="O60">
        <v>59090</v>
      </c>
      <c r="P60">
        <v>227272</v>
      </c>
      <c r="Q60">
        <v>0</v>
      </c>
      <c r="R60">
        <v>0</v>
      </c>
      <c r="S60">
        <v>0</v>
      </c>
      <c r="T60">
        <v>0</v>
      </c>
      <c r="U60">
        <v>0</v>
      </c>
      <c r="V60">
        <v>363636</v>
      </c>
      <c r="W60">
        <v>236364</v>
      </c>
      <c r="X60">
        <v>0</v>
      </c>
      <c r="Y60">
        <v>0</v>
      </c>
      <c r="Z60">
        <v>300000</v>
      </c>
      <c r="AA60">
        <v>0</v>
      </c>
      <c r="AB60">
        <v>845454</v>
      </c>
      <c r="AC60">
        <v>0</v>
      </c>
      <c r="AD60">
        <v>1610000</v>
      </c>
    </row>
    <row r="61" spans="1:30" x14ac:dyDescent="0.25">
      <c r="A61" t="s">
        <v>129</v>
      </c>
      <c r="B61" t="s">
        <v>130</v>
      </c>
      <c r="C61">
        <v>3955800.75</v>
      </c>
      <c r="D61">
        <v>2100000</v>
      </c>
      <c r="E61">
        <v>5499999</v>
      </c>
      <c r="F61">
        <v>555801.75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600000</v>
      </c>
      <c r="P61">
        <v>954545</v>
      </c>
      <c r="Q61">
        <v>0</v>
      </c>
      <c r="R61">
        <v>772727</v>
      </c>
      <c r="S61">
        <v>0</v>
      </c>
      <c r="T61">
        <v>0</v>
      </c>
      <c r="U61">
        <v>0</v>
      </c>
      <c r="V61">
        <v>772727</v>
      </c>
      <c r="W61">
        <v>1500000</v>
      </c>
      <c r="X61">
        <v>590909</v>
      </c>
      <c r="Y61">
        <v>0</v>
      </c>
      <c r="Z61">
        <v>863636</v>
      </c>
      <c r="AA61">
        <v>0</v>
      </c>
      <c r="AB61">
        <v>1545455</v>
      </c>
      <c r="AC61">
        <v>0</v>
      </c>
      <c r="AD61">
        <v>0</v>
      </c>
    </row>
    <row r="62" spans="1:30" x14ac:dyDescent="0.25">
      <c r="A62" t="s">
        <v>131</v>
      </c>
      <c r="B62" t="s">
        <v>132</v>
      </c>
      <c r="C62">
        <v>92567706.878957912</v>
      </c>
      <c r="D62">
        <v>220726376</v>
      </c>
      <c r="E62">
        <v>72104555</v>
      </c>
      <c r="F62">
        <v>241189527.8789579</v>
      </c>
      <c r="G62">
        <v>85752408</v>
      </c>
      <c r="H62">
        <v>845455</v>
      </c>
      <c r="I62">
        <v>15768150</v>
      </c>
      <c r="J62">
        <v>2536363</v>
      </c>
      <c r="K62">
        <v>32935909</v>
      </c>
      <c r="L62">
        <v>4518183</v>
      </c>
      <c r="M62">
        <v>77181135</v>
      </c>
      <c r="N62">
        <v>1718181</v>
      </c>
      <c r="O62">
        <v>0</v>
      </c>
      <c r="P62">
        <v>2663637</v>
      </c>
      <c r="Q62">
        <v>0</v>
      </c>
      <c r="R62">
        <v>709091</v>
      </c>
      <c r="S62">
        <v>0</v>
      </c>
      <c r="T62">
        <v>3499998</v>
      </c>
      <c r="U62">
        <v>2725136</v>
      </c>
      <c r="V62">
        <v>945455</v>
      </c>
      <c r="W62">
        <v>0</v>
      </c>
      <c r="X62">
        <v>1886364</v>
      </c>
      <c r="Y62">
        <v>2545455</v>
      </c>
      <c r="Z62">
        <v>3172727</v>
      </c>
      <c r="AA62">
        <v>2545455</v>
      </c>
      <c r="AB62">
        <v>31863640</v>
      </c>
      <c r="AC62">
        <v>1272728</v>
      </c>
      <c r="AD62">
        <v>17745461</v>
      </c>
    </row>
    <row r="63" spans="1:30" x14ac:dyDescent="0.25">
      <c r="A63" t="s">
        <v>133</v>
      </c>
      <c r="B63" t="s">
        <v>134</v>
      </c>
      <c r="C63">
        <v>40000859.711580493</v>
      </c>
      <c r="D63">
        <v>19642500</v>
      </c>
      <c r="E63">
        <v>1000000</v>
      </c>
      <c r="F63">
        <v>58643359.711580493</v>
      </c>
      <c r="G63">
        <v>4365000</v>
      </c>
      <c r="H63">
        <v>0</v>
      </c>
      <c r="I63">
        <v>0</v>
      </c>
      <c r="J63">
        <v>0</v>
      </c>
      <c r="K63">
        <v>4365000</v>
      </c>
      <c r="L63">
        <v>0</v>
      </c>
      <c r="M63">
        <v>10912500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1000000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135</v>
      </c>
      <c r="B64" t="s">
        <v>136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137</v>
      </c>
      <c r="B65" t="s">
        <v>138</v>
      </c>
      <c r="C65">
        <v>16707592.0011236</v>
      </c>
      <c r="D65">
        <v>33612270.450000003</v>
      </c>
      <c r="E65">
        <v>42572728</v>
      </c>
      <c r="F65">
        <v>7747134.4511235952</v>
      </c>
      <c r="G65">
        <v>0</v>
      </c>
      <c r="H65">
        <v>0</v>
      </c>
      <c r="I65">
        <v>735000</v>
      </c>
      <c r="J65">
        <v>809091</v>
      </c>
      <c r="K65">
        <v>13318181.810000001</v>
      </c>
      <c r="L65">
        <v>15354547</v>
      </c>
      <c r="M65">
        <v>350000</v>
      </c>
      <c r="N65">
        <v>954545</v>
      </c>
      <c r="O65">
        <v>9718181.8200000003</v>
      </c>
      <c r="P65">
        <v>1218182</v>
      </c>
      <c r="Q65">
        <v>0</v>
      </c>
      <c r="R65">
        <v>11118181</v>
      </c>
      <c r="S65">
        <v>2227272.73</v>
      </c>
      <c r="T65">
        <v>0</v>
      </c>
      <c r="U65">
        <v>6759088.0899999999</v>
      </c>
      <c r="V65">
        <v>2445455</v>
      </c>
      <c r="W65">
        <v>0</v>
      </c>
      <c r="X65">
        <v>5727272</v>
      </c>
      <c r="Y65">
        <v>504546</v>
      </c>
      <c r="Z65">
        <v>2545455</v>
      </c>
      <c r="AA65">
        <v>0</v>
      </c>
      <c r="AB65">
        <v>2400000</v>
      </c>
      <c r="AC65">
        <v>0</v>
      </c>
      <c r="AD65">
        <v>0</v>
      </c>
    </row>
    <row r="66" spans="1:30" x14ac:dyDescent="0.25">
      <c r="A66" t="s">
        <v>139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141</v>
      </c>
      <c r="B67" t="s">
        <v>142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143</v>
      </c>
      <c r="B68" t="s">
        <v>144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145</v>
      </c>
      <c r="B69" t="s">
        <v>146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147</v>
      </c>
      <c r="B70" t="s">
        <v>148</v>
      </c>
      <c r="C70">
        <v>23309582.125112109</v>
      </c>
      <c r="D70">
        <v>46625455</v>
      </c>
      <c r="E70">
        <v>10427273</v>
      </c>
      <c r="F70">
        <v>59507764.125112101</v>
      </c>
      <c r="G70">
        <v>16666364</v>
      </c>
      <c r="H70">
        <v>0</v>
      </c>
      <c r="I70">
        <v>0</v>
      </c>
      <c r="J70">
        <v>0</v>
      </c>
      <c r="K70">
        <v>8333182</v>
      </c>
      <c r="L70">
        <v>2090909</v>
      </c>
      <c r="M70">
        <v>19444091</v>
      </c>
      <c r="N70">
        <v>1454546</v>
      </c>
      <c r="O70">
        <v>700000</v>
      </c>
      <c r="P70">
        <v>2409090</v>
      </c>
      <c r="Q70">
        <v>0</v>
      </c>
      <c r="R70">
        <v>0</v>
      </c>
      <c r="S70">
        <v>0</v>
      </c>
      <c r="T70">
        <v>0</v>
      </c>
      <c r="U70">
        <v>581818</v>
      </c>
      <c r="V70">
        <v>618182</v>
      </c>
      <c r="W70">
        <v>0</v>
      </c>
      <c r="X70">
        <v>2236364</v>
      </c>
      <c r="Y70">
        <v>0</v>
      </c>
      <c r="Z70">
        <v>0</v>
      </c>
      <c r="AA70">
        <v>900000</v>
      </c>
      <c r="AB70">
        <v>0</v>
      </c>
      <c r="AC70">
        <v>0</v>
      </c>
      <c r="AD70">
        <v>1618182</v>
      </c>
    </row>
    <row r="71" spans="1:30" x14ac:dyDescent="0.25">
      <c r="A71" t="s">
        <v>149</v>
      </c>
      <c r="B71" t="s">
        <v>150</v>
      </c>
      <c r="C71">
        <v>1388337.16</v>
      </c>
      <c r="D71">
        <v>1781818</v>
      </c>
      <c r="E71">
        <v>2472727</v>
      </c>
      <c r="F71">
        <v>697428.16000000015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1781818</v>
      </c>
      <c r="R71">
        <v>0</v>
      </c>
      <c r="S71">
        <v>0</v>
      </c>
      <c r="T71">
        <v>272727</v>
      </c>
      <c r="U71">
        <v>0</v>
      </c>
      <c r="V71">
        <v>2200000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151</v>
      </c>
      <c r="B72" t="s">
        <v>152</v>
      </c>
      <c r="C72">
        <v>1745454.6</v>
      </c>
      <c r="D72">
        <v>0</v>
      </c>
      <c r="E72">
        <v>1045455</v>
      </c>
      <c r="F72">
        <v>699999.59999999986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1045455</v>
      </c>
    </row>
    <row r="73" spans="1:30" x14ac:dyDescent="0.25">
      <c r="A73" t="s">
        <v>153</v>
      </c>
      <c r="B73" t="s">
        <v>154</v>
      </c>
      <c r="C73">
        <v>440760.79768786131</v>
      </c>
      <c r="D73">
        <v>410060</v>
      </c>
      <c r="E73">
        <v>712963</v>
      </c>
      <c r="F73">
        <v>137857.79768786131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410060</v>
      </c>
      <c r="AD73">
        <v>712963</v>
      </c>
    </row>
    <row r="74" spans="1:30" x14ac:dyDescent="0.25">
      <c r="A74" t="s">
        <v>155</v>
      </c>
      <c r="B74" t="s">
        <v>156</v>
      </c>
      <c r="C74">
        <v>127516935.07878789</v>
      </c>
      <c r="D74">
        <v>259377268</v>
      </c>
      <c r="E74">
        <v>123618181</v>
      </c>
      <c r="F74">
        <v>263276022.07878789</v>
      </c>
      <c r="G74">
        <v>0</v>
      </c>
      <c r="H74">
        <v>0</v>
      </c>
      <c r="I74">
        <v>10854546</v>
      </c>
      <c r="J74">
        <v>15800000</v>
      </c>
      <c r="K74">
        <v>19609088</v>
      </c>
      <c r="L74">
        <v>6854546</v>
      </c>
      <c r="M74">
        <v>0</v>
      </c>
      <c r="N74">
        <v>8536363</v>
      </c>
      <c r="O74">
        <v>26090909</v>
      </c>
      <c r="P74">
        <v>2263636</v>
      </c>
      <c r="Q74">
        <v>42963636</v>
      </c>
      <c r="R74">
        <v>32854545</v>
      </c>
      <c r="S74">
        <v>0</v>
      </c>
      <c r="T74">
        <v>4500000</v>
      </c>
      <c r="U74">
        <v>36936363</v>
      </c>
      <c r="V74">
        <v>10345455</v>
      </c>
      <c r="W74">
        <v>18700000</v>
      </c>
      <c r="X74">
        <v>4290909</v>
      </c>
      <c r="Y74">
        <v>29381818</v>
      </c>
      <c r="Z74">
        <v>0</v>
      </c>
      <c r="AA74">
        <v>15236364</v>
      </c>
      <c r="AB74">
        <v>18000000</v>
      </c>
      <c r="AC74">
        <v>59604544</v>
      </c>
      <c r="AD74">
        <v>20172727</v>
      </c>
    </row>
    <row r="75" spans="1:30" x14ac:dyDescent="0.25">
      <c r="A75" t="s">
        <v>157</v>
      </c>
      <c r="B75" t="s">
        <v>158</v>
      </c>
      <c r="C75">
        <v>132196496.7509881</v>
      </c>
      <c r="D75">
        <v>334436365</v>
      </c>
      <c r="E75">
        <v>74918181</v>
      </c>
      <c r="F75">
        <v>391714680.75098813</v>
      </c>
      <c r="G75">
        <v>6000000</v>
      </c>
      <c r="H75">
        <v>0</v>
      </c>
      <c r="I75">
        <v>18909091</v>
      </c>
      <c r="J75">
        <v>0</v>
      </c>
      <c r="K75">
        <v>50163637</v>
      </c>
      <c r="L75">
        <v>0</v>
      </c>
      <c r="M75">
        <v>2809091</v>
      </c>
      <c r="N75">
        <v>0</v>
      </c>
      <c r="O75">
        <v>10600000</v>
      </c>
      <c r="P75">
        <v>0</v>
      </c>
      <c r="Q75">
        <v>37990910</v>
      </c>
      <c r="R75">
        <v>0</v>
      </c>
      <c r="S75">
        <v>0</v>
      </c>
      <c r="T75">
        <v>3000000</v>
      </c>
      <c r="U75">
        <v>27181818</v>
      </c>
      <c r="V75">
        <v>0</v>
      </c>
      <c r="W75">
        <v>16136364</v>
      </c>
      <c r="X75">
        <v>9772727</v>
      </c>
      <c r="Y75">
        <v>17600001</v>
      </c>
      <c r="Z75">
        <v>5327273</v>
      </c>
      <c r="AA75">
        <v>31054545</v>
      </c>
      <c r="AB75">
        <v>3809091</v>
      </c>
      <c r="AC75">
        <v>115990908</v>
      </c>
      <c r="AD75">
        <v>53009090</v>
      </c>
    </row>
    <row r="76" spans="1:30" x14ac:dyDescent="0.25">
      <c r="A76" t="s">
        <v>159</v>
      </c>
      <c r="B76" t="s">
        <v>160</v>
      </c>
      <c r="C76">
        <v>12411910.875</v>
      </c>
      <c r="D76">
        <v>15681819</v>
      </c>
      <c r="E76">
        <v>0</v>
      </c>
      <c r="F76">
        <v>28093729.875</v>
      </c>
      <c r="G76">
        <v>0</v>
      </c>
      <c r="H76">
        <v>0</v>
      </c>
      <c r="I76">
        <v>5227273</v>
      </c>
      <c r="J76">
        <v>0</v>
      </c>
      <c r="K76">
        <v>5227273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5227273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161</v>
      </c>
      <c r="B77" t="s">
        <v>162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163</v>
      </c>
      <c r="B78" t="s">
        <v>164</v>
      </c>
      <c r="C78">
        <v>139867893.59605911</v>
      </c>
      <c r="D78">
        <v>61096366</v>
      </c>
      <c r="E78">
        <v>18990909</v>
      </c>
      <c r="F78">
        <v>181973350.59605911</v>
      </c>
      <c r="G78">
        <v>0</v>
      </c>
      <c r="H78">
        <v>0</v>
      </c>
      <c r="I78">
        <v>0</v>
      </c>
      <c r="J78">
        <v>0</v>
      </c>
      <c r="K78">
        <v>6654544</v>
      </c>
      <c r="L78">
        <v>0</v>
      </c>
      <c r="M78">
        <v>0</v>
      </c>
      <c r="N78">
        <v>0</v>
      </c>
      <c r="O78">
        <v>0</v>
      </c>
      <c r="P78">
        <v>1590909</v>
      </c>
      <c r="Q78">
        <v>26058183</v>
      </c>
      <c r="R78">
        <v>15500000</v>
      </c>
      <c r="S78">
        <v>17272728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11110911</v>
      </c>
      <c r="AD78">
        <v>1900000</v>
      </c>
    </row>
    <row r="79" spans="1:30" x14ac:dyDescent="0.25">
      <c r="A79" t="s">
        <v>165</v>
      </c>
      <c r="B79" t="s">
        <v>166</v>
      </c>
      <c r="C79">
        <v>13411842</v>
      </c>
      <c r="D79">
        <v>11514545</v>
      </c>
      <c r="E79">
        <v>2445455</v>
      </c>
      <c r="F79">
        <v>22480932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4878181</v>
      </c>
      <c r="R79">
        <v>0</v>
      </c>
      <c r="S79">
        <v>0</v>
      </c>
      <c r="T79">
        <v>0</v>
      </c>
      <c r="U79">
        <v>0</v>
      </c>
      <c r="V79">
        <v>2445455</v>
      </c>
      <c r="W79">
        <v>0</v>
      </c>
      <c r="X79">
        <v>0</v>
      </c>
      <c r="Y79">
        <v>0</v>
      </c>
      <c r="Z79">
        <v>0</v>
      </c>
      <c r="AA79">
        <v>6636364</v>
      </c>
      <c r="AB79">
        <v>0</v>
      </c>
      <c r="AC79">
        <v>0</v>
      </c>
      <c r="AD79">
        <v>0</v>
      </c>
    </row>
    <row r="80" spans="1:30" x14ac:dyDescent="0.25">
      <c r="A80" t="s">
        <v>167</v>
      </c>
      <c r="B80" t="s">
        <v>168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169</v>
      </c>
      <c r="B81" t="s">
        <v>170</v>
      </c>
      <c r="C81">
        <v>166130309.62329009</v>
      </c>
      <c r="D81">
        <v>138654582</v>
      </c>
      <c r="E81">
        <v>175236355</v>
      </c>
      <c r="F81">
        <v>129548536.62329011</v>
      </c>
      <c r="G81">
        <v>5500000</v>
      </c>
      <c r="H81">
        <v>16963636</v>
      </c>
      <c r="I81">
        <v>22881808</v>
      </c>
      <c r="J81">
        <v>6209090</v>
      </c>
      <c r="K81">
        <v>24127291</v>
      </c>
      <c r="L81">
        <v>20472726</v>
      </c>
      <c r="M81">
        <v>3090910</v>
      </c>
      <c r="N81">
        <v>28227271</v>
      </c>
      <c r="O81">
        <v>3681819</v>
      </c>
      <c r="P81">
        <v>28009092</v>
      </c>
      <c r="Q81">
        <v>8954545</v>
      </c>
      <c r="R81">
        <v>4390910</v>
      </c>
      <c r="S81">
        <v>1772727</v>
      </c>
      <c r="T81">
        <v>1418181</v>
      </c>
      <c r="U81">
        <v>7350000</v>
      </c>
      <c r="V81">
        <v>3836363</v>
      </c>
      <c r="W81">
        <v>0</v>
      </c>
      <c r="X81">
        <v>12599999</v>
      </c>
      <c r="Y81">
        <v>32727300</v>
      </c>
      <c r="Z81">
        <v>2000000</v>
      </c>
      <c r="AA81">
        <v>24363636</v>
      </c>
      <c r="AB81">
        <v>37209088</v>
      </c>
      <c r="AC81">
        <v>4204546</v>
      </c>
      <c r="AD81">
        <v>13899999</v>
      </c>
    </row>
    <row r="82" spans="1:30" x14ac:dyDescent="0.25">
      <c r="A82" t="s">
        <v>171</v>
      </c>
      <c r="B82" t="s">
        <v>172</v>
      </c>
      <c r="C82">
        <v>72293953.117302045</v>
      </c>
      <c r="D82">
        <v>67863628</v>
      </c>
      <c r="E82">
        <v>37968183</v>
      </c>
      <c r="F82">
        <v>102189398.117302</v>
      </c>
      <c r="G82">
        <v>0</v>
      </c>
      <c r="H82">
        <v>1363636</v>
      </c>
      <c r="I82">
        <v>2918181</v>
      </c>
      <c r="J82">
        <v>2072728</v>
      </c>
      <c r="K82">
        <v>12727271</v>
      </c>
      <c r="L82">
        <v>4481818</v>
      </c>
      <c r="M82">
        <v>6468181</v>
      </c>
      <c r="N82">
        <v>863636</v>
      </c>
      <c r="O82">
        <v>0</v>
      </c>
      <c r="P82">
        <v>1945454</v>
      </c>
      <c r="Q82">
        <v>5213636</v>
      </c>
      <c r="R82">
        <v>0</v>
      </c>
      <c r="S82">
        <v>2490909</v>
      </c>
      <c r="T82">
        <v>7718183</v>
      </c>
      <c r="U82">
        <v>3113636</v>
      </c>
      <c r="V82">
        <v>3900001</v>
      </c>
      <c r="W82">
        <v>590909</v>
      </c>
      <c r="X82">
        <v>6313635</v>
      </c>
      <c r="Y82">
        <v>0</v>
      </c>
      <c r="Z82">
        <v>954546</v>
      </c>
      <c r="AA82">
        <v>9840910</v>
      </c>
      <c r="AB82">
        <v>4263636</v>
      </c>
      <c r="AC82">
        <v>24499995</v>
      </c>
      <c r="AD82">
        <v>4090910</v>
      </c>
    </row>
    <row r="83" spans="1:30" x14ac:dyDescent="0.25">
      <c r="A83" t="s">
        <v>173</v>
      </c>
      <c r="B83" t="s">
        <v>174</v>
      </c>
      <c r="C83">
        <v>25772651.202380959</v>
      </c>
      <c r="D83">
        <v>7272727</v>
      </c>
      <c r="E83">
        <v>6354546</v>
      </c>
      <c r="F83">
        <v>26690832.202380959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5181818</v>
      </c>
      <c r="Z83">
        <v>6354546</v>
      </c>
      <c r="AA83">
        <v>0</v>
      </c>
      <c r="AB83">
        <v>0</v>
      </c>
      <c r="AC83">
        <v>2090909</v>
      </c>
      <c r="AD83">
        <v>0</v>
      </c>
    </row>
    <row r="84" spans="1:30" x14ac:dyDescent="0.25">
      <c r="A84" t="s">
        <v>175</v>
      </c>
      <c r="B84" t="s">
        <v>176</v>
      </c>
      <c r="C84">
        <v>21101182.199999999</v>
      </c>
      <c r="D84">
        <v>68204544</v>
      </c>
      <c r="E84">
        <v>47709092</v>
      </c>
      <c r="F84">
        <v>41596634.200000003</v>
      </c>
      <c r="G84">
        <v>0</v>
      </c>
      <c r="H84">
        <v>0</v>
      </c>
      <c r="I84">
        <v>0</v>
      </c>
      <c r="J84">
        <v>0</v>
      </c>
      <c r="K84">
        <v>19809090</v>
      </c>
      <c r="L84">
        <v>3718182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652591</v>
      </c>
      <c r="T84">
        <v>4454545</v>
      </c>
      <c r="U84">
        <v>37867409</v>
      </c>
      <c r="V84">
        <v>0</v>
      </c>
      <c r="W84">
        <v>0</v>
      </c>
      <c r="X84">
        <v>20381820</v>
      </c>
      <c r="Y84">
        <v>0</v>
      </c>
      <c r="Z84">
        <v>0</v>
      </c>
      <c r="AA84">
        <v>9875454</v>
      </c>
      <c r="AB84">
        <v>3990909</v>
      </c>
      <c r="AC84">
        <v>0</v>
      </c>
      <c r="AD84">
        <v>15163636</v>
      </c>
    </row>
    <row r="85" spans="1:30" x14ac:dyDescent="0.25">
      <c r="A85" t="s">
        <v>177</v>
      </c>
      <c r="B85" t="s">
        <v>178</v>
      </c>
      <c r="C85">
        <v>21168255.483870968</v>
      </c>
      <c r="D85">
        <v>13996746</v>
      </c>
      <c r="E85">
        <v>7681818</v>
      </c>
      <c r="F85">
        <v>27483183.483870968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7037273</v>
      </c>
      <c r="N85">
        <v>0</v>
      </c>
      <c r="O85">
        <v>0</v>
      </c>
      <c r="P85">
        <v>7681818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6463636</v>
      </c>
      <c r="Z85">
        <v>0</v>
      </c>
      <c r="AA85">
        <v>0</v>
      </c>
      <c r="AB85">
        <v>0</v>
      </c>
      <c r="AC85">
        <v>495837</v>
      </c>
      <c r="AD85">
        <v>0</v>
      </c>
    </row>
    <row r="86" spans="1:30" x14ac:dyDescent="0.25">
      <c r="A86" t="s">
        <v>179</v>
      </c>
      <c r="B86" t="s">
        <v>180</v>
      </c>
      <c r="C86">
        <v>7002218.1600000001</v>
      </c>
      <c r="D86">
        <v>23079092</v>
      </c>
      <c r="E86">
        <v>18081818</v>
      </c>
      <c r="F86">
        <v>11999492.16</v>
      </c>
      <c r="G86">
        <v>0</v>
      </c>
      <c r="H86">
        <v>0</v>
      </c>
      <c r="I86">
        <v>2681820</v>
      </c>
      <c r="J86">
        <v>0</v>
      </c>
      <c r="K86">
        <v>2145455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2072727</v>
      </c>
      <c r="V86">
        <v>0</v>
      </c>
      <c r="W86">
        <v>0</v>
      </c>
      <c r="X86">
        <v>909091</v>
      </c>
      <c r="Y86">
        <v>16179090</v>
      </c>
      <c r="Z86">
        <v>17172727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181</v>
      </c>
      <c r="B87" t="s">
        <v>182</v>
      </c>
      <c r="C87">
        <v>90765515.572559372</v>
      </c>
      <c r="D87">
        <v>75449112</v>
      </c>
      <c r="E87">
        <v>91218182</v>
      </c>
      <c r="F87">
        <v>74996445.572559372</v>
      </c>
      <c r="G87">
        <v>0</v>
      </c>
      <c r="H87">
        <v>0</v>
      </c>
      <c r="I87">
        <v>6081818</v>
      </c>
      <c r="J87">
        <v>9154546</v>
      </c>
      <c r="K87">
        <v>15894553</v>
      </c>
      <c r="L87">
        <v>13136364</v>
      </c>
      <c r="M87">
        <v>0</v>
      </c>
      <c r="N87">
        <v>1018182</v>
      </c>
      <c r="O87">
        <v>23718196</v>
      </c>
      <c r="P87">
        <v>15272727</v>
      </c>
      <c r="Q87">
        <v>0</v>
      </c>
      <c r="R87">
        <v>890909</v>
      </c>
      <c r="S87">
        <v>9345454</v>
      </c>
      <c r="T87">
        <v>3309091</v>
      </c>
      <c r="U87">
        <v>0</v>
      </c>
      <c r="V87">
        <v>6072727</v>
      </c>
      <c r="W87">
        <v>0</v>
      </c>
      <c r="X87">
        <v>0</v>
      </c>
      <c r="Y87">
        <v>5372727</v>
      </c>
      <c r="Z87">
        <v>2809091</v>
      </c>
      <c r="AA87">
        <v>5400000</v>
      </c>
      <c r="AB87">
        <v>11300000</v>
      </c>
      <c r="AC87">
        <v>9636364</v>
      </c>
      <c r="AD87">
        <v>28254545</v>
      </c>
    </row>
    <row r="88" spans="1:30" x14ac:dyDescent="0.25">
      <c r="A88" t="s">
        <v>183</v>
      </c>
      <c r="B88" t="s">
        <v>184</v>
      </c>
      <c r="C88">
        <v>3293181.9545454541</v>
      </c>
      <c r="D88">
        <v>11650001</v>
      </c>
      <c r="E88">
        <v>12500000</v>
      </c>
      <c r="F88">
        <v>2443182.9545454532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11650001</v>
      </c>
      <c r="R88">
        <v>12500000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185</v>
      </c>
      <c r="B89" t="s">
        <v>186</v>
      </c>
      <c r="C89">
        <v>342425851.74628812</v>
      </c>
      <c r="D89">
        <v>347040911</v>
      </c>
      <c r="E89">
        <v>423840921</v>
      </c>
      <c r="F89">
        <v>265625841.74628809</v>
      </c>
      <c r="G89">
        <v>0</v>
      </c>
      <c r="H89">
        <v>10572727</v>
      </c>
      <c r="I89">
        <v>30645454</v>
      </c>
      <c r="J89">
        <v>14009092</v>
      </c>
      <c r="K89">
        <v>21472728</v>
      </c>
      <c r="L89">
        <v>30877275</v>
      </c>
      <c r="M89">
        <v>0</v>
      </c>
      <c r="N89">
        <v>44463638</v>
      </c>
      <c r="O89">
        <v>33818184</v>
      </c>
      <c r="P89">
        <v>26309093</v>
      </c>
      <c r="Q89">
        <v>33827273</v>
      </c>
      <c r="R89">
        <v>21654546</v>
      </c>
      <c r="S89">
        <v>14218182</v>
      </c>
      <c r="T89">
        <v>49300001</v>
      </c>
      <c r="U89">
        <v>85454581</v>
      </c>
      <c r="V89">
        <v>72599998</v>
      </c>
      <c r="W89">
        <v>116363600</v>
      </c>
      <c r="X89">
        <v>77572730</v>
      </c>
      <c r="Y89">
        <v>0</v>
      </c>
      <c r="Z89">
        <v>7972727</v>
      </c>
      <c r="AA89">
        <v>4877273</v>
      </c>
      <c r="AB89">
        <v>27281820</v>
      </c>
      <c r="AC89">
        <v>6363636</v>
      </c>
      <c r="AD89">
        <v>41227274</v>
      </c>
    </row>
    <row r="90" spans="1:30" x14ac:dyDescent="0.25">
      <c r="A90" t="s">
        <v>187</v>
      </c>
      <c r="B90" t="s">
        <v>188</v>
      </c>
      <c r="C90">
        <v>179876392.34957021</v>
      </c>
      <c r="D90">
        <v>67060913</v>
      </c>
      <c r="E90">
        <v>52190906</v>
      </c>
      <c r="F90">
        <v>194746399.34957021</v>
      </c>
      <c r="G90">
        <v>0</v>
      </c>
      <c r="H90">
        <v>1636364</v>
      </c>
      <c r="I90">
        <v>0</v>
      </c>
      <c r="J90">
        <v>2890909</v>
      </c>
      <c r="K90">
        <v>0</v>
      </c>
      <c r="L90">
        <v>3654546</v>
      </c>
      <c r="M90">
        <v>0</v>
      </c>
      <c r="N90">
        <v>2763636</v>
      </c>
      <c r="O90">
        <v>0</v>
      </c>
      <c r="P90">
        <v>6527273</v>
      </c>
      <c r="Q90">
        <v>3022727</v>
      </c>
      <c r="R90">
        <v>4663636</v>
      </c>
      <c r="S90">
        <v>0</v>
      </c>
      <c r="T90">
        <v>1281818</v>
      </c>
      <c r="U90">
        <v>7545453</v>
      </c>
      <c r="V90">
        <v>10090908</v>
      </c>
      <c r="W90">
        <v>10727280</v>
      </c>
      <c r="X90">
        <v>5536362</v>
      </c>
      <c r="Y90">
        <v>1890909</v>
      </c>
      <c r="Z90">
        <v>1790910</v>
      </c>
      <c r="AA90">
        <v>16474544</v>
      </c>
      <c r="AB90">
        <v>5772727</v>
      </c>
      <c r="AC90">
        <v>27400000</v>
      </c>
      <c r="AD90">
        <v>5581817</v>
      </c>
    </row>
    <row r="91" spans="1:30" x14ac:dyDescent="0.25">
      <c r="A91" t="s">
        <v>189</v>
      </c>
      <c r="B91" t="s">
        <v>190</v>
      </c>
      <c r="C91">
        <v>56980504.992395438</v>
      </c>
      <c r="D91">
        <v>43822727</v>
      </c>
      <c r="E91">
        <v>15145455</v>
      </c>
      <c r="F91">
        <v>85657776.992395431</v>
      </c>
      <c r="G91">
        <v>0</v>
      </c>
      <c r="H91">
        <v>0</v>
      </c>
      <c r="I91">
        <v>0</v>
      </c>
      <c r="J91">
        <v>0</v>
      </c>
      <c r="K91">
        <v>4500000</v>
      </c>
      <c r="L91">
        <v>0</v>
      </c>
      <c r="M91">
        <v>0</v>
      </c>
      <c r="N91">
        <v>0</v>
      </c>
      <c r="O91">
        <v>0</v>
      </c>
      <c r="P91">
        <v>0</v>
      </c>
      <c r="Q91">
        <v>3000000</v>
      </c>
      <c r="R91">
        <v>0</v>
      </c>
      <c r="S91">
        <v>2036364</v>
      </c>
      <c r="T91">
        <v>0</v>
      </c>
      <c r="U91">
        <v>7986364</v>
      </c>
      <c r="V91">
        <v>2718182</v>
      </c>
      <c r="W91">
        <v>5218180</v>
      </c>
      <c r="X91">
        <v>3309091</v>
      </c>
      <c r="Y91">
        <v>5345455</v>
      </c>
      <c r="Z91">
        <v>5590909</v>
      </c>
      <c r="AA91">
        <v>3945455</v>
      </c>
      <c r="AB91">
        <v>3527273</v>
      </c>
      <c r="AC91">
        <v>11790909</v>
      </c>
      <c r="AD91">
        <v>0</v>
      </c>
    </row>
    <row r="92" spans="1:30" x14ac:dyDescent="0.25">
      <c r="A92" t="s">
        <v>191</v>
      </c>
      <c r="B92" t="s">
        <v>192</v>
      </c>
      <c r="C92">
        <v>112291418.1280788</v>
      </c>
      <c r="D92">
        <v>74354527</v>
      </c>
      <c r="E92">
        <v>120321825</v>
      </c>
      <c r="F92">
        <v>66324120.128078818</v>
      </c>
      <c r="G92">
        <v>0</v>
      </c>
      <c r="H92">
        <v>16300000</v>
      </c>
      <c r="I92">
        <v>5727273</v>
      </c>
      <c r="J92">
        <v>6872728</v>
      </c>
      <c r="K92">
        <v>0</v>
      </c>
      <c r="L92">
        <v>9223637</v>
      </c>
      <c r="M92">
        <v>809091</v>
      </c>
      <c r="N92">
        <v>11281818</v>
      </c>
      <c r="O92">
        <v>21486364</v>
      </c>
      <c r="P92">
        <v>14181818</v>
      </c>
      <c r="Q92">
        <v>7418162</v>
      </c>
      <c r="R92">
        <v>2500000</v>
      </c>
      <c r="S92">
        <v>16000000</v>
      </c>
      <c r="T92">
        <v>1600000</v>
      </c>
      <c r="U92">
        <v>0</v>
      </c>
      <c r="V92">
        <v>1709091</v>
      </c>
      <c r="W92">
        <v>0</v>
      </c>
      <c r="X92">
        <v>8472728</v>
      </c>
      <c r="Y92">
        <v>7186364</v>
      </c>
      <c r="Z92">
        <v>8681819</v>
      </c>
      <c r="AA92">
        <v>15727273</v>
      </c>
      <c r="AB92">
        <v>19609096</v>
      </c>
      <c r="AC92">
        <v>0</v>
      </c>
      <c r="AD92">
        <v>19889090</v>
      </c>
    </row>
    <row r="93" spans="1:30" x14ac:dyDescent="0.25">
      <c r="A93" t="s">
        <v>193</v>
      </c>
      <c r="B93" t="s">
        <v>194</v>
      </c>
      <c r="C93">
        <v>64384966.432558142</v>
      </c>
      <c r="D93">
        <v>78399999</v>
      </c>
      <c r="E93">
        <v>53298183</v>
      </c>
      <c r="F93">
        <v>89486782.432558149</v>
      </c>
      <c r="G93">
        <v>0</v>
      </c>
      <c r="H93">
        <v>5300000</v>
      </c>
      <c r="I93">
        <v>4954545</v>
      </c>
      <c r="J93">
        <v>7336364</v>
      </c>
      <c r="K93">
        <v>9681818</v>
      </c>
      <c r="L93">
        <v>1318182</v>
      </c>
      <c r="M93">
        <v>0</v>
      </c>
      <c r="N93">
        <v>3981818</v>
      </c>
      <c r="O93">
        <v>10500000</v>
      </c>
      <c r="P93">
        <v>0</v>
      </c>
      <c r="Q93">
        <v>19727272</v>
      </c>
      <c r="R93">
        <v>5000000</v>
      </c>
      <c r="S93">
        <v>9809091</v>
      </c>
      <c r="T93">
        <v>0</v>
      </c>
      <c r="U93">
        <v>8136364</v>
      </c>
      <c r="V93">
        <v>0</v>
      </c>
      <c r="W93">
        <v>0</v>
      </c>
      <c r="X93">
        <v>5954546</v>
      </c>
      <c r="Y93">
        <v>7309091</v>
      </c>
      <c r="Z93">
        <v>7400000</v>
      </c>
      <c r="AA93">
        <v>6272727</v>
      </c>
      <c r="AB93">
        <v>2890910</v>
      </c>
      <c r="AC93">
        <v>2009091</v>
      </c>
      <c r="AD93">
        <v>14116363</v>
      </c>
    </row>
    <row r="94" spans="1:30" x14ac:dyDescent="0.25">
      <c r="A94" t="s">
        <v>195</v>
      </c>
      <c r="B94" t="s">
        <v>196</v>
      </c>
      <c r="C94">
        <v>122528863.6155607</v>
      </c>
      <c r="D94">
        <v>86054551</v>
      </c>
      <c r="E94">
        <v>88618182</v>
      </c>
      <c r="F94">
        <v>119965232.6155607</v>
      </c>
      <c r="G94">
        <v>0</v>
      </c>
      <c r="H94">
        <v>1318182</v>
      </c>
      <c r="I94">
        <v>0</v>
      </c>
      <c r="J94">
        <v>6827273</v>
      </c>
      <c r="K94">
        <v>0</v>
      </c>
      <c r="L94">
        <v>4918182</v>
      </c>
      <c r="M94">
        <v>0</v>
      </c>
      <c r="N94">
        <v>7172727</v>
      </c>
      <c r="O94">
        <v>0</v>
      </c>
      <c r="P94">
        <v>3445454</v>
      </c>
      <c r="Q94">
        <v>42595450</v>
      </c>
      <c r="R94">
        <v>3081818</v>
      </c>
      <c r="S94">
        <v>0</v>
      </c>
      <c r="T94">
        <v>6013637</v>
      </c>
      <c r="U94">
        <v>11500020</v>
      </c>
      <c r="V94">
        <v>11745455</v>
      </c>
      <c r="W94">
        <v>0</v>
      </c>
      <c r="X94">
        <v>6731818</v>
      </c>
      <c r="Y94">
        <v>3863636</v>
      </c>
      <c r="Z94">
        <v>8609090</v>
      </c>
      <c r="AA94">
        <v>0</v>
      </c>
      <c r="AB94">
        <v>15181818</v>
      </c>
      <c r="AC94">
        <v>28095445</v>
      </c>
      <c r="AD94">
        <v>13572728</v>
      </c>
    </row>
    <row r="95" spans="1:30" x14ac:dyDescent="0.25">
      <c r="A95" t="s">
        <v>197</v>
      </c>
      <c r="B95" t="s">
        <v>198</v>
      </c>
      <c r="C95">
        <v>4450999.8672566377</v>
      </c>
      <c r="D95">
        <v>0</v>
      </c>
      <c r="E95">
        <v>2177273</v>
      </c>
      <c r="F95">
        <v>2273726.8672566381</v>
      </c>
      <c r="G95">
        <v>0</v>
      </c>
      <c r="H95">
        <v>0</v>
      </c>
      <c r="I95">
        <v>0</v>
      </c>
      <c r="J95">
        <v>0</v>
      </c>
      <c r="K95">
        <v>0</v>
      </c>
      <c r="L95">
        <v>836364</v>
      </c>
      <c r="M95">
        <v>0</v>
      </c>
      <c r="N95">
        <v>840909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500000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199</v>
      </c>
      <c r="B96" t="s">
        <v>200</v>
      </c>
      <c r="C96">
        <v>5827921.0819672132</v>
      </c>
      <c r="D96">
        <v>0</v>
      </c>
      <c r="E96">
        <v>0</v>
      </c>
      <c r="F96">
        <v>5827921.0819672132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201</v>
      </c>
      <c r="B97" t="s">
        <v>202</v>
      </c>
      <c r="C97">
        <v>93086985.436195686</v>
      </c>
      <c r="D97">
        <v>103860008</v>
      </c>
      <c r="E97">
        <v>91800008</v>
      </c>
      <c r="F97">
        <v>105146985.4361957</v>
      </c>
      <c r="G97">
        <v>3550000</v>
      </c>
      <c r="H97">
        <v>581820</v>
      </c>
      <c r="I97">
        <v>14456363</v>
      </c>
      <c r="J97">
        <v>0</v>
      </c>
      <c r="K97">
        <v>4300000</v>
      </c>
      <c r="L97">
        <v>5472727</v>
      </c>
      <c r="M97">
        <v>4840912</v>
      </c>
      <c r="N97">
        <v>1145455</v>
      </c>
      <c r="O97">
        <v>7690909</v>
      </c>
      <c r="P97">
        <v>16263636</v>
      </c>
      <c r="Q97">
        <v>7354551</v>
      </c>
      <c r="R97">
        <v>795454</v>
      </c>
      <c r="S97">
        <v>0</v>
      </c>
      <c r="T97">
        <v>7127282</v>
      </c>
      <c r="U97">
        <v>22579093</v>
      </c>
      <c r="V97">
        <v>395455</v>
      </c>
      <c r="W97">
        <v>8231818</v>
      </c>
      <c r="X97">
        <v>0</v>
      </c>
      <c r="Y97">
        <v>9051819</v>
      </c>
      <c r="Z97">
        <v>50890909</v>
      </c>
      <c r="AA97">
        <v>10299998</v>
      </c>
      <c r="AB97">
        <v>2127272</v>
      </c>
      <c r="AC97">
        <v>11504545</v>
      </c>
      <c r="AD97">
        <v>6999998</v>
      </c>
    </row>
    <row r="98" spans="1:30" x14ac:dyDescent="0.25">
      <c r="A98" t="s">
        <v>203</v>
      </c>
      <c r="B98" t="s">
        <v>204</v>
      </c>
      <c r="C98">
        <v>60182575.620727673</v>
      </c>
      <c r="D98">
        <v>72290909</v>
      </c>
      <c r="E98">
        <v>62122770</v>
      </c>
      <c r="F98">
        <v>70350714.620727673</v>
      </c>
      <c r="G98">
        <v>0</v>
      </c>
      <c r="H98">
        <v>1363635</v>
      </c>
      <c r="I98">
        <v>39090909</v>
      </c>
      <c r="J98">
        <v>945455</v>
      </c>
      <c r="K98">
        <v>0</v>
      </c>
      <c r="L98">
        <v>3609091</v>
      </c>
      <c r="M98">
        <v>0</v>
      </c>
      <c r="N98">
        <v>609090</v>
      </c>
      <c r="O98">
        <v>1945454</v>
      </c>
      <c r="P98">
        <v>1145455</v>
      </c>
      <c r="Q98">
        <v>981818</v>
      </c>
      <c r="R98">
        <v>7999999</v>
      </c>
      <c r="S98">
        <v>0</v>
      </c>
      <c r="T98">
        <v>250000</v>
      </c>
      <c r="U98">
        <v>4836364</v>
      </c>
      <c r="V98">
        <v>1745455</v>
      </c>
      <c r="W98">
        <v>0</v>
      </c>
      <c r="X98">
        <v>3036366</v>
      </c>
      <c r="Y98">
        <v>3618182</v>
      </c>
      <c r="Z98">
        <v>2309091</v>
      </c>
      <c r="AA98">
        <v>0</v>
      </c>
      <c r="AB98">
        <v>2309092</v>
      </c>
      <c r="AC98">
        <v>21818182</v>
      </c>
      <c r="AD98">
        <v>36800041</v>
      </c>
    </row>
    <row r="99" spans="1:30" x14ac:dyDescent="0.25">
      <c r="A99" t="s">
        <v>205</v>
      </c>
      <c r="B99" t="s">
        <v>206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207</v>
      </c>
      <c r="B100" t="s">
        <v>208</v>
      </c>
      <c r="C100">
        <v>16917241.758620691</v>
      </c>
      <c r="D100">
        <v>0</v>
      </c>
      <c r="E100">
        <v>690909</v>
      </c>
      <c r="F100">
        <v>16226332.758620691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690909</v>
      </c>
    </row>
    <row r="101" spans="1:30" x14ac:dyDescent="0.25">
      <c r="A101" t="s">
        <v>209</v>
      </c>
      <c r="B101" t="s">
        <v>210</v>
      </c>
      <c r="C101">
        <v>3674579</v>
      </c>
      <c r="D101">
        <v>1363636</v>
      </c>
      <c r="E101">
        <v>2581818</v>
      </c>
      <c r="F101">
        <v>2456397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1363636</v>
      </c>
      <c r="R101">
        <v>1809091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772727</v>
      </c>
    </row>
    <row r="102" spans="1:30" x14ac:dyDescent="0.25">
      <c r="A102" t="s">
        <v>211</v>
      </c>
      <c r="B102" t="s">
        <v>212</v>
      </c>
      <c r="C102">
        <v>20371565.66929134</v>
      </c>
      <c r="D102">
        <v>78990908</v>
      </c>
      <c r="E102">
        <v>3879966</v>
      </c>
      <c r="F102">
        <v>95482507.669291347</v>
      </c>
      <c r="G102">
        <v>0</v>
      </c>
      <c r="H102">
        <v>0</v>
      </c>
      <c r="I102">
        <v>55909091</v>
      </c>
      <c r="J102">
        <v>0</v>
      </c>
      <c r="K102">
        <v>0</v>
      </c>
      <c r="L102">
        <v>0</v>
      </c>
      <c r="M102">
        <v>6363636</v>
      </c>
      <c r="N102">
        <v>0</v>
      </c>
      <c r="O102">
        <v>1818182</v>
      </c>
      <c r="P102">
        <v>0</v>
      </c>
      <c r="Q102">
        <v>10454545</v>
      </c>
      <c r="R102">
        <v>0</v>
      </c>
      <c r="S102">
        <v>0</v>
      </c>
      <c r="T102">
        <v>0</v>
      </c>
      <c r="U102">
        <v>4445454</v>
      </c>
      <c r="V102">
        <v>3879966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213</v>
      </c>
      <c r="B103" t="s">
        <v>214</v>
      </c>
      <c r="C103">
        <v>0</v>
      </c>
      <c r="D103">
        <v>5390909</v>
      </c>
      <c r="E103">
        <v>3081818</v>
      </c>
      <c r="F103">
        <v>2309091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2809091</v>
      </c>
      <c r="X103">
        <v>1363636</v>
      </c>
      <c r="Y103">
        <v>1290909</v>
      </c>
      <c r="Z103">
        <v>1718182</v>
      </c>
      <c r="AA103">
        <v>1290909</v>
      </c>
      <c r="AB103">
        <v>0</v>
      </c>
      <c r="AC103">
        <v>0</v>
      </c>
      <c r="AD103">
        <v>0</v>
      </c>
    </row>
    <row r="104" spans="1:30" x14ac:dyDescent="0.25">
      <c r="A104" t="s">
        <v>215</v>
      </c>
      <c r="B104" t="s">
        <v>216</v>
      </c>
      <c r="C104">
        <v>124730462.4637845</v>
      </c>
      <c r="D104">
        <v>206392649</v>
      </c>
      <c r="E104">
        <v>96672712</v>
      </c>
      <c r="F104">
        <v>234450399.46378449</v>
      </c>
      <c r="G104">
        <v>0</v>
      </c>
      <c r="H104">
        <v>2918181</v>
      </c>
      <c r="I104">
        <v>46116355</v>
      </c>
      <c r="J104">
        <v>2845455</v>
      </c>
      <c r="K104">
        <v>11772720</v>
      </c>
      <c r="L104">
        <v>8140908</v>
      </c>
      <c r="M104">
        <v>5831819</v>
      </c>
      <c r="N104">
        <v>3245454</v>
      </c>
      <c r="O104">
        <v>2131819</v>
      </c>
      <c r="P104">
        <v>2545454</v>
      </c>
      <c r="Q104">
        <v>20040908</v>
      </c>
      <c r="R104">
        <v>7831816</v>
      </c>
      <c r="S104">
        <v>7259094</v>
      </c>
      <c r="T104">
        <v>4131817</v>
      </c>
      <c r="U104">
        <v>9863630</v>
      </c>
      <c r="V104">
        <v>4218181</v>
      </c>
      <c r="W104">
        <v>21649954</v>
      </c>
      <c r="X104">
        <v>5986364</v>
      </c>
      <c r="Y104">
        <v>17122728</v>
      </c>
      <c r="Z104">
        <v>22113641</v>
      </c>
      <c r="AA104">
        <v>11825456</v>
      </c>
      <c r="AB104">
        <v>5622726</v>
      </c>
      <c r="AC104">
        <v>52778166</v>
      </c>
      <c r="AD104">
        <v>27072715</v>
      </c>
    </row>
    <row r="105" spans="1:30" x14ac:dyDescent="0.25">
      <c r="A105" t="s">
        <v>217</v>
      </c>
      <c r="B105" t="s">
        <v>218</v>
      </c>
      <c r="C105">
        <v>27637179.992982451</v>
      </c>
      <c r="D105">
        <v>46786355</v>
      </c>
      <c r="E105">
        <v>3745455</v>
      </c>
      <c r="F105">
        <v>70678079.992982447</v>
      </c>
      <c r="G105">
        <v>0</v>
      </c>
      <c r="H105">
        <v>0</v>
      </c>
      <c r="I105">
        <v>7418178</v>
      </c>
      <c r="J105">
        <v>0</v>
      </c>
      <c r="K105">
        <v>5800000</v>
      </c>
      <c r="L105">
        <v>600000</v>
      </c>
      <c r="M105">
        <v>0</v>
      </c>
      <c r="N105">
        <v>0</v>
      </c>
      <c r="O105">
        <v>0</v>
      </c>
      <c r="P105">
        <v>381818</v>
      </c>
      <c r="Q105">
        <v>4604546</v>
      </c>
      <c r="R105">
        <v>0</v>
      </c>
      <c r="S105">
        <v>5527272</v>
      </c>
      <c r="T105">
        <v>0</v>
      </c>
      <c r="U105">
        <v>7763631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5254546</v>
      </c>
      <c r="AB105">
        <v>327273</v>
      </c>
      <c r="AC105">
        <v>10418182</v>
      </c>
      <c r="AD105">
        <v>2436364</v>
      </c>
    </row>
    <row r="106" spans="1:30" x14ac:dyDescent="0.25">
      <c r="A106" t="s">
        <v>219</v>
      </c>
      <c r="B106" t="s">
        <v>220</v>
      </c>
      <c r="C106">
        <v>174683717.69023031</v>
      </c>
      <c r="D106">
        <v>186240907</v>
      </c>
      <c r="E106">
        <v>138819996</v>
      </c>
      <c r="F106">
        <v>222104628.69023031</v>
      </c>
      <c r="G106">
        <v>0</v>
      </c>
      <c r="H106">
        <v>1318182</v>
      </c>
      <c r="I106">
        <v>18400000</v>
      </c>
      <c r="J106">
        <v>4045454</v>
      </c>
      <c r="K106">
        <v>0</v>
      </c>
      <c r="L106">
        <v>5922727</v>
      </c>
      <c r="M106">
        <v>0</v>
      </c>
      <c r="N106">
        <v>6718182</v>
      </c>
      <c r="O106">
        <v>0</v>
      </c>
      <c r="P106">
        <v>5345456</v>
      </c>
      <c r="Q106">
        <v>37636364</v>
      </c>
      <c r="R106">
        <v>4295454</v>
      </c>
      <c r="S106">
        <v>0</v>
      </c>
      <c r="T106">
        <v>27319999</v>
      </c>
      <c r="U106">
        <v>40881818</v>
      </c>
      <c r="V106">
        <v>3700002</v>
      </c>
      <c r="W106">
        <v>32931818</v>
      </c>
      <c r="X106">
        <v>7481818</v>
      </c>
      <c r="Y106">
        <v>0</v>
      </c>
      <c r="Z106">
        <v>40918179</v>
      </c>
      <c r="AA106">
        <v>0</v>
      </c>
      <c r="AB106">
        <v>1190908</v>
      </c>
      <c r="AC106">
        <v>56390907</v>
      </c>
      <c r="AD106">
        <v>30563635</v>
      </c>
    </row>
    <row r="107" spans="1:30" x14ac:dyDescent="0.25">
      <c r="A107" t="s">
        <v>221</v>
      </c>
      <c r="B107" t="s">
        <v>222</v>
      </c>
      <c r="C107">
        <v>145834778.3291294</v>
      </c>
      <c r="D107">
        <v>149896315</v>
      </c>
      <c r="E107">
        <v>133368180</v>
      </c>
      <c r="F107">
        <v>162362913.3291294</v>
      </c>
      <c r="G107">
        <v>0</v>
      </c>
      <c r="H107">
        <v>4990910</v>
      </c>
      <c r="I107">
        <v>8590910</v>
      </c>
      <c r="J107">
        <v>4018182</v>
      </c>
      <c r="K107">
        <v>7163636</v>
      </c>
      <c r="L107">
        <v>8654542</v>
      </c>
      <c r="M107">
        <v>0</v>
      </c>
      <c r="N107">
        <v>3363638</v>
      </c>
      <c r="O107">
        <v>1431819</v>
      </c>
      <c r="P107">
        <v>1481818</v>
      </c>
      <c r="Q107">
        <v>9363636</v>
      </c>
      <c r="R107">
        <v>4713637</v>
      </c>
      <c r="S107">
        <v>8873635</v>
      </c>
      <c r="T107">
        <v>2668182</v>
      </c>
      <c r="U107">
        <v>0</v>
      </c>
      <c r="V107">
        <v>2509088</v>
      </c>
      <c r="W107">
        <v>11454500</v>
      </c>
      <c r="X107">
        <v>2918181</v>
      </c>
      <c r="Y107">
        <v>15518181</v>
      </c>
      <c r="Z107">
        <v>49295453</v>
      </c>
      <c r="AA107">
        <v>14300000</v>
      </c>
      <c r="AB107">
        <v>6554552</v>
      </c>
      <c r="AC107">
        <v>73199998</v>
      </c>
      <c r="AD107">
        <v>42199997</v>
      </c>
    </row>
    <row r="108" spans="1:30" x14ac:dyDescent="0.25">
      <c r="A108" t="s">
        <v>223</v>
      </c>
      <c r="B108" t="s">
        <v>224</v>
      </c>
      <c r="C108">
        <v>518484.75</v>
      </c>
      <c r="D108">
        <v>0</v>
      </c>
      <c r="E108">
        <v>0</v>
      </c>
      <c r="F108">
        <v>518484.75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225</v>
      </c>
      <c r="B109" t="s">
        <v>226</v>
      </c>
      <c r="C109">
        <v>46805599.850046858</v>
      </c>
      <c r="D109">
        <v>58247275</v>
      </c>
      <c r="E109">
        <v>28945454</v>
      </c>
      <c r="F109">
        <v>76107420.850046858</v>
      </c>
      <c r="G109">
        <v>2950000</v>
      </c>
      <c r="H109">
        <v>500000</v>
      </c>
      <c r="I109">
        <v>5829999</v>
      </c>
      <c r="J109">
        <v>400000</v>
      </c>
      <c r="K109">
        <v>9838182</v>
      </c>
      <c r="L109">
        <v>4409092</v>
      </c>
      <c r="M109">
        <v>1160909</v>
      </c>
      <c r="N109">
        <v>509091</v>
      </c>
      <c r="O109">
        <v>0</v>
      </c>
      <c r="P109">
        <v>0</v>
      </c>
      <c r="Q109">
        <v>13230909</v>
      </c>
      <c r="R109">
        <v>11663636</v>
      </c>
      <c r="S109">
        <v>0</v>
      </c>
      <c r="T109">
        <v>1009091</v>
      </c>
      <c r="U109">
        <v>9803640</v>
      </c>
      <c r="V109">
        <v>854546</v>
      </c>
      <c r="W109">
        <v>1610000</v>
      </c>
      <c r="X109">
        <v>800000</v>
      </c>
      <c r="Y109">
        <v>3018182</v>
      </c>
      <c r="Z109">
        <v>7081818</v>
      </c>
      <c r="AA109">
        <v>6110000</v>
      </c>
      <c r="AB109">
        <v>0</v>
      </c>
      <c r="AC109">
        <v>4695454</v>
      </c>
      <c r="AD109">
        <v>1718180</v>
      </c>
    </row>
    <row r="110" spans="1:30" x14ac:dyDescent="0.25">
      <c r="A110" t="s">
        <v>227</v>
      </c>
      <c r="B110" t="s">
        <v>228</v>
      </c>
      <c r="C110">
        <v>58182014.166189112</v>
      </c>
      <c r="D110">
        <v>71782723</v>
      </c>
      <c r="E110">
        <v>53156354</v>
      </c>
      <c r="F110">
        <v>76808383.166189104</v>
      </c>
      <c r="G110">
        <v>810000</v>
      </c>
      <c r="H110">
        <v>1390909</v>
      </c>
      <c r="I110">
        <v>7270000</v>
      </c>
      <c r="J110">
        <v>1590909</v>
      </c>
      <c r="K110">
        <v>9020000</v>
      </c>
      <c r="L110">
        <v>3763636</v>
      </c>
      <c r="M110">
        <v>13439997</v>
      </c>
      <c r="N110">
        <v>690910</v>
      </c>
      <c r="O110">
        <v>0</v>
      </c>
      <c r="P110">
        <v>1124546</v>
      </c>
      <c r="Q110">
        <v>7830000</v>
      </c>
      <c r="R110">
        <v>5281818</v>
      </c>
      <c r="S110">
        <v>0</v>
      </c>
      <c r="T110">
        <v>1545455</v>
      </c>
      <c r="U110">
        <v>9798182</v>
      </c>
      <c r="V110">
        <v>4718182</v>
      </c>
      <c r="W110">
        <v>16944544</v>
      </c>
      <c r="X110">
        <v>2399999</v>
      </c>
      <c r="Y110">
        <v>0</v>
      </c>
      <c r="Z110">
        <v>10327274</v>
      </c>
      <c r="AA110">
        <v>6670000</v>
      </c>
      <c r="AB110">
        <v>0</v>
      </c>
      <c r="AC110">
        <v>0</v>
      </c>
      <c r="AD110">
        <v>20322716</v>
      </c>
    </row>
    <row r="111" spans="1:30" x14ac:dyDescent="0.25">
      <c r="A111" t="s">
        <v>229</v>
      </c>
      <c r="B111" t="s">
        <v>230</v>
      </c>
      <c r="C111">
        <v>937615.89361702127</v>
      </c>
      <c r="D111">
        <v>1636340</v>
      </c>
      <c r="E111">
        <v>681817</v>
      </c>
      <c r="F111">
        <v>1892138.8936170209</v>
      </c>
      <c r="G111">
        <v>1636340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299999</v>
      </c>
      <c r="O111">
        <v>0</v>
      </c>
      <c r="P111">
        <v>381818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231</v>
      </c>
      <c r="B112" t="s">
        <v>232</v>
      </c>
      <c r="C112">
        <v>33053246.2590799</v>
      </c>
      <c r="D112">
        <v>33907273</v>
      </c>
      <c r="E112">
        <v>11572729</v>
      </c>
      <c r="F112">
        <v>55387790.259079903</v>
      </c>
      <c r="G112">
        <v>0</v>
      </c>
      <c r="H112">
        <v>1200000</v>
      </c>
      <c r="I112">
        <v>5477275</v>
      </c>
      <c r="J112">
        <v>0</v>
      </c>
      <c r="K112">
        <v>7963636</v>
      </c>
      <c r="L112">
        <v>0</v>
      </c>
      <c r="M112">
        <v>2881819</v>
      </c>
      <c r="N112">
        <v>0</v>
      </c>
      <c r="O112">
        <v>2490000</v>
      </c>
      <c r="P112">
        <v>0</v>
      </c>
      <c r="Q112">
        <v>0</v>
      </c>
      <c r="R112">
        <v>0</v>
      </c>
      <c r="S112">
        <v>2500000</v>
      </c>
      <c r="T112">
        <v>409091</v>
      </c>
      <c r="U112">
        <v>1704545</v>
      </c>
      <c r="V112">
        <v>636364</v>
      </c>
      <c r="W112">
        <v>0</v>
      </c>
      <c r="X112">
        <v>690910</v>
      </c>
      <c r="Y112">
        <v>1663635</v>
      </c>
      <c r="Z112">
        <v>0</v>
      </c>
      <c r="AA112">
        <v>0</v>
      </c>
      <c r="AB112">
        <v>8636364</v>
      </c>
      <c r="AC112">
        <v>9226363</v>
      </c>
      <c r="AD112">
        <v>0</v>
      </c>
    </row>
    <row r="113" spans="1:30" x14ac:dyDescent="0.25">
      <c r="A113" t="s">
        <v>233</v>
      </c>
      <c r="B113" t="s">
        <v>234</v>
      </c>
      <c r="C113">
        <v>70026291.390264019</v>
      </c>
      <c r="D113">
        <v>193077660</v>
      </c>
      <c r="E113">
        <v>10104543</v>
      </c>
      <c r="F113">
        <v>252999408.390264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2081090</v>
      </c>
      <c r="N113">
        <v>0</v>
      </c>
      <c r="O113">
        <v>14889276</v>
      </c>
      <c r="P113">
        <v>0</v>
      </c>
      <c r="Q113">
        <v>15731820</v>
      </c>
      <c r="R113">
        <v>781818</v>
      </c>
      <c r="S113">
        <v>2800005</v>
      </c>
      <c r="T113">
        <v>4059089</v>
      </c>
      <c r="U113">
        <v>113396370</v>
      </c>
      <c r="V113">
        <v>0</v>
      </c>
      <c r="W113">
        <v>20459097</v>
      </c>
      <c r="X113">
        <v>2263636</v>
      </c>
      <c r="Y113">
        <v>9172728</v>
      </c>
      <c r="Z113">
        <v>3000000</v>
      </c>
      <c r="AA113">
        <v>5709092</v>
      </c>
      <c r="AB113">
        <v>0</v>
      </c>
      <c r="AC113">
        <v>8838182</v>
      </c>
      <c r="AD113">
        <v>0</v>
      </c>
    </row>
    <row r="114" spans="1:30" x14ac:dyDescent="0.25">
      <c r="A114" t="s">
        <v>235</v>
      </c>
      <c r="B114" t="s">
        <v>236</v>
      </c>
      <c r="C114">
        <v>11650149.620689649</v>
      </c>
      <c r="D114">
        <v>3840909</v>
      </c>
      <c r="E114">
        <v>0</v>
      </c>
      <c r="F114">
        <v>15491058.620689649</v>
      </c>
      <c r="G114">
        <v>0</v>
      </c>
      <c r="H114">
        <v>0</v>
      </c>
      <c r="I114">
        <v>1250000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2590909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 t="s">
        <v>237</v>
      </c>
      <c r="B115" t="s">
        <v>238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239</v>
      </c>
      <c r="B116" t="s">
        <v>240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241</v>
      </c>
      <c r="B117" t="s">
        <v>242</v>
      </c>
      <c r="C117">
        <v>12000000</v>
      </c>
      <c r="D117">
        <v>0</v>
      </c>
      <c r="E117">
        <v>9600000</v>
      </c>
      <c r="F117">
        <v>2400000</v>
      </c>
      <c r="G117">
        <v>0</v>
      </c>
      <c r="H117">
        <v>9600000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243</v>
      </c>
      <c r="B118" t="s">
        <v>244</v>
      </c>
      <c r="C118">
        <v>4400000</v>
      </c>
      <c r="D118">
        <v>0</v>
      </c>
      <c r="E118">
        <v>2200000</v>
      </c>
      <c r="F118">
        <v>2200000</v>
      </c>
      <c r="G118">
        <v>0</v>
      </c>
      <c r="H118">
        <v>2200000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245</v>
      </c>
      <c r="B119" t="s">
        <v>246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249</v>
      </c>
      <c r="B121" t="s">
        <v>250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251</v>
      </c>
      <c r="B122" t="s">
        <v>252</v>
      </c>
      <c r="C122">
        <v>14879999.869565221</v>
      </c>
      <c r="D122">
        <v>4959091</v>
      </c>
      <c r="E122">
        <v>20912728</v>
      </c>
      <c r="F122">
        <v>1854545</v>
      </c>
      <c r="G122">
        <v>0</v>
      </c>
      <c r="H122">
        <v>17680000</v>
      </c>
      <c r="I122">
        <v>650000</v>
      </c>
      <c r="J122">
        <v>778182</v>
      </c>
      <c r="K122">
        <v>0</v>
      </c>
      <c r="L122">
        <v>0</v>
      </c>
      <c r="M122">
        <v>636364</v>
      </c>
      <c r="N122">
        <v>0</v>
      </c>
      <c r="O122">
        <v>0</v>
      </c>
      <c r="P122">
        <v>0</v>
      </c>
      <c r="Q122">
        <v>2400000</v>
      </c>
      <c r="R122">
        <v>0</v>
      </c>
      <c r="S122">
        <v>1272727</v>
      </c>
      <c r="T122">
        <v>818182</v>
      </c>
      <c r="U122">
        <v>0</v>
      </c>
      <c r="V122">
        <v>0</v>
      </c>
      <c r="W122">
        <v>0</v>
      </c>
      <c r="X122">
        <v>1636364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253</v>
      </c>
      <c r="B123" t="s">
        <v>254</v>
      </c>
      <c r="C123">
        <v>64388663.616306953</v>
      </c>
      <c r="D123">
        <v>90349994</v>
      </c>
      <c r="E123">
        <v>103018141</v>
      </c>
      <c r="F123">
        <v>51720516.616306961</v>
      </c>
      <c r="G123">
        <v>13200000</v>
      </c>
      <c r="H123">
        <v>0</v>
      </c>
      <c r="I123">
        <v>23877273</v>
      </c>
      <c r="J123">
        <v>0</v>
      </c>
      <c r="K123">
        <v>0</v>
      </c>
      <c r="L123">
        <v>16363636</v>
      </c>
      <c r="M123">
        <v>12600000</v>
      </c>
      <c r="N123">
        <v>1363636</v>
      </c>
      <c r="O123">
        <v>0</v>
      </c>
      <c r="P123">
        <v>15636364</v>
      </c>
      <c r="Q123">
        <v>6068175</v>
      </c>
      <c r="R123">
        <v>6940000</v>
      </c>
      <c r="S123">
        <v>0</v>
      </c>
      <c r="T123">
        <v>18181818</v>
      </c>
      <c r="U123">
        <v>6150000</v>
      </c>
      <c r="V123">
        <v>0</v>
      </c>
      <c r="W123">
        <v>10636364</v>
      </c>
      <c r="X123">
        <v>0</v>
      </c>
      <c r="Y123">
        <v>1418182</v>
      </c>
      <c r="Z123">
        <v>363636</v>
      </c>
      <c r="AA123">
        <v>12300000</v>
      </c>
      <c r="AB123">
        <v>1163636</v>
      </c>
      <c r="AC123">
        <v>4100000</v>
      </c>
      <c r="AD123">
        <v>43005415</v>
      </c>
    </row>
    <row r="124" spans="1:30" x14ac:dyDescent="0.25">
      <c r="A124" t="s">
        <v>255</v>
      </c>
      <c r="B124" t="s">
        <v>256</v>
      </c>
      <c r="C124">
        <v>6030694.847222222</v>
      </c>
      <c r="D124">
        <v>28432730</v>
      </c>
      <c r="E124">
        <v>4290909</v>
      </c>
      <c r="F124">
        <v>30172515.84722222</v>
      </c>
      <c r="G124">
        <v>2950000</v>
      </c>
      <c r="H124">
        <v>0</v>
      </c>
      <c r="I124">
        <v>2950000</v>
      </c>
      <c r="J124">
        <v>0</v>
      </c>
      <c r="K124">
        <v>0</v>
      </c>
      <c r="L124">
        <v>0</v>
      </c>
      <c r="M124">
        <v>2840910</v>
      </c>
      <c r="N124">
        <v>0</v>
      </c>
      <c r="O124">
        <v>5650000</v>
      </c>
      <c r="P124">
        <v>2509091</v>
      </c>
      <c r="Q124">
        <v>2727275</v>
      </c>
      <c r="R124">
        <v>0</v>
      </c>
      <c r="S124">
        <v>0</v>
      </c>
      <c r="T124">
        <v>0</v>
      </c>
      <c r="U124">
        <v>3360000</v>
      </c>
      <c r="V124">
        <v>0</v>
      </c>
      <c r="W124">
        <v>2590909</v>
      </c>
      <c r="X124">
        <v>0</v>
      </c>
      <c r="Y124">
        <v>5363636</v>
      </c>
      <c r="Z124">
        <v>0</v>
      </c>
      <c r="AA124">
        <v>0</v>
      </c>
      <c r="AB124">
        <v>0</v>
      </c>
      <c r="AC124">
        <v>0</v>
      </c>
      <c r="AD124">
        <v>1781818</v>
      </c>
    </row>
    <row r="125" spans="1:30" x14ac:dyDescent="0.25">
      <c r="A125" t="s">
        <v>257</v>
      </c>
      <c r="B125" t="s">
        <v>258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259</v>
      </c>
      <c r="B126" t="s">
        <v>260</v>
      </c>
      <c r="C126">
        <v>233421272.2321918</v>
      </c>
      <c r="D126">
        <v>258595636</v>
      </c>
      <c r="E126">
        <v>238489911</v>
      </c>
      <c r="F126">
        <v>253526997.2321918</v>
      </c>
      <c r="G126">
        <v>0</v>
      </c>
      <c r="H126">
        <v>104609000</v>
      </c>
      <c r="I126">
        <v>35694922</v>
      </c>
      <c r="J126">
        <v>0</v>
      </c>
      <c r="K126">
        <v>16237346</v>
      </c>
      <c r="L126">
        <v>16918182</v>
      </c>
      <c r="M126">
        <v>22915940</v>
      </c>
      <c r="N126">
        <v>20945455</v>
      </c>
      <c r="O126">
        <v>14603818</v>
      </c>
      <c r="P126">
        <v>0</v>
      </c>
      <c r="Q126">
        <v>29192146</v>
      </c>
      <c r="R126">
        <v>6290910</v>
      </c>
      <c r="S126">
        <v>1000000</v>
      </c>
      <c r="T126">
        <v>1554545</v>
      </c>
      <c r="U126">
        <v>24338028</v>
      </c>
      <c r="V126">
        <v>0</v>
      </c>
      <c r="W126">
        <v>16826982</v>
      </c>
      <c r="X126">
        <v>9690910</v>
      </c>
      <c r="Y126">
        <v>11031819</v>
      </c>
      <c r="Z126">
        <v>981818</v>
      </c>
      <c r="AA126">
        <v>59047363</v>
      </c>
      <c r="AB126">
        <v>4227274</v>
      </c>
      <c r="AC126">
        <v>27707272</v>
      </c>
      <c r="AD126">
        <v>73271817</v>
      </c>
    </row>
    <row r="127" spans="1:30" x14ac:dyDescent="0.25">
      <c r="A127" t="s">
        <v>261</v>
      </c>
      <c r="B127" t="s">
        <v>262</v>
      </c>
      <c r="C127">
        <v>3389147.1428571432</v>
      </c>
      <c r="D127">
        <v>2595686</v>
      </c>
      <c r="E127">
        <v>4013636</v>
      </c>
      <c r="F127">
        <v>1971197.142857143</v>
      </c>
      <c r="G127">
        <v>0</v>
      </c>
      <c r="H127">
        <v>1500000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681818</v>
      </c>
      <c r="V127">
        <v>0</v>
      </c>
      <c r="W127">
        <v>1913868</v>
      </c>
      <c r="X127">
        <v>2513636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263</v>
      </c>
      <c r="B128" t="s">
        <v>264</v>
      </c>
      <c r="C128">
        <v>4198242.4090909092</v>
      </c>
      <c r="D128">
        <v>6050750</v>
      </c>
      <c r="E128">
        <v>1936364</v>
      </c>
      <c r="F128">
        <v>8312628.4090909092</v>
      </c>
      <c r="G128">
        <v>0</v>
      </c>
      <c r="H128">
        <v>0</v>
      </c>
      <c r="I128">
        <v>777450</v>
      </c>
      <c r="J128">
        <v>0</v>
      </c>
      <c r="K128">
        <v>0</v>
      </c>
      <c r="L128">
        <v>1936364</v>
      </c>
      <c r="M128">
        <v>3373300</v>
      </c>
      <c r="N128">
        <v>0</v>
      </c>
      <c r="O128">
        <v>0</v>
      </c>
      <c r="P128">
        <v>0</v>
      </c>
      <c r="Q128">
        <v>1900000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265</v>
      </c>
      <c r="B129" t="s">
        <v>266</v>
      </c>
      <c r="C129">
        <v>25156286.75</v>
      </c>
      <c r="D129">
        <v>30856966</v>
      </c>
      <c r="E129">
        <v>26659091</v>
      </c>
      <c r="F129">
        <v>29354161.75</v>
      </c>
      <c r="G129">
        <v>0</v>
      </c>
      <c r="H129">
        <v>6500000</v>
      </c>
      <c r="I129">
        <v>4449286</v>
      </c>
      <c r="J129">
        <v>0</v>
      </c>
      <c r="K129">
        <v>1364400</v>
      </c>
      <c r="L129">
        <v>2727273</v>
      </c>
      <c r="M129">
        <v>1688000</v>
      </c>
      <c r="N129">
        <v>2318182</v>
      </c>
      <c r="O129">
        <v>1688000</v>
      </c>
      <c r="P129">
        <v>0</v>
      </c>
      <c r="Q129">
        <v>9702721</v>
      </c>
      <c r="R129">
        <v>3727272</v>
      </c>
      <c r="S129">
        <v>0</v>
      </c>
      <c r="T129">
        <v>0</v>
      </c>
      <c r="U129">
        <v>2923650</v>
      </c>
      <c r="V129">
        <v>0</v>
      </c>
      <c r="W129">
        <v>0</v>
      </c>
      <c r="X129">
        <v>1545455</v>
      </c>
      <c r="Y129">
        <v>0</v>
      </c>
      <c r="Z129">
        <v>0</v>
      </c>
      <c r="AA129">
        <v>3850000</v>
      </c>
      <c r="AB129">
        <v>0</v>
      </c>
      <c r="AC129">
        <v>5190909</v>
      </c>
      <c r="AD129">
        <v>9840909</v>
      </c>
    </row>
    <row r="130" spans="1:30" x14ac:dyDescent="0.25">
      <c r="A130" t="s">
        <v>267</v>
      </c>
      <c r="B130" t="s">
        <v>268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269</v>
      </c>
      <c r="B131" t="s">
        <v>270</v>
      </c>
      <c r="C131">
        <v>234573417.5194805</v>
      </c>
      <c r="D131">
        <v>49826918</v>
      </c>
      <c r="E131">
        <v>133545461</v>
      </c>
      <c r="F131">
        <v>150854874.5194805</v>
      </c>
      <c r="G131">
        <v>0</v>
      </c>
      <c r="H131">
        <v>93000000</v>
      </c>
      <c r="I131">
        <v>1000000</v>
      </c>
      <c r="J131">
        <v>921819</v>
      </c>
      <c r="K131">
        <v>0</v>
      </c>
      <c r="L131">
        <v>1809092</v>
      </c>
      <c r="M131">
        <v>4418184</v>
      </c>
      <c r="N131">
        <v>481818</v>
      </c>
      <c r="O131">
        <v>6554184</v>
      </c>
      <c r="P131">
        <v>2345455</v>
      </c>
      <c r="Q131">
        <v>12568184</v>
      </c>
      <c r="R131">
        <v>0</v>
      </c>
      <c r="S131">
        <v>400000</v>
      </c>
      <c r="T131">
        <v>345455</v>
      </c>
      <c r="U131">
        <v>2377273</v>
      </c>
      <c r="V131">
        <v>0</v>
      </c>
      <c r="W131">
        <v>68182</v>
      </c>
      <c r="X131">
        <v>3736363</v>
      </c>
      <c r="Y131">
        <v>10753637</v>
      </c>
      <c r="Z131">
        <v>0</v>
      </c>
      <c r="AA131">
        <v>11119092</v>
      </c>
      <c r="AB131">
        <v>12118185</v>
      </c>
      <c r="AC131">
        <v>568182</v>
      </c>
      <c r="AD131">
        <v>18787274</v>
      </c>
    </row>
    <row r="132" spans="1:30" x14ac:dyDescent="0.25">
      <c r="A132" t="s">
        <v>271</v>
      </c>
      <c r="B132" t="s">
        <v>272</v>
      </c>
      <c r="C132">
        <v>19745531.7489301</v>
      </c>
      <c r="D132">
        <v>23436604</v>
      </c>
      <c r="E132">
        <v>28418179</v>
      </c>
      <c r="F132">
        <v>14763956.7489301</v>
      </c>
      <c r="G132">
        <v>90909</v>
      </c>
      <c r="H132">
        <v>0</v>
      </c>
      <c r="I132">
        <v>9936604</v>
      </c>
      <c r="J132">
        <v>5118182</v>
      </c>
      <c r="K132">
        <v>0</v>
      </c>
      <c r="L132">
        <v>7581816</v>
      </c>
      <c r="M132">
        <v>2200000</v>
      </c>
      <c r="N132">
        <v>1590909</v>
      </c>
      <c r="O132">
        <v>0</v>
      </c>
      <c r="P132">
        <v>2181818</v>
      </c>
      <c r="Q132">
        <v>6681818</v>
      </c>
      <c r="R132">
        <v>1590909</v>
      </c>
      <c r="S132">
        <v>0</v>
      </c>
      <c r="T132">
        <v>0</v>
      </c>
      <c r="U132">
        <v>4527273</v>
      </c>
      <c r="V132">
        <v>0</v>
      </c>
      <c r="W132">
        <v>0</v>
      </c>
      <c r="X132">
        <v>200000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10154545</v>
      </c>
    </row>
    <row r="133" spans="1:30" x14ac:dyDescent="0.25">
      <c r="A133" t="s">
        <v>273</v>
      </c>
      <c r="B133" t="s">
        <v>274</v>
      </c>
      <c r="C133">
        <v>46241481.769411772</v>
      </c>
      <c r="D133">
        <v>77852719</v>
      </c>
      <c r="E133">
        <v>25170000</v>
      </c>
      <c r="F133">
        <v>98924200.769411772</v>
      </c>
      <c r="G133">
        <v>290909</v>
      </c>
      <c r="H133">
        <v>5100000</v>
      </c>
      <c r="I133">
        <v>0</v>
      </c>
      <c r="J133">
        <v>0</v>
      </c>
      <c r="K133">
        <v>4482738</v>
      </c>
      <c r="L133">
        <v>3181818</v>
      </c>
      <c r="M133">
        <v>7213631</v>
      </c>
      <c r="N133">
        <v>2118182</v>
      </c>
      <c r="O133">
        <v>1127273</v>
      </c>
      <c r="P133">
        <v>6172727</v>
      </c>
      <c r="Q133">
        <v>16000000</v>
      </c>
      <c r="R133">
        <v>0</v>
      </c>
      <c r="S133">
        <v>5981810</v>
      </c>
      <c r="T133">
        <v>1286364</v>
      </c>
      <c r="U133">
        <v>1277272</v>
      </c>
      <c r="V133">
        <v>345455</v>
      </c>
      <c r="W133">
        <v>29688181</v>
      </c>
      <c r="X133">
        <v>245455</v>
      </c>
      <c r="Y133">
        <v>2831819</v>
      </c>
      <c r="Z133">
        <v>1509091</v>
      </c>
      <c r="AA133">
        <v>6172727</v>
      </c>
      <c r="AB133">
        <v>1249999</v>
      </c>
      <c r="AC133">
        <v>2786359</v>
      </c>
      <c r="AD133">
        <v>3960909</v>
      </c>
    </row>
    <row r="134" spans="1:30" x14ac:dyDescent="0.25">
      <c r="A134" t="s">
        <v>275</v>
      </c>
      <c r="B134" t="s">
        <v>276</v>
      </c>
      <c r="C134">
        <v>27696151.08433735</v>
      </c>
      <c r="D134">
        <v>21880902</v>
      </c>
      <c r="E134">
        <v>16063636</v>
      </c>
      <c r="F134">
        <v>33513417.08433735</v>
      </c>
      <c r="G134">
        <v>0</v>
      </c>
      <c r="H134">
        <v>700000</v>
      </c>
      <c r="I134">
        <v>0</v>
      </c>
      <c r="J134">
        <v>0</v>
      </c>
      <c r="K134">
        <v>1781816</v>
      </c>
      <c r="L134">
        <v>3063636</v>
      </c>
      <c r="M134">
        <v>2227270</v>
      </c>
      <c r="N134">
        <v>3254545</v>
      </c>
      <c r="O134">
        <v>0</v>
      </c>
      <c r="P134">
        <v>0</v>
      </c>
      <c r="Q134">
        <v>3536361</v>
      </c>
      <c r="R134">
        <v>1045455</v>
      </c>
      <c r="S134">
        <v>0</v>
      </c>
      <c r="T134">
        <v>400000</v>
      </c>
      <c r="U134">
        <v>3613636</v>
      </c>
      <c r="V134">
        <v>500000</v>
      </c>
      <c r="W134">
        <v>1018182</v>
      </c>
      <c r="X134">
        <v>1145454</v>
      </c>
      <c r="Y134">
        <v>4543637</v>
      </c>
      <c r="Z134">
        <v>3409091</v>
      </c>
      <c r="AA134">
        <v>3218181</v>
      </c>
      <c r="AB134">
        <v>1454546</v>
      </c>
      <c r="AC134">
        <v>1941819</v>
      </c>
      <c r="AD134">
        <v>1090909</v>
      </c>
    </row>
    <row r="135" spans="1:30" x14ac:dyDescent="0.25">
      <c r="A135" t="s">
        <v>277</v>
      </c>
      <c r="B135" t="s">
        <v>278</v>
      </c>
      <c r="C135">
        <v>358922.57142857142</v>
      </c>
      <c r="D135">
        <v>0</v>
      </c>
      <c r="E135">
        <v>0</v>
      </c>
      <c r="F135">
        <v>358922.57142857142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279</v>
      </c>
      <c r="B136" t="s">
        <v>280</v>
      </c>
      <c r="C136">
        <v>1573083.368421053</v>
      </c>
      <c r="D136">
        <v>0</v>
      </c>
      <c r="E136">
        <v>454546</v>
      </c>
      <c r="F136">
        <v>1118537.368421053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454546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281</v>
      </c>
      <c r="B137" t="s">
        <v>282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283</v>
      </c>
      <c r="B138" t="s">
        <v>284</v>
      </c>
      <c r="C138">
        <v>31253386.860465121</v>
      </c>
      <c r="D138">
        <v>42638000</v>
      </c>
      <c r="E138">
        <v>52372728</v>
      </c>
      <c r="F138">
        <v>21518658.860465121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14000000</v>
      </c>
      <c r="N138">
        <v>15909091</v>
      </c>
      <c r="O138">
        <v>28638000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36463637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285</v>
      </c>
      <c r="B139" t="s">
        <v>286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287</v>
      </c>
      <c r="B140" t="s">
        <v>288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289</v>
      </c>
      <c r="B141" t="s">
        <v>290</v>
      </c>
      <c r="C141">
        <v>20379354.838709679</v>
      </c>
      <c r="D141">
        <v>8030000</v>
      </c>
      <c r="E141">
        <v>0</v>
      </c>
      <c r="F141">
        <v>28409354.838709679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2780000</v>
      </c>
      <c r="R141">
        <v>0</v>
      </c>
      <c r="S141">
        <v>2650000</v>
      </c>
      <c r="T141">
        <v>0</v>
      </c>
      <c r="U141">
        <v>0</v>
      </c>
      <c r="V141">
        <v>0</v>
      </c>
      <c r="W141">
        <v>2600000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291</v>
      </c>
      <c r="B142" t="s">
        <v>292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293</v>
      </c>
      <c r="B143" t="s">
        <v>294</v>
      </c>
      <c r="C143">
        <v>70006168.115942031</v>
      </c>
      <c r="D143">
        <v>27583000</v>
      </c>
      <c r="E143">
        <v>49850000</v>
      </c>
      <c r="F143">
        <v>47739168.115942031</v>
      </c>
      <c r="G143">
        <v>0</v>
      </c>
      <c r="H143">
        <v>650000</v>
      </c>
      <c r="I143">
        <v>0</v>
      </c>
      <c r="J143">
        <v>2100000</v>
      </c>
      <c r="K143">
        <v>5600000</v>
      </c>
      <c r="L143">
        <v>0</v>
      </c>
      <c r="M143">
        <v>0</v>
      </c>
      <c r="N143">
        <v>0</v>
      </c>
      <c r="O143">
        <v>0</v>
      </c>
      <c r="P143">
        <v>1500000</v>
      </c>
      <c r="Q143">
        <v>0</v>
      </c>
      <c r="R143">
        <v>0</v>
      </c>
      <c r="S143">
        <v>0</v>
      </c>
      <c r="T143">
        <v>900000</v>
      </c>
      <c r="U143">
        <v>3700000</v>
      </c>
      <c r="V143">
        <v>9860000</v>
      </c>
      <c r="W143">
        <v>185000</v>
      </c>
      <c r="X143">
        <v>0</v>
      </c>
      <c r="Y143">
        <v>370000</v>
      </c>
      <c r="Z143">
        <v>5750000</v>
      </c>
      <c r="AA143">
        <v>3350000</v>
      </c>
      <c r="AB143">
        <v>12590000</v>
      </c>
      <c r="AC143">
        <v>14378000</v>
      </c>
      <c r="AD143">
        <v>16500000</v>
      </c>
    </row>
    <row r="144" spans="1:30" x14ac:dyDescent="0.25">
      <c r="A144" t="s">
        <v>295</v>
      </c>
      <c r="B144" t="s">
        <v>296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297</v>
      </c>
      <c r="B145" t="s">
        <v>298</v>
      </c>
      <c r="C145">
        <v>445955.15151515149</v>
      </c>
      <c r="D145">
        <v>1990000</v>
      </c>
      <c r="E145">
        <v>0</v>
      </c>
      <c r="F145">
        <v>2435955.1515151509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250000</v>
      </c>
      <c r="Z145">
        <v>0</v>
      </c>
      <c r="AA145">
        <v>80000</v>
      </c>
      <c r="AB145">
        <v>0</v>
      </c>
      <c r="AC145">
        <v>1660000</v>
      </c>
      <c r="AD145">
        <v>0</v>
      </c>
    </row>
    <row r="146" spans="1:30" x14ac:dyDescent="0.25">
      <c r="A146" t="s">
        <v>299</v>
      </c>
      <c r="B146" t="s">
        <v>300</v>
      </c>
      <c r="C146">
        <v>100000000</v>
      </c>
      <c r="D146">
        <v>1591451996.5599999</v>
      </c>
      <c r="E146">
        <v>1025824977</v>
      </c>
      <c r="F146">
        <v>665627019.55999994</v>
      </c>
      <c r="G146">
        <v>56241224</v>
      </c>
      <c r="H146">
        <v>100381483</v>
      </c>
      <c r="I146">
        <v>139076256</v>
      </c>
      <c r="J146">
        <v>37436364</v>
      </c>
      <c r="K146">
        <v>135759053</v>
      </c>
      <c r="L146">
        <v>104736363</v>
      </c>
      <c r="M146">
        <v>109314735</v>
      </c>
      <c r="N146">
        <v>45699998</v>
      </c>
      <c r="O146">
        <v>133335873</v>
      </c>
      <c r="P146">
        <v>26286363</v>
      </c>
      <c r="Q146">
        <v>130554796.09999999</v>
      </c>
      <c r="R146">
        <v>73104544</v>
      </c>
      <c r="S146">
        <v>106302631</v>
      </c>
      <c r="T146">
        <v>39636364</v>
      </c>
      <c r="U146">
        <v>88885686.640000001</v>
      </c>
      <c r="V146">
        <v>66627944</v>
      </c>
      <c r="W146">
        <v>211606034.81999999</v>
      </c>
      <c r="X146">
        <v>190899059</v>
      </c>
      <c r="Y146">
        <v>149130770</v>
      </c>
      <c r="Z146">
        <v>85170705</v>
      </c>
      <c r="AA146">
        <v>168080507</v>
      </c>
      <c r="AB146">
        <v>76967842</v>
      </c>
      <c r="AC146">
        <v>163164430</v>
      </c>
      <c r="AD146">
        <v>178877948</v>
      </c>
    </row>
    <row r="147" spans="1:30" x14ac:dyDescent="0.25">
      <c r="A147" t="s">
        <v>301</v>
      </c>
      <c r="C147">
        <v>20528682383</v>
      </c>
      <c r="D147">
        <v>15640942866.74</v>
      </c>
      <c r="E147">
        <v>16170531001</v>
      </c>
      <c r="F147">
        <v>20007382430.870441</v>
      </c>
      <c r="G147">
        <v>1154981164</v>
      </c>
      <c r="H147">
        <v>890556850</v>
      </c>
      <c r="I147">
        <v>1745704064</v>
      </c>
      <c r="J147">
        <v>1062540911</v>
      </c>
      <c r="K147">
        <v>1536437737.6300001</v>
      </c>
      <c r="L147">
        <v>1702314546</v>
      </c>
      <c r="M147">
        <v>757550609.09000003</v>
      </c>
      <c r="N147">
        <v>976118179</v>
      </c>
      <c r="O147">
        <v>600350984.89999998</v>
      </c>
      <c r="P147">
        <v>856337274</v>
      </c>
      <c r="Q147">
        <v>749561478.10000002</v>
      </c>
      <c r="R147">
        <v>979997269</v>
      </c>
      <c r="S147">
        <v>895409562.73000002</v>
      </c>
      <c r="T147">
        <v>1153648183</v>
      </c>
      <c r="U147">
        <v>1812197506.8199999</v>
      </c>
      <c r="V147">
        <v>1158949228</v>
      </c>
      <c r="W147">
        <v>1552056811.8199999</v>
      </c>
      <c r="X147">
        <v>1281113807</v>
      </c>
      <c r="Y147">
        <v>890284925.81999993</v>
      </c>
      <c r="Z147">
        <v>1420458661</v>
      </c>
      <c r="AA147">
        <v>1564643572.1099999</v>
      </c>
      <c r="AB147">
        <v>1483313992</v>
      </c>
      <c r="AC147">
        <v>2381764449.7199998</v>
      </c>
      <c r="AD147">
        <v>3205182101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Hoadon</vt:lpstr>
      <vt:lpstr>xnt12thang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2026-03-25T04:15:26Z</dcterms:created>
  <dcterms:modified xsi:type="dcterms:W3CDTF">2026-03-25T06:46:12Z</dcterms:modified>
</cp:coreProperties>
</file>