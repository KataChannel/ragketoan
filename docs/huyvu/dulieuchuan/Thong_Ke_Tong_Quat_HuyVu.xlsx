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70DCE62-A1E2-419A-AE97-4C1EBDB698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  <sheet name="2023" sheetId="2" r:id="rId2"/>
    <sheet name="2024" sheetId="3" r:id="rId3"/>
    <sheet name="2025" sheetId="4" r:id="rId4"/>
    <sheet name="2026" sheetId="5" r:id="rId5"/>
  </sheets>
  <externalReferences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1" l="1"/>
  <c r="D46" i="1"/>
  <c r="E46" i="1"/>
  <c r="F46" i="1"/>
  <c r="G46" i="1"/>
  <c r="H46" i="1"/>
  <c r="I46" i="1"/>
  <c r="B46" i="1"/>
  <c r="E45" i="1"/>
  <c r="C45" i="1"/>
  <c r="B45" i="1"/>
  <c r="C31" i="1"/>
  <c r="E31" i="1"/>
  <c r="B31" i="1"/>
  <c r="E30" i="1"/>
  <c r="C30" i="1"/>
  <c r="B30" i="1"/>
  <c r="C16" i="1" l="1"/>
  <c r="D16" i="1"/>
  <c r="E16" i="1"/>
  <c r="B16" i="1"/>
  <c r="E15" i="1"/>
  <c r="C15" i="1"/>
  <c r="B15" i="1"/>
  <c r="C44" i="1" l="1"/>
  <c r="D44" i="1"/>
  <c r="E44" i="1"/>
  <c r="F44" i="1"/>
  <c r="G44" i="1"/>
  <c r="H44" i="1"/>
  <c r="I44" i="1"/>
  <c r="B44" i="1"/>
  <c r="C29" i="1"/>
  <c r="D29" i="1"/>
  <c r="E29" i="1"/>
  <c r="F29" i="1"/>
  <c r="G29" i="1"/>
  <c r="H29" i="1"/>
  <c r="I29" i="1"/>
  <c r="B29" i="1"/>
  <c r="C14" i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<sst xmlns="http://schemas.openxmlformats.org/spreadsheetml/2006/main" count="133" uniqueCount="51">
  <si>
    <t>Tháng</t>
  </si>
  <si>
    <t>Doanh Thu Bán</t>
  </si>
  <si>
    <t>Trong đó: DT Không Thuế</t>
  </si>
  <si>
    <t>SL Bán</t>
  </si>
  <si>
    <t>Chi Phí Mua</t>
  </si>
  <si>
    <t>Trong đó: Hàng Hóa</t>
  </si>
  <si>
    <t>Trong đó: Dịch Vụ, Khác</t>
  </si>
  <si>
    <t>SL Mua</t>
  </si>
  <si>
    <t>Chênh Lệch Lợi Nhuận Gộp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</si>
  <si>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</si>
  <si>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</si>
  <si>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</si>
  <si>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</si>
  <si>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</si>
  <si>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</si>
  <si>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</si>
  <si>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</si>
  <si>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</si>
  <si>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</si>
  <si>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</si>
  <si>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</si>
  <si>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</si>
  <si>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</si>
  <si>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</si>
  <si>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</si>
  <si>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</si>
  <si>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</si>
  <si>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</si>
  <si>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</si>
  <si>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</si>
  <si>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</si>
  <si>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</si>
  <si>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</si>
  <si>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</si>
  <si>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</si>
  <si>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</si>
  <si>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</si>
  <si>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</si>
  <si>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</si>
  <si>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</si>
  <si>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</si>
  <si>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</si>
  <si>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</si>
  <si>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</si>
  <si>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</si>
  <si>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</si>
  <si>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</si>
  <si>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TỔNG CỘNG</t>
  </si>
  <si>
    <t>THEO HĐ</t>
  </si>
  <si>
    <t>CL GIỮA HĐ VÀ THỐNG KÊ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</si>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</sst>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2" fillId="0" borderId="0" xfId="0" applyFont="1"/>
    <xf numFmtId="164" fontId="3" fillId="0" borderId="0" xfId="1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3%20HV\SL%20QUY&#7870;T%20TO&#193;N%202023%20HV.xlsx" TargetMode="External"/><Relationship Id="rId1" Type="http://schemas.openxmlformats.org/officeDocument/2006/relationships/externalLinkPath" Target="N&#258;M%202023%20HV/SL%20QUY&#7870;T%20TO&#193;N%202023%20H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SLQT%202024%20HV.xlsx" TargetMode="External"/><Relationship Id="rId1" Type="http://schemas.openxmlformats.org/officeDocument/2006/relationships/externalLinkPath" Target="N&#258;M%202024%20HV/HUY%20V&#360;%20CH&#205;NH/QT%202024%20HV%20CH&#205;NH/SLQT%202024%20H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5%20HV\SL%20QUY&#7870;T%20TO&#193;N%202025%20HV.xlsx" TargetMode="External"/><Relationship Id="rId1" Type="http://schemas.openxmlformats.org/officeDocument/2006/relationships/externalLinkPath" Target="N&#258;M%202025%20HV/SL%20QUY&#7870;T%20TO&#193;N%202025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k 131"/>
      <sheetName val="QTTTNDN 2023"/>
      <sheetName val="Sheet1"/>
    </sheetNames>
    <sheetDataSet>
      <sheetData sheetId="0" refreshError="1"/>
      <sheetData sheetId="1" refreshError="1"/>
      <sheetData sheetId="2">
        <row r="17">
          <cell r="B17">
            <v>16170531001</v>
          </cell>
          <cell r="D17">
            <v>69900000</v>
          </cell>
          <cell r="J17">
            <v>15640942868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"/>
      <sheetName val="QTTTNDN"/>
      <sheetName val="QTTTDN chính"/>
      <sheetName val="DS LƯƠNG"/>
      <sheetName val="QTTTNCN"/>
      <sheetName val="TNCN"/>
      <sheetName val="T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8">
          <cell r="B18">
            <v>20373802796.889999</v>
          </cell>
          <cell r="N18">
            <v>126660000</v>
          </cell>
          <cell r="O18">
            <v>18467594965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T THUẾ THU NHẬP CN"/>
      <sheetName val="SỐ LIỆU QT TTNDN"/>
      <sheetName val="Sheet1"/>
    </sheetNames>
    <sheetDataSet>
      <sheetData sheetId="0"/>
      <sheetData sheetId="1"/>
      <sheetData sheetId="2">
        <row r="17">
          <cell r="B17">
            <v>93415000</v>
          </cell>
          <cell r="C17">
            <v>21761596663</v>
          </cell>
          <cell r="L17">
            <v>19151978036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10" workbookViewId="0">
      <selection activeCell="E16" sqref="E16"/>
    </sheetView>
  </sheetViews>
  <sheetFormatPr defaultRowHeight="15" x14ac:dyDescent="0.25"/>
  <cols>
    <col min="1" max="1" width="26" style="1" customWidth="1"/>
    <col min="2" max="2" width="18" style="1" bestFit="1" customWidth="1"/>
    <col min="3" max="3" width="21.85546875" style="1" customWidth="1"/>
    <col min="4" max="4" width="10.5703125" style="1" bestFit="1" customWidth="1"/>
    <col min="5" max="6" width="18" style="1" bestFit="1" customWidth="1"/>
    <col min="7" max="7" width="25.5703125" style="1" customWidth="1"/>
    <col min="8" max="8" width="11.5703125" style="1" bestFit="1" customWidth="1"/>
    <col min="9" max="9" width="17.7109375" style="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919511396</v>
      </c>
      <c r="C2" s="1">
        <v>650000</v>
      </c>
      <c r="D2" s="1">
        <v>833</v>
      </c>
      <c r="E2" s="1">
        <v>1667314418</v>
      </c>
      <c r="F2" s="1">
        <v>1080688584</v>
      </c>
      <c r="G2" s="1">
        <v>586625834</v>
      </c>
      <c r="H2" s="1">
        <v>3323</v>
      </c>
      <c r="I2" s="1">
        <v>-747803022</v>
      </c>
    </row>
    <row r="3" spans="1:9" x14ac:dyDescent="0.25">
      <c r="A3" s="1" t="s">
        <v>10</v>
      </c>
      <c r="B3" s="1">
        <v>1195768183</v>
      </c>
      <c r="C3" s="1">
        <v>2100000</v>
      </c>
      <c r="D3" s="1">
        <v>562</v>
      </c>
      <c r="E3" s="1">
        <v>2001257562</v>
      </c>
      <c r="F3" s="1">
        <v>1268724323</v>
      </c>
      <c r="G3" s="1">
        <v>732533239</v>
      </c>
      <c r="H3" s="1">
        <v>6865</v>
      </c>
      <c r="I3" s="1">
        <v>-805489379</v>
      </c>
    </row>
    <row r="4" spans="1:9" x14ac:dyDescent="0.25">
      <c r="A4" s="1" t="s">
        <v>11</v>
      </c>
      <c r="B4" s="1">
        <v>1549732728</v>
      </c>
      <c r="C4" s="1">
        <v>7500000</v>
      </c>
      <c r="D4" s="1">
        <v>1166</v>
      </c>
      <c r="E4" s="1">
        <v>1689861107</v>
      </c>
      <c r="F4" s="1">
        <v>1364638317</v>
      </c>
      <c r="G4" s="1">
        <v>325222790</v>
      </c>
      <c r="H4" s="1">
        <v>9127</v>
      </c>
      <c r="I4" s="1">
        <v>-140128379</v>
      </c>
    </row>
    <row r="5" spans="1:9" x14ac:dyDescent="0.25">
      <c r="A5" s="1" t="s">
        <v>12</v>
      </c>
      <c r="B5" s="1">
        <v>978168179</v>
      </c>
      <c r="C5" s="1">
        <v>2050000</v>
      </c>
      <c r="D5" s="1">
        <v>638</v>
      </c>
      <c r="E5" s="1">
        <v>894014225</v>
      </c>
      <c r="F5" s="1">
        <v>825515174</v>
      </c>
      <c r="G5" s="1">
        <v>68499051</v>
      </c>
      <c r="H5" s="1">
        <v>1841</v>
      </c>
      <c r="I5" s="1">
        <v>84153954</v>
      </c>
    </row>
    <row r="6" spans="1:9" x14ac:dyDescent="0.25">
      <c r="A6" s="1" t="s">
        <v>13</v>
      </c>
      <c r="B6" s="1">
        <v>866282729</v>
      </c>
      <c r="C6" s="1">
        <v>1500000</v>
      </c>
      <c r="D6" s="1">
        <v>729</v>
      </c>
      <c r="E6" s="1">
        <v>766465997</v>
      </c>
      <c r="F6" s="1">
        <v>517926789</v>
      </c>
      <c r="G6" s="1">
        <v>248539208</v>
      </c>
      <c r="H6" s="1">
        <v>2961</v>
      </c>
      <c r="I6" s="1">
        <v>99816732</v>
      </c>
    </row>
    <row r="7" spans="1:9" x14ac:dyDescent="0.25">
      <c r="A7" s="1" t="s">
        <v>14</v>
      </c>
      <c r="B7" s="1">
        <v>994051814</v>
      </c>
      <c r="C7" s="1">
        <v>4400000</v>
      </c>
      <c r="D7" s="1">
        <v>615</v>
      </c>
      <c r="E7" s="1">
        <v>843230842</v>
      </c>
      <c r="F7" s="1">
        <v>498468745</v>
      </c>
      <c r="G7" s="1">
        <v>344762097</v>
      </c>
      <c r="H7" s="1">
        <v>3417</v>
      </c>
      <c r="I7" s="1">
        <v>150820972</v>
      </c>
    </row>
    <row r="8" spans="1:9" x14ac:dyDescent="0.25">
      <c r="A8" s="1" t="s">
        <v>15</v>
      </c>
      <c r="B8" s="1">
        <v>1166518183</v>
      </c>
      <c r="C8" s="1">
        <v>1200000</v>
      </c>
      <c r="D8" s="1">
        <v>1042</v>
      </c>
      <c r="E8" s="1">
        <v>1152067439</v>
      </c>
      <c r="F8" s="1">
        <v>840642002</v>
      </c>
      <c r="G8" s="1">
        <v>311425437</v>
      </c>
      <c r="H8" s="1">
        <v>3714</v>
      </c>
      <c r="I8" s="1">
        <v>14450744</v>
      </c>
    </row>
    <row r="9" spans="1:9" x14ac:dyDescent="0.25">
      <c r="A9" s="1" t="s">
        <v>16</v>
      </c>
      <c r="B9" s="1">
        <v>1186814682</v>
      </c>
      <c r="C9" s="1">
        <v>9860000</v>
      </c>
      <c r="D9" s="1">
        <v>1592</v>
      </c>
      <c r="E9" s="1">
        <v>1970632267</v>
      </c>
      <c r="F9" s="1">
        <v>1176153531</v>
      </c>
      <c r="G9" s="1">
        <v>794478736</v>
      </c>
      <c r="H9" s="1">
        <v>6887</v>
      </c>
      <c r="I9" s="1">
        <v>-783817585</v>
      </c>
    </row>
    <row r="10" spans="1:9" x14ac:dyDescent="0.25">
      <c r="A10" s="1" t="s">
        <v>17</v>
      </c>
      <c r="B10" s="1">
        <v>1414959999</v>
      </c>
      <c r="C10" s="1">
        <v>4020000</v>
      </c>
      <c r="D10" s="1">
        <v>3415</v>
      </c>
      <c r="E10" s="1">
        <v>1897752796</v>
      </c>
      <c r="F10" s="1">
        <v>1179593684</v>
      </c>
      <c r="G10" s="1">
        <v>718159112</v>
      </c>
      <c r="H10" s="1">
        <v>6989</v>
      </c>
      <c r="I10" s="1">
        <v>-482792797</v>
      </c>
    </row>
    <row r="11" spans="1:9" x14ac:dyDescent="0.25">
      <c r="A11" s="1" t="s">
        <v>18</v>
      </c>
      <c r="B11" s="1">
        <v>1675231000</v>
      </c>
      <c r="C11" s="1">
        <v>9940000</v>
      </c>
      <c r="D11" s="1">
        <v>6373</v>
      </c>
      <c r="E11" s="1">
        <v>1127934227</v>
      </c>
      <c r="F11" s="1">
        <v>724404756</v>
      </c>
      <c r="G11" s="1">
        <v>403529471</v>
      </c>
      <c r="H11" s="1">
        <v>4755</v>
      </c>
      <c r="I11" s="1">
        <v>547296773</v>
      </c>
    </row>
    <row r="12" spans="1:9" x14ac:dyDescent="0.25">
      <c r="A12" s="1" t="s">
        <v>19</v>
      </c>
      <c r="B12" s="1">
        <v>1562580003</v>
      </c>
      <c r="C12" s="1">
        <v>9340000</v>
      </c>
      <c r="D12" s="1">
        <v>5426</v>
      </c>
      <c r="E12" s="1">
        <v>1704675936</v>
      </c>
      <c r="F12" s="1">
        <v>1227500889</v>
      </c>
      <c r="G12" s="1">
        <v>477175047</v>
      </c>
      <c r="H12" s="1">
        <v>5503</v>
      </c>
      <c r="I12" s="1">
        <v>-142095933</v>
      </c>
    </row>
    <row r="13" spans="1:9" x14ac:dyDescent="0.25">
      <c r="A13" s="1" t="s">
        <v>20</v>
      </c>
      <c r="B13" s="1">
        <v>3510915197</v>
      </c>
      <c r="C13" s="1">
        <v>17340000</v>
      </c>
      <c r="D13" s="1">
        <v>8778</v>
      </c>
      <c r="E13" s="1">
        <v>2689791853</v>
      </c>
      <c r="F13" s="1">
        <v>1813515823</v>
      </c>
      <c r="G13" s="1">
        <v>876276030</v>
      </c>
      <c r="H13" s="1">
        <v>10319</v>
      </c>
      <c r="I13" s="1">
        <v>821123344</v>
      </c>
    </row>
    <row r="14" spans="1:9" s="5" customFormat="1" x14ac:dyDescent="0.25">
      <c r="A14" s="4"/>
      <c r="B14" s="4">
        <f>SUM(B2:B13)</f>
        <v>17020534093</v>
      </c>
      <c r="C14" s="4">
        <f t="shared" ref="C14:I14" si="0">SUM(C2:C13)</f>
        <v>69900000</v>
      </c>
      <c r="D14" s="4">
        <f t="shared" si="0"/>
        <v>31169</v>
      </c>
      <c r="E14" s="4">
        <f t="shared" si="0"/>
        <v>18404998669</v>
      </c>
      <c r="F14" s="4">
        <f t="shared" si="0"/>
        <v>12517772617</v>
      </c>
      <c r="G14" s="4">
        <f t="shared" si="0"/>
        <v>5887226052</v>
      </c>
      <c r="H14" s="4">
        <f t="shared" si="0"/>
        <v>65701</v>
      </c>
      <c r="I14" s="4">
        <f t="shared" si="0"/>
        <v>-1384464576</v>
      </c>
    </row>
    <row r="15" spans="1:9" s="5" customFormat="1" x14ac:dyDescent="0.25">
      <c r="A15" s="4" t="s">
        <v>48</v>
      </c>
      <c r="B15" s="4">
        <f>[1]Sheet1!$B$17</f>
        <v>16170531001</v>
      </c>
      <c r="C15" s="4">
        <f>[1]Sheet1!$D$17</f>
        <v>69900000</v>
      </c>
      <c r="D15" s="4"/>
      <c r="E15" s="4">
        <f>[1]Sheet1!$J$17</f>
        <v>15640942868</v>
      </c>
      <c r="F15" s="4"/>
      <c r="G15" s="4"/>
      <c r="H15" s="4"/>
      <c r="I15" s="4"/>
    </row>
    <row r="16" spans="1:9" s="5" customFormat="1" x14ac:dyDescent="0.25">
      <c r="A16" s="4" t="s">
        <v>49</v>
      </c>
      <c r="B16" s="4">
        <f>B14-B15</f>
        <v>850003092</v>
      </c>
      <c r="C16" s="4">
        <f t="shared" ref="C16:E16" si="1">C14-C15</f>
        <v>0</v>
      </c>
      <c r="D16" s="4">
        <f t="shared" si="1"/>
        <v>31169</v>
      </c>
      <c r="E16" s="4">
        <f t="shared" si="1"/>
        <v>2764055801</v>
      </c>
      <c r="F16" s="4"/>
      <c r="G16" s="4"/>
      <c r="H16" s="4"/>
      <c r="I16" s="4"/>
    </row>
    <row r="17" spans="1:9" x14ac:dyDescent="0.25">
      <c r="A17" s="1" t="s">
        <v>21</v>
      </c>
      <c r="B17" s="1">
        <v>712019064</v>
      </c>
      <c r="C17" s="1">
        <v>31480000</v>
      </c>
      <c r="D17" s="1">
        <v>887</v>
      </c>
      <c r="E17" s="1">
        <v>945622384</v>
      </c>
      <c r="F17" s="1">
        <v>910023958</v>
      </c>
      <c r="G17" s="1">
        <v>35598426</v>
      </c>
      <c r="H17" s="1">
        <v>1289</v>
      </c>
      <c r="I17" s="1">
        <v>-233603320</v>
      </c>
    </row>
    <row r="18" spans="1:9" x14ac:dyDescent="0.25">
      <c r="A18" s="1" t="s">
        <v>22</v>
      </c>
      <c r="B18" s="1">
        <v>407892526</v>
      </c>
      <c r="C18" s="1">
        <v>0</v>
      </c>
      <c r="D18" s="1">
        <v>346</v>
      </c>
      <c r="E18" s="1">
        <v>1354711370</v>
      </c>
      <c r="F18" s="1">
        <v>1348384093</v>
      </c>
      <c r="G18" s="1">
        <v>6327277</v>
      </c>
      <c r="H18" s="1">
        <v>1025</v>
      </c>
      <c r="I18" s="1">
        <v>-946818844</v>
      </c>
    </row>
    <row r="19" spans="1:9" x14ac:dyDescent="0.25">
      <c r="A19" s="1" t="s">
        <v>23</v>
      </c>
      <c r="B19" s="1">
        <v>1667007985</v>
      </c>
      <c r="C19" s="1">
        <v>2740000</v>
      </c>
      <c r="D19" s="1">
        <v>1270</v>
      </c>
      <c r="E19" s="1">
        <v>1899389265</v>
      </c>
      <c r="F19" s="1">
        <v>1960507389</v>
      </c>
      <c r="G19" s="1">
        <v>-61118124</v>
      </c>
      <c r="H19" s="1">
        <v>2044</v>
      </c>
      <c r="I19" s="1">
        <v>-232381280</v>
      </c>
    </row>
    <row r="20" spans="1:9" x14ac:dyDescent="0.25">
      <c r="A20" s="1" t="s">
        <v>24</v>
      </c>
      <c r="B20" s="1">
        <v>970772575</v>
      </c>
      <c r="C20" s="1">
        <v>300000</v>
      </c>
      <c r="D20" s="1">
        <v>607</v>
      </c>
      <c r="E20" s="1">
        <v>609158865</v>
      </c>
      <c r="F20" s="1">
        <v>606720300</v>
      </c>
      <c r="G20" s="1">
        <v>2438565</v>
      </c>
      <c r="H20" s="1">
        <v>712</v>
      </c>
      <c r="I20" s="1">
        <v>361613710</v>
      </c>
    </row>
    <row r="21" spans="1:9" x14ac:dyDescent="0.25">
      <c r="A21" s="1" t="s">
        <v>25</v>
      </c>
      <c r="B21" s="1">
        <v>1669824554</v>
      </c>
      <c r="C21" s="1">
        <v>3240000</v>
      </c>
      <c r="D21" s="1">
        <v>1830</v>
      </c>
      <c r="E21" s="1">
        <v>753412528</v>
      </c>
      <c r="F21" s="1">
        <v>751179735</v>
      </c>
      <c r="G21" s="1">
        <v>2232793</v>
      </c>
      <c r="H21" s="1">
        <v>989</v>
      </c>
      <c r="I21" s="1">
        <v>916412026</v>
      </c>
    </row>
    <row r="22" spans="1:9" x14ac:dyDescent="0.25">
      <c r="A22" s="1" t="s">
        <v>26</v>
      </c>
      <c r="B22" s="1">
        <v>1110309065</v>
      </c>
      <c r="C22" s="1">
        <v>24420000</v>
      </c>
      <c r="D22" s="1">
        <v>464</v>
      </c>
      <c r="E22" s="1">
        <v>2761063205</v>
      </c>
      <c r="F22" s="1">
        <v>2728956230</v>
      </c>
      <c r="G22" s="1">
        <v>32106975</v>
      </c>
      <c r="H22" s="1">
        <v>2757</v>
      </c>
      <c r="I22" s="1">
        <v>-1650754140</v>
      </c>
    </row>
    <row r="23" spans="1:9" x14ac:dyDescent="0.25">
      <c r="A23" s="1" t="s">
        <v>27</v>
      </c>
      <c r="B23" s="1">
        <v>2815816636</v>
      </c>
      <c r="C23" s="1">
        <v>10960000</v>
      </c>
      <c r="D23" s="1">
        <v>1724</v>
      </c>
      <c r="E23" s="1">
        <v>1247949288</v>
      </c>
      <c r="F23" s="1">
        <v>1234025692</v>
      </c>
      <c r="G23" s="1">
        <v>13923596</v>
      </c>
      <c r="H23" s="1">
        <v>943</v>
      </c>
      <c r="I23" s="1">
        <v>1567867348</v>
      </c>
    </row>
    <row r="24" spans="1:9" x14ac:dyDescent="0.25">
      <c r="A24" s="1" t="s">
        <v>28</v>
      </c>
      <c r="B24" s="1">
        <v>1949899571</v>
      </c>
      <c r="C24" s="1">
        <v>1860000</v>
      </c>
      <c r="D24" s="1">
        <v>976</v>
      </c>
      <c r="E24" s="1">
        <v>1875420299</v>
      </c>
      <c r="F24" s="1">
        <v>1866671868</v>
      </c>
      <c r="G24" s="1">
        <v>8748431</v>
      </c>
      <c r="H24" s="1">
        <v>1254</v>
      </c>
      <c r="I24" s="1">
        <v>74479272</v>
      </c>
    </row>
    <row r="25" spans="1:9" x14ac:dyDescent="0.25">
      <c r="A25" s="1" t="s">
        <v>29</v>
      </c>
      <c r="B25" s="1">
        <v>1705683581</v>
      </c>
      <c r="C25" s="1">
        <v>30870000</v>
      </c>
      <c r="D25" s="1">
        <v>1636</v>
      </c>
      <c r="E25" s="1">
        <v>2737077875</v>
      </c>
      <c r="F25" s="1">
        <v>2706382535</v>
      </c>
      <c r="G25" s="1">
        <v>30695340</v>
      </c>
      <c r="H25" s="1">
        <v>2243</v>
      </c>
      <c r="I25" s="1">
        <v>-1031394294</v>
      </c>
    </row>
    <row r="26" spans="1:9" x14ac:dyDescent="0.25">
      <c r="A26" s="1" t="s">
        <v>30</v>
      </c>
      <c r="B26" s="1">
        <v>1504825627</v>
      </c>
      <c r="C26" s="1">
        <v>2370000</v>
      </c>
      <c r="D26" s="1">
        <v>1216</v>
      </c>
      <c r="E26" s="1">
        <v>1363840517</v>
      </c>
      <c r="F26" s="1">
        <v>1359904155</v>
      </c>
      <c r="G26" s="1">
        <v>3936362</v>
      </c>
      <c r="H26" s="1">
        <v>1533</v>
      </c>
      <c r="I26" s="1">
        <v>140985110</v>
      </c>
    </row>
    <row r="27" spans="1:9" x14ac:dyDescent="0.25">
      <c r="A27" s="1" t="s">
        <v>31</v>
      </c>
      <c r="B27" s="1">
        <v>1394113638</v>
      </c>
      <c r="C27" s="1">
        <v>3300000</v>
      </c>
      <c r="D27" s="1">
        <v>725</v>
      </c>
      <c r="E27" s="1">
        <v>2235343153</v>
      </c>
      <c r="F27" s="1">
        <v>2218733591</v>
      </c>
      <c r="G27" s="1">
        <v>16609562</v>
      </c>
      <c r="H27" s="1">
        <v>3403</v>
      </c>
      <c r="I27" s="1">
        <v>-841229515</v>
      </c>
    </row>
    <row r="28" spans="1:9" x14ac:dyDescent="0.25">
      <c r="A28" s="1" t="s">
        <v>32</v>
      </c>
      <c r="B28" s="1">
        <v>2638224688</v>
      </c>
      <c r="C28" s="1">
        <v>15120000</v>
      </c>
      <c r="D28" s="1">
        <v>1985</v>
      </c>
      <c r="E28" s="1">
        <v>3832859389</v>
      </c>
      <c r="F28" s="1">
        <v>3823700790</v>
      </c>
      <c r="G28" s="1">
        <v>9158599</v>
      </c>
      <c r="H28" s="1">
        <v>2614</v>
      </c>
      <c r="I28" s="1">
        <v>-1194634701</v>
      </c>
    </row>
    <row r="29" spans="1:9" s="5" customFormat="1" x14ac:dyDescent="0.25">
      <c r="A29" s="4"/>
      <c r="B29" s="4">
        <f>SUM(B17:B28)</f>
        <v>18546389510</v>
      </c>
      <c r="C29" s="4">
        <f t="shared" ref="C29:I29" si="2">SUM(C17:C28)</f>
        <v>126660000</v>
      </c>
      <c r="D29" s="4">
        <f t="shared" si="2"/>
        <v>13666</v>
      </c>
      <c r="E29" s="4">
        <f t="shared" si="2"/>
        <v>21615848138</v>
      </c>
      <c r="F29" s="4">
        <f t="shared" si="2"/>
        <v>21515190336</v>
      </c>
      <c r="G29" s="4">
        <f t="shared" si="2"/>
        <v>100657802</v>
      </c>
      <c r="H29" s="4">
        <f t="shared" si="2"/>
        <v>20806</v>
      </c>
      <c r="I29" s="4">
        <f t="shared" si="2"/>
        <v>-3069458628</v>
      </c>
    </row>
    <row r="30" spans="1:9" s="3" customFormat="1" x14ac:dyDescent="0.25">
      <c r="A30" s="2" t="s">
        <v>48</v>
      </c>
      <c r="B30" s="2">
        <f>[2]TK!$O$18</f>
        <v>18467594965</v>
      </c>
      <c r="C30" s="2">
        <f>[2]TK!$N$18</f>
        <v>126660000</v>
      </c>
      <c r="D30" s="2"/>
      <c r="E30" s="2">
        <f>[2]TK!$B$18</f>
        <v>20373802796.889999</v>
      </c>
      <c r="F30" s="2"/>
      <c r="G30" s="2"/>
      <c r="H30" s="2"/>
      <c r="I30" s="2"/>
    </row>
    <row r="31" spans="1:9" s="5" customFormat="1" x14ac:dyDescent="0.25">
      <c r="A31" s="4" t="s">
        <v>49</v>
      </c>
      <c r="B31" s="4">
        <f>B29-B30</f>
        <v>78794545</v>
      </c>
      <c r="C31" s="4">
        <f t="shared" ref="C31:E31" si="3">C29-C30</f>
        <v>0</v>
      </c>
      <c r="D31" s="4"/>
      <c r="E31" s="4">
        <f t="shared" si="3"/>
        <v>1242045341.1100006</v>
      </c>
      <c r="F31" s="4"/>
      <c r="G31" s="4"/>
      <c r="H31" s="4"/>
      <c r="I31" s="4"/>
    </row>
    <row r="32" spans="1:9" x14ac:dyDescent="0.25">
      <c r="A32" s="1" t="s">
        <v>33</v>
      </c>
      <c r="B32" s="1">
        <v>384948018</v>
      </c>
      <c r="C32" s="1">
        <v>0</v>
      </c>
      <c r="D32" s="1">
        <v>236</v>
      </c>
      <c r="E32" s="1">
        <v>563319270</v>
      </c>
      <c r="F32" s="1">
        <v>531109162</v>
      </c>
      <c r="G32" s="1">
        <v>32210108</v>
      </c>
      <c r="H32" s="1">
        <v>846</v>
      </c>
      <c r="I32" s="1">
        <v>-178371252</v>
      </c>
    </row>
    <row r="33" spans="1:9" x14ac:dyDescent="0.25">
      <c r="A33" s="1" t="s">
        <v>34</v>
      </c>
      <c r="B33" s="1">
        <v>706488897</v>
      </c>
      <c r="C33" s="1">
        <v>0</v>
      </c>
      <c r="D33" s="1">
        <v>455</v>
      </c>
      <c r="E33" s="1">
        <v>1554088512</v>
      </c>
      <c r="F33" s="1">
        <v>1559722074</v>
      </c>
      <c r="G33" s="1">
        <v>-5633562</v>
      </c>
      <c r="H33" s="1">
        <v>1095</v>
      </c>
      <c r="I33" s="1">
        <v>-847599615</v>
      </c>
    </row>
    <row r="34" spans="1:9" x14ac:dyDescent="0.25">
      <c r="A34" s="1" t="s">
        <v>35</v>
      </c>
      <c r="B34" s="1">
        <v>2376411221</v>
      </c>
      <c r="C34" s="1">
        <v>900000</v>
      </c>
      <c r="D34" s="1">
        <v>6630</v>
      </c>
      <c r="E34" s="1">
        <v>1474315222</v>
      </c>
      <c r="F34" s="1">
        <v>1469231283</v>
      </c>
      <c r="G34" s="1">
        <v>5083939</v>
      </c>
      <c r="H34" s="1">
        <v>1838</v>
      </c>
      <c r="I34" s="1">
        <v>902095999</v>
      </c>
    </row>
    <row r="35" spans="1:9" x14ac:dyDescent="0.25">
      <c r="A35" s="1" t="s">
        <v>36</v>
      </c>
      <c r="B35" s="1">
        <v>1305382294</v>
      </c>
      <c r="C35" s="1">
        <v>20740000</v>
      </c>
      <c r="D35" s="1">
        <v>1660</v>
      </c>
      <c r="E35" s="1">
        <v>900266814</v>
      </c>
      <c r="F35" s="1">
        <v>847703079</v>
      </c>
      <c r="G35" s="1">
        <v>52563735</v>
      </c>
      <c r="H35" s="1">
        <v>1138</v>
      </c>
      <c r="I35" s="1">
        <v>405115480</v>
      </c>
    </row>
    <row r="36" spans="1:9" x14ac:dyDescent="0.25">
      <c r="A36" s="1" t="s">
        <v>37</v>
      </c>
      <c r="B36" s="1">
        <v>1848661893</v>
      </c>
      <c r="C36" s="1">
        <v>23850000</v>
      </c>
      <c r="D36" s="1">
        <v>1038</v>
      </c>
      <c r="E36" s="1">
        <v>1335453462</v>
      </c>
      <c r="F36" s="1">
        <v>1349043035</v>
      </c>
      <c r="G36" s="1">
        <v>-13589573</v>
      </c>
      <c r="H36" s="1">
        <v>942</v>
      </c>
      <c r="I36" s="1">
        <v>513208431</v>
      </c>
    </row>
    <row r="37" spans="1:9" x14ac:dyDescent="0.25">
      <c r="A37" s="1" t="s">
        <v>38</v>
      </c>
      <c r="B37" s="1">
        <v>3145659054</v>
      </c>
      <c r="C37" s="1">
        <v>26875000</v>
      </c>
      <c r="D37" s="1">
        <v>2467</v>
      </c>
      <c r="E37" s="1">
        <v>2349434904</v>
      </c>
      <c r="F37" s="1">
        <v>2325490545</v>
      </c>
      <c r="G37" s="1">
        <v>23944359</v>
      </c>
      <c r="H37" s="1">
        <v>2499</v>
      </c>
      <c r="I37" s="1">
        <v>796224150</v>
      </c>
    </row>
    <row r="38" spans="1:9" x14ac:dyDescent="0.25">
      <c r="A38" s="1" t="s">
        <v>39</v>
      </c>
      <c r="B38" s="1">
        <v>1021639682</v>
      </c>
      <c r="C38" s="1">
        <v>1230000</v>
      </c>
      <c r="D38" s="1">
        <v>534</v>
      </c>
      <c r="E38" s="1">
        <v>1326736524</v>
      </c>
      <c r="F38" s="1">
        <v>1317294862</v>
      </c>
      <c r="G38" s="1">
        <v>9441662</v>
      </c>
      <c r="H38" s="1">
        <v>1804</v>
      </c>
      <c r="I38" s="1">
        <v>-305096842</v>
      </c>
    </row>
    <row r="39" spans="1:9" x14ac:dyDescent="0.25">
      <c r="A39" s="1" t="s">
        <v>40</v>
      </c>
      <c r="B39" s="1">
        <v>1393627043</v>
      </c>
      <c r="C39" s="1">
        <v>3240000</v>
      </c>
      <c r="D39" s="1">
        <v>1394</v>
      </c>
      <c r="E39" s="1">
        <v>2066134855</v>
      </c>
      <c r="F39" s="1">
        <v>2118592976</v>
      </c>
      <c r="G39" s="1">
        <v>-52458121</v>
      </c>
      <c r="H39" s="1">
        <v>1920</v>
      </c>
      <c r="I39" s="1">
        <v>-672507812</v>
      </c>
    </row>
    <row r="40" spans="1:9" x14ac:dyDescent="0.25">
      <c r="A40" s="1" t="s">
        <v>41</v>
      </c>
      <c r="B40" s="1">
        <v>2754601177</v>
      </c>
      <c r="C40" s="1">
        <v>3710000</v>
      </c>
      <c r="D40" s="1">
        <v>1718</v>
      </c>
      <c r="E40" s="1">
        <v>3008632916</v>
      </c>
      <c r="F40" s="1">
        <v>3003652743</v>
      </c>
      <c r="G40" s="1">
        <v>4980173</v>
      </c>
      <c r="H40" s="1">
        <v>3524</v>
      </c>
      <c r="I40" s="1">
        <v>-254031739</v>
      </c>
    </row>
    <row r="41" spans="1:9" x14ac:dyDescent="0.25">
      <c r="A41" s="1" t="s">
        <v>42</v>
      </c>
      <c r="B41" s="1">
        <v>1408558897</v>
      </c>
      <c r="C41" s="1">
        <v>6670000</v>
      </c>
      <c r="D41" s="1">
        <v>846</v>
      </c>
      <c r="E41" s="1">
        <v>1370410250</v>
      </c>
      <c r="F41" s="1">
        <v>1327011226</v>
      </c>
      <c r="G41" s="1">
        <v>43399024</v>
      </c>
      <c r="H41" s="1">
        <v>1698</v>
      </c>
      <c r="I41" s="1">
        <v>38148647</v>
      </c>
    </row>
    <row r="42" spans="1:9" x14ac:dyDescent="0.25">
      <c r="A42" s="1" t="s">
        <v>43</v>
      </c>
      <c r="B42" s="1">
        <v>1470804640</v>
      </c>
      <c r="C42" s="1">
        <v>2300000</v>
      </c>
      <c r="D42" s="1">
        <v>607</v>
      </c>
      <c r="E42" s="1">
        <v>1745961048</v>
      </c>
      <c r="F42" s="1">
        <v>1742855011</v>
      </c>
      <c r="G42" s="1">
        <v>3106037</v>
      </c>
      <c r="H42" s="1">
        <v>1236</v>
      </c>
      <c r="I42" s="1">
        <v>-275156408</v>
      </c>
    </row>
    <row r="43" spans="1:9" x14ac:dyDescent="0.25">
      <c r="A43" s="1" t="s">
        <v>44</v>
      </c>
      <c r="B43" s="1">
        <v>2431331064</v>
      </c>
      <c r="C43" s="1">
        <v>3900000</v>
      </c>
      <c r="D43" s="1">
        <v>1180</v>
      </c>
      <c r="E43" s="1">
        <v>2520481008</v>
      </c>
      <c r="F43" s="1">
        <v>2606835417</v>
      </c>
      <c r="G43" s="1">
        <v>-86354409</v>
      </c>
      <c r="H43" s="1">
        <v>2164</v>
      </c>
      <c r="I43" s="1">
        <v>-89149944</v>
      </c>
    </row>
    <row r="44" spans="1:9" s="5" customFormat="1" x14ac:dyDescent="0.25">
      <c r="A44" s="4" t="s">
        <v>50</v>
      </c>
      <c r="B44" s="4">
        <f>SUM(B32:B43)</f>
        <v>20248113880</v>
      </c>
      <c r="C44" s="4">
        <f t="shared" ref="C44:I44" si="4">SUM(C32:C43)</f>
        <v>93415000</v>
      </c>
      <c r="D44" s="4">
        <f t="shared" si="4"/>
        <v>18765</v>
      </c>
      <c r="E44" s="4">
        <f t="shared" si="4"/>
        <v>20215234785</v>
      </c>
      <c r="F44" s="4">
        <f t="shared" si="4"/>
        <v>20198541413</v>
      </c>
      <c r="G44" s="4">
        <f t="shared" si="4"/>
        <v>16693372</v>
      </c>
      <c r="H44" s="4">
        <f t="shared" si="4"/>
        <v>20704</v>
      </c>
      <c r="I44" s="4">
        <f t="shared" si="4"/>
        <v>32879095</v>
      </c>
    </row>
    <row r="45" spans="1:9" s="5" customFormat="1" x14ac:dyDescent="0.25">
      <c r="A45" s="4" t="s">
        <v>48</v>
      </c>
      <c r="B45" s="4">
        <f>[3]Sheet1!$C$17</f>
        <v>21761596663</v>
      </c>
      <c r="C45" s="4">
        <f>[3]Sheet1!$B$17</f>
        <v>93415000</v>
      </c>
      <c r="D45" s="4"/>
      <c r="E45" s="4">
        <f>[3]Sheet1!$L$17</f>
        <v>19151978036</v>
      </c>
      <c r="F45" s="4"/>
      <c r="G45" s="4"/>
      <c r="H45" s="4"/>
      <c r="I45" s="4"/>
    </row>
    <row r="46" spans="1:9" s="5" customFormat="1" x14ac:dyDescent="0.25">
      <c r="A46" s="4" t="s">
        <v>49</v>
      </c>
      <c r="B46" s="4">
        <f>B44-B45</f>
        <v>-1513482783</v>
      </c>
      <c r="C46" s="4">
        <f t="shared" ref="C46:I46" si="5">C44-C45</f>
        <v>0</v>
      </c>
      <c r="D46" s="4">
        <f t="shared" si="5"/>
        <v>18765</v>
      </c>
      <c r="E46" s="4">
        <f t="shared" si="5"/>
        <v>1063256749</v>
      </c>
      <c r="F46" s="4">
        <f t="shared" si="5"/>
        <v>20198541413</v>
      </c>
      <c r="G46" s="4">
        <f t="shared" si="5"/>
        <v>16693372</v>
      </c>
      <c r="H46" s="4">
        <f t="shared" si="5"/>
        <v>20704</v>
      </c>
      <c r="I46" s="4">
        <f t="shared" si="5"/>
        <v>32879095</v>
      </c>
    </row>
    <row r="50" spans="1:9" x14ac:dyDescent="0.25">
      <c r="A50" s="1" t="s">
        <v>45</v>
      </c>
      <c r="B50" s="1">
        <v>0</v>
      </c>
      <c r="C50" s="1">
        <v>0</v>
      </c>
      <c r="D50" s="1">
        <v>0</v>
      </c>
      <c r="E50" s="1">
        <v>1207395943</v>
      </c>
      <c r="F50" s="1">
        <v>1191218495</v>
      </c>
      <c r="G50" s="1">
        <v>16177448</v>
      </c>
      <c r="H50" s="1">
        <v>1098</v>
      </c>
      <c r="I50" s="1">
        <v>-1207395943</v>
      </c>
    </row>
    <row r="51" spans="1:9" x14ac:dyDescent="0.25">
      <c r="A51" s="1" t="s">
        <v>46</v>
      </c>
      <c r="B51" s="1">
        <v>0</v>
      </c>
      <c r="C51" s="1">
        <v>0</v>
      </c>
      <c r="D51" s="1">
        <v>0</v>
      </c>
      <c r="E51" s="1">
        <v>229907141</v>
      </c>
      <c r="F51" s="1">
        <v>228769445</v>
      </c>
      <c r="G51" s="1">
        <v>1137696</v>
      </c>
      <c r="H51" s="1">
        <v>94</v>
      </c>
      <c r="I51" s="1">
        <v>-229907141</v>
      </c>
    </row>
    <row r="53" spans="1:9" s="3" customFormat="1" x14ac:dyDescent="0.25">
      <c r="A53" s="2" t="s">
        <v>47</v>
      </c>
      <c r="B53" s="2">
        <v>55815037483</v>
      </c>
      <c r="C53" s="2">
        <v>289975000</v>
      </c>
      <c r="D53" s="2">
        <v>63600</v>
      </c>
      <c r="E53" s="2">
        <v>61673384676</v>
      </c>
      <c r="F53" s="2">
        <v>55651492306</v>
      </c>
      <c r="G53" s="2">
        <v>6021892370</v>
      </c>
      <c r="H53" s="2">
        <v>108403</v>
      </c>
      <c r="I53" s="2">
        <v>-5858347193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919511396</v>
      </c>
      <c r="C2">
        <v>650000</v>
      </c>
      <c r="D2">
        <v>833</v>
      </c>
      <c r="E2">
        <v>1667314418</v>
      </c>
      <c r="F2">
        <v>1080688584</v>
      </c>
      <c r="G2">
        <v>586625834</v>
      </c>
      <c r="H2">
        <v>3323</v>
      </c>
      <c r="I2">
        <v>-747803022</v>
      </c>
    </row>
    <row r="3" spans="1:9" x14ac:dyDescent="0.25">
      <c r="A3" t="s">
        <v>10</v>
      </c>
      <c r="B3">
        <v>1195768183</v>
      </c>
      <c r="C3">
        <v>2100000</v>
      </c>
      <c r="D3">
        <v>562</v>
      </c>
      <c r="E3">
        <v>2001257562</v>
      </c>
      <c r="F3">
        <v>1268724323</v>
      </c>
      <c r="G3">
        <v>732533239</v>
      </c>
      <c r="H3">
        <v>6865</v>
      </c>
      <c r="I3">
        <v>-805489379</v>
      </c>
    </row>
    <row r="4" spans="1:9" x14ac:dyDescent="0.25">
      <c r="A4" t="s">
        <v>11</v>
      </c>
      <c r="B4">
        <v>1549732728</v>
      </c>
      <c r="C4">
        <v>7500000</v>
      </c>
      <c r="D4">
        <v>1166</v>
      </c>
      <c r="E4">
        <v>1689861107</v>
      </c>
      <c r="F4">
        <v>1364638317</v>
      </c>
      <c r="G4">
        <v>325222790</v>
      </c>
      <c r="H4">
        <v>9127</v>
      </c>
      <c r="I4">
        <v>-140128379</v>
      </c>
    </row>
    <row r="5" spans="1:9" x14ac:dyDescent="0.25">
      <c r="A5" t="s">
        <v>12</v>
      </c>
      <c r="B5">
        <v>978168179</v>
      </c>
      <c r="C5">
        <v>2050000</v>
      </c>
      <c r="D5">
        <v>638</v>
      </c>
      <c r="E5">
        <v>894014225</v>
      </c>
      <c r="F5">
        <v>825515174</v>
      </c>
      <c r="G5">
        <v>68499051</v>
      </c>
      <c r="H5">
        <v>1841</v>
      </c>
      <c r="I5">
        <v>84153954</v>
      </c>
    </row>
    <row r="6" spans="1:9" x14ac:dyDescent="0.25">
      <c r="A6" t="s">
        <v>13</v>
      </c>
      <c r="B6">
        <v>866282729</v>
      </c>
      <c r="C6">
        <v>1500000</v>
      </c>
      <c r="D6">
        <v>729</v>
      </c>
      <c r="E6">
        <v>766465997</v>
      </c>
      <c r="F6">
        <v>517926789</v>
      </c>
      <c r="G6">
        <v>248539208</v>
      </c>
      <c r="H6">
        <v>2961</v>
      </c>
      <c r="I6">
        <v>99816732</v>
      </c>
    </row>
    <row r="7" spans="1:9" x14ac:dyDescent="0.25">
      <c r="A7" t="s">
        <v>14</v>
      </c>
      <c r="B7">
        <v>994051814</v>
      </c>
      <c r="C7">
        <v>4400000</v>
      </c>
      <c r="D7">
        <v>615</v>
      </c>
      <c r="E7">
        <v>843230842</v>
      </c>
      <c r="F7">
        <v>498468745</v>
      </c>
      <c r="G7">
        <v>344762097</v>
      </c>
      <c r="H7">
        <v>3417</v>
      </c>
      <c r="I7">
        <v>150820972</v>
      </c>
    </row>
    <row r="8" spans="1:9" x14ac:dyDescent="0.25">
      <c r="A8" t="s">
        <v>15</v>
      </c>
      <c r="B8">
        <v>1166518183</v>
      </c>
      <c r="C8">
        <v>1200000</v>
      </c>
      <c r="D8">
        <v>1042</v>
      </c>
      <c r="E8">
        <v>1152067439</v>
      </c>
      <c r="F8">
        <v>840642002</v>
      </c>
      <c r="G8">
        <v>311425437</v>
      </c>
      <c r="H8">
        <v>3714</v>
      </c>
      <c r="I8">
        <v>14450744</v>
      </c>
    </row>
    <row r="9" spans="1:9" x14ac:dyDescent="0.25">
      <c r="A9" t="s">
        <v>16</v>
      </c>
      <c r="B9">
        <v>1186814682</v>
      </c>
      <c r="C9">
        <v>9860000</v>
      </c>
      <c r="D9">
        <v>1592</v>
      </c>
      <c r="E9">
        <v>1970632267</v>
      </c>
      <c r="F9">
        <v>1176153531</v>
      </c>
      <c r="G9">
        <v>794478736</v>
      </c>
      <c r="H9">
        <v>6887</v>
      </c>
      <c r="I9">
        <v>-783817585</v>
      </c>
    </row>
    <row r="10" spans="1:9" x14ac:dyDescent="0.25">
      <c r="A10" t="s">
        <v>17</v>
      </c>
      <c r="B10">
        <v>1414959999</v>
      </c>
      <c r="C10">
        <v>4020000</v>
      </c>
      <c r="D10">
        <v>3415</v>
      </c>
      <c r="E10">
        <v>1897752796</v>
      </c>
      <c r="F10">
        <v>1179593684</v>
      </c>
      <c r="G10">
        <v>718159112</v>
      </c>
      <c r="H10">
        <v>6989</v>
      </c>
      <c r="I10">
        <v>-482792797</v>
      </c>
    </row>
    <row r="11" spans="1:9" x14ac:dyDescent="0.25">
      <c r="A11" t="s">
        <v>18</v>
      </c>
      <c r="B11">
        <v>1675231000</v>
      </c>
      <c r="C11">
        <v>9940000</v>
      </c>
      <c r="D11">
        <v>6373</v>
      </c>
      <c r="E11">
        <v>1127934227</v>
      </c>
      <c r="F11">
        <v>724404756</v>
      </c>
      <c r="G11">
        <v>403529471</v>
      </c>
      <c r="H11">
        <v>4755</v>
      </c>
      <c r="I11">
        <v>547296773</v>
      </c>
    </row>
    <row r="12" spans="1:9" x14ac:dyDescent="0.25">
      <c r="A12" t="s">
        <v>19</v>
      </c>
      <c r="B12">
        <v>1562580003</v>
      </c>
      <c r="C12">
        <v>9340000</v>
      </c>
      <c r="D12">
        <v>5426</v>
      </c>
      <c r="E12">
        <v>1704675936</v>
      </c>
      <c r="F12">
        <v>1227500889</v>
      </c>
      <c r="G12">
        <v>477175047</v>
      </c>
      <c r="H12">
        <v>5503</v>
      </c>
      <c r="I12">
        <v>-142095933</v>
      </c>
    </row>
    <row r="13" spans="1:9" x14ac:dyDescent="0.25">
      <c r="A13" t="s">
        <v>20</v>
      </c>
      <c r="B13">
        <v>3510915197</v>
      </c>
      <c r="C13">
        <v>17340000</v>
      </c>
      <c r="D13">
        <v>8778</v>
      </c>
      <c r="E13">
        <v>2689791853</v>
      </c>
      <c r="F13">
        <v>1813515823</v>
      </c>
      <c r="G13">
        <v>876276030</v>
      </c>
      <c r="H13">
        <v>10319</v>
      </c>
      <c r="I13">
        <v>821123344</v>
      </c>
    </row>
    <row r="14" spans="1:9" x14ac:dyDescent="0.25">
      <c r="A14" t="s">
        <v>47</v>
      </c>
      <c r="B14">
        <v>17020534093</v>
      </c>
      <c r="C14">
        <v>69900000</v>
      </c>
      <c r="D14">
        <v>31169</v>
      </c>
      <c r="E14">
        <v>18404998669</v>
      </c>
      <c r="F14">
        <v>12517772617</v>
      </c>
      <c r="G14">
        <v>5887226052</v>
      </c>
      <c r="H14">
        <v>65701</v>
      </c>
      <c r="I14">
        <v>-1384464576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21</v>
      </c>
      <c r="B2">
        <v>712019064</v>
      </c>
      <c r="C2">
        <v>31480000</v>
      </c>
      <c r="D2">
        <v>887</v>
      </c>
      <c r="E2">
        <v>945622384</v>
      </c>
      <c r="F2">
        <v>910023958</v>
      </c>
      <c r="G2">
        <v>35598426</v>
      </c>
      <c r="H2">
        <v>1289</v>
      </c>
      <c r="I2">
        <v>-233603320</v>
      </c>
    </row>
    <row r="3" spans="1:9" x14ac:dyDescent="0.25">
      <c r="A3" t="s">
        <v>22</v>
      </c>
      <c r="B3">
        <v>407892526</v>
      </c>
      <c r="C3">
        <v>0</v>
      </c>
      <c r="D3">
        <v>346</v>
      </c>
      <c r="E3">
        <v>1354711370</v>
      </c>
      <c r="F3">
        <v>1348384093</v>
      </c>
      <c r="G3">
        <v>6327277</v>
      </c>
      <c r="H3">
        <v>1025</v>
      </c>
      <c r="I3">
        <v>-946818844</v>
      </c>
    </row>
    <row r="4" spans="1:9" x14ac:dyDescent="0.25">
      <c r="A4" t="s">
        <v>23</v>
      </c>
      <c r="B4">
        <v>1667007985</v>
      </c>
      <c r="C4">
        <v>2740000</v>
      </c>
      <c r="D4">
        <v>1270</v>
      </c>
      <c r="E4">
        <v>1899389265</v>
      </c>
      <c r="F4">
        <v>1960507389</v>
      </c>
      <c r="G4">
        <v>-61118124</v>
      </c>
      <c r="H4">
        <v>2044</v>
      </c>
      <c r="I4">
        <v>-232381280</v>
      </c>
    </row>
    <row r="5" spans="1:9" x14ac:dyDescent="0.25">
      <c r="A5" t="s">
        <v>24</v>
      </c>
      <c r="B5">
        <v>970772575</v>
      </c>
      <c r="C5">
        <v>300000</v>
      </c>
      <c r="D5">
        <v>607</v>
      </c>
      <c r="E5">
        <v>609158865</v>
      </c>
      <c r="F5">
        <v>606720300</v>
      </c>
      <c r="G5">
        <v>2438565</v>
      </c>
      <c r="H5">
        <v>712</v>
      </c>
      <c r="I5">
        <v>361613710</v>
      </c>
    </row>
    <row r="6" spans="1:9" x14ac:dyDescent="0.25">
      <c r="A6" t="s">
        <v>25</v>
      </c>
      <c r="B6">
        <v>1669824554</v>
      </c>
      <c r="C6">
        <v>3240000</v>
      </c>
      <c r="D6">
        <v>1830</v>
      </c>
      <c r="E6">
        <v>753412528</v>
      </c>
      <c r="F6">
        <v>751179735</v>
      </c>
      <c r="G6">
        <v>2232793</v>
      </c>
      <c r="H6">
        <v>989</v>
      </c>
      <c r="I6">
        <v>916412026</v>
      </c>
    </row>
    <row r="7" spans="1:9" x14ac:dyDescent="0.25">
      <c r="A7" t="s">
        <v>26</v>
      </c>
      <c r="B7">
        <v>1110309065</v>
      </c>
      <c r="C7">
        <v>24420000</v>
      </c>
      <c r="D7">
        <v>464</v>
      </c>
      <c r="E7">
        <v>2761063205</v>
      </c>
      <c r="F7">
        <v>2728956230</v>
      </c>
      <c r="G7">
        <v>32106975</v>
      </c>
      <c r="H7">
        <v>2757</v>
      </c>
      <c r="I7">
        <v>-1650754140</v>
      </c>
    </row>
    <row r="8" spans="1:9" x14ac:dyDescent="0.25">
      <c r="A8" t="s">
        <v>27</v>
      </c>
      <c r="B8">
        <v>2815816636</v>
      </c>
      <c r="C8">
        <v>10960000</v>
      </c>
      <c r="D8">
        <v>1724</v>
      </c>
      <c r="E8">
        <v>1247949288</v>
      </c>
      <c r="F8">
        <v>1234025692</v>
      </c>
      <c r="G8">
        <v>13923596</v>
      </c>
      <c r="H8">
        <v>943</v>
      </c>
      <c r="I8">
        <v>1567867348</v>
      </c>
    </row>
    <row r="9" spans="1:9" x14ac:dyDescent="0.25">
      <c r="A9" t="s">
        <v>28</v>
      </c>
      <c r="B9">
        <v>1949899571</v>
      </c>
      <c r="C9">
        <v>1860000</v>
      </c>
      <c r="D9">
        <v>976</v>
      </c>
      <c r="E9">
        <v>1875420299</v>
      </c>
      <c r="F9">
        <v>1866671868</v>
      </c>
      <c r="G9">
        <v>8748431</v>
      </c>
      <c r="H9">
        <v>1254</v>
      </c>
      <c r="I9">
        <v>74479272</v>
      </c>
    </row>
    <row r="10" spans="1:9" x14ac:dyDescent="0.25">
      <c r="A10" t="s">
        <v>29</v>
      </c>
      <c r="B10">
        <v>1705683581</v>
      </c>
      <c r="C10">
        <v>30870000</v>
      </c>
      <c r="D10">
        <v>1636</v>
      </c>
      <c r="E10">
        <v>2737077875</v>
      </c>
      <c r="F10">
        <v>2706382535</v>
      </c>
      <c r="G10">
        <v>30695340</v>
      </c>
      <c r="H10">
        <v>2243</v>
      </c>
      <c r="I10">
        <v>-1031394294</v>
      </c>
    </row>
    <row r="11" spans="1:9" x14ac:dyDescent="0.25">
      <c r="A11" t="s">
        <v>30</v>
      </c>
      <c r="B11">
        <v>1504825627</v>
      </c>
      <c r="C11">
        <v>2370000</v>
      </c>
      <c r="D11">
        <v>1216</v>
      </c>
      <c r="E11">
        <v>1363840517</v>
      </c>
      <c r="F11">
        <v>1359904155</v>
      </c>
      <c r="G11">
        <v>3936362</v>
      </c>
      <c r="H11">
        <v>1533</v>
      </c>
      <c r="I11">
        <v>140985110</v>
      </c>
    </row>
    <row r="12" spans="1:9" x14ac:dyDescent="0.25">
      <c r="A12" t="s">
        <v>31</v>
      </c>
      <c r="B12">
        <v>1394113638</v>
      </c>
      <c r="C12">
        <v>3300000</v>
      </c>
      <c r="D12">
        <v>725</v>
      </c>
      <c r="E12">
        <v>2235343153</v>
      </c>
      <c r="F12">
        <v>2218733591</v>
      </c>
      <c r="G12">
        <v>16609562</v>
      </c>
      <c r="H12">
        <v>3403</v>
      </c>
      <c r="I12">
        <v>-841229515</v>
      </c>
    </row>
    <row r="13" spans="1:9" x14ac:dyDescent="0.25">
      <c r="A13" t="s">
        <v>32</v>
      </c>
      <c r="B13">
        <v>2638224688</v>
      </c>
      <c r="C13">
        <v>15120000</v>
      </c>
      <c r="D13">
        <v>1985</v>
      </c>
      <c r="E13">
        <v>3832859389</v>
      </c>
      <c r="F13">
        <v>3823700790</v>
      </c>
      <c r="G13">
        <v>9158599</v>
      </c>
      <c r="H13">
        <v>2614</v>
      </c>
      <c r="I13">
        <v>-1194634701</v>
      </c>
    </row>
    <row r="14" spans="1:9" x14ac:dyDescent="0.25">
      <c r="A14" t="s">
        <v>47</v>
      </c>
      <c r="B14">
        <v>18546389510</v>
      </c>
      <c r="C14">
        <v>126660000</v>
      </c>
      <c r="D14">
        <v>13666</v>
      </c>
      <c r="E14">
        <v>21615848138</v>
      </c>
      <c r="F14">
        <v>21515190336</v>
      </c>
      <c r="G14">
        <v>100657802</v>
      </c>
      <c r="H14">
        <v>20806</v>
      </c>
      <c r="I14">
        <v>-3069458628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33</v>
      </c>
      <c r="B2">
        <v>384948018</v>
      </c>
      <c r="C2">
        <v>0</v>
      </c>
      <c r="D2">
        <v>236</v>
      </c>
      <c r="E2">
        <v>563319270</v>
      </c>
      <c r="F2">
        <v>531109162</v>
      </c>
      <c r="G2">
        <v>32210108</v>
      </c>
      <c r="H2">
        <v>846</v>
      </c>
      <c r="I2">
        <v>-178371252</v>
      </c>
    </row>
    <row r="3" spans="1:9" x14ac:dyDescent="0.25">
      <c r="A3" t="s">
        <v>34</v>
      </c>
      <c r="B3">
        <v>706488897</v>
      </c>
      <c r="C3">
        <v>0</v>
      </c>
      <c r="D3">
        <v>455</v>
      </c>
      <c r="E3">
        <v>1554088512</v>
      </c>
      <c r="F3">
        <v>1559722074</v>
      </c>
      <c r="G3">
        <v>-5633562</v>
      </c>
      <c r="H3">
        <v>1095</v>
      </c>
      <c r="I3">
        <v>-847599615</v>
      </c>
    </row>
    <row r="4" spans="1:9" x14ac:dyDescent="0.25">
      <c r="A4" t="s">
        <v>35</v>
      </c>
      <c r="B4">
        <v>2376411221</v>
      </c>
      <c r="C4">
        <v>900000</v>
      </c>
      <c r="D4">
        <v>6630</v>
      </c>
      <c r="E4">
        <v>1474315222</v>
      </c>
      <c r="F4">
        <v>1469231283</v>
      </c>
      <c r="G4">
        <v>5083939</v>
      </c>
      <c r="H4">
        <v>1838</v>
      </c>
      <c r="I4">
        <v>902095999</v>
      </c>
    </row>
    <row r="5" spans="1:9" x14ac:dyDescent="0.25">
      <c r="A5" t="s">
        <v>36</v>
      </c>
      <c r="B5">
        <v>1305382294</v>
      </c>
      <c r="C5">
        <v>20740000</v>
      </c>
      <c r="D5">
        <v>1660</v>
      </c>
      <c r="E5">
        <v>900266814</v>
      </c>
      <c r="F5">
        <v>847703079</v>
      </c>
      <c r="G5">
        <v>52563735</v>
      </c>
      <c r="H5">
        <v>1138</v>
      </c>
      <c r="I5">
        <v>405115480</v>
      </c>
    </row>
    <row r="6" spans="1:9" x14ac:dyDescent="0.25">
      <c r="A6" t="s">
        <v>37</v>
      </c>
      <c r="B6">
        <v>1848661893</v>
      </c>
      <c r="C6">
        <v>23850000</v>
      </c>
      <c r="D6">
        <v>1038</v>
      </c>
      <c r="E6">
        <v>1335453462</v>
      </c>
      <c r="F6">
        <v>1349043035</v>
      </c>
      <c r="G6">
        <v>-13589573</v>
      </c>
      <c r="H6">
        <v>942</v>
      </c>
      <c r="I6">
        <v>513208431</v>
      </c>
    </row>
    <row r="7" spans="1:9" x14ac:dyDescent="0.25">
      <c r="A7" t="s">
        <v>38</v>
      </c>
      <c r="B7">
        <v>3145659054</v>
      </c>
      <c r="C7">
        <v>26875000</v>
      </c>
      <c r="D7">
        <v>2467</v>
      </c>
      <c r="E7">
        <v>2349434904</v>
      </c>
      <c r="F7">
        <v>2325490545</v>
      </c>
      <c r="G7">
        <v>23944359</v>
      </c>
      <c r="H7">
        <v>2499</v>
      </c>
      <c r="I7">
        <v>796224150</v>
      </c>
    </row>
    <row r="8" spans="1:9" x14ac:dyDescent="0.25">
      <c r="A8" t="s">
        <v>39</v>
      </c>
      <c r="B8">
        <v>1021639682</v>
      </c>
      <c r="C8">
        <v>1230000</v>
      </c>
      <c r="D8">
        <v>534</v>
      </c>
      <c r="E8">
        <v>1326736524</v>
      </c>
      <c r="F8">
        <v>1317294862</v>
      </c>
      <c r="G8">
        <v>9441662</v>
      </c>
      <c r="H8">
        <v>1804</v>
      </c>
      <c r="I8">
        <v>-305096842</v>
      </c>
    </row>
    <row r="9" spans="1:9" x14ac:dyDescent="0.25">
      <c r="A9" t="s">
        <v>40</v>
      </c>
      <c r="B9">
        <v>1393627043</v>
      </c>
      <c r="C9">
        <v>3240000</v>
      </c>
      <c r="D9">
        <v>1394</v>
      </c>
      <c r="E9">
        <v>2066134855</v>
      </c>
      <c r="F9">
        <v>2118592976</v>
      </c>
      <c r="G9">
        <v>-52458121</v>
      </c>
      <c r="H9">
        <v>1920</v>
      </c>
      <c r="I9">
        <v>-672507812</v>
      </c>
    </row>
    <row r="10" spans="1:9" x14ac:dyDescent="0.25">
      <c r="A10" t="s">
        <v>41</v>
      </c>
      <c r="B10">
        <v>2754601177</v>
      </c>
      <c r="C10">
        <v>3710000</v>
      </c>
      <c r="D10">
        <v>1718</v>
      </c>
      <c r="E10">
        <v>3008632916</v>
      </c>
      <c r="F10">
        <v>3003652743</v>
      </c>
      <c r="G10">
        <v>4980173</v>
      </c>
      <c r="H10">
        <v>3524</v>
      </c>
      <c r="I10">
        <v>-254031739</v>
      </c>
    </row>
    <row r="11" spans="1:9" x14ac:dyDescent="0.25">
      <c r="A11" t="s">
        <v>42</v>
      </c>
      <c r="B11">
        <v>1408558897</v>
      </c>
      <c r="C11">
        <v>6670000</v>
      </c>
      <c r="D11">
        <v>846</v>
      </c>
      <c r="E11">
        <v>1370410250</v>
      </c>
      <c r="F11">
        <v>1327011226</v>
      </c>
      <c r="G11">
        <v>43399024</v>
      </c>
      <c r="H11">
        <v>1698</v>
      </c>
      <c r="I11">
        <v>38148647</v>
      </c>
    </row>
    <row r="12" spans="1:9" x14ac:dyDescent="0.25">
      <c r="A12" t="s">
        <v>43</v>
      </c>
      <c r="B12">
        <v>1470804640</v>
      </c>
      <c r="C12">
        <v>2300000</v>
      </c>
      <c r="D12">
        <v>607</v>
      </c>
      <c r="E12">
        <v>1745961048</v>
      </c>
      <c r="F12">
        <v>1742855011</v>
      </c>
      <c r="G12">
        <v>3106037</v>
      </c>
      <c r="H12">
        <v>1236</v>
      </c>
      <c r="I12">
        <v>-275156408</v>
      </c>
    </row>
    <row r="13" spans="1:9" x14ac:dyDescent="0.25">
      <c r="A13" t="s">
        <v>44</v>
      </c>
      <c r="B13">
        <v>2431331064</v>
      </c>
      <c r="C13">
        <v>3900000</v>
      </c>
      <c r="D13">
        <v>1180</v>
      </c>
      <c r="E13">
        <v>2520481008</v>
      </c>
      <c r="F13">
        <v>2606835417</v>
      </c>
      <c r="G13">
        <v>-86354409</v>
      </c>
      <c r="H13">
        <v>2164</v>
      </c>
      <c r="I13">
        <v>-89149944</v>
      </c>
    </row>
    <row r="14" spans="1:9" x14ac:dyDescent="0.25">
      <c r="A14" t="s">
        <v>47</v>
      </c>
      <c r="B14">
        <v>20248113880</v>
      </c>
      <c r="C14">
        <v>93415000</v>
      </c>
      <c r="D14">
        <v>18765</v>
      </c>
      <c r="E14">
        <v>20215234785</v>
      </c>
      <c r="F14">
        <v>20198541413</v>
      </c>
      <c r="G14">
        <v>16693372</v>
      </c>
      <c r="H14">
        <v>20704</v>
      </c>
      <c r="I14">
        <v>32879095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45</v>
      </c>
      <c r="B2">
        <v>0</v>
      </c>
      <c r="C2">
        <v>0</v>
      </c>
      <c r="D2">
        <v>0</v>
      </c>
      <c r="E2">
        <v>1207395943</v>
      </c>
      <c r="F2">
        <v>1191218495</v>
      </c>
      <c r="G2">
        <v>16177448</v>
      </c>
      <c r="H2">
        <v>1098</v>
      </c>
      <c r="I2">
        <v>-1207395943</v>
      </c>
    </row>
    <row r="3" spans="1:9" x14ac:dyDescent="0.25">
      <c r="A3" t="s">
        <v>46</v>
      </c>
      <c r="B3">
        <v>0</v>
      </c>
      <c r="C3">
        <v>0</v>
      </c>
      <c r="D3">
        <v>0</v>
      </c>
      <c r="E3">
        <v>229907141</v>
      </c>
      <c r="F3">
        <v>228769445</v>
      </c>
      <c r="G3">
        <v>1137696</v>
      </c>
      <c r="H3">
        <v>94</v>
      </c>
      <c r="I3">
        <v>-229907141</v>
      </c>
    </row>
    <row r="4" spans="1:9" x14ac:dyDescent="0.25">
      <c r="A4" t="s">
        <v>47</v>
      </c>
      <c r="B4">
        <v>0</v>
      </c>
      <c r="C4">
        <v>0</v>
      </c>
      <c r="D4">
        <v>0</v>
      </c>
      <c r="E4">
        <v>1437303084</v>
      </c>
      <c r="F4">
        <v>1419987940</v>
      </c>
      <c r="G4">
        <v>17315144</v>
      </c>
      <c r="H4">
        <v>1192</v>
      </c>
      <c r="I4">
        <v>-1437303084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2026-03-23T02:15:32Z</dcterms:created>
  <dcterms:modified xsi:type="dcterms:W3CDTF">2026-03-23T02:36:53Z</dcterms:modified>
</cp:coreProperties>
</file>