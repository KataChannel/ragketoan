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7E82E242-27D2-4E54-88B1-92AC6CD57CC6}" xr6:coauthVersionLast="47" xr6:coauthVersionMax="47" xr10:uidLastSave="{00000000-0000-0000-0000-000000000000}"/>
  <bookViews>
    <workbookView xWindow="-120" yWindow="-120" windowWidth="20730" windowHeight="11160" firstSheet="7" activeTab="12" xr2:uid="{00000000-000D-0000-FFFF-FFFF00000000}"/>
  </bookViews>
  <sheets>
    <sheet name="Tháng 1" sheetId="1" r:id="rId1"/>
    <sheet name="Tháng 2" sheetId="2" r:id="rId2"/>
    <sheet name="Tháng 3" sheetId="3" r:id="rId3"/>
    <sheet name="Tháng 4" sheetId="4" r:id="rId4"/>
    <sheet name="Tháng 5" sheetId="5" r:id="rId5"/>
    <sheet name="Tháng 6" sheetId="6" r:id="rId6"/>
    <sheet name="Tháng 7" sheetId="7" r:id="rId7"/>
    <sheet name="Tháng 8" sheetId="8" r:id="rId8"/>
    <sheet name="Tháng 9" sheetId="9" r:id="rId9"/>
    <sheet name="Tháng 10" sheetId="10" r:id="rId10"/>
    <sheet name="Tháng 11" sheetId="11" r:id="rId11"/>
    <sheet name="Tháng 12" sheetId="12" r:id="rId12"/>
    <sheet name="Hoadon" sheetId="13" r:id="rId13"/>
    <sheet name="xnt12thang" sheetId="14" r:id="rId14"/>
  </sheets>
  <externalReferences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8" i="13" l="1"/>
  <c r="E37" i="13"/>
  <c r="E36" i="13"/>
  <c r="F35" i="13"/>
  <c r="F34" i="13"/>
  <c r="F32" i="13"/>
  <c r="F29" i="13"/>
  <c r="F25" i="13"/>
  <c r="F21" i="13"/>
  <c r="F17" i="13"/>
  <c r="F15" i="13"/>
  <c r="F12" i="13"/>
  <c r="F9" i="13"/>
  <c r="F7" i="13"/>
  <c r="F5" i="13"/>
  <c r="F3" i="13"/>
  <c r="E35" i="13"/>
</calcChain>
</file>

<file path=xl/sharedStrings.xml><?xml version="1.0" encoding="utf-8"?>
<sst xmlns="http://schemas.openxmlformats.org/spreadsheetml/2006/main" count="4053" uniqueCount="358">
  <si>
    <t>STT</t>
  </si>
  <si>
    <t>Mã Nhóm</t>
  </si>
  <si>
    <t>Tên Nhóm Sản Phẩm</t>
  </si>
  <si>
    <t>Tồn Đầu Kỳ (SL)</t>
  </si>
  <si>
    <t>Tồn Đầu Kỳ (VNĐ)</t>
  </si>
  <si>
    <t>Nhập (SL)</t>
  </si>
  <si>
    <t>Nhập (VNĐ)</t>
  </si>
  <si>
    <t>Xuất (SL)</t>
  </si>
  <si>
    <t>Xuất (VNĐ)</t>
  </si>
  <si>
    <t>Tồn Cuối (SL)</t>
  </si>
  <si>
    <t>Tồn Cuối (VNĐ)</t>
  </si>
  <si>
    <t>PC-DELL-LAT</t>
  </si>
  <si>
    <t>Laptop DELL Latitude Series</t>
  </si>
  <si>
    <t>PC-DELL-VOS</t>
  </si>
  <si>
    <t>Laptop DELL Vostro Series</t>
  </si>
  <si>
    <t>PC-DELL-INS</t>
  </si>
  <si>
    <t>Laptop DELL Inspiron Series</t>
  </si>
  <si>
    <t>PC-DELL-XPS</t>
  </si>
  <si>
    <t>Laptop DELL XPS Premium</t>
  </si>
  <si>
    <t>PC-ASU-VIVO</t>
  </si>
  <si>
    <t>Laptop ASUS VivoBook</t>
  </si>
  <si>
    <t>PC-ASU-ZEN</t>
  </si>
  <si>
    <t>Laptop ASUS ZenBook</t>
  </si>
  <si>
    <t>PC-ASU-EXP</t>
  </si>
  <si>
    <t>Laptop ASUS ExpertBook</t>
  </si>
  <si>
    <t>PC-ASU-ROG</t>
  </si>
  <si>
    <t>Laptop ASUS Gaming (ROG/TUF)</t>
  </si>
  <si>
    <t>PC-LEN-TP</t>
  </si>
  <si>
    <t>Laptop LENOVO ThinkPad</t>
  </si>
  <si>
    <t>PC-LEN-IP</t>
  </si>
  <si>
    <t>Laptop LENOVO IdeaPad</t>
  </si>
  <si>
    <t>PC-LEN-V</t>
  </si>
  <si>
    <t>Laptop LENOVO V-Series</t>
  </si>
  <si>
    <t>PC-MSI-MOD</t>
  </si>
  <si>
    <t>Laptop MSI Modern Series</t>
  </si>
  <si>
    <t>PC-MSI-GF</t>
  </si>
  <si>
    <t>Laptop MSI Gaming Series</t>
  </si>
  <si>
    <t>PC-HP-PAV</t>
  </si>
  <si>
    <t>Laptop HP Pavilion</t>
  </si>
  <si>
    <t>PC-HP-PRO</t>
  </si>
  <si>
    <t>Laptop HP ProBook</t>
  </si>
  <si>
    <t>PC-HP-EL</t>
  </si>
  <si>
    <t>Laptop HP EliteBook</t>
  </si>
  <si>
    <t>PC-ACER-ASP</t>
  </si>
  <si>
    <t>Laptop ACER Aspire</t>
  </si>
  <si>
    <t>PC-ACER-NIT</t>
  </si>
  <si>
    <t>Laptop ACER Nitro Gaming</t>
  </si>
  <si>
    <t>PC-MAC-AIR</t>
  </si>
  <si>
    <t>Apple MacBook Air</t>
  </si>
  <si>
    <t>PC-MAC-PRO</t>
  </si>
  <si>
    <t>Apple MacBook Pro</t>
  </si>
  <si>
    <t>PC-TAB-IPAD</t>
  </si>
  <si>
    <t>Apple iPad Tablet</t>
  </si>
  <si>
    <t>PC-TAB-SAM</t>
  </si>
  <si>
    <t>Samsung Galaxy Tab</t>
  </si>
  <si>
    <t>PC-SYS-I3</t>
  </si>
  <si>
    <t>PC Văn phòng Core i3</t>
  </si>
  <si>
    <t>PC-SYS-I5</t>
  </si>
  <si>
    <t>PC Văn phòng Core i5</t>
  </si>
  <si>
    <t>PC-SYS-I7</t>
  </si>
  <si>
    <t>PC Đồ họa Core i7</t>
  </si>
  <si>
    <t>PC-SYS-G</t>
  </si>
  <si>
    <t>PC Gaming (Entry/Mid)</t>
  </si>
  <si>
    <t>PC-WS-XEON</t>
  </si>
  <si>
    <t>Workstation / Server Xeon</t>
  </si>
  <si>
    <t>PC-AIO-DELL</t>
  </si>
  <si>
    <t>All-in-One DELL</t>
  </si>
  <si>
    <t>PC-AIO-HP</t>
  </si>
  <si>
    <t>All-in-One HP</t>
  </si>
  <si>
    <t>PC-MINI</t>
  </si>
  <si>
    <t>NUC / Mini PC</t>
  </si>
  <si>
    <t>LCD-SAM-19</t>
  </si>
  <si>
    <t>Màn hình Samsung 19-20 inch</t>
  </si>
  <si>
    <t>LCD-SAM-24</t>
  </si>
  <si>
    <t>Màn hình Samsung 24-27 inch</t>
  </si>
  <si>
    <t>LCD-DELL-22</t>
  </si>
  <si>
    <t>Màn hình DELL 22 inch</t>
  </si>
  <si>
    <t>LCD-DELL-24</t>
  </si>
  <si>
    <t>Màn hình DELL 24 inch</t>
  </si>
  <si>
    <t>LCD-DELL-27</t>
  </si>
  <si>
    <t>Màn hình DELL 27 inch</t>
  </si>
  <si>
    <t>LCD-ASU-24</t>
  </si>
  <si>
    <t>Màn hình ASUS 24 inch</t>
  </si>
  <si>
    <t>LCD-LG-24</t>
  </si>
  <si>
    <t>Màn hình LG 24-27 inch</t>
  </si>
  <si>
    <t>LCD-VIEW-24</t>
  </si>
  <si>
    <t>Màn hình ViewSonic</t>
  </si>
  <si>
    <t>LCD-GAM-144</t>
  </si>
  <si>
    <t>Màn hình Gaming (144Hz+)</t>
  </si>
  <si>
    <t>LCD-PRO-4K</t>
  </si>
  <si>
    <t>Màn hình Đồ họa 4K</t>
  </si>
  <si>
    <t>PRN-CAN-LBP</t>
  </si>
  <si>
    <t>Máy in Laser Canon (LBP)</t>
  </si>
  <si>
    <t>PRN-CAN-MF</t>
  </si>
  <si>
    <t>Máy in Đa năng Canon (MF)</t>
  </si>
  <si>
    <t>PRN-BRO-HL</t>
  </si>
  <si>
    <t>Máy in Laser Brother (HL)</t>
  </si>
  <si>
    <t>PRN-BRO-DCP</t>
  </si>
  <si>
    <t>Máy in Đa năng Brother (DCP)</t>
  </si>
  <si>
    <t>PRN-HP-LJ</t>
  </si>
  <si>
    <t>Máy in Laser HP (LaserJet)</t>
  </si>
  <si>
    <t>PRN-EPS-L</t>
  </si>
  <si>
    <t>Máy in Phun màu Epson (L-Series)</t>
  </si>
  <si>
    <t>SCN-CAN-CANO</t>
  </si>
  <si>
    <t>Máy quét Canon (LiDE)</t>
  </si>
  <si>
    <t>SCN-HP-SJ</t>
  </si>
  <si>
    <t>Máy quét HP (ScanJet)</t>
  </si>
  <si>
    <t>PRN-POS-80</t>
  </si>
  <si>
    <t>Máy in Hóa đơn (K80)</t>
  </si>
  <si>
    <t>SCN-BAR</t>
  </si>
  <si>
    <t>Đầu đọc mã vạch</t>
  </si>
  <si>
    <t>OFF-CHAIR-ST</t>
  </si>
  <si>
    <t>Ghế văn phòng (Xoay/Lưới)</t>
  </si>
  <si>
    <t>OFF-DESK-W</t>
  </si>
  <si>
    <t>Bàn làm việc gỗ</t>
  </si>
  <si>
    <t>OFF-CAB-I</t>
  </si>
  <si>
    <t>Tủ hồ sơ sắt/gỗ</t>
  </si>
  <si>
    <t>OFF-PROJ-P</t>
  </si>
  <si>
    <t>Máy chiếu (Projector)</t>
  </si>
  <si>
    <t>OFF-SCR-P</t>
  </si>
  <si>
    <t>Màn chiếu</t>
  </si>
  <si>
    <t>OFF-SHRED</t>
  </si>
  <si>
    <t>Máy hủy tài liệu</t>
  </si>
  <si>
    <t>OFF-BIND</t>
  </si>
  <si>
    <t>Máy đóng sách / Ép nhựa</t>
  </si>
  <si>
    <t>INK-CAN-12A</t>
  </si>
  <si>
    <t>Hộp mực Canon 12A / Cartridge 303</t>
  </si>
  <si>
    <t>INK-CAN-35A</t>
  </si>
  <si>
    <t>Hộp mực Canon 35A / 85A</t>
  </si>
  <si>
    <t>INK-CAN-051</t>
  </si>
  <si>
    <t>Hộp mực Canon 051 / 054</t>
  </si>
  <si>
    <t>INK-BRO-2385</t>
  </si>
  <si>
    <t>Hộp mực Brother TN-2385</t>
  </si>
  <si>
    <t>INK-BRO-B022</t>
  </si>
  <si>
    <t>Hộp mực Brother TN-B022 / B027</t>
  </si>
  <si>
    <t>INK-BRO-1010</t>
  </si>
  <si>
    <t>Hộp mực Brother TN-1010</t>
  </si>
  <si>
    <t>INK-HP-17A</t>
  </si>
  <si>
    <t>Hộp mực HP 17A / 107A</t>
  </si>
  <si>
    <t>INK-EPS-673</t>
  </si>
  <si>
    <t>Mực nước Epson 673 (L805)</t>
  </si>
  <si>
    <t>INK-EPS-003</t>
  </si>
  <si>
    <t>Mực nước Epson 003 (L3110)</t>
  </si>
  <si>
    <t>INK-CAN-71</t>
  </si>
  <si>
    <t>Mực nước Canon GI-71 (G1020)</t>
  </si>
  <si>
    <t>INK-RIB-80</t>
  </si>
  <si>
    <t>Ruy băng / Phim fax</t>
  </si>
  <si>
    <t>WST-DRUM</t>
  </si>
  <si>
    <t>Trống máy in (Drum)</t>
  </si>
  <si>
    <t>WST-ROLL</t>
  </si>
  <si>
    <t>Trục sấy / Trục từ / Rulo</t>
  </si>
  <si>
    <t>WST-CHIP</t>
  </si>
  <si>
    <t>Chip mực / Cò sấy</t>
  </si>
  <si>
    <t>WST-PAPER-A4</t>
  </si>
  <si>
    <t>Giấy in A4 (Double A/Paper One)</t>
  </si>
  <si>
    <t>CPU-INT-I3</t>
  </si>
  <si>
    <t>CPU Intel Core i3</t>
  </si>
  <si>
    <t>CPU-INT-I5</t>
  </si>
  <si>
    <t>CPU Intel Core i5</t>
  </si>
  <si>
    <t>CPU-INT-I7</t>
  </si>
  <si>
    <t>CPU Intel Core i7</t>
  </si>
  <si>
    <t>CPU-AMD-RY</t>
  </si>
  <si>
    <t>CPU AMD Ryzen</t>
  </si>
  <si>
    <t>MB-H610</t>
  </si>
  <si>
    <t>Mainboard H610</t>
  </si>
  <si>
    <t>MB-B760</t>
  </si>
  <si>
    <t>Mainboard B760 / B660</t>
  </si>
  <si>
    <t>MB-Z790</t>
  </si>
  <si>
    <t>Mainboard Z690 / Z790</t>
  </si>
  <si>
    <t>RAM-8G-D4</t>
  </si>
  <si>
    <t>RAM 8GB DDR4</t>
  </si>
  <si>
    <t>RAM-16G-D4</t>
  </si>
  <si>
    <t>RAM 16GB DDR4</t>
  </si>
  <si>
    <t>RAM-D5</t>
  </si>
  <si>
    <t>RAM DDR5 (8GB/16GB/32GB)</t>
  </si>
  <si>
    <t>VGA-GTX-16</t>
  </si>
  <si>
    <t>VGA GTX 1650 / 1660</t>
  </si>
  <si>
    <t>VGA-RTX-30</t>
  </si>
  <si>
    <t>VGA RTX 3050 / 3060</t>
  </si>
  <si>
    <t>VGA-RTX-40</t>
  </si>
  <si>
    <t>VGA RTX 4060 / 4070 / 4080</t>
  </si>
  <si>
    <t>UPS-SAN-500</t>
  </si>
  <si>
    <t>UPS Santak 500VA / 1000VA</t>
  </si>
  <si>
    <t>UPS-APC-PRO</t>
  </si>
  <si>
    <t>UPS APC / Maruson High-end</t>
  </si>
  <si>
    <t>SSD-128-256</t>
  </si>
  <si>
    <t>SSD 120GB / 128GB / 240GB / 256GB</t>
  </si>
  <si>
    <t>SSD-480-512</t>
  </si>
  <si>
    <t>SSD 480GB / 500GB / 512GB</t>
  </si>
  <si>
    <t>SSD-1T-2T</t>
  </si>
  <si>
    <t>SSD 1TB / 2TB</t>
  </si>
  <si>
    <t>HDD-1TB</t>
  </si>
  <si>
    <t>HDD 1TB Desktop</t>
  </si>
  <si>
    <t>HDD-2TB-4TB</t>
  </si>
  <si>
    <t>HDD 2TB / 4TB / 8TB (Video/Server)</t>
  </si>
  <si>
    <t>HDD-EXT</t>
  </si>
  <si>
    <t>HDD/SSD Di động</t>
  </si>
  <si>
    <t>USB-32G</t>
  </si>
  <si>
    <t>USB 16GB / 32GB</t>
  </si>
  <si>
    <t>USB-64-128</t>
  </si>
  <si>
    <t>USB 64GB / 128GB</t>
  </si>
  <si>
    <t>SD-CARD</t>
  </si>
  <si>
    <t>Thẻ nhớ MicroSD / SD</t>
  </si>
  <si>
    <t>CASE-OFF</t>
  </si>
  <si>
    <t>Vỏ máy tính văn phòng</t>
  </si>
  <si>
    <t>CASE-GAM</t>
  </si>
  <si>
    <t>Vỏ máy tính Gaming / LED</t>
  </si>
  <si>
    <t>PSU-OFF</t>
  </si>
  <si>
    <t>Nguồn văn phòng (350W-450W)</t>
  </si>
  <si>
    <t>PSU-GAM</t>
  </si>
  <si>
    <t>Nguồn công suất thực (500W-1000W)</t>
  </si>
  <si>
    <t>COOL-FAN</t>
  </si>
  <si>
    <t>Quạt tản nhiệt / Tản khí</t>
  </si>
  <si>
    <t>COOL-AIO</t>
  </si>
  <si>
    <t>Tản nhiệt nước AIO</t>
  </si>
  <si>
    <t>MS-LOGI</t>
  </si>
  <si>
    <t>Chuột Logitech</t>
  </si>
  <si>
    <t>MS-GAM</t>
  </si>
  <si>
    <t>Chuột Gaming</t>
  </si>
  <si>
    <t>MS-RAPO</t>
  </si>
  <si>
    <t>Chuột Rapoo / Mitsumi</t>
  </si>
  <si>
    <t>KB-OFF</t>
  </si>
  <si>
    <t>Bàn phím văn phòng</t>
  </si>
  <si>
    <t>KB-MECH</t>
  </si>
  <si>
    <t>Bàn phím cơ / Gaming</t>
  </si>
  <si>
    <t>HDSET-OFF</t>
  </si>
  <si>
    <t>Tai nghe văn phòng</t>
  </si>
  <si>
    <t>SPK-2.0</t>
  </si>
  <si>
    <t>Loa máy tính 2.0 / 2.1</t>
  </si>
  <si>
    <t>HUB-USB</t>
  </si>
  <si>
    <t>Bộ chia cổng USB / Hub Type-C</t>
  </si>
  <si>
    <t>CAM-WC</t>
  </si>
  <si>
    <t>Webcam dạy học / họp</t>
  </si>
  <si>
    <t>NET-WF-HOME</t>
  </si>
  <si>
    <t>Router WiFi gia đình (N/AC)</t>
  </si>
  <si>
    <t>NET-WF-DUAL</t>
  </si>
  <si>
    <t>Router WiFi Băng tần kép (AC/AX)</t>
  </si>
  <si>
    <t>NET-WF-MESH</t>
  </si>
  <si>
    <t>Hệ thống WiFi Mesh</t>
  </si>
  <si>
    <t>NET-WF-PRO</t>
  </si>
  <si>
    <t>WiFi Chuyên dụng (Aruba/Unifi)</t>
  </si>
  <si>
    <t>NET-SW-OFF</t>
  </si>
  <si>
    <t>Switch văn phòng (5/8/16 cổng)</t>
  </si>
  <si>
    <t>NET-SW-RACK</t>
  </si>
  <si>
    <t>Switch Rackmount (24/48 cổng)</t>
  </si>
  <si>
    <t>NET-SW-POE</t>
  </si>
  <si>
    <t>Switch cấp nguồn PoE (Camera)</t>
  </si>
  <si>
    <t>NET-CARD</t>
  </si>
  <si>
    <t>Card mạng / USB WiFi</t>
  </si>
  <si>
    <t>NET-4G-W</t>
  </si>
  <si>
    <t>Bộ phát WiFi 4G/LTE</t>
  </si>
  <si>
    <t>NET-CAB-NET</t>
  </si>
  <si>
    <t>Tủ mạng / Tủ Rack</t>
  </si>
  <si>
    <t>CAM-WIFI-2M</t>
  </si>
  <si>
    <t>Camera WiFi 2MP (Cố định/Xoay)</t>
  </si>
  <si>
    <t>CAM-WIFI-4M</t>
  </si>
  <si>
    <t>Camera WiFi 4MP / Outdoor</t>
  </si>
  <si>
    <t>CAM-IP-DOME</t>
  </si>
  <si>
    <t>Camera IP Dome (Trong nhà)</t>
  </si>
  <si>
    <t>CAM-IP-BUL</t>
  </si>
  <si>
    <t>Camera IP Thân (Ngoài trời)</t>
  </si>
  <si>
    <t>CAM-DVR-4C</t>
  </si>
  <si>
    <t>Đầu ghi hình 4 kênh</t>
  </si>
  <si>
    <t>CAM-DVR-8C</t>
  </si>
  <si>
    <t>Đầu ghi hình 8 kênh</t>
  </si>
  <si>
    <t>CAM-DVR-16</t>
  </si>
  <si>
    <t>Đầu ghi hình 16/32 kênh</t>
  </si>
  <si>
    <t>CAM-ACC-BS</t>
  </si>
  <si>
    <t>Chân đế / Hộp kỹ thuật Camera</t>
  </si>
  <si>
    <t>CAB-LAN-C5</t>
  </si>
  <si>
    <t>Dây cáp mạng Cat5e</t>
  </si>
  <si>
    <t>CAB-LAN-C6</t>
  </si>
  <si>
    <t>Dây cáp mạng Cat6</t>
  </si>
  <si>
    <t>CAB-HDMI-3</t>
  </si>
  <si>
    <t>Cáp HDMI (1.5m - 5m)</t>
  </si>
  <si>
    <t>CAB-HDMI-15</t>
  </si>
  <si>
    <t>Cáp HDMI dài (10m - 30m)</t>
  </si>
  <si>
    <t>CAB-VGA-DP</t>
  </si>
  <si>
    <t>Cáp VGA / DisplayPort / DVI</t>
  </si>
  <si>
    <t>VT-RJ45</t>
  </si>
  <si>
    <t>Đầu bấm mạng (Hạt mạng)</t>
  </si>
  <si>
    <t>VT-RJ11</t>
  </si>
  <si>
    <t>Hạt điện thoại / Mặt wallplate</t>
  </si>
  <si>
    <t>RADIO-W</t>
  </si>
  <si>
    <t>Bộ đàm (Walkie Talkie)</t>
  </si>
  <si>
    <t>TEL-PHONE</t>
  </si>
  <si>
    <t>Điện thoại bàn / IP Phone</t>
  </si>
  <si>
    <t>VT-TOOLS</t>
  </si>
  <si>
    <t>Công cụ thi công (Kềm, Máy test)</t>
  </si>
  <si>
    <t>SW-WIN-PRO</t>
  </si>
  <si>
    <t>Bản quyền Windows</t>
  </si>
  <si>
    <t>SW-OFF-365</t>
  </si>
  <si>
    <t>Bản quyền Office 365 / 2021</t>
  </si>
  <si>
    <t>SW-AV-KAS</t>
  </si>
  <si>
    <t>Phần mềm Diệt Virus</t>
  </si>
  <si>
    <t>SRV-INSTALL</t>
  </si>
  <si>
    <t>Phí lắp đặt / Cài đặt</t>
  </si>
  <si>
    <t>SRV-MAINT</t>
  </si>
  <si>
    <t>Phí bảo trì / Sửa chữa</t>
  </si>
  <si>
    <t>OTH-GEN</t>
  </si>
  <si>
    <t>Hàng hóa khác không phân loại</t>
  </si>
  <si>
    <t>Tổng cộng</t>
  </si>
  <si>
    <t>Tháng</t>
  </si>
  <si>
    <t>Loại HD</t>
  </si>
  <si>
    <t>Tình trạng (Mã)</t>
  </si>
  <si>
    <t>Số lượng</t>
  </si>
  <si>
    <t>Tổng giá tiền (VNĐ)</t>
  </si>
  <si>
    <t>01</t>
  </si>
  <si>
    <t>Bán ra</t>
  </si>
  <si>
    <t>1</t>
  </si>
  <si>
    <t>Mua vào</t>
  </si>
  <si>
    <t>02</t>
  </si>
  <si>
    <t>03</t>
  </si>
  <si>
    <t>04</t>
  </si>
  <si>
    <t>5</t>
  </si>
  <si>
    <t>05</t>
  </si>
  <si>
    <t>06</t>
  </si>
  <si>
    <t>07</t>
  </si>
  <si>
    <t>2</t>
  </si>
  <si>
    <t>4</t>
  </si>
  <si>
    <t>08</t>
  </si>
  <si>
    <t>09</t>
  </si>
  <si>
    <t>10</t>
  </si>
  <si>
    <t>11</t>
  </si>
  <si>
    <t>12</t>
  </si>
  <si>
    <t>Tên Nhóm</t>
  </si>
  <si>
    <t>Tổng Tồn Đầu</t>
  </si>
  <si>
    <t>Tổng Nhập</t>
  </si>
  <si>
    <t>Tổng Xuất</t>
  </si>
  <si>
    <t>Tổng Tồn Cuối</t>
  </si>
  <si>
    <t>Tháng 1 Nhập</t>
  </si>
  <si>
    <t>Tháng 1 Xuất</t>
  </si>
  <si>
    <t>Tháng 2 Nhập</t>
  </si>
  <si>
    <t>Tháng 2 Xuất</t>
  </si>
  <si>
    <t>Tháng 3 Nhập</t>
  </si>
  <si>
    <t>Tháng 3 Xuất</t>
  </si>
  <si>
    <t>Tháng 4 Nhập</t>
  </si>
  <si>
    <t>Tháng 4 Xuất</t>
  </si>
  <si>
    <t>Tháng 5 Nhập</t>
  </si>
  <si>
    <t>Tháng 5 Xuất</t>
  </si>
  <si>
    <t>Tháng 6 Nhập</t>
  </si>
  <si>
    <t>Tháng 6 Xuất</t>
  </si>
  <si>
    <t>Tháng 7 Nhập</t>
  </si>
  <si>
    <t>Tháng 7 Xuất</t>
  </si>
  <si>
    <t>Tháng 8 Nhập</t>
  </si>
  <si>
    <t>Tháng 8 Xuất</t>
  </si>
  <si>
    <t>Tháng 9 Nhập</t>
  </si>
  <si>
    <t>Tháng 9 Xuất</t>
  </si>
  <si>
    <t>Tháng 10 Nhập</t>
  </si>
  <si>
    <t>Tháng 10 Xuất</t>
  </si>
  <si>
    <t>Tháng 11 Nhập</t>
  </si>
  <si>
    <t>Tháng 11 Xuất</t>
  </si>
  <si>
    <t>Tháng 12 Nhập</t>
  </si>
  <si>
    <t>Tháng 12 Xuất</t>
  </si>
  <si>
    <t>SỐ KIÊT</t>
  </si>
  <si>
    <t>SỐ MẸ</t>
  </si>
  <si>
    <t>CK KIET-ME</t>
  </si>
  <si>
    <t>NHẬP THEO HĐ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</si>
</sst>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1" xfId="0" applyBorder="1"/>
    <xf numFmtId="164" fontId="0" fillId="0" borderId="1" xfId="1" applyNumberFormat="1" applyFont="1" applyBorder="1"/>
    <xf numFmtId="164" fontId="0" fillId="0" borderId="0" xfId="1" applyNumberFormat="1" applyFont="1"/>
    <xf numFmtId="0" fontId="2" fillId="0" borderId="1" xfId="0" applyFont="1" applyBorder="1"/>
    <xf numFmtId="164" fontId="2" fillId="0" borderId="1" xfId="1" applyNumberFormat="1" applyFont="1" applyBorder="1"/>
    <xf numFmtId="0" fontId="2" fillId="0" borderId="0" xfId="0" applyFont="1"/>
    <xf numFmtId="164" fontId="2" fillId="0" borderId="0" xfId="0" applyNumberFormat="1" applyFont="1"/>
    <xf numFmtId="0" fontId="2" fillId="0" borderId="0" xfId="0" applyFont="1" applyFill="1" applyBorder="1"/>
    <xf numFmtId="0" fontId="3" fillId="0" borderId="0" xfId="0" applyFont="1" applyFill="1" applyBorder="1"/>
    <xf numFmtId="0" fontId="3" fillId="0" borderId="0" xfId="0" applyFont="1"/>
    <xf numFmtId="164" fontId="3" fillId="0" borderId="0" xfId="1" applyNumberFormat="1" applyFont="1"/>
    <xf numFmtId="164" fontId="2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4.xml"/><Relationship Id="rId26" Type="http://schemas.openxmlformats.org/officeDocument/2006/relationships/externalLink" Target="externalLinks/externalLink12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7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5" Type="http://schemas.openxmlformats.org/officeDocument/2006/relationships/externalLink" Target="externalLinks/externalLink1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externalLink" Target="externalLinks/externalLink6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0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externalLink" Target="externalLinks/externalLink9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8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N&#258;M%202025%20HV\MV%202025%20HV\DANH%20S&#193;CH%20H&#211;A%20&#272;&#416;NMV%20T01%20HV.xlsx" TargetMode="External"/><Relationship Id="rId1" Type="http://schemas.openxmlformats.org/officeDocument/2006/relationships/externalLinkPath" Target="N&#258;M%202025%20HV/MV%202025%20HV/DANH%20S&#193;CH%20H&#211;A%20&#272;&#416;NMV%20T01%20HV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MV%202025%20HV\DANH%20S&#193;CH%20H&#211;A%20&#272;&#416;NMV%20T02%20HV.xlsx" TargetMode="External"/><Relationship Id="rId1" Type="http://schemas.openxmlformats.org/officeDocument/2006/relationships/externalLinkPath" Target="MV%202025%20HV/DANH%20S&#193;CH%20H&#211;A%20&#272;&#416;NMV%20T02%20HV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MV%202025%20HV\DANH%20S&#193;CH%20H&#211;A%20&#272;&#416;NMV%20T03%20HV.xlsx" TargetMode="External"/><Relationship Id="rId1" Type="http://schemas.openxmlformats.org/officeDocument/2006/relationships/externalLinkPath" Target="MV%202025%20HV/DANH%20S&#193;CH%20H&#211;A%20&#272;&#416;NMV%20T03%20HV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MV%202025%20HV\DANH%20S&#193;CH%20H&#211;A%20&#272;&#416;NMV%20T04%20HV.xlsx" TargetMode="External"/><Relationship Id="rId1" Type="http://schemas.openxmlformats.org/officeDocument/2006/relationships/externalLinkPath" Target="MV%202025%20HV/DANH%20S&#193;CH%20H&#211;A%20&#272;&#416;NMV%20T04%20HV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MV%202025%20HV\DANH%20S&#193;CH%20H&#211;A%20&#272;&#416;NMV%20T05%20HV.xlsx" TargetMode="External"/><Relationship Id="rId1" Type="http://schemas.openxmlformats.org/officeDocument/2006/relationships/externalLinkPath" Target="MV%202025%20HV/DANH%20S&#193;CH%20H&#211;A%20&#272;&#416;NMV%20T05%20HV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MV%202025%20HV\DANH%20S&#193;CH%20H&#211;A%20&#272;&#416;NMV%20T06%20HV.xlsx" TargetMode="External"/><Relationship Id="rId1" Type="http://schemas.openxmlformats.org/officeDocument/2006/relationships/externalLinkPath" Target="MV%202025%20HV/DANH%20S&#193;CH%20H&#211;A%20&#272;&#416;NMV%20T06%20HV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MV%202025%20HV\DANH%20S&#193;CH%20H&#211;A%20&#272;&#416;NMV%20T07%20HV.xlsx" TargetMode="External"/><Relationship Id="rId1" Type="http://schemas.openxmlformats.org/officeDocument/2006/relationships/externalLinkPath" Target="MV%202025%20HV/DANH%20S&#193;CH%20H&#211;A%20&#272;&#416;NMV%20T07%20HV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MV%202025%20HV\DANH%20S&#193;CH%20H&#211;A%20&#272;&#416;NMV%20T08%20HV.xlsx" TargetMode="External"/><Relationship Id="rId1" Type="http://schemas.openxmlformats.org/officeDocument/2006/relationships/externalLinkPath" Target="MV%202025%20HV/DANH%20S&#193;CH%20H&#211;A%20&#272;&#416;NMV%20T08%20HV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MV%202025%20HV\DANH%20S&#193;CH%20H&#211;A%20&#272;&#416;NMV%20T9%20HV.xlsx" TargetMode="External"/><Relationship Id="rId1" Type="http://schemas.openxmlformats.org/officeDocument/2006/relationships/externalLinkPath" Target="MV%202025%20HV/DANH%20S&#193;CH%20H&#211;A%20&#272;&#416;NMV%20T9%20HV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MV%202025%20HV\DANH%20S&#193;CH%20H&#211;A%20&#272;&#416;N%20MV%20T10%202025%20HV.xlsx" TargetMode="External"/><Relationship Id="rId1" Type="http://schemas.openxmlformats.org/officeDocument/2006/relationships/externalLinkPath" Target="MV%202025%20HV/DANH%20S&#193;CH%20H&#211;A%20&#272;&#416;N%20MV%20T10%202025%20HV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MV%202025%20HV\DANH%20S&#193;CH%20H&#211;A%20&#272;&#416;NMV%20T11%202025%20HV.xlsx" TargetMode="External"/><Relationship Id="rId1" Type="http://schemas.openxmlformats.org/officeDocument/2006/relationships/externalLinkPath" Target="MV%202025%20HV/DANH%20S&#193;CH%20H&#211;A%20&#272;&#416;NMV%20T11%202025%20HV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MV%202025%20HV\DANH%20S&#193;CH%20H&#211;A%20&#272;&#416;N%20MV%20T12%202025%20HV.xlsx" TargetMode="External"/><Relationship Id="rId1" Type="http://schemas.openxmlformats.org/officeDocument/2006/relationships/externalLinkPath" Target="MV%202025%20HV/DANH%20S&#193;CH%20H&#211;A%20&#272;&#416;N%20MV%20T12%202025%20H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 1"/>
    </sheetNames>
    <sheetDataSet>
      <sheetData sheetId="0">
        <row r="37">
          <cell r="K37">
            <v>492283420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 1"/>
    </sheetNames>
    <sheetDataSet>
      <sheetData sheetId="0">
        <row r="70">
          <cell r="K70">
            <v>1440907757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 1"/>
    </sheetNames>
    <sheetDataSet>
      <sheetData sheetId="0">
        <row r="83">
          <cell r="K83">
            <v>1279706544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 1"/>
    </sheetNames>
    <sheetDataSet>
      <sheetData sheetId="0">
        <row r="56">
          <cell r="K56">
            <v>914601636</v>
          </cell>
        </row>
      </sheetData>
      <sheetData sheetId="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 1"/>
    </sheetNames>
    <sheetDataSet>
      <sheetData sheetId="0">
        <row r="60">
          <cell r="K60">
            <v>1293439783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 1"/>
    </sheetNames>
    <sheetDataSet>
      <sheetData sheetId="0">
        <row r="88">
          <cell r="K88">
            <v>2241110859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 1"/>
    </sheetNames>
    <sheetDataSet>
      <sheetData sheetId="0">
        <row r="77">
          <cell r="K77">
            <v>1254323245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 1"/>
    </sheetNames>
    <sheetDataSet>
      <sheetData sheetId="0">
        <row r="91">
          <cell r="K91">
            <v>1947179297</v>
          </cell>
        </row>
      </sheetData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 1"/>
    </sheetNames>
    <sheetDataSet>
      <sheetData sheetId="0">
        <row r="68">
          <cell r="K68">
            <v>2549891919</v>
          </cell>
        </row>
      </sheetData>
      <sheetData sheetId="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 1"/>
    </sheetNames>
    <sheetDataSet>
      <sheetData sheetId="0">
        <row r="66">
          <cell r="K66">
            <v>1669536704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 1"/>
    </sheetNames>
    <sheetDataSet>
      <sheetData sheetId="0">
        <row r="69">
          <cell r="K69">
            <v>1580603075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 1"/>
    </sheetNames>
    <sheetDataSet>
      <sheetData sheetId="0">
        <row r="69">
          <cell r="K69">
            <v>2487004799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7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t="s">
        <v>11</v>
      </c>
      <c r="C2" t="s">
        <v>12</v>
      </c>
      <c r="D2">
        <v>2</v>
      </c>
      <c r="E2">
        <v>24589927.772727281</v>
      </c>
      <c r="F2">
        <v>0</v>
      </c>
      <c r="G2">
        <v>0</v>
      </c>
      <c r="H2">
        <v>0</v>
      </c>
      <c r="I2">
        <v>0</v>
      </c>
      <c r="J2">
        <v>2</v>
      </c>
      <c r="K2">
        <v>24589927.772727281</v>
      </c>
    </row>
    <row r="3" spans="1:11" x14ac:dyDescent="0.25">
      <c r="A3">
        <v>2</v>
      </c>
      <c r="B3" t="s">
        <v>13</v>
      </c>
      <c r="C3" t="s">
        <v>14</v>
      </c>
      <c r="D3">
        <v>14</v>
      </c>
      <c r="E3">
        <v>107138809</v>
      </c>
      <c r="F3">
        <v>0</v>
      </c>
      <c r="G3">
        <v>0</v>
      </c>
      <c r="H3">
        <v>0</v>
      </c>
      <c r="I3">
        <v>0</v>
      </c>
      <c r="J3">
        <v>14</v>
      </c>
      <c r="K3">
        <v>107138809</v>
      </c>
    </row>
    <row r="4" spans="1:11" x14ac:dyDescent="0.25">
      <c r="A4">
        <v>3</v>
      </c>
      <c r="B4" t="s">
        <v>15</v>
      </c>
      <c r="C4" t="s">
        <v>16</v>
      </c>
      <c r="D4">
        <v>184</v>
      </c>
      <c r="E4">
        <v>1739236505.201292</v>
      </c>
      <c r="F4">
        <v>15</v>
      </c>
      <c r="G4">
        <v>208818183</v>
      </c>
      <c r="H4">
        <v>1</v>
      </c>
      <c r="I4">
        <v>13636364</v>
      </c>
      <c r="J4">
        <v>198</v>
      </c>
      <c r="K4">
        <v>1934418324.201292</v>
      </c>
    </row>
    <row r="5" spans="1:11" x14ac:dyDescent="0.25">
      <c r="A5">
        <v>4</v>
      </c>
      <c r="B5" t="s">
        <v>17</v>
      </c>
      <c r="C5" t="s">
        <v>18</v>
      </c>
      <c r="D5">
        <v>1</v>
      </c>
      <c r="E5">
        <v>29283636</v>
      </c>
      <c r="F5">
        <v>0</v>
      </c>
      <c r="G5">
        <v>0</v>
      </c>
      <c r="H5">
        <v>0</v>
      </c>
      <c r="I5">
        <v>0</v>
      </c>
      <c r="J5">
        <v>1</v>
      </c>
      <c r="K5">
        <v>29283636</v>
      </c>
    </row>
    <row r="6" spans="1:11" x14ac:dyDescent="0.25">
      <c r="A6">
        <v>5</v>
      </c>
      <c r="B6" t="s">
        <v>19</v>
      </c>
      <c r="C6" t="s">
        <v>20</v>
      </c>
      <c r="D6">
        <v>2</v>
      </c>
      <c r="E6">
        <v>42793621.178571403</v>
      </c>
      <c r="F6">
        <v>0</v>
      </c>
      <c r="G6">
        <v>0</v>
      </c>
      <c r="H6">
        <v>0</v>
      </c>
      <c r="I6">
        <v>0</v>
      </c>
      <c r="J6">
        <v>2</v>
      </c>
      <c r="K6">
        <v>42793621.178571403</v>
      </c>
    </row>
    <row r="7" spans="1:11" x14ac:dyDescent="0.25">
      <c r="A7">
        <v>6</v>
      </c>
      <c r="B7" t="s">
        <v>21</v>
      </c>
      <c r="C7" t="s">
        <v>22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5">
      <c r="A8">
        <v>7</v>
      </c>
      <c r="B8" t="s">
        <v>23</v>
      </c>
      <c r="C8" t="s">
        <v>24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5">
      <c r="A9">
        <v>8</v>
      </c>
      <c r="B9" t="s">
        <v>25</v>
      </c>
      <c r="C9" t="s">
        <v>26</v>
      </c>
      <c r="D9">
        <v>10</v>
      </c>
      <c r="E9">
        <v>40120814.450000003</v>
      </c>
      <c r="F9">
        <v>2</v>
      </c>
      <c r="G9">
        <v>6807273</v>
      </c>
      <c r="H9">
        <v>0</v>
      </c>
      <c r="I9">
        <v>0</v>
      </c>
      <c r="J9">
        <v>12</v>
      </c>
      <c r="K9">
        <v>46928087.450000003</v>
      </c>
    </row>
    <row r="10" spans="1:11" x14ac:dyDescent="0.25">
      <c r="A10">
        <v>9</v>
      </c>
      <c r="B10" t="s">
        <v>27</v>
      </c>
      <c r="C10" t="s">
        <v>28</v>
      </c>
      <c r="D10">
        <v>398</v>
      </c>
      <c r="E10">
        <v>1426050948.5951941</v>
      </c>
      <c r="F10">
        <v>0</v>
      </c>
      <c r="G10">
        <v>0</v>
      </c>
      <c r="H10">
        <v>7</v>
      </c>
      <c r="I10">
        <v>44954545</v>
      </c>
      <c r="J10">
        <v>391</v>
      </c>
      <c r="K10">
        <v>1381096403.5951941</v>
      </c>
    </row>
    <row r="11" spans="1:11" x14ac:dyDescent="0.25">
      <c r="A11">
        <v>10</v>
      </c>
      <c r="B11" t="s">
        <v>29</v>
      </c>
      <c r="C11" t="s">
        <v>30</v>
      </c>
      <c r="D11">
        <v>3</v>
      </c>
      <c r="E11">
        <v>18961647.25</v>
      </c>
      <c r="F11">
        <v>0</v>
      </c>
      <c r="G11">
        <v>0</v>
      </c>
      <c r="H11">
        <v>0</v>
      </c>
      <c r="I11">
        <v>0</v>
      </c>
      <c r="J11">
        <v>3</v>
      </c>
      <c r="K11">
        <v>18961647.25</v>
      </c>
    </row>
    <row r="12" spans="1:11" x14ac:dyDescent="0.25">
      <c r="A12">
        <v>11</v>
      </c>
      <c r="B12" t="s">
        <v>31</v>
      </c>
      <c r="C12" t="s">
        <v>32</v>
      </c>
      <c r="D12">
        <v>409</v>
      </c>
      <c r="E12">
        <v>4762154521.2191219</v>
      </c>
      <c r="F12">
        <v>0</v>
      </c>
      <c r="G12">
        <v>0</v>
      </c>
      <c r="H12">
        <v>5</v>
      </c>
      <c r="I12">
        <v>70663636</v>
      </c>
      <c r="J12">
        <v>404</v>
      </c>
      <c r="K12">
        <v>4691490885.2191219</v>
      </c>
    </row>
    <row r="13" spans="1:11" x14ac:dyDescent="0.25">
      <c r="A13">
        <v>12</v>
      </c>
      <c r="B13" t="s">
        <v>33</v>
      </c>
      <c r="C13" t="s">
        <v>34</v>
      </c>
      <c r="D13">
        <v>46</v>
      </c>
      <c r="E13">
        <v>797736052.76923084</v>
      </c>
      <c r="F13">
        <v>0</v>
      </c>
      <c r="G13">
        <v>0</v>
      </c>
      <c r="H13">
        <v>0</v>
      </c>
      <c r="I13">
        <v>0</v>
      </c>
      <c r="J13">
        <v>46</v>
      </c>
      <c r="K13">
        <v>797736052.76923084</v>
      </c>
    </row>
    <row r="14" spans="1:11" x14ac:dyDescent="0.25">
      <c r="A14">
        <v>13</v>
      </c>
      <c r="B14" t="s">
        <v>35</v>
      </c>
      <c r="C14" t="s">
        <v>36</v>
      </c>
      <c r="D14">
        <v>21</v>
      </c>
      <c r="E14">
        <v>371611678.28947371</v>
      </c>
      <c r="F14">
        <v>0</v>
      </c>
      <c r="G14">
        <v>0</v>
      </c>
      <c r="H14">
        <v>0</v>
      </c>
      <c r="I14">
        <v>0</v>
      </c>
      <c r="J14">
        <v>21</v>
      </c>
      <c r="K14">
        <v>371611678.28947371</v>
      </c>
    </row>
    <row r="15" spans="1:11" x14ac:dyDescent="0.25">
      <c r="A15">
        <v>14</v>
      </c>
      <c r="B15" t="s">
        <v>37</v>
      </c>
      <c r="C15" t="s">
        <v>38</v>
      </c>
      <c r="D15">
        <v>29</v>
      </c>
      <c r="E15">
        <v>365728677.93430662</v>
      </c>
      <c r="F15">
        <v>0</v>
      </c>
      <c r="G15">
        <v>0</v>
      </c>
      <c r="H15">
        <v>1</v>
      </c>
      <c r="I15">
        <v>13636364</v>
      </c>
      <c r="J15">
        <v>28</v>
      </c>
      <c r="K15">
        <v>352092313.93430662</v>
      </c>
    </row>
    <row r="16" spans="1:11" x14ac:dyDescent="0.25">
      <c r="A16">
        <v>15</v>
      </c>
      <c r="B16" t="s">
        <v>39</v>
      </c>
      <c r="C16" t="s">
        <v>40</v>
      </c>
      <c r="D16">
        <v>2</v>
      </c>
      <c r="E16">
        <v>78375895.104477614</v>
      </c>
      <c r="F16">
        <v>0</v>
      </c>
      <c r="G16">
        <v>0</v>
      </c>
      <c r="H16">
        <v>0</v>
      </c>
      <c r="I16">
        <v>0</v>
      </c>
      <c r="J16">
        <v>2</v>
      </c>
      <c r="K16">
        <v>78375895.104477614</v>
      </c>
    </row>
    <row r="17" spans="1:11" x14ac:dyDescent="0.25">
      <c r="A17">
        <v>16</v>
      </c>
      <c r="B17" t="s">
        <v>41</v>
      </c>
      <c r="C17" t="s">
        <v>42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>
        <v>17</v>
      </c>
      <c r="B18" t="s">
        <v>43</v>
      </c>
      <c r="C18" t="s">
        <v>44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>
        <v>18</v>
      </c>
      <c r="B19" t="s">
        <v>45</v>
      </c>
      <c r="C19" t="s">
        <v>46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25">
      <c r="A20">
        <v>19</v>
      </c>
      <c r="B20" t="s">
        <v>47</v>
      </c>
      <c r="C20" t="s">
        <v>48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5">
      <c r="A21">
        <v>20</v>
      </c>
      <c r="B21" t="s">
        <v>49</v>
      </c>
      <c r="C21" t="s">
        <v>50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25">
      <c r="A22">
        <v>21</v>
      </c>
      <c r="B22" t="s">
        <v>51</v>
      </c>
      <c r="C22" t="s">
        <v>52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25">
      <c r="A23">
        <v>22</v>
      </c>
      <c r="B23" t="s">
        <v>53</v>
      </c>
      <c r="C23" t="s">
        <v>54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25">
      <c r="A24">
        <v>23</v>
      </c>
      <c r="B24" t="s">
        <v>55</v>
      </c>
      <c r="C24" t="s">
        <v>56</v>
      </c>
      <c r="D24">
        <v>0</v>
      </c>
      <c r="E24">
        <v>0</v>
      </c>
      <c r="F24">
        <v>0</v>
      </c>
      <c r="G24">
        <v>0</v>
      </c>
      <c r="H24">
        <v>5</v>
      </c>
      <c r="I24">
        <v>60772728</v>
      </c>
      <c r="J24">
        <v>0</v>
      </c>
      <c r="K24">
        <v>0</v>
      </c>
    </row>
    <row r="25" spans="1:11" x14ac:dyDescent="0.25">
      <c r="A25">
        <v>24</v>
      </c>
      <c r="B25" t="s">
        <v>57</v>
      </c>
      <c r="C25" t="s">
        <v>58</v>
      </c>
      <c r="D25">
        <v>299</v>
      </c>
      <c r="E25">
        <v>2423535221.361217</v>
      </c>
      <c r="F25">
        <v>2</v>
      </c>
      <c r="G25">
        <v>25272727</v>
      </c>
      <c r="H25">
        <v>2</v>
      </c>
      <c r="I25">
        <v>17618182</v>
      </c>
      <c r="J25">
        <v>299</v>
      </c>
      <c r="K25">
        <v>2431189766.361217</v>
      </c>
    </row>
    <row r="26" spans="1:11" x14ac:dyDescent="0.25">
      <c r="A26">
        <v>25</v>
      </c>
      <c r="B26" t="s">
        <v>59</v>
      </c>
      <c r="C26" t="s">
        <v>60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25">
      <c r="A27">
        <v>26</v>
      </c>
      <c r="B27" t="s">
        <v>61</v>
      </c>
      <c r="C27" t="s">
        <v>62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5">
      <c r="A28">
        <v>27</v>
      </c>
      <c r="B28" t="s">
        <v>63</v>
      </c>
      <c r="C28" t="s">
        <v>64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25">
      <c r="A29">
        <v>28</v>
      </c>
      <c r="B29" t="s">
        <v>65</v>
      </c>
      <c r="C29" t="s">
        <v>66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x14ac:dyDescent="0.25">
      <c r="A30">
        <v>29</v>
      </c>
      <c r="B30" t="s">
        <v>67</v>
      </c>
      <c r="C30" t="s">
        <v>68</v>
      </c>
      <c r="D30">
        <v>6</v>
      </c>
      <c r="E30">
        <v>67213777.307692319</v>
      </c>
      <c r="F30">
        <v>0</v>
      </c>
      <c r="G30">
        <v>0</v>
      </c>
      <c r="H30">
        <v>0</v>
      </c>
      <c r="I30">
        <v>0</v>
      </c>
      <c r="J30">
        <v>6</v>
      </c>
      <c r="K30">
        <v>67213777.307692319</v>
      </c>
    </row>
    <row r="31" spans="1:11" x14ac:dyDescent="0.25">
      <c r="A31">
        <v>30</v>
      </c>
      <c r="B31" t="s">
        <v>69</v>
      </c>
      <c r="C31" t="s">
        <v>70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25">
      <c r="A32">
        <v>31</v>
      </c>
      <c r="B32" t="s">
        <v>71</v>
      </c>
      <c r="C32" t="s">
        <v>72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25">
      <c r="A33">
        <v>32</v>
      </c>
      <c r="B33" t="s">
        <v>73</v>
      </c>
      <c r="C33" t="s">
        <v>74</v>
      </c>
      <c r="D33">
        <v>5</v>
      </c>
      <c r="E33">
        <v>25627439.5</v>
      </c>
      <c r="F33">
        <v>0</v>
      </c>
      <c r="G33">
        <v>0</v>
      </c>
      <c r="H33">
        <v>0</v>
      </c>
      <c r="I33">
        <v>0</v>
      </c>
      <c r="J33">
        <v>5</v>
      </c>
      <c r="K33">
        <v>25627439.5</v>
      </c>
    </row>
    <row r="34" spans="1:11" x14ac:dyDescent="0.25">
      <c r="A34">
        <v>33</v>
      </c>
      <c r="B34" t="s">
        <v>75</v>
      </c>
      <c r="C34" t="s">
        <v>76</v>
      </c>
      <c r="D34">
        <v>48</v>
      </c>
      <c r="E34">
        <v>94740721.183266938</v>
      </c>
      <c r="F34">
        <v>2</v>
      </c>
      <c r="G34">
        <v>3818182</v>
      </c>
      <c r="H34">
        <v>0</v>
      </c>
      <c r="I34">
        <v>0</v>
      </c>
      <c r="J34">
        <v>50</v>
      </c>
      <c r="K34">
        <v>98558903.183266938</v>
      </c>
    </row>
    <row r="35" spans="1:11" x14ac:dyDescent="0.25">
      <c r="A35">
        <v>34</v>
      </c>
      <c r="B35" t="s">
        <v>77</v>
      </c>
      <c r="C35" t="s">
        <v>78</v>
      </c>
      <c r="D35">
        <v>669</v>
      </c>
      <c r="E35">
        <v>1316892764.553802</v>
      </c>
      <c r="F35">
        <v>6</v>
      </c>
      <c r="G35">
        <v>25945454</v>
      </c>
      <c r="H35">
        <v>5</v>
      </c>
      <c r="I35">
        <v>13336364</v>
      </c>
      <c r="J35">
        <v>670</v>
      </c>
      <c r="K35">
        <v>1329501854.553802</v>
      </c>
    </row>
    <row r="36" spans="1:11" x14ac:dyDescent="0.25">
      <c r="A36">
        <v>35</v>
      </c>
      <c r="B36" t="s">
        <v>79</v>
      </c>
      <c r="C36" t="s">
        <v>80</v>
      </c>
      <c r="D36">
        <v>17</v>
      </c>
      <c r="E36">
        <v>43508071.021276593</v>
      </c>
      <c r="F36">
        <v>0</v>
      </c>
      <c r="G36">
        <v>0</v>
      </c>
      <c r="H36">
        <v>0</v>
      </c>
      <c r="I36">
        <v>0</v>
      </c>
      <c r="J36">
        <v>17</v>
      </c>
      <c r="K36">
        <v>43508071.021276593</v>
      </c>
    </row>
    <row r="37" spans="1:11" x14ac:dyDescent="0.25">
      <c r="A37">
        <v>36</v>
      </c>
      <c r="B37" t="s">
        <v>81</v>
      </c>
      <c r="C37" t="s">
        <v>82</v>
      </c>
      <c r="D37">
        <v>24</v>
      </c>
      <c r="E37">
        <v>98910381.196428597</v>
      </c>
      <c r="F37">
        <v>10</v>
      </c>
      <c r="G37">
        <v>33054546</v>
      </c>
      <c r="H37">
        <v>1</v>
      </c>
      <c r="I37">
        <v>1218182</v>
      </c>
      <c r="J37">
        <v>33</v>
      </c>
      <c r="K37">
        <v>130746745.1964286</v>
      </c>
    </row>
    <row r="38" spans="1:11" x14ac:dyDescent="0.25">
      <c r="A38">
        <v>37</v>
      </c>
      <c r="B38" t="s">
        <v>83</v>
      </c>
      <c r="C38" t="s">
        <v>84</v>
      </c>
      <c r="D38">
        <v>1</v>
      </c>
      <c r="E38">
        <v>4336364</v>
      </c>
      <c r="F38">
        <v>0</v>
      </c>
      <c r="G38">
        <v>0</v>
      </c>
      <c r="H38">
        <v>0</v>
      </c>
      <c r="I38">
        <v>0</v>
      </c>
      <c r="J38">
        <v>1</v>
      </c>
      <c r="K38">
        <v>4336364</v>
      </c>
    </row>
    <row r="39" spans="1:11" x14ac:dyDescent="0.25">
      <c r="A39">
        <v>38</v>
      </c>
      <c r="B39" t="s">
        <v>85</v>
      </c>
      <c r="C39" t="s">
        <v>86</v>
      </c>
      <c r="D39">
        <v>137</v>
      </c>
      <c r="E39">
        <v>371984050.38106239</v>
      </c>
      <c r="F39">
        <v>0</v>
      </c>
      <c r="G39">
        <v>0</v>
      </c>
      <c r="H39">
        <v>1</v>
      </c>
      <c r="I39">
        <v>2345455</v>
      </c>
      <c r="J39">
        <v>136</v>
      </c>
      <c r="K39">
        <v>369638595.38106239</v>
      </c>
    </row>
    <row r="40" spans="1:11" x14ac:dyDescent="0.25">
      <c r="A40">
        <v>39</v>
      </c>
      <c r="B40" t="s">
        <v>87</v>
      </c>
      <c r="C40" t="s">
        <v>88</v>
      </c>
      <c r="D40">
        <v>10</v>
      </c>
      <c r="E40">
        <v>51843434.777777784</v>
      </c>
      <c r="F40">
        <v>2</v>
      </c>
      <c r="G40">
        <v>13545454</v>
      </c>
      <c r="H40">
        <v>0</v>
      </c>
      <c r="I40">
        <v>0</v>
      </c>
      <c r="J40">
        <v>12</v>
      </c>
      <c r="K40">
        <v>65388888.777777784</v>
      </c>
    </row>
    <row r="41" spans="1:11" x14ac:dyDescent="0.25">
      <c r="A41">
        <v>40</v>
      </c>
      <c r="B41" t="s">
        <v>89</v>
      </c>
      <c r="C41" t="s">
        <v>90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25">
      <c r="A42">
        <v>41</v>
      </c>
      <c r="B42" t="s">
        <v>91</v>
      </c>
      <c r="C42" t="s">
        <v>92</v>
      </c>
      <c r="D42">
        <v>1215</v>
      </c>
      <c r="E42">
        <v>10229092</v>
      </c>
      <c r="F42">
        <v>324</v>
      </c>
      <c r="G42">
        <v>31731817</v>
      </c>
      <c r="H42">
        <v>11</v>
      </c>
      <c r="I42">
        <v>26254543</v>
      </c>
      <c r="J42">
        <v>1528</v>
      </c>
      <c r="K42">
        <v>15706366</v>
      </c>
    </row>
    <row r="43" spans="1:11" x14ac:dyDescent="0.25">
      <c r="A43">
        <v>42</v>
      </c>
      <c r="B43" t="s">
        <v>93</v>
      </c>
      <c r="C43" t="s">
        <v>94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25">
      <c r="A44">
        <v>43</v>
      </c>
      <c r="B44" t="s">
        <v>95</v>
      </c>
      <c r="C44" t="s">
        <v>96</v>
      </c>
      <c r="D44">
        <v>559</v>
      </c>
      <c r="E44">
        <v>1645764071.4247439</v>
      </c>
      <c r="F44">
        <v>0</v>
      </c>
      <c r="G44">
        <v>0</v>
      </c>
      <c r="H44">
        <v>7</v>
      </c>
      <c r="I44">
        <v>23809090</v>
      </c>
      <c r="J44">
        <v>552</v>
      </c>
      <c r="K44">
        <v>1621954981.4247439</v>
      </c>
    </row>
    <row r="45" spans="1:11" x14ac:dyDescent="0.25">
      <c r="A45">
        <v>44</v>
      </c>
      <c r="B45" t="s">
        <v>97</v>
      </c>
      <c r="C45" t="s">
        <v>98</v>
      </c>
      <c r="D45">
        <v>115</v>
      </c>
      <c r="E45">
        <v>509906983.79297298</v>
      </c>
      <c r="F45">
        <v>0</v>
      </c>
      <c r="G45">
        <v>0</v>
      </c>
      <c r="H45">
        <v>7</v>
      </c>
      <c r="I45">
        <v>35854545</v>
      </c>
      <c r="J45">
        <v>108</v>
      </c>
      <c r="K45">
        <v>474052438.79297298</v>
      </c>
    </row>
    <row r="46" spans="1:11" x14ac:dyDescent="0.25">
      <c r="A46">
        <v>45</v>
      </c>
      <c r="B46" t="s">
        <v>99</v>
      </c>
      <c r="C46" t="s">
        <v>100</v>
      </c>
      <c r="D46">
        <v>305</v>
      </c>
      <c r="E46">
        <v>96389209.632571429</v>
      </c>
      <c r="F46">
        <v>0</v>
      </c>
      <c r="G46">
        <v>0</v>
      </c>
      <c r="H46">
        <v>0</v>
      </c>
      <c r="I46">
        <v>0</v>
      </c>
      <c r="J46">
        <v>305</v>
      </c>
      <c r="K46">
        <v>96389209.632571429</v>
      </c>
    </row>
    <row r="47" spans="1:11" x14ac:dyDescent="0.25">
      <c r="A47">
        <v>46</v>
      </c>
      <c r="B47" t="s">
        <v>101</v>
      </c>
      <c r="C47" t="s">
        <v>102</v>
      </c>
      <c r="D47">
        <v>148</v>
      </c>
      <c r="E47">
        <v>258426959.92567381</v>
      </c>
      <c r="F47">
        <v>1</v>
      </c>
      <c r="G47">
        <v>5454545</v>
      </c>
      <c r="H47">
        <v>0</v>
      </c>
      <c r="I47">
        <v>0</v>
      </c>
      <c r="J47">
        <v>149</v>
      </c>
      <c r="K47">
        <v>263881504.92567381</v>
      </c>
    </row>
    <row r="48" spans="1:11" x14ac:dyDescent="0.25">
      <c r="A48">
        <v>47</v>
      </c>
      <c r="B48" t="s">
        <v>103</v>
      </c>
      <c r="C48" t="s">
        <v>104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 x14ac:dyDescent="0.25">
      <c r="A49">
        <v>48</v>
      </c>
      <c r="B49" t="s">
        <v>105</v>
      </c>
      <c r="C49" t="s">
        <v>106</v>
      </c>
      <c r="D49">
        <v>35</v>
      </c>
      <c r="E49">
        <v>229659250.96224141</v>
      </c>
      <c r="F49">
        <v>2</v>
      </c>
      <c r="G49">
        <v>43762142</v>
      </c>
      <c r="H49">
        <v>0</v>
      </c>
      <c r="I49">
        <v>0</v>
      </c>
      <c r="J49">
        <v>37</v>
      </c>
      <c r="K49">
        <v>273421392.96224141</v>
      </c>
    </row>
    <row r="50" spans="1:11" x14ac:dyDescent="0.25">
      <c r="A50">
        <v>49</v>
      </c>
      <c r="B50" t="s">
        <v>107</v>
      </c>
      <c r="C50" t="s">
        <v>108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25">
      <c r="A51">
        <v>50</v>
      </c>
      <c r="B51" t="s">
        <v>109</v>
      </c>
      <c r="C51" t="s">
        <v>110</v>
      </c>
      <c r="D51">
        <v>5</v>
      </c>
      <c r="E51">
        <v>254228.19999999931</v>
      </c>
      <c r="F51">
        <v>0</v>
      </c>
      <c r="G51">
        <v>0</v>
      </c>
      <c r="H51">
        <v>0</v>
      </c>
      <c r="I51">
        <v>0</v>
      </c>
      <c r="J51">
        <v>5</v>
      </c>
      <c r="K51">
        <v>254228.19999999931</v>
      </c>
    </row>
    <row r="52" spans="1:11" x14ac:dyDescent="0.25">
      <c r="A52">
        <v>51</v>
      </c>
      <c r="B52" t="s">
        <v>111</v>
      </c>
      <c r="C52" t="s">
        <v>112</v>
      </c>
      <c r="D52">
        <v>31</v>
      </c>
      <c r="E52">
        <v>63192100.066938758</v>
      </c>
      <c r="F52">
        <v>0</v>
      </c>
      <c r="G52">
        <v>0</v>
      </c>
      <c r="H52">
        <v>1</v>
      </c>
      <c r="I52">
        <v>1564815</v>
      </c>
      <c r="J52">
        <v>30</v>
      </c>
      <c r="K52">
        <v>61627285.066938758</v>
      </c>
    </row>
    <row r="53" spans="1:11" x14ac:dyDescent="0.25">
      <c r="A53">
        <v>52</v>
      </c>
      <c r="B53" t="s">
        <v>113</v>
      </c>
      <c r="C53" t="s">
        <v>114</v>
      </c>
      <c r="D53">
        <v>3</v>
      </c>
      <c r="E53">
        <v>5580000</v>
      </c>
      <c r="F53">
        <v>0</v>
      </c>
      <c r="G53">
        <v>0</v>
      </c>
      <c r="H53">
        <v>0</v>
      </c>
      <c r="I53">
        <v>0</v>
      </c>
      <c r="J53">
        <v>3</v>
      </c>
      <c r="K53">
        <v>5580000</v>
      </c>
    </row>
    <row r="54" spans="1:11" x14ac:dyDescent="0.25">
      <c r="A54">
        <v>53</v>
      </c>
      <c r="B54" t="s">
        <v>115</v>
      </c>
      <c r="C54" t="s">
        <v>116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 x14ac:dyDescent="0.25">
      <c r="A55">
        <v>54</v>
      </c>
      <c r="B55" t="s">
        <v>117</v>
      </c>
      <c r="C55" t="s">
        <v>118</v>
      </c>
      <c r="D55">
        <v>93</v>
      </c>
      <c r="E55">
        <v>114586169.172702</v>
      </c>
      <c r="F55">
        <v>0</v>
      </c>
      <c r="G55">
        <v>0</v>
      </c>
      <c r="H55">
        <v>0</v>
      </c>
      <c r="I55">
        <v>0</v>
      </c>
      <c r="J55">
        <v>93</v>
      </c>
      <c r="K55">
        <v>114586169.172702</v>
      </c>
    </row>
    <row r="56" spans="1:11" x14ac:dyDescent="0.25">
      <c r="A56">
        <v>55</v>
      </c>
      <c r="B56" t="s">
        <v>119</v>
      </c>
      <c r="C56" t="s">
        <v>120</v>
      </c>
      <c r="D56">
        <v>32</v>
      </c>
      <c r="E56">
        <v>4952973.4915254228</v>
      </c>
      <c r="F56">
        <v>0</v>
      </c>
      <c r="G56">
        <v>0</v>
      </c>
      <c r="H56">
        <v>0</v>
      </c>
      <c r="I56">
        <v>0</v>
      </c>
      <c r="J56">
        <v>32</v>
      </c>
      <c r="K56">
        <v>4952973.4915254228</v>
      </c>
    </row>
    <row r="57" spans="1:11" x14ac:dyDescent="0.25">
      <c r="A57">
        <v>56</v>
      </c>
      <c r="B57" t="s">
        <v>121</v>
      </c>
      <c r="C57" t="s">
        <v>122</v>
      </c>
      <c r="D57">
        <v>6</v>
      </c>
      <c r="E57">
        <v>17901110.180769231</v>
      </c>
      <c r="F57">
        <v>0</v>
      </c>
      <c r="G57">
        <v>0</v>
      </c>
      <c r="H57">
        <v>0</v>
      </c>
      <c r="I57">
        <v>0</v>
      </c>
      <c r="J57">
        <v>6</v>
      </c>
      <c r="K57">
        <v>17901110.180769231</v>
      </c>
    </row>
    <row r="58" spans="1:11" x14ac:dyDescent="0.25">
      <c r="A58">
        <v>57</v>
      </c>
      <c r="B58" t="s">
        <v>123</v>
      </c>
      <c r="C58" t="s">
        <v>124</v>
      </c>
      <c r="D58">
        <v>2</v>
      </c>
      <c r="E58">
        <v>1829966.11</v>
      </c>
      <c r="F58">
        <v>0</v>
      </c>
      <c r="G58">
        <v>0</v>
      </c>
      <c r="H58">
        <v>0</v>
      </c>
      <c r="I58">
        <v>0</v>
      </c>
      <c r="J58">
        <v>2</v>
      </c>
      <c r="K58">
        <v>1829966.11</v>
      </c>
    </row>
    <row r="59" spans="1:11" x14ac:dyDescent="0.25">
      <c r="A59">
        <v>58</v>
      </c>
      <c r="B59" t="s">
        <v>125</v>
      </c>
      <c r="C59" t="s">
        <v>126</v>
      </c>
      <c r="D59">
        <v>4164</v>
      </c>
      <c r="E59">
        <v>260502333.36559761</v>
      </c>
      <c r="F59">
        <v>76</v>
      </c>
      <c r="G59">
        <v>4084557</v>
      </c>
      <c r="H59">
        <v>82</v>
      </c>
      <c r="I59">
        <v>7681826</v>
      </c>
      <c r="J59">
        <v>4158</v>
      </c>
      <c r="K59">
        <v>256905064.36559761</v>
      </c>
    </row>
    <row r="60" spans="1:11" x14ac:dyDescent="0.25">
      <c r="A60">
        <v>59</v>
      </c>
      <c r="B60" t="s">
        <v>127</v>
      </c>
      <c r="C60" t="s">
        <v>128</v>
      </c>
      <c r="D60">
        <v>94</v>
      </c>
      <c r="E60">
        <v>3354830.6822262122</v>
      </c>
      <c r="F60">
        <v>110</v>
      </c>
      <c r="G60">
        <v>2527190</v>
      </c>
      <c r="H60">
        <v>0</v>
      </c>
      <c r="I60">
        <v>0</v>
      </c>
      <c r="J60">
        <v>204</v>
      </c>
      <c r="K60">
        <v>5882020.6822262118</v>
      </c>
    </row>
    <row r="61" spans="1:11" x14ac:dyDescent="0.25">
      <c r="A61">
        <v>60</v>
      </c>
      <c r="B61" t="s">
        <v>129</v>
      </c>
      <c r="C61" t="s">
        <v>130</v>
      </c>
      <c r="D61">
        <v>27</v>
      </c>
      <c r="E61">
        <v>1100000</v>
      </c>
      <c r="F61">
        <v>3</v>
      </c>
      <c r="G61">
        <v>245454</v>
      </c>
      <c r="H61">
        <v>0</v>
      </c>
      <c r="I61">
        <v>0</v>
      </c>
      <c r="J61">
        <v>30</v>
      </c>
      <c r="K61">
        <v>1345454</v>
      </c>
    </row>
    <row r="62" spans="1:11" x14ac:dyDescent="0.25">
      <c r="A62">
        <v>61</v>
      </c>
      <c r="B62" t="s">
        <v>131</v>
      </c>
      <c r="C62" t="s">
        <v>132</v>
      </c>
      <c r="D62">
        <v>2169</v>
      </c>
      <c r="E62">
        <v>222002431.8789579</v>
      </c>
      <c r="F62">
        <v>0</v>
      </c>
      <c r="G62">
        <v>0</v>
      </c>
      <c r="H62">
        <v>7</v>
      </c>
      <c r="I62">
        <v>1090909</v>
      </c>
      <c r="J62">
        <v>2162</v>
      </c>
      <c r="K62">
        <v>220911522.8789579</v>
      </c>
    </row>
    <row r="63" spans="1:11" x14ac:dyDescent="0.25">
      <c r="A63">
        <v>62</v>
      </c>
      <c r="B63" t="s">
        <v>133</v>
      </c>
      <c r="C63" t="s">
        <v>134</v>
      </c>
      <c r="D63">
        <v>1039</v>
      </c>
      <c r="E63">
        <v>187052452.71158049</v>
      </c>
      <c r="F63">
        <v>0</v>
      </c>
      <c r="G63">
        <v>0</v>
      </c>
      <c r="H63">
        <v>8</v>
      </c>
      <c r="I63">
        <v>1818181</v>
      </c>
      <c r="J63">
        <v>1031</v>
      </c>
      <c r="K63">
        <v>185234271.71158049</v>
      </c>
    </row>
    <row r="64" spans="1:11" x14ac:dyDescent="0.25">
      <c r="A64">
        <v>63</v>
      </c>
      <c r="B64" t="s">
        <v>135</v>
      </c>
      <c r="C64" t="s">
        <v>136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 x14ac:dyDescent="0.25">
      <c r="A65">
        <v>64</v>
      </c>
      <c r="B65" t="s">
        <v>137</v>
      </c>
      <c r="C65" t="s">
        <v>138</v>
      </c>
      <c r="D65">
        <v>16</v>
      </c>
      <c r="E65">
        <v>5701680.4511235952</v>
      </c>
      <c r="F65">
        <v>0</v>
      </c>
      <c r="G65">
        <v>0</v>
      </c>
      <c r="H65">
        <v>0</v>
      </c>
      <c r="I65">
        <v>0</v>
      </c>
      <c r="J65">
        <v>16</v>
      </c>
      <c r="K65">
        <v>5701680.4511235952</v>
      </c>
    </row>
    <row r="66" spans="1:11" x14ac:dyDescent="0.25">
      <c r="A66">
        <v>65</v>
      </c>
      <c r="B66" t="s">
        <v>139</v>
      </c>
      <c r="C66" t="s">
        <v>140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 x14ac:dyDescent="0.25">
      <c r="A67">
        <v>66</v>
      </c>
      <c r="B67" t="s">
        <v>141</v>
      </c>
      <c r="C67" t="s">
        <v>142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 x14ac:dyDescent="0.25">
      <c r="A68">
        <v>67</v>
      </c>
      <c r="B68" t="s">
        <v>143</v>
      </c>
      <c r="C68" t="s">
        <v>144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 x14ac:dyDescent="0.25">
      <c r="A69">
        <v>68</v>
      </c>
      <c r="B69" t="s">
        <v>145</v>
      </c>
      <c r="C69" t="s">
        <v>146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 x14ac:dyDescent="0.25">
      <c r="A70">
        <v>69</v>
      </c>
      <c r="B70" t="s">
        <v>147</v>
      </c>
      <c r="C70" t="s">
        <v>148</v>
      </c>
      <c r="D70">
        <v>238</v>
      </c>
      <c r="E70">
        <v>77535471.665112108</v>
      </c>
      <c r="F70">
        <v>0</v>
      </c>
      <c r="G70">
        <v>0</v>
      </c>
      <c r="H70">
        <v>1</v>
      </c>
      <c r="I70">
        <v>590909</v>
      </c>
      <c r="J70">
        <v>237</v>
      </c>
      <c r="K70">
        <v>76944562.665112108</v>
      </c>
    </row>
    <row r="71" spans="1:11" x14ac:dyDescent="0.25">
      <c r="A71">
        <v>70</v>
      </c>
      <c r="B71" t="s">
        <v>149</v>
      </c>
      <c r="C71" t="s">
        <v>150</v>
      </c>
      <c r="D71">
        <v>9</v>
      </c>
      <c r="E71">
        <v>737428.16000000015</v>
      </c>
      <c r="F71">
        <v>0</v>
      </c>
      <c r="G71">
        <v>0</v>
      </c>
      <c r="H71">
        <v>0</v>
      </c>
      <c r="I71">
        <v>0</v>
      </c>
      <c r="J71">
        <v>9</v>
      </c>
      <c r="K71">
        <v>737428.16000000015</v>
      </c>
    </row>
    <row r="72" spans="1:11" x14ac:dyDescent="0.25">
      <c r="A72">
        <v>71</v>
      </c>
      <c r="B72" t="s">
        <v>151</v>
      </c>
      <c r="C72" t="s">
        <v>152</v>
      </c>
      <c r="D72">
        <v>0</v>
      </c>
      <c r="E72">
        <v>290909.59999999992</v>
      </c>
      <c r="F72">
        <v>0</v>
      </c>
      <c r="G72">
        <v>0</v>
      </c>
      <c r="H72">
        <v>1</v>
      </c>
      <c r="I72">
        <v>727273</v>
      </c>
      <c r="J72">
        <v>0</v>
      </c>
      <c r="K72">
        <v>0</v>
      </c>
    </row>
    <row r="73" spans="1:11" x14ac:dyDescent="0.25">
      <c r="A73">
        <v>72</v>
      </c>
      <c r="B73" t="s">
        <v>153</v>
      </c>
      <c r="C73" t="s">
        <v>154</v>
      </c>
      <c r="D73">
        <v>100</v>
      </c>
      <c r="E73">
        <v>0</v>
      </c>
      <c r="F73">
        <v>0</v>
      </c>
      <c r="G73">
        <v>0</v>
      </c>
      <c r="H73">
        <v>0</v>
      </c>
      <c r="I73">
        <v>0</v>
      </c>
      <c r="J73">
        <v>100</v>
      </c>
      <c r="K73">
        <v>0</v>
      </c>
    </row>
    <row r="74" spans="1:11" x14ac:dyDescent="0.25">
      <c r="A74">
        <v>73</v>
      </c>
      <c r="B74" t="s">
        <v>155</v>
      </c>
      <c r="C74" t="s">
        <v>156</v>
      </c>
      <c r="D74">
        <v>144</v>
      </c>
      <c r="E74">
        <v>326130569.07878792</v>
      </c>
      <c r="F74">
        <v>0</v>
      </c>
      <c r="G74">
        <v>0</v>
      </c>
      <c r="H74">
        <v>0</v>
      </c>
      <c r="I74">
        <v>0</v>
      </c>
      <c r="J74">
        <v>144</v>
      </c>
      <c r="K74">
        <v>326130569.07878792</v>
      </c>
    </row>
    <row r="75" spans="1:11" x14ac:dyDescent="0.25">
      <c r="A75">
        <v>74</v>
      </c>
      <c r="B75" t="s">
        <v>157</v>
      </c>
      <c r="C75" t="s">
        <v>158</v>
      </c>
      <c r="D75">
        <v>127</v>
      </c>
      <c r="E75">
        <v>380760137.75098813</v>
      </c>
      <c r="F75">
        <v>0</v>
      </c>
      <c r="G75">
        <v>0</v>
      </c>
      <c r="H75">
        <v>0</v>
      </c>
      <c r="I75">
        <v>0</v>
      </c>
      <c r="J75">
        <v>127</v>
      </c>
      <c r="K75">
        <v>380760137.75098813</v>
      </c>
    </row>
    <row r="76" spans="1:11" x14ac:dyDescent="0.25">
      <c r="A76">
        <v>75</v>
      </c>
      <c r="B76" t="s">
        <v>159</v>
      </c>
      <c r="C76" t="s">
        <v>160</v>
      </c>
      <c r="D76">
        <v>5</v>
      </c>
      <c r="E76">
        <v>26539183.875</v>
      </c>
      <c r="F76">
        <v>0</v>
      </c>
      <c r="G76">
        <v>0</v>
      </c>
      <c r="H76">
        <v>0</v>
      </c>
      <c r="I76">
        <v>0</v>
      </c>
      <c r="J76">
        <v>5</v>
      </c>
      <c r="K76">
        <v>26539183.875</v>
      </c>
    </row>
    <row r="77" spans="1:11" x14ac:dyDescent="0.25">
      <c r="A77">
        <v>76</v>
      </c>
      <c r="B77" t="s">
        <v>161</v>
      </c>
      <c r="C77" t="s">
        <v>162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 x14ac:dyDescent="0.25">
      <c r="A78">
        <v>77</v>
      </c>
      <c r="B78" t="s">
        <v>163</v>
      </c>
      <c r="C78" t="s">
        <v>164</v>
      </c>
      <c r="D78">
        <v>153</v>
      </c>
      <c r="E78">
        <v>229686983.59605911</v>
      </c>
      <c r="F78">
        <v>10</v>
      </c>
      <c r="G78">
        <v>14272727</v>
      </c>
      <c r="H78">
        <v>0</v>
      </c>
      <c r="I78">
        <v>0</v>
      </c>
      <c r="J78">
        <v>163</v>
      </c>
      <c r="K78">
        <v>243959710.59605911</v>
      </c>
    </row>
    <row r="79" spans="1:11" x14ac:dyDescent="0.25">
      <c r="A79">
        <v>78</v>
      </c>
      <c r="B79" t="s">
        <v>165</v>
      </c>
      <c r="C79" t="s">
        <v>166</v>
      </c>
      <c r="D79">
        <v>13</v>
      </c>
      <c r="E79">
        <v>31720934</v>
      </c>
      <c r="F79">
        <v>4</v>
      </c>
      <c r="G79">
        <v>9300000</v>
      </c>
      <c r="H79">
        <v>1</v>
      </c>
      <c r="I79">
        <v>2072727</v>
      </c>
      <c r="J79">
        <v>16</v>
      </c>
      <c r="K79">
        <v>38948207</v>
      </c>
    </row>
    <row r="80" spans="1:11" x14ac:dyDescent="0.25">
      <c r="A80">
        <v>79</v>
      </c>
      <c r="B80" t="s">
        <v>167</v>
      </c>
      <c r="C80" t="s">
        <v>168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 x14ac:dyDescent="0.25">
      <c r="A81">
        <v>80</v>
      </c>
      <c r="B81" t="s">
        <v>169</v>
      </c>
      <c r="C81" t="s">
        <v>170</v>
      </c>
      <c r="D81">
        <v>680</v>
      </c>
      <c r="E81">
        <v>206655815.62329009</v>
      </c>
      <c r="F81">
        <v>0</v>
      </c>
      <c r="G81">
        <v>0</v>
      </c>
      <c r="H81">
        <v>1</v>
      </c>
      <c r="I81">
        <v>409091</v>
      </c>
      <c r="J81">
        <v>679</v>
      </c>
      <c r="K81">
        <v>206246724.62329009</v>
      </c>
    </row>
    <row r="82" spans="1:11" x14ac:dyDescent="0.25">
      <c r="A82">
        <v>81</v>
      </c>
      <c r="B82" t="s">
        <v>171</v>
      </c>
      <c r="C82" t="s">
        <v>172</v>
      </c>
      <c r="D82">
        <v>223</v>
      </c>
      <c r="E82">
        <v>200762128.11730209</v>
      </c>
      <c r="F82">
        <v>0</v>
      </c>
      <c r="G82">
        <v>0</v>
      </c>
      <c r="H82">
        <v>1</v>
      </c>
      <c r="I82">
        <v>581818</v>
      </c>
      <c r="J82">
        <v>222</v>
      </c>
      <c r="K82">
        <v>200180310.11730209</v>
      </c>
    </row>
    <row r="83" spans="1:11" x14ac:dyDescent="0.25">
      <c r="A83">
        <v>82</v>
      </c>
      <c r="B83" t="s">
        <v>173</v>
      </c>
      <c r="C83" t="s">
        <v>174</v>
      </c>
      <c r="D83">
        <v>101</v>
      </c>
      <c r="E83">
        <v>97363561.202380955</v>
      </c>
      <c r="F83">
        <v>0</v>
      </c>
      <c r="G83">
        <v>0</v>
      </c>
      <c r="H83">
        <v>0</v>
      </c>
      <c r="I83">
        <v>0</v>
      </c>
      <c r="J83">
        <v>101</v>
      </c>
      <c r="K83">
        <v>97363561.202380955</v>
      </c>
    </row>
    <row r="84" spans="1:11" x14ac:dyDescent="0.25">
      <c r="A84">
        <v>83</v>
      </c>
      <c r="B84" t="s">
        <v>175</v>
      </c>
      <c r="C84" t="s">
        <v>176</v>
      </c>
      <c r="D84">
        <v>11</v>
      </c>
      <c r="E84">
        <v>18878450.199999999</v>
      </c>
      <c r="F84">
        <v>0</v>
      </c>
      <c r="G84">
        <v>0</v>
      </c>
      <c r="H84">
        <v>0</v>
      </c>
      <c r="I84">
        <v>0</v>
      </c>
      <c r="J84">
        <v>11</v>
      </c>
      <c r="K84">
        <v>18878450.199999999</v>
      </c>
    </row>
    <row r="85" spans="1:11" x14ac:dyDescent="0.25">
      <c r="A85">
        <v>84</v>
      </c>
      <c r="B85" t="s">
        <v>177</v>
      </c>
      <c r="C85" t="s">
        <v>178</v>
      </c>
      <c r="D85">
        <v>17</v>
      </c>
      <c r="E85">
        <v>81028636.483870968</v>
      </c>
      <c r="F85">
        <v>0</v>
      </c>
      <c r="G85">
        <v>0</v>
      </c>
      <c r="H85">
        <v>0</v>
      </c>
      <c r="I85">
        <v>0</v>
      </c>
      <c r="J85">
        <v>17</v>
      </c>
      <c r="K85">
        <v>81028636.483870968</v>
      </c>
    </row>
    <row r="86" spans="1:11" x14ac:dyDescent="0.25">
      <c r="A86">
        <v>85</v>
      </c>
      <c r="B86" t="s">
        <v>179</v>
      </c>
      <c r="C86" t="s">
        <v>180</v>
      </c>
      <c r="D86">
        <v>20</v>
      </c>
      <c r="E86">
        <v>28108582.16</v>
      </c>
      <c r="F86">
        <v>0</v>
      </c>
      <c r="G86">
        <v>0</v>
      </c>
      <c r="H86">
        <v>0</v>
      </c>
      <c r="I86">
        <v>0</v>
      </c>
      <c r="J86">
        <v>20</v>
      </c>
      <c r="K86">
        <v>28108582.16</v>
      </c>
    </row>
    <row r="87" spans="1:11" x14ac:dyDescent="0.25">
      <c r="A87">
        <v>86</v>
      </c>
      <c r="B87" t="s">
        <v>181</v>
      </c>
      <c r="C87" t="s">
        <v>182</v>
      </c>
      <c r="D87">
        <v>67</v>
      </c>
      <c r="E87">
        <v>72005538.572559372</v>
      </c>
      <c r="F87">
        <v>0</v>
      </c>
      <c r="G87">
        <v>0</v>
      </c>
      <c r="H87">
        <v>0</v>
      </c>
      <c r="I87">
        <v>0</v>
      </c>
      <c r="J87">
        <v>67</v>
      </c>
      <c r="K87">
        <v>72005538.572559372</v>
      </c>
    </row>
    <row r="88" spans="1:11" x14ac:dyDescent="0.25">
      <c r="A88">
        <v>87</v>
      </c>
      <c r="B88" t="s">
        <v>183</v>
      </c>
      <c r="C88" t="s">
        <v>184</v>
      </c>
      <c r="D88">
        <v>3</v>
      </c>
      <c r="E88">
        <v>2443182.9545454532</v>
      </c>
      <c r="F88">
        <v>0</v>
      </c>
      <c r="G88">
        <v>0</v>
      </c>
      <c r="H88">
        <v>0</v>
      </c>
      <c r="I88">
        <v>0</v>
      </c>
      <c r="J88">
        <v>3</v>
      </c>
      <c r="K88">
        <v>2443182.9545454532</v>
      </c>
    </row>
    <row r="89" spans="1:11" x14ac:dyDescent="0.25">
      <c r="A89">
        <v>88</v>
      </c>
      <c r="B89" t="s">
        <v>185</v>
      </c>
      <c r="C89" t="s">
        <v>186</v>
      </c>
      <c r="D89">
        <v>1414</v>
      </c>
      <c r="E89">
        <v>434503136.74628812</v>
      </c>
      <c r="F89">
        <v>0</v>
      </c>
      <c r="G89">
        <v>0</v>
      </c>
      <c r="H89">
        <v>0</v>
      </c>
      <c r="I89">
        <v>0</v>
      </c>
      <c r="J89">
        <v>1414</v>
      </c>
      <c r="K89">
        <v>434503136.74628812</v>
      </c>
    </row>
    <row r="90" spans="1:11" x14ac:dyDescent="0.25">
      <c r="A90">
        <v>89</v>
      </c>
      <c r="B90" t="s">
        <v>187</v>
      </c>
      <c r="C90" t="s">
        <v>188</v>
      </c>
      <c r="D90">
        <v>280</v>
      </c>
      <c r="E90">
        <v>314129124.34957021</v>
      </c>
      <c r="F90">
        <v>0</v>
      </c>
      <c r="G90">
        <v>0</v>
      </c>
      <c r="H90">
        <v>4</v>
      </c>
      <c r="I90">
        <v>2909090</v>
      </c>
      <c r="J90">
        <v>276</v>
      </c>
      <c r="K90">
        <v>311220034.34957021</v>
      </c>
    </row>
    <row r="91" spans="1:11" x14ac:dyDescent="0.25">
      <c r="A91">
        <v>90</v>
      </c>
      <c r="B91" t="s">
        <v>189</v>
      </c>
      <c r="C91" t="s">
        <v>190</v>
      </c>
      <c r="D91">
        <v>116</v>
      </c>
      <c r="E91">
        <v>148907776.9923954</v>
      </c>
      <c r="F91">
        <v>0</v>
      </c>
      <c r="G91">
        <v>0</v>
      </c>
      <c r="H91">
        <v>1</v>
      </c>
      <c r="I91">
        <v>1590909</v>
      </c>
      <c r="J91">
        <v>115</v>
      </c>
      <c r="K91">
        <v>147316867.9923954</v>
      </c>
    </row>
    <row r="92" spans="1:11" x14ac:dyDescent="0.25">
      <c r="A92">
        <v>91</v>
      </c>
      <c r="B92" t="s">
        <v>191</v>
      </c>
      <c r="C92" t="s">
        <v>192</v>
      </c>
      <c r="D92">
        <v>91</v>
      </c>
      <c r="E92">
        <v>53955034.128078818</v>
      </c>
      <c r="F92">
        <v>5</v>
      </c>
      <c r="G92">
        <v>5045455</v>
      </c>
      <c r="H92">
        <v>2</v>
      </c>
      <c r="I92">
        <v>2239091</v>
      </c>
      <c r="J92">
        <v>94</v>
      </c>
      <c r="K92">
        <v>56761398.128078818</v>
      </c>
    </row>
    <row r="93" spans="1:11" x14ac:dyDescent="0.25">
      <c r="A93">
        <v>92</v>
      </c>
      <c r="B93" t="s">
        <v>193</v>
      </c>
      <c r="C93" t="s">
        <v>194</v>
      </c>
      <c r="D93">
        <v>33</v>
      </c>
      <c r="E93">
        <v>59721325.432558149</v>
      </c>
      <c r="F93">
        <v>0</v>
      </c>
      <c r="G93">
        <v>0</v>
      </c>
      <c r="H93">
        <v>1</v>
      </c>
      <c r="I93">
        <v>1263636</v>
      </c>
      <c r="J93">
        <v>32</v>
      </c>
      <c r="K93">
        <v>58457689.432558149</v>
      </c>
    </row>
    <row r="94" spans="1:11" x14ac:dyDescent="0.25">
      <c r="A94">
        <v>93</v>
      </c>
      <c r="B94" t="s">
        <v>195</v>
      </c>
      <c r="C94" t="s">
        <v>196</v>
      </c>
      <c r="D94">
        <v>532</v>
      </c>
      <c r="E94">
        <v>140157965.61556071</v>
      </c>
      <c r="F94">
        <v>0</v>
      </c>
      <c r="G94">
        <v>0</v>
      </c>
      <c r="H94">
        <v>3</v>
      </c>
      <c r="I94">
        <v>463636</v>
      </c>
      <c r="J94">
        <v>529</v>
      </c>
      <c r="K94">
        <v>139694329.61556071</v>
      </c>
    </row>
    <row r="95" spans="1:11" x14ac:dyDescent="0.25">
      <c r="A95">
        <v>94</v>
      </c>
      <c r="B95" t="s">
        <v>197</v>
      </c>
      <c r="C95" t="s">
        <v>198</v>
      </c>
      <c r="D95">
        <v>32</v>
      </c>
      <c r="E95">
        <v>4204547</v>
      </c>
      <c r="F95">
        <v>0</v>
      </c>
      <c r="G95">
        <v>0</v>
      </c>
      <c r="H95">
        <v>3</v>
      </c>
      <c r="I95">
        <v>1200000</v>
      </c>
      <c r="J95">
        <v>29</v>
      </c>
      <c r="K95">
        <v>3004547</v>
      </c>
    </row>
    <row r="96" spans="1:11" x14ac:dyDescent="0.25">
      <c r="A96">
        <v>95</v>
      </c>
      <c r="B96" t="s">
        <v>199</v>
      </c>
      <c r="C96" t="s">
        <v>200</v>
      </c>
      <c r="D96">
        <v>142</v>
      </c>
      <c r="E96">
        <v>11782466.08196721</v>
      </c>
      <c r="F96">
        <v>0</v>
      </c>
      <c r="G96">
        <v>0</v>
      </c>
      <c r="H96">
        <v>7</v>
      </c>
      <c r="I96">
        <v>681818</v>
      </c>
      <c r="J96">
        <v>135</v>
      </c>
      <c r="K96">
        <v>11100648.08196721</v>
      </c>
    </row>
    <row r="97" spans="1:11" x14ac:dyDescent="0.25">
      <c r="A97">
        <v>96</v>
      </c>
      <c r="B97" t="s">
        <v>201</v>
      </c>
      <c r="C97" t="s">
        <v>202</v>
      </c>
      <c r="D97">
        <v>1568</v>
      </c>
      <c r="E97">
        <v>152256981.4361957</v>
      </c>
      <c r="F97">
        <v>8</v>
      </c>
      <c r="G97">
        <v>4481817</v>
      </c>
      <c r="H97">
        <v>2</v>
      </c>
      <c r="I97">
        <v>200000</v>
      </c>
      <c r="J97">
        <v>1574</v>
      </c>
      <c r="K97">
        <v>156538798.4361957</v>
      </c>
    </row>
    <row r="98" spans="1:11" x14ac:dyDescent="0.25">
      <c r="A98">
        <v>97</v>
      </c>
      <c r="B98" t="s">
        <v>203</v>
      </c>
      <c r="C98" t="s">
        <v>204</v>
      </c>
      <c r="D98">
        <v>201</v>
      </c>
      <c r="E98">
        <v>46855272.620727673</v>
      </c>
      <c r="F98">
        <v>0</v>
      </c>
      <c r="G98">
        <v>0</v>
      </c>
      <c r="H98">
        <v>0</v>
      </c>
      <c r="I98">
        <v>0</v>
      </c>
      <c r="J98">
        <v>201</v>
      </c>
      <c r="K98">
        <v>46855272.620727673</v>
      </c>
    </row>
    <row r="99" spans="1:11" x14ac:dyDescent="0.25">
      <c r="A99">
        <v>98</v>
      </c>
      <c r="B99" t="s">
        <v>205</v>
      </c>
      <c r="C99" t="s">
        <v>206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 x14ac:dyDescent="0.25">
      <c r="A100">
        <v>99</v>
      </c>
      <c r="B100" t="s">
        <v>207</v>
      </c>
      <c r="C100" t="s">
        <v>208</v>
      </c>
      <c r="D100">
        <v>10</v>
      </c>
      <c r="E100">
        <v>15908150.758620691</v>
      </c>
      <c r="F100">
        <v>0</v>
      </c>
      <c r="G100">
        <v>0</v>
      </c>
      <c r="H100">
        <v>0</v>
      </c>
      <c r="I100">
        <v>0</v>
      </c>
      <c r="J100">
        <v>10</v>
      </c>
      <c r="K100">
        <v>15908150.758620691</v>
      </c>
    </row>
    <row r="101" spans="1:11" x14ac:dyDescent="0.25">
      <c r="A101">
        <v>100</v>
      </c>
      <c r="B101" t="s">
        <v>209</v>
      </c>
      <c r="C101" t="s">
        <v>210</v>
      </c>
      <c r="D101">
        <v>3</v>
      </c>
      <c r="E101">
        <v>3583670</v>
      </c>
      <c r="F101">
        <v>2</v>
      </c>
      <c r="G101">
        <v>1645455</v>
      </c>
      <c r="H101">
        <v>0</v>
      </c>
      <c r="I101">
        <v>0</v>
      </c>
      <c r="J101">
        <v>5</v>
      </c>
      <c r="K101">
        <v>5229125</v>
      </c>
    </row>
    <row r="102" spans="1:11" x14ac:dyDescent="0.25">
      <c r="A102">
        <v>101</v>
      </c>
      <c r="B102" t="s">
        <v>211</v>
      </c>
      <c r="C102" t="s">
        <v>212</v>
      </c>
      <c r="D102">
        <v>196</v>
      </c>
      <c r="E102">
        <v>122490690.6692913</v>
      </c>
      <c r="F102">
        <v>0</v>
      </c>
      <c r="G102">
        <v>0</v>
      </c>
      <c r="H102">
        <v>2</v>
      </c>
      <c r="I102">
        <v>545454</v>
      </c>
      <c r="J102">
        <v>194</v>
      </c>
      <c r="K102">
        <v>121945236.6692913</v>
      </c>
    </row>
    <row r="103" spans="1:11" x14ac:dyDescent="0.25">
      <c r="A103">
        <v>102</v>
      </c>
      <c r="B103" t="s">
        <v>213</v>
      </c>
      <c r="C103" t="s">
        <v>214</v>
      </c>
      <c r="D103">
        <v>2</v>
      </c>
      <c r="E103">
        <v>2309091</v>
      </c>
      <c r="F103">
        <v>0</v>
      </c>
      <c r="G103">
        <v>0</v>
      </c>
      <c r="H103">
        <v>0</v>
      </c>
      <c r="I103">
        <v>0</v>
      </c>
      <c r="J103">
        <v>2</v>
      </c>
      <c r="K103">
        <v>2309091</v>
      </c>
    </row>
    <row r="104" spans="1:11" x14ac:dyDescent="0.25">
      <c r="A104">
        <v>103</v>
      </c>
      <c r="B104" t="s">
        <v>215</v>
      </c>
      <c r="C104" t="s">
        <v>216</v>
      </c>
      <c r="D104">
        <v>2377</v>
      </c>
      <c r="E104">
        <v>252727643.46378449</v>
      </c>
      <c r="F104">
        <v>40</v>
      </c>
      <c r="G104">
        <v>3218182</v>
      </c>
      <c r="H104">
        <v>5</v>
      </c>
      <c r="I104">
        <v>663636</v>
      </c>
      <c r="J104">
        <v>2412</v>
      </c>
      <c r="K104">
        <v>255282189.46378449</v>
      </c>
    </row>
    <row r="105" spans="1:11" x14ac:dyDescent="0.25">
      <c r="A105">
        <v>104</v>
      </c>
      <c r="B105" t="s">
        <v>217</v>
      </c>
      <c r="C105" t="s">
        <v>218</v>
      </c>
      <c r="D105">
        <v>236</v>
      </c>
      <c r="E105">
        <v>92197164.992982447</v>
      </c>
      <c r="F105">
        <v>0</v>
      </c>
      <c r="G105">
        <v>0</v>
      </c>
      <c r="H105">
        <v>0</v>
      </c>
      <c r="I105">
        <v>0</v>
      </c>
      <c r="J105">
        <v>236</v>
      </c>
      <c r="K105">
        <v>92197164.992982447</v>
      </c>
    </row>
    <row r="106" spans="1:11" x14ac:dyDescent="0.25">
      <c r="A106">
        <v>105</v>
      </c>
      <c r="B106" t="s">
        <v>219</v>
      </c>
      <c r="C106" t="s">
        <v>220</v>
      </c>
      <c r="D106">
        <v>1064</v>
      </c>
      <c r="E106">
        <v>248350988.6902304</v>
      </c>
      <c r="F106">
        <v>1</v>
      </c>
      <c r="G106">
        <v>37037</v>
      </c>
      <c r="H106">
        <v>3</v>
      </c>
      <c r="I106">
        <v>518182</v>
      </c>
      <c r="J106">
        <v>1062</v>
      </c>
      <c r="K106">
        <v>247869843.6902304</v>
      </c>
    </row>
    <row r="107" spans="1:11" x14ac:dyDescent="0.25">
      <c r="A107">
        <v>106</v>
      </c>
      <c r="B107" t="s">
        <v>221</v>
      </c>
      <c r="C107" t="s">
        <v>222</v>
      </c>
      <c r="D107">
        <v>153</v>
      </c>
      <c r="E107">
        <v>64068345.329129368</v>
      </c>
      <c r="F107">
        <v>20</v>
      </c>
      <c r="G107">
        <v>2581818</v>
      </c>
      <c r="H107">
        <v>5</v>
      </c>
      <c r="I107">
        <v>672728</v>
      </c>
      <c r="J107">
        <v>168</v>
      </c>
      <c r="K107">
        <v>65977435.329129368</v>
      </c>
    </row>
    <row r="108" spans="1:11" x14ac:dyDescent="0.25">
      <c r="A108">
        <v>107</v>
      </c>
      <c r="B108" t="s">
        <v>223</v>
      </c>
      <c r="C108" t="s">
        <v>224</v>
      </c>
      <c r="D108">
        <v>6</v>
      </c>
      <c r="E108">
        <v>3124849.75</v>
      </c>
      <c r="F108">
        <v>0</v>
      </c>
      <c r="G108">
        <v>0</v>
      </c>
      <c r="H108">
        <v>0</v>
      </c>
      <c r="I108">
        <v>0</v>
      </c>
      <c r="J108">
        <v>6</v>
      </c>
      <c r="K108">
        <v>3124849.75</v>
      </c>
    </row>
    <row r="109" spans="1:11" x14ac:dyDescent="0.25">
      <c r="A109">
        <v>108</v>
      </c>
      <c r="B109" t="s">
        <v>225</v>
      </c>
      <c r="C109" t="s">
        <v>226</v>
      </c>
      <c r="D109">
        <v>367</v>
      </c>
      <c r="E109">
        <v>87669234.850046858</v>
      </c>
      <c r="F109">
        <v>1</v>
      </c>
      <c r="G109">
        <v>600000</v>
      </c>
      <c r="H109">
        <v>2</v>
      </c>
      <c r="I109">
        <v>936363</v>
      </c>
      <c r="J109">
        <v>366</v>
      </c>
      <c r="K109">
        <v>87332871.850046858</v>
      </c>
    </row>
    <row r="110" spans="1:11" x14ac:dyDescent="0.25">
      <c r="A110">
        <v>109</v>
      </c>
      <c r="B110" t="s">
        <v>227</v>
      </c>
      <c r="C110" t="s">
        <v>228</v>
      </c>
      <c r="D110">
        <v>302</v>
      </c>
      <c r="E110">
        <v>118296575.1661891</v>
      </c>
      <c r="F110">
        <v>0</v>
      </c>
      <c r="G110">
        <v>0</v>
      </c>
      <c r="H110">
        <v>3</v>
      </c>
      <c r="I110">
        <v>1209091</v>
      </c>
      <c r="J110">
        <v>299</v>
      </c>
      <c r="K110">
        <v>117087484.1661891</v>
      </c>
    </row>
    <row r="111" spans="1:11" x14ac:dyDescent="0.25">
      <c r="A111">
        <v>110</v>
      </c>
      <c r="B111" t="s">
        <v>229</v>
      </c>
      <c r="C111" t="s">
        <v>230</v>
      </c>
      <c r="D111">
        <v>27</v>
      </c>
      <c r="E111">
        <v>1892138.8936170209</v>
      </c>
      <c r="F111">
        <v>0</v>
      </c>
      <c r="G111">
        <v>0</v>
      </c>
      <c r="H111">
        <v>0</v>
      </c>
      <c r="I111">
        <v>0</v>
      </c>
      <c r="J111">
        <v>27</v>
      </c>
      <c r="K111">
        <v>1892138.8936170209</v>
      </c>
    </row>
    <row r="112" spans="1:11" x14ac:dyDescent="0.25">
      <c r="A112">
        <v>111</v>
      </c>
      <c r="B112" t="s">
        <v>231</v>
      </c>
      <c r="C112" t="s">
        <v>232</v>
      </c>
      <c r="D112">
        <v>111</v>
      </c>
      <c r="E112">
        <v>47551427.259079903</v>
      </c>
      <c r="F112">
        <v>0</v>
      </c>
      <c r="G112">
        <v>0</v>
      </c>
      <c r="H112">
        <v>0</v>
      </c>
      <c r="I112">
        <v>0</v>
      </c>
      <c r="J112">
        <v>111</v>
      </c>
      <c r="K112">
        <v>47551427.259079903</v>
      </c>
    </row>
    <row r="113" spans="1:11" x14ac:dyDescent="0.25">
      <c r="A113">
        <v>112</v>
      </c>
      <c r="B113" t="s">
        <v>233</v>
      </c>
      <c r="C113" t="s">
        <v>234</v>
      </c>
      <c r="D113">
        <v>972</v>
      </c>
      <c r="E113">
        <v>352550897.39026397</v>
      </c>
      <c r="F113">
        <v>6</v>
      </c>
      <c r="G113">
        <v>15267273</v>
      </c>
      <c r="H113">
        <v>6</v>
      </c>
      <c r="I113">
        <v>1190910</v>
      </c>
      <c r="J113">
        <v>972</v>
      </c>
      <c r="K113">
        <v>366627260.39026397</v>
      </c>
    </row>
    <row r="114" spans="1:11" x14ac:dyDescent="0.25">
      <c r="A114">
        <v>113</v>
      </c>
      <c r="B114" t="s">
        <v>235</v>
      </c>
      <c r="C114" t="s">
        <v>236</v>
      </c>
      <c r="D114">
        <v>44</v>
      </c>
      <c r="E114">
        <v>23793785.620689649</v>
      </c>
      <c r="F114">
        <v>0</v>
      </c>
      <c r="G114">
        <v>0</v>
      </c>
      <c r="H114">
        <v>0</v>
      </c>
      <c r="I114">
        <v>0</v>
      </c>
      <c r="J114">
        <v>44</v>
      </c>
      <c r="K114">
        <v>23793785.620689649</v>
      </c>
    </row>
    <row r="115" spans="1:11" x14ac:dyDescent="0.25">
      <c r="A115">
        <v>114</v>
      </c>
      <c r="B115" t="s">
        <v>237</v>
      </c>
      <c r="C115" t="s">
        <v>238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 x14ac:dyDescent="0.25">
      <c r="A116">
        <v>115</v>
      </c>
      <c r="B116" t="s">
        <v>239</v>
      </c>
      <c r="C116" t="s">
        <v>240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 x14ac:dyDescent="0.25">
      <c r="A117">
        <v>116</v>
      </c>
      <c r="B117" t="s">
        <v>241</v>
      </c>
      <c r="C117" t="s">
        <v>242</v>
      </c>
      <c r="D117">
        <v>1</v>
      </c>
      <c r="E117">
        <v>2400000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2400000</v>
      </c>
    </row>
    <row r="118" spans="1:11" x14ac:dyDescent="0.25">
      <c r="A118">
        <v>117</v>
      </c>
      <c r="B118" t="s">
        <v>243</v>
      </c>
      <c r="C118" t="s">
        <v>244</v>
      </c>
      <c r="D118">
        <v>1</v>
      </c>
      <c r="E118">
        <v>2200000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2200000</v>
      </c>
    </row>
    <row r="119" spans="1:11" x14ac:dyDescent="0.25">
      <c r="A119">
        <v>118</v>
      </c>
      <c r="B119" t="s">
        <v>245</v>
      </c>
      <c r="C119" t="s">
        <v>246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 x14ac:dyDescent="0.25">
      <c r="A120">
        <v>119</v>
      </c>
      <c r="B120" t="s">
        <v>247</v>
      </c>
      <c r="C120" t="s">
        <v>248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</row>
    <row r="121" spans="1:11" x14ac:dyDescent="0.25">
      <c r="A121">
        <v>120</v>
      </c>
      <c r="B121" t="s">
        <v>249</v>
      </c>
      <c r="C121" t="s">
        <v>250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 x14ac:dyDescent="0.25">
      <c r="A122">
        <v>121</v>
      </c>
      <c r="B122" t="s">
        <v>251</v>
      </c>
      <c r="C122" t="s">
        <v>252</v>
      </c>
      <c r="D122">
        <v>8</v>
      </c>
      <c r="E122">
        <v>1854545</v>
      </c>
      <c r="F122">
        <v>0</v>
      </c>
      <c r="G122">
        <v>0</v>
      </c>
      <c r="H122">
        <v>0</v>
      </c>
      <c r="I122">
        <v>0</v>
      </c>
      <c r="J122">
        <v>8</v>
      </c>
      <c r="K122">
        <v>1854545</v>
      </c>
    </row>
    <row r="123" spans="1:11" x14ac:dyDescent="0.25">
      <c r="A123">
        <v>122</v>
      </c>
      <c r="B123" t="s">
        <v>253</v>
      </c>
      <c r="C123" t="s">
        <v>254</v>
      </c>
      <c r="D123">
        <v>13</v>
      </c>
      <c r="E123">
        <v>21144156.616306961</v>
      </c>
      <c r="F123">
        <v>0</v>
      </c>
      <c r="G123">
        <v>0</v>
      </c>
      <c r="H123">
        <v>0</v>
      </c>
      <c r="I123">
        <v>0</v>
      </c>
      <c r="J123">
        <v>13</v>
      </c>
      <c r="K123">
        <v>21144156.616306961</v>
      </c>
    </row>
    <row r="124" spans="1:11" x14ac:dyDescent="0.25">
      <c r="A124">
        <v>123</v>
      </c>
      <c r="B124" t="s">
        <v>255</v>
      </c>
      <c r="C124" t="s">
        <v>256</v>
      </c>
      <c r="D124">
        <v>56</v>
      </c>
      <c r="E124">
        <v>30172515.84722222</v>
      </c>
      <c r="F124">
        <v>0</v>
      </c>
      <c r="G124">
        <v>0</v>
      </c>
      <c r="H124">
        <v>0</v>
      </c>
      <c r="I124">
        <v>0</v>
      </c>
      <c r="J124">
        <v>56</v>
      </c>
      <c r="K124">
        <v>30172515.84722222</v>
      </c>
    </row>
    <row r="125" spans="1:11" x14ac:dyDescent="0.25">
      <c r="A125">
        <v>124</v>
      </c>
      <c r="B125" t="s">
        <v>257</v>
      </c>
      <c r="C125" t="s">
        <v>258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 x14ac:dyDescent="0.25">
      <c r="A126">
        <v>125</v>
      </c>
      <c r="B126" t="s">
        <v>259</v>
      </c>
      <c r="C126" t="s">
        <v>260</v>
      </c>
      <c r="D126">
        <v>637</v>
      </c>
      <c r="E126">
        <v>349704258.2321918</v>
      </c>
      <c r="F126">
        <v>10</v>
      </c>
      <c r="G126">
        <v>4890911</v>
      </c>
      <c r="H126">
        <v>6</v>
      </c>
      <c r="I126">
        <v>4436364</v>
      </c>
      <c r="J126">
        <v>641</v>
      </c>
      <c r="K126">
        <v>350158805.2321918</v>
      </c>
    </row>
    <row r="127" spans="1:11" x14ac:dyDescent="0.25">
      <c r="A127">
        <v>126</v>
      </c>
      <c r="B127" t="s">
        <v>261</v>
      </c>
      <c r="C127" t="s">
        <v>262</v>
      </c>
      <c r="D127">
        <v>6</v>
      </c>
      <c r="E127">
        <v>2475742.1428571432</v>
      </c>
      <c r="F127">
        <v>1</v>
      </c>
      <c r="G127">
        <v>650000</v>
      </c>
      <c r="H127">
        <v>1</v>
      </c>
      <c r="I127">
        <v>900000</v>
      </c>
      <c r="J127">
        <v>6</v>
      </c>
      <c r="K127">
        <v>2225742.1428571432</v>
      </c>
    </row>
    <row r="128" spans="1:11" x14ac:dyDescent="0.25">
      <c r="A128">
        <v>127</v>
      </c>
      <c r="B128" t="s">
        <v>263</v>
      </c>
      <c r="C128" t="s">
        <v>264</v>
      </c>
      <c r="D128">
        <v>10</v>
      </c>
      <c r="E128">
        <v>9639901.4090909101</v>
      </c>
      <c r="F128">
        <v>0</v>
      </c>
      <c r="G128">
        <v>0</v>
      </c>
      <c r="H128">
        <v>0</v>
      </c>
      <c r="I128">
        <v>0</v>
      </c>
      <c r="J128">
        <v>10</v>
      </c>
      <c r="K128">
        <v>9639901.4090909101</v>
      </c>
    </row>
    <row r="129" spans="1:11" x14ac:dyDescent="0.25">
      <c r="A129">
        <v>128</v>
      </c>
      <c r="B129" t="s">
        <v>265</v>
      </c>
      <c r="C129" t="s">
        <v>266</v>
      </c>
      <c r="D129">
        <v>16</v>
      </c>
      <c r="E129">
        <v>29299617.75</v>
      </c>
      <c r="F129">
        <v>0</v>
      </c>
      <c r="G129">
        <v>0</v>
      </c>
      <c r="H129">
        <v>0</v>
      </c>
      <c r="I129">
        <v>0</v>
      </c>
      <c r="J129">
        <v>16</v>
      </c>
      <c r="K129">
        <v>29299617.75</v>
      </c>
    </row>
    <row r="130" spans="1:11" x14ac:dyDescent="0.25">
      <c r="A130">
        <v>129</v>
      </c>
      <c r="B130" t="s">
        <v>267</v>
      </c>
      <c r="C130" t="s">
        <v>268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1:11" x14ac:dyDescent="0.25">
      <c r="A131">
        <v>130</v>
      </c>
      <c r="B131" t="s">
        <v>269</v>
      </c>
      <c r="C131" t="s">
        <v>270</v>
      </c>
      <c r="D131">
        <v>253</v>
      </c>
      <c r="E131">
        <v>154536703.5194805</v>
      </c>
      <c r="F131">
        <v>6</v>
      </c>
      <c r="G131">
        <v>4418184</v>
      </c>
      <c r="H131">
        <v>1</v>
      </c>
      <c r="I131">
        <v>1272727</v>
      </c>
      <c r="J131">
        <v>258</v>
      </c>
      <c r="K131">
        <v>157682160.5194805</v>
      </c>
    </row>
    <row r="132" spans="1:11" x14ac:dyDescent="0.25">
      <c r="A132">
        <v>131</v>
      </c>
      <c r="B132" t="s">
        <v>271</v>
      </c>
      <c r="C132" t="s">
        <v>272</v>
      </c>
      <c r="D132">
        <v>110</v>
      </c>
      <c r="E132">
        <v>13823046.7489301</v>
      </c>
      <c r="F132">
        <v>0</v>
      </c>
      <c r="G132">
        <v>0</v>
      </c>
      <c r="H132">
        <v>0</v>
      </c>
      <c r="I132">
        <v>0</v>
      </c>
      <c r="J132">
        <v>110</v>
      </c>
      <c r="K132">
        <v>13823046.7489301</v>
      </c>
    </row>
    <row r="133" spans="1:11" x14ac:dyDescent="0.25">
      <c r="A133">
        <v>132</v>
      </c>
      <c r="B133" t="s">
        <v>273</v>
      </c>
      <c r="C133" t="s">
        <v>274</v>
      </c>
      <c r="D133">
        <v>453</v>
      </c>
      <c r="E133">
        <v>108696911.7694118</v>
      </c>
      <c r="F133">
        <v>16</v>
      </c>
      <c r="G133">
        <v>2685454</v>
      </c>
      <c r="H133">
        <v>5</v>
      </c>
      <c r="I133">
        <v>772728</v>
      </c>
      <c r="J133">
        <v>464</v>
      </c>
      <c r="K133">
        <v>110609637.7694118</v>
      </c>
    </row>
    <row r="134" spans="1:11" x14ac:dyDescent="0.25">
      <c r="A134">
        <v>133</v>
      </c>
      <c r="B134" t="s">
        <v>275</v>
      </c>
      <c r="C134" t="s">
        <v>276</v>
      </c>
      <c r="D134">
        <v>133</v>
      </c>
      <c r="E134">
        <v>41147051.084337354</v>
      </c>
      <c r="F134">
        <v>11</v>
      </c>
      <c r="G134">
        <v>2990910</v>
      </c>
      <c r="H134">
        <v>0</v>
      </c>
      <c r="I134">
        <v>0</v>
      </c>
      <c r="J134">
        <v>144</v>
      </c>
      <c r="K134">
        <v>44137961.084337354</v>
      </c>
    </row>
    <row r="135" spans="1:11" x14ac:dyDescent="0.25">
      <c r="A135">
        <v>134</v>
      </c>
      <c r="B135" t="s">
        <v>277</v>
      </c>
      <c r="C135" t="s">
        <v>278</v>
      </c>
      <c r="D135">
        <v>2</v>
      </c>
      <c r="E135">
        <v>358922.57142857142</v>
      </c>
      <c r="F135">
        <v>0</v>
      </c>
      <c r="G135">
        <v>0</v>
      </c>
      <c r="H135">
        <v>0</v>
      </c>
      <c r="I135">
        <v>0</v>
      </c>
      <c r="J135">
        <v>2</v>
      </c>
      <c r="K135">
        <v>358922.57142857142</v>
      </c>
    </row>
    <row r="136" spans="1:11" x14ac:dyDescent="0.25">
      <c r="A136">
        <v>135</v>
      </c>
      <c r="B136" t="s">
        <v>279</v>
      </c>
      <c r="C136" t="s">
        <v>280</v>
      </c>
      <c r="D136">
        <v>9</v>
      </c>
      <c r="E136">
        <v>1118537.368421053</v>
      </c>
      <c r="F136">
        <v>0</v>
      </c>
      <c r="G136">
        <v>0</v>
      </c>
      <c r="H136">
        <v>0</v>
      </c>
      <c r="I136">
        <v>0</v>
      </c>
      <c r="J136">
        <v>9</v>
      </c>
      <c r="K136">
        <v>1118537.368421053</v>
      </c>
    </row>
    <row r="137" spans="1:11" x14ac:dyDescent="0.25">
      <c r="A137">
        <v>136</v>
      </c>
      <c r="B137" t="s">
        <v>281</v>
      </c>
      <c r="C137" t="s">
        <v>282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 x14ac:dyDescent="0.25">
      <c r="A138">
        <v>137</v>
      </c>
      <c r="B138" t="s">
        <v>283</v>
      </c>
      <c r="C138" t="s">
        <v>284</v>
      </c>
      <c r="D138">
        <v>27</v>
      </c>
      <c r="E138">
        <v>21971385.860465121</v>
      </c>
      <c r="F138">
        <v>0</v>
      </c>
      <c r="G138">
        <v>0</v>
      </c>
      <c r="H138">
        <v>0</v>
      </c>
      <c r="I138">
        <v>0</v>
      </c>
      <c r="J138">
        <v>27</v>
      </c>
      <c r="K138">
        <v>21971385.860465121</v>
      </c>
    </row>
    <row r="139" spans="1:11" x14ac:dyDescent="0.25">
      <c r="A139">
        <v>138</v>
      </c>
      <c r="B139" t="s">
        <v>285</v>
      </c>
      <c r="C139" t="s">
        <v>286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</row>
    <row r="140" spans="1:11" x14ac:dyDescent="0.25">
      <c r="A140">
        <v>139</v>
      </c>
      <c r="B140" t="s">
        <v>287</v>
      </c>
      <c r="C140" t="s">
        <v>288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1" x14ac:dyDescent="0.25">
      <c r="A141">
        <v>140</v>
      </c>
      <c r="B141" t="s">
        <v>289</v>
      </c>
      <c r="C141" t="s">
        <v>290</v>
      </c>
      <c r="D141">
        <v>7</v>
      </c>
      <c r="E141">
        <v>16529354.83870968</v>
      </c>
      <c r="F141">
        <v>0</v>
      </c>
      <c r="G141">
        <v>0</v>
      </c>
      <c r="H141">
        <v>0</v>
      </c>
      <c r="I141">
        <v>0</v>
      </c>
      <c r="J141">
        <v>7</v>
      </c>
      <c r="K141">
        <v>16529354.83870968</v>
      </c>
    </row>
    <row r="142" spans="1:11" x14ac:dyDescent="0.25">
      <c r="A142">
        <v>141</v>
      </c>
      <c r="B142" t="s">
        <v>291</v>
      </c>
      <c r="C142" t="s">
        <v>292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 x14ac:dyDescent="0.25">
      <c r="A143">
        <v>142</v>
      </c>
      <c r="B143" t="s">
        <v>293</v>
      </c>
      <c r="C143" t="s">
        <v>294</v>
      </c>
      <c r="D143">
        <v>99</v>
      </c>
      <c r="E143">
        <v>19526168.115942031</v>
      </c>
      <c r="F143">
        <v>0</v>
      </c>
      <c r="G143">
        <v>0</v>
      </c>
      <c r="H143">
        <v>0</v>
      </c>
      <c r="I143">
        <v>0</v>
      </c>
      <c r="J143">
        <v>99</v>
      </c>
      <c r="K143">
        <v>19526168.115942031</v>
      </c>
    </row>
    <row r="144" spans="1:11" x14ac:dyDescent="0.25">
      <c r="A144">
        <v>143</v>
      </c>
      <c r="B144" t="s">
        <v>295</v>
      </c>
      <c r="C144" t="s">
        <v>296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 x14ac:dyDescent="0.25">
      <c r="A145">
        <v>144</v>
      </c>
      <c r="B145" t="s">
        <v>297</v>
      </c>
      <c r="C145" t="s">
        <v>298</v>
      </c>
      <c r="D145">
        <v>15</v>
      </c>
      <c r="E145">
        <v>2435955.1515151509</v>
      </c>
      <c r="F145">
        <v>1</v>
      </c>
      <c r="G145">
        <v>119998</v>
      </c>
      <c r="H145">
        <v>0</v>
      </c>
      <c r="I145">
        <v>0</v>
      </c>
      <c r="J145">
        <v>16</v>
      </c>
      <c r="K145">
        <v>2555953.1515151509</v>
      </c>
    </row>
    <row r="146" spans="1:11" x14ac:dyDescent="0.25">
      <c r="A146">
        <v>145</v>
      </c>
      <c r="B146" t="s">
        <v>299</v>
      </c>
      <c r="C146" t="s">
        <v>300</v>
      </c>
      <c r="D146">
        <v>1586.5450000000001</v>
      </c>
      <c r="E146">
        <v>793139925.4799999</v>
      </c>
      <c r="F146">
        <v>106.187</v>
      </c>
      <c r="G146">
        <v>43528616</v>
      </c>
      <c r="H146">
        <v>18</v>
      </c>
      <c r="I146">
        <v>20644108</v>
      </c>
      <c r="J146">
        <v>1674.732</v>
      </c>
      <c r="K146">
        <v>816024433.4799999</v>
      </c>
    </row>
    <row r="147" spans="1:11" x14ac:dyDescent="0.25">
      <c r="A147" t="s">
        <v>301</v>
      </c>
      <c r="D147">
        <v>28027.544999999998</v>
      </c>
      <c r="E147">
        <v>24146571300.88002</v>
      </c>
      <c r="F147">
        <v>803.18700000000001</v>
      </c>
      <c r="G147">
        <v>520801361</v>
      </c>
      <c r="H147">
        <v>236</v>
      </c>
      <c r="I147">
        <v>384948018</v>
      </c>
      <c r="J147">
        <v>28600.732</v>
      </c>
      <c r="K147">
        <v>24343633735.28001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47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t="s">
        <v>11</v>
      </c>
      <c r="C2" t="s">
        <v>12</v>
      </c>
      <c r="D2">
        <v>2</v>
      </c>
      <c r="E2">
        <v>24589927.772727281</v>
      </c>
      <c r="F2">
        <v>0</v>
      </c>
      <c r="G2">
        <v>0</v>
      </c>
      <c r="H2">
        <v>0</v>
      </c>
      <c r="I2">
        <v>0</v>
      </c>
      <c r="J2">
        <v>2</v>
      </c>
      <c r="K2">
        <v>24589927.772727281</v>
      </c>
    </row>
    <row r="3" spans="1:11" x14ac:dyDescent="0.25">
      <c r="A3">
        <v>2</v>
      </c>
      <c r="B3" t="s">
        <v>13</v>
      </c>
      <c r="C3" t="s">
        <v>14</v>
      </c>
      <c r="D3">
        <v>14</v>
      </c>
      <c r="E3">
        <v>107138809</v>
      </c>
      <c r="F3">
        <v>0</v>
      </c>
      <c r="G3">
        <v>0</v>
      </c>
      <c r="H3">
        <v>0</v>
      </c>
      <c r="I3">
        <v>0</v>
      </c>
      <c r="J3">
        <v>14</v>
      </c>
      <c r="K3">
        <v>107138809</v>
      </c>
    </row>
    <row r="4" spans="1:11" x14ac:dyDescent="0.25">
      <c r="A4">
        <v>3</v>
      </c>
      <c r="B4" t="s">
        <v>15</v>
      </c>
      <c r="C4" t="s">
        <v>16</v>
      </c>
      <c r="D4">
        <v>198</v>
      </c>
      <c r="E4">
        <v>1934418324.201292</v>
      </c>
      <c r="F4">
        <v>20</v>
      </c>
      <c r="G4">
        <v>289636364</v>
      </c>
      <c r="H4">
        <v>3</v>
      </c>
      <c r="I4">
        <v>54263636</v>
      </c>
      <c r="J4">
        <v>215</v>
      </c>
      <c r="K4">
        <v>2169791052.201292</v>
      </c>
    </row>
    <row r="5" spans="1:11" x14ac:dyDescent="0.25">
      <c r="A5">
        <v>4</v>
      </c>
      <c r="B5" t="s">
        <v>17</v>
      </c>
      <c r="C5" t="s">
        <v>18</v>
      </c>
      <c r="D5">
        <v>1</v>
      </c>
      <c r="E5">
        <v>29283636</v>
      </c>
      <c r="F5">
        <v>0</v>
      </c>
      <c r="G5">
        <v>0</v>
      </c>
      <c r="H5">
        <v>0</v>
      </c>
      <c r="I5">
        <v>0</v>
      </c>
      <c r="J5">
        <v>1</v>
      </c>
      <c r="K5">
        <v>29283636</v>
      </c>
    </row>
    <row r="6" spans="1:11" x14ac:dyDescent="0.25">
      <c r="A6">
        <v>5</v>
      </c>
      <c r="B6" t="s">
        <v>19</v>
      </c>
      <c r="C6" t="s">
        <v>20</v>
      </c>
      <c r="D6">
        <v>2</v>
      </c>
      <c r="E6">
        <v>42793621.178571403</v>
      </c>
      <c r="F6">
        <v>0</v>
      </c>
      <c r="G6">
        <v>0</v>
      </c>
      <c r="H6">
        <v>0</v>
      </c>
      <c r="I6">
        <v>0</v>
      </c>
      <c r="J6">
        <v>2</v>
      </c>
      <c r="K6">
        <v>42793621.178571403</v>
      </c>
    </row>
    <row r="7" spans="1:11" x14ac:dyDescent="0.25">
      <c r="A7">
        <v>6</v>
      </c>
      <c r="B7" t="s">
        <v>21</v>
      </c>
      <c r="C7" t="s">
        <v>22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5">
      <c r="A8">
        <v>7</v>
      </c>
      <c r="B8" t="s">
        <v>23</v>
      </c>
      <c r="C8" t="s">
        <v>24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5">
      <c r="A9">
        <v>8</v>
      </c>
      <c r="B9" t="s">
        <v>25</v>
      </c>
      <c r="C9" t="s">
        <v>26</v>
      </c>
      <c r="D9">
        <v>12</v>
      </c>
      <c r="E9">
        <v>46928087.450000003</v>
      </c>
      <c r="F9">
        <v>0</v>
      </c>
      <c r="G9">
        <v>0</v>
      </c>
      <c r="H9">
        <v>0</v>
      </c>
      <c r="I9">
        <v>0</v>
      </c>
      <c r="J9">
        <v>12</v>
      </c>
      <c r="K9">
        <v>46928087.450000003</v>
      </c>
    </row>
    <row r="10" spans="1:11" x14ac:dyDescent="0.25">
      <c r="A10">
        <v>9</v>
      </c>
      <c r="B10" t="s">
        <v>27</v>
      </c>
      <c r="C10" t="s">
        <v>28</v>
      </c>
      <c r="D10">
        <v>391</v>
      </c>
      <c r="E10">
        <v>1381096403.5951941</v>
      </c>
      <c r="F10">
        <v>32</v>
      </c>
      <c r="G10">
        <v>116623636</v>
      </c>
      <c r="H10">
        <v>7</v>
      </c>
      <c r="I10">
        <v>29545455</v>
      </c>
      <c r="J10">
        <v>416</v>
      </c>
      <c r="K10">
        <v>1468174584.5951941</v>
      </c>
    </row>
    <row r="11" spans="1:11" x14ac:dyDescent="0.25">
      <c r="A11">
        <v>10</v>
      </c>
      <c r="B11" t="s">
        <v>29</v>
      </c>
      <c r="C11" t="s">
        <v>30</v>
      </c>
      <c r="D11">
        <v>3</v>
      </c>
      <c r="E11">
        <v>18961647.25</v>
      </c>
      <c r="F11">
        <v>0</v>
      </c>
      <c r="G11">
        <v>0</v>
      </c>
      <c r="H11">
        <v>0</v>
      </c>
      <c r="I11">
        <v>0</v>
      </c>
      <c r="J11">
        <v>3</v>
      </c>
      <c r="K11">
        <v>18961647.25</v>
      </c>
    </row>
    <row r="12" spans="1:11" x14ac:dyDescent="0.25">
      <c r="A12">
        <v>11</v>
      </c>
      <c r="B12" t="s">
        <v>31</v>
      </c>
      <c r="C12" t="s">
        <v>32</v>
      </c>
      <c r="D12">
        <v>404</v>
      </c>
      <c r="E12">
        <v>4691490885.2191219</v>
      </c>
      <c r="F12">
        <v>21</v>
      </c>
      <c r="G12">
        <v>248279997</v>
      </c>
      <c r="H12">
        <v>8</v>
      </c>
      <c r="I12">
        <v>107454545</v>
      </c>
      <c r="J12">
        <v>417</v>
      </c>
      <c r="K12">
        <v>4832316337.2191219</v>
      </c>
    </row>
    <row r="13" spans="1:11" x14ac:dyDescent="0.25">
      <c r="A13">
        <v>12</v>
      </c>
      <c r="B13" t="s">
        <v>33</v>
      </c>
      <c r="C13" t="s">
        <v>34</v>
      </c>
      <c r="D13">
        <v>46</v>
      </c>
      <c r="E13">
        <v>797736052.76923084</v>
      </c>
      <c r="F13">
        <v>6</v>
      </c>
      <c r="G13">
        <v>100763636</v>
      </c>
      <c r="H13">
        <v>0</v>
      </c>
      <c r="I13">
        <v>0</v>
      </c>
      <c r="J13">
        <v>52</v>
      </c>
      <c r="K13">
        <v>898499688.76923084</v>
      </c>
    </row>
    <row r="14" spans="1:11" x14ac:dyDescent="0.25">
      <c r="A14">
        <v>13</v>
      </c>
      <c r="B14" t="s">
        <v>35</v>
      </c>
      <c r="C14" t="s">
        <v>36</v>
      </c>
      <c r="D14">
        <v>21</v>
      </c>
      <c r="E14">
        <v>371611678.28947371</v>
      </c>
      <c r="F14">
        <v>1</v>
      </c>
      <c r="G14">
        <v>26172727</v>
      </c>
      <c r="H14">
        <v>0</v>
      </c>
      <c r="I14">
        <v>0</v>
      </c>
      <c r="J14">
        <v>22</v>
      </c>
      <c r="K14">
        <v>397784405.28947371</v>
      </c>
    </row>
    <row r="15" spans="1:11" x14ac:dyDescent="0.25">
      <c r="A15">
        <v>14</v>
      </c>
      <c r="B15" t="s">
        <v>37</v>
      </c>
      <c r="C15" t="s">
        <v>38</v>
      </c>
      <c r="D15">
        <v>28</v>
      </c>
      <c r="E15">
        <v>352092313.93430662</v>
      </c>
      <c r="F15">
        <v>0</v>
      </c>
      <c r="G15">
        <v>0</v>
      </c>
      <c r="H15">
        <v>1</v>
      </c>
      <c r="I15">
        <v>16818182</v>
      </c>
      <c r="J15">
        <v>27</v>
      </c>
      <c r="K15">
        <v>335274131.93430662</v>
      </c>
    </row>
    <row r="16" spans="1:11" x14ac:dyDescent="0.25">
      <c r="A16">
        <v>15</v>
      </c>
      <c r="B16" t="s">
        <v>39</v>
      </c>
      <c r="C16" t="s">
        <v>40</v>
      </c>
      <c r="D16">
        <v>2</v>
      </c>
      <c r="E16">
        <v>78375895.104477614</v>
      </c>
      <c r="F16">
        <v>0</v>
      </c>
      <c r="G16">
        <v>0</v>
      </c>
      <c r="H16">
        <v>0</v>
      </c>
      <c r="I16">
        <v>0</v>
      </c>
      <c r="J16">
        <v>2</v>
      </c>
      <c r="K16">
        <v>78375895.104477614</v>
      </c>
    </row>
    <row r="17" spans="1:11" x14ac:dyDescent="0.25">
      <c r="A17">
        <v>16</v>
      </c>
      <c r="B17" t="s">
        <v>41</v>
      </c>
      <c r="C17" t="s">
        <v>42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>
        <v>17</v>
      </c>
      <c r="B18" t="s">
        <v>43</v>
      </c>
      <c r="C18" t="s">
        <v>44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>
        <v>18</v>
      </c>
      <c r="B19" t="s">
        <v>45</v>
      </c>
      <c r="C19" t="s">
        <v>46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25">
      <c r="A20">
        <v>19</v>
      </c>
      <c r="B20" t="s">
        <v>47</v>
      </c>
      <c r="C20" t="s">
        <v>48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5">
      <c r="A21">
        <v>20</v>
      </c>
      <c r="B21" t="s">
        <v>49</v>
      </c>
      <c r="C21" t="s">
        <v>50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25">
      <c r="A22">
        <v>21</v>
      </c>
      <c r="B22" t="s">
        <v>51</v>
      </c>
      <c r="C22" t="s">
        <v>52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25">
      <c r="A23">
        <v>22</v>
      </c>
      <c r="B23" t="s">
        <v>53</v>
      </c>
      <c r="C23" t="s">
        <v>54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25">
      <c r="A24">
        <v>23</v>
      </c>
      <c r="B24" t="s">
        <v>55</v>
      </c>
      <c r="C24" t="s">
        <v>56</v>
      </c>
      <c r="D24">
        <v>0</v>
      </c>
      <c r="E24">
        <v>0</v>
      </c>
      <c r="F24">
        <v>0</v>
      </c>
      <c r="G24">
        <v>0</v>
      </c>
      <c r="H24">
        <v>17</v>
      </c>
      <c r="I24">
        <v>181950002</v>
      </c>
      <c r="J24">
        <v>0</v>
      </c>
      <c r="K24">
        <v>0</v>
      </c>
    </row>
    <row r="25" spans="1:11" x14ac:dyDescent="0.25">
      <c r="A25">
        <v>24</v>
      </c>
      <c r="B25" t="s">
        <v>57</v>
      </c>
      <c r="C25" t="s">
        <v>58</v>
      </c>
      <c r="D25">
        <v>299</v>
      </c>
      <c r="E25">
        <v>2431189766.361217</v>
      </c>
      <c r="F25">
        <v>9</v>
      </c>
      <c r="G25">
        <v>106453634</v>
      </c>
      <c r="H25">
        <v>3</v>
      </c>
      <c r="I25">
        <v>36518182</v>
      </c>
      <c r="J25">
        <v>305</v>
      </c>
      <c r="K25">
        <v>2501125218.361217</v>
      </c>
    </row>
    <row r="26" spans="1:11" x14ac:dyDescent="0.25">
      <c r="A26">
        <v>25</v>
      </c>
      <c r="B26" t="s">
        <v>59</v>
      </c>
      <c r="C26" t="s">
        <v>60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25">
      <c r="A27">
        <v>26</v>
      </c>
      <c r="B27" t="s">
        <v>61</v>
      </c>
      <c r="C27" t="s">
        <v>62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5">
      <c r="A28">
        <v>27</v>
      </c>
      <c r="B28" t="s">
        <v>63</v>
      </c>
      <c r="C28" t="s">
        <v>64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25">
      <c r="A29">
        <v>28</v>
      </c>
      <c r="B29" t="s">
        <v>65</v>
      </c>
      <c r="C29" t="s">
        <v>66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x14ac:dyDescent="0.25">
      <c r="A30">
        <v>29</v>
      </c>
      <c r="B30" t="s">
        <v>67</v>
      </c>
      <c r="C30" t="s">
        <v>68</v>
      </c>
      <c r="D30">
        <v>6</v>
      </c>
      <c r="E30">
        <v>67213777.307692319</v>
      </c>
      <c r="F30">
        <v>0</v>
      </c>
      <c r="G30">
        <v>0</v>
      </c>
      <c r="H30">
        <v>0</v>
      </c>
      <c r="I30">
        <v>0</v>
      </c>
      <c r="J30">
        <v>6</v>
      </c>
      <c r="K30">
        <v>67213777.307692319</v>
      </c>
    </row>
    <row r="31" spans="1:11" x14ac:dyDescent="0.25">
      <c r="A31">
        <v>30</v>
      </c>
      <c r="B31" t="s">
        <v>69</v>
      </c>
      <c r="C31" t="s">
        <v>70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25">
      <c r="A32">
        <v>31</v>
      </c>
      <c r="B32" t="s">
        <v>71</v>
      </c>
      <c r="C32" t="s">
        <v>72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25">
      <c r="A33">
        <v>32</v>
      </c>
      <c r="B33" t="s">
        <v>73</v>
      </c>
      <c r="C33" t="s">
        <v>74</v>
      </c>
      <c r="D33">
        <v>5</v>
      </c>
      <c r="E33">
        <v>25627439.5</v>
      </c>
      <c r="F33">
        <v>0</v>
      </c>
      <c r="G33">
        <v>0</v>
      </c>
      <c r="H33">
        <v>0</v>
      </c>
      <c r="I33">
        <v>0</v>
      </c>
      <c r="J33">
        <v>5</v>
      </c>
      <c r="K33">
        <v>25627439.5</v>
      </c>
    </row>
    <row r="34" spans="1:11" x14ac:dyDescent="0.25">
      <c r="A34">
        <v>33</v>
      </c>
      <c r="B34" t="s">
        <v>75</v>
      </c>
      <c r="C34" t="s">
        <v>76</v>
      </c>
      <c r="D34">
        <v>50</v>
      </c>
      <c r="E34">
        <v>98558903.183266938</v>
      </c>
      <c r="F34">
        <v>0</v>
      </c>
      <c r="G34">
        <v>0</v>
      </c>
      <c r="H34">
        <v>0</v>
      </c>
      <c r="I34">
        <v>0</v>
      </c>
      <c r="J34">
        <v>50</v>
      </c>
      <c r="K34">
        <v>98558903.183266938</v>
      </c>
    </row>
    <row r="35" spans="1:11" x14ac:dyDescent="0.25">
      <c r="A35">
        <v>34</v>
      </c>
      <c r="B35" t="s">
        <v>77</v>
      </c>
      <c r="C35" t="s">
        <v>78</v>
      </c>
      <c r="D35">
        <v>670</v>
      </c>
      <c r="E35">
        <v>1329501854.553802</v>
      </c>
      <c r="F35">
        <v>27</v>
      </c>
      <c r="G35">
        <v>55229096</v>
      </c>
      <c r="H35">
        <v>19</v>
      </c>
      <c r="I35">
        <v>33681813</v>
      </c>
      <c r="J35">
        <v>678</v>
      </c>
      <c r="K35">
        <v>1351049137.553802</v>
      </c>
    </row>
    <row r="36" spans="1:11" x14ac:dyDescent="0.25">
      <c r="A36">
        <v>35</v>
      </c>
      <c r="B36" t="s">
        <v>79</v>
      </c>
      <c r="C36" t="s">
        <v>80</v>
      </c>
      <c r="D36">
        <v>17</v>
      </c>
      <c r="E36">
        <v>43508071.021276593</v>
      </c>
      <c r="F36">
        <v>0</v>
      </c>
      <c r="G36">
        <v>0</v>
      </c>
      <c r="H36">
        <v>0</v>
      </c>
      <c r="I36">
        <v>0</v>
      </c>
      <c r="J36">
        <v>17</v>
      </c>
      <c r="K36">
        <v>43508071.021276593</v>
      </c>
    </row>
    <row r="37" spans="1:11" x14ac:dyDescent="0.25">
      <c r="A37">
        <v>36</v>
      </c>
      <c r="B37" t="s">
        <v>81</v>
      </c>
      <c r="C37" t="s">
        <v>82</v>
      </c>
      <c r="D37">
        <v>33</v>
      </c>
      <c r="E37">
        <v>130746745.1964286</v>
      </c>
      <c r="F37">
        <v>2</v>
      </c>
      <c r="G37">
        <v>7727273</v>
      </c>
      <c r="H37">
        <v>4</v>
      </c>
      <c r="I37">
        <v>8154543</v>
      </c>
      <c r="J37">
        <v>31</v>
      </c>
      <c r="K37">
        <v>130319475.1964286</v>
      </c>
    </row>
    <row r="38" spans="1:11" x14ac:dyDescent="0.25">
      <c r="A38">
        <v>37</v>
      </c>
      <c r="B38" t="s">
        <v>83</v>
      </c>
      <c r="C38" t="s">
        <v>84</v>
      </c>
      <c r="D38">
        <v>1</v>
      </c>
      <c r="E38">
        <v>4336364</v>
      </c>
      <c r="F38">
        <v>0</v>
      </c>
      <c r="G38">
        <v>0</v>
      </c>
      <c r="H38">
        <v>0</v>
      </c>
      <c r="I38">
        <v>0</v>
      </c>
      <c r="J38">
        <v>1</v>
      </c>
      <c r="K38">
        <v>4336364</v>
      </c>
    </row>
    <row r="39" spans="1:11" x14ac:dyDescent="0.25">
      <c r="A39">
        <v>38</v>
      </c>
      <c r="B39" t="s">
        <v>85</v>
      </c>
      <c r="C39" t="s">
        <v>86</v>
      </c>
      <c r="D39">
        <v>136</v>
      </c>
      <c r="E39">
        <v>369638595.38106239</v>
      </c>
      <c r="F39">
        <v>38</v>
      </c>
      <c r="G39">
        <v>95936363</v>
      </c>
      <c r="H39">
        <v>2</v>
      </c>
      <c r="I39">
        <v>9945455</v>
      </c>
      <c r="J39">
        <v>172</v>
      </c>
      <c r="K39">
        <v>455629503.38106239</v>
      </c>
    </row>
    <row r="40" spans="1:11" x14ac:dyDescent="0.25">
      <c r="A40">
        <v>39</v>
      </c>
      <c r="B40" t="s">
        <v>87</v>
      </c>
      <c r="C40" t="s">
        <v>88</v>
      </c>
      <c r="D40">
        <v>12</v>
      </c>
      <c r="E40">
        <v>65388888.777777784</v>
      </c>
      <c r="F40">
        <v>0</v>
      </c>
      <c r="G40">
        <v>0</v>
      </c>
      <c r="H40">
        <v>0</v>
      </c>
      <c r="I40">
        <v>0</v>
      </c>
      <c r="J40">
        <v>12</v>
      </c>
      <c r="K40">
        <v>65388888.777777784</v>
      </c>
    </row>
    <row r="41" spans="1:11" x14ac:dyDescent="0.25">
      <c r="A41">
        <v>40</v>
      </c>
      <c r="B41" t="s">
        <v>89</v>
      </c>
      <c r="C41" t="s">
        <v>90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25">
      <c r="A42">
        <v>41</v>
      </c>
      <c r="B42" t="s">
        <v>91</v>
      </c>
      <c r="C42" t="s">
        <v>92</v>
      </c>
      <c r="D42">
        <v>1528</v>
      </c>
      <c r="E42">
        <v>15706366</v>
      </c>
      <c r="F42">
        <v>35</v>
      </c>
      <c r="G42">
        <v>49549999.640000001</v>
      </c>
      <c r="H42">
        <v>8</v>
      </c>
      <c r="I42">
        <v>35381819</v>
      </c>
      <c r="J42">
        <v>1555</v>
      </c>
      <c r="K42">
        <v>29874546.640000001</v>
      </c>
    </row>
    <row r="43" spans="1:11" x14ac:dyDescent="0.25">
      <c r="A43">
        <v>42</v>
      </c>
      <c r="B43" t="s">
        <v>93</v>
      </c>
      <c r="C43" t="s">
        <v>94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25">
      <c r="A44">
        <v>43</v>
      </c>
      <c r="B44" t="s">
        <v>95</v>
      </c>
      <c r="C44" t="s">
        <v>96</v>
      </c>
      <c r="D44">
        <v>552</v>
      </c>
      <c r="E44">
        <v>1621954981.4247439</v>
      </c>
      <c r="F44">
        <v>0</v>
      </c>
      <c r="G44">
        <v>0</v>
      </c>
      <c r="H44">
        <v>8</v>
      </c>
      <c r="I44">
        <v>28054546</v>
      </c>
      <c r="J44">
        <v>544</v>
      </c>
      <c r="K44">
        <v>1593900435.4247439</v>
      </c>
    </row>
    <row r="45" spans="1:11" x14ac:dyDescent="0.25">
      <c r="A45">
        <v>44</v>
      </c>
      <c r="B45" t="s">
        <v>97</v>
      </c>
      <c r="C45" t="s">
        <v>98</v>
      </c>
      <c r="D45">
        <v>108</v>
      </c>
      <c r="E45">
        <v>474052438.79297298</v>
      </c>
      <c r="F45">
        <v>0</v>
      </c>
      <c r="G45">
        <v>0</v>
      </c>
      <c r="H45">
        <v>5</v>
      </c>
      <c r="I45">
        <v>26372727</v>
      </c>
      <c r="J45">
        <v>103</v>
      </c>
      <c r="K45">
        <v>447679711.79297298</v>
      </c>
    </row>
    <row r="46" spans="1:11" x14ac:dyDescent="0.25">
      <c r="A46">
        <v>45</v>
      </c>
      <c r="B46" t="s">
        <v>99</v>
      </c>
      <c r="C46" t="s">
        <v>100</v>
      </c>
      <c r="D46">
        <v>305</v>
      </c>
      <c r="E46">
        <v>96389209.632571429</v>
      </c>
      <c r="F46">
        <v>0</v>
      </c>
      <c r="G46">
        <v>0</v>
      </c>
      <c r="H46">
        <v>2</v>
      </c>
      <c r="I46">
        <v>372728</v>
      </c>
      <c r="J46">
        <v>303</v>
      </c>
      <c r="K46">
        <v>96016481.632571429</v>
      </c>
    </row>
    <row r="47" spans="1:11" x14ac:dyDescent="0.25">
      <c r="A47">
        <v>46</v>
      </c>
      <c r="B47" t="s">
        <v>101</v>
      </c>
      <c r="C47" t="s">
        <v>102</v>
      </c>
      <c r="D47">
        <v>149</v>
      </c>
      <c r="E47">
        <v>263881504.92567381</v>
      </c>
      <c r="F47">
        <v>11</v>
      </c>
      <c r="G47">
        <v>14345455</v>
      </c>
      <c r="H47">
        <v>1</v>
      </c>
      <c r="I47">
        <v>7090909</v>
      </c>
      <c r="J47">
        <v>159</v>
      </c>
      <c r="K47">
        <v>271136050.92567378</v>
      </c>
    </row>
    <row r="48" spans="1:11" x14ac:dyDescent="0.25">
      <c r="A48">
        <v>47</v>
      </c>
      <c r="B48" t="s">
        <v>103</v>
      </c>
      <c r="C48" t="s">
        <v>104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 x14ac:dyDescent="0.25">
      <c r="A49">
        <v>48</v>
      </c>
      <c r="B49" t="s">
        <v>105</v>
      </c>
      <c r="C49" t="s">
        <v>106</v>
      </c>
      <c r="D49">
        <v>37</v>
      </c>
      <c r="E49">
        <v>273421392.96224141</v>
      </c>
      <c r="F49">
        <v>2</v>
      </c>
      <c r="G49">
        <v>8136364</v>
      </c>
      <c r="H49">
        <v>1</v>
      </c>
      <c r="I49">
        <v>7590909</v>
      </c>
      <c r="J49">
        <v>38</v>
      </c>
      <c r="K49">
        <v>273966847.96224141</v>
      </c>
    </row>
    <row r="50" spans="1:11" x14ac:dyDescent="0.25">
      <c r="A50">
        <v>49</v>
      </c>
      <c r="B50" t="s">
        <v>107</v>
      </c>
      <c r="C50" t="s">
        <v>108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25">
      <c r="A51">
        <v>50</v>
      </c>
      <c r="B51" t="s">
        <v>109</v>
      </c>
      <c r="C51" t="s">
        <v>110</v>
      </c>
      <c r="D51">
        <v>5</v>
      </c>
      <c r="E51">
        <v>254228.19999999931</v>
      </c>
      <c r="F51">
        <v>0</v>
      </c>
      <c r="G51">
        <v>0</v>
      </c>
      <c r="H51">
        <v>0</v>
      </c>
      <c r="I51">
        <v>0</v>
      </c>
      <c r="J51">
        <v>5</v>
      </c>
      <c r="K51">
        <v>254228.19999999931</v>
      </c>
    </row>
    <row r="52" spans="1:11" x14ac:dyDescent="0.25">
      <c r="A52">
        <v>51</v>
      </c>
      <c r="B52" t="s">
        <v>111</v>
      </c>
      <c r="C52" t="s">
        <v>112</v>
      </c>
      <c r="D52">
        <v>30</v>
      </c>
      <c r="E52">
        <v>61627285.066938758</v>
      </c>
      <c r="F52">
        <v>0</v>
      </c>
      <c r="G52">
        <v>0</v>
      </c>
      <c r="H52">
        <v>0</v>
      </c>
      <c r="I52">
        <v>0</v>
      </c>
      <c r="J52">
        <v>30</v>
      </c>
      <c r="K52">
        <v>61627285.066938758</v>
      </c>
    </row>
    <row r="53" spans="1:11" x14ac:dyDescent="0.25">
      <c r="A53">
        <v>52</v>
      </c>
      <c r="B53" t="s">
        <v>113</v>
      </c>
      <c r="C53" t="s">
        <v>114</v>
      </c>
      <c r="D53">
        <v>3</v>
      </c>
      <c r="E53">
        <v>5580000</v>
      </c>
      <c r="F53">
        <v>0</v>
      </c>
      <c r="G53">
        <v>0</v>
      </c>
      <c r="H53">
        <v>0</v>
      </c>
      <c r="I53">
        <v>0</v>
      </c>
      <c r="J53">
        <v>3</v>
      </c>
      <c r="K53">
        <v>5580000</v>
      </c>
    </row>
    <row r="54" spans="1:11" x14ac:dyDescent="0.25">
      <c r="A54">
        <v>53</v>
      </c>
      <c r="B54" t="s">
        <v>115</v>
      </c>
      <c r="C54" t="s">
        <v>116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 x14ac:dyDescent="0.25">
      <c r="A55">
        <v>54</v>
      </c>
      <c r="B55" t="s">
        <v>117</v>
      </c>
      <c r="C55" t="s">
        <v>118</v>
      </c>
      <c r="D55">
        <v>93</v>
      </c>
      <c r="E55">
        <v>114586169.172702</v>
      </c>
      <c r="F55">
        <v>1</v>
      </c>
      <c r="G55">
        <v>10200000</v>
      </c>
      <c r="H55">
        <v>2</v>
      </c>
      <c r="I55">
        <v>12127273</v>
      </c>
      <c r="J55">
        <v>92</v>
      </c>
      <c r="K55">
        <v>112658896.172702</v>
      </c>
    </row>
    <row r="56" spans="1:11" x14ac:dyDescent="0.25">
      <c r="A56">
        <v>55</v>
      </c>
      <c r="B56" t="s">
        <v>119</v>
      </c>
      <c r="C56" t="s">
        <v>120</v>
      </c>
      <c r="D56">
        <v>32</v>
      </c>
      <c r="E56">
        <v>4952973.4915254228</v>
      </c>
      <c r="F56">
        <v>0</v>
      </c>
      <c r="G56">
        <v>0</v>
      </c>
      <c r="H56">
        <v>0</v>
      </c>
      <c r="I56">
        <v>0</v>
      </c>
      <c r="J56">
        <v>32</v>
      </c>
      <c r="K56">
        <v>4952973.4915254228</v>
      </c>
    </row>
    <row r="57" spans="1:11" x14ac:dyDescent="0.25">
      <c r="A57">
        <v>56</v>
      </c>
      <c r="B57" t="s">
        <v>121</v>
      </c>
      <c r="C57" t="s">
        <v>122</v>
      </c>
      <c r="D57">
        <v>6</v>
      </c>
      <c r="E57">
        <v>17901110.180769231</v>
      </c>
      <c r="F57">
        <v>0</v>
      </c>
      <c r="G57">
        <v>0</v>
      </c>
      <c r="H57">
        <v>0</v>
      </c>
      <c r="I57">
        <v>0</v>
      </c>
      <c r="J57">
        <v>6</v>
      </c>
      <c r="K57">
        <v>17901110.180769231</v>
      </c>
    </row>
    <row r="58" spans="1:11" x14ac:dyDescent="0.25">
      <c r="A58">
        <v>57</v>
      </c>
      <c r="B58" t="s">
        <v>123</v>
      </c>
      <c r="C58" t="s">
        <v>124</v>
      </c>
      <c r="D58">
        <v>2</v>
      </c>
      <c r="E58">
        <v>1829966.11</v>
      </c>
      <c r="F58">
        <v>0</v>
      </c>
      <c r="G58">
        <v>0</v>
      </c>
      <c r="H58">
        <v>0</v>
      </c>
      <c r="I58">
        <v>0</v>
      </c>
      <c r="J58">
        <v>2</v>
      </c>
      <c r="K58">
        <v>1829966.11</v>
      </c>
    </row>
    <row r="59" spans="1:11" x14ac:dyDescent="0.25">
      <c r="A59">
        <v>58</v>
      </c>
      <c r="B59" t="s">
        <v>125</v>
      </c>
      <c r="C59" t="s">
        <v>126</v>
      </c>
      <c r="D59">
        <v>4158</v>
      </c>
      <c r="E59">
        <v>256905064.36559761</v>
      </c>
      <c r="F59">
        <v>178</v>
      </c>
      <c r="G59">
        <v>32841417</v>
      </c>
      <c r="H59">
        <v>124</v>
      </c>
      <c r="I59">
        <v>14518185</v>
      </c>
      <c r="J59">
        <v>4212</v>
      </c>
      <c r="K59">
        <v>275228296.36559761</v>
      </c>
    </row>
    <row r="60" spans="1:11" x14ac:dyDescent="0.25">
      <c r="A60">
        <v>59</v>
      </c>
      <c r="B60" t="s">
        <v>127</v>
      </c>
      <c r="C60" t="s">
        <v>128</v>
      </c>
      <c r="D60">
        <v>204</v>
      </c>
      <c r="E60">
        <v>5882020.6822262118</v>
      </c>
      <c r="F60">
        <v>5</v>
      </c>
      <c r="G60">
        <v>354545</v>
      </c>
      <c r="H60">
        <v>4</v>
      </c>
      <c r="I60">
        <v>690908</v>
      </c>
      <c r="J60">
        <v>205</v>
      </c>
      <c r="K60">
        <v>5545657.6822262118</v>
      </c>
    </row>
    <row r="61" spans="1:11" x14ac:dyDescent="0.25">
      <c r="A61">
        <v>60</v>
      </c>
      <c r="B61" t="s">
        <v>129</v>
      </c>
      <c r="C61" t="s">
        <v>130</v>
      </c>
      <c r="D61">
        <v>30</v>
      </c>
      <c r="E61">
        <v>1345454</v>
      </c>
      <c r="F61">
        <v>0</v>
      </c>
      <c r="G61">
        <v>0</v>
      </c>
      <c r="H61">
        <v>1</v>
      </c>
      <c r="I61">
        <v>136364</v>
      </c>
      <c r="J61">
        <v>29</v>
      </c>
      <c r="K61">
        <v>1209090</v>
      </c>
    </row>
    <row r="62" spans="1:11" x14ac:dyDescent="0.25">
      <c r="A62">
        <v>61</v>
      </c>
      <c r="B62" t="s">
        <v>131</v>
      </c>
      <c r="C62" t="s">
        <v>132</v>
      </c>
      <c r="D62">
        <v>2162</v>
      </c>
      <c r="E62">
        <v>220911522.8789579</v>
      </c>
      <c r="F62">
        <v>100</v>
      </c>
      <c r="G62">
        <v>2545455</v>
      </c>
      <c r="H62">
        <v>26</v>
      </c>
      <c r="I62">
        <v>1190913</v>
      </c>
      <c r="J62">
        <v>2236</v>
      </c>
      <c r="K62">
        <v>222266064.8789579</v>
      </c>
    </row>
    <row r="63" spans="1:11" x14ac:dyDescent="0.25">
      <c r="A63">
        <v>62</v>
      </c>
      <c r="B63" t="s">
        <v>133</v>
      </c>
      <c r="C63" t="s">
        <v>134</v>
      </c>
      <c r="D63">
        <v>1031</v>
      </c>
      <c r="E63">
        <v>185234271.71158049</v>
      </c>
      <c r="F63">
        <v>0</v>
      </c>
      <c r="G63">
        <v>0</v>
      </c>
      <c r="H63">
        <v>10</v>
      </c>
      <c r="I63">
        <v>1672726</v>
      </c>
      <c r="J63">
        <v>1021</v>
      </c>
      <c r="K63">
        <v>183561545.71158049</v>
      </c>
    </row>
    <row r="64" spans="1:11" x14ac:dyDescent="0.25">
      <c r="A64">
        <v>63</v>
      </c>
      <c r="B64" t="s">
        <v>135</v>
      </c>
      <c r="C64" t="s">
        <v>136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 x14ac:dyDescent="0.25">
      <c r="A65">
        <v>64</v>
      </c>
      <c r="B65" t="s">
        <v>137</v>
      </c>
      <c r="C65" t="s">
        <v>138</v>
      </c>
      <c r="D65">
        <v>16</v>
      </c>
      <c r="E65">
        <v>5701680.4511235952</v>
      </c>
      <c r="F65">
        <v>0</v>
      </c>
      <c r="G65">
        <v>0</v>
      </c>
      <c r="H65">
        <v>0</v>
      </c>
      <c r="I65">
        <v>0</v>
      </c>
      <c r="J65">
        <v>16</v>
      </c>
      <c r="K65">
        <v>5701680.4511235952</v>
      </c>
    </row>
    <row r="66" spans="1:11" x14ac:dyDescent="0.25">
      <c r="A66">
        <v>65</v>
      </c>
      <c r="B66" t="s">
        <v>139</v>
      </c>
      <c r="C66" t="s">
        <v>140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 x14ac:dyDescent="0.25">
      <c r="A67">
        <v>66</v>
      </c>
      <c r="B67" t="s">
        <v>141</v>
      </c>
      <c r="C67" t="s">
        <v>142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 x14ac:dyDescent="0.25">
      <c r="A68">
        <v>67</v>
      </c>
      <c r="B68" t="s">
        <v>143</v>
      </c>
      <c r="C68" t="s">
        <v>144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 x14ac:dyDescent="0.25">
      <c r="A69">
        <v>68</v>
      </c>
      <c r="B69" t="s">
        <v>145</v>
      </c>
      <c r="C69" t="s">
        <v>146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 x14ac:dyDescent="0.25">
      <c r="A70">
        <v>69</v>
      </c>
      <c r="B70" t="s">
        <v>147</v>
      </c>
      <c r="C70" t="s">
        <v>148</v>
      </c>
      <c r="D70">
        <v>237</v>
      </c>
      <c r="E70">
        <v>76944562.665112108</v>
      </c>
      <c r="F70">
        <v>0</v>
      </c>
      <c r="G70">
        <v>0</v>
      </c>
      <c r="H70">
        <v>0</v>
      </c>
      <c r="I70">
        <v>0</v>
      </c>
      <c r="J70">
        <v>237</v>
      </c>
      <c r="K70">
        <v>76944562.665112108</v>
      </c>
    </row>
    <row r="71" spans="1:11" x14ac:dyDescent="0.25">
      <c r="A71">
        <v>70</v>
      </c>
      <c r="B71" t="s">
        <v>149</v>
      </c>
      <c r="C71" t="s">
        <v>150</v>
      </c>
      <c r="D71">
        <v>9</v>
      </c>
      <c r="E71">
        <v>737428.16000000015</v>
      </c>
      <c r="F71">
        <v>0</v>
      </c>
      <c r="G71">
        <v>0</v>
      </c>
      <c r="H71">
        <v>0</v>
      </c>
      <c r="I71">
        <v>0</v>
      </c>
      <c r="J71">
        <v>9</v>
      </c>
      <c r="K71">
        <v>737428.16000000015</v>
      </c>
    </row>
    <row r="72" spans="1:11" x14ac:dyDescent="0.25">
      <c r="A72">
        <v>71</v>
      </c>
      <c r="B72" t="s">
        <v>151</v>
      </c>
      <c r="C72" t="s">
        <v>152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</row>
    <row r="73" spans="1:11" x14ac:dyDescent="0.25">
      <c r="A73">
        <v>72</v>
      </c>
      <c r="B73" t="s">
        <v>153</v>
      </c>
      <c r="C73" t="s">
        <v>154</v>
      </c>
      <c r="D73">
        <v>100</v>
      </c>
      <c r="E73">
        <v>0</v>
      </c>
      <c r="F73">
        <v>0</v>
      </c>
      <c r="G73">
        <v>0</v>
      </c>
      <c r="H73">
        <v>0</v>
      </c>
      <c r="I73">
        <v>0</v>
      </c>
      <c r="J73">
        <v>100</v>
      </c>
      <c r="K73">
        <v>0</v>
      </c>
    </row>
    <row r="74" spans="1:11" x14ac:dyDescent="0.25">
      <c r="A74">
        <v>73</v>
      </c>
      <c r="B74" t="s">
        <v>155</v>
      </c>
      <c r="C74" t="s">
        <v>156</v>
      </c>
      <c r="D74">
        <v>144</v>
      </c>
      <c r="E74">
        <v>326130569.07878792</v>
      </c>
      <c r="F74">
        <v>3</v>
      </c>
      <c r="G74">
        <v>5863636</v>
      </c>
      <c r="H74">
        <v>0</v>
      </c>
      <c r="I74">
        <v>0</v>
      </c>
      <c r="J74">
        <v>147</v>
      </c>
      <c r="K74">
        <v>331994205.07878792</v>
      </c>
    </row>
    <row r="75" spans="1:11" x14ac:dyDescent="0.25">
      <c r="A75">
        <v>74</v>
      </c>
      <c r="B75" t="s">
        <v>157</v>
      </c>
      <c r="C75" t="s">
        <v>158</v>
      </c>
      <c r="D75">
        <v>127</v>
      </c>
      <c r="E75">
        <v>380760137.75098813</v>
      </c>
      <c r="F75">
        <v>8</v>
      </c>
      <c r="G75">
        <v>21854545</v>
      </c>
      <c r="H75">
        <v>0</v>
      </c>
      <c r="I75">
        <v>0</v>
      </c>
      <c r="J75">
        <v>135</v>
      </c>
      <c r="K75">
        <v>402614682.75098813</v>
      </c>
    </row>
    <row r="76" spans="1:11" x14ac:dyDescent="0.25">
      <c r="A76">
        <v>75</v>
      </c>
      <c r="B76" t="s">
        <v>159</v>
      </c>
      <c r="C76" t="s">
        <v>160</v>
      </c>
      <c r="D76">
        <v>5</v>
      </c>
      <c r="E76">
        <v>26539183.875</v>
      </c>
      <c r="F76">
        <v>0</v>
      </c>
      <c r="G76">
        <v>0</v>
      </c>
      <c r="H76">
        <v>0</v>
      </c>
      <c r="I76">
        <v>0</v>
      </c>
      <c r="J76">
        <v>5</v>
      </c>
      <c r="K76">
        <v>26539183.875</v>
      </c>
    </row>
    <row r="77" spans="1:11" x14ac:dyDescent="0.25">
      <c r="A77">
        <v>76</v>
      </c>
      <c r="B77" t="s">
        <v>161</v>
      </c>
      <c r="C77" t="s">
        <v>162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 x14ac:dyDescent="0.25">
      <c r="A78">
        <v>77</v>
      </c>
      <c r="B78" t="s">
        <v>163</v>
      </c>
      <c r="C78" t="s">
        <v>164</v>
      </c>
      <c r="D78">
        <v>163</v>
      </c>
      <c r="E78">
        <v>243959710.59605911</v>
      </c>
      <c r="F78">
        <v>37</v>
      </c>
      <c r="G78">
        <v>52763635</v>
      </c>
      <c r="H78">
        <v>3</v>
      </c>
      <c r="I78">
        <v>4263637</v>
      </c>
      <c r="J78">
        <v>197</v>
      </c>
      <c r="K78">
        <v>292459708.59605908</v>
      </c>
    </row>
    <row r="79" spans="1:11" x14ac:dyDescent="0.25">
      <c r="A79">
        <v>78</v>
      </c>
      <c r="B79" t="s">
        <v>165</v>
      </c>
      <c r="C79" t="s">
        <v>166</v>
      </c>
      <c r="D79">
        <v>16</v>
      </c>
      <c r="E79">
        <v>38948207</v>
      </c>
      <c r="F79">
        <v>4</v>
      </c>
      <c r="G79">
        <v>8327272</v>
      </c>
      <c r="H79">
        <v>0</v>
      </c>
      <c r="I79">
        <v>0</v>
      </c>
      <c r="J79">
        <v>20</v>
      </c>
      <c r="K79">
        <v>47275479</v>
      </c>
    </row>
    <row r="80" spans="1:11" x14ac:dyDescent="0.25">
      <c r="A80">
        <v>79</v>
      </c>
      <c r="B80" t="s">
        <v>167</v>
      </c>
      <c r="C80" t="s">
        <v>168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 x14ac:dyDescent="0.25">
      <c r="A81">
        <v>80</v>
      </c>
      <c r="B81" t="s">
        <v>169</v>
      </c>
      <c r="C81" t="s">
        <v>170</v>
      </c>
      <c r="D81">
        <v>679</v>
      </c>
      <c r="E81">
        <v>206246724.62329009</v>
      </c>
      <c r="F81">
        <v>0</v>
      </c>
      <c r="G81">
        <v>0</v>
      </c>
      <c r="H81">
        <v>7</v>
      </c>
      <c r="I81">
        <v>2227273</v>
      </c>
      <c r="J81">
        <v>672</v>
      </c>
      <c r="K81">
        <v>204019451.62329009</v>
      </c>
    </row>
    <row r="82" spans="1:11" x14ac:dyDescent="0.25">
      <c r="A82">
        <v>81</v>
      </c>
      <c r="B82" t="s">
        <v>171</v>
      </c>
      <c r="C82" t="s">
        <v>172</v>
      </c>
      <c r="D82">
        <v>222</v>
      </c>
      <c r="E82">
        <v>200180310.11730209</v>
      </c>
      <c r="F82">
        <v>0</v>
      </c>
      <c r="G82">
        <v>0</v>
      </c>
      <c r="H82">
        <v>0</v>
      </c>
      <c r="I82">
        <v>0</v>
      </c>
      <c r="J82">
        <v>222</v>
      </c>
      <c r="K82">
        <v>200180310.11730209</v>
      </c>
    </row>
    <row r="83" spans="1:11" x14ac:dyDescent="0.25">
      <c r="A83">
        <v>82</v>
      </c>
      <c r="B83" t="s">
        <v>173</v>
      </c>
      <c r="C83" t="s">
        <v>174</v>
      </c>
      <c r="D83">
        <v>101</v>
      </c>
      <c r="E83">
        <v>97363561.202380955</v>
      </c>
      <c r="F83">
        <v>0</v>
      </c>
      <c r="G83">
        <v>0</v>
      </c>
      <c r="H83">
        <v>0</v>
      </c>
      <c r="I83">
        <v>0</v>
      </c>
      <c r="J83">
        <v>101</v>
      </c>
      <c r="K83">
        <v>97363561.202380955</v>
      </c>
    </row>
    <row r="84" spans="1:11" x14ac:dyDescent="0.25">
      <c r="A84">
        <v>83</v>
      </c>
      <c r="B84" t="s">
        <v>175</v>
      </c>
      <c r="C84" t="s">
        <v>176</v>
      </c>
      <c r="D84">
        <v>11</v>
      </c>
      <c r="E84">
        <v>18878450.199999999</v>
      </c>
      <c r="F84">
        <v>0</v>
      </c>
      <c r="G84">
        <v>0</v>
      </c>
      <c r="H84">
        <v>0</v>
      </c>
      <c r="I84">
        <v>0</v>
      </c>
      <c r="J84">
        <v>11</v>
      </c>
      <c r="K84">
        <v>18878450.199999999</v>
      </c>
    </row>
    <row r="85" spans="1:11" x14ac:dyDescent="0.25">
      <c r="A85">
        <v>84</v>
      </c>
      <c r="B85" t="s">
        <v>177</v>
      </c>
      <c r="C85" t="s">
        <v>178</v>
      </c>
      <c r="D85">
        <v>17</v>
      </c>
      <c r="E85">
        <v>81028636.483870968</v>
      </c>
      <c r="F85">
        <v>0</v>
      </c>
      <c r="G85">
        <v>0</v>
      </c>
      <c r="H85">
        <v>0</v>
      </c>
      <c r="I85">
        <v>0</v>
      </c>
      <c r="J85">
        <v>17</v>
      </c>
      <c r="K85">
        <v>81028636.483870968</v>
      </c>
    </row>
    <row r="86" spans="1:11" x14ac:dyDescent="0.25">
      <c r="A86">
        <v>85</v>
      </c>
      <c r="B86" t="s">
        <v>179</v>
      </c>
      <c r="C86" t="s">
        <v>180</v>
      </c>
      <c r="D86">
        <v>20</v>
      </c>
      <c r="E86">
        <v>28108582.16</v>
      </c>
      <c r="F86">
        <v>0</v>
      </c>
      <c r="G86">
        <v>0</v>
      </c>
      <c r="H86">
        <v>0</v>
      </c>
      <c r="I86">
        <v>0</v>
      </c>
      <c r="J86">
        <v>20</v>
      </c>
      <c r="K86">
        <v>28108582.16</v>
      </c>
    </row>
    <row r="87" spans="1:11" x14ac:dyDescent="0.25">
      <c r="A87">
        <v>86</v>
      </c>
      <c r="B87" t="s">
        <v>181</v>
      </c>
      <c r="C87" t="s">
        <v>182</v>
      </c>
      <c r="D87">
        <v>67</v>
      </c>
      <c r="E87">
        <v>72005538.572559372</v>
      </c>
      <c r="F87">
        <v>0</v>
      </c>
      <c r="G87">
        <v>0</v>
      </c>
      <c r="H87">
        <v>0</v>
      </c>
      <c r="I87">
        <v>0</v>
      </c>
      <c r="J87">
        <v>67</v>
      </c>
      <c r="K87">
        <v>72005538.572559372</v>
      </c>
    </row>
    <row r="88" spans="1:11" x14ac:dyDescent="0.25">
      <c r="A88">
        <v>87</v>
      </c>
      <c r="B88" t="s">
        <v>183</v>
      </c>
      <c r="C88" t="s">
        <v>184</v>
      </c>
      <c r="D88">
        <v>3</v>
      </c>
      <c r="E88">
        <v>2443182.9545454532</v>
      </c>
      <c r="F88">
        <v>0</v>
      </c>
      <c r="G88">
        <v>0</v>
      </c>
      <c r="H88">
        <v>0</v>
      </c>
      <c r="I88">
        <v>0</v>
      </c>
      <c r="J88">
        <v>3</v>
      </c>
      <c r="K88">
        <v>2443182.9545454532</v>
      </c>
    </row>
    <row r="89" spans="1:11" x14ac:dyDescent="0.25">
      <c r="A89">
        <v>88</v>
      </c>
      <c r="B89" t="s">
        <v>185</v>
      </c>
      <c r="C89" t="s">
        <v>186</v>
      </c>
      <c r="D89">
        <v>1414</v>
      </c>
      <c r="E89">
        <v>434503136.74628812</v>
      </c>
      <c r="F89">
        <v>0</v>
      </c>
      <c r="G89">
        <v>0</v>
      </c>
      <c r="H89">
        <v>15</v>
      </c>
      <c r="I89">
        <v>5636365</v>
      </c>
      <c r="J89">
        <v>1399</v>
      </c>
      <c r="K89">
        <v>428866771.74628812</v>
      </c>
    </row>
    <row r="90" spans="1:11" x14ac:dyDescent="0.25">
      <c r="A90">
        <v>89</v>
      </c>
      <c r="B90" t="s">
        <v>187</v>
      </c>
      <c r="C90" t="s">
        <v>188</v>
      </c>
      <c r="D90">
        <v>276</v>
      </c>
      <c r="E90">
        <v>311220034.34957021</v>
      </c>
      <c r="F90">
        <v>0</v>
      </c>
      <c r="G90">
        <v>0</v>
      </c>
      <c r="H90">
        <v>2</v>
      </c>
      <c r="I90">
        <v>1363636</v>
      </c>
      <c r="J90">
        <v>274</v>
      </c>
      <c r="K90">
        <v>309856398.34957021</v>
      </c>
    </row>
    <row r="91" spans="1:11" x14ac:dyDescent="0.25">
      <c r="A91">
        <v>90</v>
      </c>
      <c r="B91" t="s">
        <v>189</v>
      </c>
      <c r="C91" t="s">
        <v>190</v>
      </c>
      <c r="D91">
        <v>115</v>
      </c>
      <c r="E91">
        <v>147316867.9923954</v>
      </c>
      <c r="F91">
        <v>0</v>
      </c>
      <c r="G91">
        <v>0</v>
      </c>
      <c r="H91">
        <v>0</v>
      </c>
      <c r="I91">
        <v>0</v>
      </c>
      <c r="J91">
        <v>115</v>
      </c>
      <c r="K91">
        <v>147316867.9923954</v>
      </c>
    </row>
    <row r="92" spans="1:11" x14ac:dyDescent="0.25">
      <c r="A92">
        <v>91</v>
      </c>
      <c r="B92" t="s">
        <v>191</v>
      </c>
      <c r="C92" t="s">
        <v>192</v>
      </c>
      <c r="D92">
        <v>94</v>
      </c>
      <c r="E92">
        <v>56761398.128078818</v>
      </c>
      <c r="F92">
        <v>0</v>
      </c>
      <c r="G92">
        <v>0</v>
      </c>
      <c r="H92">
        <v>3</v>
      </c>
      <c r="I92">
        <v>3254545</v>
      </c>
      <c r="J92">
        <v>91</v>
      </c>
      <c r="K92">
        <v>53506853.128078818</v>
      </c>
    </row>
    <row r="93" spans="1:11" x14ac:dyDescent="0.25">
      <c r="A93">
        <v>92</v>
      </c>
      <c r="B93" t="s">
        <v>193</v>
      </c>
      <c r="C93" t="s">
        <v>194</v>
      </c>
      <c r="D93">
        <v>32</v>
      </c>
      <c r="E93">
        <v>58457689.432558149</v>
      </c>
      <c r="F93">
        <v>5</v>
      </c>
      <c r="G93">
        <v>7909091</v>
      </c>
      <c r="H93">
        <v>2</v>
      </c>
      <c r="I93">
        <v>2418182</v>
      </c>
      <c r="J93">
        <v>35</v>
      </c>
      <c r="K93">
        <v>63948598.432558149</v>
      </c>
    </row>
    <row r="94" spans="1:11" x14ac:dyDescent="0.25">
      <c r="A94">
        <v>93</v>
      </c>
      <c r="B94" t="s">
        <v>195</v>
      </c>
      <c r="C94" t="s">
        <v>196</v>
      </c>
      <c r="D94">
        <v>529</v>
      </c>
      <c r="E94">
        <v>139694329.61556071</v>
      </c>
      <c r="F94">
        <v>12</v>
      </c>
      <c r="G94">
        <v>17599998</v>
      </c>
      <c r="H94">
        <v>1</v>
      </c>
      <c r="I94">
        <v>1500000</v>
      </c>
      <c r="J94">
        <v>540</v>
      </c>
      <c r="K94">
        <v>155794327.61556071</v>
      </c>
    </row>
    <row r="95" spans="1:11" x14ac:dyDescent="0.25">
      <c r="A95">
        <v>94</v>
      </c>
      <c r="B95" t="s">
        <v>197</v>
      </c>
      <c r="C95" t="s">
        <v>198</v>
      </c>
      <c r="D95">
        <v>29</v>
      </c>
      <c r="E95">
        <v>3004547</v>
      </c>
      <c r="F95">
        <v>0</v>
      </c>
      <c r="G95">
        <v>0</v>
      </c>
      <c r="H95">
        <v>0</v>
      </c>
      <c r="I95">
        <v>0</v>
      </c>
      <c r="J95">
        <v>29</v>
      </c>
      <c r="K95">
        <v>3004547</v>
      </c>
    </row>
    <row r="96" spans="1:11" x14ac:dyDescent="0.25">
      <c r="A96">
        <v>95</v>
      </c>
      <c r="B96" t="s">
        <v>199</v>
      </c>
      <c r="C96" t="s">
        <v>200</v>
      </c>
      <c r="D96">
        <v>135</v>
      </c>
      <c r="E96">
        <v>11100648.08196721</v>
      </c>
      <c r="F96">
        <v>0</v>
      </c>
      <c r="G96">
        <v>0</v>
      </c>
      <c r="H96">
        <v>10</v>
      </c>
      <c r="I96">
        <v>772730</v>
      </c>
      <c r="J96">
        <v>125</v>
      </c>
      <c r="K96">
        <v>10327918.08196721</v>
      </c>
    </row>
    <row r="97" spans="1:11" x14ac:dyDescent="0.25">
      <c r="A97">
        <v>96</v>
      </c>
      <c r="B97" t="s">
        <v>201</v>
      </c>
      <c r="C97" t="s">
        <v>202</v>
      </c>
      <c r="D97">
        <v>1574</v>
      </c>
      <c r="E97">
        <v>156538798.4361957</v>
      </c>
      <c r="F97">
        <v>153</v>
      </c>
      <c r="G97">
        <v>21527282</v>
      </c>
      <c r="H97">
        <v>9</v>
      </c>
      <c r="I97">
        <v>931821</v>
      </c>
      <c r="J97">
        <v>1718</v>
      </c>
      <c r="K97">
        <v>177134259.4361957</v>
      </c>
    </row>
    <row r="98" spans="1:11" x14ac:dyDescent="0.25">
      <c r="A98">
        <v>97</v>
      </c>
      <c r="B98" t="s">
        <v>203</v>
      </c>
      <c r="C98" t="s">
        <v>204</v>
      </c>
      <c r="D98">
        <v>201</v>
      </c>
      <c r="E98">
        <v>46855272.620727673</v>
      </c>
      <c r="F98">
        <v>60</v>
      </c>
      <c r="G98">
        <v>11454546</v>
      </c>
      <c r="H98">
        <v>10</v>
      </c>
      <c r="I98">
        <v>3381816</v>
      </c>
      <c r="J98">
        <v>251</v>
      </c>
      <c r="K98">
        <v>54928002.620727673</v>
      </c>
    </row>
    <row r="99" spans="1:11" x14ac:dyDescent="0.25">
      <c r="A99">
        <v>98</v>
      </c>
      <c r="B99" t="s">
        <v>205</v>
      </c>
      <c r="C99" t="s">
        <v>206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 x14ac:dyDescent="0.25">
      <c r="A100">
        <v>99</v>
      </c>
      <c r="B100" t="s">
        <v>207</v>
      </c>
      <c r="C100" t="s">
        <v>208</v>
      </c>
      <c r="D100">
        <v>10</v>
      </c>
      <c r="E100">
        <v>15908150.758620691</v>
      </c>
      <c r="F100">
        <v>0</v>
      </c>
      <c r="G100">
        <v>0</v>
      </c>
      <c r="H100">
        <v>0</v>
      </c>
      <c r="I100">
        <v>0</v>
      </c>
      <c r="J100">
        <v>10</v>
      </c>
      <c r="K100">
        <v>15908150.758620691</v>
      </c>
    </row>
    <row r="101" spans="1:11" x14ac:dyDescent="0.25">
      <c r="A101">
        <v>100</v>
      </c>
      <c r="B101" t="s">
        <v>209</v>
      </c>
      <c r="C101" t="s">
        <v>210</v>
      </c>
      <c r="D101">
        <v>5</v>
      </c>
      <c r="E101">
        <v>5229125</v>
      </c>
      <c r="F101">
        <v>0</v>
      </c>
      <c r="G101">
        <v>0</v>
      </c>
      <c r="H101">
        <v>0</v>
      </c>
      <c r="I101">
        <v>0</v>
      </c>
      <c r="J101">
        <v>5</v>
      </c>
      <c r="K101">
        <v>5229125</v>
      </c>
    </row>
    <row r="102" spans="1:11" x14ac:dyDescent="0.25">
      <c r="A102">
        <v>101</v>
      </c>
      <c r="B102" t="s">
        <v>211</v>
      </c>
      <c r="C102" t="s">
        <v>212</v>
      </c>
      <c r="D102">
        <v>194</v>
      </c>
      <c r="E102">
        <v>121945236.6692913</v>
      </c>
      <c r="F102">
        <v>0</v>
      </c>
      <c r="G102">
        <v>0</v>
      </c>
      <c r="H102">
        <v>0</v>
      </c>
      <c r="I102">
        <v>0</v>
      </c>
      <c r="J102">
        <v>194</v>
      </c>
      <c r="K102">
        <v>121945236.6692913</v>
      </c>
    </row>
    <row r="103" spans="1:11" x14ac:dyDescent="0.25">
      <c r="A103">
        <v>102</v>
      </c>
      <c r="B103" t="s">
        <v>213</v>
      </c>
      <c r="C103" t="s">
        <v>214</v>
      </c>
      <c r="D103">
        <v>2</v>
      </c>
      <c r="E103">
        <v>2309091</v>
      </c>
      <c r="F103">
        <v>0</v>
      </c>
      <c r="G103">
        <v>0</v>
      </c>
      <c r="H103">
        <v>0</v>
      </c>
      <c r="I103">
        <v>0</v>
      </c>
      <c r="J103">
        <v>2</v>
      </c>
      <c r="K103">
        <v>2309091</v>
      </c>
    </row>
    <row r="104" spans="1:11" x14ac:dyDescent="0.25">
      <c r="A104">
        <v>103</v>
      </c>
      <c r="B104" t="s">
        <v>215</v>
      </c>
      <c r="C104" t="s">
        <v>216</v>
      </c>
      <c r="D104">
        <v>2412</v>
      </c>
      <c r="E104">
        <v>255282189.46378449</v>
      </c>
      <c r="F104">
        <v>54</v>
      </c>
      <c r="G104">
        <v>9148181</v>
      </c>
      <c r="H104">
        <v>41</v>
      </c>
      <c r="I104">
        <v>5350000</v>
      </c>
      <c r="J104">
        <v>2425</v>
      </c>
      <c r="K104">
        <v>259080370.46378449</v>
      </c>
    </row>
    <row r="105" spans="1:11" x14ac:dyDescent="0.25">
      <c r="A105">
        <v>104</v>
      </c>
      <c r="B105" t="s">
        <v>217</v>
      </c>
      <c r="C105" t="s">
        <v>218</v>
      </c>
      <c r="D105">
        <v>236</v>
      </c>
      <c r="E105">
        <v>92197164.992982447</v>
      </c>
      <c r="F105">
        <v>2</v>
      </c>
      <c r="G105">
        <v>0</v>
      </c>
      <c r="H105">
        <v>0</v>
      </c>
      <c r="I105">
        <v>0</v>
      </c>
      <c r="J105">
        <v>238</v>
      </c>
      <c r="K105">
        <v>92197164.992982447</v>
      </c>
    </row>
    <row r="106" spans="1:11" x14ac:dyDescent="0.25">
      <c r="A106">
        <v>105</v>
      </c>
      <c r="B106" t="s">
        <v>219</v>
      </c>
      <c r="C106" t="s">
        <v>220</v>
      </c>
      <c r="D106">
        <v>1062</v>
      </c>
      <c r="E106">
        <v>247869843.6902304</v>
      </c>
      <c r="F106">
        <v>0</v>
      </c>
      <c r="G106">
        <v>0</v>
      </c>
      <c r="H106">
        <v>5</v>
      </c>
      <c r="I106">
        <v>581819</v>
      </c>
      <c r="J106">
        <v>1057</v>
      </c>
      <c r="K106">
        <v>247288024.6902304</v>
      </c>
    </row>
    <row r="107" spans="1:11" x14ac:dyDescent="0.25">
      <c r="A107">
        <v>106</v>
      </c>
      <c r="B107" t="s">
        <v>221</v>
      </c>
      <c r="C107" t="s">
        <v>222</v>
      </c>
      <c r="D107">
        <v>168</v>
      </c>
      <c r="E107">
        <v>65977435.329129368</v>
      </c>
      <c r="F107">
        <v>30</v>
      </c>
      <c r="G107">
        <v>3709091</v>
      </c>
      <c r="H107">
        <v>35</v>
      </c>
      <c r="I107">
        <v>5227281</v>
      </c>
      <c r="J107">
        <v>163</v>
      </c>
      <c r="K107">
        <v>64459245.329129368</v>
      </c>
    </row>
    <row r="108" spans="1:11" x14ac:dyDescent="0.25">
      <c r="A108">
        <v>107</v>
      </c>
      <c r="B108" t="s">
        <v>223</v>
      </c>
      <c r="C108" t="s">
        <v>224</v>
      </c>
      <c r="D108">
        <v>6</v>
      </c>
      <c r="E108">
        <v>3124849.75</v>
      </c>
      <c r="F108">
        <v>0</v>
      </c>
      <c r="G108">
        <v>0</v>
      </c>
      <c r="H108">
        <v>0</v>
      </c>
      <c r="I108">
        <v>0</v>
      </c>
      <c r="J108">
        <v>6</v>
      </c>
      <c r="K108">
        <v>3124849.75</v>
      </c>
    </row>
    <row r="109" spans="1:11" x14ac:dyDescent="0.25">
      <c r="A109">
        <v>108</v>
      </c>
      <c r="B109" t="s">
        <v>225</v>
      </c>
      <c r="C109" t="s">
        <v>226</v>
      </c>
      <c r="D109">
        <v>366</v>
      </c>
      <c r="E109">
        <v>87332871.850046858</v>
      </c>
      <c r="F109">
        <v>26</v>
      </c>
      <c r="G109">
        <v>9513637</v>
      </c>
      <c r="H109">
        <v>0</v>
      </c>
      <c r="I109">
        <v>0</v>
      </c>
      <c r="J109">
        <v>392</v>
      </c>
      <c r="K109">
        <v>96846508.850046858</v>
      </c>
    </row>
    <row r="110" spans="1:11" x14ac:dyDescent="0.25">
      <c r="A110">
        <v>109</v>
      </c>
      <c r="B110" t="s">
        <v>227</v>
      </c>
      <c r="C110" t="s">
        <v>228</v>
      </c>
      <c r="D110">
        <v>299</v>
      </c>
      <c r="E110">
        <v>117087484.1661891</v>
      </c>
      <c r="F110">
        <v>24</v>
      </c>
      <c r="G110">
        <v>7074545</v>
      </c>
      <c r="H110">
        <v>0</v>
      </c>
      <c r="I110">
        <v>0</v>
      </c>
      <c r="J110">
        <v>323</v>
      </c>
      <c r="K110">
        <v>124162029.1661891</v>
      </c>
    </row>
    <row r="111" spans="1:11" x14ac:dyDescent="0.25">
      <c r="A111">
        <v>110</v>
      </c>
      <c r="B111" t="s">
        <v>229</v>
      </c>
      <c r="C111" t="s">
        <v>230</v>
      </c>
      <c r="D111">
        <v>27</v>
      </c>
      <c r="E111">
        <v>1892138.8936170209</v>
      </c>
      <c r="F111">
        <v>0</v>
      </c>
      <c r="G111">
        <v>0</v>
      </c>
      <c r="H111">
        <v>0</v>
      </c>
      <c r="I111">
        <v>0</v>
      </c>
      <c r="J111">
        <v>27</v>
      </c>
      <c r="K111">
        <v>1892138.8936170209</v>
      </c>
    </row>
    <row r="112" spans="1:11" x14ac:dyDescent="0.25">
      <c r="A112">
        <v>111</v>
      </c>
      <c r="B112" t="s">
        <v>231</v>
      </c>
      <c r="C112" t="s">
        <v>232</v>
      </c>
      <c r="D112">
        <v>111</v>
      </c>
      <c r="E112">
        <v>47551427.259079903</v>
      </c>
      <c r="F112">
        <v>5</v>
      </c>
      <c r="G112">
        <v>1659091</v>
      </c>
      <c r="H112">
        <v>4</v>
      </c>
      <c r="I112">
        <v>1609089</v>
      </c>
      <c r="J112">
        <v>112</v>
      </c>
      <c r="K112">
        <v>47601429.259079903</v>
      </c>
    </row>
    <row r="113" spans="1:11" x14ac:dyDescent="0.25">
      <c r="A113">
        <v>112</v>
      </c>
      <c r="B113" t="s">
        <v>233</v>
      </c>
      <c r="C113" t="s">
        <v>234</v>
      </c>
      <c r="D113">
        <v>972</v>
      </c>
      <c r="E113">
        <v>366627260.39026397</v>
      </c>
      <c r="F113">
        <v>0</v>
      </c>
      <c r="G113">
        <v>0</v>
      </c>
      <c r="H113">
        <v>1</v>
      </c>
      <c r="I113">
        <v>354545</v>
      </c>
      <c r="J113">
        <v>971</v>
      </c>
      <c r="K113">
        <v>366272715.39026397</v>
      </c>
    </row>
    <row r="114" spans="1:11" x14ac:dyDescent="0.25">
      <c r="A114">
        <v>113</v>
      </c>
      <c r="B114" t="s">
        <v>235</v>
      </c>
      <c r="C114" t="s">
        <v>236</v>
      </c>
      <c r="D114">
        <v>44</v>
      </c>
      <c r="E114">
        <v>23793785.620689649</v>
      </c>
      <c r="F114">
        <v>3</v>
      </c>
      <c r="G114">
        <v>3490909</v>
      </c>
      <c r="H114">
        <v>3</v>
      </c>
      <c r="I114">
        <v>4336365</v>
      </c>
      <c r="J114">
        <v>44</v>
      </c>
      <c r="K114">
        <v>22948329.620689649</v>
      </c>
    </row>
    <row r="115" spans="1:11" x14ac:dyDescent="0.25">
      <c r="A115">
        <v>114</v>
      </c>
      <c r="B115" t="s">
        <v>237</v>
      </c>
      <c r="C115" t="s">
        <v>238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 x14ac:dyDescent="0.25">
      <c r="A116">
        <v>115</v>
      </c>
      <c r="B116" t="s">
        <v>239</v>
      </c>
      <c r="C116" t="s">
        <v>240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 x14ac:dyDescent="0.25">
      <c r="A117">
        <v>116</v>
      </c>
      <c r="B117" t="s">
        <v>241</v>
      </c>
      <c r="C117" t="s">
        <v>242</v>
      </c>
      <c r="D117">
        <v>1</v>
      </c>
      <c r="E117">
        <v>2400000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2400000</v>
      </c>
    </row>
    <row r="118" spans="1:11" x14ac:dyDescent="0.25">
      <c r="A118">
        <v>117</v>
      </c>
      <c r="B118" t="s">
        <v>243</v>
      </c>
      <c r="C118" t="s">
        <v>244</v>
      </c>
      <c r="D118">
        <v>1</v>
      </c>
      <c r="E118">
        <v>2200000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2200000</v>
      </c>
    </row>
    <row r="119" spans="1:11" x14ac:dyDescent="0.25">
      <c r="A119">
        <v>118</v>
      </c>
      <c r="B119" t="s">
        <v>245</v>
      </c>
      <c r="C119" t="s">
        <v>246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 x14ac:dyDescent="0.25">
      <c r="A120">
        <v>119</v>
      </c>
      <c r="B120" t="s">
        <v>247</v>
      </c>
      <c r="C120" t="s">
        <v>248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</row>
    <row r="121" spans="1:11" x14ac:dyDescent="0.25">
      <c r="A121">
        <v>120</v>
      </c>
      <c r="B121" t="s">
        <v>249</v>
      </c>
      <c r="C121" t="s">
        <v>250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 x14ac:dyDescent="0.25">
      <c r="A122">
        <v>121</v>
      </c>
      <c r="B122" t="s">
        <v>251</v>
      </c>
      <c r="C122" t="s">
        <v>252</v>
      </c>
      <c r="D122">
        <v>8</v>
      </c>
      <c r="E122">
        <v>1854545</v>
      </c>
      <c r="F122">
        <v>1</v>
      </c>
      <c r="G122">
        <v>1250000</v>
      </c>
      <c r="H122">
        <v>1</v>
      </c>
      <c r="I122">
        <v>2181818</v>
      </c>
      <c r="J122">
        <v>8</v>
      </c>
      <c r="K122">
        <v>922727</v>
      </c>
    </row>
    <row r="123" spans="1:11" x14ac:dyDescent="0.25">
      <c r="A123">
        <v>122</v>
      </c>
      <c r="B123" t="s">
        <v>253</v>
      </c>
      <c r="C123" t="s">
        <v>254</v>
      </c>
      <c r="D123">
        <v>13</v>
      </c>
      <c r="E123">
        <v>21144156.616306961</v>
      </c>
      <c r="F123">
        <v>0</v>
      </c>
      <c r="G123">
        <v>0</v>
      </c>
      <c r="H123">
        <v>3</v>
      </c>
      <c r="I123">
        <v>872727</v>
      </c>
      <c r="J123">
        <v>10</v>
      </c>
      <c r="K123">
        <v>20271429.616306961</v>
      </c>
    </row>
    <row r="124" spans="1:11" x14ac:dyDescent="0.25">
      <c r="A124">
        <v>123</v>
      </c>
      <c r="B124" t="s">
        <v>255</v>
      </c>
      <c r="C124" t="s">
        <v>256</v>
      </c>
      <c r="D124">
        <v>56</v>
      </c>
      <c r="E124">
        <v>30172515.84722222</v>
      </c>
      <c r="F124">
        <v>0</v>
      </c>
      <c r="G124">
        <v>0</v>
      </c>
      <c r="H124">
        <v>0</v>
      </c>
      <c r="I124">
        <v>0</v>
      </c>
      <c r="J124">
        <v>56</v>
      </c>
      <c r="K124">
        <v>30172515.84722222</v>
      </c>
    </row>
    <row r="125" spans="1:11" x14ac:dyDescent="0.25">
      <c r="A125">
        <v>124</v>
      </c>
      <c r="B125" t="s">
        <v>257</v>
      </c>
      <c r="C125" t="s">
        <v>258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 x14ac:dyDescent="0.25">
      <c r="A126">
        <v>125</v>
      </c>
      <c r="B126" t="s">
        <v>259</v>
      </c>
      <c r="C126" t="s">
        <v>260</v>
      </c>
      <c r="D126">
        <v>641</v>
      </c>
      <c r="E126">
        <v>350158805.2321918</v>
      </c>
      <c r="F126">
        <v>34</v>
      </c>
      <c r="G126">
        <v>20538179</v>
      </c>
      <c r="H126">
        <v>6</v>
      </c>
      <c r="I126">
        <v>5545455</v>
      </c>
      <c r="J126">
        <v>669</v>
      </c>
      <c r="K126">
        <v>365151529.2321918</v>
      </c>
    </row>
    <row r="127" spans="1:11" x14ac:dyDescent="0.25">
      <c r="A127">
        <v>126</v>
      </c>
      <c r="B127" t="s">
        <v>261</v>
      </c>
      <c r="C127" t="s">
        <v>262</v>
      </c>
      <c r="D127">
        <v>6</v>
      </c>
      <c r="E127">
        <v>2225742.1428571432</v>
      </c>
      <c r="F127">
        <v>0</v>
      </c>
      <c r="G127">
        <v>0</v>
      </c>
      <c r="H127">
        <v>0</v>
      </c>
      <c r="I127">
        <v>0</v>
      </c>
      <c r="J127">
        <v>6</v>
      </c>
      <c r="K127">
        <v>2225742.1428571432</v>
      </c>
    </row>
    <row r="128" spans="1:11" x14ac:dyDescent="0.25">
      <c r="A128">
        <v>127</v>
      </c>
      <c r="B128" t="s">
        <v>263</v>
      </c>
      <c r="C128" t="s">
        <v>264</v>
      </c>
      <c r="D128">
        <v>10</v>
      </c>
      <c r="E128">
        <v>9639901.4090909101</v>
      </c>
      <c r="F128">
        <v>0</v>
      </c>
      <c r="G128">
        <v>0</v>
      </c>
      <c r="H128">
        <v>0</v>
      </c>
      <c r="I128">
        <v>0</v>
      </c>
      <c r="J128">
        <v>10</v>
      </c>
      <c r="K128">
        <v>9639901.4090909101</v>
      </c>
    </row>
    <row r="129" spans="1:11" x14ac:dyDescent="0.25">
      <c r="A129">
        <v>128</v>
      </c>
      <c r="B129" t="s">
        <v>265</v>
      </c>
      <c r="C129" t="s">
        <v>266</v>
      </c>
      <c r="D129">
        <v>16</v>
      </c>
      <c r="E129">
        <v>29299617.75</v>
      </c>
      <c r="F129">
        <v>0</v>
      </c>
      <c r="G129">
        <v>0</v>
      </c>
      <c r="H129">
        <v>0</v>
      </c>
      <c r="I129">
        <v>0</v>
      </c>
      <c r="J129">
        <v>16</v>
      </c>
      <c r="K129">
        <v>29299617.75</v>
      </c>
    </row>
    <row r="130" spans="1:11" x14ac:dyDescent="0.25">
      <c r="A130">
        <v>129</v>
      </c>
      <c r="B130" t="s">
        <v>267</v>
      </c>
      <c r="C130" t="s">
        <v>268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1:11" x14ac:dyDescent="0.25">
      <c r="A131">
        <v>130</v>
      </c>
      <c r="B131" t="s">
        <v>269</v>
      </c>
      <c r="C131" t="s">
        <v>270</v>
      </c>
      <c r="D131">
        <v>258</v>
      </c>
      <c r="E131">
        <v>157682160.5194805</v>
      </c>
      <c r="F131">
        <v>6</v>
      </c>
      <c r="G131">
        <v>4418184</v>
      </c>
      <c r="H131">
        <v>2</v>
      </c>
      <c r="I131">
        <v>1754545</v>
      </c>
      <c r="J131">
        <v>262</v>
      </c>
      <c r="K131">
        <v>160345799.5194805</v>
      </c>
    </row>
    <row r="132" spans="1:11" x14ac:dyDescent="0.25">
      <c r="A132">
        <v>131</v>
      </c>
      <c r="B132" t="s">
        <v>271</v>
      </c>
      <c r="C132" t="s">
        <v>272</v>
      </c>
      <c r="D132">
        <v>110</v>
      </c>
      <c r="E132">
        <v>13823046.7489301</v>
      </c>
      <c r="F132">
        <v>0</v>
      </c>
      <c r="G132">
        <v>0</v>
      </c>
      <c r="H132">
        <v>0</v>
      </c>
      <c r="I132">
        <v>0</v>
      </c>
      <c r="J132">
        <v>110</v>
      </c>
      <c r="K132">
        <v>13823046.7489301</v>
      </c>
    </row>
    <row r="133" spans="1:11" x14ac:dyDescent="0.25">
      <c r="A133">
        <v>132</v>
      </c>
      <c r="B133" t="s">
        <v>273</v>
      </c>
      <c r="C133" t="s">
        <v>274</v>
      </c>
      <c r="D133">
        <v>464</v>
      </c>
      <c r="E133">
        <v>110609637.7694118</v>
      </c>
      <c r="F133">
        <v>13</v>
      </c>
      <c r="G133">
        <v>5695456</v>
      </c>
      <c r="H133">
        <v>4</v>
      </c>
      <c r="I133">
        <v>1131817</v>
      </c>
      <c r="J133">
        <v>473</v>
      </c>
      <c r="K133">
        <v>115173276.7694118</v>
      </c>
    </row>
    <row r="134" spans="1:11" x14ac:dyDescent="0.25">
      <c r="A134">
        <v>133</v>
      </c>
      <c r="B134" t="s">
        <v>275</v>
      </c>
      <c r="C134" t="s">
        <v>276</v>
      </c>
      <c r="D134">
        <v>144</v>
      </c>
      <c r="E134">
        <v>44137961.084337354</v>
      </c>
      <c r="F134">
        <v>6</v>
      </c>
      <c r="G134">
        <v>2418182</v>
      </c>
      <c r="H134">
        <v>1</v>
      </c>
      <c r="I134">
        <v>272727</v>
      </c>
      <c r="J134">
        <v>149</v>
      </c>
      <c r="K134">
        <v>46283416.084337354</v>
      </c>
    </row>
    <row r="135" spans="1:11" x14ac:dyDescent="0.25">
      <c r="A135">
        <v>134</v>
      </c>
      <c r="B135" t="s">
        <v>277</v>
      </c>
      <c r="C135" t="s">
        <v>278</v>
      </c>
      <c r="D135">
        <v>2</v>
      </c>
      <c r="E135">
        <v>358922.57142857142</v>
      </c>
      <c r="F135">
        <v>0</v>
      </c>
      <c r="G135">
        <v>0</v>
      </c>
      <c r="H135">
        <v>0</v>
      </c>
      <c r="I135">
        <v>0</v>
      </c>
      <c r="J135">
        <v>2</v>
      </c>
      <c r="K135">
        <v>358922.57142857142</v>
      </c>
    </row>
    <row r="136" spans="1:11" x14ac:dyDescent="0.25">
      <c r="A136">
        <v>135</v>
      </c>
      <c r="B136" t="s">
        <v>279</v>
      </c>
      <c r="C136" t="s">
        <v>280</v>
      </c>
      <c r="D136">
        <v>9</v>
      </c>
      <c r="E136">
        <v>1118537.368421053</v>
      </c>
      <c r="F136">
        <v>0</v>
      </c>
      <c r="G136">
        <v>0</v>
      </c>
      <c r="H136">
        <v>0</v>
      </c>
      <c r="I136">
        <v>0</v>
      </c>
      <c r="J136">
        <v>9</v>
      </c>
      <c r="K136">
        <v>1118537.368421053</v>
      </c>
    </row>
    <row r="137" spans="1:11" x14ac:dyDescent="0.25">
      <c r="A137">
        <v>136</v>
      </c>
      <c r="B137" t="s">
        <v>281</v>
      </c>
      <c r="C137" t="s">
        <v>282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 x14ac:dyDescent="0.25">
      <c r="A138">
        <v>137</v>
      </c>
      <c r="B138" t="s">
        <v>283</v>
      </c>
      <c r="C138" t="s">
        <v>284</v>
      </c>
      <c r="D138">
        <v>27</v>
      </c>
      <c r="E138">
        <v>21971385.860465121</v>
      </c>
      <c r="F138">
        <v>0</v>
      </c>
      <c r="G138">
        <v>0</v>
      </c>
      <c r="H138">
        <v>0</v>
      </c>
      <c r="I138">
        <v>0</v>
      </c>
      <c r="J138">
        <v>27</v>
      </c>
      <c r="K138">
        <v>21971385.860465121</v>
      </c>
    </row>
    <row r="139" spans="1:11" x14ac:dyDescent="0.25">
      <c r="A139">
        <v>138</v>
      </c>
      <c r="B139" t="s">
        <v>285</v>
      </c>
      <c r="C139" t="s">
        <v>286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</row>
    <row r="140" spans="1:11" x14ac:dyDescent="0.25">
      <c r="A140">
        <v>139</v>
      </c>
      <c r="B140" t="s">
        <v>287</v>
      </c>
      <c r="C140" t="s">
        <v>288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1" x14ac:dyDescent="0.25">
      <c r="A141">
        <v>140</v>
      </c>
      <c r="B141" t="s">
        <v>289</v>
      </c>
      <c r="C141" t="s">
        <v>290</v>
      </c>
      <c r="D141">
        <v>7</v>
      </c>
      <c r="E141">
        <v>16529354.83870968</v>
      </c>
      <c r="F141">
        <v>0</v>
      </c>
      <c r="G141">
        <v>0</v>
      </c>
      <c r="H141">
        <v>0</v>
      </c>
      <c r="I141">
        <v>0</v>
      </c>
      <c r="J141">
        <v>7</v>
      </c>
      <c r="K141">
        <v>16529354.83870968</v>
      </c>
    </row>
    <row r="142" spans="1:11" x14ac:dyDescent="0.25">
      <c r="A142">
        <v>141</v>
      </c>
      <c r="B142" t="s">
        <v>291</v>
      </c>
      <c r="C142" t="s">
        <v>292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 x14ac:dyDescent="0.25">
      <c r="A143">
        <v>142</v>
      </c>
      <c r="B143" t="s">
        <v>293</v>
      </c>
      <c r="C143" t="s">
        <v>294</v>
      </c>
      <c r="D143">
        <v>99</v>
      </c>
      <c r="E143">
        <v>19526168.115942031</v>
      </c>
      <c r="F143">
        <v>0</v>
      </c>
      <c r="G143">
        <v>0</v>
      </c>
      <c r="H143">
        <v>0</v>
      </c>
      <c r="I143">
        <v>0</v>
      </c>
      <c r="J143">
        <v>99</v>
      </c>
      <c r="K143">
        <v>19526168.115942031</v>
      </c>
    </row>
    <row r="144" spans="1:11" x14ac:dyDescent="0.25">
      <c r="A144">
        <v>143</v>
      </c>
      <c r="B144" t="s">
        <v>295</v>
      </c>
      <c r="C144" t="s">
        <v>296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 x14ac:dyDescent="0.25">
      <c r="A145">
        <v>144</v>
      </c>
      <c r="B145" t="s">
        <v>297</v>
      </c>
      <c r="C145" t="s">
        <v>298</v>
      </c>
      <c r="D145">
        <v>16</v>
      </c>
      <c r="E145">
        <v>2555953.1515151509</v>
      </c>
      <c r="F145">
        <v>0</v>
      </c>
      <c r="G145">
        <v>0</v>
      </c>
      <c r="H145">
        <v>0</v>
      </c>
      <c r="I145">
        <v>0</v>
      </c>
      <c r="J145">
        <v>16</v>
      </c>
      <c r="K145">
        <v>2555953.1515151509</v>
      </c>
    </row>
    <row r="146" spans="1:11" x14ac:dyDescent="0.25">
      <c r="A146">
        <v>145</v>
      </c>
      <c r="B146" t="s">
        <v>299</v>
      </c>
      <c r="C146" t="s">
        <v>300</v>
      </c>
      <c r="D146">
        <v>1674.732</v>
      </c>
      <c r="E146">
        <v>816024433.4799999</v>
      </c>
      <c r="F146">
        <v>85</v>
      </c>
      <c r="G146">
        <v>82863961</v>
      </c>
      <c r="H146">
        <v>22</v>
      </c>
      <c r="I146">
        <v>34397975</v>
      </c>
      <c r="J146">
        <v>1737.732</v>
      </c>
      <c r="K146">
        <v>864490419.4799999</v>
      </c>
    </row>
    <row r="147" spans="1:11" x14ac:dyDescent="0.25">
      <c r="A147" t="s">
        <v>301</v>
      </c>
      <c r="D147">
        <v>28600.732</v>
      </c>
      <c r="E147">
        <v>24343633735.28001</v>
      </c>
      <c r="F147">
        <v>1059</v>
      </c>
      <c r="G147">
        <v>1463875382.6400001</v>
      </c>
      <c r="H147">
        <v>446</v>
      </c>
      <c r="I147">
        <v>702897988</v>
      </c>
      <c r="J147">
        <v>29230.732</v>
      </c>
      <c r="K147">
        <v>25286561131.92001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47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t="s">
        <v>11</v>
      </c>
      <c r="C2" t="s">
        <v>12</v>
      </c>
      <c r="D2">
        <v>2</v>
      </c>
      <c r="E2">
        <v>24589927.772727281</v>
      </c>
      <c r="F2">
        <v>0</v>
      </c>
      <c r="G2">
        <v>0</v>
      </c>
      <c r="H2">
        <v>0</v>
      </c>
      <c r="I2">
        <v>0</v>
      </c>
      <c r="J2">
        <v>2</v>
      </c>
      <c r="K2">
        <v>24589927.772727281</v>
      </c>
    </row>
    <row r="3" spans="1:11" x14ac:dyDescent="0.25">
      <c r="A3">
        <v>2</v>
      </c>
      <c r="B3" t="s">
        <v>13</v>
      </c>
      <c r="C3" t="s">
        <v>14</v>
      </c>
      <c r="D3">
        <v>14</v>
      </c>
      <c r="E3">
        <v>107138809</v>
      </c>
      <c r="F3">
        <v>0</v>
      </c>
      <c r="G3">
        <v>0</v>
      </c>
      <c r="H3">
        <v>0</v>
      </c>
      <c r="I3">
        <v>0</v>
      </c>
      <c r="J3">
        <v>14</v>
      </c>
      <c r="K3">
        <v>107138809</v>
      </c>
    </row>
    <row r="4" spans="1:11" x14ac:dyDescent="0.25">
      <c r="A4">
        <v>3</v>
      </c>
      <c r="B4" t="s">
        <v>15</v>
      </c>
      <c r="C4" t="s">
        <v>16</v>
      </c>
      <c r="D4">
        <v>215</v>
      </c>
      <c r="E4">
        <v>2169791052.201292</v>
      </c>
      <c r="F4">
        <v>27</v>
      </c>
      <c r="G4">
        <v>394542465</v>
      </c>
      <c r="H4">
        <v>11</v>
      </c>
      <c r="I4">
        <v>184771818</v>
      </c>
      <c r="J4">
        <v>231</v>
      </c>
      <c r="K4">
        <v>2379561699.201292</v>
      </c>
    </row>
    <row r="5" spans="1:11" x14ac:dyDescent="0.25">
      <c r="A5">
        <v>4</v>
      </c>
      <c r="B5" t="s">
        <v>17</v>
      </c>
      <c r="C5" t="s">
        <v>18</v>
      </c>
      <c r="D5">
        <v>1</v>
      </c>
      <c r="E5">
        <v>29283636</v>
      </c>
      <c r="F5">
        <v>0</v>
      </c>
      <c r="G5">
        <v>0</v>
      </c>
      <c r="H5">
        <v>0</v>
      </c>
      <c r="I5">
        <v>0</v>
      </c>
      <c r="J5">
        <v>1</v>
      </c>
      <c r="K5">
        <v>29283636</v>
      </c>
    </row>
    <row r="6" spans="1:11" x14ac:dyDescent="0.25">
      <c r="A6">
        <v>5</v>
      </c>
      <c r="B6" t="s">
        <v>19</v>
      </c>
      <c r="C6" t="s">
        <v>20</v>
      </c>
      <c r="D6">
        <v>2</v>
      </c>
      <c r="E6">
        <v>42793621.178571403</v>
      </c>
      <c r="F6">
        <v>0</v>
      </c>
      <c r="G6">
        <v>0</v>
      </c>
      <c r="H6">
        <v>0</v>
      </c>
      <c r="I6">
        <v>0</v>
      </c>
      <c r="J6">
        <v>2</v>
      </c>
      <c r="K6">
        <v>42793621.178571403</v>
      </c>
    </row>
    <row r="7" spans="1:11" x14ac:dyDescent="0.25">
      <c r="A7">
        <v>6</v>
      </c>
      <c r="B7" t="s">
        <v>21</v>
      </c>
      <c r="C7" t="s">
        <v>22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5">
      <c r="A8">
        <v>7</v>
      </c>
      <c r="B8" t="s">
        <v>23</v>
      </c>
      <c r="C8" t="s">
        <v>24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5">
      <c r="A9">
        <v>8</v>
      </c>
      <c r="B9" t="s">
        <v>25</v>
      </c>
      <c r="C9" t="s">
        <v>26</v>
      </c>
      <c r="D9">
        <v>12</v>
      </c>
      <c r="E9">
        <v>46928087.450000003</v>
      </c>
      <c r="F9">
        <v>0</v>
      </c>
      <c r="G9">
        <v>0</v>
      </c>
      <c r="H9">
        <v>0</v>
      </c>
      <c r="I9">
        <v>0</v>
      </c>
      <c r="J9">
        <v>12</v>
      </c>
      <c r="K9">
        <v>46928087.450000003</v>
      </c>
    </row>
    <row r="10" spans="1:11" x14ac:dyDescent="0.25">
      <c r="A10">
        <v>9</v>
      </c>
      <c r="B10" t="s">
        <v>27</v>
      </c>
      <c r="C10" t="s">
        <v>28</v>
      </c>
      <c r="D10">
        <v>416</v>
      </c>
      <c r="E10">
        <v>1468174584.5951941</v>
      </c>
      <c r="F10">
        <v>10</v>
      </c>
      <c r="G10">
        <v>0</v>
      </c>
      <c r="H10">
        <v>14</v>
      </c>
      <c r="I10">
        <v>39704545</v>
      </c>
      <c r="J10">
        <v>412</v>
      </c>
      <c r="K10">
        <v>1428470039.5951941</v>
      </c>
    </row>
    <row r="11" spans="1:11" x14ac:dyDescent="0.25">
      <c r="A11">
        <v>10</v>
      </c>
      <c r="B11" t="s">
        <v>29</v>
      </c>
      <c r="C11" t="s">
        <v>30</v>
      </c>
      <c r="D11">
        <v>3</v>
      </c>
      <c r="E11">
        <v>18961647.25</v>
      </c>
      <c r="F11">
        <v>0</v>
      </c>
      <c r="G11">
        <v>0</v>
      </c>
      <c r="H11">
        <v>0</v>
      </c>
      <c r="I11">
        <v>0</v>
      </c>
      <c r="J11">
        <v>3</v>
      </c>
      <c r="K11">
        <v>18961647.25</v>
      </c>
    </row>
    <row r="12" spans="1:11" x14ac:dyDescent="0.25">
      <c r="A12">
        <v>11</v>
      </c>
      <c r="B12" t="s">
        <v>31</v>
      </c>
      <c r="C12" t="s">
        <v>32</v>
      </c>
      <c r="D12">
        <v>417</v>
      </c>
      <c r="E12">
        <v>4832316337.2191219</v>
      </c>
      <c r="F12">
        <v>11</v>
      </c>
      <c r="G12">
        <v>137909091</v>
      </c>
      <c r="H12">
        <v>17</v>
      </c>
      <c r="I12">
        <v>226377270</v>
      </c>
      <c r="J12">
        <v>411</v>
      </c>
      <c r="K12">
        <v>4743848158.2191219</v>
      </c>
    </row>
    <row r="13" spans="1:11" x14ac:dyDescent="0.25">
      <c r="A13">
        <v>12</v>
      </c>
      <c r="B13" t="s">
        <v>33</v>
      </c>
      <c r="C13" t="s">
        <v>34</v>
      </c>
      <c r="D13">
        <v>52</v>
      </c>
      <c r="E13">
        <v>898499688.76923084</v>
      </c>
      <c r="F13">
        <v>0</v>
      </c>
      <c r="G13">
        <v>0</v>
      </c>
      <c r="H13">
        <v>2</v>
      </c>
      <c r="I13">
        <v>35718181</v>
      </c>
      <c r="J13">
        <v>50</v>
      </c>
      <c r="K13">
        <v>862781507.76923084</v>
      </c>
    </row>
    <row r="14" spans="1:11" x14ac:dyDescent="0.25">
      <c r="A14">
        <v>13</v>
      </c>
      <c r="B14" t="s">
        <v>35</v>
      </c>
      <c r="C14" t="s">
        <v>36</v>
      </c>
      <c r="D14">
        <v>22</v>
      </c>
      <c r="E14">
        <v>397784405.28947371</v>
      </c>
      <c r="F14">
        <v>1</v>
      </c>
      <c r="G14">
        <v>26172727</v>
      </c>
      <c r="H14">
        <v>0</v>
      </c>
      <c r="I14">
        <v>0</v>
      </c>
      <c r="J14">
        <v>23</v>
      </c>
      <c r="K14">
        <v>423957132.28947371</v>
      </c>
    </row>
    <row r="15" spans="1:11" x14ac:dyDescent="0.25">
      <c r="A15">
        <v>14</v>
      </c>
      <c r="B15" t="s">
        <v>37</v>
      </c>
      <c r="C15" t="s">
        <v>38</v>
      </c>
      <c r="D15">
        <v>27</v>
      </c>
      <c r="E15">
        <v>335274131.93430662</v>
      </c>
      <c r="F15">
        <v>0</v>
      </c>
      <c r="G15">
        <v>0</v>
      </c>
      <c r="H15">
        <v>0</v>
      </c>
      <c r="I15">
        <v>0</v>
      </c>
      <c r="J15">
        <v>27</v>
      </c>
      <c r="K15">
        <v>335274131.93430662</v>
      </c>
    </row>
    <row r="16" spans="1:11" x14ac:dyDescent="0.25">
      <c r="A16">
        <v>15</v>
      </c>
      <c r="B16" t="s">
        <v>39</v>
      </c>
      <c r="C16" t="s">
        <v>40</v>
      </c>
      <c r="D16">
        <v>2</v>
      </c>
      <c r="E16">
        <v>78375895.104477614</v>
      </c>
      <c r="F16">
        <v>0</v>
      </c>
      <c r="G16">
        <v>0</v>
      </c>
      <c r="H16">
        <v>0</v>
      </c>
      <c r="I16">
        <v>0</v>
      </c>
      <c r="J16">
        <v>2</v>
      </c>
      <c r="K16">
        <v>78375895.104477614</v>
      </c>
    </row>
    <row r="17" spans="1:11" x14ac:dyDescent="0.25">
      <c r="A17">
        <v>16</v>
      </c>
      <c r="B17" t="s">
        <v>41</v>
      </c>
      <c r="C17" t="s">
        <v>42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>
        <v>17</v>
      </c>
      <c r="B18" t="s">
        <v>43</v>
      </c>
      <c r="C18" t="s">
        <v>44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>
        <v>18</v>
      </c>
      <c r="B19" t="s">
        <v>45</v>
      </c>
      <c r="C19" t="s">
        <v>46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25">
      <c r="A20">
        <v>19</v>
      </c>
      <c r="B20" t="s">
        <v>47</v>
      </c>
      <c r="C20" t="s">
        <v>48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5">
      <c r="A21">
        <v>20</v>
      </c>
      <c r="B21" t="s">
        <v>49</v>
      </c>
      <c r="C21" t="s">
        <v>50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25">
      <c r="A22">
        <v>21</v>
      </c>
      <c r="B22" t="s">
        <v>51</v>
      </c>
      <c r="C22" t="s">
        <v>52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25">
      <c r="A23">
        <v>22</v>
      </c>
      <c r="B23" t="s">
        <v>53</v>
      </c>
      <c r="C23" t="s">
        <v>54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25">
      <c r="A24">
        <v>23</v>
      </c>
      <c r="B24" t="s">
        <v>55</v>
      </c>
      <c r="C24" t="s">
        <v>56</v>
      </c>
      <c r="D24">
        <v>0</v>
      </c>
      <c r="E24">
        <v>0</v>
      </c>
      <c r="F24">
        <v>0</v>
      </c>
      <c r="G24">
        <v>0</v>
      </c>
      <c r="H24">
        <v>12</v>
      </c>
      <c r="I24">
        <v>114339093</v>
      </c>
      <c r="J24">
        <v>0</v>
      </c>
      <c r="K24">
        <v>0</v>
      </c>
    </row>
    <row r="25" spans="1:11" x14ac:dyDescent="0.25">
      <c r="A25">
        <v>24</v>
      </c>
      <c r="B25" t="s">
        <v>57</v>
      </c>
      <c r="C25" t="s">
        <v>58</v>
      </c>
      <c r="D25">
        <v>305</v>
      </c>
      <c r="E25">
        <v>2501125218.361217</v>
      </c>
      <c r="F25">
        <v>23</v>
      </c>
      <c r="G25">
        <v>198954546</v>
      </c>
      <c r="H25">
        <v>59</v>
      </c>
      <c r="I25">
        <v>497763636</v>
      </c>
      <c r="J25">
        <v>269</v>
      </c>
      <c r="K25">
        <v>2202316128.361217</v>
      </c>
    </row>
    <row r="26" spans="1:11" x14ac:dyDescent="0.25">
      <c r="A26">
        <v>25</v>
      </c>
      <c r="B26" t="s">
        <v>59</v>
      </c>
      <c r="C26" t="s">
        <v>60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25">
      <c r="A27">
        <v>26</v>
      </c>
      <c r="B27" t="s">
        <v>61</v>
      </c>
      <c r="C27" t="s">
        <v>62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5">
      <c r="A28">
        <v>27</v>
      </c>
      <c r="B28" t="s">
        <v>63</v>
      </c>
      <c r="C28" t="s">
        <v>64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25">
      <c r="A29">
        <v>28</v>
      </c>
      <c r="B29" t="s">
        <v>65</v>
      </c>
      <c r="C29" t="s">
        <v>66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x14ac:dyDescent="0.25">
      <c r="A30">
        <v>29</v>
      </c>
      <c r="B30" t="s">
        <v>67</v>
      </c>
      <c r="C30" t="s">
        <v>68</v>
      </c>
      <c r="D30">
        <v>6</v>
      </c>
      <c r="E30">
        <v>67213777.307692319</v>
      </c>
      <c r="F30">
        <v>0</v>
      </c>
      <c r="G30">
        <v>0</v>
      </c>
      <c r="H30">
        <v>0</v>
      </c>
      <c r="I30">
        <v>0</v>
      </c>
      <c r="J30">
        <v>6</v>
      </c>
      <c r="K30">
        <v>67213777.307692319</v>
      </c>
    </row>
    <row r="31" spans="1:11" x14ac:dyDescent="0.25">
      <c r="A31">
        <v>30</v>
      </c>
      <c r="B31" t="s">
        <v>69</v>
      </c>
      <c r="C31" t="s">
        <v>70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25">
      <c r="A32">
        <v>31</v>
      </c>
      <c r="B32" t="s">
        <v>71</v>
      </c>
      <c r="C32" t="s">
        <v>72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25">
      <c r="A33">
        <v>32</v>
      </c>
      <c r="B33" t="s">
        <v>73</v>
      </c>
      <c r="C33" t="s">
        <v>74</v>
      </c>
      <c r="D33">
        <v>5</v>
      </c>
      <c r="E33">
        <v>25627439.5</v>
      </c>
      <c r="F33">
        <v>1</v>
      </c>
      <c r="G33">
        <v>1690909</v>
      </c>
      <c r="H33">
        <v>1</v>
      </c>
      <c r="I33">
        <v>1863636</v>
      </c>
      <c r="J33">
        <v>5</v>
      </c>
      <c r="K33">
        <v>25454712.5</v>
      </c>
    </row>
    <row r="34" spans="1:11" x14ac:dyDescent="0.25">
      <c r="A34">
        <v>33</v>
      </c>
      <c r="B34" t="s">
        <v>75</v>
      </c>
      <c r="C34" t="s">
        <v>76</v>
      </c>
      <c r="D34">
        <v>50</v>
      </c>
      <c r="E34">
        <v>98558903.183266938</v>
      </c>
      <c r="F34">
        <v>0</v>
      </c>
      <c r="G34">
        <v>0</v>
      </c>
      <c r="H34">
        <v>0</v>
      </c>
      <c r="I34">
        <v>0</v>
      </c>
      <c r="J34">
        <v>50</v>
      </c>
      <c r="K34">
        <v>98558903.183266938</v>
      </c>
    </row>
    <row r="35" spans="1:11" x14ac:dyDescent="0.25">
      <c r="A35">
        <v>34</v>
      </c>
      <c r="B35" t="s">
        <v>77</v>
      </c>
      <c r="C35" t="s">
        <v>78</v>
      </c>
      <c r="D35">
        <v>678</v>
      </c>
      <c r="E35">
        <v>1351049137.553802</v>
      </c>
      <c r="F35">
        <v>16</v>
      </c>
      <c r="G35">
        <v>32772727</v>
      </c>
      <c r="H35">
        <v>64</v>
      </c>
      <c r="I35">
        <v>125790910</v>
      </c>
      <c r="J35">
        <v>630</v>
      </c>
      <c r="K35">
        <v>1258030954.553802</v>
      </c>
    </row>
    <row r="36" spans="1:11" x14ac:dyDescent="0.25">
      <c r="A36">
        <v>35</v>
      </c>
      <c r="B36" t="s">
        <v>79</v>
      </c>
      <c r="C36" t="s">
        <v>80</v>
      </c>
      <c r="D36">
        <v>17</v>
      </c>
      <c r="E36">
        <v>43508071.021276593</v>
      </c>
      <c r="F36">
        <v>2</v>
      </c>
      <c r="G36">
        <v>6000000</v>
      </c>
      <c r="H36">
        <v>0</v>
      </c>
      <c r="I36">
        <v>0</v>
      </c>
      <c r="J36">
        <v>19</v>
      </c>
      <c r="K36">
        <v>49508071.021276593</v>
      </c>
    </row>
    <row r="37" spans="1:11" x14ac:dyDescent="0.25">
      <c r="A37">
        <v>36</v>
      </c>
      <c r="B37" t="s">
        <v>81</v>
      </c>
      <c r="C37" t="s">
        <v>82</v>
      </c>
      <c r="D37">
        <v>31</v>
      </c>
      <c r="E37">
        <v>130319475.1964286</v>
      </c>
      <c r="F37">
        <v>4</v>
      </c>
      <c r="G37">
        <v>16072727</v>
      </c>
      <c r="H37">
        <v>16</v>
      </c>
      <c r="I37">
        <v>24990911</v>
      </c>
      <c r="J37">
        <v>19</v>
      </c>
      <c r="K37">
        <v>121401291.1964286</v>
      </c>
    </row>
    <row r="38" spans="1:11" x14ac:dyDescent="0.25">
      <c r="A38">
        <v>37</v>
      </c>
      <c r="B38" t="s">
        <v>83</v>
      </c>
      <c r="C38" t="s">
        <v>84</v>
      </c>
      <c r="D38">
        <v>1</v>
      </c>
      <c r="E38">
        <v>4336364</v>
      </c>
      <c r="F38">
        <v>0</v>
      </c>
      <c r="G38">
        <v>0</v>
      </c>
      <c r="H38">
        <v>0</v>
      </c>
      <c r="I38">
        <v>0</v>
      </c>
      <c r="J38">
        <v>1</v>
      </c>
      <c r="K38">
        <v>4336364</v>
      </c>
    </row>
    <row r="39" spans="1:11" x14ac:dyDescent="0.25">
      <c r="A39">
        <v>38</v>
      </c>
      <c r="B39" t="s">
        <v>85</v>
      </c>
      <c r="C39" t="s">
        <v>86</v>
      </c>
      <c r="D39">
        <v>172</v>
      </c>
      <c r="E39">
        <v>455629503.38106239</v>
      </c>
      <c r="F39">
        <v>0</v>
      </c>
      <c r="G39">
        <v>0</v>
      </c>
      <c r="H39">
        <v>23</v>
      </c>
      <c r="I39">
        <v>51172725</v>
      </c>
      <c r="J39">
        <v>149</v>
      </c>
      <c r="K39">
        <v>404456778.38106239</v>
      </c>
    </row>
    <row r="40" spans="1:11" x14ac:dyDescent="0.25">
      <c r="A40">
        <v>39</v>
      </c>
      <c r="B40" t="s">
        <v>87</v>
      </c>
      <c r="C40" t="s">
        <v>88</v>
      </c>
      <c r="D40">
        <v>12</v>
      </c>
      <c r="E40">
        <v>65388888.777777784</v>
      </c>
      <c r="F40">
        <v>0</v>
      </c>
      <c r="G40">
        <v>0</v>
      </c>
      <c r="H40">
        <v>1</v>
      </c>
      <c r="I40">
        <v>7445455</v>
      </c>
      <c r="J40">
        <v>11</v>
      </c>
      <c r="K40">
        <v>57943433.777777784</v>
      </c>
    </row>
    <row r="41" spans="1:11" x14ac:dyDescent="0.25">
      <c r="A41">
        <v>40</v>
      </c>
      <c r="B41" t="s">
        <v>89</v>
      </c>
      <c r="C41" t="s">
        <v>90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25">
      <c r="A42">
        <v>41</v>
      </c>
      <c r="B42" t="s">
        <v>91</v>
      </c>
      <c r="C42" t="s">
        <v>92</v>
      </c>
      <c r="D42">
        <v>1555</v>
      </c>
      <c r="E42">
        <v>29874546.640000001</v>
      </c>
      <c r="F42">
        <v>229</v>
      </c>
      <c r="G42">
        <v>25749999</v>
      </c>
      <c r="H42">
        <v>155</v>
      </c>
      <c r="I42">
        <v>35304556</v>
      </c>
      <c r="J42">
        <v>1629</v>
      </c>
      <c r="K42">
        <v>20319989.640000001</v>
      </c>
    </row>
    <row r="43" spans="1:11" x14ac:dyDescent="0.25">
      <c r="A43">
        <v>42</v>
      </c>
      <c r="B43" t="s">
        <v>93</v>
      </c>
      <c r="C43" t="s">
        <v>94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25">
      <c r="A44">
        <v>43</v>
      </c>
      <c r="B44" t="s">
        <v>95</v>
      </c>
      <c r="C44" t="s">
        <v>96</v>
      </c>
      <c r="D44">
        <v>544</v>
      </c>
      <c r="E44">
        <v>1593900435.4247439</v>
      </c>
      <c r="F44">
        <v>20</v>
      </c>
      <c r="G44">
        <v>727280</v>
      </c>
      <c r="H44">
        <v>34</v>
      </c>
      <c r="I44">
        <v>99485459</v>
      </c>
      <c r="J44">
        <v>530</v>
      </c>
      <c r="K44">
        <v>1495142256.4247439</v>
      </c>
    </row>
    <row r="45" spans="1:11" x14ac:dyDescent="0.25">
      <c r="A45">
        <v>44</v>
      </c>
      <c r="B45" t="s">
        <v>97</v>
      </c>
      <c r="C45" t="s">
        <v>98</v>
      </c>
      <c r="D45">
        <v>103</v>
      </c>
      <c r="E45">
        <v>447679711.79297298</v>
      </c>
      <c r="F45">
        <v>0</v>
      </c>
      <c r="G45">
        <v>0</v>
      </c>
      <c r="H45">
        <v>3</v>
      </c>
      <c r="I45">
        <v>13018182</v>
      </c>
      <c r="J45">
        <v>100</v>
      </c>
      <c r="K45">
        <v>434661529.79297298</v>
      </c>
    </row>
    <row r="46" spans="1:11" x14ac:dyDescent="0.25">
      <c r="A46">
        <v>45</v>
      </c>
      <c r="B46" t="s">
        <v>99</v>
      </c>
      <c r="C46" t="s">
        <v>100</v>
      </c>
      <c r="D46">
        <v>303</v>
      </c>
      <c r="E46">
        <v>96016481.632571429</v>
      </c>
      <c r="F46">
        <v>1</v>
      </c>
      <c r="G46">
        <v>7636364</v>
      </c>
      <c r="H46">
        <v>71</v>
      </c>
      <c r="I46">
        <v>15272715</v>
      </c>
      <c r="J46">
        <v>233</v>
      </c>
      <c r="K46">
        <v>88380130.632571429</v>
      </c>
    </row>
    <row r="47" spans="1:11" x14ac:dyDescent="0.25">
      <c r="A47">
        <v>46</v>
      </c>
      <c r="B47" t="s">
        <v>101</v>
      </c>
      <c r="C47" t="s">
        <v>102</v>
      </c>
      <c r="D47">
        <v>159</v>
      </c>
      <c r="E47">
        <v>271136050.92567378</v>
      </c>
      <c r="F47">
        <v>4</v>
      </c>
      <c r="G47">
        <v>23690909.440000001</v>
      </c>
      <c r="H47">
        <v>36</v>
      </c>
      <c r="I47">
        <v>13636362</v>
      </c>
      <c r="J47">
        <v>127</v>
      </c>
      <c r="K47">
        <v>281190598.36567378</v>
      </c>
    </row>
    <row r="48" spans="1:11" x14ac:dyDescent="0.25">
      <c r="A48">
        <v>47</v>
      </c>
      <c r="B48" t="s">
        <v>103</v>
      </c>
      <c r="C48" t="s">
        <v>104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 x14ac:dyDescent="0.25">
      <c r="A49">
        <v>48</v>
      </c>
      <c r="B49" t="s">
        <v>105</v>
      </c>
      <c r="C49" t="s">
        <v>106</v>
      </c>
      <c r="D49">
        <v>38</v>
      </c>
      <c r="E49">
        <v>273966847.96224141</v>
      </c>
      <c r="F49">
        <v>5</v>
      </c>
      <c r="G49">
        <v>37327272.600000001</v>
      </c>
      <c r="H49">
        <v>0</v>
      </c>
      <c r="I49">
        <v>0</v>
      </c>
      <c r="J49">
        <v>43</v>
      </c>
      <c r="K49">
        <v>311294120.56224138</v>
      </c>
    </row>
    <row r="50" spans="1:11" x14ac:dyDescent="0.25">
      <c r="A50">
        <v>49</v>
      </c>
      <c r="B50" t="s">
        <v>107</v>
      </c>
      <c r="C50" t="s">
        <v>108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25">
      <c r="A51">
        <v>50</v>
      </c>
      <c r="B51" t="s">
        <v>109</v>
      </c>
      <c r="C51" t="s">
        <v>110</v>
      </c>
      <c r="D51">
        <v>5</v>
      </c>
      <c r="E51">
        <v>254228.19999999931</v>
      </c>
      <c r="F51">
        <v>0</v>
      </c>
      <c r="G51">
        <v>0</v>
      </c>
      <c r="H51">
        <v>0</v>
      </c>
      <c r="I51">
        <v>0</v>
      </c>
      <c r="J51">
        <v>5</v>
      </c>
      <c r="K51">
        <v>254228.19999999931</v>
      </c>
    </row>
    <row r="52" spans="1:11" x14ac:dyDescent="0.25">
      <c r="A52">
        <v>51</v>
      </c>
      <c r="B52" t="s">
        <v>111</v>
      </c>
      <c r="C52" t="s">
        <v>112</v>
      </c>
      <c r="D52">
        <v>30</v>
      </c>
      <c r="E52">
        <v>61627285.066938758</v>
      </c>
      <c r="F52">
        <v>10</v>
      </c>
      <c r="G52">
        <v>19768519</v>
      </c>
      <c r="H52">
        <v>44</v>
      </c>
      <c r="I52">
        <v>67314815</v>
      </c>
      <c r="J52">
        <v>0</v>
      </c>
      <c r="K52">
        <v>14080989.06693876</v>
      </c>
    </row>
    <row r="53" spans="1:11" x14ac:dyDescent="0.25">
      <c r="A53">
        <v>52</v>
      </c>
      <c r="B53" t="s">
        <v>113</v>
      </c>
      <c r="C53" t="s">
        <v>114</v>
      </c>
      <c r="D53">
        <v>3</v>
      </c>
      <c r="E53">
        <v>5580000</v>
      </c>
      <c r="F53">
        <v>0</v>
      </c>
      <c r="G53">
        <v>0</v>
      </c>
      <c r="H53">
        <v>0</v>
      </c>
      <c r="I53">
        <v>0</v>
      </c>
      <c r="J53">
        <v>3</v>
      </c>
      <c r="K53">
        <v>5580000</v>
      </c>
    </row>
    <row r="54" spans="1:11" x14ac:dyDescent="0.25">
      <c r="A54">
        <v>53</v>
      </c>
      <c r="B54" t="s">
        <v>115</v>
      </c>
      <c r="C54" t="s">
        <v>116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 x14ac:dyDescent="0.25">
      <c r="A55">
        <v>54</v>
      </c>
      <c r="B55" t="s">
        <v>117</v>
      </c>
      <c r="C55" t="s">
        <v>118</v>
      </c>
      <c r="D55">
        <v>92</v>
      </c>
      <c r="E55">
        <v>112658896.172702</v>
      </c>
      <c r="F55">
        <v>1</v>
      </c>
      <c r="G55">
        <v>220000</v>
      </c>
      <c r="H55">
        <v>2</v>
      </c>
      <c r="I55">
        <v>8536363</v>
      </c>
      <c r="J55">
        <v>91</v>
      </c>
      <c r="K55">
        <v>104342533.172702</v>
      </c>
    </row>
    <row r="56" spans="1:11" x14ac:dyDescent="0.25">
      <c r="A56">
        <v>55</v>
      </c>
      <c r="B56" t="s">
        <v>119</v>
      </c>
      <c r="C56" t="s">
        <v>120</v>
      </c>
      <c r="D56">
        <v>32</v>
      </c>
      <c r="E56">
        <v>4952973.4915254228</v>
      </c>
      <c r="F56">
        <v>5</v>
      </c>
      <c r="G56">
        <v>2640000</v>
      </c>
      <c r="H56">
        <v>1</v>
      </c>
      <c r="I56">
        <v>1157407</v>
      </c>
      <c r="J56">
        <v>36</v>
      </c>
      <c r="K56">
        <v>6435566.4915254228</v>
      </c>
    </row>
    <row r="57" spans="1:11" x14ac:dyDescent="0.25">
      <c r="A57">
        <v>56</v>
      </c>
      <c r="B57" t="s">
        <v>121</v>
      </c>
      <c r="C57" t="s">
        <v>122</v>
      </c>
      <c r="D57">
        <v>6</v>
      </c>
      <c r="E57">
        <v>17901110.180769231</v>
      </c>
      <c r="F57">
        <v>1</v>
      </c>
      <c r="G57">
        <v>3080000</v>
      </c>
      <c r="H57">
        <v>0</v>
      </c>
      <c r="I57">
        <v>0</v>
      </c>
      <c r="J57">
        <v>7</v>
      </c>
      <c r="K57">
        <v>20981110.180769231</v>
      </c>
    </row>
    <row r="58" spans="1:11" x14ac:dyDescent="0.25">
      <c r="A58">
        <v>57</v>
      </c>
      <c r="B58" t="s">
        <v>123</v>
      </c>
      <c r="C58" t="s">
        <v>124</v>
      </c>
      <c r="D58">
        <v>2</v>
      </c>
      <c r="E58">
        <v>1829966.11</v>
      </c>
      <c r="F58">
        <v>0</v>
      </c>
      <c r="G58">
        <v>0</v>
      </c>
      <c r="H58">
        <v>0</v>
      </c>
      <c r="I58">
        <v>0</v>
      </c>
      <c r="J58">
        <v>2</v>
      </c>
      <c r="K58">
        <v>1829966.11</v>
      </c>
    </row>
    <row r="59" spans="1:11" x14ac:dyDescent="0.25">
      <c r="A59">
        <v>58</v>
      </c>
      <c r="B59" t="s">
        <v>125</v>
      </c>
      <c r="C59" t="s">
        <v>126</v>
      </c>
      <c r="D59">
        <v>4212</v>
      </c>
      <c r="E59">
        <v>275228296.36559761</v>
      </c>
      <c r="F59">
        <v>293</v>
      </c>
      <c r="G59">
        <v>66057284</v>
      </c>
      <c r="H59">
        <v>3133</v>
      </c>
      <c r="I59">
        <v>185269082</v>
      </c>
      <c r="J59">
        <v>1372</v>
      </c>
      <c r="K59">
        <v>156016498.36559761</v>
      </c>
    </row>
    <row r="60" spans="1:11" x14ac:dyDescent="0.25">
      <c r="A60">
        <v>59</v>
      </c>
      <c r="B60" t="s">
        <v>127</v>
      </c>
      <c r="C60" t="s">
        <v>128</v>
      </c>
      <c r="D60">
        <v>205</v>
      </c>
      <c r="E60">
        <v>5545657.6822262118</v>
      </c>
      <c r="F60">
        <v>10</v>
      </c>
      <c r="G60">
        <v>709090</v>
      </c>
      <c r="H60">
        <v>77</v>
      </c>
      <c r="I60">
        <v>12754526</v>
      </c>
      <c r="J60">
        <v>138</v>
      </c>
      <c r="K60">
        <v>0</v>
      </c>
    </row>
    <row r="61" spans="1:11" x14ac:dyDescent="0.25">
      <c r="A61">
        <v>60</v>
      </c>
      <c r="B61" t="s">
        <v>129</v>
      </c>
      <c r="C61" t="s">
        <v>130</v>
      </c>
      <c r="D61">
        <v>29</v>
      </c>
      <c r="E61">
        <v>1209090</v>
      </c>
      <c r="F61">
        <v>6</v>
      </c>
      <c r="G61">
        <v>1381816</v>
      </c>
      <c r="H61">
        <v>0</v>
      </c>
      <c r="I61">
        <v>0</v>
      </c>
      <c r="J61">
        <v>35</v>
      </c>
      <c r="K61">
        <v>2590906</v>
      </c>
    </row>
    <row r="62" spans="1:11" x14ac:dyDescent="0.25">
      <c r="A62">
        <v>61</v>
      </c>
      <c r="B62" t="s">
        <v>131</v>
      </c>
      <c r="C62" t="s">
        <v>132</v>
      </c>
      <c r="D62">
        <v>2236</v>
      </c>
      <c r="E62">
        <v>222266064.8789579</v>
      </c>
      <c r="F62">
        <v>200</v>
      </c>
      <c r="G62">
        <v>5090909</v>
      </c>
      <c r="H62">
        <v>1204</v>
      </c>
      <c r="I62">
        <v>86268211</v>
      </c>
      <c r="J62">
        <v>1232</v>
      </c>
      <c r="K62">
        <v>141088762.8789579</v>
      </c>
    </row>
    <row r="63" spans="1:11" x14ac:dyDescent="0.25">
      <c r="A63">
        <v>62</v>
      </c>
      <c r="B63" t="s">
        <v>133</v>
      </c>
      <c r="C63" t="s">
        <v>134</v>
      </c>
      <c r="D63">
        <v>1021</v>
      </c>
      <c r="E63">
        <v>183561545.71158049</v>
      </c>
      <c r="F63">
        <v>0</v>
      </c>
      <c r="G63">
        <v>0</v>
      </c>
      <c r="H63">
        <v>5</v>
      </c>
      <c r="I63">
        <v>927272</v>
      </c>
      <c r="J63">
        <v>1016</v>
      </c>
      <c r="K63">
        <v>182634273.71158049</v>
      </c>
    </row>
    <row r="64" spans="1:11" x14ac:dyDescent="0.25">
      <c r="A64">
        <v>63</v>
      </c>
      <c r="B64" t="s">
        <v>135</v>
      </c>
      <c r="C64" t="s">
        <v>136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 x14ac:dyDescent="0.25">
      <c r="A65">
        <v>64</v>
      </c>
      <c r="B65" t="s">
        <v>137</v>
      </c>
      <c r="C65" t="s">
        <v>138</v>
      </c>
      <c r="D65">
        <v>16</v>
      </c>
      <c r="E65">
        <v>5701680.4511235952</v>
      </c>
      <c r="F65">
        <v>2</v>
      </c>
      <c r="G65">
        <v>230910</v>
      </c>
      <c r="H65">
        <v>0</v>
      </c>
      <c r="I65">
        <v>0</v>
      </c>
      <c r="J65">
        <v>18</v>
      </c>
      <c r="K65">
        <v>5932590.4511235952</v>
      </c>
    </row>
    <row r="66" spans="1:11" x14ac:dyDescent="0.25">
      <c r="A66">
        <v>65</v>
      </c>
      <c r="B66" t="s">
        <v>139</v>
      </c>
      <c r="C66" t="s">
        <v>140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 x14ac:dyDescent="0.25">
      <c r="A67">
        <v>66</v>
      </c>
      <c r="B67" t="s">
        <v>141</v>
      </c>
      <c r="C67" t="s">
        <v>142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 x14ac:dyDescent="0.25">
      <c r="A68">
        <v>67</v>
      </c>
      <c r="B68" t="s">
        <v>143</v>
      </c>
      <c r="C68" t="s">
        <v>144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 x14ac:dyDescent="0.25">
      <c r="A69">
        <v>68</v>
      </c>
      <c r="B69" t="s">
        <v>145</v>
      </c>
      <c r="C69" t="s">
        <v>146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 x14ac:dyDescent="0.25">
      <c r="A70">
        <v>69</v>
      </c>
      <c r="B70" t="s">
        <v>147</v>
      </c>
      <c r="C70" t="s">
        <v>148</v>
      </c>
      <c r="D70">
        <v>237</v>
      </c>
      <c r="E70">
        <v>76944562.665112108</v>
      </c>
      <c r="F70">
        <v>30</v>
      </c>
      <c r="G70">
        <v>409080</v>
      </c>
      <c r="H70">
        <v>1</v>
      </c>
      <c r="I70">
        <v>772727</v>
      </c>
      <c r="J70">
        <v>266</v>
      </c>
      <c r="K70">
        <v>76580915.665112108</v>
      </c>
    </row>
    <row r="71" spans="1:11" x14ac:dyDescent="0.25">
      <c r="A71">
        <v>70</v>
      </c>
      <c r="B71" t="s">
        <v>149</v>
      </c>
      <c r="C71" t="s">
        <v>150</v>
      </c>
      <c r="D71">
        <v>9</v>
      </c>
      <c r="E71">
        <v>737428.16000000015</v>
      </c>
      <c r="F71">
        <v>0</v>
      </c>
      <c r="G71">
        <v>0</v>
      </c>
      <c r="H71">
        <v>0</v>
      </c>
      <c r="I71">
        <v>0</v>
      </c>
      <c r="J71">
        <v>9</v>
      </c>
      <c r="K71">
        <v>737428.16000000015</v>
      </c>
    </row>
    <row r="72" spans="1:11" x14ac:dyDescent="0.25">
      <c r="A72">
        <v>71</v>
      </c>
      <c r="B72" t="s">
        <v>151</v>
      </c>
      <c r="C72" t="s">
        <v>152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</row>
    <row r="73" spans="1:11" x14ac:dyDescent="0.25">
      <c r="A73">
        <v>72</v>
      </c>
      <c r="B73" t="s">
        <v>153</v>
      </c>
      <c r="C73" t="s">
        <v>154</v>
      </c>
      <c r="D73">
        <v>100</v>
      </c>
      <c r="E73">
        <v>0</v>
      </c>
      <c r="F73">
        <v>0</v>
      </c>
      <c r="G73">
        <v>0</v>
      </c>
      <c r="H73">
        <v>0</v>
      </c>
      <c r="I73">
        <v>0</v>
      </c>
      <c r="J73">
        <v>100</v>
      </c>
      <c r="K73">
        <v>0</v>
      </c>
    </row>
    <row r="74" spans="1:11" x14ac:dyDescent="0.25">
      <c r="A74">
        <v>73</v>
      </c>
      <c r="B74" t="s">
        <v>155</v>
      </c>
      <c r="C74" t="s">
        <v>156</v>
      </c>
      <c r="D74">
        <v>147</v>
      </c>
      <c r="E74">
        <v>331994205.07878792</v>
      </c>
      <c r="F74">
        <v>7</v>
      </c>
      <c r="G74">
        <v>14463636</v>
      </c>
      <c r="H74">
        <v>0</v>
      </c>
      <c r="I74">
        <v>0</v>
      </c>
      <c r="J74">
        <v>154</v>
      </c>
      <c r="K74">
        <v>346457841.07878792</v>
      </c>
    </row>
    <row r="75" spans="1:11" x14ac:dyDescent="0.25">
      <c r="A75">
        <v>74</v>
      </c>
      <c r="B75" t="s">
        <v>157</v>
      </c>
      <c r="C75" t="s">
        <v>158</v>
      </c>
      <c r="D75">
        <v>135</v>
      </c>
      <c r="E75">
        <v>402614682.75098813</v>
      </c>
      <c r="F75">
        <v>5</v>
      </c>
      <c r="G75">
        <v>15727272</v>
      </c>
      <c r="H75">
        <v>2</v>
      </c>
      <c r="I75">
        <v>7500000</v>
      </c>
      <c r="J75">
        <v>138</v>
      </c>
      <c r="K75">
        <v>410841954.75098813</v>
      </c>
    </row>
    <row r="76" spans="1:11" x14ac:dyDescent="0.25">
      <c r="A76">
        <v>75</v>
      </c>
      <c r="B76" t="s">
        <v>159</v>
      </c>
      <c r="C76" t="s">
        <v>160</v>
      </c>
      <c r="D76">
        <v>5</v>
      </c>
      <c r="E76">
        <v>26539183.875</v>
      </c>
      <c r="F76">
        <v>2</v>
      </c>
      <c r="G76">
        <v>11181818</v>
      </c>
      <c r="H76">
        <v>1</v>
      </c>
      <c r="I76">
        <v>7181818</v>
      </c>
      <c r="J76">
        <v>6</v>
      </c>
      <c r="K76">
        <v>30539183.875</v>
      </c>
    </row>
    <row r="77" spans="1:11" x14ac:dyDescent="0.25">
      <c r="A77">
        <v>76</v>
      </c>
      <c r="B77" t="s">
        <v>161</v>
      </c>
      <c r="C77" t="s">
        <v>162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 x14ac:dyDescent="0.25">
      <c r="A78">
        <v>77</v>
      </c>
      <c r="B78" t="s">
        <v>163</v>
      </c>
      <c r="C78" t="s">
        <v>164</v>
      </c>
      <c r="D78">
        <v>197</v>
      </c>
      <c r="E78">
        <v>292459708.59605908</v>
      </c>
      <c r="F78">
        <v>20</v>
      </c>
      <c r="G78">
        <v>28545455</v>
      </c>
      <c r="H78">
        <v>36</v>
      </c>
      <c r="I78">
        <v>51581817</v>
      </c>
      <c r="J78">
        <v>181</v>
      </c>
      <c r="K78">
        <v>269423346.59605908</v>
      </c>
    </row>
    <row r="79" spans="1:11" x14ac:dyDescent="0.25">
      <c r="A79">
        <v>78</v>
      </c>
      <c r="B79" t="s">
        <v>165</v>
      </c>
      <c r="C79" t="s">
        <v>166</v>
      </c>
      <c r="D79">
        <v>20</v>
      </c>
      <c r="E79">
        <v>47275479</v>
      </c>
      <c r="F79">
        <v>0</v>
      </c>
      <c r="G79">
        <v>0</v>
      </c>
      <c r="H79">
        <v>2</v>
      </c>
      <c r="I79">
        <v>4618182</v>
      </c>
      <c r="J79">
        <v>18</v>
      </c>
      <c r="K79">
        <v>42657297</v>
      </c>
    </row>
    <row r="80" spans="1:11" x14ac:dyDescent="0.25">
      <c r="A80">
        <v>79</v>
      </c>
      <c r="B80" t="s">
        <v>167</v>
      </c>
      <c r="C80" t="s">
        <v>168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 x14ac:dyDescent="0.25">
      <c r="A81">
        <v>80</v>
      </c>
      <c r="B81" t="s">
        <v>169</v>
      </c>
      <c r="C81" t="s">
        <v>170</v>
      </c>
      <c r="D81">
        <v>672</v>
      </c>
      <c r="E81">
        <v>204019451.62329009</v>
      </c>
      <c r="F81">
        <v>0</v>
      </c>
      <c r="G81">
        <v>0</v>
      </c>
      <c r="H81">
        <v>83</v>
      </c>
      <c r="I81">
        <v>21100004</v>
      </c>
      <c r="J81">
        <v>589</v>
      </c>
      <c r="K81">
        <v>182919447.62329009</v>
      </c>
    </row>
    <row r="82" spans="1:11" x14ac:dyDescent="0.25">
      <c r="A82">
        <v>81</v>
      </c>
      <c r="B82" t="s">
        <v>171</v>
      </c>
      <c r="C82" t="s">
        <v>172</v>
      </c>
      <c r="D82">
        <v>222</v>
      </c>
      <c r="E82">
        <v>200180310.11730209</v>
      </c>
      <c r="F82">
        <v>0</v>
      </c>
      <c r="G82">
        <v>0</v>
      </c>
      <c r="H82">
        <v>15</v>
      </c>
      <c r="I82">
        <v>10336361</v>
      </c>
      <c r="J82">
        <v>207</v>
      </c>
      <c r="K82">
        <v>189843949.11730209</v>
      </c>
    </row>
    <row r="83" spans="1:11" x14ac:dyDescent="0.25">
      <c r="A83">
        <v>82</v>
      </c>
      <c r="B83" t="s">
        <v>173</v>
      </c>
      <c r="C83" t="s">
        <v>174</v>
      </c>
      <c r="D83">
        <v>101</v>
      </c>
      <c r="E83">
        <v>97363561.202380955</v>
      </c>
      <c r="F83">
        <v>0</v>
      </c>
      <c r="G83">
        <v>0</v>
      </c>
      <c r="H83">
        <v>1</v>
      </c>
      <c r="I83">
        <v>609091</v>
      </c>
      <c r="J83">
        <v>100</v>
      </c>
      <c r="K83">
        <v>96754470.202380955</v>
      </c>
    </row>
    <row r="84" spans="1:11" x14ac:dyDescent="0.25">
      <c r="A84">
        <v>83</v>
      </c>
      <c r="B84" t="s">
        <v>175</v>
      </c>
      <c r="C84" t="s">
        <v>176</v>
      </c>
      <c r="D84">
        <v>11</v>
      </c>
      <c r="E84">
        <v>18878450.199999999</v>
      </c>
      <c r="F84">
        <v>0</v>
      </c>
      <c r="G84">
        <v>0</v>
      </c>
      <c r="H84">
        <v>0</v>
      </c>
      <c r="I84">
        <v>0</v>
      </c>
      <c r="J84">
        <v>11</v>
      </c>
      <c r="K84">
        <v>18878450.199999999</v>
      </c>
    </row>
    <row r="85" spans="1:11" x14ac:dyDescent="0.25">
      <c r="A85">
        <v>84</v>
      </c>
      <c r="B85" t="s">
        <v>177</v>
      </c>
      <c r="C85" t="s">
        <v>178</v>
      </c>
      <c r="D85">
        <v>17</v>
      </c>
      <c r="E85">
        <v>81028636.483870968</v>
      </c>
      <c r="F85">
        <v>0</v>
      </c>
      <c r="G85">
        <v>0</v>
      </c>
      <c r="H85">
        <v>0</v>
      </c>
      <c r="I85">
        <v>0</v>
      </c>
      <c r="J85">
        <v>17</v>
      </c>
      <c r="K85">
        <v>81028636.483870968</v>
      </c>
    </row>
    <row r="86" spans="1:11" x14ac:dyDescent="0.25">
      <c r="A86">
        <v>85</v>
      </c>
      <c r="B86" t="s">
        <v>179</v>
      </c>
      <c r="C86" t="s">
        <v>180</v>
      </c>
      <c r="D86">
        <v>20</v>
      </c>
      <c r="E86">
        <v>28108582.16</v>
      </c>
      <c r="F86">
        <v>2</v>
      </c>
      <c r="G86">
        <v>1081818</v>
      </c>
      <c r="H86">
        <v>0</v>
      </c>
      <c r="I86">
        <v>0</v>
      </c>
      <c r="J86">
        <v>22</v>
      </c>
      <c r="K86">
        <v>29190400.16</v>
      </c>
    </row>
    <row r="87" spans="1:11" x14ac:dyDescent="0.25">
      <c r="A87">
        <v>86</v>
      </c>
      <c r="B87" t="s">
        <v>181</v>
      </c>
      <c r="C87" t="s">
        <v>182</v>
      </c>
      <c r="D87">
        <v>67</v>
      </c>
      <c r="E87">
        <v>72005538.572559372</v>
      </c>
      <c r="F87">
        <v>22</v>
      </c>
      <c r="G87">
        <v>24172727</v>
      </c>
      <c r="H87">
        <v>5</v>
      </c>
      <c r="I87">
        <v>6036363</v>
      </c>
      <c r="J87">
        <v>84</v>
      </c>
      <c r="K87">
        <v>90141902.572559372</v>
      </c>
    </row>
    <row r="88" spans="1:11" x14ac:dyDescent="0.25">
      <c r="A88">
        <v>87</v>
      </c>
      <c r="B88" t="s">
        <v>183</v>
      </c>
      <c r="C88" t="s">
        <v>184</v>
      </c>
      <c r="D88">
        <v>3</v>
      </c>
      <c r="E88">
        <v>2443182.9545454532</v>
      </c>
      <c r="F88">
        <v>0</v>
      </c>
      <c r="G88">
        <v>0</v>
      </c>
      <c r="H88">
        <v>0</v>
      </c>
      <c r="I88">
        <v>0</v>
      </c>
      <c r="J88">
        <v>3</v>
      </c>
      <c r="K88">
        <v>2443182.9545454532</v>
      </c>
    </row>
    <row r="89" spans="1:11" x14ac:dyDescent="0.25">
      <c r="A89">
        <v>88</v>
      </c>
      <c r="B89" t="s">
        <v>185</v>
      </c>
      <c r="C89" t="s">
        <v>186</v>
      </c>
      <c r="D89">
        <v>1399</v>
      </c>
      <c r="E89">
        <v>428866771.74628812</v>
      </c>
      <c r="F89">
        <v>0</v>
      </c>
      <c r="G89">
        <v>0</v>
      </c>
      <c r="H89">
        <v>70</v>
      </c>
      <c r="I89">
        <v>28236343</v>
      </c>
      <c r="J89">
        <v>1329</v>
      </c>
      <c r="K89">
        <v>400630428.74628812</v>
      </c>
    </row>
    <row r="90" spans="1:11" x14ac:dyDescent="0.25">
      <c r="A90">
        <v>89</v>
      </c>
      <c r="B90" t="s">
        <v>187</v>
      </c>
      <c r="C90" t="s">
        <v>188</v>
      </c>
      <c r="D90">
        <v>274</v>
      </c>
      <c r="E90">
        <v>309856398.34957021</v>
      </c>
      <c r="F90">
        <v>0</v>
      </c>
      <c r="G90">
        <v>0</v>
      </c>
      <c r="H90">
        <v>24</v>
      </c>
      <c r="I90">
        <v>15672733</v>
      </c>
      <c r="J90">
        <v>250</v>
      </c>
      <c r="K90">
        <v>294183665.34957021</v>
      </c>
    </row>
    <row r="91" spans="1:11" x14ac:dyDescent="0.25">
      <c r="A91">
        <v>90</v>
      </c>
      <c r="B91" t="s">
        <v>189</v>
      </c>
      <c r="C91" t="s">
        <v>190</v>
      </c>
      <c r="D91">
        <v>115</v>
      </c>
      <c r="E91">
        <v>147316867.9923954</v>
      </c>
      <c r="F91">
        <v>0</v>
      </c>
      <c r="G91">
        <v>0</v>
      </c>
      <c r="H91">
        <v>4</v>
      </c>
      <c r="I91">
        <v>5209091</v>
      </c>
      <c r="J91">
        <v>111</v>
      </c>
      <c r="K91">
        <v>142107776.9923954</v>
      </c>
    </row>
    <row r="92" spans="1:11" x14ac:dyDescent="0.25">
      <c r="A92">
        <v>91</v>
      </c>
      <c r="B92" t="s">
        <v>191</v>
      </c>
      <c r="C92" t="s">
        <v>192</v>
      </c>
      <c r="D92">
        <v>91</v>
      </c>
      <c r="E92">
        <v>53506853.128078818</v>
      </c>
      <c r="F92">
        <v>5</v>
      </c>
      <c r="G92">
        <v>4954545</v>
      </c>
      <c r="H92">
        <v>20</v>
      </c>
      <c r="I92">
        <v>19890909</v>
      </c>
      <c r="J92">
        <v>76</v>
      </c>
      <c r="K92">
        <v>38570489.128078818</v>
      </c>
    </row>
    <row r="93" spans="1:11" x14ac:dyDescent="0.25">
      <c r="A93">
        <v>92</v>
      </c>
      <c r="B93" t="s">
        <v>193</v>
      </c>
      <c r="C93" t="s">
        <v>194</v>
      </c>
      <c r="D93">
        <v>35</v>
      </c>
      <c r="E93">
        <v>63948598.432558149</v>
      </c>
      <c r="F93">
        <v>5</v>
      </c>
      <c r="G93">
        <v>6436363</v>
      </c>
      <c r="H93">
        <v>4</v>
      </c>
      <c r="I93">
        <v>6472727</v>
      </c>
      <c r="J93">
        <v>36</v>
      </c>
      <c r="K93">
        <v>63912234.432558149</v>
      </c>
    </row>
    <row r="94" spans="1:11" x14ac:dyDescent="0.25">
      <c r="A94">
        <v>93</v>
      </c>
      <c r="B94" t="s">
        <v>195</v>
      </c>
      <c r="C94" t="s">
        <v>196</v>
      </c>
      <c r="D94">
        <v>540</v>
      </c>
      <c r="E94">
        <v>155794327.61556071</v>
      </c>
      <c r="F94">
        <v>0</v>
      </c>
      <c r="G94">
        <v>0</v>
      </c>
      <c r="H94">
        <v>7</v>
      </c>
      <c r="I94">
        <v>11320001</v>
      </c>
      <c r="J94">
        <v>533</v>
      </c>
      <c r="K94">
        <v>144474326.61556071</v>
      </c>
    </row>
    <row r="95" spans="1:11" x14ac:dyDescent="0.25">
      <c r="A95">
        <v>94</v>
      </c>
      <c r="B95" t="s">
        <v>197</v>
      </c>
      <c r="C95" t="s">
        <v>198</v>
      </c>
      <c r="D95">
        <v>29</v>
      </c>
      <c r="E95">
        <v>3004547</v>
      </c>
      <c r="F95">
        <v>0</v>
      </c>
      <c r="G95">
        <v>0</v>
      </c>
      <c r="H95">
        <v>0</v>
      </c>
      <c r="I95">
        <v>0</v>
      </c>
      <c r="J95">
        <v>29</v>
      </c>
      <c r="K95">
        <v>3004547</v>
      </c>
    </row>
    <row r="96" spans="1:11" x14ac:dyDescent="0.25">
      <c r="A96">
        <v>95</v>
      </c>
      <c r="B96" t="s">
        <v>199</v>
      </c>
      <c r="C96" t="s">
        <v>200</v>
      </c>
      <c r="D96">
        <v>125</v>
      </c>
      <c r="E96">
        <v>10327918.08196721</v>
      </c>
      <c r="F96">
        <v>0</v>
      </c>
      <c r="G96">
        <v>0</v>
      </c>
      <c r="H96">
        <v>50</v>
      </c>
      <c r="I96">
        <v>5590911</v>
      </c>
      <c r="J96">
        <v>75</v>
      </c>
      <c r="K96">
        <v>4737007.0819672123</v>
      </c>
    </row>
    <row r="97" spans="1:11" x14ac:dyDescent="0.25">
      <c r="A97">
        <v>96</v>
      </c>
      <c r="B97" t="s">
        <v>201</v>
      </c>
      <c r="C97" t="s">
        <v>202</v>
      </c>
      <c r="D97">
        <v>1718</v>
      </c>
      <c r="E97">
        <v>177134259.4361957</v>
      </c>
      <c r="F97">
        <v>22</v>
      </c>
      <c r="G97">
        <v>8254554</v>
      </c>
      <c r="H97">
        <v>139</v>
      </c>
      <c r="I97">
        <v>12081825</v>
      </c>
      <c r="J97">
        <v>1601</v>
      </c>
      <c r="K97">
        <v>173306988.4361957</v>
      </c>
    </row>
    <row r="98" spans="1:11" x14ac:dyDescent="0.25">
      <c r="A98">
        <v>97</v>
      </c>
      <c r="B98" t="s">
        <v>203</v>
      </c>
      <c r="C98" t="s">
        <v>204</v>
      </c>
      <c r="D98">
        <v>251</v>
      </c>
      <c r="E98">
        <v>54928002.620727673</v>
      </c>
      <c r="F98">
        <v>50</v>
      </c>
      <c r="G98">
        <v>5909091</v>
      </c>
      <c r="H98">
        <v>31</v>
      </c>
      <c r="I98">
        <v>4818184</v>
      </c>
      <c r="J98">
        <v>270</v>
      </c>
      <c r="K98">
        <v>56018909.620727673</v>
      </c>
    </row>
    <row r="99" spans="1:11" x14ac:dyDescent="0.25">
      <c r="A99">
        <v>98</v>
      </c>
      <c r="B99" t="s">
        <v>205</v>
      </c>
      <c r="C99" t="s">
        <v>206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 x14ac:dyDescent="0.25">
      <c r="A100">
        <v>99</v>
      </c>
      <c r="B100" t="s">
        <v>207</v>
      </c>
      <c r="C100" t="s">
        <v>208</v>
      </c>
      <c r="D100">
        <v>10</v>
      </c>
      <c r="E100">
        <v>15908150.758620691</v>
      </c>
      <c r="F100">
        <v>0</v>
      </c>
      <c r="G100">
        <v>0</v>
      </c>
      <c r="H100">
        <v>0</v>
      </c>
      <c r="I100">
        <v>0</v>
      </c>
      <c r="J100">
        <v>10</v>
      </c>
      <c r="K100">
        <v>15908150.758620691</v>
      </c>
    </row>
    <row r="101" spans="1:11" x14ac:dyDescent="0.25">
      <c r="A101">
        <v>100</v>
      </c>
      <c r="B101" t="s">
        <v>209</v>
      </c>
      <c r="C101" t="s">
        <v>210</v>
      </c>
      <c r="D101">
        <v>5</v>
      </c>
      <c r="E101">
        <v>5229125</v>
      </c>
      <c r="F101">
        <v>0</v>
      </c>
      <c r="G101">
        <v>0</v>
      </c>
      <c r="H101">
        <v>0</v>
      </c>
      <c r="I101">
        <v>0</v>
      </c>
      <c r="J101">
        <v>5</v>
      </c>
      <c r="K101">
        <v>5229125</v>
      </c>
    </row>
    <row r="102" spans="1:11" x14ac:dyDescent="0.25">
      <c r="A102">
        <v>101</v>
      </c>
      <c r="B102" t="s">
        <v>211</v>
      </c>
      <c r="C102" t="s">
        <v>212</v>
      </c>
      <c r="D102">
        <v>194</v>
      </c>
      <c r="E102">
        <v>121945236.6692913</v>
      </c>
      <c r="F102">
        <v>35</v>
      </c>
      <c r="G102">
        <v>1800000</v>
      </c>
      <c r="H102">
        <v>6</v>
      </c>
      <c r="I102">
        <v>1963636</v>
      </c>
      <c r="J102">
        <v>223</v>
      </c>
      <c r="K102">
        <v>121781600.6692913</v>
      </c>
    </row>
    <row r="103" spans="1:11" x14ac:dyDescent="0.25">
      <c r="A103">
        <v>102</v>
      </c>
      <c r="B103" t="s">
        <v>213</v>
      </c>
      <c r="C103" t="s">
        <v>214</v>
      </c>
      <c r="D103">
        <v>2</v>
      </c>
      <c r="E103">
        <v>2309091</v>
      </c>
      <c r="F103">
        <v>0</v>
      </c>
      <c r="G103">
        <v>0</v>
      </c>
      <c r="H103">
        <v>0</v>
      </c>
      <c r="I103">
        <v>0</v>
      </c>
      <c r="J103">
        <v>2</v>
      </c>
      <c r="K103">
        <v>2309091</v>
      </c>
    </row>
    <row r="104" spans="1:11" x14ac:dyDescent="0.25">
      <c r="A104">
        <v>103</v>
      </c>
      <c r="B104" t="s">
        <v>215</v>
      </c>
      <c r="C104" t="s">
        <v>216</v>
      </c>
      <c r="D104">
        <v>2425</v>
      </c>
      <c r="E104">
        <v>259080370.46378449</v>
      </c>
      <c r="F104">
        <v>141</v>
      </c>
      <c r="G104">
        <v>19176356</v>
      </c>
      <c r="H104">
        <v>293</v>
      </c>
      <c r="I104">
        <v>22527272</v>
      </c>
      <c r="J104">
        <v>2273</v>
      </c>
      <c r="K104">
        <v>255729454.46378449</v>
      </c>
    </row>
    <row r="105" spans="1:11" x14ac:dyDescent="0.25">
      <c r="A105">
        <v>104</v>
      </c>
      <c r="B105" t="s">
        <v>217</v>
      </c>
      <c r="C105" t="s">
        <v>218</v>
      </c>
      <c r="D105">
        <v>238</v>
      </c>
      <c r="E105">
        <v>92197164.992982447</v>
      </c>
      <c r="F105">
        <v>9</v>
      </c>
      <c r="G105">
        <v>6222727</v>
      </c>
      <c r="H105">
        <v>5</v>
      </c>
      <c r="I105">
        <v>1363635</v>
      </c>
      <c r="J105">
        <v>242</v>
      </c>
      <c r="K105">
        <v>97056256.992982447</v>
      </c>
    </row>
    <row r="106" spans="1:11" x14ac:dyDescent="0.25">
      <c r="A106">
        <v>105</v>
      </c>
      <c r="B106" t="s">
        <v>219</v>
      </c>
      <c r="C106" t="s">
        <v>220</v>
      </c>
      <c r="D106">
        <v>1057</v>
      </c>
      <c r="E106">
        <v>247288024.6902304</v>
      </c>
      <c r="F106">
        <v>0</v>
      </c>
      <c r="G106">
        <v>0</v>
      </c>
      <c r="H106">
        <v>128</v>
      </c>
      <c r="I106">
        <v>10190911</v>
      </c>
      <c r="J106">
        <v>929</v>
      </c>
      <c r="K106">
        <v>237097113.6902304</v>
      </c>
    </row>
    <row r="107" spans="1:11" x14ac:dyDescent="0.25">
      <c r="A107">
        <v>106</v>
      </c>
      <c r="B107" t="s">
        <v>221</v>
      </c>
      <c r="C107" t="s">
        <v>222</v>
      </c>
      <c r="D107">
        <v>163</v>
      </c>
      <c r="E107">
        <v>64459245.329129368</v>
      </c>
      <c r="F107">
        <v>56</v>
      </c>
      <c r="G107">
        <v>9856362</v>
      </c>
      <c r="H107">
        <v>262</v>
      </c>
      <c r="I107">
        <v>35327282</v>
      </c>
      <c r="J107">
        <v>0</v>
      </c>
      <c r="K107">
        <v>38988325.329129368</v>
      </c>
    </row>
    <row r="108" spans="1:11" x14ac:dyDescent="0.25">
      <c r="A108">
        <v>107</v>
      </c>
      <c r="B108" t="s">
        <v>223</v>
      </c>
      <c r="C108" t="s">
        <v>224</v>
      </c>
      <c r="D108">
        <v>6</v>
      </c>
      <c r="E108">
        <v>3124849.75</v>
      </c>
      <c r="F108">
        <v>5</v>
      </c>
      <c r="G108">
        <v>2526361</v>
      </c>
      <c r="H108">
        <v>1</v>
      </c>
      <c r="I108">
        <v>590909</v>
      </c>
      <c r="J108">
        <v>10</v>
      </c>
      <c r="K108">
        <v>5060301.75</v>
      </c>
    </row>
    <row r="109" spans="1:11" x14ac:dyDescent="0.25">
      <c r="A109">
        <v>108</v>
      </c>
      <c r="B109" t="s">
        <v>225</v>
      </c>
      <c r="C109" t="s">
        <v>226</v>
      </c>
      <c r="D109">
        <v>392</v>
      </c>
      <c r="E109">
        <v>96846508.850046858</v>
      </c>
      <c r="F109">
        <v>30</v>
      </c>
      <c r="G109">
        <v>4582735</v>
      </c>
      <c r="H109">
        <v>58</v>
      </c>
      <c r="I109">
        <v>10704529</v>
      </c>
      <c r="J109">
        <v>364</v>
      </c>
      <c r="K109">
        <v>90724714.850046858</v>
      </c>
    </row>
    <row r="110" spans="1:11" x14ac:dyDescent="0.25">
      <c r="A110">
        <v>109</v>
      </c>
      <c r="B110" t="s">
        <v>227</v>
      </c>
      <c r="C110" t="s">
        <v>228</v>
      </c>
      <c r="D110">
        <v>323</v>
      </c>
      <c r="E110">
        <v>124162029.1661891</v>
      </c>
      <c r="F110">
        <v>8</v>
      </c>
      <c r="G110">
        <v>5383636</v>
      </c>
      <c r="H110">
        <v>7</v>
      </c>
      <c r="I110">
        <v>3200000</v>
      </c>
      <c r="J110">
        <v>324</v>
      </c>
      <c r="K110">
        <v>126345665.1661891</v>
      </c>
    </row>
    <row r="111" spans="1:11" x14ac:dyDescent="0.25">
      <c r="A111">
        <v>110</v>
      </c>
      <c r="B111" t="s">
        <v>229</v>
      </c>
      <c r="C111" t="s">
        <v>230</v>
      </c>
      <c r="D111">
        <v>27</v>
      </c>
      <c r="E111">
        <v>1892138.8936170209</v>
      </c>
      <c r="F111">
        <v>41</v>
      </c>
      <c r="G111">
        <v>2586355</v>
      </c>
      <c r="H111">
        <v>0</v>
      </c>
      <c r="I111">
        <v>0</v>
      </c>
      <c r="J111">
        <v>68</v>
      </c>
      <c r="K111">
        <v>4478493.8936170209</v>
      </c>
    </row>
    <row r="112" spans="1:11" x14ac:dyDescent="0.25">
      <c r="A112">
        <v>111</v>
      </c>
      <c r="B112" t="s">
        <v>231</v>
      </c>
      <c r="C112" t="s">
        <v>232</v>
      </c>
      <c r="D112">
        <v>112</v>
      </c>
      <c r="E112">
        <v>47601429.259079903</v>
      </c>
      <c r="F112">
        <v>5</v>
      </c>
      <c r="G112">
        <v>1727275</v>
      </c>
      <c r="H112">
        <v>23</v>
      </c>
      <c r="I112">
        <v>12681818</v>
      </c>
      <c r="J112">
        <v>94</v>
      </c>
      <c r="K112">
        <v>36646886.259079903</v>
      </c>
    </row>
    <row r="113" spans="1:11" x14ac:dyDescent="0.25">
      <c r="A113">
        <v>112</v>
      </c>
      <c r="B113" t="s">
        <v>233</v>
      </c>
      <c r="C113" t="s">
        <v>234</v>
      </c>
      <c r="D113">
        <v>971</v>
      </c>
      <c r="E113">
        <v>366272715.39026397</v>
      </c>
      <c r="F113">
        <v>15</v>
      </c>
      <c r="G113">
        <v>4881815</v>
      </c>
      <c r="H113">
        <v>4</v>
      </c>
      <c r="I113">
        <v>1963637</v>
      </c>
      <c r="J113">
        <v>982</v>
      </c>
      <c r="K113">
        <v>369190893.39026397</v>
      </c>
    </row>
    <row r="114" spans="1:11" x14ac:dyDescent="0.25">
      <c r="A114">
        <v>113</v>
      </c>
      <c r="B114" t="s">
        <v>235</v>
      </c>
      <c r="C114" t="s">
        <v>236</v>
      </c>
      <c r="D114">
        <v>44</v>
      </c>
      <c r="E114">
        <v>22948329.620689649</v>
      </c>
      <c r="F114">
        <v>6</v>
      </c>
      <c r="G114">
        <v>2463635</v>
      </c>
      <c r="H114">
        <v>1</v>
      </c>
      <c r="I114">
        <v>590909</v>
      </c>
      <c r="J114">
        <v>49</v>
      </c>
      <c r="K114">
        <v>24821055.620689649</v>
      </c>
    </row>
    <row r="115" spans="1:11" x14ac:dyDescent="0.25">
      <c r="A115">
        <v>114</v>
      </c>
      <c r="B115" t="s">
        <v>237</v>
      </c>
      <c r="C115" t="s">
        <v>238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 x14ac:dyDescent="0.25">
      <c r="A116">
        <v>115</v>
      </c>
      <c r="B116" t="s">
        <v>239</v>
      </c>
      <c r="C116" t="s">
        <v>240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 x14ac:dyDescent="0.25">
      <c r="A117">
        <v>116</v>
      </c>
      <c r="B117" t="s">
        <v>241</v>
      </c>
      <c r="C117" t="s">
        <v>242</v>
      </c>
      <c r="D117">
        <v>1</v>
      </c>
      <c r="E117">
        <v>2400000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2400000</v>
      </c>
    </row>
    <row r="118" spans="1:11" x14ac:dyDescent="0.25">
      <c r="A118">
        <v>117</v>
      </c>
      <c r="B118" t="s">
        <v>243</v>
      </c>
      <c r="C118" t="s">
        <v>244</v>
      </c>
      <c r="D118">
        <v>1</v>
      </c>
      <c r="E118">
        <v>2200000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2200000</v>
      </c>
    </row>
    <row r="119" spans="1:11" x14ac:dyDescent="0.25">
      <c r="A119">
        <v>118</v>
      </c>
      <c r="B119" t="s">
        <v>245</v>
      </c>
      <c r="C119" t="s">
        <v>246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 x14ac:dyDescent="0.25">
      <c r="A120">
        <v>119</v>
      </c>
      <c r="B120" t="s">
        <v>247</v>
      </c>
      <c r="C120" t="s">
        <v>248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</row>
    <row r="121" spans="1:11" x14ac:dyDescent="0.25">
      <c r="A121">
        <v>120</v>
      </c>
      <c r="B121" t="s">
        <v>249</v>
      </c>
      <c r="C121" t="s">
        <v>250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 x14ac:dyDescent="0.25">
      <c r="A122">
        <v>121</v>
      </c>
      <c r="B122" t="s">
        <v>251</v>
      </c>
      <c r="C122" t="s">
        <v>252</v>
      </c>
      <c r="D122">
        <v>8</v>
      </c>
      <c r="E122">
        <v>922727</v>
      </c>
      <c r="F122">
        <v>0</v>
      </c>
      <c r="G122">
        <v>0</v>
      </c>
      <c r="H122">
        <v>2</v>
      </c>
      <c r="I122">
        <v>1809090</v>
      </c>
      <c r="J122">
        <v>6</v>
      </c>
      <c r="K122">
        <v>0</v>
      </c>
    </row>
    <row r="123" spans="1:11" x14ac:dyDescent="0.25">
      <c r="A123">
        <v>122</v>
      </c>
      <c r="B123" t="s">
        <v>253</v>
      </c>
      <c r="C123" t="s">
        <v>254</v>
      </c>
      <c r="D123">
        <v>10</v>
      </c>
      <c r="E123">
        <v>20271429.616306961</v>
      </c>
      <c r="F123">
        <v>0</v>
      </c>
      <c r="G123">
        <v>0</v>
      </c>
      <c r="H123">
        <v>0</v>
      </c>
      <c r="I123">
        <v>0</v>
      </c>
      <c r="J123">
        <v>10</v>
      </c>
      <c r="K123">
        <v>20271429.616306961</v>
      </c>
    </row>
    <row r="124" spans="1:11" x14ac:dyDescent="0.25">
      <c r="A124">
        <v>123</v>
      </c>
      <c r="B124" t="s">
        <v>255</v>
      </c>
      <c r="C124" t="s">
        <v>256</v>
      </c>
      <c r="D124">
        <v>56</v>
      </c>
      <c r="E124">
        <v>30172515.84722222</v>
      </c>
      <c r="F124">
        <v>0</v>
      </c>
      <c r="G124">
        <v>0</v>
      </c>
      <c r="H124">
        <v>0</v>
      </c>
      <c r="I124">
        <v>0</v>
      </c>
      <c r="J124">
        <v>56</v>
      </c>
      <c r="K124">
        <v>30172515.84722222</v>
      </c>
    </row>
    <row r="125" spans="1:11" x14ac:dyDescent="0.25">
      <c r="A125">
        <v>124</v>
      </c>
      <c r="B125" t="s">
        <v>257</v>
      </c>
      <c r="C125" t="s">
        <v>258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 x14ac:dyDescent="0.25">
      <c r="A126">
        <v>125</v>
      </c>
      <c r="B126" t="s">
        <v>259</v>
      </c>
      <c r="C126" t="s">
        <v>260</v>
      </c>
      <c r="D126">
        <v>669</v>
      </c>
      <c r="E126">
        <v>365151529.2321918</v>
      </c>
      <c r="F126">
        <v>23</v>
      </c>
      <c r="G126">
        <v>17886362</v>
      </c>
      <c r="H126">
        <v>27</v>
      </c>
      <c r="I126">
        <v>19968179</v>
      </c>
      <c r="J126">
        <v>665</v>
      </c>
      <c r="K126">
        <v>363069712.2321918</v>
      </c>
    </row>
    <row r="127" spans="1:11" x14ac:dyDescent="0.25">
      <c r="A127">
        <v>126</v>
      </c>
      <c r="B127" t="s">
        <v>261</v>
      </c>
      <c r="C127" t="s">
        <v>262</v>
      </c>
      <c r="D127">
        <v>6</v>
      </c>
      <c r="E127">
        <v>2225742.1428571432</v>
      </c>
      <c r="F127">
        <v>0</v>
      </c>
      <c r="G127">
        <v>0</v>
      </c>
      <c r="H127">
        <v>0</v>
      </c>
      <c r="I127">
        <v>0</v>
      </c>
      <c r="J127">
        <v>6</v>
      </c>
      <c r="K127">
        <v>2225742.1428571432</v>
      </c>
    </row>
    <row r="128" spans="1:11" x14ac:dyDescent="0.25">
      <c r="A128">
        <v>127</v>
      </c>
      <c r="B128" t="s">
        <v>263</v>
      </c>
      <c r="C128" t="s">
        <v>264</v>
      </c>
      <c r="D128">
        <v>10</v>
      </c>
      <c r="E128">
        <v>9639901.4090909101</v>
      </c>
      <c r="F128">
        <v>0</v>
      </c>
      <c r="G128">
        <v>0</v>
      </c>
      <c r="H128">
        <v>0</v>
      </c>
      <c r="I128">
        <v>0</v>
      </c>
      <c r="J128">
        <v>10</v>
      </c>
      <c r="K128">
        <v>9639901.4090909101</v>
      </c>
    </row>
    <row r="129" spans="1:11" x14ac:dyDescent="0.25">
      <c r="A129">
        <v>128</v>
      </c>
      <c r="B129" t="s">
        <v>265</v>
      </c>
      <c r="C129" t="s">
        <v>266</v>
      </c>
      <c r="D129">
        <v>16</v>
      </c>
      <c r="E129">
        <v>29299617.75</v>
      </c>
      <c r="F129">
        <v>0</v>
      </c>
      <c r="G129">
        <v>0</v>
      </c>
      <c r="H129">
        <v>0</v>
      </c>
      <c r="I129">
        <v>0</v>
      </c>
      <c r="J129">
        <v>16</v>
      </c>
      <c r="K129">
        <v>29299617.75</v>
      </c>
    </row>
    <row r="130" spans="1:11" x14ac:dyDescent="0.25">
      <c r="A130">
        <v>129</v>
      </c>
      <c r="B130" t="s">
        <v>267</v>
      </c>
      <c r="C130" t="s">
        <v>268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1:11" x14ac:dyDescent="0.25">
      <c r="A131">
        <v>130</v>
      </c>
      <c r="B131" t="s">
        <v>269</v>
      </c>
      <c r="C131" t="s">
        <v>270</v>
      </c>
      <c r="D131">
        <v>262</v>
      </c>
      <c r="E131">
        <v>160345799.5194805</v>
      </c>
      <c r="F131">
        <v>6</v>
      </c>
      <c r="G131">
        <v>5018184</v>
      </c>
      <c r="H131">
        <v>32</v>
      </c>
      <c r="I131">
        <v>23727282</v>
      </c>
      <c r="J131">
        <v>236</v>
      </c>
      <c r="K131">
        <v>141636701.5194805</v>
      </c>
    </row>
    <row r="132" spans="1:11" x14ac:dyDescent="0.25">
      <c r="A132">
        <v>131</v>
      </c>
      <c r="B132" t="s">
        <v>271</v>
      </c>
      <c r="C132" t="s">
        <v>272</v>
      </c>
      <c r="D132">
        <v>110</v>
      </c>
      <c r="E132">
        <v>13823046.7489301</v>
      </c>
      <c r="F132">
        <v>0</v>
      </c>
      <c r="G132">
        <v>0</v>
      </c>
      <c r="H132">
        <v>0</v>
      </c>
      <c r="I132">
        <v>0</v>
      </c>
      <c r="J132">
        <v>110</v>
      </c>
      <c r="K132">
        <v>13823046.7489301</v>
      </c>
    </row>
    <row r="133" spans="1:11" x14ac:dyDescent="0.25">
      <c r="A133">
        <v>132</v>
      </c>
      <c r="B133" t="s">
        <v>273</v>
      </c>
      <c r="C133" t="s">
        <v>274</v>
      </c>
      <c r="D133">
        <v>473</v>
      </c>
      <c r="E133">
        <v>115173276.7694118</v>
      </c>
      <c r="F133">
        <v>28</v>
      </c>
      <c r="G133">
        <v>4636361</v>
      </c>
      <c r="H133">
        <v>79</v>
      </c>
      <c r="I133">
        <v>10045468</v>
      </c>
      <c r="J133">
        <v>422</v>
      </c>
      <c r="K133">
        <v>109764169.7694118</v>
      </c>
    </row>
    <row r="134" spans="1:11" x14ac:dyDescent="0.25">
      <c r="A134">
        <v>133</v>
      </c>
      <c r="B134" t="s">
        <v>275</v>
      </c>
      <c r="C134" t="s">
        <v>276</v>
      </c>
      <c r="D134">
        <v>149</v>
      </c>
      <c r="E134">
        <v>46283416.084337354</v>
      </c>
      <c r="F134">
        <v>9</v>
      </c>
      <c r="G134">
        <v>3445455</v>
      </c>
      <c r="H134">
        <v>15</v>
      </c>
      <c r="I134">
        <v>6172727</v>
      </c>
      <c r="J134">
        <v>143</v>
      </c>
      <c r="K134">
        <v>43556144.084337354</v>
      </c>
    </row>
    <row r="135" spans="1:11" x14ac:dyDescent="0.25">
      <c r="A135">
        <v>134</v>
      </c>
      <c r="B135" t="s">
        <v>277</v>
      </c>
      <c r="C135" t="s">
        <v>278</v>
      </c>
      <c r="D135">
        <v>2</v>
      </c>
      <c r="E135">
        <v>358922.57142857142</v>
      </c>
      <c r="F135">
        <v>2</v>
      </c>
      <c r="G135">
        <v>327273</v>
      </c>
      <c r="H135">
        <v>0</v>
      </c>
      <c r="I135">
        <v>0</v>
      </c>
      <c r="J135">
        <v>4</v>
      </c>
      <c r="K135">
        <v>686195.57142857136</v>
      </c>
    </row>
    <row r="136" spans="1:11" x14ac:dyDescent="0.25">
      <c r="A136">
        <v>135</v>
      </c>
      <c r="B136" t="s">
        <v>279</v>
      </c>
      <c r="C136" t="s">
        <v>280</v>
      </c>
      <c r="D136">
        <v>9</v>
      </c>
      <c r="E136">
        <v>1118537.368421053</v>
      </c>
      <c r="F136">
        <v>0</v>
      </c>
      <c r="G136">
        <v>0</v>
      </c>
      <c r="H136">
        <v>0</v>
      </c>
      <c r="I136">
        <v>0</v>
      </c>
      <c r="J136">
        <v>9</v>
      </c>
      <c r="K136">
        <v>1118537.368421053</v>
      </c>
    </row>
    <row r="137" spans="1:11" x14ac:dyDescent="0.25">
      <c r="A137">
        <v>136</v>
      </c>
      <c r="B137" t="s">
        <v>281</v>
      </c>
      <c r="C137" t="s">
        <v>282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 x14ac:dyDescent="0.25">
      <c r="A138">
        <v>137</v>
      </c>
      <c r="B138" t="s">
        <v>283</v>
      </c>
      <c r="C138" t="s">
        <v>284</v>
      </c>
      <c r="D138">
        <v>27</v>
      </c>
      <c r="E138">
        <v>21971385.860465121</v>
      </c>
      <c r="F138">
        <v>0</v>
      </c>
      <c r="G138">
        <v>0</v>
      </c>
      <c r="H138">
        <v>0</v>
      </c>
      <c r="I138">
        <v>0</v>
      </c>
      <c r="J138">
        <v>27</v>
      </c>
      <c r="K138">
        <v>21971385.860465121</v>
      </c>
    </row>
    <row r="139" spans="1:11" x14ac:dyDescent="0.25">
      <c r="A139">
        <v>138</v>
      </c>
      <c r="B139" t="s">
        <v>285</v>
      </c>
      <c r="C139" t="s">
        <v>286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</row>
    <row r="140" spans="1:11" x14ac:dyDescent="0.25">
      <c r="A140">
        <v>139</v>
      </c>
      <c r="B140" t="s">
        <v>287</v>
      </c>
      <c r="C140" t="s">
        <v>288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1" x14ac:dyDescent="0.25">
      <c r="A141">
        <v>140</v>
      </c>
      <c r="B141" t="s">
        <v>289</v>
      </c>
      <c r="C141" t="s">
        <v>290</v>
      </c>
      <c r="D141">
        <v>7</v>
      </c>
      <c r="E141">
        <v>16529354.83870968</v>
      </c>
      <c r="F141">
        <v>0</v>
      </c>
      <c r="G141">
        <v>0</v>
      </c>
      <c r="H141">
        <v>0</v>
      </c>
      <c r="I141">
        <v>0</v>
      </c>
      <c r="J141">
        <v>7</v>
      </c>
      <c r="K141">
        <v>16529354.83870968</v>
      </c>
    </row>
    <row r="142" spans="1:11" x14ac:dyDescent="0.25">
      <c r="A142">
        <v>141</v>
      </c>
      <c r="B142" t="s">
        <v>291</v>
      </c>
      <c r="C142" t="s">
        <v>292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 x14ac:dyDescent="0.25">
      <c r="A143">
        <v>142</v>
      </c>
      <c r="B143" t="s">
        <v>293</v>
      </c>
      <c r="C143" t="s">
        <v>294</v>
      </c>
      <c r="D143">
        <v>99</v>
      </c>
      <c r="E143">
        <v>19526168.115942031</v>
      </c>
      <c r="F143">
        <v>0</v>
      </c>
      <c r="G143">
        <v>0</v>
      </c>
      <c r="H143">
        <v>1</v>
      </c>
      <c r="I143">
        <v>900000</v>
      </c>
      <c r="J143">
        <v>98</v>
      </c>
      <c r="K143">
        <v>18626168.115942031</v>
      </c>
    </row>
    <row r="144" spans="1:11" x14ac:dyDescent="0.25">
      <c r="A144">
        <v>143</v>
      </c>
      <c r="B144" t="s">
        <v>295</v>
      </c>
      <c r="C144" t="s">
        <v>296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 x14ac:dyDescent="0.25">
      <c r="A145">
        <v>144</v>
      </c>
      <c r="B145" t="s">
        <v>297</v>
      </c>
      <c r="C145" t="s">
        <v>298</v>
      </c>
      <c r="D145">
        <v>16</v>
      </c>
      <c r="E145">
        <v>2555953.1515151509</v>
      </c>
      <c r="F145">
        <v>0</v>
      </c>
      <c r="G145">
        <v>0</v>
      </c>
      <c r="H145">
        <v>0</v>
      </c>
      <c r="I145">
        <v>0</v>
      </c>
      <c r="J145">
        <v>16</v>
      </c>
      <c r="K145">
        <v>2555953.1515151509</v>
      </c>
    </row>
    <row r="146" spans="1:11" x14ac:dyDescent="0.25">
      <c r="A146">
        <v>145</v>
      </c>
      <c r="B146" t="s">
        <v>299</v>
      </c>
      <c r="C146" t="s">
        <v>300</v>
      </c>
      <c r="D146">
        <v>1737.732</v>
      </c>
      <c r="E146">
        <v>864490419.4799999</v>
      </c>
      <c r="F146">
        <v>203.61</v>
      </c>
      <c r="G146">
        <v>118030567</v>
      </c>
      <c r="H146">
        <v>172</v>
      </c>
      <c r="I146">
        <v>128271720</v>
      </c>
      <c r="J146">
        <v>1769.3420000000001</v>
      </c>
      <c r="K146">
        <v>854249266.4799999</v>
      </c>
    </row>
    <row r="147" spans="1:11" x14ac:dyDescent="0.25">
      <c r="A147" t="s">
        <v>301</v>
      </c>
      <c r="D147">
        <v>29230.732</v>
      </c>
      <c r="E147">
        <v>25286561131.92001</v>
      </c>
      <c r="F147">
        <v>1674.61</v>
      </c>
      <c r="G147">
        <v>1340113363.04</v>
      </c>
      <c r="H147">
        <v>6596</v>
      </c>
      <c r="I147">
        <v>2359911221</v>
      </c>
      <c r="J147">
        <v>24368.342000000001</v>
      </c>
      <c r="K147">
        <v>24388488508.27779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47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t="s">
        <v>11</v>
      </c>
      <c r="C2" t="s">
        <v>12</v>
      </c>
      <c r="D2">
        <v>2</v>
      </c>
      <c r="E2">
        <v>24589927.772727281</v>
      </c>
      <c r="F2">
        <v>1</v>
      </c>
      <c r="G2">
        <v>19636364</v>
      </c>
      <c r="H2">
        <v>1</v>
      </c>
      <c r="I2">
        <v>22718182</v>
      </c>
      <c r="J2">
        <v>2</v>
      </c>
      <c r="K2">
        <v>21508109.772727281</v>
      </c>
    </row>
    <row r="3" spans="1:11" x14ac:dyDescent="0.25">
      <c r="A3">
        <v>2</v>
      </c>
      <c r="B3" t="s">
        <v>13</v>
      </c>
      <c r="C3" t="s">
        <v>14</v>
      </c>
      <c r="D3">
        <v>14</v>
      </c>
      <c r="E3">
        <v>107138809</v>
      </c>
      <c r="F3">
        <v>0</v>
      </c>
      <c r="G3">
        <v>0</v>
      </c>
      <c r="H3">
        <v>0</v>
      </c>
      <c r="I3">
        <v>0</v>
      </c>
      <c r="J3">
        <v>14</v>
      </c>
      <c r="K3">
        <v>107138809</v>
      </c>
    </row>
    <row r="4" spans="1:11" x14ac:dyDescent="0.25">
      <c r="A4">
        <v>3</v>
      </c>
      <c r="B4" t="s">
        <v>15</v>
      </c>
      <c r="C4" t="s">
        <v>16</v>
      </c>
      <c r="D4">
        <v>231</v>
      </c>
      <c r="E4">
        <v>2379561699.201292</v>
      </c>
      <c r="F4">
        <v>13</v>
      </c>
      <c r="G4">
        <v>176477185</v>
      </c>
      <c r="H4">
        <v>3</v>
      </c>
      <c r="I4">
        <v>36409091</v>
      </c>
      <c r="J4">
        <v>241</v>
      </c>
      <c r="K4">
        <v>2519629793.201292</v>
      </c>
    </row>
    <row r="5" spans="1:11" x14ac:dyDescent="0.25">
      <c r="A5">
        <v>4</v>
      </c>
      <c r="B5" t="s">
        <v>17</v>
      </c>
      <c r="C5" t="s">
        <v>18</v>
      </c>
      <c r="D5">
        <v>1</v>
      </c>
      <c r="E5">
        <v>29283636</v>
      </c>
      <c r="F5">
        <v>0</v>
      </c>
      <c r="G5">
        <v>0</v>
      </c>
      <c r="H5">
        <v>0</v>
      </c>
      <c r="I5">
        <v>0</v>
      </c>
      <c r="J5">
        <v>1</v>
      </c>
      <c r="K5">
        <v>29283636</v>
      </c>
    </row>
    <row r="6" spans="1:11" x14ac:dyDescent="0.25">
      <c r="A6">
        <v>5</v>
      </c>
      <c r="B6" t="s">
        <v>19</v>
      </c>
      <c r="C6" t="s">
        <v>20</v>
      </c>
      <c r="D6">
        <v>2</v>
      </c>
      <c r="E6">
        <v>42793621.178571403</v>
      </c>
      <c r="F6">
        <v>0</v>
      </c>
      <c r="G6">
        <v>0</v>
      </c>
      <c r="H6">
        <v>0</v>
      </c>
      <c r="I6">
        <v>0</v>
      </c>
      <c r="J6">
        <v>2</v>
      </c>
      <c r="K6">
        <v>42793621.178571403</v>
      </c>
    </row>
    <row r="7" spans="1:11" x14ac:dyDescent="0.25">
      <c r="A7">
        <v>6</v>
      </c>
      <c r="B7" t="s">
        <v>21</v>
      </c>
      <c r="C7" t="s">
        <v>22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5">
      <c r="A8">
        <v>7</v>
      </c>
      <c r="B8" t="s">
        <v>23</v>
      </c>
      <c r="C8" t="s">
        <v>24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5">
      <c r="A9">
        <v>8</v>
      </c>
      <c r="B9" t="s">
        <v>25</v>
      </c>
      <c r="C9" t="s">
        <v>26</v>
      </c>
      <c r="D9">
        <v>12</v>
      </c>
      <c r="E9">
        <v>46928087.450000003</v>
      </c>
      <c r="F9">
        <v>2</v>
      </c>
      <c r="G9">
        <v>6236364</v>
      </c>
      <c r="H9">
        <v>0</v>
      </c>
      <c r="I9">
        <v>0</v>
      </c>
      <c r="J9">
        <v>14</v>
      </c>
      <c r="K9">
        <v>53164451.450000003</v>
      </c>
    </row>
    <row r="10" spans="1:11" x14ac:dyDescent="0.25">
      <c r="A10">
        <v>9</v>
      </c>
      <c r="B10" t="s">
        <v>27</v>
      </c>
      <c r="C10" t="s">
        <v>28</v>
      </c>
      <c r="D10">
        <v>412</v>
      </c>
      <c r="E10">
        <v>1428470039.5951941</v>
      </c>
      <c r="F10">
        <v>5</v>
      </c>
      <c r="G10">
        <v>0</v>
      </c>
      <c r="H10">
        <v>34</v>
      </c>
      <c r="I10">
        <v>275649092</v>
      </c>
      <c r="J10">
        <v>383</v>
      </c>
      <c r="K10">
        <v>1152820947.5951941</v>
      </c>
    </row>
    <row r="11" spans="1:11" x14ac:dyDescent="0.25">
      <c r="A11">
        <v>10</v>
      </c>
      <c r="B11" t="s">
        <v>29</v>
      </c>
      <c r="C11" t="s">
        <v>30</v>
      </c>
      <c r="D11">
        <v>3</v>
      </c>
      <c r="E11">
        <v>18961647.25</v>
      </c>
      <c r="F11">
        <v>0</v>
      </c>
      <c r="G11">
        <v>0</v>
      </c>
      <c r="H11">
        <v>0</v>
      </c>
      <c r="I11">
        <v>0</v>
      </c>
      <c r="J11">
        <v>3</v>
      </c>
      <c r="K11">
        <v>18961647.25</v>
      </c>
    </row>
    <row r="12" spans="1:11" x14ac:dyDescent="0.25">
      <c r="A12">
        <v>11</v>
      </c>
      <c r="B12" t="s">
        <v>31</v>
      </c>
      <c r="C12" t="s">
        <v>32</v>
      </c>
      <c r="D12">
        <v>411</v>
      </c>
      <c r="E12">
        <v>4743848158.2191219</v>
      </c>
      <c r="F12">
        <v>5</v>
      </c>
      <c r="G12">
        <v>65004545</v>
      </c>
      <c r="H12">
        <v>10</v>
      </c>
      <c r="I12">
        <v>121909092</v>
      </c>
      <c r="J12">
        <v>406</v>
      </c>
      <c r="K12">
        <v>4686943611.2191219</v>
      </c>
    </row>
    <row r="13" spans="1:11" x14ac:dyDescent="0.25">
      <c r="A13">
        <v>12</v>
      </c>
      <c r="B13" t="s">
        <v>33</v>
      </c>
      <c r="C13" t="s">
        <v>34</v>
      </c>
      <c r="D13">
        <v>50</v>
      </c>
      <c r="E13">
        <v>862781507.76923084</v>
      </c>
      <c r="F13">
        <v>0</v>
      </c>
      <c r="G13">
        <v>0</v>
      </c>
      <c r="H13">
        <v>4</v>
      </c>
      <c r="I13">
        <v>58636363</v>
      </c>
      <c r="J13">
        <v>46</v>
      </c>
      <c r="K13">
        <v>804145144.76923084</v>
      </c>
    </row>
    <row r="14" spans="1:11" x14ac:dyDescent="0.25">
      <c r="A14">
        <v>13</v>
      </c>
      <c r="B14" t="s">
        <v>35</v>
      </c>
      <c r="C14" t="s">
        <v>36</v>
      </c>
      <c r="D14">
        <v>23</v>
      </c>
      <c r="E14">
        <v>423957132.28947371</v>
      </c>
      <c r="F14">
        <v>0</v>
      </c>
      <c r="G14">
        <v>0</v>
      </c>
      <c r="H14">
        <v>0</v>
      </c>
      <c r="I14">
        <v>0</v>
      </c>
      <c r="J14">
        <v>23</v>
      </c>
      <c r="K14">
        <v>423957132.28947371</v>
      </c>
    </row>
    <row r="15" spans="1:11" x14ac:dyDescent="0.25">
      <c r="A15">
        <v>14</v>
      </c>
      <c r="B15" t="s">
        <v>37</v>
      </c>
      <c r="C15" t="s">
        <v>38</v>
      </c>
      <c r="D15">
        <v>27</v>
      </c>
      <c r="E15">
        <v>335274131.93430662</v>
      </c>
      <c r="F15">
        <v>0</v>
      </c>
      <c r="G15">
        <v>0</v>
      </c>
      <c r="H15">
        <v>0</v>
      </c>
      <c r="I15">
        <v>0</v>
      </c>
      <c r="J15">
        <v>27</v>
      </c>
      <c r="K15">
        <v>335274131.93430662</v>
      </c>
    </row>
    <row r="16" spans="1:11" x14ac:dyDescent="0.25">
      <c r="A16">
        <v>15</v>
      </c>
      <c r="B16" t="s">
        <v>39</v>
      </c>
      <c r="C16" t="s">
        <v>40</v>
      </c>
      <c r="D16">
        <v>2</v>
      </c>
      <c r="E16">
        <v>78375895.104477614</v>
      </c>
      <c r="F16">
        <v>3</v>
      </c>
      <c r="G16">
        <v>49090908</v>
      </c>
      <c r="H16">
        <v>0</v>
      </c>
      <c r="I16">
        <v>0</v>
      </c>
      <c r="J16">
        <v>5</v>
      </c>
      <c r="K16">
        <v>127466803.1044776</v>
      </c>
    </row>
    <row r="17" spans="1:11" x14ac:dyDescent="0.25">
      <c r="A17">
        <v>16</v>
      </c>
      <c r="B17" t="s">
        <v>41</v>
      </c>
      <c r="C17" t="s">
        <v>42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>
        <v>17</v>
      </c>
      <c r="B18" t="s">
        <v>43</v>
      </c>
      <c r="C18" t="s">
        <v>44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>
        <v>18</v>
      </c>
      <c r="B19" t="s">
        <v>45</v>
      </c>
      <c r="C19" t="s">
        <v>46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25">
      <c r="A20">
        <v>19</v>
      </c>
      <c r="B20" t="s">
        <v>47</v>
      </c>
      <c r="C20" t="s">
        <v>48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5">
      <c r="A21">
        <v>20</v>
      </c>
      <c r="B21" t="s">
        <v>49</v>
      </c>
      <c r="C21" t="s">
        <v>50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25">
      <c r="A22">
        <v>21</v>
      </c>
      <c r="B22" t="s">
        <v>51</v>
      </c>
      <c r="C22" t="s">
        <v>52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25">
      <c r="A23">
        <v>22</v>
      </c>
      <c r="B23" t="s">
        <v>53</v>
      </c>
      <c r="C23" t="s">
        <v>54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25">
      <c r="A24">
        <v>23</v>
      </c>
      <c r="B24" t="s">
        <v>55</v>
      </c>
      <c r="C24" t="s">
        <v>56</v>
      </c>
      <c r="D24">
        <v>0</v>
      </c>
      <c r="E24">
        <v>0</v>
      </c>
      <c r="F24">
        <v>0</v>
      </c>
      <c r="G24">
        <v>0</v>
      </c>
      <c r="H24">
        <v>7</v>
      </c>
      <c r="I24">
        <v>68190910</v>
      </c>
      <c r="J24">
        <v>0</v>
      </c>
      <c r="K24">
        <v>0</v>
      </c>
    </row>
    <row r="25" spans="1:11" x14ac:dyDescent="0.25">
      <c r="A25">
        <v>24</v>
      </c>
      <c r="B25" t="s">
        <v>57</v>
      </c>
      <c r="C25" t="s">
        <v>58</v>
      </c>
      <c r="D25">
        <v>269</v>
      </c>
      <c r="E25">
        <v>2202316128.361217</v>
      </c>
      <c r="F25">
        <v>7</v>
      </c>
      <c r="G25">
        <v>78090910</v>
      </c>
      <c r="H25">
        <v>3</v>
      </c>
      <c r="I25">
        <v>45054545</v>
      </c>
      <c r="J25">
        <v>273</v>
      </c>
      <c r="K25">
        <v>2235352493.361217</v>
      </c>
    </row>
    <row r="26" spans="1:11" x14ac:dyDescent="0.25">
      <c r="A26">
        <v>25</v>
      </c>
      <c r="B26" t="s">
        <v>59</v>
      </c>
      <c r="C26" t="s">
        <v>60</v>
      </c>
      <c r="D26">
        <v>0</v>
      </c>
      <c r="E26">
        <v>0</v>
      </c>
      <c r="F26">
        <v>0</v>
      </c>
      <c r="G26">
        <v>0</v>
      </c>
      <c r="H26">
        <v>1</v>
      </c>
      <c r="I26">
        <v>21263636</v>
      </c>
      <c r="J26">
        <v>0</v>
      </c>
      <c r="K26">
        <v>0</v>
      </c>
    </row>
    <row r="27" spans="1:11" x14ac:dyDescent="0.25">
      <c r="A27">
        <v>26</v>
      </c>
      <c r="B27" t="s">
        <v>61</v>
      </c>
      <c r="C27" t="s">
        <v>62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5">
      <c r="A28">
        <v>27</v>
      </c>
      <c r="B28" t="s">
        <v>63</v>
      </c>
      <c r="C28" t="s">
        <v>64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25">
      <c r="A29">
        <v>28</v>
      </c>
      <c r="B29" t="s">
        <v>65</v>
      </c>
      <c r="C29" t="s">
        <v>66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x14ac:dyDescent="0.25">
      <c r="A30">
        <v>29</v>
      </c>
      <c r="B30" t="s">
        <v>67</v>
      </c>
      <c r="C30" t="s">
        <v>68</v>
      </c>
      <c r="D30">
        <v>6</v>
      </c>
      <c r="E30">
        <v>67213777.307692319</v>
      </c>
      <c r="F30">
        <v>0</v>
      </c>
      <c r="G30">
        <v>0</v>
      </c>
      <c r="H30">
        <v>0</v>
      </c>
      <c r="I30">
        <v>0</v>
      </c>
      <c r="J30">
        <v>6</v>
      </c>
      <c r="K30">
        <v>67213777.307692319</v>
      </c>
    </row>
    <row r="31" spans="1:11" x14ac:dyDescent="0.25">
      <c r="A31">
        <v>30</v>
      </c>
      <c r="B31" t="s">
        <v>69</v>
      </c>
      <c r="C31" t="s">
        <v>70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25">
      <c r="A32">
        <v>31</v>
      </c>
      <c r="B32" t="s">
        <v>71</v>
      </c>
      <c r="C32" t="s">
        <v>72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25">
      <c r="A33">
        <v>32</v>
      </c>
      <c r="B33" t="s">
        <v>73</v>
      </c>
      <c r="C33" t="s">
        <v>74</v>
      </c>
      <c r="D33">
        <v>5</v>
      </c>
      <c r="E33">
        <v>25454712.5</v>
      </c>
      <c r="F33">
        <v>0</v>
      </c>
      <c r="G33">
        <v>0</v>
      </c>
      <c r="H33">
        <v>1</v>
      </c>
      <c r="I33">
        <v>1750000</v>
      </c>
      <c r="J33">
        <v>4</v>
      </c>
      <c r="K33">
        <v>23704712.5</v>
      </c>
    </row>
    <row r="34" spans="1:11" x14ac:dyDescent="0.25">
      <c r="A34">
        <v>33</v>
      </c>
      <c r="B34" t="s">
        <v>75</v>
      </c>
      <c r="C34" t="s">
        <v>76</v>
      </c>
      <c r="D34">
        <v>50</v>
      </c>
      <c r="E34">
        <v>98558903.183266938</v>
      </c>
      <c r="F34">
        <v>5</v>
      </c>
      <c r="G34">
        <v>9445456</v>
      </c>
      <c r="H34">
        <v>4</v>
      </c>
      <c r="I34">
        <v>9000001</v>
      </c>
      <c r="J34">
        <v>51</v>
      </c>
      <c r="K34">
        <v>99004358.183266938</v>
      </c>
    </row>
    <row r="35" spans="1:11" x14ac:dyDescent="0.25">
      <c r="A35">
        <v>34</v>
      </c>
      <c r="B35" t="s">
        <v>77</v>
      </c>
      <c r="C35" t="s">
        <v>78</v>
      </c>
      <c r="D35">
        <v>630</v>
      </c>
      <c r="E35">
        <v>1258030954.553802</v>
      </c>
      <c r="F35">
        <v>15</v>
      </c>
      <c r="G35">
        <v>50227272</v>
      </c>
      <c r="H35">
        <v>3</v>
      </c>
      <c r="I35">
        <v>5109091</v>
      </c>
      <c r="J35">
        <v>642</v>
      </c>
      <c r="K35">
        <v>1303149135.553802</v>
      </c>
    </row>
    <row r="36" spans="1:11" x14ac:dyDescent="0.25">
      <c r="A36">
        <v>35</v>
      </c>
      <c r="B36" t="s">
        <v>79</v>
      </c>
      <c r="C36" t="s">
        <v>80</v>
      </c>
      <c r="D36">
        <v>19</v>
      </c>
      <c r="E36">
        <v>49508071.021276593</v>
      </c>
      <c r="F36">
        <v>1</v>
      </c>
      <c r="G36">
        <v>4772727</v>
      </c>
      <c r="H36">
        <v>1</v>
      </c>
      <c r="I36">
        <v>5027273</v>
      </c>
      <c r="J36">
        <v>19</v>
      </c>
      <c r="K36">
        <v>49253525.021276593</v>
      </c>
    </row>
    <row r="37" spans="1:11" x14ac:dyDescent="0.25">
      <c r="A37">
        <v>36</v>
      </c>
      <c r="B37" t="s">
        <v>81</v>
      </c>
      <c r="C37" t="s">
        <v>82</v>
      </c>
      <c r="D37">
        <v>19</v>
      </c>
      <c r="E37">
        <v>121401291.1964286</v>
      </c>
      <c r="F37">
        <v>9</v>
      </c>
      <c r="G37">
        <v>29590908</v>
      </c>
      <c r="H37">
        <v>1</v>
      </c>
      <c r="I37">
        <v>881818</v>
      </c>
      <c r="J37">
        <v>27</v>
      </c>
      <c r="K37">
        <v>150110381.1964286</v>
      </c>
    </row>
    <row r="38" spans="1:11" x14ac:dyDescent="0.25">
      <c r="A38">
        <v>37</v>
      </c>
      <c r="B38" t="s">
        <v>83</v>
      </c>
      <c r="C38" t="s">
        <v>84</v>
      </c>
      <c r="D38">
        <v>1</v>
      </c>
      <c r="E38">
        <v>4336364</v>
      </c>
      <c r="F38">
        <v>1</v>
      </c>
      <c r="G38">
        <v>12090909</v>
      </c>
      <c r="H38">
        <v>0</v>
      </c>
      <c r="I38">
        <v>0</v>
      </c>
      <c r="J38">
        <v>2</v>
      </c>
      <c r="K38">
        <v>16427273</v>
      </c>
    </row>
    <row r="39" spans="1:11" x14ac:dyDescent="0.25">
      <c r="A39">
        <v>38</v>
      </c>
      <c r="B39" t="s">
        <v>85</v>
      </c>
      <c r="C39" t="s">
        <v>86</v>
      </c>
      <c r="D39">
        <v>149</v>
      </c>
      <c r="E39">
        <v>404456778.38106239</v>
      </c>
      <c r="F39">
        <v>1</v>
      </c>
      <c r="G39">
        <v>3181818</v>
      </c>
      <c r="H39">
        <v>1</v>
      </c>
      <c r="I39">
        <v>5054545</v>
      </c>
      <c r="J39">
        <v>149</v>
      </c>
      <c r="K39">
        <v>402584051.38106239</v>
      </c>
    </row>
    <row r="40" spans="1:11" x14ac:dyDescent="0.25">
      <c r="A40">
        <v>39</v>
      </c>
      <c r="B40" t="s">
        <v>87</v>
      </c>
      <c r="C40" t="s">
        <v>88</v>
      </c>
      <c r="D40">
        <v>11</v>
      </c>
      <c r="E40">
        <v>57943433.777777784</v>
      </c>
      <c r="F40">
        <v>0</v>
      </c>
      <c r="G40">
        <v>0</v>
      </c>
      <c r="H40">
        <v>0</v>
      </c>
      <c r="I40">
        <v>0</v>
      </c>
      <c r="J40">
        <v>11</v>
      </c>
      <c r="K40">
        <v>57943433.777777784</v>
      </c>
    </row>
    <row r="41" spans="1:11" x14ac:dyDescent="0.25">
      <c r="A41">
        <v>40</v>
      </c>
      <c r="B41" t="s">
        <v>89</v>
      </c>
      <c r="C41" t="s">
        <v>90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25">
      <c r="A42">
        <v>41</v>
      </c>
      <c r="B42" t="s">
        <v>91</v>
      </c>
      <c r="C42" t="s">
        <v>92</v>
      </c>
      <c r="D42">
        <v>1629</v>
      </c>
      <c r="E42">
        <v>20319989.640000001</v>
      </c>
      <c r="F42">
        <v>220</v>
      </c>
      <c r="G42">
        <v>22242273</v>
      </c>
      <c r="H42">
        <v>171</v>
      </c>
      <c r="I42">
        <v>107943648</v>
      </c>
      <c r="J42">
        <v>1678</v>
      </c>
      <c r="K42">
        <v>0</v>
      </c>
    </row>
    <row r="43" spans="1:11" x14ac:dyDescent="0.25">
      <c r="A43">
        <v>42</v>
      </c>
      <c r="B43" t="s">
        <v>93</v>
      </c>
      <c r="C43" t="s">
        <v>94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25">
      <c r="A44">
        <v>43</v>
      </c>
      <c r="B44" t="s">
        <v>95</v>
      </c>
      <c r="C44" t="s">
        <v>96</v>
      </c>
      <c r="D44">
        <v>530</v>
      </c>
      <c r="E44">
        <v>1495142256.4247439</v>
      </c>
      <c r="F44">
        <v>0</v>
      </c>
      <c r="G44">
        <v>0</v>
      </c>
      <c r="H44">
        <v>56</v>
      </c>
      <c r="I44">
        <v>151067266</v>
      </c>
      <c r="J44">
        <v>474</v>
      </c>
      <c r="K44">
        <v>1344074990.4247439</v>
      </c>
    </row>
    <row r="45" spans="1:11" x14ac:dyDescent="0.25">
      <c r="A45">
        <v>44</v>
      </c>
      <c r="B45" t="s">
        <v>97</v>
      </c>
      <c r="C45" t="s">
        <v>98</v>
      </c>
      <c r="D45">
        <v>100</v>
      </c>
      <c r="E45">
        <v>434661529.79297298</v>
      </c>
      <c r="F45">
        <v>3</v>
      </c>
      <c r="G45">
        <v>8054545.1799999997</v>
      </c>
      <c r="H45">
        <v>1</v>
      </c>
      <c r="I45">
        <v>5263636</v>
      </c>
      <c r="J45">
        <v>102</v>
      </c>
      <c r="K45">
        <v>437452438.97297299</v>
      </c>
    </row>
    <row r="46" spans="1:11" x14ac:dyDescent="0.25">
      <c r="A46">
        <v>45</v>
      </c>
      <c r="B46" t="s">
        <v>99</v>
      </c>
      <c r="C46" t="s">
        <v>100</v>
      </c>
      <c r="D46">
        <v>233</v>
      </c>
      <c r="E46">
        <v>88380130.632571429</v>
      </c>
      <c r="F46">
        <v>2</v>
      </c>
      <c r="G46">
        <v>200000</v>
      </c>
      <c r="H46">
        <v>0</v>
      </c>
      <c r="I46">
        <v>0</v>
      </c>
      <c r="J46">
        <v>235</v>
      </c>
      <c r="K46">
        <v>88580130.632571429</v>
      </c>
    </row>
    <row r="47" spans="1:11" x14ac:dyDescent="0.25">
      <c r="A47">
        <v>46</v>
      </c>
      <c r="B47" t="s">
        <v>101</v>
      </c>
      <c r="C47" t="s">
        <v>102</v>
      </c>
      <c r="D47">
        <v>127</v>
      </c>
      <c r="E47">
        <v>281190598.36567378</v>
      </c>
      <c r="F47">
        <v>0</v>
      </c>
      <c r="G47">
        <v>0</v>
      </c>
      <c r="H47">
        <v>11</v>
      </c>
      <c r="I47">
        <v>46499997</v>
      </c>
      <c r="J47">
        <v>116</v>
      </c>
      <c r="K47">
        <v>234690601.36567381</v>
      </c>
    </row>
    <row r="48" spans="1:11" x14ac:dyDescent="0.25">
      <c r="A48">
        <v>47</v>
      </c>
      <c r="B48" t="s">
        <v>103</v>
      </c>
      <c r="C48" t="s">
        <v>104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 x14ac:dyDescent="0.25">
      <c r="A49">
        <v>48</v>
      </c>
      <c r="B49" t="s">
        <v>105</v>
      </c>
      <c r="C49" t="s">
        <v>106</v>
      </c>
      <c r="D49">
        <v>43</v>
      </c>
      <c r="E49">
        <v>311294120.56224138</v>
      </c>
      <c r="F49">
        <v>2</v>
      </c>
      <c r="G49">
        <v>12145454.449999999</v>
      </c>
      <c r="H49">
        <v>6</v>
      </c>
      <c r="I49">
        <v>47854545</v>
      </c>
      <c r="J49">
        <v>39</v>
      </c>
      <c r="K49">
        <v>275585030.01224142</v>
      </c>
    </row>
    <row r="50" spans="1:11" x14ac:dyDescent="0.25">
      <c r="A50">
        <v>49</v>
      </c>
      <c r="B50" t="s">
        <v>107</v>
      </c>
      <c r="C50" t="s">
        <v>108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25">
      <c r="A51">
        <v>50</v>
      </c>
      <c r="B51" t="s">
        <v>109</v>
      </c>
      <c r="C51" t="s">
        <v>110</v>
      </c>
      <c r="D51">
        <v>5</v>
      </c>
      <c r="E51">
        <v>254228.19999999931</v>
      </c>
      <c r="F51">
        <v>0</v>
      </c>
      <c r="G51">
        <v>0</v>
      </c>
      <c r="H51">
        <v>0</v>
      </c>
      <c r="I51">
        <v>0</v>
      </c>
      <c r="J51">
        <v>5</v>
      </c>
      <c r="K51">
        <v>254228.19999999931</v>
      </c>
    </row>
    <row r="52" spans="1:11" x14ac:dyDescent="0.25">
      <c r="A52">
        <v>51</v>
      </c>
      <c r="B52" t="s">
        <v>111</v>
      </c>
      <c r="C52" t="s">
        <v>112</v>
      </c>
      <c r="D52">
        <v>0</v>
      </c>
      <c r="E52">
        <v>14080989.06693876</v>
      </c>
      <c r="F52">
        <v>1</v>
      </c>
      <c r="G52">
        <v>227273</v>
      </c>
      <c r="H52">
        <v>0</v>
      </c>
      <c r="I52">
        <v>0</v>
      </c>
      <c r="J52">
        <v>1</v>
      </c>
      <c r="K52">
        <v>14308262.06693876</v>
      </c>
    </row>
    <row r="53" spans="1:11" x14ac:dyDescent="0.25">
      <c r="A53">
        <v>52</v>
      </c>
      <c r="B53" t="s">
        <v>113</v>
      </c>
      <c r="C53" t="s">
        <v>114</v>
      </c>
      <c r="D53">
        <v>3</v>
      </c>
      <c r="E53">
        <v>5580000</v>
      </c>
      <c r="F53">
        <v>0</v>
      </c>
      <c r="G53">
        <v>0</v>
      </c>
      <c r="H53">
        <v>0</v>
      </c>
      <c r="I53">
        <v>0</v>
      </c>
      <c r="J53">
        <v>3</v>
      </c>
      <c r="K53">
        <v>5580000</v>
      </c>
    </row>
    <row r="54" spans="1:11" x14ac:dyDescent="0.25">
      <c r="A54">
        <v>53</v>
      </c>
      <c r="B54" t="s">
        <v>115</v>
      </c>
      <c r="C54" t="s">
        <v>116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 x14ac:dyDescent="0.25">
      <c r="A55">
        <v>54</v>
      </c>
      <c r="B55" t="s">
        <v>117</v>
      </c>
      <c r="C55" t="s">
        <v>118</v>
      </c>
      <c r="D55">
        <v>91</v>
      </c>
      <c r="E55">
        <v>104342533.172702</v>
      </c>
      <c r="F55">
        <v>1</v>
      </c>
      <c r="G55">
        <v>1879000</v>
      </c>
      <c r="H55">
        <v>1</v>
      </c>
      <c r="I55">
        <v>2090909</v>
      </c>
      <c r="J55">
        <v>91</v>
      </c>
      <c r="K55">
        <v>104130624.172702</v>
      </c>
    </row>
    <row r="56" spans="1:11" x14ac:dyDescent="0.25">
      <c r="A56">
        <v>55</v>
      </c>
      <c r="B56" t="s">
        <v>119</v>
      </c>
      <c r="C56" t="s">
        <v>120</v>
      </c>
      <c r="D56">
        <v>36</v>
      </c>
      <c r="E56">
        <v>6435566.4915254228</v>
      </c>
      <c r="F56">
        <v>0</v>
      </c>
      <c r="G56">
        <v>0</v>
      </c>
      <c r="H56">
        <v>0</v>
      </c>
      <c r="I56">
        <v>0</v>
      </c>
      <c r="J56">
        <v>36</v>
      </c>
      <c r="K56">
        <v>6435566.4915254228</v>
      </c>
    </row>
    <row r="57" spans="1:11" x14ac:dyDescent="0.25">
      <c r="A57">
        <v>56</v>
      </c>
      <c r="B57" t="s">
        <v>121</v>
      </c>
      <c r="C57" t="s">
        <v>122</v>
      </c>
      <c r="D57">
        <v>7</v>
      </c>
      <c r="E57">
        <v>20981110.180769231</v>
      </c>
      <c r="F57">
        <v>0</v>
      </c>
      <c r="G57">
        <v>0</v>
      </c>
      <c r="H57">
        <v>1</v>
      </c>
      <c r="I57">
        <v>3879630</v>
      </c>
      <c r="J57">
        <v>6</v>
      </c>
      <c r="K57">
        <v>17101480.180769231</v>
      </c>
    </row>
    <row r="58" spans="1:11" x14ac:dyDescent="0.25">
      <c r="A58">
        <v>57</v>
      </c>
      <c r="B58" t="s">
        <v>123</v>
      </c>
      <c r="C58" t="s">
        <v>124</v>
      </c>
      <c r="D58">
        <v>2</v>
      </c>
      <c r="E58">
        <v>1829966.11</v>
      </c>
      <c r="F58">
        <v>0</v>
      </c>
      <c r="G58">
        <v>0</v>
      </c>
      <c r="H58">
        <v>0</v>
      </c>
      <c r="I58">
        <v>0</v>
      </c>
      <c r="J58">
        <v>2</v>
      </c>
      <c r="K58">
        <v>1829966.11</v>
      </c>
    </row>
    <row r="59" spans="1:11" x14ac:dyDescent="0.25">
      <c r="A59">
        <v>58</v>
      </c>
      <c r="B59" t="s">
        <v>125</v>
      </c>
      <c r="C59" t="s">
        <v>126</v>
      </c>
      <c r="D59">
        <v>1372</v>
      </c>
      <c r="E59">
        <v>156016498.36559761</v>
      </c>
      <c r="F59">
        <v>72</v>
      </c>
      <c r="G59">
        <v>8111558</v>
      </c>
      <c r="H59">
        <v>48</v>
      </c>
      <c r="I59">
        <v>10797275</v>
      </c>
      <c r="J59">
        <v>1396</v>
      </c>
      <c r="K59">
        <v>153330781.36559761</v>
      </c>
    </row>
    <row r="60" spans="1:11" x14ac:dyDescent="0.25">
      <c r="A60">
        <v>59</v>
      </c>
      <c r="B60" t="s">
        <v>127</v>
      </c>
      <c r="C60" t="s">
        <v>128</v>
      </c>
      <c r="D60">
        <v>138</v>
      </c>
      <c r="E60">
        <v>0</v>
      </c>
      <c r="F60">
        <v>11</v>
      </c>
      <c r="G60">
        <v>790910</v>
      </c>
      <c r="H60">
        <v>0</v>
      </c>
      <c r="I60">
        <v>0</v>
      </c>
      <c r="J60">
        <v>149</v>
      </c>
      <c r="K60">
        <v>790910</v>
      </c>
    </row>
    <row r="61" spans="1:11" x14ac:dyDescent="0.25">
      <c r="A61">
        <v>60</v>
      </c>
      <c r="B61" t="s">
        <v>129</v>
      </c>
      <c r="C61" t="s">
        <v>130</v>
      </c>
      <c r="D61">
        <v>35</v>
      </c>
      <c r="E61">
        <v>2590906</v>
      </c>
      <c r="F61">
        <v>5</v>
      </c>
      <c r="G61">
        <v>879816</v>
      </c>
      <c r="H61">
        <v>1</v>
      </c>
      <c r="I61">
        <v>400000</v>
      </c>
      <c r="J61">
        <v>39</v>
      </c>
      <c r="K61">
        <v>3070722</v>
      </c>
    </row>
    <row r="62" spans="1:11" x14ac:dyDescent="0.25">
      <c r="A62">
        <v>61</v>
      </c>
      <c r="B62" t="s">
        <v>131</v>
      </c>
      <c r="C62" t="s">
        <v>132</v>
      </c>
      <c r="D62">
        <v>1232</v>
      </c>
      <c r="E62">
        <v>141088762.8789579</v>
      </c>
      <c r="F62">
        <v>0</v>
      </c>
      <c r="G62">
        <v>0</v>
      </c>
      <c r="H62">
        <v>31</v>
      </c>
      <c r="I62">
        <v>6781820</v>
      </c>
      <c r="J62">
        <v>1201</v>
      </c>
      <c r="K62">
        <v>134306942.8789579</v>
      </c>
    </row>
    <row r="63" spans="1:11" x14ac:dyDescent="0.25">
      <c r="A63">
        <v>62</v>
      </c>
      <c r="B63" t="s">
        <v>133</v>
      </c>
      <c r="C63" t="s">
        <v>134</v>
      </c>
      <c r="D63">
        <v>1016</v>
      </c>
      <c r="E63">
        <v>182634273.71158049</v>
      </c>
      <c r="F63">
        <v>0</v>
      </c>
      <c r="G63">
        <v>0</v>
      </c>
      <c r="H63">
        <v>38</v>
      </c>
      <c r="I63">
        <v>6836372</v>
      </c>
      <c r="J63">
        <v>978</v>
      </c>
      <c r="K63">
        <v>175797901.71158049</v>
      </c>
    </row>
    <row r="64" spans="1:11" x14ac:dyDescent="0.25">
      <c r="A64">
        <v>63</v>
      </c>
      <c r="B64" t="s">
        <v>135</v>
      </c>
      <c r="C64" t="s">
        <v>136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 x14ac:dyDescent="0.25">
      <c r="A65">
        <v>64</v>
      </c>
      <c r="B65" t="s">
        <v>137</v>
      </c>
      <c r="C65" t="s">
        <v>138</v>
      </c>
      <c r="D65">
        <v>18</v>
      </c>
      <c r="E65">
        <v>5932590.4511235952</v>
      </c>
      <c r="F65">
        <v>2</v>
      </c>
      <c r="G65">
        <v>327272</v>
      </c>
      <c r="H65">
        <v>0</v>
      </c>
      <c r="I65">
        <v>0</v>
      </c>
      <c r="J65">
        <v>20</v>
      </c>
      <c r="K65">
        <v>6259862.4511235952</v>
      </c>
    </row>
    <row r="66" spans="1:11" x14ac:dyDescent="0.25">
      <c r="A66">
        <v>65</v>
      </c>
      <c r="B66" t="s">
        <v>139</v>
      </c>
      <c r="C66" t="s">
        <v>140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 x14ac:dyDescent="0.25">
      <c r="A67">
        <v>66</v>
      </c>
      <c r="B67" t="s">
        <v>141</v>
      </c>
      <c r="C67" t="s">
        <v>142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 x14ac:dyDescent="0.25">
      <c r="A68">
        <v>67</v>
      </c>
      <c r="B68" t="s">
        <v>143</v>
      </c>
      <c r="C68" t="s">
        <v>144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 x14ac:dyDescent="0.25">
      <c r="A69">
        <v>68</v>
      </c>
      <c r="B69" t="s">
        <v>145</v>
      </c>
      <c r="C69" t="s">
        <v>146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 x14ac:dyDescent="0.25">
      <c r="A70">
        <v>69</v>
      </c>
      <c r="B70" t="s">
        <v>147</v>
      </c>
      <c r="C70" t="s">
        <v>148</v>
      </c>
      <c r="D70">
        <v>266</v>
      </c>
      <c r="E70">
        <v>76580915.665112108</v>
      </c>
      <c r="F70">
        <v>30</v>
      </c>
      <c r="G70">
        <v>409080</v>
      </c>
      <c r="H70">
        <v>21</v>
      </c>
      <c r="I70">
        <v>1072727</v>
      </c>
      <c r="J70">
        <v>275</v>
      </c>
      <c r="K70">
        <v>75917268.665112108</v>
      </c>
    </row>
    <row r="71" spans="1:11" x14ac:dyDescent="0.25">
      <c r="A71">
        <v>70</v>
      </c>
      <c r="B71" t="s">
        <v>149</v>
      </c>
      <c r="C71" t="s">
        <v>150</v>
      </c>
      <c r="D71">
        <v>9</v>
      </c>
      <c r="E71">
        <v>737428.16000000015</v>
      </c>
      <c r="F71">
        <v>0</v>
      </c>
      <c r="G71">
        <v>0</v>
      </c>
      <c r="H71">
        <v>0</v>
      </c>
      <c r="I71">
        <v>0</v>
      </c>
      <c r="J71">
        <v>9</v>
      </c>
      <c r="K71">
        <v>737428.16000000015</v>
      </c>
    </row>
    <row r="72" spans="1:11" x14ac:dyDescent="0.25">
      <c r="A72">
        <v>71</v>
      </c>
      <c r="B72" t="s">
        <v>151</v>
      </c>
      <c r="C72" t="s">
        <v>152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</row>
    <row r="73" spans="1:11" x14ac:dyDescent="0.25">
      <c r="A73">
        <v>72</v>
      </c>
      <c r="B73" t="s">
        <v>153</v>
      </c>
      <c r="C73" t="s">
        <v>154</v>
      </c>
      <c r="D73">
        <v>100</v>
      </c>
      <c r="E73">
        <v>0</v>
      </c>
      <c r="F73">
        <v>0</v>
      </c>
      <c r="G73">
        <v>0</v>
      </c>
      <c r="H73">
        <v>0</v>
      </c>
      <c r="I73">
        <v>0</v>
      </c>
      <c r="J73">
        <v>100</v>
      </c>
      <c r="K73">
        <v>0</v>
      </c>
    </row>
    <row r="74" spans="1:11" x14ac:dyDescent="0.25">
      <c r="A74">
        <v>73</v>
      </c>
      <c r="B74" t="s">
        <v>155</v>
      </c>
      <c r="C74" t="s">
        <v>156</v>
      </c>
      <c r="D74">
        <v>154</v>
      </c>
      <c r="E74">
        <v>346457841.07878792</v>
      </c>
      <c r="F74">
        <v>4</v>
      </c>
      <c r="G74">
        <v>8290909</v>
      </c>
      <c r="H74">
        <v>1</v>
      </c>
      <c r="I74">
        <v>1954545</v>
      </c>
      <c r="J74">
        <v>157</v>
      </c>
      <c r="K74">
        <v>352794205.07878792</v>
      </c>
    </row>
    <row r="75" spans="1:11" x14ac:dyDescent="0.25">
      <c r="A75">
        <v>74</v>
      </c>
      <c r="B75" t="s">
        <v>157</v>
      </c>
      <c r="C75" t="s">
        <v>158</v>
      </c>
      <c r="D75">
        <v>138</v>
      </c>
      <c r="E75">
        <v>410841954.75098813</v>
      </c>
      <c r="F75">
        <v>5</v>
      </c>
      <c r="G75">
        <v>14909091</v>
      </c>
      <c r="H75">
        <v>3</v>
      </c>
      <c r="I75">
        <v>20163636</v>
      </c>
      <c r="J75">
        <v>140</v>
      </c>
      <c r="K75">
        <v>405587409.75098813</v>
      </c>
    </row>
    <row r="76" spans="1:11" x14ac:dyDescent="0.25">
      <c r="A76">
        <v>75</v>
      </c>
      <c r="B76" t="s">
        <v>159</v>
      </c>
      <c r="C76" t="s">
        <v>160</v>
      </c>
      <c r="D76">
        <v>6</v>
      </c>
      <c r="E76">
        <v>30539183.875</v>
      </c>
      <c r="F76">
        <v>0</v>
      </c>
      <c r="G76">
        <v>0</v>
      </c>
      <c r="H76">
        <v>0</v>
      </c>
      <c r="I76">
        <v>0</v>
      </c>
      <c r="J76">
        <v>6</v>
      </c>
      <c r="K76">
        <v>30539183.875</v>
      </c>
    </row>
    <row r="77" spans="1:11" x14ac:dyDescent="0.25">
      <c r="A77">
        <v>76</v>
      </c>
      <c r="B77" t="s">
        <v>161</v>
      </c>
      <c r="C77" t="s">
        <v>162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 x14ac:dyDescent="0.25">
      <c r="A78">
        <v>77</v>
      </c>
      <c r="B78" t="s">
        <v>163</v>
      </c>
      <c r="C78" t="s">
        <v>164</v>
      </c>
      <c r="D78">
        <v>181</v>
      </c>
      <c r="E78">
        <v>269423346.59605908</v>
      </c>
      <c r="F78">
        <v>30</v>
      </c>
      <c r="G78">
        <v>42863637</v>
      </c>
      <c r="H78">
        <v>2</v>
      </c>
      <c r="I78">
        <v>2872728</v>
      </c>
      <c r="J78">
        <v>209</v>
      </c>
      <c r="K78">
        <v>309414255.59605908</v>
      </c>
    </row>
    <row r="79" spans="1:11" x14ac:dyDescent="0.25">
      <c r="A79">
        <v>78</v>
      </c>
      <c r="B79" t="s">
        <v>165</v>
      </c>
      <c r="C79" t="s">
        <v>166</v>
      </c>
      <c r="D79">
        <v>18</v>
      </c>
      <c r="E79">
        <v>42657297</v>
      </c>
      <c r="F79">
        <v>3</v>
      </c>
      <c r="G79">
        <v>5991818</v>
      </c>
      <c r="H79">
        <v>1</v>
      </c>
      <c r="I79">
        <v>2000000</v>
      </c>
      <c r="J79">
        <v>20</v>
      </c>
      <c r="K79">
        <v>46649115</v>
      </c>
    </row>
    <row r="80" spans="1:11" x14ac:dyDescent="0.25">
      <c r="A80">
        <v>79</v>
      </c>
      <c r="B80" t="s">
        <v>167</v>
      </c>
      <c r="C80" t="s">
        <v>168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 x14ac:dyDescent="0.25">
      <c r="A81">
        <v>80</v>
      </c>
      <c r="B81" t="s">
        <v>169</v>
      </c>
      <c r="C81" t="s">
        <v>170</v>
      </c>
      <c r="D81">
        <v>589</v>
      </c>
      <c r="E81">
        <v>182919447.62329009</v>
      </c>
      <c r="F81">
        <v>101</v>
      </c>
      <c r="G81">
        <v>28545455</v>
      </c>
      <c r="H81">
        <v>5</v>
      </c>
      <c r="I81">
        <v>5340908</v>
      </c>
      <c r="J81">
        <v>685</v>
      </c>
      <c r="K81">
        <v>206123994.62329009</v>
      </c>
    </row>
    <row r="82" spans="1:11" x14ac:dyDescent="0.25">
      <c r="A82">
        <v>81</v>
      </c>
      <c r="B82" t="s">
        <v>171</v>
      </c>
      <c r="C82" t="s">
        <v>172</v>
      </c>
      <c r="D82">
        <v>207</v>
      </c>
      <c r="E82">
        <v>189843949.11730209</v>
      </c>
      <c r="F82">
        <v>0</v>
      </c>
      <c r="G82">
        <v>0</v>
      </c>
      <c r="H82">
        <v>2</v>
      </c>
      <c r="I82">
        <v>1418182</v>
      </c>
      <c r="J82">
        <v>205</v>
      </c>
      <c r="K82">
        <v>188425767.11730209</v>
      </c>
    </row>
    <row r="83" spans="1:11" x14ac:dyDescent="0.25">
      <c r="A83">
        <v>82</v>
      </c>
      <c r="B83" t="s">
        <v>173</v>
      </c>
      <c r="C83" t="s">
        <v>174</v>
      </c>
      <c r="D83">
        <v>100</v>
      </c>
      <c r="E83">
        <v>96754470.202380955</v>
      </c>
      <c r="F83">
        <v>0</v>
      </c>
      <c r="G83">
        <v>0</v>
      </c>
      <c r="H83">
        <v>0</v>
      </c>
      <c r="I83">
        <v>0</v>
      </c>
      <c r="J83">
        <v>100</v>
      </c>
      <c r="K83">
        <v>96754470.202380955</v>
      </c>
    </row>
    <row r="84" spans="1:11" x14ac:dyDescent="0.25">
      <c r="A84">
        <v>83</v>
      </c>
      <c r="B84" t="s">
        <v>175</v>
      </c>
      <c r="C84" t="s">
        <v>176</v>
      </c>
      <c r="D84">
        <v>11</v>
      </c>
      <c r="E84">
        <v>18878450.199999999</v>
      </c>
      <c r="F84">
        <v>0</v>
      </c>
      <c r="G84">
        <v>0</v>
      </c>
      <c r="H84">
        <v>0</v>
      </c>
      <c r="I84">
        <v>0</v>
      </c>
      <c r="J84">
        <v>11</v>
      </c>
      <c r="K84">
        <v>18878450.199999999</v>
      </c>
    </row>
    <row r="85" spans="1:11" x14ac:dyDescent="0.25">
      <c r="A85">
        <v>84</v>
      </c>
      <c r="B85" t="s">
        <v>177</v>
      </c>
      <c r="C85" t="s">
        <v>178</v>
      </c>
      <c r="D85">
        <v>17</v>
      </c>
      <c r="E85">
        <v>81028636.483870968</v>
      </c>
      <c r="F85">
        <v>5</v>
      </c>
      <c r="G85">
        <v>33636364</v>
      </c>
      <c r="H85">
        <v>0</v>
      </c>
      <c r="I85">
        <v>0</v>
      </c>
      <c r="J85">
        <v>22</v>
      </c>
      <c r="K85">
        <v>114665000.483871</v>
      </c>
    </row>
    <row r="86" spans="1:11" x14ac:dyDescent="0.25">
      <c r="A86">
        <v>85</v>
      </c>
      <c r="B86" t="s">
        <v>179</v>
      </c>
      <c r="C86" t="s">
        <v>180</v>
      </c>
      <c r="D86">
        <v>22</v>
      </c>
      <c r="E86">
        <v>29190400.16</v>
      </c>
      <c r="F86">
        <v>0</v>
      </c>
      <c r="G86">
        <v>0</v>
      </c>
      <c r="H86">
        <v>0</v>
      </c>
      <c r="I86">
        <v>0</v>
      </c>
      <c r="J86">
        <v>22</v>
      </c>
      <c r="K86">
        <v>29190400.16</v>
      </c>
    </row>
    <row r="87" spans="1:11" x14ac:dyDescent="0.25">
      <c r="A87">
        <v>86</v>
      </c>
      <c r="B87" t="s">
        <v>181</v>
      </c>
      <c r="C87" t="s">
        <v>182</v>
      </c>
      <c r="D87">
        <v>84</v>
      </c>
      <c r="E87">
        <v>90141902.572559372</v>
      </c>
      <c r="F87">
        <v>1</v>
      </c>
      <c r="G87">
        <v>3727273</v>
      </c>
      <c r="H87">
        <v>18</v>
      </c>
      <c r="I87">
        <v>24163636</v>
      </c>
      <c r="J87">
        <v>67</v>
      </c>
      <c r="K87">
        <v>69705539.572559372</v>
      </c>
    </row>
    <row r="88" spans="1:11" x14ac:dyDescent="0.25">
      <c r="A88">
        <v>87</v>
      </c>
      <c r="B88" t="s">
        <v>183</v>
      </c>
      <c r="C88" t="s">
        <v>184</v>
      </c>
      <c r="D88">
        <v>3</v>
      </c>
      <c r="E88">
        <v>2443182.9545454532</v>
      </c>
      <c r="F88">
        <v>0</v>
      </c>
      <c r="G88">
        <v>0</v>
      </c>
      <c r="H88">
        <v>0</v>
      </c>
      <c r="I88">
        <v>0</v>
      </c>
      <c r="J88">
        <v>3</v>
      </c>
      <c r="K88">
        <v>2443182.9545454532</v>
      </c>
    </row>
    <row r="89" spans="1:11" x14ac:dyDescent="0.25">
      <c r="A89">
        <v>88</v>
      </c>
      <c r="B89" t="s">
        <v>185</v>
      </c>
      <c r="C89" t="s">
        <v>186</v>
      </c>
      <c r="D89">
        <v>1329</v>
      </c>
      <c r="E89">
        <v>400630428.74628812</v>
      </c>
      <c r="F89">
        <v>0</v>
      </c>
      <c r="G89">
        <v>0</v>
      </c>
      <c r="H89">
        <v>3</v>
      </c>
      <c r="I89">
        <v>1172727</v>
      </c>
      <c r="J89">
        <v>1326</v>
      </c>
      <c r="K89">
        <v>399457701.74628812</v>
      </c>
    </row>
    <row r="90" spans="1:11" x14ac:dyDescent="0.25">
      <c r="A90">
        <v>89</v>
      </c>
      <c r="B90" t="s">
        <v>187</v>
      </c>
      <c r="C90" t="s">
        <v>188</v>
      </c>
      <c r="D90">
        <v>250</v>
      </c>
      <c r="E90">
        <v>294183665.34957021</v>
      </c>
      <c r="F90">
        <v>50</v>
      </c>
      <c r="G90">
        <v>29318182</v>
      </c>
      <c r="H90">
        <v>20</v>
      </c>
      <c r="I90">
        <v>12363637</v>
      </c>
      <c r="J90">
        <v>280</v>
      </c>
      <c r="K90">
        <v>311138210.34957021</v>
      </c>
    </row>
    <row r="91" spans="1:11" x14ac:dyDescent="0.25">
      <c r="A91">
        <v>90</v>
      </c>
      <c r="B91" t="s">
        <v>189</v>
      </c>
      <c r="C91" t="s">
        <v>190</v>
      </c>
      <c r="D91">
        <v>111</v>
      </c>
      <c r="E91">
        <v>142107776.9923954</v>
      </c>
      <c r="F91">
        <v>0</v>
      </c>
      <c r="G91">
        <v>0</v>
      </c>
      <c r="H91">
        <v>0</v>
      </c>
      <c r="I91">
        <v>0</v>
      </c>
      <c r="J91">
        <v>111</v>
      </c>
      <c r="K91">
        <v>142107776.9923954</v>
      </c>
    </row>
    <row r="92" spans="1:11" x14ac:dyDescent="0.25">
      <c r="A92">
        <v>91</v>
      </c>
      <c r="B92" t="s">
        <v>191</v>
      </c>
      <c r="C92" t="s">
        <v>192</v>
      </c>
      <c r="D92">
        <v>76</v>
      </c>
      <c r="E92">
        <v>38570489.128078818</v>
      </c>
      <c r="F92">
        <v>12</v>
      </c>
      <c r="G92">
        <v>11436365</v>
      </c>
      <c r="H92">
        <v>12</v>
      </c>
      <c r="I92">
        <v>2390913</v>
      </c>
      <c r="J92">
        <v>76</v>
      </c>
      <c r="K92">
        <v>47615941.128078818</v>
      </c>
    </row>
    <row r="93" spans="1:11" x14ac:dyDescent="0.25">
      <c r="A93">
        <v>92</v>
      </c>
      <c r="B93" t="s">
        <v>193</v>
      </c>
      <c r="C93" t="s">
        <v>194</v>
      </c>
      <c r="D93">
        <v>36</v>
      </c>
      <c r="E93">
        <v>63912234.432558149</v>
      </c>
      <c r="F93">
        <v>6</v>
      </c>
      <c r="G93">
        <v>15527273</v>
      </c>
      <c r="H93">
        <v>2</v>
      </c>
      <c r="I93">
        <v>7127272</v>
      </c>
      <c r="J93">
        <v>40</v>
      </c>
      <c r="K93">
        <v>72312235.432558149</v>
      </c>
    </row>
    <row r="94" spans="1:11" x14ac:dyDescent="0.25">
      <c r="A94">
        <v>93</v>
      </c>
      <c r="B94" t="s">
        <v>195</v>
      </c>
      <c r="C94" t="s">
        <v>196</v>
      </c>
      <c r="D94">
        <v>533</v>
      </c>
      <c r="E94">
        <v>144474326.61556071</v>
      </c>
      <c r="F94">
        <v>0</v>
      </c>
      <c r="G94">
        <v>0</v>
      </c>
      <c r="H94">
        <v>1</v>
      </c>
      <c r="I94">
        <v>1936364</v>
      </c>
      <c r="J94">
        <v>532</v>
      </c>
      <c r="K94">
        <v>142537962.61556071</v>
      </c>
    </row>
    <row r="95" spans="1:11" x14ac:dyDescent="0.25">
      <c r="A95">
        <v>94</v>
      </c>
      <c r="B95" t="s">
        <v>197</v>
      </c>
      <c r="C95" t="s">
        <v>198</v>
      </c>
      <c r="D95">
        <v>29</v>
      </c>
      <c r="E95">
        <v>3004547</v>
      </c>
      <c r="F95">
        <v>4</v>
      </c>
      <c r="G95">
        <v>1272727</v>
      </c>
      <c r="H95">
        <v>0</v>
      </c>
      <c r="I95">
        <v>0</v>
      </c>
      <c r="J95">
        <v>33</v>
      </c>
      <c r="K95">
        <v>4277274</v>
      </c>
    </row>
    <row r="96" spans="1:11" x14ac:dyDescent="0.25">
      <c r="A96">
        <v>95</v>
      </c>
      <c r="B96" t="s">
        <v>199</v>
      </c>
      <c r="C96" t="s">
        <v>200</v>
      </c>
      <c r="D96">
        <v>75</v>
      </c>
      <c r="E96">
        <v>4737007.0819672123</v>
      </c>
      <c r="F96">
        <v>0</v>
      </c>
      <c r="G96">
        <v>0</v>
      </c>
      <c r="H96">
        <v>2</v>
      </c>
      <c r="I96">
        <v>327273</v>
      </c>
      <c r="J96">
        <v>73</v>
      </c>
      <c r="K96">
        <v>4409734.0819672123</v>
      </c>
    </row>
    <row r="97" spans="1:11" x14ac:dyDescent="0.25">
      <c r="A97">
        <v>96</v>
      </c>
      <c r="B97" t="s">
        <v>201</v>
      </c>
      <c r="C97" t="s">
        <v>202</v>
      </c>
      <c r="D97">
        <v>1601</v>
      </c>
      <c r="E97">
        <v>173306988.4361957</v>
      </c>
      <c r="F97">
        <v>247</v>
      </c>
      <c r="G97">
        <v>26209093</v>
      </c>
      <c r="H97">
        <v>19</v>
      </c>
      <c r="I97">
        <v>2018181</v>
      </c>
      <c r="J97">
        <v>1829</v>
      </c>
      <c r="K97">
        <v>197497900.4361957</v>
      </c>
    </row>
    <row r="98" spans="1:11" x14ac:dyDescent="0.25">
      <c r="A98">
        <v>97</v>
      </c>
      <c r="B98" t="s">
        <v>203</v>
      </c>
      <c r="C98" t="s">
        <v>204</v>
      </c>
      <c r="D98">
        <v>270</v>
      </c>
      <c r="E98">
        <v>56018909.620727673</v>
      </c>
      <c r="F98">
        <v>0</v>
      </c>
      <c r="G98">
        <v>0</v>
      </c>
      <c r="H98">
        <v>3</v>
      </c>
      <c r="I98">
        <v>545454</v>
      </c>
      <c r="J98">
        <v>267</v>
      </c>
      <c r="K98">
        <v>55473455.620727673</v>
      </c>
    </row>
    <row r="99" spans="1:11" x14ac:dyDescent="0.25">
      <c r="A99">
        <v>98</v>
      </c>
      <c r="B99" t="s">
        <v>205</v>
      </c>
      <c r="C99" t="s">
        <v>206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 x14ac:dyDescent="0.25">
      <c r="A100">
        <v>99</v>
      </c>
      <c r="B100" t="s">
        <v>207</v>
      </c>
      <c r="C100" t="s">
        <v>208</v>
      </c>
      <c r="D100">
        <v>10</v>
      </c>
      <c r="E100">
        <v>15908150.758620691</v>
      </c>
      <c r="F100">
        <v>0</v>
      </c>
      <c r="G100">
        <v>0</v>
      </c>
      <c r="H100">
        <v>0</v>
      </c>
      <c r="I100">
        <v>0</v>
      </c>
      <c r="J100">
        <v>10</v>
      </c>
      <c r="K100">
        <v>15908150.758620691</v>
      </c>
    </row>
    <row r="101" spans="1:11" x14ac:dyDescent="0.25">
      <c r="A101">
        <v>100</v>
      </c>
      <c r="B101" t="s">
        <v>209</v>
      </c>
      <c r="C101" t="s">
        <v>210</v>
      </c>
      <c r="D101">
        <v>5</v>
      </c>
      <c r="E101">
        <v>5229125</v>
      </c>
      <c r="F101">
        <v>0</v>
      </c>
      <c r="G101">
        <v>0</v>
      </c>
      <c r="H101">
        <v>0</v>
      </c>
      <c r="I101">
        <v>0</v>
      </c>
      <c r="J101">
        <v>5</v>
      </c>
      <c r="K101">
        <v>5229125</v>
      </c>
    </row>
    <row r="102" spans="1:11" x14ac:dyDescent="0.25">
      <c r="A102">
        <v>101</v>
      </c>
      <c r="B102" t="s">
        <v>211</v>
      </c>
      <c r="C102" t="s">
        <v>212</v>
      </c>
      <c r="D102">
        <v>223</v>
      </c>
      <c r="E102">
        <v>121781600.6692913</v>
      </c>
      <c r="F102">
        <v>0</v>
      </c>
      <c r="G102">
        <v>0</v>
      </c>
      <c r="H102">
        <v>0</v>
      </c>
      <c r="I102">
        <v>0</v>
      </c>
      <c r="J102">
        <v>223</v>
      </c>
      <c r="K102">
        <v>121781600.6692913</v>
      </c>
    </row>
    <row r="103" spans="1:11" x14ac:dyDescent="0.25">
      <c r="A103">
        <v>102</v>
      </c>
      <c r="B103" t="s">
        <v>213</v>
      </c>
      <c r="C103" t="s">
        <v>214</v>
      </c>
      <c r="D103">
        <v>2</v>
      </c>
      <c r="E103">
        <v>2309091</v>
      </c>
      <c r="F103">
        <v>0</v>
      </c>
      <c r="G103">
        <v>0</v>
      </c>
      <c r="H103">
        <v>0</v>
      </c>
      <c r="I103">
        <v>0</v>
      </c>
      <c r="J103">
        <v>2</v>
      </c>
      <c r="K103">
        <v>2309091</v>
      </c>
    </row>
    <row r="104" spans="1:11" x14ac:dyDescent="0.25">
      <c r="A104">
        <v>103</v>
      </c>
      <c r="B104" t="s">
        <v>215</v>
      </c>
      <c r="C104" t="s">
        <v>216</v>
      </c>
      <c r="D104">
        <v>2273</v>
      </c>
      <c r="E104">
        <v>255729454.46378449</v>
      </c>
      <c r="F104">
        <v>42</v>
      </c>
      <c r="G104">
        <v>10745456</v>
      </c>
      <c r="H104">
        <v>374</v>
      </c>
      <c r="I104">
        <v>31067281</v>
      </c>
      <c r="J104">
        <v>1941</v>
      </c>
      <c r="K104">
        <v>235407629.46378449</v>
      </c>
    </row>
    <row r="105" spans="1:11" x14ac:dyDescent="0.25">
      <c r="A105">
        <v>104</v>
      </c>
      <c r="B105" t="s">
        <v>217</v>
      </c>
      <c r="C105" t="s">
        <v>218</v>
      </c>
      <c r="D105">
        <v>242</v>
      </c>
      <c r="E105">
        <v>97056256.992982447</v>
      </c>
      <c r="F105">
        <v>22</v>
      </c>
      <c r="G105">
        <v>8345455</v>
      </c>
      <c r="H105">
        <v>0</v>
      </c>
      <c r="I105">
        <v>0</v>
      </c>
      <c r="J105">
        <v>264</v>
      </c>
      <c r="K105">
        <v>105401711.9929824</v>
      </c>
    </row>
    <row r="106" spans="1:11" x14ac:dyDescent="0.25">
      <c r="A106">
        <v>105</v>
      </c>
      <c r="B106" t="s">
        <v>219</v>
      </c>
      <c r="C106" t="s">
        <v>220</v>
      </c>
      <c r="D106">
        <v>929</v>
      </c>
      <c r="E106">
        <v>237097113.6902304</v>
      </c>
      <c r="F106">
        <v>15</v>
      </c>
      <c r="G106">
        <v>4122727</v>
      </c>
      <c r="H106">
        <v>211</v>
      </c>
      <c r="I106">
        <v>8427271</v>
      </c>
      <c r="J106">
        <v>733</v>
      </c>
      <c r="K106">
        <v>232792569.6902304</v>
      </c>
    </row>
    <row r="107" spans="1:11" x14ac:dyDescent="0.25">
      <c r="A107">
        <v>106</v>
      </c>
      <c r="B107" t="s">
        <v>221</v>
      </c>
      <c r="C107" t="s">
        <v>222</v>
      </c>
      <c r="D107">
        <v>0</v>
      </c>
      <c r="E107">
        <v>38988325.329129368</v>
      </c>
      <c r="F107">
        <v>0</v>
      </c>
      <c r="G107">
        <v>0</v>
      </c>
      <c r="H107">
        <v>281</v>
      </c>
      <c r="I107">
        <v>31475458</v>
      </c>
      <c r="J107">
        <v>0</v>
      </c>
      <c r="K107">
        <v>7512867.3291293681</v>
      </c>
    </row>
    <row r="108" spans="1:11" x14ac:dyDescent="0.25">
      <c r="A108">
        <v>107</v>
      </c>
      <c r="B108" t="s">
        <v>223</v>
      </c>
      <c r="C108" t="s">
        <v>224</v>
      </c>
      <c r="D108">
        <v>10</v>
      </c>
      <c r="E108">
        <v>5060301.75</v>
      </c>
      <c r="F108">
        <v>0</v>
      </c>
      <c r="G108">
        <v>0</v>
      </c>
      <c r="H108">
        <v>0</v>
      </c>
      <c r="I108">
        <v>0</v>
      </c>
      <c r="J108">
        <v>10</v>
      </c>
      <c r="K108">
        <v>5060301.75</v>
      </c>
    </row>
    <row r="109" spans="1:11" x14ac:dyDescent="0.25">
      <c r="A109">
        <v>108</v>
      </c>
      <c r="B109" t="s">
        <v>225</v>
      </c>
      <c r="C109" t="s">
        <v>226</v>
      </c>
      <c r="D109">
        <v>364</v>
      </c>
      <c r="E109">
        <v>90724714.850046858</v>
      </c>
      <c r="F109">
        <v>20</v>
      </c>
      <c r="G109">
        <v>3550911</v>
      </c>
      <c r="H109">
        <v>50</v>
      </c>
      <c r="I109">
        <v>6836360</v>
      </c>
      <c r="J109">
        <v>334</v>
      </c>
      <c r="K109">
        <v>87439265.850046858</v>
      </c>
    </row>
    <row r="110" spans="1:11" x14ac:dyDescent="0.25">
      <c r="A110">
        <v>109</v>
      </c>
      <c r="B110" t="s">
        <v>227</v>
      </c>
      <c r="C110" t="s">
        <v>228</v>
      </c>
      <c r="D110">
        <v>324</v>
      </c>
      <c r="E110">
        <v>126345665.1661891</v>
      </c>
      <c r="F110">
        <v>0</v>
      </c>
      <c r="G110">
        <v>0</v>
      </c>
      <c r="H110">
        <v>2</v>
      </c>
      <c r="I110">
        <v>1509091</v>
      </c>
      <c r="J110">
        <v>322</v>
      </c>
      <c r="K110">
        <v>124836574.1661891</v>
      </c>
    </row>
    <row r="111" spans="1:11" x14ac:dyDescent="0.25">
      <c r="A111">
        <v>110</v>
      </c>
      <c r="B111" t="s">
        <v>229</v>
      </c>
      <c r="C111" t="s">
        <v>230</v>
      </c>
      <c r="D111">
        <v>68</v>
      </c>
      <c r="E111">
        <v>4478493.8936170209</v>
      </c>
      <c r="F111">
        <v>0</v>
      </c>
      <c r="G111">
        <v>0</v>
      </c>
      <c r="H111">
        <v>20</v>
      </c>
      <c r="I111">
        <v>890909</v>
      </c>
      <c r="J111">
        <v>48</v>
      </c>
      <c r="K111">
        <v>3587584.8936170209</v>
      </c>
    </row>
    <row r="112" spans="1:11" x14ac:dyDescent="0.25">
      <c r="A112">
        <v>111</v>
      </c>
      <c r="B112" t="s">
        <v>231</v>
      </c>
      <c r="C112" t="s">
        <v>232</v>
      </c>
      <c r="D112">
        <v>94</v>
      </c>
      <c r="E112">
        <v>36646886.259079903</v>
      </c>
      <c r="F112">
        <v>9</v>
      </c>
      <c r="G112">
        <v>3959090</v>
      </c>
      <c r="H112">
        <v>0</v>
      </c>
      <c r="I112">
        <v>0</v>
      </c>
      <c r="J112">
        <v>103</v>
      </c>
      <c r="K112">
        <v>40605976.259079903</v>
      </c>
    </row>
    <row r="113" spans="1:11" x14ac:dyDescent="0.25">
      <c r="A113">
        <v>112</v>
      </c>
      <c r="B113" t="s">
        <v>233</v>
      </c>
      <c r="C113" t="s">
        <v>234</v>
      </c>
      <c r="D113">
        <v>982</v>
      </c>
      <c r="E113">
        <v>369190893.39026397</v>
      </c>
      <c r="F113">
        <v>0</v>
      </c>
      <c r="G113">
        <v>0</v>
      </c>
      <c r="H113">
        <v>0</v>
      </c>
      <c r="I113">
        <v>0</v>
      </c>
      <c r="J113">
        <v>982</v>
      </c>
      <c r="K113">
        <v>369190893.39026397</v>
      </c>
    </row>
    <row r="114" spans="1:11" x14ac:dyDescent="0.25">
      <c r="A114">
        <v>113</v>
      </c>
      <c r="B114" t="s">
        <v>235</v>
      </c>
      <c r="C114" t="s">
        <v>236</v>
      </c>
      <c r="D114">
        <v>49</v>
      </c>
      <c r="E114">
        <v>24821055.620689649</v>
      </c>
      <c r="F114">
        <v>0</v>
      </c>
      <c r="G114">
        <v>0</v>
      </c>
      <c r="H114">
        <v>0</v>
      </c>
      <c r="I114">
        <v>0</v>
      </c>
      <c r="J114">
        <v>49</v>
      </c>
      <c r="K114">
        <v>24821055.620689649</v>
      </c>
    </row>
    <row r="115" spans="1:11" x14ac:dyDescent="0.25">
      <c r="A115">
        <v>114</v>
      </c>
      <c r="B115" t="s">
        <v>237</v>
      </c>
      <c r="C115" t="s">
        <v>238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 x14ac:dyDescent="0.25">
      <c r="A116">
        <v>115</v>
      </c>
      <c r="B116" t="s">
        <v>239</v>
      </c>
      <c r="C116" t="s">
        <v>240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 x14ac:dyDescent="0.25">
      <c r="A117">
        <v>116</v>
      </c>
      <c r="B117" t="s">
        <v>241</v>
      </c>
      <c r="C117" t="s">
        <v>242</v>
      </c>
      <c r="D117">
        <v>1</v>
      </c>
      <c r="E117">
        <v>2400000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2400000</v>
      </c>
    </row>
    <row r="118" spans="1:11" x14ac:dyDescent="0.25">
      <c r="A118">
        <v>117</v>
      </c>
      <c r="B118" t="s">
        <v>243</v>
      </c>
      <c r="C118" t="s">
        <v>244</v>
      </c>
      <c r="D118">
        <v>1</v>
      </c>
      <c r="E118">
        <v>2200000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2200000</v>
      </c>
    </row>
    <row r="119" spans="1:11" x14ac:dyDescent="0.25">
      <c r="A119">
        <v>118</v>
      </c>
      <c r="B119" t="s">
        <v>245</v>
      </c>
      <c r="C119" t="s">
        <v>246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 x14ac:dyDescent="0.25">
      <c r="A120">
        <v>119</v>
      </c>
      <c r="B120" t="s">
        <v>247</v>
      </c>
      <c r="C120" t="s">
        <v>248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</row>
    <row r="121" spans="1:11" x14ac:dyDescent="0.25">
      <c r="A121">
        <v>120</v>
      </c>
      <c r="B121" t="s">
        <v>249</v>
      </c>
      <c r="C121" t="s">
        <v>250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 x14ac:dyDescent="0.25">
      <c r="A122">
        <v>121</v>
      </c>
      <c r="B122" t="s">
        <v>251</v>
      </c>
      <c r="C122" t="s">
        <v>252</v>
      </c>
      <c r="D122">
        <v>6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6</v>
      </c>
      <c r="K122">
        <v>0</v>
      </c>
    </row>
    <row r="123" spans="1:11" x14ac:dyDescent="0.25">
      <c r="A123">
        <v>122</v>
      </c>
      <c r="B123" t="s">
        <v>253</v>
      </c>
      <c r="C123" t="s">
        <v>254</v>
      </c>
      <c r="D123">
        <v>10</v>
      </c>
      <c r="E123">
        <v>20271429.616306961</v>
      </c>
      <c r="F123">
        <v>0</v>
      </c>
      <c r="G123">
        <v>0</v>
      </c>
      <c r="H123">
        <v>4</v>
      </c>
      <c r="I123">
        <v>1163636</v>
      </c>
      <c r="J123">
        <v>6</v>
      </c>
      <c r="K123">
        <v>19107793.616306961</v>
      </c>
    </row>
    <row r="124" spans="1:11" x14ac:dyDescent="0.25">
      <c r="A124">
        <v>123</v>
      </c>
      <c r="B124" t="s">
        <v>255</v>
      </c>
      <c r="C124" t="s">
        <v>256</v>
      </c>
      <c r="D124">
        <v>56</v>
      </c>
      <c r="E124">
        <v>30172515.84722222</v>
      </c>
      <c r="F124">
        <v>0</v>
      </c>
      <c r="G124">
        <v>0</v>
      </c>
      <c r="H124">
        <v>0</v>
      </c>
      <c r="I124">
        <v>0</v>
      </c>
      <c r="J124">
        <v>56</v>
      </c>
      <c r="K124">
        <v>30172515.84722222</v>
      </c>
    </row>
    <row r="125" spans="1:11" x14ac:dyDescent="0.25">
      <c r="A125">
        <v>124</v>
      </c>
      <c r="B125" t="s">
        <v>257</v>
      </c>
      <c r="C125" t="s">
        <v>258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 x14ac:dyDescent="0.25">
      <c r="A126">
        <v>125</v>
      </c>
      <c r="B126" t="s">
        <v>259</v>
      </c>
      <c r="C126" t="s">
        <v>260</v>
      </c>
      <c r="D126">
        <v>665</v>
      </c>
      <c r="E126">
        <v>363069712.2321918</v>
      </c>
      <c r="F126">
        <v>16</v>
      </c>
      <c r="G126">
        <v>10109088</v>
      </c>
      <c r="H126">
        <v>5</v>
      </c>
      <c r="I126">
        <v>2934546</v>
      </c>
      <c r="J126">
        <v>676</v>
      </c>
      <c r="K126">
        <v>370244254.2321918</v>
      </c>
    </row>
    <row r="127" spans="1:11" x14ac:dyDescent="0.25">
      <c r="A127">
        <v>126</v>
      </c>
      <c r="B127" t="s">
        <v>261</v>
      </c>
      <c r="C127" t="s">
        <v>262</v>
      </c>
      <c r="D127">
        <v>6</v>
      </c>
      <c r="E127">
        <v>2225742.1428571432</v>
      </c>
      <c r="F127">
        <v>0</v>
      </c>
      <c r="G127">
        <v>0</v>
      </c>
      <c r="H127">
        <v>0</v>
      </c>
      <c r="I127">
        <v>0</v>
      </c>
      <c r="J127">
        <v>6</v>
      </c>
      <c r="K127">
        <v>2225742.1428571432</v>
      </c>
    </row>
    <row r="128" spans="1:11" x14ac:dyDescent="0.25">
      <c r="A128">
        <v>127</v>
      </c>
      <c r="B128" t="s">
        <v>263</v>
      </c>
      <c r="C128" t="s">
        <v>264</v>
      </c>
      <c r="D128">
        <v>10</v>
      </c>
      <c r="E128">
        <v>9639901.4090909101</v>
      </c>
      <c r="F128">
        <v>0</v>
      </c>
      <c r="G128">
        <v>0</v>
      </c>
      <c r="H128">
        <v>0</v>
      </c>
      <c r="I128">
        <v>0</v>
      </c>
      <c r="J128">
        <v>10</v>
      </c>
      <c r="K128">
        <v>9639901.4090909101</v>
      </c>
    </row>
    <row r="129" spans="1:11" x14ac:dyDescent="0.25">
      <c r="A129">
        <v>128</v>
      </c>
      <c r="B129" t="s">
        <v>265</v>
      </c>
      <c r="C129" t="s">
        <v>266</v>
      </c>
      <c r="D129">
        <v>16</v>
      </c>
      <c r="E129">
        <v>29299617.75</v>
      </c>
      <c r="F129">
        <v>1</v>
      </c>
      <c r="G129">
        <v>5000000</v>
      </c>
      <c r="H129">
        <v>0</v>
      </c>
      <c r="I129">
        <v>0</v>
      </c>
      <c r="J129">
        <v>17</v>
      </c>
      <c r="K129">
        <v>34299617.75</v>
      </c>
    </row>
    <row r="130" spans="1:11" x14ac:dyDescent="0.25">
      <c r="A130">
        <v>129</v>
      </c>
      <c r="B130" t="s">
        <v>267</v>
      </c>
      <c r="C130" t="s">
        <v>268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1:11" x14ac:dyDescent="0.25">
      <c r="A131">
        <v>130</v>
      </c>
      <c r="B131" t="s">
        <v>269</v>
      </c>
      <c r="C131" t="s">
        <v>270</v>
      </c>
      <c r="D131">
        <v>236</v>
      </c>
      <c r="E131">
        <v>141636701.5194805</v>
      </c>
      <c r="F131">
        <v>0</v>
      </c>
      <c r="G131">
        <v>0</v>
      </c>
      <c r="H131">
        <v>0</v>
      </c>
      <c r="I131">
        <v>0</v>
      </c>
      <c r="J131">
        <v>236</v>
      </c>
      <c r="K131">
        <v>141636701.5194805</v>
      </c>
    </row>
    <row r="132" spans="1:11" x14ac:dyDescent="0.25">
      <c r="A132">
        <v>131</v>
      </c>
      <c r="B132" t="s">
        <v>271</v>
      </c>
      <c r="C132" t="s">
        <v>272</v>
      </c>
      <c r="D132">
        <v>110</v>
      </c>
      <c r="E132">
        <v>13823046.7489301</v>
      </c>
      <c r="F132">
        <v>0</v>
      </c>
      <c r="G132">
        <v>0</v>
      </c>
      <c r="H132">
        <v>0</v>
      </c>
      <c r="I132">
        <v>0</v>
      </c>
      <c r="J132">
        <v>110</v>
      </c>
      <c r="K132">
        <v>13823046.7489301</v>
      </c>
    </row>
    <row r="133" spans="1:11" x14ac:dyDescent="0.25">
      <c r="A133">
        <v>132</v>
      </c>
      <c r="B133" t="s">
        <v>273</v>
      </c>
      <c r="C133" t="s">
        <v>274</v>
      </c>
      <c r="D133">
        <v>422</v>
      </c>
      <c r="E133">
        <v>109764169.7694118</v>
      </c>
      <c r="F133">
        <v>13</v>
      </c>
      <c r="G133">
        <v>4504547</v>
      </c>
      <c r="H133">
        <v>91</v>
      </c>
      <c r="I133">
        <v>10099992</v>
      </c>
      <c r="J133">
        <v>344</v>
      </c>
      <c r="K133">
        <v>104168724.7694118</v>
      </c>
    </row>
    <row r="134" spans="1:11" x14ac:dyDescent="0.25">
      <c r="A134">
        <v>133</v>
      </c>
      <c r="B134" t="s">
        <v>275</v>
      </c>
      <c r="C134" t="s">
        <v>276</v>
      </c>
      <c r="D134">
        <v>143</v>
      </c>
      <c r="E134">
        <v>43556144.084337354</v>
      </c>
      <c r="F134">
        <v>0</v>
      </c>
      <c r="G134">
        <v>0</v>
      </c>
      <c r="H134">
        <v>0</v>
      </c>
      <c r="I134">
        <v>0</v>
      </c>
      <c r="J134">
        <v>143</v>
      </c>
      <c r="K134">
        <v>43556144.084337354</v>
      </c>
    </row>
    <row r="135" spans="1:11" x14ac:dyDescent="0.25">
      <c r="A135">
        <v>134</v>
      </c>
      <c r="B135" t="s">
        <v>277</v>
      </c>
      <c r="C135" t="s">
        <v>278</v>
      </c>
      <c r="D135">
        <v>4</v>
      </c>
      <c r="E135">
        <v>686195.57142857136</v>
      </c>
      <c r="F135">
        <v>0</v>
      </c>
      <c r="G135">
        <v>0</v>
      </c>
      <c r="H135">
        <v>0</v>
      </c>
      <c r="I135">
        <v>0</v>
      </c>
      <c r="J135">
        <v>4</v>
      </c>
      <c r="K135">
        <v>686195.57142857136</v>
      </c>
    </row>
    <row r="136" spans="1:11" x14ac:dyDescent="0.25">
      <c r="A136">
        <v>135</v>
      </c>
      <c r="B136" t="s">
        <v>279</v>
      </c>
      <c r="C136" t="s">
        <v>280</v>
      </c>
      <c r="D136">
        <v>9</v>
      </c>
      <c r="E136">
        <v>1118537.368421053</v>
      </c>
      <c r="F136">
        <v>0</v>
      </c>
      <c r="G136">
        <v>0</v>
      </c>
      <c r="H136">
        <v>0</v>
      </c>
      <c r="I136">
        <v>0</v>
      </c>
      <c r="J136">
        <v>9</v>
      </c>
      <c r="K136">
        <v>1118537.368421053</v>
      </c>
    </row>
    <row r="137" spans="1:11" x14ac:dyDescent="0.25">
      <c r="A137">
        <v>136</v>
      </c>
      <c r="B137" t="s">
        <v>281</v>
      </c>
      <c r="C137" t="s">
        <v>282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 x14ac:dyDescent="0.25">
      <c r="A138">
        <v>137</v>
      </c>
      <c r="B138" t="s">
        <v>283</v>
      </c>
      <c r="C138" t="s">
        <v>284</v>
      </c>
      <c r="D138">
        <v>27</v>
      </c>
      <c r="E138">
        <v>21971385.860465121</v>
      </c>
      <c r="F138">
        <v>0</v>
      </c>
      <c r="G138">
        <v>0</v>
      </c>
      <c r="H138">
        <v>5</v>
      </c>
      <c r="I138">
        <v>3181818</v>
      </c>
      <c r="J138">
        <v>22</v>
      </c>
      <c r="K138">
        <v>18789567.860465121</v>
      </c>
    </row>
    <row r="139" spans="1:11" x14ac:dyDescent="0.25">
      <c r="A139">
        <v>138</v>
      </c>
      <c r="B139" t="s">
        <v>285</v>
      </c>
      <c r="C139" t="s">
        <v>286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</row>
    <row r="140" spans="1:11" x14ac:dyDescent="0.25">
      <c r="A140">
        <v>139</v>
      </c>
      <c r="B140" t="s">
        <v>287</v>
      </c>
      <c r="C140" t="s">
        <v>288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1" x14ac:dyDescent="0.25">
      <c r="A141">
        <v>140</v>
      </c>
      <c r="B141" t="s">
        <v>289</v>
      </c>
      <c r="C141" t="s">
        <v>290</v>
      </c>
      <c r="D141">
        <v>7</v>
      </c>
      <c r="E141">
        <v>16529354.83870968</v>
      </c>
      <c r="F141">
        <v>3</v>
      </c>
      <c r="G141">
        <v>13300000</v>
      </c>
      <c r="H141">
        <v>3</v>
      </c>
      <c r="I141">
        <v>19390000</v>
      </c>
      <c r="J141">
        <v>7</v>
      </c>
      <c r="K141">
        <v>10439354.83870968</v>
      </c>
    </row>
    <row r="142" spans="1:11" x14ac:dyDescent="0.25">
      <c r="A142">
        <v>141</v>
      </c>
      <c r="B142" t="s">
        <v>291</v>
      </c>
      <c r="C142" t="s">
        <v>292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 x14ac:dyDescent="0.25">
      <c r="A143">
        <v>142</v>
      </c>
      <c r="B143" t="s">
        <v>293</v>
      </c>
      <c r="C143" t="s">
        <v>294</v>
      </c>
      <c r="D143">
        <v>98</v>
      </c>
      <c r="E143">
        <v>18626168.115942031</v>
      </c>
      <c r="F143">
        <v>0</v>
      </c>
      <c r="G143">
        <v>0</v>
      </c>
      <c r="H143">
        <v>5</v>
      </c>
      <c r="I143">
        <v>1350000</v>
      </c>
      <c r="J143">
        <v>93</v>
      </c>
      <c r="K143">
        <v>17276168.115942031</v>
      </c>
    </row>
    <row r="144" spans="1:11" x14ac:dyDescent="0.25">
      <c r="A144">
        <v>143</v>
      </c>
      <c r="B144" t="s">
        <v>295</v>
      </c>
      <c r="C144" t="s">
        <v>296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 x14ac:dyDescent="0.25">
      <c r="A145">
        <v>144</v>
      </c>
      <c r="B145" t="s">
        <v>297</v>
      </c>
      <c r="C145" t="s">
        <v>298</v>
      </c>
      <c r="D145">
        <v>16</v>
      </c>
      <c r="E145">
        <v>2555953.1515151509</v>
      </c>
      <c r="F145">
        <v>0</v>
      </c>
      <c r="G145">
        <v>0</v>
      </c>
      <c r="H145">
        <v>0</v>
      </c>
      <c r="I145">
        <v>0</v>
      </c>
      <c r="J145">
        <v>16</v>
      </c>
      <c r="K145">
        <v>2555953.1515151509</v>
      </c>
    </row>
    <row r="146" spans="1:11" x14ac:dyDescent="0.25">
      <c r="A146">
        <v>145</v>
      </c>
      <c r="B146" t="s">
        <v>299</v>
      </c>
      <c r="C146" t="s">
        <v>300</v>
      </c>
      <c r="D146">
        <v>1769.3420000000001</v>
      </c>
      <c r="E146">
        <v>854249266.4799999</v>
      </c>
      <c r="F146">
        <v>151</v>
      </c>
      <c r="G146">
        <v>151525606</v>
      </c>
      <c r="H146">
        <v>43</v>
      </c>
      <c r="I146">
        <v>54209921</v>
      </c>
      <c r="J146">
        <v>1877.3420000000001</v>
      </c>
      <c r="K146">
        <v>951564951.4799999</v>
      </c>
    </row>
    <row r="147" spans="1:11" x14ac:dyDescent="0.25">
      <c r="A147" t="s">
        <v>301</v>
      </c>
      <c r="D147">
        <v>24368.342000000001</v>
      </c>
      <c r="E147">
        <v>24388488508.27779</v>
      </c>
      <c r="F147">
        <v>1177</v>
      </c>
      <c r="G147">
        <v>996003614.63</v>
      </c>
      <c r="H147">
        <v>1648</v>
      </c>
      <c r="I147">
        <v>1325473203</v>
      </c>
      <c r="J147">
        <v>24186.342000000001</v>
      </c>
      <c r="K147">
        <v>24213854851.267792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47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t="s">
        <v>11</v>
      </c>
      <c r="C2" t="s">
        <v>12</v>
      </c>
      <c r="D2">
        <v>2</v>
      </c>
      <c r="E2">
        <v>21508109.772727281</v>
      </c>
      <c r="F2">
        <v>0</v>
      </c>
      <c r="G2">
        <v>0</v>
      </c>
      <c r="H2">
        <v>0</v>
      </c>
      <c r="I2">
        <v>0</v>
      </c>
      <c r="J2">
        <v>2</v>
      </c>
      <c r="K2">
        <v>21508109.772727281</v>
      </c>
    </row>
    <row r="3" spans="1:11" x14ac:dyDescent="0.25">
      <c r="A3">
        <v>2</v>
      </c>
      <c r="B3" t="s">
        <v>13</v>
      </c>
      <c r="C3" t="s">
        <v>14</v>
      </c>
      <c r="D3">
        <v>14</v>
      </c>
      <c r="E3">
        <v>107138809</v>
      </c>
      <c r="F3">
        <v>0</v>
      </c>
      <c r="G3">
        <v>0</v>
      </c>
      <c r="H3">
        <v>1</v>
      </c>
      <c r="I3">
        <v>8863636</v>
      </c>
      <c r="J3">
        <v>13</v>
      </c>
      <c r="K3">
        <v>98275173</v>
      </c>
    </row>
    <row r="4" spans="1:11" x14ac:dyDescent="0.25">
      <c r="A4">
        <v>3</v>
      </c>
      <c r="B4" t="s">
        <v>15</v>
      </c>
      <c r="C4" t="s">
        <v>16</v>
      </c>
      <c r="D4">
        <v>241</v>
      </c>
      <c r="E4">
        <v>2519629793.201292</v>
      </c>
      <c r="F4">
        <v>9</v>
      </c>
      <c r="G4">
        <v>109595385</v>
      </c>
      <c r="H4">
        <v>8</v>
      </c>
      <c r="I4">
        <v>122336364</v>
      </c>
      <c r="J4">
        <v>242</v>
      </c>
      <c r="K4">
        <v>2506888814.201292</v>
      </c>
    </row>
    <row r="5" spans="1:11" x14ac:dyDescent="0.25">
      <c r="A5">
        <v>4</v>
      </c>
      <c r="B5" t="s">
        <v>17</v>
      </c>
      <c r="C5" t="s">
        <v>18</v>
      </c>
      <c r="D5">
        <v>1</v>
      </c>
      <c r="E5">
        <v>29283636</v>
      </c>
      <c r="F5">
        <v>0</v>
      </c>
      <c r="G5">
        <v>0</v>
      </c>
      <c r="H5">
        <v>0</v>
      </c>
      <c r="I5">
        <v>0</v>
      </c>
      <c r="J5">
        <v>1</v>
      </c>
      <c r="K5">
        <v>29283636</v>
      </c>
    </row>
    <row r="6" spans="1:11" x14ac:dyDescent="0.25">
      <c r="A6">
        <v>5</v>
      </c>
      <c r="B6" t="s">
        <v>19</v>
      </c>
      <c r="C6" t="s">
        <v>20</v>
      </c>
      <c r="D6">
        <v>2</v>
      </c>
      <c r="E6">
        <v>42793621.178571403</v>
      </c>
      <c r="F6">
        <v>0</v>
      </c>
      <c r="G6">
        <v>0</v>
      </c>
      <c r="H6">
        <v>0</v>
      </c>
      <c r="I6">
        <v>0</v>
      </c>
      <c r="J6">
        <v>2</v>
      </c>
      <c r="K6">
        <v>42793621.178571403</v>
      </c>
    </row>
    <row r="7" spans="1:11" x14ac:dyDescent="0.25">
      <c r="A7">
        <v>6</v>
      </c>
      <c r="B7" t="s">
        <v>21</v>
      </c>
      <c r="C7" t="s">
        <v>22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5">
      <c r="A8">
        <v>7</v>
      </c>
      <c r="B8" t="s">
        <v>23</v>
      </c>
      <c r="C8" t="s">
        <v>24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5">
      <c r="A9">
        <v>8</v>
      </c>
      <c r="B9" t="s">
        <v>25</v>
      </c>
      <c r="C9" t="s">
        <v>26</v>
      </c>
      <c r="D9">
        <v>14</v>
      </c>
      <c r="E9">
        <v>53164451.450000003</v>
      </c>
      <c r="F9">
        <v>0</v>
      </c>
      <c r="G9">
        <v>0</v>
      </c>
      <c r="H9">
        <v>0</v>
      </c>
      <c r="I9">
        <v>0</v>
      </c>
      <c r="J9">
        <v>14</v>
      </c>
      <c r="K9">
        <v>53164451.450000003</v>
      </c>
    </row>
    <row r="10" spans="1:11" x14ac:dyDescent="0.25">
      <c r="A10">
        <v>9</v>
      </c>
      <c r="B10" t="s">
        <v>27</v>
      </c>
      <c r="C10" t="s">
        <v>28</v>
      </c>
      <c r="D10">
        <v>383</v>
      </c>
      <c r="E10">
        <v>1152820947.5951941</v>
      </c>
      <c r="F10">
        <v>45</v>
      </c>
      <c r="G10">
        <v>239119095</v>
      </c>
      <c r="H10">
        <v>11</v>
      </c>
      <c r="I10">
        <v>145636364</v>
      </c>
      <c r="J10">
        <v>417</v>
      </c>
      <c r="K10">
        <v>1246303678.5951941</v>
      </c>
    </row>
    <row r="11" spans="1:11" x14ac:dyDescent="0.25">
      <c r="A11">
        <v>10</v>
      </c>
      <c r="B11" t="s">
        <v>29</v>
      </c>
      <c r="C11" t="s">
        <v>30</v>
      </c>
      <c r="D11">
        <v>3</v>
      </c>
      <c r="E11">
        <v>18961647.25</v>
      </c>
      <c r="F11">
        <v>0</v>
      </c>
      <c r="G11">
        <v>0</v>
      </c>
      <c r="H11">
        <v>0</v>
      </c>
      <c r="I11">
        <v>0</v>
      </c>
      <c r="J11">
        <v>3</v>
      </c>
      <c r="K11">
        <v>18961647.25</v>
      </c>
    </row>
    <row r="12" spans="1:11" x14ac:dyDescent="0.25">
      <c r="A12">
        <v>11</v>
      </c>
      <c r="B12" t="s">
        <v>31</v>
      </c>
      <c r="C12" t="s">
        <v>32</v>
      </c>
      <c r="D12">
        <v>406</v>
      </c>
      <c r="E12">
        <v>4686943611.2191219</v>
      </c>
      <c r="F12">
        <v>15</v>
      </c>
      <c r="G12">
        <v>195013635</v>
      </c>
      <c r="H12">
        <v>6</v>
      </c>
      <c r="I12">
        <v>69072726</v>
      </c>
      <c r="J12">
        <v>415</v>
      </c>
      <c r="K12">
        <v>4812884520.2191219</v>
      </c>
    </row>
    <row r="13" spans="1:11" x14ac:dyDescent="0.25">
      <c r="A13">
        <v>12</v>
      </c>
      <c r="B13" t="s">
        <v>33</v>
      </c>
      <c r="C13" t="s">
        <v>34</v>
      </c>
      <c r="D13">
        <v>46</v>
      </c>
      <c r="E13">
        <v>804145144.76923084</v>
      </c>
      <c r="F13">
        <v>1</v>
      </c>
      <c r="G13">
        <v>21263636</v>
      </c>
      <c r="H13">
        <v>1</v>
      </c>
      <c r="I13">
        <v>18090909</v>
      </c>
      <c r="J13">
        <v>46</v>
      </c>
      <c r="K13">
        <v>807317871.76923084</v>
      </c>
    </row>
    <row r="14" spans="1:11" x14ac:dyDescent="0.25">
      <c r="A14">
        <v>13</v>
      </c>
      <c r="B14" t="s">
        <v>35</v>
      </c>
      <c r="C14" t="s">
        <v>36</v>
      </c>
      <c r="D14">
        <v>23</v>
      </c>
      <c r="E14">
        <v>423957132.28947371</v>
      </c>
      <c r="F14">
        <v>1</v>
      </c>
      <c r="G14">
        <v>26172727</v>
      </c>
      <c r="H14">
        <v>1</v>
      </c>
      <c r="I14">
        <v>26718182</v>
      </c>
      <c r="J14">
        <v>23</v>
      </c>
      <c r="K14">
        <v>423411677.28947371</v>
      </c>
    </row>
    <row r="15" spans="1:11" x14ac:dyDescent="0.25">
      <c r="A15">
        <v>14</v>
      </c>
      <c r="B15" t="s">
        <v>37</v>
      </c>
      <c r="C15" t="s">
        <v>38</v>
      </c>
      <c r="D15">
        <v>27</v>
      </c>
      <c r="E15">
        <v>335274131.93430662</v>
      </c>
      <c r="F15">
        <v>0</v>
      </c>
      <c r="G15">
        <v>0</v>
      </c>
      <c r="H15">
        <v>0</v>
      </c>
      <c r="I15">
        <v>0</v>
      </c>
      <c r="J15">
        <v>27</v>
      </c>
      <c r="K15">
        <v>335274131.93430662</v>
      </c>
    </row>
    <row r="16" spans="1:11" x14ac:dyDescent="0.25">
      <c r="A16">
        <v>15</v>
      </c>
      <c r="B16" t="s">
        <v>39</v>
      </c>
      <c r="C16" t="s">
        <v>40</v>
      </c>
      <c r="D16">
        <v>5</v>
      </c>
      <c r="E16">
        <v>127466803.1044776</v>
      </c>
      <c r="F16">
        <v>3</v>
      </c>
      <c r="G16">
        <v>49090908</v>
      </c>
      <c r="H16">
        <v>1</v>
      </c>
      <c r="I16">
        <v>16136364</v>
      </c>
      <c r="J16">
        <v>7</v>
      </c>
      <c r="K16">
        <v>160421347.10447761</v>
      </c>
    </row>
    <row r="17" spans="1:11" x14ac:dyDescent="0.25">
      <c r="A17">
        <v>16</v>
      </c>
      <c r="B17" t="s">
        <v>41</v>
      </c>
      <c r="C17" t="s">
        <v>42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>
        <v>17</v>
      </c>
      <c r="B18" t="s">
        <v>43</v>
      </c>
      <c r="C18" t="s">
        <v>44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>
        <v>18</v>
      </c>
      <c r="B19" t="s">
        <v>45</v>
      </c>
      <c r="C19" t="s">
        <v>46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25">
      <c r="A20">
        <v>19</v>
      </c>
      <c r="B20" t="s">
        <v>47</v>
      </c>
      <c r="C20" t="s">
        <v>48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5">
      <c r="A21">
        <v>20</v>
      </c>
      <c r="B21" t="s">
        <v>49</v>
      </c>
      <c r="C21" t="s">
        <v>50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25">
      <c r="A22">
        <v>21</v>
      </c>
      <c r="B22" t="s">
        <v>51</v>
      </c>
      <c r="C22" t="s">
        <v>52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25">
      <c r="A23">
        <v>22</v>
      </c>
      <c r="B23" t="s">
        <v>53</v>
      </c>
      <c r="C23" t="s">
        <v>54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25">
      <c r="A24">
        <v>23</v>
      </c>
      <c r="B24" t="s">
        <v>55</v>
      </c>
      <c r="C24" t="s">
        <v>56</v>
      </c>
      <c r="D24">
        <v>0</v>
      </c>
      <c r="E24">
        <v>0</v>
      </c>
      <c r="F24">
        <v>0</v>
      </c>
      <c r="G24">
        <v>0</v>
      </c>
      <c r="H24">
        <v>17</v>
      </c>
      <c r="I24">
        <v>150927273</v>
      </c>
      <c r="J24">
        <v>0</v>
      </c>
      <c r="K24">
        <v>0</v>
      </c>
    </row>
    <row r="25" spans="1:11" x14ac:dyDescent="0.25">
      <c r="A25">
        <v>24</v>
      </c>
      <c r="B25" t="s">
        <v>57</v>
      </c>
      <c r="C25" t="s">
        <v>58</v>
      </c>
      <c r="D25">
        <v>273</v>
      </c>
      <c r="E25">
        <v>2235352493.361217</v>
      </c>
      <c r="F25">
        <v>1</v>
      </c>
      <c r="G25">
        <v>12590909</v>
      </c>
      <c r="H25">
        <v>61</v>
      </c>
      <c r="I25">
        <v>487438185</v>
      </c>
      <c r="J25">
        <v>213</v>
      </c>
      <c r="K25">
        <v>1760505217.361217</v>
      </c>
    </row>
    <row r="26" spans="1:11" x14ac:dyDescent="0.25">
      <c r="A26">
        <v>25</v>
      </c>
      <c r="B26" t="s">
        <v>59</v>
      </c>
      <c r="C26" t="s">
        <v>60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25">
      <c r="A27">
        <v>26</v>
      </c>
      <c r="B27" t="s">
        <v>61</v>
      </c>
      <c r="C27" t="s">
        <v>62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5">
      <c r="A28">
        <v>27</v>
      </c>
      <c r="B28" t="s">
        <v>63</v>
      </c>
      <c r="C28" t="s">
        <v>64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25">
      <c r="A29">
        <v>28</v>
      </c>
      <c r="B29" t="s">
        <v>65</v>
      </c>
      <c r="C29" t="s">
        <v>66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x14ac:dyDescent="0.25">
      <c r="A30">
        <v>29</v>
      </c>
      <c r="B30" t="s">
        <v>67</v>
      </c>
      <c r="C30" t="s">
        <v>68</v>
      </c>
      <c r="D30">
        <v>6</v>
      </c>
      <c r="E30">
        <v>67213777.307692319</v>
      </c>
      <c r="F30">
        <v>0</v>
      </c>
      <c r="G30">
        <v>0</v>
      </c>
      <c r="H30">
        <v>1</v>
      </c>
      <c r="I30">
        <v>10000000</v>
      </c>
      <c r="J30">
        <v>5</v>
      </c>
      <c r="K30">
        <v>57213777.307692319</v>
      </c>
    </row>
    <row r="31" spans="1:11" x14ac:dyDescent="0.25">
      <c r="A31">
        <v>30</v>
      </c>
      <c r="B31" t="s">
        <v>69</v>
      </c>
      <c r="C31" t="s">
        <v>70</v>
      </c>
      <c r="D31">
        <v>0</v>
      </c>
      <c r="E31">
        <v>0</v>
      </c>
      <c r="F31">
        <v>0</v>
      </c>
      <c r="G31">
        <v>0</v>
      </c>
      <c r="H31">
        <v>1</v>
      </c>
      <c r="I31">
        <v>5454545</v>
      </c>
      <c r="J31">
        <v>0</v>
      </c>
      <c r="K31">
        <v>0</v>
      </c>
    </row>
    <row r="32" spans="1:11" x14ac:dyDescent="0.25">
      <c r="A32">
        <v>31</v>
      </c>
      <c r="B32" t="s">
        <v>71</v>
      </c>
      <c r="C32" t="s">
        <v>72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25">
      <c r="A33">
        <v>32</v>
      </c>
      <c r="B33" t="s">
        <v>73</v>
      </c>
      <c r="C33" t="s">
        <v>74</v>
      </c>
      <c r="D33">
        <v>4</v>
      </c>
      <c r="E33">
        <v>23704712.5</v>
      </c>
      <c r="F33">
        <v>0</v>
      </c>
      <c r="G33">
        <v>0</v>
      </c>
      <c r="H33">
        <v>0</v>
      </c>
      <c r="I33">
        <v>0</v>
      </c>
      <c r="J33">
        <v>4</v>
      </c>
      <c r="K33">
        <v>23704712.5</v>
      </c>
    </row>
    <row r="34" spans="1:11" x14ac:dyDescent="0.25">
      <c r="A34">
        <v>33</v>
      </c>
      <c r="B34" t="s">
        <v>75</v>
      </c>
      <c r="C34" t="s">
        <v>76</v>
      </c>
      <c r="D34">
        <v>51</v>
      </c>
      <c r="E34">
        <v>99004358.183266938</v>
      </c>
      <c r="F34">
        <v>2</v>
      </c>
      <c r="G34">
        <v>3818182</v>
      </c>
      <c r="H34">
        <v>3</v>
      </c>
      <c r="I34">
        <v>5763636</v>
      </c>
      <c r="J34">
        <v>50</v>
      </c>
      <c r="K34">
        <v>97058904.183266938</v>
      </c>
    </row>
    <row r="35" spans="1:11" x14ac:dyDescent="0.25">
      <c r="A35">
        <v>34</v>
      </c>
      <c r="B35" t="s">
        <v>77</v>
      </c>
      <c r="C35" t="s">
        <v>78</v>
      </c>
      <c r="D35">
        <v>642</v>
      </c>
      <c r="E35">
        <v>1303149135.553802</v>
      </c>
      <c r="F35">
        <v>42</v>
      </c>
      <c r="G35">
        <v>89486364</v>
      </c>
      <c r="H35">
        <v>97</v>
      </c>
      <c r="I35">
        <v>175300002</v>
      </c>
      <c r="J35">
        <v>587</v>
      </c>
      <c r="K35">
        <v>1217335497.553802</v>
      </c>
    </row>
    <row r="36" spans="1:11" x14ac:dyDescent="0.25">
      <c r="A36">
        <v>35</v>
      </c>
      <c r="B36" t="s">
        <v>79</v>
      </c>
      <c r="C36" t="s">
        <v>80</v>
      </c>
      <c r="D36">
        <v>19</v>
      </c>
      <c r="E36">
        <v>49253525.021276593</v>
      </c>
      <c r="F36">
        <v>0</v>
      </c>
      <c r="G36">
        <v>0</v>
      </c>
      <c r="H36">
        <v>0</v>
      </c>
      <c r="I36">
        <v>0</v>
      </c>
      <c r="J36">
        <v>19</v>
      </c>
      <c r="K36">
        <v>49253525.021276593</v>
      </c>
    </row>
    <row r="37" spans="1:11" x14ac:dyDescent="0.25">
      <c r="A37">
        <v>36</v>
      </c>
      <c r="B37" t="s">
        <v>81</v>
      </c>
      <c r="C37" t="s">
        <v>82</v>
      </c>
      <c r="D37">
        <v>27</v>
      </c>
      <c r="E37">
        <v>150110381.1964286</v>
      </c>
      <c r="F37">
        <v>1</v>
      </c>
      <c r="G37">
        <v>10000000</v>
      </c>
      <c r="H37">
        <v>2</v>
      </c>
      <c r="I37">
        <v>13181818</v>
      </c>
      <c r="J37">
        <v>26</v>
      </c>
      <c r="K37">
        <v>146928563.1964286</v>
      </c>
    </row>
    <row r="38" spans="1:11" x14ac:dyDescent="0.25">
      <c r="A38">
        <v>37</v>
      </c>
      <c r="B38" t="s">
        <v>83</v>
      </c>
      <c r="C38" t="s">
        <v>84</v>
      </c>
      <c r="D38">
        <v>2</v>
      </c>
      <c r="E38">
        <v>16427273</v>
      </c>
      <c r="F38">
        <v>0</v>
      </c>
      <c r="G38">
        <v>0</v>
      </c>
      <c r="H38">
        <v>0</v>
      </c>
      <c r="I38">
        <v>0</v>
      </c>
      <c r="J38">
        <v>2</v>
      </c>
      <c r="K38">
        <v>16427273</v>
      </c>
    </row>
    <row r="39" spans="1:11" x14ac:dyDescent="0.25">
      <c r="A39">
        <v>38</v>
      </c>
      <c r="B39" t="s">
        <v>85</v>
      </c>
      <c r="C39" t="s">
        <v>86</v>
      </c>
      <c r="D39">
        <v>149</v>
      </c>
      <c r="E39">
        <v>402584051.38106239</v>
      </c>
      <c r="F39">
        <v>0</v>
      </c>
      <c r="G39">
        <v>0</v>
      </c>
      <c r="H39">
        <v>21</v>
      </c>
      <c r="I39">
        <v>44263637</v>
      </c>
      <c r="J39">
        <v>128</v>
      </c>
      <c r="K39">
        <v>358320414.38106239</v>
      </c>
    </row>
    <row r="40" spans="1:11" x14ac:dyDescent="0.25">
      <c r="A40">
        <v>39</v>
      </c>
      <c r="B40" t="s">
        <v>87</v>
      </c>
      <c r="C40" t="s">
        <v>88</v>
      </c>
      <c r="D40">
        <v>11</v>
      </c>
      <c r="E40">
        <v>57943433.777777784</v>
      </c>
      <c r="F40">
        <v>0</v>
      </c>
      <c r="G40">
        <v>0</v>
      </c>
      <c r="H40">
        <v>0</v>
      </c>
      <c r="I40">
        <v>0</v>
      </c>
      <c r="J40">
        <v>11</v>
      </c>
      <c r="K40">
        <v>57943433.777777784</v>
      </c>
    </row>
    <row r="41" spans="1:11" x14ac:dyDescent="0.25">
      <c r="A41">
        <v>40</v>
      </c>
      <c r="B41" t="s">
        <v>89</v>
      </c>
      <c r="C41" t="s">
        <v>90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25">
      <c r="A42">
        <v>41</v>
      </c>
      <c r="B42" t="s">
        <v>91</v>
      </c>
      <c r="C42" t="s">
        <v>92</v>
      </c>
      <c r="D42">
        <v>1678</v>
      </c>
      <c r="E42">
        <v>0</v>
      </c>
      <c r="F42">
        <v>53</v>
      </c>
      <c r="G42">
        <v>34680092</v>
      </c>
      <c r="H42">
        <v>69</v>
      </c>
      <c r="I42">
        <v>21818184</v>
      </c>
      <c r="J42">
        <v>1662</v>
      </c>
      <c r="K42">
        <v>12861908</v>
      </c>
    </row>
    <row r="43" spans="1:11" x14ac:dyDescent="0.25">
      <c r="A43">
        <v>42</v>
      </c>
      <c r="B43" t="s">
        <v>93</v>
      </c>
      <c r="C43" t="s">
        <v>94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25">
      <c r="A44">
        <v>43</v>
      </c>
      <c r="B44" t="s">
        <v>95</v>
      </c>
      <c r="C44" t="s">
        <v>96</v>
      </c>
      <c r="D44">
        <v>474</v>
      </c>
      <c r="E44">
        <v>1344074990.4247439</v>
      </c>
      <c r="F44">
        <v>1</v>
      </c>
      <c r="G44">
        <v>2545455</v>
      </c>
      <c r="H44">
        <v>8</v>
      </c>
      <c r="I44">
        <v>24349093</v>
      </c>
      <c r="J44">
        <v>467</v>
      </c>
      <c r="K44">
        <v>1322271352.4247439</v>
      </c>
    </row>
    <row r="45" spans="1:11" x14ac:dyDescent="0.25">
      <c r="A45">
        <v>44</v>
      </c>
      <c r="B45" t="s">
        <v>97</v>
      </c>
      <c r="C45" t="s">
        <v>98</v>
      </c>
      <c r="D45">
        <v>102</v>
      </c>
      <c r="E45">
        <v>437452438.97297299</v>
      </c>
      <c r="F45">
        <v>2</v>
      </c>
      <c r="G45">
        <v>5777273</v>
      </c>
      <c r="H45">
        <v>2</v>
      </c>
      <c r="I45">
        <v>11609091</v>
      </c>
      <c r="J45">
        <v>102</v>
      </c>
      <c r="K45">
        <v>431620620.97297299</v>
      </c>
    </row>
    <row r="46" spans="1:11" x14ac:dyDescent="0.25">
      <c r="A46">
        <v>45</v>
      </c>
      <c r="B46" t="s">
        <v>99</v>
      </c>
      <c r="C46" t="s">
        <v>100</v>
      </c>
      <c r="D46">
        <v>235</v>
      </c>
      <c r="E46">
        <v>88580130.632571429</v>
      </c>
      <c r="F46">
        <v>0</v>
      </c>
      <c r="G46">
        <v>0</v>
      </c>
      <c r="H46">
        <v>0</v>
      </c>
      <c r="I46">
        <v>0</v>
      </c>
      <c r="J46">
        <v>235</v>
      </c>
      <c r="K46">
        <v>88580130.632571429</v>
      </c>
    </row>
    <row r="47" spans="1:11" x14ac:dyDescent="0.25">
      <c r="A47">
        <v>46</v>
      </c>
      <c r="B47" t="s">
        <v>101</v>
      </c>
      <c r="C47" t="s">
        <v>102</v>
      </c>
      <c r="D47">
        <v>116</v>
      </c>
      <c r="E47">
        <v>234690601.36567381</v>
      </c>
      <c r="F47">
        <v>3</v>
      </c>
      <c r="G47">
        <v>13263636</v>
      </c>
      <c r="H47">
        <v>5</v>
      </c>
      <c r="I47">
        <v>20754546</v>
      </c>
      <c r="J47">
        <v>114</v>
      </c>
      <c r="K47">
        <v>227199691.36567381</v>
      </c>
    </row>
    <row r="48" spans="1:11" x14ac:dyDescent="0.25">
      <c r="A48">
        <v>47</v>
      </c>
      <c r="B48" t="s">
        <v>103</v>
      </c>
      <c r="C48" t="s">
        <v>104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 x14ac:dyDescent="0.25">
      <c r="A49">
        <v>48</v>
      </c>
      <c r="B49" t="s">
        <v>105</v>
      </c>
      <c r="C49" t="s">
        <v>106</v>
      </c>
      <c r="D49">
        <v>39</v>
      </c>
      <c r="E49">
        <v>275585030.01224142</v>
      </c>
      <c r="F49">
        <v>4</v>
      </c>
      <c r="G49">
        <v>26245454.899999999</v>
      </c>
      <c r="H49">
        <v>5</v>
      </c>
      <c r="I49">
        <v>32009091</v>
      </c>
      <c r="J49">
        <v>38</v>
      </c>
      <c r="K49">
        <v>269821393.9122414</v>
      </c>
    </row>
    <row r="50" spans="1:11" x14ac:dyDescent="0.25">
      <c r="A50">
        <v>49</v>
      </c>
      <c r="B50" t="s">
        <v>107</v>
      </c>
      <c r="C50" t="s">
        <v>108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25">
      <c r="A51">
        <v>50</v>
      </c>
      <c r="B51" t="s">
        <v>109</v>
      </c>
      <c r="C51" t="s">
        <v>110</v>
      </c>
      <c r="D51">
        <v>5</v>
      </c>
      <c r="E51">
        <v>254228.19999999931</v>
      </c>
      <c r="F51">
        <v>0</v>
      </c>
      <c r="G51">
        <v>0</v>
      </c>
      <c r="H51">
        <v>0</v>
      </c>
      <c r="I51">
        <v>0</v>
      </c>
      <c r="J51">
        <v>5</v>
      </c>
      <c r="K51">
        <v>254228.19999999931</v>
      </c>
    </row>
    <row r="52" spans="1:11" x14ac:dyDescent="0.25">
      <c r="A52">
        <v>51</v>
      </c>
      <c r="B52" t="s">
        <v>111</v>
      </c>
      <c r="C52" t="s">
        <v>112</v>
      </c>
      <c r="D52">
        <v>1</v>
      </c>
      <c r="E52">
        <v>14308262.06693876</v>
      </c>
      <c r="F52">
        <v>1</v>
      </c>
      <c r="G52">
        <v>2129630</v>
      </c>
      <c r="H52">
        <v>0</v>
      </c>
      <c r="I52">
        <v>0</v>
      </c>
      <c r="J52">
        <v>2</v>
      </c>
      <c r="K52">
        <v>16437892.06693876</v>
      </c>
    </row>
    <row r="53" spans="1:11" x14ac:dyDescent="0.25">
      <c r="A53">
        <v>52</v>
      </c>
      <c r="B53" t="s">
        <v>113</v>
      </c>
      <c r="C53" t="s">
        <v>114</v>
      </c>
      <c r="D53">
        <v>3</v>
      </c>
      <c r="E53">
        <v>5580000</v>
      </c>
      <c r="F53">
        <v>0</v>
      </c>
      <c r="G53">
        <v>0</v>
      </c>
      <c r="H53">
        <v>0</v>
      </c>
      <c r="I53">
        <v>0</v>
      </c>
      <c r="J53">
        <v>3</v>
      </c>
      <c r="K53">
        <v>5580000</v>
      </c>
    </row>
    <row r="54" spans="1:11" x14ac:dyDescent="0.25">
      <c r="A54">
        <v>53</v>
      </c>
      <c r="B54" t="s">
        <v>115</v>
      </c>
      <c r="C54" t="s">
        <v>116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 x14ac:dyDescent="0.25">
      <c r="A55">
        <v>54</v>
      </c>
      <c r="B55" t="s">
        <v>117</v>
      </c>
      <c r="C55" t="s">
        <v>118</v>
      </c>
      <c r="D55">
        <v>91</v>
      </c>
      <c r="E55">
        <v>104130624.172702</v>
      </c>
      <c r="F55">
        <v>2</v>
      </c>
      <c r="G55">
        <v>13320000</v>
      </c>
      <c r="H55">
        <v>1</v>
      </c>
      <c r="I55">
        <v>14536364</v>
      </c>
      <c r="J55">
        <v>92</v>
      </c>
      <c r="K55">
        <v>102914260.172702</v>
      </c>
    </row>
    <row r="56" spans="1:11" x14ac:dyDescent="0.25">
      <c r="A56">
        <v>55</v>
      </c>
      <c r="B56" t="s">
        <v>119</v>
      </c>
      <c r="C56" t="s">
        <v>120</v>
      </c>
      <c r="D56">
        <v>36</v>
      </c>
      <c r="E56">
        <v>6435566.4915254228</v>
      </c>
      <c r="F56">
        <v>4</v>
      </c>
      <c r="G56">
        <v>2770370</v>
      </c>
      <c r="H56">
        <v>1</v>
      </c>
      <c r="I56">
        <v>1009259</v>
      </c>
      <c r="J56">
        <v>39</v>
      </c>
      <c r="K56">
        <v>8196677.4915254228</v>
      </c>
    </row>
    <row r="57" spans="1:11" x14ac:dyDescent="0.25">
      <c r="A57">
        <v>56</v>
      </c>
      <c r="B57" t="s">
        <v>121</v>
      </c>
      <c r="C57" t="s">
        <v>122</v>
      </c>
      <c r="D57">
        <v>6</v>
      </c>
      <c r="E57">
        <v>17101480.180769231</v>
      </c>
      <c r="F57">
        <v>1</v>
      </c>
      <c r="G57">
        <v>3500000</v>
      </c>
      <c r="H57">
        <v>1</v>
      </c>
      <c r="I57">
        <v>3900000</v>
      </c>
      <c r="J57">
        <v>6</v>
      </c>
      <c r="K57">
        <v>16701480.180769229</v>
      </c>
    </row>
    <row r="58" spans="1:11" x14ac:dyDescent="0.25">
      <c r="A58">
        <v>57</v>
      </c>
      <c r="B58" t="s">
        <v>123</v>
      </c>
      <c r="C58" t="s">
        <v>124</v>
      </c>
      <c r="D58">
        <v>2</v>
      </c>
      <c r="E58">
        <v>1829966.11</v>
      </c>
      <c r="F58">
        <v>0</v>
      </c>
      <c r="G58">
        <v>0</v>
      </c>
      <c r="H58">
        <v>0</v>
      </c>
      <c r="I58">
        <v>0</v>
      </c>
      <c r="J58">
        <v>2</v>
      </c>
      <c r="K58">
        <v>1829966.11</v>
      </c>
    </row>
    <row r="59" spans="1:11" x14ac:dyDescent="0.25">
      <c r="A59">
        <v>58</v>
      </c>
      <c r="B59" t="s">
        <v>125</v>
      </c>
      <c r="C59" t="s">
        <v>126</v>
      </c>
      <c r="D59">
        <v>1396</v>
      </c>
      <c r="E59">
        <v>153330781.36559761</v>
      </c>
      <c r="F59">
        <v>37</v>
      </c>
      <c r="G59">
        <v>4622740</v>
      </c>
      <c r="H59">
        <v>39</v>
      </c>
      <c r="I59">
        <v>8936368</v>
      </c>
      <c r="J59">
        <v>1394</v>
      </c>
      <c r="K59">
        <v>149017153.36559761</v>
      </c>
    </row>
    <row r="60" spans="1:11" x14ac:dyDescent="0.25">
      <c r="A60">
        <v>59</v>
      </c>
      <c r="B60" t="s">
        <v>127</v>
      </c>
      <c r="C60" t="s">
        <v>128</v>
      </c>
      <c r="D60">
        <v>149</v>
      </c>
      <c r="E60">
        <v>790910</v>
      </c>
      <c r="F60">
        <v>13</v>
      </c>
      <c r="G60">
        <v>927261</v>
      </c>
      <c r="H60">
        <v>4</v>
      </c>
      <c r="I60">
        <v>327273</v>
      </c>
      <c r="J60">
        <v>158</v>
      </c>
      <c r="K60">
        <v>1390898</v>
      </c>
    </row>
    <row r="61" spans="1:11" x14ac:dyDescent="0.25">
      <c r="A61">
        <v>60</v>
      </c>
      <c r="B61" t="s">
        <v>129</v>
      </c>
      <c r="C61" t="s">
        <v>130</v>
      </c>
      <c r="D61">
        <v>39</v>
      </c>
      <c r="E61">
        <v>3070722</v>
      </c>
      <c r="F61">
        <v>5</v>
      </c>
      <c r="G61">
        <v>1136365</v>
      </c>
      <c r="H61">
        <v>0</v>
      </c>
      <c r="I61">
        <v>0</v>
      </c>
      <c r="J61">
        <v>44</v>
      </c>
      <c r="K61">
        <v>4207087</v>
      </c>
    </row>
    <row r="62" spans="1:11" x14ac:dyDescent="0.25">
      <c r="A62">
        <v>61</v>
      </c>
      <c r="B62" t="s">
        <v>131</v>
      </c>
      <c r="C62" t="s">
        <v>132</v>
      </c>
      <c r="D62">
        <v>1201</v>
      </c>
      <c r="E62">
        <v>134306942.8789579</v>
      </c>
      <c r="F62">
        <v>110</v>
      </c>
      <c r="G62">
        <v>3815275</v>
      </c>
      <c r="H62">
        <v>36</v>
      </c>
      <c r="I62">
        <v>6336362</v>
      </c>
      <c r="J62">
        <v>1275</v>
      </c>
      <c r="K62">
        <v>131785855.8789579</v>
      </c>
    </row>
    <row r="63" spans="1:11" x14ac:dyDescent="0.25">
      <c r="A63">
        <v>62</v>
      </c>
      <c r="B63" t="s">
        <v>133</v>
      </c>
      <c r="C63" t="s">
        <v>134</v>
      </c>
      <c r="D63">
        <v>978</v>
      </c>
      <c r="E63">
        <v>175797901.71158049</v>
      </c>
      <c r="F63">
        <v>0</v>
      </c>
      <c r="G63">
        <v>0</v>
      </c>
      <c r="H63">
        <v>6</v>
      </c>
      <c r="I63">
        <v>1145454</v>
      </c>
      <c r="J63">
        <v>972</v>
      </c>
      <c r="K63">
        <v>174652447.71158049</v>
      </c>
    </row>
    <row r="64" spans="1:11" x14ac:dyDescent="0.25">
      <c r="A64">
        <v>63</v>
      </c>
      <c r="B64" t="s">
        <v>135</v>
      </c>
      <c r="C64" t="s">
        <v>136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 x14ac:dyDescent="0.25">
      <c r="A65">
        <v>64</v>
      </c>
      <c r="B65" t="s">
        <v>137</v>
      </c>
      <c r="C65" t="s">
        <v>138</v>
      </c>
      <c r="D65">
        <v>20</v>
      </c>
      <c r="E65">
        <v>6259862.4511235952</v>
      </c>
      <c r="F65">
        <v>1</v>
      </c>
      <c r="G65">
        <v>409090</v>
      </c>
      <c r="H65">
        <v>0</v>
      </c>
      <c r="I65">
        <v>0</v>
      </c>
      <c r="J65">
        <v>21</v>
      </c>
      <c r="K65">
        <v>6668952.4511235952</v>
      </c>
    </row>
    <row r="66" spans="1:11" x14ac:dyDescent="0.25">
      <c r="A66">
        <v>65</v>
      </c>
      <c r="B66" t="s">
        <v>139</v>
      </c>
      <c r="C66" t="s">
        <v>140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 x14ac:dyDescent="0.25">
      <c r="A67">
        <v>66</v>
      </c>
      <c r="B67" t="s">
        <v>141</v>
      </c>
      <c r="C67" t="s">
        <v>142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 x14ac:dyDescent="0.25">
      <c r="A68">
        <v>67</v>
      </c>
      <c r="B68" t="s">
        <v>143</v>
      </c>
      <c r="C68" t="s">
        <v>144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 x14ac:dyDescent="0.25">
      <c r="A69">
        <v>68</v>
      </c>
      <c r="B69" t="s">
        <v>145</v>
      </c>
      <c r="C69" t="s">
        <v>146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 x14ac:dyDescent="0.25">
      <c r="A70">
        <v>69</v>
      </c>
      <c r="B70" t="s">
        <v>147</v>
      </c>
      <c r="C70" t="s">
        <v>148</v>
      </c>
      <c r="D70">
        <v>275</v>
      </c>
      <c r="E70">
        <v>75917268.665112108</v>
      </c>
      <c r="F70">
        <v>3</v>
      </c>
      <c r="G70">
        <v>340908</v>
      </c>
      <c r="H70">
        <v>3</v>
      </c>
      <c r="I70">
        <v>1545454</v>
      </c>
      <c r="J70">
        <v>275</v>
      </c>
      <c r="K70">
        <v>74712722.665112108</v>
      </c>
    </row>
    <row r="71" spans="1:11" x14ac:dyDescent="0.25">
      <c r="A71">
        <v>70</v>
      </c>
      <c r="B71" t="s">
        <v>149</v>
      </c>
      <c r="C71" t="s">
        <v>150</v>
      </c>
      <c r="D71">
        <v>9</v>
      </c>
      <c r="E71">
        <v>737428.16000000015</v>
      </c>
      <c r="F71">
        <v>0</v>
      </c>
      <c r="G71">
        <v>0</v>
      </c>
      <c r="H71">
        <v>0</v>
      </c>
      <c r="I71">
        <v>0</v>
      </c>
      <c r="J71">
        <v>9</v>
      </c>
      <c r="K71">
        <v>737428.16000000015</v>
      </c>
    </row>
    <row r="72" spans="1:11" x14ac:dyDescent="0.25">
      <c r="A72">
        <v>71</v>
      </c>
      <c r="B72" t="s">
        <v>151</v>
      </c>
      <c r="C72" t="s">
        <v>152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</row>
    <row r="73" spans="1:11" x14ac:dyDescent="0.25">
      <c r="A73">
        <v>72</v>
      </c>
      <c r="B73" t="s">
        <v>153</v>
      </c>
      <c r="C73" t="s">
        <v>154</v>
      </c>
      <c r="D73">
        <v>100</v>
      </c>
      <c r="E73">
        <v>0</v>
      </c>
      <c r="F73">
        <v>0</v>
      </c>
      <c r="G73">
        <v>0</v>
      </c>
      <c r="H73">
        <v>0</v>
      </c>
      <c r="I73">
        <v>0</v>
      </c>
      <c r="J73">
        <v>100</v>
      </c>
      <c r="K73">
        <v>0</v>
      </c>
    </row>
    <row r="74" spans="1:11" x14ac:dyDescent="0.25">
      <c r="A74">
        <v>73</v>
      </c>
      <c r="B74" t="s">
        <v>155</v>
      </c>
      <c r="C74" t="s">
        <v>156</v>
      </c>
      <c r="D74">
        <v>157</v>
      </c>
      <c r="E74">
        <v>352794205.07878792</v>
      </c>
      <c r="F74">
        <v>11</v>
      </c>
      <c r="G74">
        <v>30772727</v>
      </c>
      <c r="H74">
        <v>0</v>
      </c>
      <c r="I74">
        <v>0</v>
      </c>
      <c r="J74">
        <v>168</v>
      </c>
      <c r="K74">
        <v>383566932.07878792</v>
      </c>
    </row>
    <row r="75" spans="1:11" x14ac:dyDescent="0.25">
      <c r="A75">
        <v>74</v>
      </c>
      <c r="B75" t="s">
        <v>157</v>
      </c>
      <c r="C75" t="s">
        <v>158</v>
      </c>
      <c r="D75">
        <v>140</v>
      </c>
      <c r="E75">
        <v>405587409.75098813</v>
      </c>
      <c r="F75">
        <v>0</v>
      </c>
      <c r="G75">
        <v>0</v>
      </c>
      <c r="H75">
        <v>1</v>
      </c>
      <c r="I75">
        <v>3200000</v>
      </c>
      <c r="J75">
        <v>139</v>
      </c>
      <c r="K75">
        <v>402387409.75098813</v>
      </c>
    </row>
    <row r="76" spans="1:11" x14ac:dyDescent="0.25">
      <c r="A76">
        <v>75</v>
      </c>
      <c r="B76" t="s">
        <v>159</v>
      </c>
      <c r="C76" t="s">
        <v>160</v>
      </c>
      <c r="D76">
        <v>6</v>
      </c>
      <c r="E76">
        <v>30539183.875</v>
      </c>
      <c r="F76">
        <v>3</v>
      </c>
      <c r="G76">
        <v>18136364</v>
      </c>
      <c r="H76">
        <v>0</v>
      </c>
      <c r="I76">
        <v>0</v>
      </c>
      <c r="J76">
        <v>9</v>
      </c>
      <c r="K76">
        <v>48675547.875</v>
      </c>
    </row>
    <row r="77" spans="1:11" x14ac:dyDescent="0.25">
      <c r="A77">
        <v>76</v>
      </c>
      <c r="B77" t="s">
        <v>161</v>
      </c>
      <c r="C77" t="s">
        <v>162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 x14ac:dyDescent="0.25">
      <c r="A78">
        <v>77</v>
      </c>
      <c r="B78" t="s">
        <v>163</v>
      </c>
      <c r="C78" t="s">
        <v>164</v>
      </c>
      <c r="D78">
        <v>209</v>
      </c>
      <c r="E78">
        <v>309414255.59605908</v>
      </c>
      <c r="F78">
        <v>10</v>
      </c>
      <c r="G78">
        <v>14363636</v>
      </c>
      <c r="H78">
        <v>12</v>
      </c>
      <c r="I78">
        <v>15827273</v>
      </c>
      <c r="J78">
        <v>207</v>
      </c>
      <c r="K78">
        <v>307950618.59605908</v>
      </c>
    </row>
    <row r="79" spans="1:11" x14ac:dyDescent="0.25">
      <c r="A79">
        <v>78</v>
      </c>
      <c r="B79" t="s">
        <v>165</v>
      </c>
      <c r="C79" t="s">
        <v>166</v>
      </c>
      <c r="D79">
        <v>20</v>
      </c>
      <c r="E79">
        <v>46649115</v>
      </c>
      <c r="F79">
        <v>0</v>
      </c>
      <c r="G79">
        <v>0</v>
      </c>
      <c r="H79">
        <v>0</v>
      </c>
      <c r="I79">
        <v>0</v>
      </c>
      <c r="J79">
        <v>20</v>
      </c>
      <c r="K79">
        <v>46649115</v>
      </c>
    </row>
    <row r="80" spans="1:11" x14ac:dyDescent="0.25">
      <c r="A80">
        <v>79</v>
      </c>
      <c r="B80" t="s">
        <v>167</v>
      </c>
      <c r="C80" t="s">
        <v>168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 x14ac:dyDescent="0.25">
      <c r="A81">
        <v>80</v>
      </c>
      <c r="B81" t="s">
        <v>169</v>
      </c>
      <c r="C81" t="s">
        <v>170</v>
      </c>
      <c r="D81">
        <v>685</v>
      </c>
      <c r="E81">
        <v>206123994.62329009</v>
      </c>
      <c r="F81">
        <v>0</v>
      </c>
      <c r="G81">
        <v>0</v>
      </c>
      <c r="H81">
        <v>6</v>
      </c>
      <c r="I81">
        <v>2072726</v>
      </c>
      <c r="J81">
        <v>679</v>
      </c>
      <c r="K81">
        <v>204051268.62329009</v>
      </c>
    </row>
    <row r="82" spans="1:11" x14ac:dyDescent="0.25">
      <c r="A82">
        <v>81</v>
      </c>
      <c r="B82" t="s">
        <v>171</v>
      </c>
      <c r="C82" t="s">
        <v>172</v>
      </c>
      <c r="D82">
        <v>205</v>
      </c>
      <c r="E82">
        <v>188425767.11730209</v>
      </c>
      <c r="F82">
        <v>0</v>
      </c>
      <c r="G82">
        <v>0</v>
      </c>
      <c r="H82">
        <v>6</v>
      </c>
      <c r="I82">
        <v>4145455</v>
      </c>
      <c r="J82">
        <v>199</v>
      </c>
      <c r="K82">
        <v>184280312.11730209</v>
      </c>
    </row>
    <row r="83" spans="1:11" x14ac:dyDescent="0.25">
      <c r="A83">
        <v>82</v>
      </c>
      <c r="B83" t="s">
        <v>173</v>
      </c>
      <c r="C83" t="s">
        <v>174</v>
      </c>
      <c r="D83">
        <v>100</v>
      </c>
      <c r="E83">
        <v>96754470.202380955</v>
      </c>
      <c r="F83">
        <v>0</v>
      </c>
      <c r="G83">
        <v>0</v>
      </c>
      <c r="H83">
        <v>1</v>
      </c>
      <c r="I83">
        <v>727273</v>
      </c>
      <c r="J83">
        <v>99</v>
      </c>
      <c r="K83">
        <v>96027197.202380955</v>
      </c>
    </row>
    <row r="84" spans="1:11" x14ac:dyDescent="0.25">
      <c r="A84">
        <v>83</v>
      </c>
      <c r="B84" t="s">
        <v>175</v>
      </c>
      <c r="C84" t="s">
        <v>176</v>
      </c>
      <c r="D84">
        <v>11</v>
      </c>
      <c r="E84">
        <v>18878450.199999999</v>
      </c>
      <c r="F84">
        <v>0</v>
      </c>
      <c r="G84">
        <v>0</v>
      </c>
      <c r="H84">
        <v>4</v>
      </c>
      <c r="I84">
        <v>12090910</v>
      </c>
      <c r="J84">
        <v>7</v>
      </c>
      <c r="K84">
        <v>6787540.200000003</v>
      </c>
    </row>
    <row r="85" spans="1:11" x14ac:dyDescent="0.25">
      <c r="A85">
        <v>84</v>
      </c>
      <c r="B85" t="s">
        <v>177</v>
      </c>
      <c r="C85" t="s">
        <v>178</v>
      </c>
      <c r="D85">
        <v>22</v>
      </c>
      <c r="E85">
        <v>114665000.483871</v>
      </c>
      <c r="F85">
        <v>0</v>
      </c>
      <c r="G85">
        <v>0</v>
      </c>
      <c r="H85">
        <v>1</v>
      </c>
      <c r="I85">
        <v>5181818</v>
      </c>
      <c r="J85">
        <v>21</v>
      </c>
      <c r="K85">
        <v>109483182.483871</v>
      </c>
    </row>
    <row r="86" spans="1:11" x14ac:dyDescent="0.25">
      <c r="A86">
        <v>85</v>
      </c>
      <c r="B86" t="s">
        <v>179</v>
      </c>
      <c r="C86" t="s">
        <v>180</v>
      </c>
      <c r="D86">
        <v>22</v>
      </c>
      <c r="E86">
        <v>29190400.16</v>
      </c>
      <c r="F86">
        <v>0</v>
      </c>
      <c r="G86">
        <v>0</v>
      </c>
      <c r="H86">
        <v>0</v>
      </c>
      <c r="I86">
        <v>0</v>
      </c>
      <c r="J86">
        <v>22</v>
      </c>
      <c r="K86">
        <v>29190400.16</v>
      </c>
    </row>
    <row r="87" spans="1:11" x14ac:dyDescent="0.25">
      <c r="A87">
        <v>86</v>
      </c>
      <c r="B87" t="s">
        <v>181</v>
      </c>
      <c r="C87" t="s">
        <v>182</v>
      </c>
      <c r="D87">
        <v>67</v>
      </c>
      <c r="E87">
        <v>69705539.572559372</v>
      </c>
      <c r="F87">
        <v>7</v>
      </c>
      <c r="G87">
        <v>10927273</v>
      </c>
      <c r="H87">
        <v>5</v>
      </c>
      <c r="I87">
        <v>9409091</v>
      </c>
      <c r="J87">
        <v>69</v>
      </c>
      <c r="K87">
        <v>71223721.572559372</v>
      </c>
    </row>
    <row r="88" spans="1:11" x14ac:dyDescent="0.25">
      <c r="A88">
        <v>87</v>
      </c>
      <c r="B88" t="s">
        <v>183</v>
      </c>
      <c r="C88" t="s">
        <v>184</v>
      </c>
      <c r="D88">
        <v>3</v>
      </c>
      <c r="E88">
        <v>2443182.9545454532</v>
      </c>
      <c r="F88">
        <v>0</v>
      </c>
      <c r="G88">
        <v>0</v>
      </c>
      <c r="H88">
        <v>0</v>
      </c>
      <c r="I88">
        <v>0</v>
      </c>
      <c r="J88">
        <v>3</v>
      </c>
      <c r="K88">
        <v>2443182.9545454532</v>
      </c>
    </row>
    <row r="89" spans="1:11" x14ac:dyDescent="0.25">
      <c r="A89">
        <v>88</v>
      </c>
      <c r="B89" t="s">
        <v>185</v>
      </c>
      <c r="C89" t="s">
        <v>186</v>
      </c>
      <c r="D89">
        <v>1326</v>
      </c>
      <c r="E89">
        <v>399457701.74628812</v>
      </c>
      <c r="F89">
        <v>0</v>
      </c>
      <c r="G89">
        <v>0</v>
      </c>
      <c r="H89">
        <v>33</v>
      </c>
      <c r="I89">
        <v>11645457</v>
      </c>
      <c r="J89">
        <v>1293</v>
      </c>
      <c r="K89">
        <v>387812244.74628812</v>
      </c>
    </row>
    <row r="90" spans="1:11" x14ac:dyDescent="0.25">
      <c r="A90">
        <v>89</v>
      </c>
      <c r="B90" t="s">
        <v>187</v>
      </c>
      <c r="C90" t="s">
        <v>188</v>
      </c>
      <c r="D90">
        <v>280</v>
      </c>
      <c r="E90">
        <v>311138210.34957021</v>
      </c>
      <c r="F90">
        <v>0</v>
      </c>
      <c r="G90">
        <v>0</v>
      </c>
      <c r="H90">
        <v>34</v>
      </c>
      <c r="I90">
        <v>17818181</v>
      </c>
      <c r="J90">
        <v>246</v>
      </c>
      <c r="K90">
        <v>293320029.34957021</v>
      </c>
    </row>
    <row r="91" spans="1:11" x14ac:dyDescent="0.25">
      <c r="A91">
        <v>90</v>
      </c>
      <c r="B91" t="s">
        <v>189</v>
      </c>
      <c r="C91" t="s">
        <v>190</v>
      </c>
      <c r="D91">
        <v>111</v>
      </c>
      <c r="E91">
        <v>142107776.9923954</v>
      </c>
      <c r="F91">
        <v>21</v>
      </c>
      <c r="G91">
        <v>25536363</v>
      </c>
      <c r="H91">
        <v>4</v>
      </c>
      <c r="I91">
        <v>4763637</v>
      </c>
      <c r="J91">
        <v>128</v>
      </c>
      <c r="K91">
        <v>162880502.9923954</v>
      </c>
    </row>
    <row r="92" spans="1:11" x14ac:dyDescent="0.25">
      <c r="A92">
        <v>91</v>
      </c>
      <c r="B92" t="s">
        <v>191</v>
      </c>
      <c r="C92" t="s">
        <v>192</v>
      </c>
      <c r="D92">
        <v>76</v>
      </c>
      <c r="E92">
        <v>47615941.128078818</v>
      </c>
      <c r="F92">
        <v>1</v>
      </c>
      <c r="G92">
        <v>0</v>
      </c>
      <c r="H92">
        <v>9</v>
      </c>
      <c r="I92">
        <v>11609091</v>
      </c>
      <c r="J92">
        <v>68</v>
      </c>
      <c r="K92">
        <v>36006850.128078818</v>
      </c>
    </row>
    <row r="93" spans="1:11" x14ac:dyDescent="0.25">
      <c r="A93">
        <v>92</v>
      </c>
      <c r="B93" t="s">
        <v>193</v>
      </c>
      <c r="C93" t="s">
        <v>194</v>
      </c>
      <c r="D93">
        <v>40</v>
      </c>
      <c r="E93">
        <v>72312235.432558149</v>
      </c>
      <c r="F93">
        <v>0</v>
      </c>
      <c r="G93">
        <v>0</v>
      </c>
      <c r="H93">
        <v>4</v>
      </c>
      <c r="I93">
        <v>6336364</v>
      </c>
      <c r="J93">
        <v>36</v>
      </c>
      <c r="K93">
        <v>65975871.432558149</v>
      </c>
    </row>
    <row r="94" spans="1:11" x14ac:dyDescent="0.25">
      <c r="A94">
        <v>93</v>
      </c>
      <c r="B94" t="s">
        <v>195</v>
      </c>
      <c r="C94" t="s">
        <v>196</v>
      </c>
      <c r="D94">
        <v>532</v>
      </c>
      <c r="E94">
        <v>142537962.61556071</v>
      </c>
      <c r="F94">
        <v>1</v>
      </c>
      <c r="G94">
        <v>1363636</v>
      </c>
      <c r="H94">
        <v>2</v>
      </c>
      <c r="I94">
        <v>4263636</v>
      </c>
      <c r="J94">
        <v>531</v>
      </c>
      <c r="K94">
        <v>139637962.61556071</v>
      </c>
    </row>
    <row r="95" spans="1:11" x14ac:dyDescent="0.25">
      <c r="A95">
        <v>94</v>
      </c>
      <c r="B95" t="s">
        <v>197</v>
      </c>
      <c r="C95" t="s">
        <v>198</v>
      </c>
      <c r="D95">
        <v>33</v>
      </c>
      <c r="E95">
        <v>4277274</v>
      </c>
      <c r="F95">
        <v>0</v>
      </c>
      <c r="G95">
        <v>0</v>
      </c>
      <c r="H95">
        <v>1</v>
      </c>
      <c r="I95">
        <v>409091</v>
      </c>
      <c r="J95">
        <v>32</v>
      </c>
      <c r="K95">
        <v>3868183</v>
      </c>
    </row>
    <row r="96" spans="1:11" x14ac:dyDescent="0.25">
      <c r="A96">
        <v>95</v>
      </c>
      <c r="B96" t="s">
        <v>199</v>
      </c>
      <c r="C96" t="s">
        <v>200</v>
      </c>
      <c r="D96">
        <v>73</v>
      </c>
      <c r="E96">
        <v>4409734.0819672123</v>
      </c>
      <c r="F96">
        <v>0</v>
      </c>
      <c r="G96">
        <v>0</v>
      </c>
      <c r="H96">
        <v>5</v>
      </c>
      <c r="I96">
        <v>736364</v>
      </c>
      <c r="J96">
        <v>68</v>
      </c>
      <c r="K96">
        <v>3673370.0819672118</v>
      </c>
    </row>
    <row r="97" spans="1:11" x14ac:dyDescent="0.25">
      <c r="A97">
        <v>96</v>
      </c>
      <c r="B97" t="s">
        <v>201</v>
      </c>
      <c r="C97" t="s">
        <v>202</v>
      </c>
      <c r="D97">
        <v>1829</v>
      </c>
      <c r="E97">
        <v>197497900.4361957</v>
      </c>
      <c r="F97">
        <v>0</v>
      </c>
      <c r="G97">
        <v>0</v>
      </c>
      <c r="H97">
        <v>36</v>
      </c>
      <c r="I97">
        <v>5345444</v>
      </c>
      <c r="J97">
        <v>1793</v>
      </c>
      <c r="K97">
        <v>192152456.4361957</v>
      </c>
    </row>
    <row r="98" spans="1:11" x14ac:dyDescent="0.25">
      <c r="A98">
        <v>97</v>
      </c>
      <c r="B98" t="s">
        <v>203</v>
      </c>
      <c r="C98" t="s">
        <v>204</v>
      </c>
      <c r="D98">
        <v>267</v>
      </c>
      <c r="E98">
        <v>55473455.620727673</v>
      </c>
      <c r="F98">
        <v>100</v>
      </c>
      <c r="G98">
        <v>11818182</v>
      </c>
      <c r="H98">
        <v>3</v>
      </c>
      <c r="I98">
        <v>545454</v>
      </c>
      <c r="J98">
        <v>364</v>
      </c>
      <c r="K98">
        <v>66746183.620727673</v>
      </c>
    </row>
    <row r="99" spans="1:11" x14ac:dyDescent="0.25">
      <c r="A99">
        <v>98</v>
      </c>
      <c r="B99" t="s">
        <v>205</v>
      </c>
      <c r="C99" t="s">
        <v>206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 x14ac:dyDescent="0.25">
      <c r="A100">
        <v>99</v>
      </c>
      <c r="B100" t="s">
        <v>207</v>
      </c>
      <c r="C100" t="s">
        <v>208</v>
      </c>
      <c r="D100">
        <v>10</v>
      </c>
      <c r="E100">
        <v>15908150.758620691</v>
      </c>
      <c r="F100">
        <v>1</v>
      </c>
      <c r="G100">
        <v>31990909</v>
      </c>
      <c r="H100">
        <v>44</v>
      </c>
      <c r="I100">
        <v>47654546</v>
      </c>
      <c r="J100">
        <v>0</v>
      </c>
      <c r="K100">
        <v>244513.75862069431</v>
      </c>
    </row>
    <row r="101" spans="1:11" x14ac:dyDescent="0.25">
      <c r="A101">
        <v>100</v>
      </c>
      <c r="B101" t="s">
        <v>209</v>
      </c>
      <c r="C101" t="s">
        <v>210</v>
      </c>
      <c r="D101">
        <v>5</v>
      </c>
      <c r="E101">
        <v>5229125</v>
      </c>
      <c r="F101">
        <v>0</v>
      </c>
      <c r="G101">
        <v>0</v>
      </c>
      <c r="H101">
        <v>0</v>
      </c>
      <c r="I101">
        <v>0</v>
      </c>
      <c r="J101">
        <v>5</v>
      </c>
      <c r="K101">
        <v>5229125</v>
      </c>
    </row>
    <row r="102" spans="1:11" x14ac:dyDescent="0.25">
      <c r="A102">
        <v>101</v>
      </c>
      <c r="B102" t="s">
        <v>211</v>
      </c>
      <c r="C102" t="s">
        <v>212</v>
      </c>
      <c r="D102">
        <v>223</v>
      </c>
      <c r="E102">
        <v>121781600.6692913</v>
      </c>
      <c r="F102">
        <v>0</v>
      </c>
      <c r="G102">
        <v>0</v>
      </c>
      <c r="H102">
        <v>1</v>
      </c>
      <c r="I102">
        <v>145455</v>
      </c>
      <c r="J102">
        <v>222</v>
      </c>
      <c r="K102">
        <v>121636145.6692913</v>
      </c>
    </row>
    <row r="103" spans="1:11" x14ac:dyDescent="0.25">
      <c r="A103">
        <v>102</v>
      </c>
      <c r="B103" t="s">
        <v>213</v>
      </c>
      <c r="C103" t="s">
        <v>214</v>
      </c>
      <c r="D103">
        <v>2</v>
      </c>
      <c r="E103">
        <v>2309091</v>
      </c>
      <c r="F103">
        <v>0</v>
      </c>
      <c r="G103">
        <v>0</v>
      </c>
      <c r="H103">
        <v>0</v>
      </c>
      <c r="I103">
        <v>0</v>
      </c>
      <c r="J103">
        <v>2</v>
      </c>
      <c r="K103">
        <v>2309091</v>
      </c>
    </row>
    <row r="104" spans="1:11" x14ac:dyDescent="0.25">
      <c r="A104">
        <v>103</v>
      </c>
      <c r="B104" t="s">
        <v>215</v>
      </c>
      <c r="C104" t="s">
        <v>216</v>
      </c>
      <c r="D104">
        <v>1941</v>
      </c>
      <c r="E104">
        <v>235407629.46378449</v>
      </c>
      <c r="F104">
        <v>80</v>
      </c>
      <c r="G104">
        <v>15250001</v>
      </c>
      <c r="H104">
        <v>32</v>
      </c>
      <c r="I104">
        <v>5677272</v>
      </c>
      <c r="J104">
        <v>1989</v>
      </c>
      <c r="K104">
        <v>244980358.46378449</v>
      </c>
    </row>
    <row r="105" spans="1:11" x14ac:dyDescent="0.25">
      <c r="A105">
        <v>104</v>
      </c>
      <c r="B105" t="s">
        <v>217</v>
      </c>
      <c r="C105" t="s">
        <v>218</v>
      </c>
      <c r="D105">
        <v>264</v>
      </c>
      <c r="E105">
        <v>105401711.9929824</v>
      </c>
      <c r="F105">
        <v>5</v>
      </c>
      <c r="G105">
        <v>3281818</v>
      </c>
      <c r="H105">
        <v>5</v>
      </c>
      <c r="I105">
        <v>1681816</v>
      </c>
      <c r="J105">
        <v>264</v>
      </c>
      <c r="K105">
        <v>107001713.9929824</v>
      </c>
    </row>
    <row r="106" spans="1:11" x14ac:dyDescent="0.25">
      <c r="A106">
        <v>105</v>
      </c>
      <c r="B106" t="s">
        <v>219</v>
      </c>
      <c r="C106" t="s">
        <v>220</v>
      </c>
      <c r="D106">
        <v>733</v>
      </c>
      <c r="E106">
        <v>232792569.6902304</v>
      </c>
      <c r="F106">
        <v>0</v>
      </c>
      <c r="G106">
        <v>0</v>
      </c>
      <c r="H106">
        <v>48</v>
      </c>
      <c r="I106">
        <v>8263642</v>
      </c>
      <c r="J106">
        <v>685</v>
      </c>
      <c r="K106">
        <v>224528927.6902304</v>
      </c>
    </row>
    <row r="107" spans="1:11" x14ac:dyDescent="0.25">
      <c r="A107">
        <v>106</v>
      </c>
      <c r="B107" t="s">
        <v>221</v>
      </c>
      <c r="C107" t="s">
        <v>222</v>
      </c>
      <c r="D107">
        <v>0</v>
      </c>
      <c r="E107">
        <v>7512867.3291293681</v>
      </c>
      <c r="F107">
        <v>33</v>
      </c>
      <c r="G107">
        <v>8031817</v>
      </c>
      <c r="H107">
        <v>26</v>
      </c>
      <c r="I107">
        <v>5227274</v>
      </c>
      <c r="J107">
        <v>7</v>
      </c>
      <c r="K107">
        <v>10317410.32912937</v>
      </c>
    </row>
    <row r="108" spans="1:11" x14ac:dyDescent="0.25">
      <c r="A108">
        <v>107</v>
      </c>
      <c r="B108" t="s">
        <v>223</v>
      </c>
      <c r="C108" t="s">
        <v>224</v>
      </c>
      <c r="D108">
        <v>10</v>
      </c>
      <c r="E108">
        <v>5060301.75</v>
      </c>
      <c r="F108">
        <v>0</v>
      </c>
      <c r="G108">
        <v>0</v>
      </c>
      <c r="H108">
        <v>1</v>
      </c>
      <c r="I108">
        <v>498182</v>
      </c>
      <c r="J108">
        <v>9</v>
      </c>
      <c r="K108">
        <v>4562119.75</v>
      </c>
    </row>
    <row r="109" spans="1:11" x14ac:dyDescent="0.25">
      <c r="A109">
        <v>108</v>
      </c>
      <c r="B109" t="s">
        <v>225</v>
      </c>
      <c r="C109" t="s">
        <v>226</v>
      </c>
      <c r="D109">
        <v>334</v>
      </c>
      <c r="E109">
        <v>87439265.850046858</v>
      </c>
      <c r="F109">
        <v>16</v>
      </c>
      <c r="G109">
        <v>4004545</v>
      </c>
      <c r="H109">
        <v>1</v>
      </c>
      <c r="I109">
        <v>272727</v>
      </c>
      <c r="J109">
        <v>349</v>
      </c>
      <c r="K109">
        <v>91171083.850046858</v>
      </c>
    </row>
    <row r="110" spans="1:11" x14ac:dyDescent="0.25">
      <c r="A110">
        <v>109</v>
      </c>
      <c r="B110" t="s">
        <v>227</v>
      </c>
      <c r="C110" t="s">
        <v>228</v>
      </c>
      <c r="D110">
        <v>322</v>
      </c>
      <c r="E110">
        <v>124836574.1661891</v>
      </c>
      <c r="F110">
        <v>44</v>
      </c>
      <c r="G110">
        <v>13200000</v>
      </c>
      <c r="H110">
        <v>3</v>
      </c>
      <c r="I110">
        <v>936364</v>
      </c>
      <c r="J110">
        <v>363</v>
      </c>
      <c r="K110">
        <v>137100210.1661891</v>
      </c>
    </row>
    <row r="111" spans="1:11" x14ac:dyDescent="0.25">
      <c r="A111">
        <v>110</v>
      </c>
      <c r="B111" t="s">
        <v>229</v>
      </c>
      <c r="C111" t="s">
        <v>230</v>
      </c>
      <c r="D111">
        <v>48</v>
      </c>
      <c r="E111">
        <v>3587584.8936170209</v>
      </c>
      <c r="F111">
        <v>0</v>
      </c>
      <c r="G111">
        <v>0</v>
      </c>
      <c r="H111">
        <v>0</v>
      </c>
      <c r="I111">
        <v>0</v>
      </c>
      <c r="J111">
        <v>48</v>
      </c>
      <c r="K111">
        <v>3587584.8936170209</v>
      </c>
    </row>
    <row r="112" spans="1:11" x14ac:dyDescent="0.25">
      <c r="A112">
        <v>111</v>
      </c>
      <c r="B112" t="s">
        <v>231</v>
      </c>
      <c r="C112" t="s">
        <v>232</v>
      </c>
      <c r="D112">
        <v>103</v>
      </c>
      <c r="E112">
        <v>40605976.259079903</v>
      </c>
      <c r="F112">
        <v>9</v>
      </c>
      <c r="G112">
        <v>3972727</v>
      </c>
      <c r="H112">
        <v>1</v>
      </c>
      <c r="I112">
        <v>418182</v>
      </c>
      <c r="J112">
        <v>111</v>
      </c>
      <c r="K112">
        <v>44160521.259079903</v>
      </c>
    </row>
    <row r="113" spans="1:11" x14ac:dyDescent="0.25">
      <c r="A113">
        <v>112</v>
      </c>
      <c r="B113" t="s">
        <v>233</v>
      </c>
      <c r="C113" t="s">
        <v>234</v>
      </c>
      <c r="D113">
        <v>982</v>
      </c>
      <c r="E113">
        <v>369190893.39026397</v>
      </c>
      <c r="F113">
        <v>0</v>
      </c>
      <c r="G113">
        <v>0</v>
      </c>
      <c r="H113">
        <v>2</v>
      </c>
      <c r="I113">
        <v>1345455</v>
      </c>
      <c r="J113">
        <v>980</v>
      </c>
      <c r="K113">
        <v>367845438.39026397</v>
      </c>
    </row>
    <row r="114" spans="1:11" x14ac:dyDescent="0.25">
      <c r="A114">
        <v>113</v>
      </c>
      <c r="B114" t="s">
        <v>235</v>
      </c>
      <c r="C114" t="s">
        <v>236</v>
      </c>
      <c r="D114">
        <v>49</v>
      </c>
      <c r="E114">
        <v>24821055.620689649</v>
      </c>
      <c r="F114">
        <v>0</v>
      </c>
      <c r="G114">
        <v>0</v>
      </c>
      <c r="H114">
        <v>9</v>
      </c>
      <c r="I114">
        <v>6536366</v>
      </c>
      <c r="J114">
        <v>40</v>
      </c>
      <c r="K114">
        <v>18284689.620689649</v>
      </c>
    </row>
    <row r="115" spans="1:11" x14ac:dyDescent="0.25">
      <c r="A115">
        <v>114</v>
      </c>
      <c r="B115" t="s">
        <v>237</v>
      </c>
      <c r="C115" t="s">
        <v>238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 x14ac:dyDescent="0.25">
      <c r="A116">
        <v>115</v>
      </c>
      <c r="B116" t="s">
        <v>239</v>
      </c>
      <c r="C116" t="s">
        <v>240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 x14ac:dyDescent="0.25">
      <c r="A117">
        <v>116</v>
      </c>
      <c r="B117" t="s">
        <v>241</v>
      </c>
      <c r="C117" t="s">
        <v>242</v>
      </c>
      <c r="D117">
        <v>1</v>
      </c>
      <c r="E117">
        <v>2400000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2400000</v>
      </c>
    </row>
    <row r="118" spans="1:11" x14ac:dyDescent="0.25">
      <c r="A118">
        <v>117</v>
      </c>
      <c r="B118" t="s">
        <v>243</v>
      </c>
      <c r="C118" t="s">
        <v>244</v>
      </c>
      <c r="D118">
        <v>1</v>
      </c>
      <c r="E118">
        <v>2200000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2200000</v>
      </c>
    </row>
    <row r="119" spans="1:11" x14ac:dyDescent="0.25">
      <c r="A119">
        <v>118</v>
      </c>
      <c r="B119" t="s">
        <v>245</v>
      </c>
      <c r="C119" t="s">
        <v>246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 x14ac:dyDescent="0.25">
      <c r="A120">
        <v>119</v>
      </c>
      <c r="B120" t="s">
        <v>247</v>
      </c>
      <c r="C120" t="s">
        <v>248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</row>
    <row r="121" spans="1:11" x14ac:dyDescent="0.25">
      <c r="A121">
        <v>120</v>
      </c>
      <c r="B121" t="s">
        <v>249</v>
      </c>
      <c r="C121" t="s">
        <v>250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 x14ac:dyDescent="0.25">
      <c r="A122">
        <v>121</v>
      </c>
      <c r="B122" t="s">
        <v>251</v>
      </c>
      <c r="C122" t="s">
        <v>252</v>
      </c>
      <c r="D122">
        <v>6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6</v>
      </c>
      <c r="K122">
        <v>0</v>
      </c>
    </row>
    <row r="123" spans="1:11" x14ac:dyDescent="0.25">
      <c r="A123">
        <v>122</v>
      </c>
      <c r="B123" t="s">
        <v>253</v>
      </c>
      <c r="C123" t="s">
        <v>254</v>
      </c>
      <c r="D123">
        <v>6</v>
      </c>
      <c r="E123">
        <v>19107793.616306961</v>
      </c>
      <c r="F123">
        <v>0</v>
      </c>
      <c r="G123">
        <v>0</v>
      </c>
      <c r="H123">
        <v>0</v>
      </c>
      <c r="I123">
        <v>0</v>
      </c>
      <c r="J123">
        <v>6</v>
      </c>
      <c r="K123">
        <v>19107793.616306961</v>
      </c>
    </row>
    <row r="124" spans="1:11" x14ac:dyDescent="0.25">
      <c r="A124">
        <v>123</v>
      </c>
      <c r="B124" t="s">
        <v>255</v>
      </c>
      <c r="C124" t="s">
        <v>256</v>
      </c>
      <c r="D124">
        <v>56</v>
      </c>
      <c r="E124">
        <v>30172515.84722222</v>
      </c>
      <c r="F124">
        <v>0</v>
      </c>
      <c r="G124">
        <v>0</v>
      </c>
      <c r="H124">
        <v>15</v>
      </c>
      <c r="I124">
        <v>6750000</v>
      </c>
      <c r="J124">
        <v>41</v>
      </c>
      <c r="K124">
        <v>23422515.84722222</v>
      </c>
    </row>
    <row r="125" spans="1:11" x14ac:dyDescent="0.25">
      <c r="A125">
        <v>124</v>
      </c>
      <c r="B125" t="s">
        <v>257</v>
      </c>
      <c r="C125" t="s">
        <v>258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 x14ac:dyDescent="0.25">
      <c r="A126">
        <v>125</v>
      </c>
      <c r="B126" t="s">
        <v>259</v>
      </c>
      <c r="C126" t="s">
        <v>260</v>
      </c>
      <c r="D126">
        <v>676</v>
      </c>
      <c r="E126">
        <v>370244254.2321918</v>
      </c>
      <c r="F126">
        <v>2</v>
      </c>
      <c r="G126">
        <v>7518182</v>
      </c>
      <c r="H126">
        <v>3</v>
      </c>
      <c r="I126">
        <v>1090908</v>
      </c>
      <c r="J126">
        <v>675</v>
      </c>
      <c r="K126">
        <v>376671528.2321918</v>
      </c>
    </row>
    <row r="127" spans="1:11" x14ac:dyDescent="0.25">
      <c r="A127">
        <v>126</v>
      </c>
      <c r="B127" t="s">
        <v>261</v>
      </c>
      <c r="C127" t="s">
        <v>262</v>
      </c>
      <c r="D127">
        <v>6</v>
      </c>
      <c r="E127">
        <v>2225742.1428571432</v>
      </c>
      <c r="F127">
        <v>0</v>
      </c>
      <c r="G127">
        <v>0</v>
      </c>
      <c r="H127">
        <v>0</v>
      </c>
      <c r="I127">
        <v>0</v>
      </c>
      <c r="J127">
        <v>6</v>
      </c>
      <c r="K127">
        <v>2225742.1428571432</v>
      </c>
    </row>
    <row r="128" spans="1:11" x14ac:dyDescent="0.25">
      <c r="A128">
        <v>127</v>
      </c>
      <c r="B128" t="s">
        <v>263</v>
      </c>
      <c r="C128" t="s">
        <v>264</v>
      </c>
      <c r="D128">
        <v>10</v>
      </c>
      <c r="E128">
        <v>9639901.4090909101</v>
      </c>
      <c r="F128">
        <v>1</v>
      </c>
      <c r="G128">
        <v>1363636</v>
      </c>
      <c r="H128">
        <v>0</v>
      </c>
      <c r="I128">
        <v>0</v>
      </c>
      <c r="J128">
        <v>11</v>
      </c>
      <c r="K128">
        <v>11003537.40909091</v>
      </c>
    </row>
    <row r="129" spans="1:11" x14ac:dyDescent="0.25">
      <c r="A129">
        <v>128</v>
      </c>
      <c r="B129" t="s">
        <v>265</v>
      </c>
      <c r="C129" t="s">
        <v>266</v>
      </c>
      <c r="D129">
        <v>17</v>
      </c>
      <c r="E129">
        <v>34299617.75</v>
      </c>
      <c r="F129">
        <v>0</v>
      </c>
      <c r="G129">
        <v>0</v>
      </c>
      <c r="H129">
        <v>0</v>
      </c>
      <c r="I129">
        <v>0</v>
      </c>
      <c r="J129">
        <v>17</v>
      </c>
      <c r="K129">
        <v>34299617.75</v>
      </c>
    </row>
    <row r="130" spans="1:11" x14ac:dyDescent="0.25">
      <c r="A130">
        <v>129</v>
      </c>
      <c r="B130" t="s">
        <v>267</v>
      </c>
      <c r="C130" t="s">
        <v>268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1:11" x14ac:dyDescent="0.25">
      <c r="A131">
        <v>130</v>
      </c>
      <c r="B131" t="s">
        <v>269</v>
      </c>
      <c r="C131" t="s">
        <v>270</v>
      </c>
      <c r="D131">
        <v>236</v>
      </c>
      <c r="E131">
        <v>141636701.5194805</v>
      </c>
      <c r="F131">
        <v>6</v>
      </c>
      <c r="G131">
        <v>4472730</v>
      </c>
      <c r="H131">
        <v>5</v>
      </c>
      <c r="I131">
        <v>7022727</v>
      </c>
      <c r="J131">
        <v>237</v>
      </c>
      <c r="K131">
        <v>139086704.5194805</v>
      </c>
    </row>
    <row r="132" spans="1:11" x14ac:dyDescent="0.25">
      <c r="A132">
        <v>131</v>
      </c>
      <c r="B132" t="s">
        <v>271</v>
      </c>
      <c r="C132" t="s">
        <v>272</v>
      </c>
      <c r="D132">
        <v>110</v>
      </c>
      <c r="E132">
        <v>13823046.7489301</v>
      </c>
      <c r="F132">
        <v>0</v>
      </c>
      <c r="G132">
        <v>0</v>
      </c>
      <c r="H132">
        <v>0</v>
      </c>
      <c r="I132">
        <v>0</v>
      </c>
      <c r="J132">
        <v>110</v>
      </c>
      <c r="K132">
        <v>13823046.7489301</v>
      </c>
    </row>
    <row r="133" spans="1:11" x14ac:dyDescent="0.25">
      <c r="A133">
        <v>132</v>
      </c>
      <c r="B133" t="s">
        <v>273</v>
      </c>
      <c r="C133" t="s">
        <v>274</v>
      </c>
      <c r="D133">
        <v>344</v>
      </c>
      <c r="E133">
        <v>104168724.7694118</v>
      </c>
      <c r="F133">
        <v>5</v>
      </c>
      <c r="G133">
        <v>590910</v>
      </c>
      <c r="H133">
        <v>3</v>
      </c>
      <c r="I133">
        <v>636363</v>
      </c>
      <c r="J133">
        <v>346</v>
      </c>
      <c r="K133">
        <v>104123271.7694118</v>
      </c>
    </row>
    <row r="134" spans="1:11" x14ac:dyDescent="0.25">
      <c r="A134">
        <v>133</v>
      </c>
      <c r="B134" t="s">
        <v>275</v>
      </c>
      <c r="C134" t="s">
        <v>276</v>
      </c>
      <c r="D134">
        <v>143</v>
      </c>
      <c r="E134">
        <v>43556144.084337354</v>
      </c>
      <c r="F134">
        <v>1</v>
      </c>
      <c r="G134">
        <v>963636</v>
      </c>
      <c r="H134">
        <v>1</v>
      </c>
      <c r="I134">
        <v>972727</v>
      </c>
      <c r="J134">
        <v>143</v>
      </c>
      <c r="K134">
        <v>43547053.084337354</v>
      </c>
    </row>
    <row r="135" spans="1:11" x14ac:dyDescent="0.25">
      <c r="A135">
        <v>134</v>
      </c>
      <c r="B135" t="s">
        <v>277</v>
      </c>
      <c r="C135" t="s">
        <v>278</v>
      </c>
      <c r="D135">
        <v>4</v>
      </c>
      <c r="E135">
        <v>686195.57142857136</v>
      </c>
      <c r="F135">
        <v>0</v>
      </c>
      <c r="G135">
        <v>0</v>
      </c>
      <c r="H135">
        <v>0</v>
      </c>
      <c r="I135">
        <v>0</v>
      </c>
      <c r="J135">
        <v>4</v>
      </c>
      <c r="K135">
        <v>686195.57142857136</v>
      </c>
    </row>
    <row r="136" spans="1:11" x14ac:dyDescent="0.25">
      <c r="A136">
        <v>135</v>
      </c>
      <c r="B136" t="s">
        <v>279</v>
      </c>
      <c r="C136" t="s">
        <v>280</v>
      </c>
      <c r="D136">
        <v>9</v>
      </c>
      <c r="E136">
        <v>1118537.368421053</v>
      </c>
      <c r="F136">
        <v>10</v>
      </c>
      <c r="G136">
        <v>1363636</v>
      </c>
      <c r="H136">
        <v>0</v>
      </c>
      <c r="I136">
        <v>0</v>
      </c>
      <c r="J136">
        <v>19</v>
      </c>
      <c r="K136">
        <v>2482173.368421053</v>
      </c>
    </row>
    <row r="137" spans="1:11" x14ac:dyDescent="0.25">
      <c r="A137">
        <v>136</v>
      </c>
      <c r="B137" t="s">
        <v>281</v>
      </c>
      <c r="C137" t="s">
        <v>282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 x14ac:dyDescent="0.25">
      <c r="A138">
        <v>137</v>
      </c>
      <c r="B138" t="s">
        <v>283</v>
      </c>
      <c r="C138" t="s">
        <v>284</v>
      </c>
      <c r="D138">
        <v>22</v>
      </c>
      <c r="E138">
        <v>18789567.860465121</v>
      </c>
      <c r="F138">
        <v>0</v>
      </c>
      <c r="G138">
        <v>0</v>
      </c>
      <c r="H138">
        <v>0</v>
      </c>
      <c r="I138">
        <v>0</v>
      </c>
      <c r="J138">
        <v>22</v>
      </c>
      <c r="K138">
        <v>18789567.860465121</v>
      </c>
    </row>
    <row r="139" spans="1:11" x14ac:dyDescent="0.25">
      <c r="A139">
        <v>138</v>
      </c>
      <c r="B139" t="s">
        <v>285</v>
      </c>
      <c r="C139" t="s">
        <v>286</v>
      </c>
      <c r="D139">
        <v>0</v>
      </c>
      <c r="E139">
        <v>0</v>
      </c>
      <c r="F139">
        <v>1</v>
      </c>
      <c r="G139">
        <v>500000</v>
      </c>
      <c r="H139">
        <v>1</v>
      </c>
      <c r="I139">
        <v>618182</v>
      </c>
      <c r="J139">
        <v>0</v>
      </c>
      <c r="K139">
        <v>0</v>
      </c>
    </row>
    <row r="140" spans="1:11" x14ac:dyDescent="0.25">
      <c r="A140">
        <v>139</v>
      </c>
      <c r="B140" t="s">
        <v>287</v>
      </c>
      <c r="C140" t="s">
        <v>288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1" x14ac:dyDescent="0.25">
      <c r="A141">
        <v>140</v>
      </c>
      <c r="B141" t="s">
        <v>289</v>
      </c>
      <c r="C141" t="s">
        <v>290</v>
      </c>
      <c r="D141">
        <v>7</v>
      </c>
      <c r="E141">
        <v>10439354.83870968</v>
      </c>
      <c r="F141">
        <v>4</v>
      </c>
      <c r="G141">
        <v>14000000</v>
      </c>
      <c r="H141">
        <v>4</v>
      </c>
      <c r="I141">
        <v>23850000</v>
      </c>
      <c r="J141">
        <v>7</v>
      </c>
      <c r="K141">
        <v>589354.83870968223</v>
      </c>
    </row>
    <row r="142" spans="1:11" x14ac:dyDescent="0.25">
      <c r="A142">
        <v>141</v>
      </c>
      <c r="B142" t="s">
        <v>291</v>
      </c>
      <c r="C142" t="s">
        <v>292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 x14ac:dyDescent="0.25">
      <c r="A143">
        <v>142</v>
      </c>
      <c r="B143" t="s">
        <v>293</v>
      </c>
      <c r="C143" t="s">
        <v>294</v>
      </c>
      <c r="D143">
        <v>93</v>
      </c>
      <c r="E143">
        <v>17276168.115942031</v>
      </c>
      <c r="F143">
        <v>0</v>
      </c>
      <c r="G143">
        <v>0</v>
      </c>
      <c r="H143">
        <v>0</v>
      </c>
      <c r="I143">
        <v>0</v>
      </c>
      <c r="J143">
        <v>93</v>
      </c>
      <c r="K143">
        <v>17276168.115942031</v>
      </c>
    </row>
    <row r="144" spans="1:11" x14ac:dyDescent="0.25">
      <c r="A144">
        <v>143</v>
      </c>
      <c r="B144" t="s">
        <v>295</v>
      </c>
      <c r="C144" t="s">
        <v>296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 x14ac:dyDescent="0.25">
      <c r="A145">
        <v>144</v>
      </c>
      <c r="B145" t="s">
        <v>297</v>
      </c>
      <c r="C145" t="s">
        <v>298</v>
      </c>
      <c r="D145">
        <v>16</v>
      </c>
      <c r="E145">
        <v>2555953.1515151509</v>
      </c>
      <c r="F145">
        <v>0</v>
      </c>
      <c r="G145">
        <v>0</v>
      </c>
      <c r="H145">
        <v>0</v>
      </c>
      <c r="I145">
        <v>0</v>
      </c>
      <c r="J145">
        <v>16</v>
      </c>
      <c r="K145">
        <v>2555953.1515151509</v>
      </c>
    </row>
    <row r="146" spans="1:11" x14ac:dyDescent="0.25">
      <c r="A146">
        <v>145</v>
      </c>
      <c r="B146" t="s">
        <v>299</v>
      </c>
      <c r="C146" t="s">
        <v>300</v>
      </c>
      <c r="D146">
        <v>1877.3420000000001</v>
      </c>
      <c r="E146">
        <v>951564951.4799999</v>
      </c>
      <c r="F146">
        <v>179.98</v>
      </c>
      <c r="G146">
        <v>124715484</v>
      </c>
      <c r="H146">
        <v>243</v>
      </c>
      <c r="I146">
        <v>150567169</v>
      </c>
      <c r="J146">
        <v>1814.3219999999999</v>
      </c>
      <c r="K146">
        <v>925713266.48000002</v>
      </c>
    </row>
    <row r="147" spans="1:11" x14ac:dyDescent="0.25">
      <c r="A147" t="s">
        <v>301</v>
      </c>
      <c r="D147">
        <v>24186.342000000001</v>
      </c>
      <c r="E147">
        <v>24213854851.267792</v>
      </c>
      <c r="F147">
        <v>911.98</v>
      </c>
      <c r="G147">
        <v>1219772602.9000001</v>
      </c>
      <c r="H147">
        <v>1027</v>
      </c>
      <c r="I147">
        <v>1833752802</v>
      </c>
      <c r="J147">
        <v>24122.322</v>
      </c>
      <c r="K147">
        <v>23756374652.167789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47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t="s">
        <v>11</v>
      </c>
      <c r="C2" t="s">
        <v>12</v>
      </c>
      <c r="D2">
        <v>2</v>
      </c>
      <c r="E2">
        <v>21508109.772727281</v>
      </c>
      <c r="F2">
        <v>0</v>
      </c>
      <c r="G2">
        <v>0</v>
      </c>
      <c r="H2">
        <v>10</v>
      </c>
      <c r="I2">
        <v>92727270</v>
      </c>
      <c r="J2">
        <v>0</v>
      </c>
      <c r="K2">
        <v>0</v>
      </c>
    </row>
    <row r="3" spans="1:11" x14ac:dyDescent="0.25">
      <c r="A3">
        <v>2</v>
      </c>
      <c r="B3" t="s">
        <v>13</v>
      </c>
      <c r="C3" t="s">
        <v>14</v>
      </c>
      <c r="D3">
        <v>13</v>
      </c>
      <c r="E3">
        <v>98275173</v>
      </c>
      <c r="F3">
        <v>0</v>
      </c>
      <c r="G3">
        <v>0</v>
      </c>
      <c r="H3">
        <v>0</v>
      </c>
      <c r="I3">
        <v>0</v>
      </c>
      <c r="J3">
        <v>13</v>
      </c>
      <c r="K3">
        <v>98275173</v>
      </c>
    </row>
    <row r="4" spans="1:11" x14ac:dyDescent="0.25">
      <c r="A4">
        <v>3</v>
      </c>
      <c r="B4" t="s">
        <v>15</v>
      </c>
      <c r="C4" t="s">
        <v>16</v>
      </c>
      <c r="D4">
        <v>242</v>
      </c>
      <c r="E4">
        <v>2506888814.201292</v>
      </c>
      <c r="F4">
        <v>7</v>
      </c>
      <c r="G4">
        <v>107636363</v>
      </c>
      <c r="H4">
        <v>12</v>
      </c>
      <c r="I4">
        <v>157118182</v>
      </c>
      <c r="J4">
        <v>237</v>
      </c>
      <c r="K4">
        <v>2457406995.201292</v>
      </c>
    </row>
    <row r="5" spans="1:11" x14ac:dyDescent="0.25">
      <c r="A5">
        <v>4</v>
      </c>
      <c r="B5" t="s">
        <v>17</v>
      </c>
      <c r="C5" t="s">
        <v>18</v>
      </c>
      <c r="D5">
        <v>1</v>
      </c>
      <c r="E5">
        <v>29283636</v>
      </c>
      <c r="F5">
        <v>0</v>
      </c>
      <c r="G5">
        <v>0</v>
      </c>
      <c r="H5">
        <v>0</v>
      </c>
      <c r="I5">
        <v>0</v>
      </c>
      <c r="J5">
        <v>1</v>
      </c>
      <c r="K5">
        <v>29283636</v>
      </c>
    </row>
    <row r="6" spans="1:11" x14ac:dyDescent="0.25">
      <c r="A6">
        <v>5</v>
      </c>
      <c r="B6" t="s">
        <v>19</v>
      </c>
      <c r="C6" t="s">
        <v>20</v>
      </c>
      <c r="D6">
        <v>2</v>
      </c>
      <c r="E6">
        <v>42793621.178571403</v>
      </c>
      <c r="F6">
        <v>0</v>
      </c>
      <c r="G6">
        <v>0</v>
      </c>
      <c r="H6">
        <v>11</v>
      </c>
      <c r="I6">
        <v>103627272</v>
      </c>
      <c r="J6">
        <v>0</v>
      </c>
      <c r="K6">
        <v>0</v>
      </c>
    </row>
    <row r="7" spans="1:11" x14ac:dyDescent="0.25">
      <c r="A7">
        <v>6</v>
      </c>
      <c r="B7" t="s">
        <v>21</v>
      </c>
      <c r="C7" t="s">
        <v>22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5">
      <c r="A8">
        <v>7</v>
      </c>
      <c r="B8" t="s">
        <v>23</v>
      </c>
      <c r="C8" t="s">
        <v>24</v>
      </c>
      <c r="D8">
        <v>0</v>
      </c>
      <c r="E8">
        <v>0</v>
      </c>
      <c r="F8">
        <v>0</v>
      </c>
      <c r="G8">
        <v>0</v>
      </c>
      <c r="H8">
        <v>2</v>
      </c>
      <c r="I8">
        <v>18909091</v>
      </c>
      <c r="J8">
        <v>0</v>
      </c>
      <c r="K8">
        <v>0</v>
      </c>
    </row>
    <row r="9" spans="1:11" x14ac:dyDescent="0.25">
      <c r="A9">
        <v>8</v>
      </c>
      <c r="B9" t="s">
        <v>25</v>
      </c>
      <c r="C9" t="s">
        <v>26</v>
      </c>
      <c r="D9">
        <v>14</v>
      </c>
      <c r="E9">
        <v>53164451.450000003</v>
      </c>
      <c r="F9">
        <v>0</v>
      </c>
      <c r="G9">
        <v>0</v>
      </c>
      <c r="H9">
        <v>0</v>
      </c>
      <c r="I9">
        <v>0</v>
      </c>
      <c r="J9">
        <v>14</v>
      </c>
      <c r="K9">
        <v>53164451.450000003</v>
      </c>
    </row>
    <row r="10" spans="1:11" x14ac:dyDescent="0.25">
      <c r="A10">
        <v>9</v>
      </c>
      <c r="B10" t="s">
        <v>27</v>
      </c>
      <c r="C10" t="s">
        <v>28</v>
      </c>
      <c r="D10">
        <v>417</v>
      </c>
      <c r="E10">
        <v>1246303678.5951941</v>
      </c>
      <c r="F10">
        <v>62</v>
      </c>
      <c r="G10">
        <v>181363636</v>
      </c>
      <c r="H10">
        <v>74</v>
      </c>
      <c r="I10">
        <v>109500000</v>
      </c>
      <c r="J10">
        <v>405</v>
      </c>
      <c r="K10">
        <v>1318167314.5951941</v>
      </c>
    </row>
    <row r="11" spans="1:11" x14ac:dyDescent="0.25">
      <c r="A11">
        <v>10</v>
      </c>
      <c r="B11" t="s">
        <v>29</v>
      </c>
      <c r="C11" t="s">
        <v>30</v>
      </c>
      <c r="D11">
        <v>3</v>
      </c>
      <c r="E11">
        <v>18961647.25</v>
      </c>
      <c r="F11">
        <v>0</v>
      </c>
      <c r="G11">
        <v>0</v>
      </c>
      <c r="H11">
        <v>8</v>
      </c>
      <c r="I11">
        <v>75781816</v>
      </c>
      <c r="J11">
        <v>0</v>
      </c>
      <c r="K11">
        <v>0</v>
      </c>
    </row>
    <row r="12" spans="1:11" x14ac:dyDescent="0.25">
      <c r="A12">
        <v>11</v>
      </c>
      <c r="B12" t="s">
        <v>31</v>
      </c>
      <c r="C12" t="s">
        <v>32</v>
      </c>
      <c r="D12">
        <v>415</v>
      </c>
      <c r="E12">
        <v>4812884520.2191219</v>
      </c>
      <c r="F12">
        <v>42</v>
      </c>
      <c r="G12">
        <v>592400907</v>
      </c>
      <c r="H12">
        <v>45</v>
      </c>
      <c r="I12">
        <v>440436365</v>
      </c>
      <c r="J12">
        <v>412</v>
      </c>
      <c r="K12">
        <v>4964849062.2191219</v>
      </c>
    </row>
    <row r="13" spans="1:11" x14ac:dyDescent="0.25">
      <c r="A13">
        <v>12</v>
      </c>
      <c r="B13" t="s">
        <v>33</v>
      </c>
      <c r="C13" t="s">
        <v>34</v>
      </c>
      <c r="D13">
        <v>46</v>
      </c>
      <c r="E13">
        <v>807317871.76923084</v>
      </c>
      <c r="F13">
        <v>1</v>
      </c>
      <c r="G13">
        <v>25354545</v>
      </c>
      <c r="H13">
        <v>5</v>
      </c>
      <c r="I13">
        <v>63905454</v>
      </c>
      <c r="J13">
        <v>42</v>
      </c>
      <c r="K13">
        <v>768766962.76923084</v>
      </c>
    </row>
    <row r="14" spans="1:11" x14ac:dyDescent="0.25">
      <c r="A14">
        <v>13</v>
      </c>
      <c r="B14" t="s">
        <v>35</v>
      </c>
      <c r="C14" t="s">
        <v>36</v>
      </c>
      <c r="D14">
        <v>23</v>
      </c>
      <c r="E14">
        <v>423411677.28947371</v>
      </c>
      <c r="F14">
        <v>0</v>
      </c>
      <c r="G14">
        <v>0</v>
      </c>
      <c r="H14">
        <v>9</v>
      </c>
      <c r="I14">
        <v>105200000</v>
      </c>
      <c r="J14">
        <v>14</v>
      </c>
      <c r="K14">
        <v>318211677.28947371</v>
      </c>
    </row>
    <row r="15" spans="1:11" x14ac:dyDescent="0.25">
      <c r="A15">
        <v>14</v>
      </c>
      <c r="B15" t="s">
        <v>37</v>
      </c>
      <c r="C15" t="s">
        <v>38</v>
      </c>
      <c r="D15">
        <v>27</v>
      </c>
      <c r="E15">
        <v>335274131.93430662</v>
      </c>
      <c r="F15">
        <v>0</v>
      </c>
      <c r="G15">
        <v>0</v>
      </c>
      <c r="H15">
        <v>3</v>
      </c>
      <c r="I15">
        <v>24818181</v>
      </c>
      <c r="J15">
        <v>24</v>
      </c>
      <c r="K15">
        <v>310455950.93430662</v>
      </c>
    </row>
    <row r="16" spans="1:11" x14ac:dyDescent="0.25">
      <c r="A16">
        <v>15</v>
      </c>
      <c r="B16" t="s">
        <v>39</v>
      </c>
      <c r="C16" t="s">
        <v>40</v>
      </c>
      <c r="D16">
        <v>7</v>
      </c>
      <c r="E16">
        <v>160421347.10447761</v>
      </c>
      <c r="F16">
        <v>1</v>
      </c>
      <c r="G16">
        <v>23818182</v>
      </c>
      <c r="H16">
        <v>5</v>
      </c>
      <c r="I16">
        <v>65715453</v>
      </c>
      <c r="J16">
        <v>3</v>
      </c>
      <c r="K16">
        <v>118524076.1044776</v>
      </c>
    </row>
    <row r="17" spans="1:11" x14ac:dyDescent="0.25">
      <c r="A17">
        <v>16</v>
      </c>
      <c r="B17" t="s">
        <v>41</v>
      </c>
      <c r="C17" t="s">
        <v>42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>
        <v>17</v>
      </c>
      <c r="B18" t="s">
        <v>43</v>
      </c>
      <c r="C18" t="s">
        <v>44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>
        <v>18</v>
      </c>
      <c r="B19" t="s">
        <v>45</v>
      </c>
      <c r="C19" t="s">
        <v>46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25">
      <c r="A20">
        <v>19</v>
      </c>
      <c r="B20" t="s">
        <v>47</v>
      </c>
      <c r="C20" t="s">
        <v>48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5">
      <c r="A21">
        <v>20</v>
      </c>
      <c r="B21" t="s">
        <v>49</v>
      </c>
      <c r="C21" t="s">
        <v>50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25">
      <c r="A22">
        <v>21</v>
      </c>
      <c r="B22" t="s">
        <v>51</v>
      </c>
      <c r="C22" t="s">
        <v>52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25">
      <c r="A23">
        <v>22</v>
      </c>
      <c r="B23" t="s">
        <v>53</v>
      </c>
      <c r="C23" t="s">
        <v>54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25">
      <c r="A24">
        <v>23</v>
      </c>
      <c r="B24" t="s">
        <v>55</v>
      </c>
      <c r="C24" t="s">
        <v>56</v>
      </c>
      <c r="D24">
        <v>0</v>
      </c>
      <c r="E24">
        <v>0</v>
      </c>
      <c r="F24">
        <v>0</v>
      </c>
      <c r="G24">
        <v>0</v>
      </c>
      <c r="H24">
        <v>18</v>
      </c>
      <c r="I24">
        <v>128470914</v>
      </c>
      <c r="J24">
        <v>0</v>
      </c>
      <c r="K24">
        <v>0</v>
      </c>
    </row>
    <row r="25" spans="1:11" x14ac:dyDescent="0.25">
      <c r="A25">
        <v>24</v>
      </c>
      <c r="B25" t="s">
        <v>57</v>
      </c>
      <c r="C25" t="s">
        <v>58</v>
      </c>
      <c r="D25">
        <v>213</v>
      </c>
      <c r="E25">
        <v>1760505217.361217</v>
      </c>
      <c r="F25">
        <v>61</v>
      </c>
      <c r="G25">
        <v>488172727</v>
      </c>
      <c r="H25">
        <v>17</v>
      </c>
      <c r="I25">
        <v>198499996</v>
      </c>
      <c r="J25">
        <v>257</v>
      </c>
      <c r="K25">
        <v>2050177948.361217</v>
      </c>
    </row>
    <row r="26" spans="1:11" x14ac:dyDescent="0.25">
      <c r="A26">
        <v>25</v>
      </c>
      <c r="B26" t="s">
        <v>59</v>
      </c>
      <c r="C26" t="s">
        <v>60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25">
      <c r="A27">
        <v>26</v>
      </c>
      <c r="B27" t="s">
        <v>61</v>
      </c>
      <c r="C27" t="s">
        <v>62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5">
      <c r="A28">
        <v>27</v>
      </c>
      <c r="B28" t="s">
        <v>63</v>
      </c>
      <c r="C28" t="s">
        <v>64</v>
      </c>
      <c r="D28">
        <v>0</v>
      </c>
      <c r="E28">
        <v>0</v>
      </c>
      <c r="F28">
        <v>1</v>
      </c>
      <c r="G28">
        <v>33000000</v>
      </c>
      <c r="H28">
        <v>1</v>
      </c>
      <c r="I28">
        <v>37354545</v>
      </c>
      <c r="J28">
        <v>0</v>
      </c>
      <c r="K28">
        <v>0</v>
      </c>
    </row>
    <row r="29" spans="1:11" x14ac:dyDescent="0.25">
      <c r="A29">
        <v>28</v>
      </c>
      <c r="B29" t="s">
        <v>65</v>
      </c>
      <c r="C29" t="s">
        <v>66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x14ac:dyDescent="0.25">
      <c r="A30">
        <v>29</v>
      </c>
      <c r="B30" t="s">
        <v>67</v>
      </c>
      <c r="C30" t="s">
        <v>68</v>
      </c>
      <c r="D30">
        <v>5</v>
      </c>
      <c r="E30">
        <v>57213777.307692319</v>
      </c>
      <c r="F30">
        <v>0</v>
      </c>
      <c r="G30">
        <v>0</v>
      </c>
      <c r="H30">
        <v>0</v>
      </c>
      <c r="I30">
        <v>0</v>
      </c>
      <c r="J30">
        <v>5</v>
      </c>
      <c r="K30">
        <v>57213777.307692319</v>
      </c>
    </row>
    <row r="31" spans="1:11" x14ac:dyDescent="0.25">
      <c r="A31">
        <v>30</v>
      </c>
      <c r="B31" t="s">
        <v>69</v>
      </c>
      <c r="C31" t="s">
        <v>70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25">
      <c r="A32">
        <v>31</v>
      </c>
      <c r="B32" t="s">
        <v>71</v>
      </c>
      <c r="C32" t="s">
        <v>72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25">
      <c r="A33">
        <v>32</v>
      </c>
      <c r="B33" t="s">
        <v>73</v>
      </c>
      <c r="C33" t="s">
        <v>74</v>
      </c>
      <c r="D33">
        <v>4</v>
      </c>
      <c r="E33">
        <v>23704712.5</v>
      </c>
      <c r="F33">
        <v>1</v>
      </c>
      <c r="G33">
        <v>25000000</v>
      </c>
      <c r="H33">
        <v>1</v>
      </c>
      <c r="I33">
        <v>26181818</v>
      </c>
      <c r="J33">
        <v>4</v>
      </c>
      <c r="K33">
        <v>22522894.5</v>
      </c>
    </row>
    <row r="34" spans="1:11" x14ac:dyDescent="0.25">
      <c r="A34">
        <v>33</v>
      </c>
      <c r="B34" t="s">
        <v>75</v>
      </c>
      <c r="C34" t="s">
        <v>76</v>
      </c>
      <c r="D34">
        <v>50</v>
      </c>
      <c r="E34">
        <v>97058904.183266938</v>
      </c>
      <c r="F34">
        <v>10</v>
      </c>
      <c r="G34">
        <v>19090909</v>
      </c>
      <c r="H34">
        <v>5</v>
      </c>
      <c r="I34">
        <v>10845452</v>
      </c>
      <c r="J34">
        <v>55</v>
      </c>
      <c r="K34">
        <v>105304361.18326689</v>
      </c>
    </row>
    <row r="35" spans="1:11" x14ac:dyDescent="0.25">
      <c r="A35">
        <v>34</v>
      </c>
      <c r="B35" t="s">
        <v>77</v>
      </c>
      <c r="C35" t="s">
        <v>78</v>
      </c>
      <c r="D35">
        <v>587</v>
      </c>
      <c r="E35">
        <v>1217335497.553802</v>
      </c>
      <c r="F35">
        <v>54</v>
      </c>
      <c r="G35">
        <v>108018182</v>
      </c>
      <c r="H35">
        <v>103</v>
      </c>
      <c r="I35">
        <v>229027260</v>
      </c>
      <c r="J35">
        <v>538</v>
      </c>
      <c r="K35">
        <v>1096326419.553802</v>
      </c>
    </row>
    <row r="36" spans="1:11" x14ac:dyDescent="0.25">
      <c r="A36">
        <v>35</v>
      </c>
      <c r="B36" t="s">
        <v>79</v>
      </c>
      <c r="C36" t="s">
        <v>80</v>
      </c>
      <c r="D36">
        <v>19</v>
      </c>
      <c r="E36">
        <v>49253525.021276593</v>
      </c>
      <c r="F36">
        <v>4</v>
      </c>
      <c r="G36">
        <v>12472727</v>
      </c>
      <c r="H36">
        <v>4</v>
      </c>
      <c r="I36">
        <v>13063636</v>
      </c>
      <c r="J36">
        <v>19</v>
      </c>
      <c r="K36">
        <v>48662616.021276593</v>
      </c>
    </row>
    <row r="37" spans="1:11" x14ac:dyDescent="0.25">
      <c r="A37">
        <v>36</v>
      </c>
      <c r="B37" t="s">
        <v>81</v>
      </c>
      <c r="C37" t="s">
        <v>82</v>
      </c>
      <c r="D37">
        <v>26</v>
      </c>
      <c r="E37">
        <v>146928563.1964286</v>
      </c>
      <c r="F37">
        <v>8</v>
      </c>
      <c r="G37">
        <v>26418181</v>
      </c>
      <c r="H37">
        <v>16</v>
      </c>
      <c r="I37">
        <v>31954545</v>
      </c>
      <c r="J37">
        <v>18</v>
      </c>
      <c r="K37">
        <v>141392199.1964286</v>
      </c>
    </row>
    <row r="38" spans="1:11" x14ac:dyDescent="0.25">
      <c r="A38">
        <v>37</v>
      </c>
      <c r="B38" t="s">
        <v>83</v>
      </c>
      <c r="C38" t="s">
        <v>84</v>
      </c>
      <c r="D38">
        <v>2</v>
      </c>
      <c r="E38">
        <v>16427273</v>
      </c>
      <c r="F38">
        <v>0</v>
      </c>
      <c r="G38">
        <v>0</v>
      </c>
      <c r="H38">
        <v>0</v>
      </c>
      <c r="I38">
        <v>0</v>
      </c>
      <c r="J38">
        <v>2</v>
      </c>
      <c r="K38">
        <v>16427273</v>
      </c>
    </row>
    <row r="39" spans="1:11" x14ac:dyDescent="0.25">
      <c r="A39">
        <v>38</v>
      </c>
      <c r="B39" t="s">
        <v>85</v>
      </c>
      <c r="C39" t="s">
        <v>86</v>
      </c>
      <c r="D39">
        <v>128</v>
      </c>
      <c r="E39">
        <v>358320414.38106239</v>
      </c>
      <c r="F39">
        <v>20</v>
      </c>
      <c r="G39">
        <v>42954546</v>
      </c>
      <c r="H39">
        <v>19</v>
      </c>
      <c r="I39">
        <v>40445447</v>
      </c>
      <c r="J39">
        <v>129</v>
      </c>
      <c r="K39">
        <v>360829513.38106239</v>
      </c>
    </row>
    <row r="40" spans="1:11" x14ac:dyDescent="0.25">
      <c r="A40">
        <v>39</v>
      </c>
      <c r="B40" t="s">
        <v>87</v>
      </c>
      <c r="C40" t="s">
        <v>88</v>
      </c>
      <c r="D40">
        <v>11</v>
      </c>
      <c r="E40">
        <v>57943433.777777784</v>
      </c>
      <c r="F40">
        <v>0</v>
      </c>
      <c r="G40">
        <v>0</v>
      </c>
      <c r="H40">
        <v>2</v>
      </c>
      <c r="I40">
        <v>9709091</v>
      </c>
      <c r="J40">
        <v>9</v>
      </c>
      <c r="K40">
        <v>48234342.777777784</v>
      </c>
    </row>
    <row r="41" spans="1:11" x14ac:dyDescent="0.25">
      <c r="A41">
        <v>40</v>
      </c>
      <c r="B41" t="s">
        <v>89</v>
      </c>
      <c r="C41" t="s">
        <v>90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25">
      <c r="A42">
        <v>41</v>
      </c>
      <c r="B42" t="s">
        <v>91</v>
      </c>
      <c r="C42" t="s">
        <v>92</v>
      </c>
      <c r="D42">
        <v>1662</v>
      </c>
      <c r="E42">
        <v>12861908</v>
      </c>
      <c r="F42">
        <v>223</v>
      </c>
      <c r="G42">
        <v>64163637</v>
      </c>
      <c r="H42">
        <v>114</v>
      </c>
      <c r="I42">
        <v>114000014</v>
      </c>
      <c r="J42">
        <v>1771</v>
      </c>
      <c r="K42">
        <v>0</v>
      </c>
    </row>
    <row r="43" spans="1:11" x14ac:dyDescent="0.25">
      <c r="A43">
        <v>42</v>
      </c>
      <c r="B43" t="s">
        <v>93</v>
      </c>
      <c r="C43" t="s">
        <v>94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25">
      <c r="A44">
        <v>43</v>
      </c>
      <c r="B44" t="s">
        <v>95</v>
      </c>
      <c r="C44" t="s">
        <v>96</v>
      </c>
      <c r="D44">
        <v>467</v>
      </c>
      <c r="E44">
        <v>1322271352.4247439</v>
      </c>
      <c r="F44">
        <v>0</v>
      </c>
      <c r="G44">
        <v>0</v>
      </c>
      <c r="H44">
        <v>88</v>
      </c>
      <c r="I44">
        <v>260781819</v>
      </c>
      <c r="J44">
        <v>379</v>
      </c>
      <c r="K44">
        <v>1061489533.424744</v>
      </c>
    </row>
    <row r="45" spans="1:11" x14ac:dyDescent="0.25">
      <c r="A45">
        <v>44</v>
      </c>
      <c r="B45" t="s">
        <v>97</v>
      </c>
      <c r="C45" t="s">
        <v>98</v>
      </c>
      <c r="D45">
        <v>102</v>
      </c>
      <c r="E45">
        <v>431620620.97297299</v>
      </c>
      <c r="F45">
        <v>0</v>
      </c>
      <c r="G45">
        <v>0</v>
      </c>
      <c r="H45">
        <v>6</v>
      </c>
      <c r="I45">
        <v>30781820</v>
      </c>
      <c r="J45">
        <v>96</v>
      </c>
      <c r="K45">
        <v>400838800.97297299</v>
      </c>
    </row>
    <row r="46" spans="1:11" x14ac:dyDescent="0.25">
      <c r="A46">
        <v>45</v>
      </c>
      <c r="B46" t="s">
        <v>99</v>
      </c>
      <c r="C46" t="s">
        <v>100</v>
      </c>
      <c r="D46">
        <v>235</v>
      </c>
      <c r="E46">
        <v>88580130.632571429</v>
      </c>
      <c r="F46">
        <v>30</v>
      </c>
      <c r="G46">
        <v>2145455</v>
      </c>
      <c r="H46">
        <v>21</v>
      </c>
      <c r="I46">
        <v>2354545</v>
      </c>
      <c r="J46">
        <v>244</v>
      </c>
      <c r="K46">
        <v>88371040.632571429</v>
      </c>
    </row>
    <row r="47" spans="1:11" x14ac:dyDescent="0.25">
      <c r="A47">
        <v>46</v>
      </c>
      <c r="B47" t="s">
        <v>101</v>
      </c>
      <c r="C47" t="s">
        <v>102</v>
      </c>
      <c r="D47">
        <v>114</v>
      </c>
      <c r="E47">
        <v>227199691.36567381</v>
      </c>
      <c r="F47">
        <v>1</v>
      </c>
      <c r="G47">
        <v>5454545</v>
      </c>
      <c r="H47">
        <v>1</v>
      </c>
      <c r="I47">
        <v>6354545</v>
      </c>
      <c r="J47">
        <v>114</v>
      </c>
      <c r="K47">
        <v>226299691.36567381</v>
      </c>
    </row>
    <row r="48" spans="1:11" x14ac:dyDescent="0.25">
      <c r="A48">
        <v>47</v>
      </c>
      <c r="B48" t="s">
        <v>103</v>
      </c>
      <c r="C48" t="s">
        <v>104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 x14ac:dyDescent="0.25">
      <c r="A49">
        <v>48</v>
      </c>
      <c r="B49" t="s">
        <v>105</v>
      </c>
      <c r="C49" t="s">
        <v>106</v>
      </c>
      <c r="D49">
        <v>38</v>
      </c>
      <c r="E49">
        <v>269821393.9122414</v>
      </c>
      <c r="F49">
        <v>3</v>
      </c>
      <c r="G49">
        <v>13872728.17</v>
      </c>
      <c r="H49">
        <v>6</v>
      </c>
      <c r="I49">
        <v>22527273</v>
      </c>
      <c r="J49">
        <v>35</v>
      </c>
      <c r="K49">
        <v>261166849.08224139</v>
      </c>
    </row>
    <row r="50" spans="1:11" x14ac:dyDescent="0.25">
      <c r="A50">
        <v>49</v>
      </c>
      <c r="B50" t="s">
        <v>107</v>
      </c>
      <c r="C50" t="s">
        <v>108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25">
      <c r="A51">
        <v>50</v>
      </c>
      <c r="B51" t="s">
        <v>109</v>
      </c>
      <c r="C51" t="s">
        <v>110</v>
      </c>
      <c r="D51">
        <v>5</v>
      </c>
      <c r="E51">
        <v>254228.19999999931</v>
      </c>
      <c r="F51">
        <v>0</v>
      </c>
      <c r="G51">
        <v>0</v>
      </c>
      <c r="H51">
        <v>0</v>
      </c>
      <c r="I51">
        <v>0</v>
      </c>
      <c r="J51">
        <v>5</v>
      </c>
      <c r="K51">
        <v>254228.19999999931</v>
      </c>
    </row>
    <row r="52" spans="1:11" x14ac:dyDescent="0.25">
      <c r="A52">
        <v>51</v>
      </c>
      <c r="B52" t="s">
        <v>111</v>
      </c>
      <c r="C52" t="s">
        <v>112</v>
      </c>
      <c r="D52">
        <v>2</v>
      </c>
      <c r="E52">
        <v>16437892.06693876</v>
      </c>
      <c r="F52">
        <v>5</v>
      </c>
      <c r="G52">
        <v>6712963</v>
      </c>
      <c r="H52">
        <v>1</v>
      </c>
      <c r="I52">
        <v>2546296</v>
      </c>
      <c r="J52">
        <v>6</v>
      </c>
      <c r="K52">
        <v>20604559.066938762</v>
      </c>
    </row>
    <row r="53" spans="1:11" x14ac:dyDescent="0.25">
      <c r="A53">
        <v>52</v>
      </c>
      <c r="B53" t="s">
        <v>113</v>
      </c>
      <c r="C53" t="s">
        <v>114</v>
      </c>
      <c r="D53">
        <v>3</v>
      </c>
      <c r="E53">
        <v>5580000</v>
      </c>
      <c r="F53">
        <v>0</v>
      </c>
      <c r="G53">
        <v>0</v>
      </c>
      <c r="H53">
        <v>0</v>
      </c>
      <c r="I53">
        <v>0</v>
      </c>
      <c r="J53">
        <v>3</v>
      </c>
      <c r="K53">
        <v>5580000</v>
      </c>
    </row>
    <row r="54" spans="1:11" x14ac:dyDescent="0.25">
      <c r="A54">
        <v>53</v>
      </c>
      <c r="B54" t="s">
        <v>115</v>
      </c>
      <c r="C54" t="s">
        <v>116</v>
      </c>
      <c r="D54">
        <v>0</v>
      </c>
      <c r="E54">
        <v>0</v>
      </c>
      <c r="F54">
        <v>1</v>
      </c>
      <c r="G54">
        <v>1480000</v>
      </c>
      <c r="H54">
        <v>0</v>
      </c>
      <c r="I54">
        <v>0</v>
      </c>
      <c r="J54">
        <v>1</v>
      </c>
      <c r="K54">
        <v>1480000</v>
      </c>
    </row>
    <row r="55" spans="1:11" x14ac:dyDescent="0.25">
      <c r="A55">
        <v>54</v>
      </c>
      <c r="B55" t="s">
        <v>117</v>
      </c>
      <c r="C55" t="s">
        <v>118</v>
      </c>
      <c r="D55">
        <v>92</v>
      </c>
      <c r="E55">
        <v>102914260.172702</v>
      </c>
      <c r="F55">
        <v>0</v>
      </c>
      <c r="G55">
        <v>0</v>
      </c>
      <c r="H55">
        <v>0</v>
      </c>
      <c r="I55">
        <v>0</v>
      </c>
      <c r="J55">
        <v>92</v>
      </c>
      <c r="K55">
        <v>102914260.172702</v>
      </c>
    </row>
    <row r="56" spans="1:11" x14ac:dyDescent="0.25">
      <c r="A56">
        <v>55</v>
      </c>
      <c r="B56" t="s">
        <v>119</v>
      </c>
      <c r="C56" t="s">
        <v>120</v>
      </c>
      <c r="D56">
        <v>39</v>
      </c>
      <c r="E56">
        <v>8196677.4915254228</v>
      </c>
      <c r="F56">
        <v>0</v>
      </c>
      <c r="G56">
        <v>0</v>
      </c>
      <c r="H56">
        <v>0</v>
      </c>
      <c r="I56">
        <v>0</v>
      </c>
      <c r="J56">
        <v>39</v>
      </c>
      <c r="K56">
        <v>8196677.4915254228</v>
      </c>
    </row>
    <row r="57" spans="1:11" x14ac:dyDescent="0.25">
      <c r="A57">
        <v>56</v>
      </c>
      <c r="B57" t="s">
        <v>121</v>
      </c>
      <c r="C57" t="s">
        <v>122</v>
      </c>
      <c r="D57">
        <v>6</v>
      </c>
      <c r="E57">
        <v>16701480.180769229</v>
      </c>
      <c r="F57">
        <v>1</v>
      </c>
      <c r="G57">
        <v>4444444</v>
      </c>
      <c r="H57">
        <v>1</v>
      </c>
      <c r="I57">
        <v>4861111</v>
      </c>
      <c r="J57">
        <v>6</v>
      </c>
      <c r="K57">
        <v>16284813.180769229</v>
      </c>
    </row>
    <row r="58" spans="1:11" x14ac:dyDescent="0.25">
      <c r="A58">
        <v>57</v>
      </c>
      <c r="B58" t="s">
        <v>123</v>
      </c>
      <c r="C58" t="s">
        <v>124</v>
      </c>
      <c r="D58">
        <v>2</v>
      </c>
      <c r="E58">
        <v>1829966.11</v>
      </c>
      <c r="F58">
        <v>0</v>
      </c>
      <c r="G58">
        <v>0</v>
      </c>
      <c r="H58">
        <v>0</v>
      </c>
      <c r="I58">
        <v>0</v>
      </c>
      <c r="J58">
        <v>2</v>
      </c>
      <c r="K58">
        <v>1829966.11</v>
      </c>
    </row>
    <row r="59" spans="1:11" x14ac:dyDescent="0.25">
      <c r="A59">
        <v>58</v>
      </c>
      <c r="B59" t="s">
        <v>125</v>
      </c>
      <c r="C59" t="s">
        <v>126</v>
      </c>
      <c r="D59">
        <v>1394</v>
      </c>
      <c r="E59">
        <v>149017153.36559761</v>
      </c>
      <c r="F59">
        <v>52</v>
      </c>
      <c r="G59">
        <v>6736364</v>
      </c>
      <c r="H59">
        <v>298</v>
      </c>
      <c r="I59">
        <v>72036374</v>
      </c>
      <c r="J59">
        <v>1148</v>
      </c>
      <c r="K59">
        <v>83717143.365597606</v>
      </c>
    </row>
    <row r="60" spans="1:11" x14ac:dyDescent="0.25">
      <c r="A60">
        <v>59</v>
      </c>
      <c r="B60" t="s">
        <v>127</v>
      </c>
      <c r="C60" t="s">
        <v>128</v>
      </c>
      <c r="D60">
        <v>158</v>
      </c>
      <c r="E60">
        <v>1390898</v>
      </c>
      <c r="F60">
        <v>0</v>
      </c>
      <c r="G60">
        <v>0</v>
      </c>
      <c r="H60">
        <v>9</v>
      </c>
      <c r="I60">
        <v>818184</v>
      </c>
      <c r="J60">
        <v>149</v>
      </c>
      <c r="K60">
        <v>572714</v>
      </c>
    </row>
    <row r="61" spans="1:11" x14ac:dyDescent="0.25">
      <c r="A61">
        <v>60</v>
      </c>
      <c r="B61" t="s">
        <v>129</v>
      </c>
      <c r="C61" t="s">
        <v>130</v>
      </c>
      <c r="D61">
        <v>44</v>
      </c>
      <c r="E61">
        <v>4207087</v>
      </c>
      <c r="F61">
        <v>5</v>
      </c>
      <c r="G61">
        <v>409090</v>
      </c>
      <c r="H61">
        <v>1</v>
      </c>
      <c r="I61">
        <v>290909</v>
      </c>
      <c r="J61">
        <v>48</v>
      </c>
      <c r="K61">
        <v>4325268</v>
      </c>
    </row>
    <row r="62" spans="1:11" x14ac:dyDescent="0.25">
      <c r="A62">
        <v>61</v>
      </c>
      <c r="B62" t="s">
        <v>131</v>
      </c>
      <c r="C62" t="s">
        <v>132</v>
      </c>
      <c r="D62">
        <v>1275</v>
      </c>
      <c r="E62">
        <v>131785855.8789579</v>
      </c>
      <c r="F62">
        <v>0</v>
      </c>
      <c r="G62">
        <v>0</v>
      </c>
      <c r="H62">
        <v>151</v>
      </c>
      <c r="I62">
        <v>48285452</v>
      </c>
      <c r="J62">
        <v>1124</v>
      </c>
      <c r="K62">
        <v>83500403.878957927</v>
      </c>
    </row>
    <row r="63" spans="1:11" x14ac:dyDescent="0.25">
      <c r="A63">
        <v>62</v>
      </c>
      <c r="B63" t="s">
        <v>133</v>
      </c>
      <c r="C63" t="s">
        <v>134</v>
      </c>
      <c r="D63">
        <v>972</v>
      </c>
      <c r="E63">
        <v>174652447.71158049</v>
      </c>
      <c r="F63">
        <v>0</v>
      </c>
      <c r="G63">
        <v>0</v>
      </c>
      <c r="H63">
        <v>18</v>
      </c>
      <c r="I63">
        <v>4227272</v>
      </c>
      <c r="J63">
        <v>954</v>
      </c>
      <c r="K63">
        <v>170425175.71158049</v>
      </c>
    </row>
    <row r="64" spans="1:11" x14ac:dyDescent="0.25">
      <c r="A64">
        <v>63</v>
      </c>
      <c r="B64" t="s">
        <v>135</v>
      </c>
      <c r="C64" t="s">
        <v>136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 x14ac:dyDescent="0.25">
      <c r="A65">
        <v>64</v>
      </c>
      <c r="B65" t="s">
        <v>137</v>
      </c>
      <c r="C65" t="s">
        <v>138</v>
      </c>
      <c r="D65">
        <v>21</v>
      </c>
      <c r="E65">
        <v>6668952.4511235952</v>
      </c>
      <c r="F65">
        <v>0</v>
      </c>
      <c r="G65">
        <v>0</v>
      </c>
      <c r="H65">
        <v>1</v>
      </c>
      <c r="I65">
        <v>1554545</v>
      </c>
      <c r="J65">
        <v>20</v>
      </c>
      <c r="K65">
        <v>5114407.4511235952</v>
      </c>
    </row>
    <row r="66" spans="1:11" x14ac:dyDescent="0.25">
      <c r="A66">
        <v>65</v>
      </c>
      <c r="B66" t="s">
        <v>139</v>
      </c>
      <c r="C66" t="s">
        <v>140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 x14ac:dyDescent="0.25">
      <c r="A67">
        <v>66</v>
      </c>
      <c r="B67" t="s">
        <v>141</v>
      </c>
      <c r="C67" t="s">
        <v>142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 x14ac:dyDescent="0.25">
      <c r="A68">
        <v>67</v>
      </c>
      <c r="B68" t="s">
        <v>143</v>
      </c>
      <c r="C68" t="s">
        <v>144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 x14ac:dyDescent="0.25">
      <c r="A69">
        <v>68</v>
      </c>
      <c r="B69" t="s">
        <v>145</v>
      </c>
      <c r="C69" t="s">
        <v>146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 x14ac:dyDescent="0.25">
      <c r="A70">
        <v>69</v>
      </c>
      <c r="B70" t="s">
        <v>147</v>
      </c>
      <c r="C70" t="s">
        <v>148</v>
      </c>
      <c r="D70">
        <v>275</v>
      </c>
      <c r="E70">
        <v>74712722.665112108</v>
      </c>
      <c r="F70">
        <v>0</v>
      </c>
      <c r="G70">
        <v>0</v>
      </c>
      <c r="H70">
        <v>18</v>
      </c>
      <c r="I70">
        <v>13763636</v>
      </c>
      <c r="J70">
        <v>257</v>
      </c>
      <c r="K70">
        <v>60949086.665112108</v>
      </c>
    </row>
    <row r="71" spans="1:11" x14ac:dyDescent="0.25">
      <c r="A71">
        <v>70</v>
      </c>
      <c r="B71" t="s">
        <v>149</v>
      </c>
      <c r="C71" t="s">
        <v>150</v>
      </c>
      <c r="D71">
        <v>9</v>
      </c>
      <c r="E71">
        <v>737428.16000000015</v>
      </c>
      <c r="F71">
        <v>3</v>
      </c>
      <c r="G71">
        <v>204546</v>
      </c>
      <c r="H71">
        <v>0</v>
      </c>
      <c r="I71">
        <v>0</v>
      </c>
      <c r="J71">
        <v>12</v>
      </c>
      <c r="K71">
        <v>941974.16000000015</v>
      </c>
    </row>
    <row r="72" spans="1:11" x14ac:dyDescent="0.25">
      <c r="A72">
        <v>71</v>
      </c>
      <c r="B72" t="s">
        <v>151</v>
      </c>
      <c r="C72" t="s">
        <v>152</v>
      </c>
      <c r="D72">
        <v>0</v>
      </c>
      <c r="E72">
        <v>0</v>
      </c>
      <c r="F72">
        <v>0</v>
      </c>
      <c r="G72">
        <v>0</v>
      </c>
      <c r="H72">
        <v>1</v>
      </c>
      <c r="I72">
        <v>727273</v>
      </c>
      <c r="J72">
        <v>0</v>
      </c>
      <c r="K72">
        <v>0</v>
      </c>
    </row>
    <row r="73" spans="1:11" x14ac:dyDescent="0.25">
      <c r="A73">
        <v>72</v>
      </c>
      <c r="B73" t="s">
        <v>153</v>
      </c>
      <c r="C73" t="s">
        <v>154</v>
      </c>
      <c r="D73">
        <v>100</v>
      </c>
      <c r="E73">
        <v>0</v>
      </c>
      <c r="F73">
        <v>0</v>
      </c>
      <c r="G73">
        <v>0</v>
      </c>
      <c r="H73">
        <v>0</v>
      </c>
      <c r="I73">
        <v>0</v>
      </c>
      <c r="J73">
        <v>100</v>
      </c>
      <c r="K73">
        <v>0</v>
      </c>
    </row>
    <row r="74" spans="1:11" x14ac:dyDescent="0.25">
      <c r="A74">
        <v>73</v>
      </c>
      <c r="B74" t="s">
        <v>155</v>
      </c>
      <c r="C74" t="s">
        <v>156</v>
      </c>
      <c r="D74">
        <v>168</v>
      </c>
      <c r="E74">
        <v>383566932.07878792</v>
      </c>
      <c r="F74">
        <v>7</v>
      </c>
      <c r="G74">
        <v>15654548</v>
      </c>
      <c r="H74">
        <v>1</v>
      </c>
      <c r="I74">
        <v>2045455</v>
      </c>
      <c r="J74">
        <v>174</v>
      </c>
      <c r="K74">
        <v>397176025.07878792</v>
      </c>
    </row>
    <row r="75" spans="1:11" x14ac:dyDescent="0.25">
      <c r="A75">
        <v>74</v>
      </c>
      <c r="B75" t="s">
        <v>157</v>
      </c>
      <c r="C75" t="s">
        <v>158</v>
      </c>
      <c r="D75">
        <v>139</v>
      </c>
      <c r="E75">
        <v>402387409.75098813</v>
      </c>
      <c r="F75">
        <v>7</v>
      </c>
      <c r="G75">
        <v>20409091</v>
      </c>
      <c r="H75">
        <v>7</v>
      </c>
      <c r="I75">
        <v>20800000</v>
      </c>
      <c r="J75">
        <v>139</v>
      </c>
      <c r="K75">
        <v>401996500.75098813</v>
      </c>
    </row>
    <row r="76" spans="1:11" x14ac:dyDescent="0.25">
      <c r="A76">
        <v>75</v>
      </c>
      <c r="B76" t="s">
        <v>159</v>
      </c>
      <c r="C76" t="s">
        <v>160</v>
      </c>
      <c r="D76">
        <v>9</v>
      </c>
      <c r="E76">
        <v>48675547.875</v>
      </c>
      <c r="F76">
        <v>0</v>
      </c>
      <c r="G76">
        <v>0</v>
      </c>
      <c r="H76">
        <v>0</v>
      </c>
      <c r="I76">
        <v>0</v>
      </c>
      <c r="J76">
        <v>9</v>
      </c>
      <c r="K76">
        <v>48675547.875</v>
      </c>
    </row>
    <row r="77" spans="1:11" x14ac:dyDescent="0.25">
      <c r="A77">
        <v>76</v>
      </c>
      <c r="B77" t="s">
        <v>161</v>
      </c>
      <c r="C77" t="s">
        <v>162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 x14ac:dyDescent="0.25">
      <c r="A78">
        <v>77</v>
      </c>
      <c r="B78" t="s">
        <v>163</v>
      </c>
      <c r="C78" t="s">
        <v>164</v>
      </c>
      <c r="D78">
        <v>207</v>
      </c>
      <c r="E78">
        <v>307950618.59605908</v>
      </c>
      <c r="F78">
        <v>30</v>
      </c>
      <c r="G78">
        <v>42999999</v>
      </c>
      <c r="H78">
        <v>20</v>
      </c>
      <c r="I78">
        <v>29063641</v>
      </c>
      <c r="J78">
        <v>217</v>
      </c>
      <c r="K78">
        <v>321886976.59605908</v>
      </c>
    </row>
    <row r="79" spans="1:11" x14ac:dyDescent="0.25">
      <c r="A79">
        <v>78</v>
      </c>
      <c r="B79" t="s">
        <v>165</v>
      </c>
      <c r="C79" t="s">
        <v>166</v>
      </c>
      <c r="D79">
        <v>20</v>
      </c>
      <c r="E79">
        <v>46649115</v>
      </c>
      <c r="F79">
        <v>2</v>
      </c>
      <c r="G79">
        <v>3890909</v>
      </c>
      <c r="H79">
        <v>0</v>
      </c>
      <c r="I79">
        <v>0</v>
      </c>
      <c r="J79">
        <v>22</v>
      </c>
      <c r="K79">
        <v>50540024</v>
      </c>
    </row>
    <row r="80" spans="1:11" x14ac:dyDescent="0.25">
      <c r="A80">
        <v>79</v>
      </c>
      <c r="B80" t="s">
        <v>167</v>
      </c>
      <c r="C80" t="s">
        <v>168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 x14ac:dyDescent="0.25">
      <c r="A81">
        <v>80</v>
      </c>
      <c r="B81" t="s">
        <v>169</v>
      </c>
      <c r="C81" t="s">
        <v>170</v>
      </c>
      <c r="D81">
        <v>679</v>
      </c>
      <c r="E81">
        <v>204051268.62329009</v>
      </c>
      <c r="F81">
        <v>230</v>
      </c>
      <c r="G81">
        <v>29200001</v>
      </c>
      <c r="H81">
        <v>45</v>
      </c>
      <c r="I81">
        <v>11827273</v>
      </c>
      <c r="J81">
        <v>864</v>
      </c>
      <c r="K81">
        <v>221423996.62329009</v>
      </c>
    </row>
    <row r="82" spans="1:11" x14ac:dyDescent="0.25">
      <c r="A82">
        <v>81</v>
      </c>
      <c r="B82" t="s">
        <v>171</v>
      </c>
      <c r="C82" t="s">
        <v>172</v>
      </c>
      <c r="D82">
        <v>199</v>
      </c>
      <c r="E82">
        <v>184280312.11730209</v>
      </c>
      <c r="F82">
        <v>0</v>
      </c>
      <c r="G82">
        <v>0</v>
      </c>
      <c r="H82">
        <v>3</v>
      </c>
      <c r="I82">
        <v>2696363</v>
      </c>
      <c r="J82">
        <v>196</v>
      </c>
      <c r="K82">
        <v>181583949.11730209</v>
      </c>
    </row>
    <row r="83" spans="1:11" x14ac:dyDescent="0.25">
      <c r="A83">
        <v>82</v>
      </c>
      <c r="B83" t="s">
        <v>173</v>
      </c>
      <c r="C83" t="s">
        <v>174</v>
      </c>
      <c r="D83">
        <v>99</v>
      </c>
      <c r="E83">
        <v>96027197.202380955</v>
      </c>
      <c r="F83">
        <v>0</v>
      </c>
      <c r="G83">
        <v>0</v>
      </c>
      <c r="H83">
        <v>0</v>
      </c>
      <c r="I83">
        <v>0</v>
      </c>
      <c r="J83">
        <v>99</v>
      </c>
      <c r="K83">
        <v>96027197.202380955</v>
      </c>
    </row>
    <row r="84" spans="1:11" x14ac:dyDescent="0.25">
      <c r="A84">
        <v>83</v>
      </c>
      <c r="B84" t="s">
        <v>175</v>
      </c>
      <c r="C84" t="s">
        <v>176</v>
      </c>
      <c r="D84">
        <v>7</v>
      </c>
      <c r="E84">
        <v>6787540.200000003</v>
      </c>
      <c r="F84">
        <v>0</v>
      </c>
      <c r="G84">
        <v>0</v>
      </c>
      <c r="H84">
        <v>0</v>
      </c>
      <c r="I84">
        <v>0</v>
      </c>
      <c r="J84">
        <v>7</v>
      </c>
      <c r="K84">
        <v>6787540.200000003</v>
      </c>
    </row>
    <row r="85" spans="1:11" x14ac:dyDescent="0.25">
      <c r="A85">
        <v>84</v>
      </c>
      <c r="B85" t="s">
        <v>177</v>
      </c>
      <c r="C85" t="s">
        <v>178</v>
      </c>
      <c r="D85">
        <v>21</v>
      </c>
      <c r="E85">
        <v>109483182.483871</v>
      </c>
      <c r="F85">
        <v>0</v>
      </c>
      <c r="G85">
        <v>0</v>
      </c>
      <c r="H85">
        <v>0</v>
      </c>
      <c r="I85">
        <v>0</v>
      </c>
      <c r="J85">
        <v>21</v>
      </c>
      <c r="K85">
        <v>109483182.483871</v>
      </c>
    </row>
    <row r="86" spans="1:11" x14ac:dyDescent="0.25">
      <c r="A86">
        <v>85</v>
      </c>
      <c r="B86" t="s">
        <v>179</v>
      </c>
      <c r="C86" t="s">
        <v>180</v>
      </c>
      <c r="D86">
        <v>22</v>
      </c>
      <c r="E86">
        <v>29190400.16</v>
      </c>
      <c r="F86">
        <v>0</v>
      </c>
      <c r="G86">
        <v>0</v>
      </c>
      <c r="H86">
        <v>0</v>
      </c>
      <c r="I86">
        <v>0</v>
      </c>
      <c r="J86">
        <v>22</v>
      </c>
      <c r="K86">
        <v>29190400.16</v>
      </c>
    </row>
    <row r="87" spans="1:11" x14ac:dyDescent="0.25">
      <c r="A87">
        <v>86</v>
      </c>
      <c r="B87" t="s">
        <v>181</v>
      </c>
      <c r="C87" t="s">
        <v>182</v>
      </c>
      <c r="D87">
        <v>69</v>
      </c>
      <c r="E87">
        <v>71223721.572559372</v>
      </c>
      <c r="F87">
        <v>5</v>
      </c>
      <c r="G87">
        <v>8590909</v>
      </c>
      <c r="H87">
        <v>9</v>
      </c>
      <c r="I87">
        <v>14318182</v>
      </c>
      <c r="J87">
        <v>65</v>
      </c>
      <c r="K87">
        <v>65496448.572559372</v>
      </c>
    </row>
    <row r="88" spans="1:11" x14ac:dyDescent="0.25">
      <c r="A88">
        <v>87</v>
      </c>
      <c r="B88" t="s">
        <v>183</v>
      </c>
      <c r="C88" t="s">
        <v>184</v>
      </c>
      <c r="D88">
        <v>3</v>
      </c>
      <c r="E88">
        <v>2443182.9545454532</v>
      </c>
      <c r="F88">
        <v>0</v>
      </c>
      <c r="G88">
        <v>0</v>
      </c>
      <c r="H88">
        <v>0</v>
      </c>
      <c r="I88">
        <v>0</v>
      </c>
      <c r="J88">
        <v>3</v>
      </c>
      <c r="K88">
        <v>2443182.9545454532</v>
      </c>
    </row>
    <row r="89" spans="1:11" x14ac:dyDescent="0.25">
      <c r="A89">
        <v>88</v>
      </c>
      <c r="B89" t="s">
        <v>185</v>
      </c>
      <c r="C89" t="s">
        <v>186</v>
      </c>
      <c r="D89">
        <v>1293</v>
      </c>
      <c r="E89">
        <v>387812244.74628812</v>
      </c>
      <c r="F89">
        <v>0</v>
      </c>
      <c r="G89">
        <v>0</v>
      </c>
      <c r="H89">
        <v>290</v>
      </c>
      <c r="I89">
        <v>86263654</v>
      </c>
      <c r="J89">
        <v>1003</v>
      </c>
      <c r="K89">
        <v>301548590.74628812</v>
      </c>
    </row>
    <row r="90" spans="1:11" x14ac:dyDescent="0.25">
      <c r="A90">
        <v>89</v>
      </c>
      <c r="B90" t="s">
        <v>187</v>
      </c>
      <c r="C90" t="s">
        <v>188</v>
      </c>
      <c r="D90">
        <v>246</v>
      </c>
      <c r="E90">
        <v>293320029.34957021</v>
      </c>
      <c r="F90">
        <v>8</v>
      </c>
      <c r="G90">
        <v>7436364</v>
      </c>
      <c r="H90">
        <v>56</v>
      </c>
      <c r="I90">
        <v>33045454</v>
      </c>
      <c r="J90">
        <v>198</v>
      </c>
      <c r="K90">
        <v>267710939.34957021</v>
      </c>
    </row>
    <row r="91" spans="1:11" x14ac:dyDescent="0.25">
      <c r="A91">
        <v>90</v>
      </c>
      <c r="B91" t="s">
        <v>189</v>
      </c>
      <c r="C91" t="s">
        <v>190</v>
      </c>
      <c r="D91">
        <v>128</v>
      </c>
      <c r="E91">
        <v>162880502.9923954</v>
      </c>
      <c r="F91">
        <v>3</v>
      </c>
      <c r="G91">
        <v>5318181</v>
      </c>
      <c r="H91">
        <v>10</v>
      </c>
      <c r="I91">
        <v>10945455</v>
      </c>
      <c r="J91">
        <v>121</v>
      </c>
      <c r="K91">
        <v>157253228.9923954</v>
      </c>
    </row>
    <row r="92" spans="1:11" x14ac:dyDescent="0.25">
      <c r="A92">
        <v>91</v>
      </c>
      <c r="B92" t="s">
        <v>191</v>
      </c>
      <c r="C92" t="s">
        <v>192</v>
      </c>
      <c r="D92">
        <v>68</v>
      </c>
      <c r="E92">
        <v>36006850.128078818</v>
      </c>
      <c r="F92">
        <v>11</v>
      </c>
      <c r="G92">
        <v>8805454</v>
      </c>
      <c r="H92">
        <v>10</v>
      </c>
      <c r="I92">
        <v>11809091</v>
      </c>
      <c r="J92">
        <v>69</v>
      </c>
      <c r="K92">
        <v>33003213.128078818</v>
      </c>
    </row>
    <row r="93" spans="1:11" x14ac:dyDescent="0.25">
      <c r="A93">
        <v>92</v>
      </c>
      <c r="B93" t="s">
        <v>193</v>
      </c>
      <c r="C93" t="s">
        <v>194</v>
      </c>
      <c r="D93">
        <v>36</v>
      </c>
      <c r="E93">
        <v>65975871.432558149</v>
      </c>
      <c r="F93">
        <v>6</v>
      </c>
      <c r="G93">
        <v>11672728</v>
      </c>
      <c r="H93">
        <v>8</v>
      </c>
      <c r="I93">
        <v>15200001</v>
      </c>
      <c r="J93">
        <v>34</v>
      </c>
      <c r="K93">
        <v>62448598.432558149</v>
      </c>
    </row>
    <row r="94" spans="1:11" x14ac:dyDescent="0.25">
      <c r="A94">
        <v>93</v>
      </c>
      <c r="B94" t="s">
        <v>195</v>
      </c>
      <c r="C94" t="s">
        <v>196</v>
      </c>
      <c r="D94">
        <v>531</v>
      </c>
      <c r="E94">
        <v>139637962.61556071</v>
      </c>
      <c r="F94">
        <v>13</v>
      </c>
      <c r="G94">
        <v>17590910</v>
      </c>
      <c r="H94">
        <v>141</v>
      </c>
      <c r="I94">
        <v>33290909</v>
      </c>
      <c r="J94">
        <v>403</v>
      </c>
      <c r="K94">
        <v>123937963.6155607</v>
      </c>
    </row>
    <row r="95" spans="1:11" x14ac:dyDescent="0.25">
      <c r="A95">
        <v>94</v>
      </c>
      <c r="B95" t="s">
        <v>197</v>
      </c>
      <c r="C95" t="s">
        <v>198</v>
      </c>
      <c r="D95">
        <v>32</v>
      </c>
      <c r="E95">
        <v>3868183</v>
      </c>
      <c r="F95">
        <v>0</v>
      </c>
      <c r="G95">
        <v>0</v>
      </c>
      <c r="H95">
        <v>1</v>
      </c>
      <c r="I95">
        <v>409091</v>
      </c>
      <c r="J95">
        <v>31</v>
      </c>
      <c r="K95">
        <v>3459092</v>
      </c>
    </row>
    <row r="96" spans="1:11" x14ac:dyDescent="0.25">
      <c r="A96">
        <v>95</v>
      </c>
      <c r="B96" t="s">
        <v>199</v>
      </c>
      <c r="C96" t="s">
        <v>200</v>
      </c>
      <c r="D96">
        <v>68</v>
      </c>
      <c r="E96">
        <v>3673370.0819672118</v>
      </c>
      <c r="F96">
        <v>0</v>
      </c>
      <c r="G96">
        <v>0</v>
      </c>
      <c r="H96">
        <v>0</v>
      </c>
      <c r="I96">
        <v>0</v>
      </c>
      <c r="J96">
        <v>68</v>
      </c>
      <c r="K96">
        <v>3673370.0819672118</v>
      </c>
    </row>
    <row r="97" spans="1:11" x14ac:dyDescent="0.25">
      <c r="A97">
        <v>96</v>
      </c>
      <c r="B97" t="s">
        <v>201</v>
      </c>
      <c r="C97" t="s">
        <v>202</v>
      </c>
      <c r="D97">
        <v>1793</v>
      </c>
      <c r="E97">
        <v>192152456.4361957</v>
      </c>
      <c r="F97">
        <v>19</v>
      </c>
      <c r="G97">
        <v>8672730</v>
      </c>
      <c r="H97">
        <v>14</v>
      </c>
      <c r="I97">
        <v>10781817</v>
      </c>
      <c r="J97">
        <v>1798</v>
      </c>
      <c r="K97">
        <v>190043369.4361957</v>
      </c>
    </row>
    <row r="98" spans="1:11" x14ac:dyDescent="0.25">
      <c r="A98">
        <v>97</v>
      </c>
      <c r="B98" t="s">
        <v>203</v>
      </c>
      <c r="C98" t="s">
        <v>204</v>
      </c>
      <c r="D98">
        <v>364</v>
      </c>
      <c r="E98">
        <v>66746183.620727673</v>
      </c>
      <c r="F98">
        <v>0</v>
      </c>
      <c r="G98">
        <v>0</v>
      </c>
      <c r="H98">
        <v>58</v>
      </c>
      <c r="I98">
        <v>11886358</v>
      </c>
      <c r="J98">
        <v>306</v>
      </c>
      <c r="K98">
        <v>54859825.620727673</v>
      </c>
    </row>
    <row r="99" spans="1:11" x14ac:dyDescent="0.25">
      <c r="A99">
        <v>98</v>
      </c>
      <c r="B99" t="s">
        <v>205</v>
      </c>
      <c r="C99" t="s">
        <v>206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 x14ac:dyDescent="0.25">
      <c r="A100">
        <v>99</v>
      </c>
      <c r="B100" t="s">
        <v>207</v>
      </c>
      <c r="C100" t="s">
        <v>208</v>
      </c>
      <c r="D100">
        <v>0</v>
      </c>
      <c r="E100">
        <v>244513.75862069431</v>
      </c>
      <c r="F100">
        <v>10</v>
      </c>
      <c r="G100">
        <v>3090910</v>
      </c>
      <c r="H100">
        <v>0</v>
      </c>
      <c r="I100">
        <v>0</v>
      </c>
      <c r="J100">
        <v>10</v>
      </c>
      <c r="K100">
        <v>3335423.7586206938</v>
      </c>
    </row>
    <row r="101" spans="1:11" x14ac:dyDescent="0.25">
      <c r="A101">
        <v>100</v>
      </c>
      <c r="B101" t="s">
        <v>209</v>
      </c>
      <c r="C101" t="s">
        <v>210</v>
      </c>
      <c r="D101">
        <v>5</v>
      </c>
      <c r="E101">
        <v>5229125</v>
      </c>
      <c r="F101">
        <v>0</v>
      </c>
      <c r="G101">
        <v>0</v>
      </c>
      <c r="H101">
        <v>0</v>
      </c>
      <c r="I101">
        <v>0</v>
      </c>
      <c r="J101">
        <v>5</v>
      </c>
      <c r="K101">
        <v>5229125</v>
      </c>
    </row>
    <row r="102" spans="1:11" x14ac:dyDescent="0.25">
      <c r="A102">
        <v>101</v>
      </c>
      <c r="B102" t="s">
        <v>211</v>
      </c>
      <c r="C102" t="s">
        <v>212</v>
      </c>
      <c r="D102">
        <v>222</v>
      </c>
      <c r="E102">
        <v>121636145.6692913</v>
      </c>
      <c r="F102">
        <v>15</v>
      </c>
      <c r="G102">
        <v>6313637</v>
      </c>
      <c r="H102">
        <v>2</v>
      </c>
      <c r="I102">
        <v>181818</v>
      </c>
      <c r="J102">
        <v>235</v>
      </c>
      <c r="K102">
        <v>127767964.6692913</v>
      </c>
    </row>
    <row r="103" spans="1:11" x14ac:dyDescent="0.25">
      <c r="A103">
        <v>102</v>
      </c>
      <c r="B103" t="s">
        <v>213</v>
      </c>
      <c r="C103" t="s">
        <v>214</v>
      </c>
      <c r="D103">
        <v>2</v>
      </c>
      <c r="E103">
        <v>2309091</v>
      </c>
      <c r="F103">
        <v>0</v>
      </c>
      <c r="G103">
        <v>0</v>
      </c>
      <c r="H103">
        <v>0</v>
      </c>
      <c r="I103">
        <v>0</v>
      </c>
      <c r="J103">
        <v>2</v>
      </c>
      <c r="K103">
        <v>2309091</v>
      </c>
    </row>
    <row r="104" spans="1:11" x14ac:dyDescent="0.25">
      <c r="A104">
        <v>103</v>
      </c>
      <c r="B104" t="s">
        <v>215</v>
      </c>
      <c r="C104" t="s">
        <v>216</v>
      </c>
      <c r="D104">
        <v>1989</v>
      </c>
      <c r="E104">
        <v>244980358.46378449</v>
      </c>
      <c r="F104">
        <v>77</v>
      </c>
      <c r="G104">
        <v>9915446</v>
      </c>
      <c r="H104">
        <v>59</v>
      </c>
      <c r="I104">
        <v>8818183</v>
      </c>
      <c r="J104">
        <v>2007</v>
      </c>
      <c r="K104">
        <v>246077621.46378449</v>
      </c>
    </row>
    <row r="105" spans="1:11" x14ac:dyDescent="0.25">
      <c r="A105">
        <v>104</v>
      </c>
      <c r="B105" t="s">
        <v>217</v>
      </c>
      <c r="C105" t="s">
        <v>218</v>
      </c>
      <c r="D105">
        <v>264</v>
      </c>
      <c r="E105">
        <v>107001713.9929824</v>
      </c>
      <c r="F105">
        <v>0</v>
      </c>
      <c r="G105">
        <v>0</v>
      </c>
      <c r="H105">
        <v>0</v>
      </c>
      <c r="I105">
        <v>0</v>
      </c>
      <c r="J105">
        <v>264</v>
      </c>
      <c r="K105">
        <v>107001713.9929824</v>
      </c>
    </row>
    <row r="106" spans="1:11" x14ac:dyDescent="0.25">
      <c r="A106">
        <v>105</v>
      </c>
      <c r="B106" t="s">
        <v>219</v>
      </c>
      <c r="C106" t="s">
        <v>220</v>
      </c>
      <c r="D106">
        <v>685</v>
      </c>
      <c r="E106">
        <v>224528927.6902304</v>
      </c>
      <c r="F106">
        <v>0</v>
      </c>
      <c r="G106">
        <v>0</v>
      </c>
      <c r="H106">
        <v>88</v>
      </c>
      <c r="I106">
        <v>6400024</v>
      </c>
      <c r="J106">
        <v>597</v>
      </c>
      <c r="K106">
        <v>218128903.6902304</v>
      </c>
    </row>
    <row r="107" spans="1:11" x14ac:dyDescent="0.25">
      <c r="A107">
        <v>106</v>
      </c>
      <c r="B107" t="s">
        <v>221</v>
      </c>
      <c r="C107" t="s">
        <v>222</v>
      </c>
      <c r="D107">
        <v>7</v>
      </c>
      <c r="E107">
        <v>10317410.32912937</v>
      </c>
      <c r="F107">
        <v>28</v>
      </c>
      <c r="G107">
        <v>5572727</v>
      </c>
      <c r="H107">
        <v>61</v>
      </c>
      <c r="I107">
        <v>11581818</v>
      </c>
      <c r="J107">
        <v>0</v>
      </c>
      <c r="K107">
        <v>4308319.3291293681</v>
      </c>
    </row>
    <row r="108" spans="1:11" x14ac:dyDescent="0.25">
      <c r="A108">
        <v>107</v>
      </c>
      <c r="B108" t="s">
        <v>223</v>
      </c>
      <c r="C108" t="s">
        <v>224</v>
      </c>
      <c r="D108">
        <v>9</v>
      </c>
      <c r="E108">
        <v>4562119.75</v>
      </c>
      <c r="F108">
        <v>0</v>
      </c>
      <c r="G108">
        <v>0</v>
      </c>
      <c r="H108">
        <v>0</v>
      </c>
      <c r="I108">
        <v>0</v>
      </c>
      <c r="J108">
        <v>9</v>
      </c>
      <c r="K108">
        <v>4562119.75</v>
      </c>
    </row>
    <row r="109" spans="1:11" x14ac:dyDescent="0.25">
      <c r="A109">
        <v>108</v>
      </c>
      <c r="B109" t="s">
        <v>225</v>
      </c>
      <c r="C109" t="s">
        <v>226</v>
      </c>
      <c r="D109">
        <v>349</v>
      </c>
      <c r="E109">
        <v>91171083.850046858</v>
      </c>
      <c r="F109">
        <v>21</v>
      </c>
      <c r="G109">
        <v>13738182</v>
      </c>
      <c r="H109">
        <v>42</v>
      </c>
      <c r="I109">
        <v>20727273</v>
      </c>
      <c r="J109">
        <v>328</v>
      </c>
      <c r="K109">
        <v>84181992.850046858</v>
      </c>
    </row>
    <row r="110" spans="1:11" x14ac:dyDescent="0.25">
      <c r="A110">
        <v>109</v>
      </c>
      <c r="B110" t="s">
        <v>227</v>
      </c>
      <c r="C110" t="s">
        <v>228</v>
      </c>
      <c r="D110">
        <v>363</v>
      </c>
      <c r="E110">
        <v>137100210.1661891</v>
      </c>
      <c r="F110">
        <v>0</v>
      </c>
      <c r="G110">
        <v>0</v>
      </c>
      <c r="H110">
        <v>37</v>
      </c>
      <c r="I110">
        <v>13481821</v>
      </c>
      <c r="J110">
        <v>326</v>
      </c>
      <c r="K110">
        <v>123618389.1661891</v>
      </c>
    </row>
    <row r="111" spans="1:11" x14ac:dyDescent="0.25">
      <c r="A111">
        <v>110</v>
      </c>
      <c r="B111" t="s">
        <v>229</v>
      </c>
      <c r="C111" t="s">
        <v>230</v>
      </c>
      <c r="D111">
        <v>48</v>
      </c>
      <c r="E111">
        <v>3587584.8936170209</v>
      </c>
      <c r="F111">
        <v>0</v>
      </c>
      <c r="G111">
        <v>0</v>
      </c>
      <c r="H111">
        <v>0</v>
      </c>
      <c r="I111">
        <v>0</v>
      </c>
      <c r="J111">
        <v>48</v>
      </c>
      <c r="K111">
        <v>3587584.8936170209</v>
      </c>
    </row>
    <row r="112" spans="1:11" x14ac:dyDescent="0.25">
      <c r="A112">
        <v>111</v>
      </c>
      <c r="B112" t="s">
        <v>231</v>
      </c>
      <c r="C112" t="s">
        <v>232</v>
      </c>
      <c r="D112">
        <v>111</v>
      </c>
      <c r="E112">
        <v>44160521.259079903</v>
      </c>
      <c r="F112">
        <v>3</v>
      </c>
      <c r="G112">
        <v>1009091</v>
      </c>
      <c r="H112">
        <v>20</v>
      </c>
      <c r="I112">
        <v>6727280</v>
      </c>
      <c r="J112">
        <v>94</v>
      </c>
      <c r="K112">
        <v>38442332.259079903</v>
      </c>
    </row>
    <row r="113" spans="1:11" x14ac:dyDescent="0.25">
      <c r="A113">
        <v>112</v>
      </c>
      <c r="B113" t="s">
        <v>233</v>
      </c>
      <c r="C113" t="s">
        <v>234</v>
      </c>
      <c r="D113">
        <v>980</v>
      </c>
      <c r="E113">
        <v>367845438.39026397</v>
      </c>
      <c r="F113">
        <v>0</v>
      </c>
      <c r="G113">
        <v>0</v>
      </c>
      <c r="H113">
        <v>17</v>
      </c>
      <c r="I113">
        <v>3763637</v>
      </c>
      <c r="J113">
        <v>963</v>
      </c>
      <c r="K113">
        <v>364081801.39026397</v>
      </c>
    </row>
    <row r="114" spans="1:11" x14ac:dyDescent="0.25">
      <c r="A114">
        <v>113</v>
      </c>
      <c r="B114" t="s">
        <v>235</v>
      </c>
      <c r="C114" t="s">
        <v>236</v>
      </c>
      <c r="D114">
        <v>40</v>
      </c>
      <c r="E114">
        <v>18284689.620689649</v>
      </c>
      <c r="F114">
        <v>0</v>
      </c>
      <c r="G114">
        <v>0</v>
      </c>
      <c r="H114">
        <v>3</v>
      </c>
      <c r="I114">
        <v>2027273</v>
      </c>
      <c r="J114">
        <v>37</v>
      </c>
      <c r="K114">
        <v>16257416.620689649</v>
      </c>
    </row>
    <row r="115" spans="1:11" x14ac:dyDescent="0.25">
      <c r="A115">
        <v>114</v>
      </c>
      <c r="B115" t="s">
        <v>237</v>
      </c>
      <c r="C115" t="s">
        <v>238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 x14ac:dyDescent="0.25">
      <c r="A116">
        <v>115</v>
      </c>
      <c r="B116" t="s">
        <v>239</v>
      </c>
      <c r="C116" t="s">
        <v>240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 x14ac:dyDescent="0.25">
      <c r="A117">
        <v>116</v>
      </c>
      <c r="B117" t="s">
        <v>241</v>
      </c>
      <c r="C117" t="s">
        <v>242</v>
      </c>
      <c r="D117">
        <v>1</v>
      </c>
      <c r="E117">
        <v>2400000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2400000</v>
      </c>
    </row>
    <row r="118" spans="1:11" x14ac:dyDescent="0.25">
      <c r="A118">
        <v>117</v>
      </c>
      <c r="B118" t="s">
        <v>243</v>
      </c>
      <c r="C118" t="s">
        <v>244</v>
      </c>
      <c r="D118">
        <v>1</v>
      </c>
      <c r="E118">
        <v>2200000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2200000</v>
      </c>
    </row>
    <row r="119" spans="1:11" x14ac:dyDescent="0.25">
      <c r="A119">
        <v>118</v>
      </c>
      <c r="B119" t="s">
        <v>245</v>
      </c>
      <c r="C119" t="s">
        <v>246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 x14ac:dyDescent="0.25">
      <c r="A120">
        <v>119</v>
      </c>
      <c r="B120" t="s">
        <v>247</v>
      </c>
      <c r="C120" t="s">
        <v>248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</row>
    <row r="121" spans="1:11" x14ac:dyDescent="0.25">
      <c r="A121">
        <v>120</v>
      </c>
      <c r="B121" t="s">
        <v>249</v>
      </c>
      <c r="C121" t="s">
        <v>250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 x14ac:dyDescent="0.25">
      <c r="A122">
        <v>121</v>
      </c>
      <c r="B122" t="s">
        <v>251</v>
      </c>
      <c r="C122" t="s">
        <v>252</v>
      </c>
      <c r="D122">
        <v>6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6</v>
      </c>
      <c r="K122">
        <v>0</v>
      </c>
    </row>
    <row r="123" spans="1:11" x14ac:dyDescent="0.25">
      <c r="A123">
        <v>122</v>
      </c>
      <c r="B123" t="s">
        <v>253</v>
      </c>
      <c r="C123" t="s">
        <v>254</v>
      </c>
      <c r="D123">
        <v>6</v>
      </c>
      <c r="E123">
        <v>19107793.616306961</v>
      </c>
      <c r="F123">
        <v>0</v>
      </c>
      <c r="G123">
        <v>0</v>
      </c>
      <c r="H123">
        <v>0</v>
      </c>
      <c r="I123">
        <v>0</v>
      </c>
      <c r="J123">
        <v>6</v>
      </c>
      <c r="K123">
        <v>19107793.616306961</v>
      </c>
    </row>
    <row r="124" spans="1:11" x14ac:dyDescent="0.25">
      <c r="A124">
        <v>123</v>
      </c>
      <c r="B124" t="s">
        <v>255</v>
      </c>
      <c r="C124" t="s">
        <v>256</v>
      </c>
      <c r="D124">
        <v>41</v>
      </c>
      <c r="E124">
        <v>23422515.84722222</v>
      </c>
      <c r="F124">
        <v>0</v>
      </c>
      <c r="G124">
        <v>0</v>
      </c>
      <c r="H124">
        <v>0</v>
      </c>
      <c r="I124">
        <v>0</v>
      </c>
      <c r="J124">
        <v>41</v>
      </c>
      <c r="K124">
        <v>23422515.84722222</v>
      </c>
    </row>
    <row r="125" spans="1:11" x14ac:dyDescent="0.25">
      <c r="A125">
        <v>124</v>
      </c>
      <c r="B125" t="s">
        <v>257</v>
      </c>
      <c r="C125" t="s">
        <v>258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 x14ac:dyDescent="0.25">
      <c r="A126">
        <v>125</v>
      </c>
      <c r="B126" t="s">
        <v>259</v>
      </c>
      <c r="C126" t="s">
        <v>260</v>
      </c>
      <c r="D126">
        <v>675</v>
      </c>
      <c r="E126">
        <v>376671528.2321918</v>
      </c>
      <c r="F126">
        <v>43</v>
      </c>
      <c r="G126">
        <v>73668190</v>
      </c>
      <c r="H126">
        <v>31</v>
      </c>
      <c r="I126">
        <v>18272725</v>
      </c>
      <c r="J126">
        <v>687</v>
      </c>
      <c r="K126">
        <v>432066993.2321918</v>
      </c>
    </row>
    <row r="127" spans="1:11" x14ac:dyDescent="0.25">
      <c r="A127">
        <v>126</v>
      </c>
      <c r="B127" t="s">
        <v>261</v>
      </c>
      <c r="C127" t="s">
        <v>262</v>
      </c>
      <c r="D127">
        <v>6</v>
      </c>
      <c r="E127">
        <v>2225742.1428571432</v>
      </c>
      <c r="F127">
        <v>0</v>
      </c>
      <c r="G127">
        <v>0</v>
      </c>
      <c r="H127">
        <v>0</v>
      </c>
      <c r="I127">
        <v>0</v>
      </c>
      <c r="J127">
        <v>6</v>
      </c>
      <c r="K127">
        <v>2225742.1428571432</v>
      </c>
    </row>
    <row r="128" spans="1:11" x14ac:dyDescent="0.25">
      <c r="A128">
        <v>127</v>
      </c>
      <c r="B128" t="s">
        <v>263</v>
      </c>
      <c r="C128" t="s">
        <v>264</v>
      </c>
      <c r="D128">
        <v>11</v>
      </c>
      <c r="E128">
        <v>11003537.40909091</v>
      </c>
      <c r="F128">
        <v>1</v>
      </c>
      <c r="G128">
        <v>1409091</v>
      </c>
      <c r="H128">
        <v>1</v>
      </c>
      <c r="I128">
        <v>1718181</v>
      </c>
      <c r="J128">
        <v>11</v>
      </c>
      <c r="K128">
        <v>10694447.40909091</v>
      </c>
    </row>
    <row r="129" spans="1:11" x14ac:dyDescent="0.25">
      <c r="A129">
        <v>128</v>
      </c>
      <c r="B129" t="s">
        <v>265</v>
      </c>
      <c r="C129" t="s">
        <v>266</v>
      </c>
      <c r="D129">
        <v>17</v>
      </c>
      <c r="E129">
        <v>34299617.75</v>
      </c>
      <c r="F129">
        <v>1</v>
      </c>
      <c r="G129">
        <v>3163636</v>
      </c>
      <c r="H129">
        <v>0</v>
      </c>
      <c r="I129">
        <v>0</v>
      </c>
      <c r="J129">
        <v>18</v>
      </c>
      <c r="K129">
        <v>37463253.75</v>
      </c>
    </row>
    <row r="130" spans="1:11" x14ac:dyDescent="0.25">
      <c r="A130">
        <v>129</v>
      </c>
      <c r="B130" t="s">
        <v>267</v>
      </c>
      <c r="C130" t="s">
        <v>268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1:11" x14ac:dyDescent="0.25">
      <c r="A131">
        <v>130</v>
      </c>
      <c r="B131" t="s">
        <v>269</v>
      </c>
      <c r="C131" t="s">
        <v>270</v>
      </c>
      <c r="D131">
        <v>237</v>
      </c>
      <c r="E131">
        <v>139086704.5194805</v>
      </c>
      <c r="F131">
        <v>6</v>
      </c>
      <c r="G131">
        <v>4609092</v>
      </c>
      <c r="H131">
        <v>2</v>
      </c>
      <c r="I131">
        <v>1490910</v>
      </c>
      <c r="J131">
        <v>241</v>
      </c>
      <c r="K131">
        <v>142204886.5194805</v>
      </c>
    </row>
    <row r="132" spans="1:11" x14ac:dyDescent="0.25">
      <c r="A132">
        <v>131</v>
      </c>
      <c r="B132" t="s">
        <v>271</v>
      </c>
      <c r="C132" t="s">
        <v>272</v>
      </c>
      <c r="D132">
        <v>110</v>
      </c>
      <c r="E132">
        <v>13823046.7489301</v>
      </c>
      <c r="F132">
        <v>12</v>
      </c>
      <c r="G132">
        <v>11672724</v>
      </c>
      <c r="H132">
        <v>0</v>
      </c>
      <c r="I132">
        <v>0</v>
      </c>
      <c r="J132">
        <v>122</v>
      </c>
      <c r="K132">
        <v>25495770.7489301</v>
      </c>
    </row>
    <row r="133" spans="1:11" x14ac:dyDescent="0.25">
      <c r="A133">
        <v>132</v>
      </c>
      <c r="B133" t="s">
        <v>273</v>
      </c>
      <c r="C133" t="s">
        <v>274</v>
      </c>
      <c r="D133">
        <v>346</v>
      </c>
      <c r="E133">
        <v>104123271.7694118</v>
      </c>
      <c r="F133">
        <v>24</v>
      </c>
      <c r="G133">
        <v>2977275</v>
      </c>
      <c r="H133">
        <v>17</v>
      </c>
      <c r="I133">
        <v>4327272</v>
      </c>
      <c r="J133">
        <v>353</v>
      </c>
      <c r="K133">
        <v>102773274.7694118</v>
      </c>
    </row>
    <row r="134" spans="1:11" x14ac:dyDescent="0.25">
      <c r="A134">
        <v>133</v>
      </c>
      <c r="B134" t="s">
        <v>275</v>
      </c>
      <c r="C134" t="s">
        <v>276</v>
      </c>
      <c r="D134">
        <v>143</v>
      </c>
      <c r="E134">
        <v>43547053.084337354</v>
      </c>
      <c r="F134">
        <v>27</v>
      </c>
      <c r="G134">
        <v>7063637</v>
      </c>
      <c r="H134">
        <v>35</v>
      </c>
      <c r="I134">
        <v>14533633</v>
      </c>
      <c r="J134">
        <v>135</v>
      </c>
      <c r="K134">
        <v>36077057.084337354</v>
      </c>
    </row>
    <row r="135" spans="1:11" x14ac:dyDescent="0.25">
      <c r="A135">
        <v>134</v>
      </c>
      <c r="B135" t="s">
        <v>277</v>
      </c>
      <c r="C135" t="s">
        <v>278</v>
      </c>
      <c r="D135">
        <v>4</v>
      </c>
      <c r="E135">
        <v>686195.57142857136</v>
      </c>
      <c r="F135">
        <v>0</v>
      </c>
      <c r="G135">
        <v>0</v>
      </c>
      <c r="H135">
        <v>0</v>
      </c>
      <c r="I135">
        <v>0</v>
      </c>
      <c r="J135">
        <v>4</v>
      </c>
      <c r="K135">
        <v>686195.57142857136</v>
      </c>
    </row>
    <row r="136" spans="1:11" x14ac:dyDescent="0.25">
      <c r="A136">
        <v>135</v>
      </c>
      <c r="B136" t="s">
        <v>279</v>
      </c>
      <c r="C136" t="s">
        <v>280</v>
      </c>
      <c r="D136">
        <v>19</v>
      </c>
      <c r="E136">
        <v>2482173.368421053</v>
      </c>
      <c r="F136">
        <v>10</v>
      </c>
      <c r="G136">
        <v>909091</v>
      </c>
      <c r="H136">
        <v>1</v>
      </c>
      <c r="I136">
        <v>145454</v>
      </c>
      <c r="J136">
        <v>28</v>
      </c>
      <c r="K136">
        <v>3245810.368421053</v>
      </c>
    </row>
    <row r="137" spans="1:11" x14ac:dyDescent="0.25">
      <c r="A137">
        <v>136</v>
      </c>
      <c r="B137" t="s">
        <v>281</v>
      </c>
      <c r="C137" t="s">
        <v>282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 x14ac:dyDescent="0.25">
      <c r="A138">
        <v>137</v>
      </c>
      <c r="B138" t="s">
        <v>283</v>
      </c>
      <c r="C138" t="s">
        <v>284</v>
      </c>
      <c r="D138">
        <v>22</v>
      </c>
      <c r="E138">
        <v>18789567.860465121</v>
      </c>
      <c r="F138">
        <v>4</v>
      </c>
      <c r="G138">
        <v>2400000</v>
      </c>
      <c r="H138">
        <v>2</v>
      </c>
      <c r="I138">
        <v>1181818</v>
      </c>
      <c r="J138">
        <v>24</v>
      </c>
      <c r="K138">
        <v>20007749.860465121</v>
      </c>
    </row>
    <row r="139" spans="1:11" x14ac:dyDescent="0.25">
      <c r="A139">
        <v>138</v>
      </c>
      <c r="B139" t="s">
        <v>285</v>
      </c>
      <c r="C139" t="s">
        <v>286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</row>
    <row r="140" spans="1:11" x14ac:dyDescent="0.25">
      <c r="A140">
        <v>139</v>
      </c>
      <c r="B140" t="s">
        <v>287</v>
      </c>
      <c r="C140" t="s">
        <v>288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1" x14ac:dyDescent="0.25">
      <c r="A141">
        <v>140</v>
      </c>
      <c r="B141" t="s">
        <v>289</v>
      </c>
      <c r="C141" t="s">
        <v>290</v>
      </c>
      <c r="D141">
        <v>7</v>
      </c>
      <c r="E141">
        <v>589354.83870968223</v>
      </c>
      <c r="F141">
        <v>2</v>
      </c>
      <c r="G141">
        <v>12100000</v>
      </c>
      <c r="H141">
        <v>2</v>
      </c>
      <c r="I141">
        <v>22940000</v>
      </c>
      <c r="J141">
        <v>7</v>
      </c>
      <c r="K141">
        <v>0</v>
      </c>
    </row>
    <row r="142" spans="1:11" x14ac:dyDescent="0.25">
      <c r="A142">
        <v>141</v>
      </c>
      <c r="B142" t="s">
        <v>291</v>
      </c>
      <c r="C142" t="s">
        <v>292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 x14ac:dyDescent="0.25">
      <c r="A143">
        <v>142</v>
      </c>
      <c r="B143" t="s">
        <v>293</v>
      </c>
      <c r="C143" t="s">
        <v>294</v>
      </c>
      <c r="D143">
        <v>93</v>
      </c>
      <c r="E143">
        <v>17276168.115942031</v>
      </c>
      <c r="F143">
        <v>1</v>
      </c>
      <c r="G143">
        <v>2870000</v>
      </c>
      <c r="H143">
        <v>3</v>
      </c>
      <c r="I143">
        <v>3935000</v>
      </c>
      <c r="J143">
        <v>91</v>
      </c>
      <c r="K143">
        <v>16211168.115942029</v>
      </c>
    </row>
    <row r="144" spans="1:11" x14ac:dyDescent="0.25">
      <c r="A144">
        <v>143</v>
      </c>
      <c r="B144" t="s">
        <v>295</v>
      </c>
      <c r="C144" t="s">
        <v>296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 x14ac:dyDescent="0.25">
      <c r="A145">
        <v>144</v>
      </c>
      <c r="B145" t="s">
        <v>297</v>
      </c>
      <c r="C145" t="s">
        <v>298</v>
      </c>
      <c r="D145">
        <v>16</v>
      </c>
      <c r="E145">
        <v>2555953.1515151509</v>
      </c>
      <c r="F145">
        <v>0</v>
      </c>
      <c r="G145">
        <v>0</v>
      </c>
      <c r="H145">
        <v>0</v>
      </c>
      <c r="I145">
        <v>0</v>
      </c>
      <c r="J145">
        <v>16</v>
      </c>
      <c r="K145">
        <v>2555953.1515151509</v>
      </c>
    </row>
    <row r="146" spans="1:11" x14ac:dyDescent="0.25">
      <c r="A146">
        <v>145</v>
      </c>
      <c r="B146" t="s">
        <v>299</v>
      </c>
      <c r="C146" t="s">
        <v>300</v>
      </c>
      <c r="D146">
        <v>1814.3219999999999</v>
      </c>
      <c r="E146">
        <v>925713266.48000002</v>
      </c>
      <c r="F146">
        <v>1219.835</v>
      </c>
      <c r="G146">
        <v>173178990</v>
      </c>
      <c r="H146">
        <v>263</v>
      </c>
      <c r="I146">
        <v>263364789</v>
      </c>
      <c r="J146">
        <v>2771.1570000000002</v>
      </c>
      <c r="K146">
        <v>835527467.48000002</v>
      </c>
    </row>
    <row r="147" spans="1:11" x14ac:dyDescent="0.25">
      <c r="A147" t="s">
        <v>301</v>
      </c>
      <c r="D147">
        <v>24122.322</v>
      </c>
      <c r="E147">
        <v>23756374652.167789</v>
      </c>
      <c r="F147">
        <v>2441.835</v>
      </c>
      <c r="G147">
        <v>2307228220.1700001</v>
      </c>
      <c r="H147">
        <v>2464</v>
      </c>
      <c r="I147">
        <v>3269204509</v>
      </c>
      <c r="J147">
        <v>24169.156999999999</v>
      </c>
      <c r="K147">
        <v>23182958280.297779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47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t="s">
        <v>11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5">
      <c r="A3">
        <v>2</v>
      </c>
      <c r="B3" t="s">
        <v>13</v>
      </c>
      <c r="C3" t="s">
        <v>14</v>
      </c>
      <c r="D3">
        <v>13</v>
      </c>
      <c r="E3">
        <v>98275173</v>
      </c>
      <c r="F3">
        <v>0</v>
      </c>
      <c r="G3">
        <v>0</v>
      </c>
      <c r="H3">
        <v>0</v>
      </c>
      <c r="I3">
        <v>0</v>
      </c>
      <c r="J3">
        <v>13</v>
      </c>
      <c r="K3">
        <v>98275173</v>
      </c>
    </row>
    <row r="4" spans="1:11" x14ac:dyDescent="0.25">
      <c r="A4">
        <v>3</v>
      </c>
      <c r="B4" t="s">
        <v>15</v>
      </c>
      <c r="C4" t="s">
        <v>16</v>
      </c>
      <c r="D4">
        <v>237</v>
      </c>
      <c r="E4">
        <v>2457406995.201292</v>
      </c>
      <c r="F4">
        <v>15</v>
      </c>
      <c r="G4">
        <v>224351852</v>
      </c>
      <c r="H4">
        <v>1</v>
      </c>
      <c r="I4">
        <v>13888889</v>
      </c>
      <c r="J4">
        <v>251</v>
      </c>
      <c r="K4">
        <v>2667869958.201292</v>
      </c>
    </row>
    <row r="5" spans="1:11" x14ac:dyDescent="0.25">
      <c r="A5">
        <v>4</v>
      </c>
      <c r="B5" t="s">
        <v>17</v>
      </c>
      <c r="C5" t="s">
        <v>18</v>
      </c>
      <c r="D5">
        <v>1</v>
      </c>
      <c r="E5">
        <v>29283636</v>
      </c>
      <c r="F5">
        <v>0</v>
      </c>
      <c r="G5">
        <v>0</v>
      </c>
      <c r="H5">
        <v>0</v>
      </c>
      <c r="I5">
        <v>0</v>
      </c>
      <c r="J5">
        <v>1</v>
      </c>
      <c r="K5">
        <v>29283636</v>
      </c>
    </row>
    <row r="6" spans="1:11" x14ac:dyDescent="0.25">
      <c r="A6">
        <v>5</v>
      </c>
      <c r="B6" t="s">
        <v>19</v>
      </c>
      <c r="C6" t="s">
        <v>20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5">
      <c r="A7">
        <v>6</v>
      </c>
      <c r="B7" t="s">
        <v>21</v>
      </c>
      <c r="C7" t="s">
        <v>22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5">
      <c r="A8">
        <v>7</v>
      </c>
      <c r="B8" t="s">
        <v>23</v>
      </c>
      <c r="C8" t="s">
        <v>24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5">
      <c r="A9">
        <v>8</v>
      </c>
      <c r="B9" t="s">
        <v>25</v>
      </c>
      <c r="C9" t="s">
        <v>26</v>
      </c>
      <c r="D9">
        <v>14</v>
      </c>
      <c r="E9">
        <v>53164451.450000003</v>
      </c>
      <c r="F9">
        <v>0</v>
      </c>
      <c r="G9">
        <v>0</v>
      </c>
      <c r="H9">
        <v>0</v>
      </c>
      <c r="I9">
        <v>0</v>
      </c>
      <c r="J9">
        <v>14</v>
      </c>
      <c r="K9">
        <v>53164451.450000003</v>
      </c>
    </row>
    <row r="10" spans="1:11" x14ac:dyDescent="0.25">
      <c r="A10">
        <v>9</v>
      </c>
      <c r="B10" t="s">
        <v>27</v>
      </c>
      <c r="C10" t="s">
        <v>28</v>
      </c>
      <c r="D10">
        <v>405</v>
      </c>
      <c r="E10">
        <v>1318167314.5951941</v>
      </c>
      <c r="F10">
        <v>6</v>
      </c>
      <c r="G10">
        <v>24607407</v>
      </c>
      <c r="H10">
        <v>23</v>
      </c>
      <c r="I10">
        <v>244342591</v>
      </c>
      <c r="J10">
        <v>388</v>
      </c>
      <c r="K10">
        <v>1098432130.5951941</v>
      </c>
    </row>
    <row r="11" spans="1:11" x14ac:dyDescent="0.25">
      <c r="A11">
        <v>10</v>
      </c>
      <c r="B11" t="s">
        <v>29</v>
      </c>
      <c r="C11" t="s">
        <v>30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5">
      <c r="A12">
        <v>11</v>
      </c>
      <c r="B12" t="s">
        <v>31</v>
      </c>
      <c r="C12" t="s">
        <v>32</v>
      </c>
      <c r="D12">
        <v>412</v>
      </c>
      <c r="E12">
        <v>4964849062.2191219</v>
      </c>
      <c r="F12">
        <v>20</v>
      </c>
      <c r="G12">
        <v>268527775</v>
      </c>
      <c r="H12">
        <v>9</v>
      </c>
      <c r="I12">
        <v>142638890</v>
      </c>
      <c r="J12">
        <v>423</v>
      </c>
      <c r="K12">
        <v>5090737947.2191219</v>
      </c>
    </row>
    <row r="13" spans="1:11" x14ac:dyDescent="0.25">
      <c r="A13">
        <v>12</v>
      </c>
      <c r="B13" t="s">
        <v>33</v>
      </c>
      <c r="C13" t="s">
        <v>34</v>
      </c>
      <c r="D13">
        <v>42</v>
      </c>
      <c r="E13">
        <v>768766962.76923084</v>
      </c>
      <c r="F13">
        <v>0</v>
      </c>
      <c r="G13">
        <v>0</v>
      </c>
      <c r="H13">
        <v>0</v>
      </c>
      <c r="I13">
        <v>0</v>
      </c>
      <c r="J13">
        <v>42</v>
      </c>
      <c r="K13">
        <v>768766962.76923084</v>
      </c>
    </row>
    <row r="14" spans="1:11" x14ac:dyDescent="0.25">
      <c r="A14">
        <v>13</v>
      </c>
      <c r="B14" t="s">
        <v>35</v>
      </c>
      <c r="C14" t="s">
        <v>36</v>
      </c>
      <c r="D14">
        <v>14</v>
      </c>
      <c r="E14">
        <v>318211677.28947371</v>
      </c>
      <c r="F14">
        <v>0</v>
      </c>
      <c r="G14">
        <v>0</v>
      </c>
      <c r="H14">
        <v>1</v>
      </c>
      <c r="I14">
        <v>14444444</v>
      </c>
      <c r="J14">
        <v>13</v>
      </c>
      <c r="K14">
        <v>303767233.28947371</v>
      </c>
    </row>
    <row r="15" spans="1:11" x14ac:dyDescent="0.25">
      <c r="A15">
        <v>14</v>
      </c>
      <c r="B15" t="s">
        <v>37</v>
      </c>
      <c r="C15" t="s">
        <v>38</v>
      </c>
      <c r="D15">
        <v>24</v>
      </c>
      <c r="E15">
        <v>310455950.93430662</v>
      </c>
      <c r="F15">
        <v>0</v>
      </c>
      <c r="G15">
        <v>0</v>
      </c>
      <c r="H15">
        <v>0</v>
      </c>
      <c r="I15">
        <v>0</v>
      </c>
      <c r="J15">
        <v>24</v>
      </c>
      <c r="K15">
        <v>310455950.93430662</v>
      </c>
    </row>
    <row r="16" spans="1:11" x14ac:dyDescent="0.25">
      <c r="A16">
        <v>15</v>
      </c>
      <c r="B16" t="s">
        <v>39</v>
      </c>
      <c r="C16" t="s">
        <v>40</v>
      </c>
      <c r="D16">
        <v>3</v>
      </c>
      <c r="E16">
        <v>118524076.1044776</v>
      </c>
      <c r="F16">
        <v>0</v>
      </c>
      <c r="G16">
        <v>0</v>
      </c>
      <c r="H16">
        <v>1</v>
      </c>
      <c r="I16">
        <v>16490741</v>
      </c>
      <c r="J16">
        <v>2</v>
      </c>
      <c r="K16">
        <v>102033335.1044776</v>
      </c>
    </row>
    <row r="17" spans="1:11" x14ac:dyDescent="0.25">
      <c r="A17">
        <v>16</v>
      </c>
      <c r="B17" t="s">
        <v>41</v>
      </c>
      <c r="C17" t="s">
        <v>42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>
        <v>17</v>
      </c>
      <c r="B18" t="s">
        <v>43</v>
      </c>
      <c r="C18" t="s">
        <v>44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>
        <v>18</v>
      </c>
      <c r="B19" t="s">
        <v>45</v>
      </c>
      <c r="C19" t="s">
        <v>46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25">
      <c r="A20">
        <v>19</v>
      </c>
      <c r="B20" t="s">
        <v>47</v>
      </c>
      <c r="C20" t="s">
        <v>48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5">
      <c r="A21">
        <v>20</v>
      </c>
      <c r="B21" t="s">
        <v>49</v>
      </c>
      <c r="C21" t="s">
        <v>50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25">
      <c r="A22">
        <v>21</v>
      </c>
      <c r="B22" t="s">
        <v>51</v>
      </c>
      <c r="C22" t="s">
        <v>52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25">
      <c r="A23">
        <v>22</v>
      </c>
      <c r="B23" t="s">
        <v>53</v>
      </c>
      <c r="C23" t="s">
        <v>54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25">
      <c r="A24">
        <v>23</v>
      </c>
      <c r="B24" t="s">
        <v>55</v>
      </c>
      <c r="C24" t="s">
        <v>56</v>
      </c>
      <c r="D24">
        <v>0</v>
      </c>
      <c r="E24">
        <v>0</v>
      </c>
      <c r="F24">
        <v>0</v>
      </c>
      <c r="G24">
        <v>0</v>
      </c>
      <c r="H24">
        <v>22</v>
      </c>
      <c r="I24">
        <v>204259257</v>
      </c>
      <c r="J24">
        <v>0</v>
      </c>
      <c r="K24">
        <v>0</v>
      </c>
    </row>
    <row r="25" spans="1:11" x14ac:dyDescent="0.25">
      <c r="A25">
        <v>24</v>
      </c>
      <c r="B25" t="s">
        <v>57</v>
      </c>
      <c r="C25" t="s">
        <v>58</v>
      </c>
      <c r="D25">
        <v>257</v>
      </c>
      <c r="E25">
        <v>2050177948.361217</v>
      </c>
      <c r="F25">
        <v>5</v>
      </c>
      <c r="G25">
        <v>67870370</v>
      </c>
      <c r="H25">
        <v>1</v>
      </c>
      <c r="I25">
        <v>14898148</v>
      </c>
      <c r="J25">
        <v>261</v>
      </c>
      <c r="K25">
        <v>2103150170.361217</v>
      </c>
    </row>
    <row r="26" spans="1:11" x14ac:dyDescent="0.25">
      <c r="A26">
        <v>25</v>
      </c>
      <c r="B26" t="s">
        <v>59</v>
      </c>
      <c r="C26" t="s">
        <v>60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25">
      <c r="A27">
        <v>26</v>
      </c>
      <c r="B27" t="s">
        <v>61</v>
      </c>
      <c r="C27" t="s">
        <v>62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5">
      <c r="A28">
        <v>27</v>
      </c>
      <c r="B28" t="s">
        <v>63</v>
      </c>
      <c r="C28" t="s">
        <v>64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25">
      <c r="A29">
        <v>28</v>
      </c>
      <c r="B29" t="s">
        <v>65</v>
      </c>
      <c r="C29" t="s">
        <v>66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x14ac:dyDescent="0.25">
      <c r="A30">
        <v>29</v>
      </c>
      <c r="B30" t="s">
        <v>67</v>
      </c>
      <c r="C30" t="s">
        <v>68</v>
      </c>
      <c r="D30">
        <v>5</v>
      </c>
      <c r="E30">
        <v>57213777.307692319</v>
      </c>
      <c r="F30">
        <v>0</v>
      </c>
      <c r="G30">
        <v>0</v>
      </c>
      <c r="H30">
        <v>0</v>
      </c>
      <c r="I30">
        <v>0</v>
      </c>
      <c r="J30">
        <v>5</v>
      </c>
      <c r="K30">
        <v>57213777.307692319</v>
      </c>
    </row>
    <row r="31" spans="1:11" x14ac:dyDescent="0.25">
      <c r="A31">
        <v>30</v>
      </c>
      <c r="B31" t="s">
        <v>69</v>
      </c>
      <c r="C31" t="s">
        <v>70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25">
      <c r="A32">
        <v>31</v>
      </c>
      <c r="B32" t="s">
        <v>71</v>
      </c>
      <c r="C32" t="s">
        <v>72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25">
      <c r="A33">
        <v>32</v>
      </c>
      <c r="B33" t="s">
        <v>73</v>
      </c>
      <c r="C33" t="s">
        <v>74</v>
      </c>
      <c r="D33">
        <v>4</v>
      </c>
      <c r="E33">
        <v>22522894.5</v>
      </c>
      <c r="F33">
        <v>1</v>
      </c>
      <c r="G33">
        <v>5111111</v>
      </c>
      <c r="H33">
        <v>1</v>
      </c>
      <c r="I33">
        <v>3333333</v>
      </c>
      <c r="J33">
        <v>4</v>
      </c>
      <c r="K33">
        <v>24300672.5</v>
      </c>
    </row>
    <row r="34" spans="1:11" x14ac:dyDescent="0.25">
      <c r="A34">
        <v>33</v>
      </c>
      <c r="B34" t="s">
        <v>75</v>
      </c>
      <c r="C34" t="s">
        <v>76</v>
      </c>
      <c r="D34">
        <v>55</v>
      </c>
      <c r="E34">
        <v>105304361.18326689</v>
      </c>
      <c r="F34">
        <v>5</v>
      </c>
      <c r="G34">
        <v>22648148</v>
      </c>
      <c r="H34">
        <v>1</v>
      </c>
      <c r="I34">
        <v>2120370</v>
      </c>
      <c r="J34">
        <v>59</v>
      </c>
      <c r="K34">
        <v>125832139.18326689</v>
      </c>
    </row>
    <row r="35" spans="1:11" x14ac:dyDescent="0.25">
      <c r="A35">
        <v>34</v>
      </c>
      <c r="B35" t="s">
        <v>77</v>
      </c>
      <c r="C35" t="s">
        <v>78</v>
      </c>
      <c r="D35">
        <v>538</v>
      </c>
      <c r="E35">
        <v>1096326419.553802</v>
      </c>
      <c r="F35">
        <v>8</v>
      </c>
      <c r="G35">
        <v>19101852</v>
      </c>
      <c r="H35">
        <v>13</v>
      </c>
      <c r="I35">
        <v>29388891</v>
      </c>
      <c r="J35">
        <v>533</v>
      </c>
      <c r="K35">
        <v>1086039380.553802</v>
      </c>
    </row>
    <row r="36" spans="1:11" x14ac:dyDescent="0.25">
      <c r="A36">
        <v>35</v>
      </c>
      <c r="B36" t="s">
        <v>79</v>
      </c>
      <c r="C36" t="s">
        <v>80</v>
      </c>
      <c r="D36">
        <v>19</v>
      </c>
      <c r="E36">
        <v>48662616.021276593</v>
      </c>
      <c r="F36">
        <v>0</v>
      </c>
      <c r="G36">
        <v>0</v>
      </c>
      <c r="H36">
        <v>6</v>
      </c>
      <c r="I36">
        <v>18018519</v>
      </c>
      <c r="J36">
        <v>13</v>
      </c>
      <c r="K36">
        <v>30644097.021276589</v>
      </c>
    </row>
    <row r="37" spans="1:11" x14ac:dyDescent="0.25">
      <c r="A37">
        <v>36</v>
      </c>
      <c r="B37" t="s">
        <v>81</v>
      </c>
      <c r="C37" t="s">
        <v>82</v>
      </c>
      <c r="D37">
        <v>18</v>
      </c>
      <c r="E37">
        <v>141392199.1964286</v>
      </c>
      <c r="F37">
        <v>6</v>
      </c>
      <c r="G37">
        <v>43518519</v>
      </c>
      <c r="H37">
        <v>0</v>
      </c>
      <c r="I37">
        <v>0</v>
      </c>
      <c r="J37">
        <v>24</v>
      </c>
      <c r="K37">
        <v>184910718.1964286</v>
      </c>
    </row>
    <row r="38" spans="1:11" x14ac:dyDescent="0.25">
      <c r="A38">
        <v>37</v>
      </c>
      <c r="B38" t="s">
        <v>83</v>
      </c>
      <c r="C38" t="s">
        <v>84</v>
      </c>
      <c r="D38">
        <v>2</v>
      </c>
      <c r="E38">
        <v>16427273</v>
      </c>
      <c r="F38">
        <v>0</v>
      </c>
      <c r="G38">
        <v>0</v>
      </c>
      <c r="H38">
        <v>0</v>
      </c>
      <c r="I38">
        <v>0</v>
      </c>
      <c r="J38">
        <v>2</v>
      </c>
      <c r="K38">
        <v>16427273</v>
      </c>
    </row>
    <row r="39" spans="1:11" x14ac:dyDescent="0.25">
      <c r="A39">
        <v>38</v>
      </c>
      <c r="B39" t="s">
        <v>85</v>
      </c>
      <c r="C39" t="s">
        <v>86</v>
      </c>
      <c r="D39">
        <v>129</v>
      </c>
      <c r="E39">
        <v>360829513.38106239</v>
      </c>
      <c r="F39">
        <v>0</v>
      </c>
      <c r="G39">
        <v>0</v>
      </c>
      <c r="H39">
        <v>3</v>
      </c>
      <c r="I39">
        <v>5546297</v>
      </c>
      <c r="J39">
        <v>126</v>
      </c>
      <c r="K39">
        <v>355283216.38106239</v>
      </c>
    </row>
    <row r="40" spans="1:11" x14ac:dyDescent="0.25">
      <c r="A40">
        <v>39</v>
      </c>
      <c r="B40" t="s">
        <v>87</v>
      </c>
      <c r="C40" t="s">
        <v>88</v>
      </c>
      <c r="D40">
        <v>9</v>
      </c>
      <c r="E40">
        <v>48234342.777777784</v>
      </c>
      <c r="F40">
        <v>0</v>
      </c>
      <c r="G40">
        <v>0</v>
      </c>
      <c r="H40">
        <v>0</v>
      </c>
      <c r="I40">
        <v>0</v>
      </c>
      <c r="J40">
        <v>9</v>
      </c>
      <c r="K40">
        <v>48234342.777777784</v>
      </c>
    </row>
    <row r="41" spans="1:11" x14ac:dyDescent="0.25">
      <c r="A41">
        <v>40</v>
      </c>
      <c r="B41" t="s">
        <v>89</v>
      </c>
      <c r="C41" t="s">
        <v>90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25">
      <c r="A42">
        <v>41</v>
      </c>
      <c r="B42" t="s">
        <v>91</v>
      </c>
      <c r="C42" t="s">
        <v>92</v>
      </c>
      <c r="D42">
        <v>1771</v>
      </c>
      <c r="E42">
        <v>0</v>
      </c>
      <c r="F42">
        <v>254</v>
      </c>
      <c r="G42">
        <v>86481235</v>
      </c>
      <c r="H42">
        <v>40</v>
      </c>
      <c r="I42">
        <v>53629628</v>
      </c>
      <c r="J42">
        <v>1985</v>
      </c>
      <c r="K42">
        <v>32851607</v>
      </c>
    </row>
    <row r="43" spans="1:11" x14ac:dyDescent="0.25">
      <c r="A43">
        <v>42</v>
      </c>
      <c r="B43" t="s">
        <v>93</v>
      </c>
      <c r="C43" t="s">
        <v>94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25">
      <c r="A44">
        <v>43</v>
      </c>
      <c r="B44" t="s">
        <v>95</v>
      </c>
      <c r="C44" t="s">
        <v>96</v>
      </c>
      <c r="D44">
        <v>379</v>
      </c>
      <c r="E44">
        <v>1061489533.424744</v>
      </c>
      <c r="F44">
        <v>30</v>
      </c>
      <c r="G44">
        <v>3068083</v>
      </c>
      <c r="H44">
        <v>17</v>
      </c>
      <c r="I44">
        <v>55703703</v>
      </c>
      <c r="J44">
        <v>392</v>
      </c>
      <c r="K44">
        <v>1008853913.424744</v>
      </c>
    </row>
    <row r="45" spans="1:11" x14ac:dyDescent="0.25">
      <c r="A45">
        <v>44</v>
      </c>
      <c r="B45" t="s">
        <v>97</v>
      </c>
      <c r="C45" t="s">
        <v>98</v>
      </c>
      <c r="D45">
        <v>96</v>
      </c>
      <c r="E45">
        <v>400838800.97297299</v>
      </c>
      <c r="F45">
        <v>0</v>
      </c>
      <c r="G45">
        <v>0</v>
      </c>
      <c r="H45">
        <v>2</v>
      </c>
      <c r="I45">
        <v>10907407</v>
      </c>
      <c r="J45">
        <v>94</v>
      </c>
      <c r="K45">
        <v>389931393.97297299</v>
      </c>
    </row>
    <row r="46" spans="1:11" x14ac:dyDescent="0.25">
      <c r="A46">
        <v>45</v>
      </c>
      <c r="B46" t="s">
        <v>99</v>
      </c>
      <c r="C46" t="s">
        <v>100</v>
      </c>
      <c r="D46">
        <v>244</v>
      </c>
      <c r="E46">
        <v>88371040.632571429</v>
      </c>
      <c r="F46">
        <v>11</v>
      </c>
      <c r="G46">
        <v>6277781</v>
      </c>
      <c r="H46">
        <v>1</v>
      </c>
      <c r="I46">
        <v>6759259</v>
      </c>
      <c r="J46">
        <v>254</v>
      </c>
      <c r="K46">
        <v>87889562.632571429</v>
      </c>
    </row>
    <row r="47" spans="1:11" x14ac:dyDescent="0.25">
      <c r="A47">
        <v>46</v>
      </c>
      <c r="B47" t="s">
        <v>101</v>
      </c>
      <c r="C47" t="s">
        <v>102</v>
      </c>
      <c r="D47">
        <v>114</v>
      </c>
      <c r="E47">
        <v>226299691.36567381</v>
      </c>
      <c r="F47">
        <v>5</v>
      </c>
      <c r="G47">
        <v>24854884</v>
      </c>
      <c r="H47">
        <v>1</v>
      </c>
      <c r="I47">
        <v>5638889</v>
      </c>
      <c r="J47">
        <v>118</v>
      </c>
      <c r="K47">
        <v>245515686.36567381</v>
      </c>
    </row>
    <row r="48" spans="1:11" x14ac:dyDescent="0.25">
      <c r="A48">
        <v>47</v>
      </c>
      <c r="B48" t="s">
        <v>103</v>
      </c>
      <c r="C48" t="s">
        <v>104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 x14ac:dyDescent="0.25">
      <c r="A49">
        <v>48</v>
      </c>
      <c r="B49" t="s">
        <v>105</v>
      </c>
      <c r="C49" t="s">
        <v>106</v>
      </c>
      <c r="D49">
        <v>35</v>
      </c>
      <c r="E49">
        <v>261166849.08224139</v>
      </c>
      <c r="F49">
        <v>0</v>
      </c>
      <c r="G49">
        <v>0</v>
      </c>
      <c r="H49">
        <v>0</v>
      </c>
      <c r="I49">
        <v>0</v>
      </c>
      <c r="J49">
        <v>35</v>
      </c>
      <c r="K49">
        <v>261166849.08224139</v>
      </c>
    </row>
    <row r="50" spans="1:11" x14ac:dyDescent="0.25">
      <c r="A50">
        <v>49</v>
      </c>
      <c r="B50" t="s">
        <v>107</v>
      </c>
      <c r="C50" t="s">
        <v>108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25">
      <c r="A51">
        <v>50</v>
      </c>
      <c r="B51" t="s">
        <v>109</v>
      </c>
      <c r="C51" t="s">
        <v>110</v>
      </c>
      <c r="D51">
        <v>5</v>
      </c>
      <c r="E51">
        <v>254228.19999999931</v>
      </c>
      <c r="F51">
        <v>0</v>
      </c>
      <c r="G51">
        <v>0</v>
      </c>
      <c r="H51">
        <v>0</v>
      </c>
      <c r="I51">
        <v>0</v>
      </c>
      <c r="J51">
        <v>5</v>
      </c>
      <c r="K51">
        <v>254228.19999999931</v>
      </c>
    </row>
    <row r="52" spans="1:11" x14ac:dyDescent="0.25">
      <c r="A52">
        <v>51</v>
      </c>
      <c r="B52" t="s">
        <v>111</v>
      </c>
      <c r="C52" t="s">
        <v>112</v>
      </c>
      <c r="D52">
        <v>6</v>
      </c>
      <c r="E52">
        <v>20604559.066938762</v>
      </c>
      <c r="F52">
        <v>0</v>
      </c>
      <c r="G52">
        <v>0</v>
      </c>
      <c r="H52">
        <v>0</v>
      </c>
      <c r="I52">
        <v>0</v>
      </c>
      <c r="J52">
        <v>6</v>
      </c>
      <c r="K52">
        <v>20604559.066938762</v>
      </c>
    </row>
    <row r="53" spans="1:11" x14ac:dyDescent="0.25">
      <c r="A53">
        <v>52</v>
      </c>
      <c r="B53" t="s">
        <v>113</v>
      </c>
      <c r="C53" t="s">
        <v>114</v>
      </c>
      <c r="D53">
        <v>3</v>
      </c>
      <c r="E53">
        <v>5580000</v>
      </c>
      <c r="F53">
        <v>0</v>
      </c>
      <c r="G53">
        <v>0</v>
      </c>
      <c r="H53">
        <v>0</v>
      </c>
      <c r="I53">
        <v>0</v>
      </c>
      <c r="J53">
        <v>3</v>
      </c>
      <c r="K53">
        <v>5580000</v>
      </c>
    </row>
    <row r="54" spans="1:11" x14ac:dyDescent="0.25">
      <c r="A54">
        <v>53</v>
      </c>
      <c r="B54" t="s">
        <v>115</v>
      </c>
      <c r="C54" t="s">
        <v>116</v>
      </c>
      <c r="D54">
        <v>1</v>
      </c>
      <c r="E54">
        <v>1480000</v>
      </c>
      <c r="F54">
        <v>0</v>
      </c>
      <c r="G54">
        <v>0</v>
      </c>
      <c r="H54">
        <v>0</v>
      </c>
      <c r="I54">
        <v>0</v>
      </c>
      <c r="J54">
        <v>1</v>
      </c>
      <c r="K54">
        <v>1480000</v>
      </c>
    </row>
    <row r="55" spans="1:11" x14ac:dyDescent="0.25">
      <c r="A55">
        <v>54</v>
      </c>
      <c r="B55" t="s">
        <v>117</v>
      </c>
      <c r="C55" t="s">
        <v>118</v>
      </c>
      <c r="D55">
        <v>92</v>
      </c>
      <c r="E55">
        <v>102914260.172702</v>
      </c>
      <c r="F55">
        <v>0</v>
      </c>
      <c r="G55">
        <v>0</v>
      </c>
      <c r="H55">
        <v>0</v>
      </c>
      <c r="I55">
        <v>0</v>
      </c>
      <c r="J55">
        <v>92</v>
      </c>
      <c r="K55">
        <v>102914260.172702</v>
      </c>
    </row>
    <row r="56" spans="1:11" x14ac:dyDescent="0.25">
      <c r="A56">
        <v>55</v>
      </c>
      <c r="B56" t="s">
        <v>119</v>
      </c>
      <c r="C56" t="s">
        <v>120</v>
      </c>
      <c r="D56">
        <v>39</v>
      </c>
      <c r="E56">
        <v>8196677.4915254228</v>
      </c>
      <c r="F56">
        <v>0</v>
      </c>
      <c r="G56">
        <v>0</v>
      </c>
      <c r="H56">
        <v>0</v>
      </c>
      <c r="I56">
        <v>0</v>
      </c>
      <c r="J56">
        <v>39</v>
      </c>
      <c r="K56">
        <v>8196677.4915254228</v>
      </c>
    </row>
    <row r="57" spans="1:11" x14ac:dyDescent="0.25">
      <c r="A57">
        <v>56</v>
      </c>
      <c r="B57" t="s">
        <v>121</v>
      </c>
      <c r="C57" t="s">
        <v>122</v>
      </c>
      <c r="D57">
        <v>6</v>
      </c>
      <c r="E57">
        <v>16284813.180769229</v>
      </c>
      <c r="F57">
        <v>1</v>
      </c>
      <c r="G57">
        <v>2750000</v>
      </c>
      <c r="H57">
        <v>0</v>
      </c>
      <c r="I57">
        <v>0</v>
      </c>
      <c r="J57">
        <v>7</v>
      </c>
      <c r="K57">
        <v>19034813.180769231</v>
      </c>
    </row>
    <row r="58" spans="1:11" x14ac:dyDescent="0.25">
      <c r="A58">
        <v>57</v>
      </c>
      <c r="B58" t="s">
        <v>123</v>
      </c>
      <c r="C58" t="s">
        <v>124</v>
      </c>
      <c r="D58">
        <v>2</v>
      </c>
      <c r="E58">
        <v>1829966.11</v>
      </c>
      <c r="F58">
        <v>0</v>
      </c>
      <c r="G58">
        <v>0</v>
      </c>
      <c r="H58">
        <v>0</v>
      </c>
      <c r="I58">
        <v>0</v>
      </c>
      <c r="J58">
        <v>2</v>
      </c>
      <c r="K58">
        <v>1829966.11</v>
      </c>
    </row>
    <row r="59" spans="1:11" x14ac:dyDescent="0.25">
      <c r="A59">
        <v>58</v>
      </c>
      <c r="B59" t="s">
        <v>125</v>
      </c>
      <c r="C59" t="s">
        <v>126</v>
      </c>
      <c r="D59">
        <v>1148</v>
      </c>
      <c r="E59">
        <v>83717143.365597606</v>
      </c>
      <c r="F59">
        <v>213</v>
      </c>
      <c r="G59">
        <v>44293394</v>
      </c>
      <c r="H59">
        <v>40</v>
      </c>
      <c r="I59">
        <v>13018514</v>
      </c>
      <c r="J59">
        <v>1321</v>
      </c>
      <c r="K59">
        <v>114992023.36559761</v>
      </c>
    </row>
    <row r="60" spans="1:11" x14ac:dyDescent="0.25">
      <c r="A60">
        <v>59</v>
      </c>
      <c r="B60" t="s">
        <v>127</v>
      </c>
      <c r="C60" t="s">
        <v>128</v>
      </c>
      <c r="D60">
        <v>149</v>
      </c>
      <c r="E60">
        <v>572714</v>
      </c>
      <c r="F60">
        <v>20</v>
      </c>
      <c r="G60">
        <v>1490780</v>
      </c>
      <c r="H60">
        <v>0</v>
      </c>
      <c r="I60">
        <v>0</v>
      </c>
      <c r="J60">
        <v>169</v>
      </c>
      <c r="K60">
        <v>2063494</v>
      </c>
    </row>
    <row r="61" spans="1:11" x14ac:dyDescent="0.25">
      <c r="A61">
        <v>60</v>
      </c>
      <c r="B61" t="s">
        <v>129</v>
      </c>
      <c r="C61" t="s">
        <v>130</v>
      </c>
      <c r="D61">
        <v>48</v>
      </c>
      <c r="E61">
        <v>4325268</v>
      </c>
      <c r="F61">
        <v>25</v>
      </c>
      <c r="G61">
        <v>1283319</v>
      </c>
      <c r="H61">
        <v>2</v>
      </c>
      <c r="I61">
        <v>833334</v>
      </c>
      <c r="J61">
        <v>71</v>
      </c>
      <c r="K61">
        <v>4775253</v>
      </c>
    </row>
    <row r="62" spans="1:11" x14ac:dyDescent="0.25">
      <c r="A62">
        <v>61</v>
      </c>
      <c r="B62" t="s">
        <v>131</v>
      </c>
      <c r="C62" t="s">
        <v>132</v>
      </c>
      <c r="D62">
        <v>1124</v>
      </c>
      <c r="E62">
        <v>83500403.878957927</v>
      </c>
      <c r="F62">
        <v>120</v>
      </c>
      <c r="G62">
        <v>5290306</v>
      </c>
      <c r="H62">
        <v>41</v>
      </c>
      <c r="I62">
        <v>5018523</v>
      </c>
      <c r="J62">
        <v>1203</v>
      </c>
      <c r="K62">
        <v>83772186.878957927</v>
      </c>
    </row>
    <row r="63" spans="1:11" x14ac:dyDescent="0.25">
      <c r="A63">
        <v>62</v>
      </c>
      <c r="B63" t="s">
        <v>133</v>
      </c>
      <c r="C63" t="s">
        <v>134</v>
      </c>
      <c r="D63">
        <v>954</v>
      </c>
      <c r="E63">
        <v>170425175.71158049</v>
      </c>
      <c r="F63">
        <v>0</v>
      </c>
      <c r="G63">
        <v>0</v>
      </c>
      <c r="H63">
        <v>4</v>
      </c>
      <c r="I63">
        <v>796296</v>
      </c>
      <c r="J63">
        <v>950</v>
      </c>
      <c r="K63">
        <v>169628879.71158049</v>
      </c>
    </row>
    <row r="64" spans="1:11" x14ac:dyDescent="0.25">
      <c r="A64">
        <v>63</v>
      </c>
      <c r="B64" t="s">
        <v>135</v>
      </c>
      <c r="C64" t="s">
        <v>136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 x14ac:dyDescent="0.25">
      <c r="A65">
        <v>64</v>
      </c>
      <c r="B65" t="s">
        <v>137</v>
      </c>
      <c r="C65" t="s">
        <v>138</v>
      </c>
      <c r="D65">
        <v>20</v>
      </c>
      <c r="E65">
        <v>5114407.4511235952</v>
      </c>
      <c r="F65">
        <v>0</v>
      </c>
      <c r="G65">
        <v>0</v>
      </c>
      <c r="H65">
        <v>0</v>
      </c>
      <c r="I65">
        <v>0</v>
      </c>
      <c r="J65">
        <v>20</v>
      </c>
      <c r="K65">
        <v>5114407.4511235952</v>
      </c>
    </row>
    <row r="66" spans="1:11" x14ac:dyDescent="0.25">
      <c r="A66">
        <v>65</v>
      </c>
      <c r="B66" t="s">
        <v>139</v>
      </c>
      <c r="C66" t="s">
        <v>140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 x14ac:dyDescent="0.25">
      <c r="A67">
        <v>66</v>
      </c>
      <c r="B67" t="s">
        <v>141</v>
      </c>
      <c r="C67" t="s">
        <v>142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 x14ac:dyDescent="0.25">
      <c r="A68">
        <v>67</v>
      </c>
      <c r="B68" t="s">
        <v>143</v>
      </c>
      <c r="C68" t="s">
        <v>144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 x14ac:dyDescent="0.25">
      <c r="A69">
        <v>68</v>
      </c>
      <c r="B69" t="s">
        <v>145</v>
      </c>
      <c r="C69" t="s">
        <v>146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 x14ac:dyDescent="0.25">
      <c r="A70">
        <v>69</v>
      </c>
      <c r="B70" t="s">
        <v>147</v>
      </c>
      <c r="C70" t="s">
        <v>148</v>
      </c>
      <c r="D70">
        <v>257</v>
      </c>
      <c r="E70">
        <v>60949086.665112108</v>
      </c>
      <c r="F70">
        <v>0</v>
      </c>
      <c r="G70">
        <v>0</v>
      </c>
      <c r="H70">
        <v>0</v>
      </c>
      <c r="I70">
        <v>0</v>
      </c>
      <c r="J70">
        <v>257</v>
      </c>
      <c r="K70">
        <v>60949086.665112108</v>
      </c>
    </row>
    <row r="71" spans="1:11" x14ac:dyDescent="0.25">
      <c r="A71">
        <v>70</v>
      </c>
      <c r="B71" t="s">
        <v>149</v>
      </c>
      <c r="C71" t="s">
        <v>150</v>
      </c>
      <c r="D71">
        <v>12</v>
      </c>
      <c r="E71">
        <v>941974.16000000015</v>
      </c>
      <c r="F71">
        <v>0</v>
      </c>
      <c r="G71">
        <v>0</v>
      </c>
      <c r="H71">
        <v>0</v>
      </c>
      <c r="I71">
        <v>0</v>
      </c>
      <c r="J71">
        <v>12</v>
      </c>
      <c r="K71">
        <v>941974.16000000015</v>
      </c>
    </row>
    <row r="72" spans="1:11" x14ac:dyDescent="0.25">
      <c r="A72">
        <v>71</v>
      </c>
      <c r="B72" t="s">
        <v>151</v>
      </c>
      <c r="C72" t="s">
        <v>152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</row>
    <row r="73" spans="1:11" x14ac:dyDescent="0.25">
      <c r="A73">
        <v>72</v>
      </c>
      <c r="B73" t="s">
        <v>153</v>
      </c>
      <c r="C73" t="s">
        <v>154</v>
      </c>
      <c r="D73">
        <v>100</v>
      </c>
      <c r="E73">
        <v>0</v>
      </c>
      <c r="F73">
        <v>0</v>
      </c>
      <c r="G73">
        <v>0</v>
      </c>
      <c r="H73">
        <v>0</v>
      </c>
      <c r="I73">
        <v>0</v>
      </c>
      <c r="J73">
        <v>100</v>
      </c>
      <c r="K73">
        <v>0</v>
      </c>
    </row>
    <row r="74" spans="1:11" x14ac:dyDescent="0.25">
      <c r="A74">
        <v>73</v>
      </c>
      <c r="B74" t="s">
        <v>155</v>
      </c>
      <c r="C74" t="s">
        <v>156</v>
      </c>
      <c r="D74">
        <v>174</v>
      </c>
      <c r="E74">
        <v>397176025.07878792</v>
      </c>
      <c r="F74">
        <v>3</v>
      </c>
      <c r="G74">
        <v>6879629</v>
      </c>
      <c r="H74">
        <v>0</v>
      </c>
      <c r="I74">
        <v>0</v>
      </c>
      <c r="J74">
        <v>177</v>
      </c>
      <c r="K74">
        <v>404055654.07878792</v>
      </c>
    </row>
    <row r="75" spans="1:11" x14ac:dyDescent="0.25">
      <c r="A75">
        <v>74</v>
      </c>
      <c r="B75" t="s">
        <v>157</v>
      </c>
      <c r="C75" t="s">
        <v>158</v>
      </c>
      <c r="D75">
        <v>139</v>
      </c>
      <c r="E75">
        <v>401996500.75098813</v>
      </c>
      <c r="F75">
        <v>14</v>
      </c>
      <c r="G75">
        <v>44740741</v>
      </c>
      <c r="H75">
        <v>3</v>
      </c>
      <c r="I75">
        <v>8703703</v>
      </c>
      <c r="J75">
        <v>150</v>
      </c>
      <c r="K75">
        <v>438033538.75098813</v>
      </c>
    </row>
    <row r="76" spans="1:11" x14ac:dyDescent="0.25">
      <c r="A76">
        <v>75</v>
      </c>
      <c r="B76" t="s">
        <v>159</v>
      </c>
      <c r="C76" t="s">
        <v>160</v>
      </c>
      <c r="D76">
        <v>9</v>
      </c>
      <c r="E76">
        <v>48675547.875</v>
      </c>
      <c r="F76">
        <v>1</v>
      </c>
      <c r="G76">
        <v>8574074</v>
      </c>
      <c r="H76">
        <v>0</v>
      </c>
      <c r="I76">
        <v>0</v>
      </c>
      <c r="J76">
        <v>10</v>
      </c>
      <c r="K76">
        <v>57249621.875</v>
      </c>
    </row>
    <row r="77" spans="1:11" x14ac:dyDescent="0.25">
      <c r="A77">
        <v>76</v>
      </c>
      <c r="B77" t="s">
        <v>161</v>
      </c>
      <c r="C77" t="s">
        <v>162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 x14ac:dyDescent="0.25">
      <c r="A78">
        <v>77</v>
      </c>
      <c r="B78" t="s">
        <v>163</v>
      </c>
      <c r="C78" t="s">
        <v>164</v>
      </c>
      <c r="D78">
        <v>217</v>
      </c>
      <c r="E78">
        <v>321886976.59605908</v>
      </c>
      <c r="F78">
        <v>37</v>
      </c>
      <c r="G78">
        <v>53604554</v>
      </c>
      <c r="H78">
        <v>2</v>
      </c>
      <c r="I78">
        <v>3000001</v>
      </c>
      <c r="J78">
        <v>252</v>
      </c>
      <c r="K78">
        <v>372491529.59605908</v>
      </c>
    </row>
    <row r="79" spans="1:11" x14ac:dyDescent="0.25">
      <c r="A79">
        <v>78</v>
      </c>
      <c r="B79" t="s">
        <v>165</v>
      </c>
      <c r="C79" t="s">
        <v>166</v>
      </c>
      <c r="D79">
        <v>22</v>
      </c>
      <c r="E79">
        <v>50540024</v>
      </c>
      <c r="F79">
        <v>0</v>
      </c>
      <c r="G79">
        <v>0</v>
      </c>
      <c r="H79">
        <v>0</v>
      </c>
      <c r="I79">
        <v>0</v>
      </c>
      <c r="J79">
        <v>22</v>
      </c>
      <c r="K79">
        <v>50540024</v>
      </c>
    </row>
    <row r="80" spans="1:11" x14ac:dyDescent="0.25">
      <c r="A80">
        <v>79</v>
      </c>
      <c r="B80" t="s">
        <v>167</v>
      </c>
      <c r="C80" t="s">
        <v>168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 x14ac:dyDescent="0.25">
      <c r="A81">
        <v>80</v>
      </c>
      <c r="B81" t="s">
        <v>169</v>
      </c>
      <c r="C81" t="s">
        <v>170</v>
      </c>
      <c r="D81">
        <v>864</v>
      </c>
      <c r="E81">
        <v>221423996.62329009</v>
      </c>
      <c r="F81">
        <v>0</v>
      </c>
      <c r="G81">
        <v>0</v>
      </c>
      <c r="H81">
        <v>8</v>
      </c>
      <c r="I81">
        <v>2583334</v>
      </c>
      <c r="J81">
        <v>856</v>
      </c>
      <c r="K81">
        <v>218840662.62329009</v>
      </c>
    </row>
    <row r="82" spans="1:11" x14ac:dyDescent="0.25">
      <c r="A82">
        <v>81</v>
      </c>
      <c r="B82" t="s">
        <v>171</v>
      </c>
      <c r="C82" t="s">
        <v>172</v>
      </c>
      <c r="D82">
        <v>196</v>
      </c>
      <c r="E82">
        <v>181583949.11730209</v>
      </c>
      <c r="F82">
        <v>0</v>
      </c>
      <c r="G82">
        <v>0</v>
      </c>
      <c r="H82">
        <v>0</v>
      </c>
      <c r="I82">
        <v>0</v>
      </c>
      <c r="J82">
        <v>196</v>
      </c>
      <c r="K82">
        <v>181583949.11730209</v>
      </c>
    </row>
    <row r="83" spans="1:11" x14ac:dyDescent="0.25">
      <c r="A83">
        <v>82</v>
      </c>
      <c r="B83" t="s">
        <v>173</v>
      </c>
      <c r="C83" t="s">
        <v>174</v>
      </c>
      <c r="D83">
        <v>99</v>
      </c>
      <c r="E83">
        <v>96027197.202380955</v>
      </c>
      <c r="F83">
        <v>0</v>
      </c>
      <c r="G83">
        <v>0</v>
      </c>
      <c r="H83">
        <v>0</v>
      </c>
      <c r="I83">
        <v>0</v>
      </c>
      <c r="J83">
        <v>99</v>
      </c>
      <c r="K83">
        <v>96027197.202380955</v>
      </c>
    </row>
    <row r="84" spans="1:11" x14ac:dyDescent="0.25">
      <c r="A84">
        <v>83</v>
      </c>
      <c r="B84" t="s">
        <v>175</v>
      </c>
      <c r="C84" t="s">
        <v>176</v>
      </c>
      <c r="D84">
        <v>7</v>
      </c>
      <c r="E84">
        <v>6787540.200000003</v>
      </c>
      <c r="F84">
        <v>0</v>
      </c>
      <c r="G84">
        <v>0</v>
      </c>
      <c r="H84">
        <v>0</v>
      </c>
      <c r="I84">
        <v>0</v>
      </c>
      <c r="J84">
        <v>7</v>
      </c>
      <c r="K84">
        <v>6787540.200000003</v>
      </c>
    </row>
    <row r="85" spans="1:11" x14ac:dyDescent="0.25">
      <c r="A85">
        <v>84</v>
      </c>
      <c r="B85" t="s">
        <v>177</v>
      </c>
      <c r="C85" t="s">
        <v>178</v>
      </c>
      <c r="D85">
        <v>21</v>
      </c>
      <c r="E85">
        <v>109483182.483871</v>
      </c>
      <c r="F85">
        <v>0</v>
      </c>
      <c r="G85">
        <v>0</v>
      </c>
      <c r="H85">
        <v>0</v>
      </c>
      <c r="I85">
        <v>0</v>
      </c>
      <c r="J85">
        <v>21</v>
      </c>
      <c r="K85">
        <v>109483182.483871</v>
      </c>
    </row>
    <row r="86" spans="1:11" x14ac:dyDescent="0.25">
      <c r="A86">
        <v>85</v>
      </c>
      <c r="B86" t="s">
        <v>179</v>
      </c>
      <c r="C86" t="s">
        <v>180</v>
      </c>
      <c r="D86">
        <v>22</v>
      </c>
      <c r="E86">
        <v>29190400.16</v>
      </c>
      <c r="F86">
        <v>0</v>
      </c>
      <c r="G86">
        <v>0</v>
      </c>
      <c r="H86">
        <v>0</v>
      </c>
      <c r="I86">
        <v>0</v>
      </c>
      <c r="J86">
        <v>22</v>
      </c>
      <c r="K86">
        <v>29190400.16</v>
      </c>
    </row>
    <row r="87" spans="1:11" x14ac:dyDescent="0.25">
      <c r="A87">
        <v>86</v>
      </c>
      <c r="B87" t="s">
        <v>181</v>
      </c>
      <c r="C87" t="s">
        <v>182</v>
      </c>
      <c r="D87">
        <v>65</v>
      </c>
      <c r="E87">
        <v>65496448.572559372</v>
      </c>
      <c r="F87">
        <v>5</v>
      </c>
      <c r="G87">
        <v>7675926</v>
      </c>
      <c r="H87">
        <v>6</v>
      </c>
      <c r="I87">
        <v>9935185</v>
      </c>
      <c r="J87">
        <v>64</v>
      </c>
      <c r="K87">
        <v>63237189.572559372</v>
      </c>
    </row>
    <row r="88" spans="1:11" x14ac:dyDescent="0.25">
      <c r="A88">
        <v>87</v>
      </c>
      <c r="B88" t="s">
        <v>183</v>
      </c>
      <c r="C88" t="s">
        <v>184</v>
      </c>
      <c r="D88">
        <v>3</v>
      </c>
      <c r="E88">
        <v>2443182.9545454532</v>
      </c>
      <c r="F88">
        <v>0</v>
      </c>
      <c r="G88">
        <v>0</v>
      </c>
      <c r="H88">
        <v>0</v>
      </c>
      <c r="I88">
        <v>0</v>
      </c>
      <c r="J88">
        <v>3</v>
      </c>
      <c r="K88">
        <v>2443182.9545454532</v>
      </c>
    </row>
    <row r="89" spans="1:11" x14ac:dyDescent="0.25">
      <c r="A89">
        <v>88</v>
      </c>
      <c r="B89" t="s">
        <v>185</v>
      </c>
      <c r="C89" t="s">
        <v>186</v>
      </c>
      <c r="D89">
        <v>1003</v>
      </c>
      <c r="E89">
        <v>301548590.74628812</v>
      </c>
      <c r="F89">
        <v>0</v>
      </c>
      <c r="G89">
        <v>0</v>
      </c>
      <c r="H89">
        <v>14</v>
      </c>
      <c r="I89">
        <v>6500002</v>
      </c>
      <c r="J89">
        <v>989</v>
      </c>
      <c r="K89">
        <v>295048588.74628812</v>
      </c>
    </row>
    <row r="90" spans="1:11" x14ac:dyDescent="0.25">
      <c r="A90">
        <v>89</v>
      </c>
      <c r="B90" t="s">
        <v>187</v>
      </c>
      <c r="C90" t="s">
        <v>188</v>
      </c>
      <c r="D90">
        <v>198</v>
      </c>
      <c r="E90">
        <v>267710939.34957021</v>
      </c>
      <c r="F90">
        <v>1</v>
      </c>
      <c r="G90">
        <v>1314815</v>
      </c>
      <c r="H90">
        <v>13</v>
      </c>
      <c r="I90">
        <v>21370370</v>
      </c>
      <c r="J90">
        <v>186</v>
      </c>
      <c r="K90">
        <v>247655384.34957021</v>
      </c>
    </row>
    <row r="91" spans="1:11" x14ac:dyDescent="0.25">
      <c r="A91">
        <v>90</v>
      </c>
      <c r="B91" t="s">
        <v>189</v>
      </c>
      <c r="C91" t="s">
        <v>190</v>
      </c>
      <c r="D91">
        <v>121</v>
      </c>
      <c r="E91">
        <v>157253228.9923954</v>
      </c>
      <c r="F91">
        <v>7</v>
      </c>
      <c r="G91">
        <v>10972222</v>
      </c>
      <c r="H91">
        <v>0</v>
      </c>
      <c r="I91">
        <v>0</v>
      </c>
      <c r="J91">
        <v>128</v>
      </c>
      <c r="K91">
        <v>168225450.9923954</v>
      </c>
    </row>
    <row r="92" spans="1:11" x14ac:dyDescent="0.25">
      <c r="A92">
        <v>91</v>
      </c>
      <c r="B92" t="s">
        <v>191</v>
      </c>
      <c r="C92" t="s">
        <v>192</v>
      </c>
      <c r="D92">
        <v>69</v>
      </c>
      <c r="E92">
        <v>33003213.128078818</v>
      </c>
      <c r="F92">
        <v>3</v>
      </c>
      <c r="G92">
        <v>3444444</v>
      </c>
      <c r="H92">
        <v>0</v>
      </c>
      <c r="I92">
        <v>0</v>
      </c>
      <c r="J92">
        <v>72</v>
      </c>
      <c r="K92">
        <v>36447657.128078818</v>
      </c>
    </row>
    <row r="93" spans="1:11" x14ac:dyDescent="0.25">
      <c r="A93">
        <v>92</v>
      </c>
      <c r="B93" t="s">
        <v>193</v>
      </c>
      <c r="C93" t="s">
        <v>194</v>
      </c>
      <c r="D93">
        <v>34</v>
      </c>
      <c r="E93">
        <v>62448598.432558149</v>
      </c>
      <c r="F93">
        <v>4</v>
      </c>
      <c r="G93">
        <v>6175925</v>
      </c>
      <c r="H93">
        <v>2</v>
      </c>
      <c r="I93">
        <v>3129629</v>
      </c>
      <c r="J93">
        <v>36</v>
      </c>
      <c r="K93">
        <v>65494894.432558149</v>
      </c>
    </row>
    <row r="94" spans="1:11" x14ac:dyDescent="0.25">
      <c r="A94">
        <v>93</v>
      </c>
      <c r="B94" t="s">
        <v>195</v>
      </c>
      <c r="C94" t="s">
        <v>196</v>
      </c>
      <c r="D94">
        <v>403</v>
      </c>
      <c r="E94">
        <v>123937963.6155607</v>
      </c>
      <c r="F94">
        <v>5</v>
      </c>
      <c r="G94">
        <v>9907407</v>
      </c>
      <c r="H94">
        <v>1</v>
      </c>
      <c r="I94">
        <v>2268519</v>
      </c>
      <c r="J94">
        <v>407</v>
      </c>
      <c r="K94">
        <v>131576851.6155607</v>
      </c>
    </row>
    <row r="95" spans="1:11" x14ac:dyDescent="0.25">
      <c r="A95">
        <v>94</v>
      </c>
      <c r="B95" t="s">
        <v>197</v>
      </c>
      <c r="C95" t="s">
        <v>198</v>
      </c>
      <c r="D95">
        <v>31</v>
      </c>
      <c r="E95">
        <v>3459092</v>
      </c>
      <c r="F95">
        <v>0</v>
      </c>
      <c r="G95">
        <v>0</v>
      </c>
      <c r="H95">
        <v>1</v>
      </c>
      <c r="I95">
        <v>370370</v>
      </c>
      <c r="J95">
        <v>30</v>
      </c>
      <c r="K95">
        <v>3088722</v>
      </c>
    </row>
    <row r="96" spans="1:11" x14ac:dyDescent="0.25">
      <c r="A96">
        <v>95</v>
      </c>
      <c r="B96" t="s">
        <v>199</v>
      </c>
      <c r="C96" t="s">
        <v>200</v>
      </c>
      <c r="D96">
        <v>68</v>
      </c>
      <c r="E96">
        <v>3673370.0819672118</v>
      </c>
      <c r="F96">
        <v>0</v>
      </c>
      <c r="G96">
        <v>0</v>
      </c>
      <c r="H96">
        <v>0</v>
      </c>
      <c r="I96">
        <v>0</v>
      </c>
      <c r="J96">
        <v>68</v>
      </c>
      <c r="K96">
        <v>3673370.0819672118</v>
      </c>
    </row>
    <row r="97" spans="1:11" x14ac:dyDescent="0.25">
      <c r="A97">
        <v>96</v>
      </c>
      <c r="B97" t="s">
        <v>201</v>
      </c>
      <c r="C97" t="s">
        <v>202</v>
      </c>
      <c r="D97">
        <v>1798</v>
      </c>
      <c r="E97">
        <v>190043369.4361957</v>
      </c>
      <c r="F97">
        <v>18</v>
      </c>
      <c r="G97">
        <v>8342593</v>
      </c>
      <c r="H97">
        <v>5</v>
      </c>
      <c r="I97">
        <v>879630</v>
      </c>
      <c r="J97">
        <v>1811</v>
      </c>
      <c r="K97">
        <v>197506332.4361957</v>
      </c>
    </row>
    <row r="98" spans="1:11" x14ac:dyDescent="0.25">
      <c r="A98">
        <v>97</v>
      </c>
      <c r="B98" t="s">
        <v>203</v>
      </c>
      <c r="C98" t="s">
        <v>204</v>
      </c>
      <c r="D98">
        <v>306</v>
      </c>
      <c r="E98">
        <v>54859825.620727673</v>
      </c>
      <c r="F98">
        <v>0</v>
      </c>
      <c r="G98">
        <v>0</v>
      </c>
      <c r="H98">
        <v>8</v>
      </c>
      <c r="I98">
        <v>1481480</v>
      </c>
      <c r="J98">
        <v>298</v>
      </c>
      <c r="K98">
        <v>53378345.620727673</v>
      </c>
    </row>
    <row r="99" spans="1:11" x14ac:dyDescent="0.25">
      <c r="A99">
        <v>98</v>
      </c>
      <c r="B99" t="s">
        <v>205</v>
      </c>
      <c r="C99" t="s">
        <v>206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 x14ac:dyDescent="0.25">
      <c r="A100">
        <v>99</v>
      </c>
      <c r="B100" t="s">
        <v>207</v>
      </c>
      <c r="C100" t="s">
        <v>208</v>
      </c>
      <c r="D100">
        <v>10</v>
      </c>
      <c r="E100">
        <v>3335423.7586206938</v>
      </c>
      <c r="F100">
        <v>0</v>
      </c>
      <c r="G100">
        <v>0</v>
      </c>
      <c r="H100">
        <v>0</v>
      </c>
      <c r="I100">
        <v>0</v>
      </c>
      <c r="J100">
        <v>10</v>
      </c>
      <c r="K100">
        <v>3335423.7586206938</v>
      </c>
    </row>
    <row r="101" spans="1:11" x14ac:dyDescent="0.25">
      <c r="A101">
        <v>100</v>
      </c>
      <c r="B101" t="s">
        <v>209</v>
      </c>
      <c r="C101" t="s">
        <v>210</v>
      </c>
      <c r="D101">
        <v>5</v>
      </c>
      <c r="E101">
        <v>5229125</v>
      </c>
      <c r="F101">
        <v>0</v>
      </c>
      <c r="G101">
        <v>0</v>
      </c>
      <c r="H101">
        <v>0</v>
      </c>
      <c r="I101">
        <v>0</v>
      </c>
      <c r="J101">
        <v>5</v>
      </c>
      <c r="K101">
        <v>5229125</v>
      </c>
    </row>
    <row r="102" spans="1:11" x14ac:dyDescent="0.25">
      <c r="A102">
        <v>101</v>
      </c>
      <c r="B102" t="s">
        <v>211</v>
      </c>
      <c r="C102" t="s">
        <v>212</v>
      </c>
      <c r="D102">
        <v>235</v>
      </c>
      <c r="E102">
        <v>127767964.6692913</v>
      </c>
      <c r="F102">
        <v>0</v>
      </c>
      <c r="G102">
        <v>0</v>
      </c>
      <c r="H102">
        <v>1</v>
      </c>
      <c r="I102">
        <v>629630</v>
      </c>
      <c r="J102">
        <v>234</v>
      </c>
      <c r="K102">
        <v>127138334.6692913</v>
      </c>
    </row>
    <row r="103" spans="1:11" x14ac:dyDescent="0.25">
      <c r="A103">
        <v>102</v>
      </c>
      <c r="B103" t="s">
        <v>213</v>
      </c>
      <c r="C103" t="s">
        <v>214</v>
      </c>
      <c r="D103">
        <v>2</v>
      </c>
      <c r="E103">
        <v>2309091</v>
      </c>
      <c r="F103">
        <v>0</v>
      </c>
      <c r="G103">
        <v>0</v>
      </c>
      <c r="H103">
        <v>0</v>
      </c>
      <c r="I103">
        <v>0</v>
      </c>
      <c r="J103">
        <v>2</v>
      </c>
      <c r="K103">
        <v>2309091</v>
      </c>
    </row>
    <row r="104" spans="1:11" x14ac:dyDescent="0.25">
      <c r="A104">
        <v>103</v>
      </c>
      <c r="B104" t="s">
        <v>215</v>
      </c>
      <c r="C104" t="s">
        <v>216</v>
      </c>
      <c r="D104">
        <v>2007</v>
      </c>
      <c r="E104">
        <v>246077621.46378449</v>
      </c>
      <c r="F104">
        <v>45</v>
      </c>
      <c r="G104">
        <v>4166676</v>
      </c>
      <c r="H104">
        <v>36</v>
      </c>
      <c r="I104">
        <v>5291668</v>
      </c>
      <c r="J104">
        <v>2016</v>
      </c>
      <c r="K104">
        <v>244952629.46378449</v>
      </c>
    </row>
    <row r="105" spans="1:11" x14ac:dyDescent="0.25">
      <c r="A105">
        <v>104</v>
      </c>
      <c r="B105" t="s">
        <v>217</v>
      </c>
      <c r="C105" t="s">
        <v>218</v>
      </c>
      <c r="D105">
        <v>264</v>
      </c>
      <c r="E105">
        <v>107001713.9929824</v>
      </c>
      <c r="F105">
        <v>26</v>
      </c>
      <c r="G105">
        <v>4888888</v>
      </c>
      <c r="H105">
        <v>0</v>
      </c>
      <c r="I105">
        <v>0</v>
      </c>
      <c r="J105">
        <v>290</v>
      </c>
      <c r="K105">
        <v>111890601.9929824</v>
      </c>
    </row>
    <row r="106" spans="1:11" x14ac:dyDescent="0.25">
      <c r="A106">
        <v>105</v>
      </c>
      <c r="B106" t="s">
        <v>219</v>
      </c>
      <c r="C106" t="s">
        <v>220</v>
      </c>
      <c r="D106">
        <v>597</v>
      </c>
      <c r="E106">
        <v>218128903.6902304</v>
      </c>
      <c r="F106">
        <v>356</v>
      </c>
      <c r="G106">
        <v>53628704</v>
      </c>
      <c r="H106">
        <v>21</v>
      </c>
      <c r="I106">
        <v>1990736</v>
      </c>
      <c r="J106">
        <v>932</v>
      </c>
      <c r="K106">
        <v>269766871.69023043</v>
      </c>
    </row>
    <row r="107" spans="1:11" x14ac:dyDescent="0.25">
      <c r="A107">
        <v>106</v>
      </c>
      <c r="B107" t="s">
        <v>221</v>
      </c>
      <c r="C107" t="s">
        <v>222</v>
      </c>
      <c r="D107">
        <v>0</v>
      </c>
      <c r="E107">
        <v>4308319.3291293681</v>
      </c>
      <c r="F107">
        <v>50</v>
      </c>
      <c r="G107">
        <v>6999996</v>
      </c>
      <c r="H107">
        <v>18</v>
      </c>
      <c r="I107">
        <v>3287039</v>
      </c>
      <c r="J107">
        <v>32</v>
      </c>
      <c r="K107">
        <v>8021276.3291293681</v>
      </c>
    </row>
    <row r="108" spans="1:11" x14ac:dyDescent="0.25">
      <c r="A108">
        <v>107</v>
      </c>
      <c r="B108" t="s">
        <v>223</v>
      </c>
      <c r="C108" t="s">
        <v>224</v>
      </c>
      <c r="D108">
        <v>9</v>
      </c>
      <c r="E108">
        <v>4562119.75</v>
      </c>
      <c r="F108">
        <v>0</v>
      </c>
      <c r="G108">
        <v>0</v>
      </c>
      <c r="H108">
        <v>0</v>
      </c>
      <c r="I108">
        <v>0</v>
      </c>
      <c r="J108">
        <v>9</v>
      </c>
      <c r="K108">
        <v>4562119.75</v>
      </c>
    </row>
    <row r="109" spans="1:11" x14ac:dyDescent="0.25">
      <c r="A109">
        <v>108</v>
      </c>
      <c r="B109" t="s">
        <v>225</v>
      </c>
      <c r="C109" t="s">
        <v>226</v>
      </c>
      <c r="D109">
        <v>328</v>
      </c>
      <c r="E109">
        <v>84181992.850046858</v>
      </c>
      <c r="F109">
        <v>2</v>
      </c>
      <c r="G109">
        <v>0</v>
      </c>
      <c r="H109">
        <v>0</v>
      </c>
      <c r="I109">
        <v>0</v>
      </c>
      <c r="J109">
        <v>330</v>
      </c>
      <c r="K109">
        <v>84181992.850046858</v>
      </c>
    </row>
    <row r="110" spans="1:11" x14ac:dyDescent="0.25">
      <c r="A110">
        <v>109</v>
      </c>
      <c r="B110" t="s">
        <v>227</v>
      </c>
      <c r="C110" t="s">
        <v>228</v>
      </c>
      <c r="D110">
        <v>326</v>
      </c>
      <c r="E110">
        <v>123618389.1661891</v>
      </c>
      <c r="F110">
        <v>0</v>
      </c>
      <c r="G110">
        <v>0</v>
      </c>
      <c r="H110">
        <v>7</v>
      </c>
      <c r="I110">
        <v>2527778</v>
      </c>
      <c r="J110">
        <v>319</v>
      </c>
      <c r="K110">
        <v>121090611.1661891</v>
      </c>
    </row>
    <row r="111" spans="1:11" x14ac:dyDescent="0.25">
      <c r="A111">
        <v>110</v>
      </c>
      <c r="B111" t="s">
        <v>229</v>
      </c>
      <c r="C111" t="s">
        <v>230</v>
      </c>
      <c r="D111">
        <v>48</v>
      </c>
      <c r="E111">
        <v>3587584.8936170209</v>
      </c>
      <c r="F111">
        <v>0</v>
      </c>
      <c r="G111">
        <v>0</v>
      </c>
      <c r="H111">
        <v>5</v>
      </c>
      <c r="I111">
        <v>416667</v>
      </c>
      <c r="J111">
        <v>43</v>
      </c>
      <c r="K111">
        <v>3170917.8936170209</v>
      </c>
    </row>
    <row r="112" spans="1:11" x14ac:dyDescent="0.25">
      <c r="A112">
        <v>111</v>
      </c>
      <c r="B112" t="s">
        <v>231</v>
      </c>
      <c r="C112" t="s">
        <v>232</v>
      </c>
      <c r="D112">
        <v>94</v>
      </c>
      <c r="E112">
        <v>38442332.259079903</v>
      </c>
      <c r="F112">
        <v>3</v>
      </c>
      <c r="G112">
        <v>1022222</v>
      </c>
      <c r="H112">
        <v>0</v>
      </c>
      <c r="I112">
        <v>0</v>
      </c>
      <c r="J112">
        <v>97</v>
      </c>
      <c r="K112">
        <v>39464554.259079903</v>
      </c>
    </row>
    <row r="113" spans="1:11" x14ac:dyDescent="0.25">
      <c r="A113">
        <v>112</v>
      </c>
      <c r="B113" t="s">
        <v>233</v>
      </c>
      <c r="C113" t="s">
        <v>234</v>
      </c>
      <c r="D113">
        <v>963</v>
      </c>
      <c r="E113">
        <v>364081801.39026397</v>
      </c>
      <c r="F113">
        <v>5</v>
      </c>
      <c r="G113">
        <v>2679629</v>
      </c>
      <c r="H113">
        <v>6</v>
      </c>
      <c r="I113">
        <v>2111113</v>
      </c>
      <c r="J113">
        <v>962</v>
      </c>
      <c r="K113">
        <v>364650317.39026397</v>
      </c>
    </row>
    <row r="114" spans="1:11" x14ac:dyDescent="0.25">
      <c r="A114">
        <v>113</v>
      </c>
      <c r="B114" t="s">
        <v>235</v>
      </c>
      <c r="C114" t="s">
        <v>236</v>
      </c>
      <c r="D114">
        <v>37</v>
      </c>
      <c r="E114">
        <v>16257416.620689649</v>
      </c>
      <c r="F114">
        <v>2</v>
      </c>
      <c r="G114">
        <v>2277778</v>
      </c>
      <c r="H114">
        <v>2</v>
      </c>
      <c r="I114">
        <v>1203704</v>
      </c>
      <c r="J114">
        <v>37</v>
      </c>
      <c r="K114">
        <v>17331490.620689649</v>
      </c>
    </row>
    <row r="115" spans="1:11" x14ac:dyDescent="0.25">
      <c r="A115">
        <v>114</v>
      </c>
      <c r="B115" t="s">
        <v>237</v>
      </c>
      <c r="C115" t="s">
        <v>238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 x14ac:dyDescent="0.25">
      <c r="A116">
        <v>115</v>
      </c>
      <c r="B116" t="s">
        <v>239</v>
      </c>
      <c r="C116" t="s">
        <v>240</v>
      </c>
      <c r="D116">
        <v>0</v>
      </c>
      <c r="E116">
        <v>0</v>
      </c>
      <c r="F116">
        <v>2</v>
      </c>
      <c r="G116">
        <v>11074074</v>
      </c>
      <c r="H116">
        <v>2</v>
      </c>
      <c r="I116">
        <v>12388889</v>
      </c>
      <c r="J116">
        <v>0</v>
      </c>
      <c r="K116">
        <v>0</v>
      </c>
    </row>
    <row r="117" spans="1:11" x14ac:dyDescent="0.25">
      <c r="A117">
        <v>116</v>
      </c>
      <c r="B117" t="s">
        <v>241</v>
      </c>
      <c r="C117" t="s">
        <v>242</v>
      </c>
      <c r="D117">
        <v>1</v>
      </c>
      <c r="E117">
        <v>2400000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2400000</v>
      </c>
    </row>
    <row r="118" spans="1:11" x14ac:dyDescent="0.25">
      <c r="A118">
        <v>117</v>
      </c>
      <c r="B118" t="s">
        <v>243</v>
      </c>
      <c r="C118" t="s">
        <v>244</v>
      </c>
      <c r="D118">
        <v>1</v>
      </c>
      <c r="E118">
        <v>2200000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2200000</v>
      </c>
    </row>
    <row r="119" spans="1:11" x14ac:dyDescent="0.25">
      <c r="A119">
        <v>118</v>
      </c>
      <c r="B119" t="s">
        <v>245</v>
      </c>
      <c r="C119" t="s">
        <v>246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 x14ac:dyDescent="0.25">
      <c r="A120">
        <v>119</v>
      </c>
      <c r="B120" t="s">
        <v>247</v>
      </c>
      <c r="C120" t="s">
        <v>248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</row>
    <row r="121" spans="1:11" x14ac:dyDescent="0.25">
      <c r="A121">
        <v>120</v>
      </c>
      <c r="B121" t="s">
        <v>249</v>
      </c>
      <c r="C121" t="s">
        <v>250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 x14ac:dyDescent="0.25">
      <c r="A122">
        <v>121</v>
      </c>
      <c r="B122" t="s">
        <v>251</v>
      </c>
      <c r="C122" t="s">
        <v>252</v>
      </c>
      <c r="D122">
        <v>6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6</v>
      </c>
      <c r="K122">
        <v>0</v>
      </c>
    </row>
    <row r="123" spans="1:11" x14ac:dyDescent="0.25">
      <c r="A123">
        <v>122</v>
      </c>
      <c r="B123" t="s">
        <v>253</v>
      </c>
      <c r="C123" t="s">
        <v>254</v>
      </c>
      <c r="D123">
        <v>6</v>
      </c>
      <c r="E123">
        <v>19107793.616306961</v>
      </c>
      <c r="F123">
        <v>0</v>
      </c>
      <c r="G123">
        <v>0</v>
      </c>
      <c r="H123">
        <v>0</v>
      </c>
      <c r="I123">
        <v>0</v>
      </c>
      <c r="J123">
        <v>6</v>
      </c>
      <c r="K123">
        <v>19107793.616306961</v>
      </c>
    </row>
    <row r="124" spans="1:11" x14ac:dyDescent="0.25">
      <c r="A124">
        <v>123</v>
      </c>
      <c r="B124" t="s">
        <v>255</v>
      </c>
      <c r="C124" t="s">
        <v>256</v>
      </c>
      <c r="D124">
        <v>41</v>
      </c>
      <c r="E124">
        <v>23422515.84722222</v>
      </c>
      <c r="F124">
        <v>0</v>
      </c>
      <c r="G124">
        <v>0</v>
      </c>
      <c r="H124">
        <v>0</v>
      </c>
      <c r="I124">
        <v>0</v>
      </c>
      <c r="J124">
        <v>41</v>
      </c>
      <c r="K124">
        <v>23422515.84722222</v>
      </c>
    </row>
    <row r="125" spans="1:11" x14ac:dyDescent="0.25">
      <c r="A125">
        <v>124</v>
      </c>
      <c r="B125" t="s">
        <v>257</v>
      </c>
      <c r="C125" t="s">
        <v>258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 x14ac:dyDescent="0.25">
      <c r="A126">
        <v>125</v>
      </c>
      <c r="B126" t="s">
        <v>259</v>
      </c>
      <c r="C126" t="s">
        <v>260</v>
      </c>
      <c r="D126">
        <v>687</v>
      </c>
      <c r="E126">
        <v>432066993.2321918</v>
      </c>
      <c r="F126">
        <v>13</v>
      </c>
      <c r="G126">
        <v>9398148</v>
      </c>
      <c r="H126">
        <v>7</v>
      </c>
      <c r="I126">
        <v>8509262</v>
      </c>
      <c r="J126">
        <v>693</v>
      </c>
      <c r="K126">
        <v>432955879.2321918</v>
      </c>
    </row>
    <row r="127" spans="1:11" x14ac:dyDescent="0.25">
      <c r="A127">
        <v>126</v>
      </c>
      <c r="B127" t="s">
        <v>261</v>
      </c>
      <c r="C127" t="s">
        <v>262</v>
      </c>
      <c r="D127">
        <v>6</v>
      </c>
      <c r="E127">
        <v>2225742.1428571432</v>
      </c>
      <c r="F127">
        <v>0</v>
      </c>
      <c r="G127">
        <v>0</v>
      </c>
      <c r="H127">
        <v>0</v>
      </c>
      <c r="I127">
        <v>0</v>
      </c>
      <c r="J127">
        <v>6</v>
      </c>
      <c r="K127">
        <v>2225742.1428571432</v>
      </c>
    </row>
    <row r="128" spans="1:11" x14ac:dyDescent="0.25">
      <c r="A128">
        <v>127</v>
      </c>
      <c r="B128" t="s">
        <v>263</v>
      </c>
      <c r="C128" t="s">
        <v>264</v>
      </c>
      <c r="D128">
        <v>11</v>
      </c>
      <c r="E128">
        <v>10694447.40909091</v>
      </c>
      <c r="F128">
        <v>0</v>
      </c>
      <c r="G128">
        <v>0</v>
      </c>
      <c r="H128">
        <v>0</v>
      </c>
      <c r="I128">
        <v>0</v>
      </c>
      <c r="J128">
        <v>11</v>
      </c>
      <c r="K128">
        <v>10694447.40909091</v>
      </c>
    </row>
    <row r="129" spans="1:11" x14ac:dyDescent="0.25">
      <c r="A129">
        <v>128</v>
      </c>
      <c r="B129" t="s">
        <v>265</v>
      </c>
      <c r="C129" t="s">
        <v>266</v>
      </c>
      <c r="D129">
        <v>18</v>
      </c>
      <c r="E129">
        <v>37463253.75</v>
      </c>
      <c r="F129">
        <v>0</v>
      </c>
      <c r="G129">
        <v>0</v>
      </c>
      <c r="H129">
        <v>0</v>
      </c>
      <c r="I129">
        <v>0</v>
      </c>
      <c r="J129">
        <v>18</v>
      </c>
      <c r="K129">
        <v>37463253.75</v>
      </c>
    </row>
    <row r="130" spans="1:11" x14ac:dyDescent="0.25">
      <c r="A130">
        <v>129</v>
      </c>
      <c r="B130" t="s">
        <v>267</v>
      </c>
      <c r="C130" t="s">
        <v>268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1:11" x14ac:dyDescent="0.25">
      <c r="A131">
        <v>130</v>
      </c>
      <c r="B131" t="s">
        <v>269</v>
      </c>
      <c r="C131" t="s">
        <v>270</v>
      </c>
      <c r="D131">
        <v>241</v>
      </c>
      <c r="E131">
        <v>142204886.5194805</v>
      </c>
      <c r="F131">
        <v>6</v>
      </c>
      <c r="G131">
        <v>4694442</v>
      </c>
      <c r="H131">
        <v>3</v>
      </c>
      <c r="I131">
        <v>3083332</v>
      </c>
      <c r="J131">
        <v>244</v>
      </c>
      <c r="K131">
        <v>143815996.5194805</v>
      </c>
    </row>
    <row r="132" spans="1:11" x14ac:dyDescent="0.25">
      <c r="A132">
        <v>131</v>
      </c>
      <c r="B132" t="s">
        <v>271</v>
      </c>
      <c r="C132" t="s">
        <v>272</v>
      </c>
      <c r="D132">
        <v>122</v>
      </c>
      <c r="E132">
        <v>25495770.7489301</v>
      </c>
      <c r="F132">
        <v>0</v>
      </c>
      <c r="G132">
        <v>0</v>
      </c>
      <c r="H132">
        <v>2</v>
      </c>
      <c r="I132">
        <v>3194444</v>
      </c>
      <c r="J132">
        <v>120</v>
      </c>
      <c r="K132">
        <v>22301326.7489301</v>
      </c>
    </row>
    <row r="133" spans="1:11" x14ac:dyDescent="0.25">
      <c r="A133">
        <v>132</v>
      </c>
      <c r="B133" t="s">
        <v>273</v>
      </c>
      <c r="C133" t="s">
        <v>274</v>
      </c>
      <c r="D133">
        <v>353</v>
      </c>
      <c r="E133">
        <v>102773274.7694118</v>
      </c>
      <c r="F133">
        <v>25</v>
      </c>
      <c r="G133">
        <v>4421293</v>
      </c>
      <c r="H133">
        <v>3</v>
      </c>
      <c r="I133">
        <v>314816</v>
      </c>
      <c r="J133">
        <v>375</v>
      </c>
      <c r="K133">
        <v>106879751.7694118</v>
      </c>
    </row>
    <row r="134" spans="1:11" x14ac:dyDescent="0.25">
      <c r="A134">
        <v>133</v>
      </c>
      <c r="B134" t="s">
        <v>275</v>
      </c>
      <c r="C134" t="s">
        <v>276</v>
      </c>
      <c r="D134">
        <v>135</v>
      </c>
      <c r="E134">
        <v>36077057.084337354</v>
      </c>
      <c r="F134">
        <v>5</v>
      </c>
      <c r="G134">
        <v>2498145</v>
      </c>
      <c r="H134">
        <v>1</v>
      </c>
      <c r="I134">
        <v>694444</v>
      </c>
      <c r="J134">
        <v>139</v>
      </c>
      <c r="K134">
        <v>37880758.084337354</v>
      </c>
    </row>
    <row r="135" spans="1:11" x14ac:dyDescent="0.25">
      <c r="A135">
        <v>134</v>
      </c>
      <c r="B135" t="s">
        <v>277</v>
      </c>
      <c r="C135" t="s">
        <v>278</v>
      </c>
      <c r="D135">
        <v>4</v>
      </c>
      <c r="E135">
        <v>686195.57142857136</v>
      </c>
      <c r="F135">
        <v>3</v>
      </c>
      <c r="G135">
        <v>555556</v>
      </c>
      <c r="H135">
        <v>1</v>
      </c>
      <c r="I135">
        <v>194444</v>
      </c>
      <c r="J135">
        <v>6</v>
      </c>
      <c r="K135">
        <v>1047307.571428571</v>
      </c>
    </row>
    <row r="136" spans="1:11" x14ac:dyDescent="0.25">
      <c r="A136">
        <v>135</v>
      </c>
      <c r="B136" t="s">
        <v>279</v>
      </c>
      <c r="C136" t="s">
        <v>280</v>
      </c>
      <c r="D136">
        <v>28</v>
      </c>
      <c r="E136">
        <v>3245810.368421053</v>
      </c>
      <c r="F136">
        <v>0</v>
      </c>
      <c r="G136">
        <v>0</v>
      </c>
      <c r="H136">
        <v>0</v>
      </c>
      <c r="I136">
        <v>0</v>
      </c>
      <c r="J136">
        <v>28</v>
      </c>
      <c r="K136">
        <v>3245810.368421053</v>
      </c>
    </row>
    <row r="137" spans="1:11" x14ac:dyDescent="0.25">
      <c r="A137">
        <v>136</v>
      </c>
      <c r="B137" t="s">
        <v>281</v>
      </c>
      <c r="C137" t="s">
        <v>282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 x14ac:dyDescent="0.25">
      <c r="A138">
        <v>137</v>
      </c>
      <c r="B138" t="s">
        <v>283</v>
      </c>
      <c r="C138" t="s">
        <v>284</v>
      </c>
      <c r="D138">
        <v>24</v>
      </c>
      <c r="E138">
        <v>20007749.860465121</v>
      </c>
      <c r="F138">
        <v>0</v>
      </c>
      <c r="G138">
        <v>0</v>
      </c>
      <c r="H138">
        <v>0</v>
      </c>
      <c r="I138">
        <v>0</v>
      </c>
      <c r="J138">
        <v>24</v>
      </c>
      <c r="K138">
        <v>20007749.860465121</v>
      </c>
    </row>
    <row r="139" spans="1:11" x14ac:dyDescent="0.25">
      <c r="A139">
        <v>138</v>
      </c>
      <c r="B139" t="s">
        <v>285</v>
      </c>
      <c r="C139" t="s">
        <v>286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</row>
    <row r="140" spans="1:11" x14ac:dyDescent="0.25">
      <c r="A140">
        <v>139</v>
      </c>
      <c r="B140" t="s">
        <v>287</v>
      </c>
      <c r="C140" t="s">
        <v>288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1" x14ac:dyDescent="0.25">
      <c r="A141">
        <v>140</v>
      </c>
      <c r="B141" t="s">
        <v>289</v>
      </c>
      <c r="C141" t="s">
        <v>290</v>
      </c>
      <c r="D141">
        <v>7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7</v>
      </c>
      <c r="K141">
        <v>0</v>
      </c>
    </row>
    <row r="142" spans="1:11" x14ac:dyDescent="0.25">
      <c r="A142">
        <v>141</v>
      </c>
      <c r="B142" t="s">
        <v>291</v>
      </c>
      <c r="C142" t="s">
        <v>292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 x14ac:dyDescent="0.25">
      <c r="A143">
        <v>142</v>
      </c>
      <c r="B143" t="s">
        <v>293</v>
      </c>
      <c r="C143" t="s">
        <v>294</v>
      </c>
      <c r="D143">
        <v>91</v>
      </c>
      <c r="E143">
        <v>16211168.115942029</v>
      </c>
      <c r="F143">
        <v>11</v>
      </c>
      <c r="G143">
        <v>5939000</v>
      </c>
      <c r="H143">
        <v>2</v>
      </c>
      <c r="I143">
        <v>1230000</v>
      </c>
      <c r="J143">
        <v>100</v>
      </c>
      <c r="K143">
        <v>20920168.115942031</v>
      </c>
    </row>
    <row r="144" spans="1:11" x14ac:dyDescent="0.25">
      <c r="A144">
        <v>143</v>
      </c>
      <c r="B144" t="s">
        <v>295</v>
      </c>
      <c r="C144" t="s">
        <v>296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 x14ac:dyDescent="0.25">
      <c r="A145">
        <v>144</v>
      </c>
      <c r="B145" t="s">
        <v>297</v>
      </c>
      <c r="C145" t="s">
        <v>298</v>
      </c>
      <c r="D145">
        <v>16</v>
      </c>
      <c r="E145">
        <v>2555953.1515151509</v>
      </c>
      <c r="F145">
        <v>30</v>
      </c>
      <c r="G145">
        <v>416640</v>
      </c>
      <c r="H145">
        <v>0</v>
      </c>
      <c r="I145">
        <v>0</v>
      </c>
      <c r="J145">
        <v>46</v>
      </c>
      <c r="K145">
        <v>2972593.1515151509</v>
      </c>
    </row>
    <row r="146" spans="1:11" x14ac:dyDescent="0.25">
      <c r="A146">
        <v>145</v>
      </c>
      <c r="B146" t="s">
        <v>299</v>
      </c>
      <c r="C146" t="s">
        <v>300</v>
      </c>
      <c r="D146">
        <v>2771.1570000000002</v>
      </c>
      <c r="E146">
        <v>835527467.48000002</v>
      </c>
      <c r="F146">
        <v>249</v>
      </c>
      <c r="G146">
        <v>130405497</v>
      </c>
      <c r="H146">
        <v>41</v>
      </c>
      <c r="I146">
        <v>37361112</v>
      </c>
      <c r="J146">
        <v>2979.1570000000002</v>
      </c>
      <c r="K146">
        <v>928571852.48000002</v>
      </c>
    </row>
    <row r="147" spans="1:11" x14ac:dyDescent="0.25">
      <c r="A147" t="s">
        <v>301</v>
      </c>
      <c r="D147">
        <v>24169.156999999999</v>
      </c>
      <c r="E147">
        <v>23182958280.297779</v>
      </c>
      <c r="F147">
        <v>1676</v>
      </c>
      <c r="G147">
        <v>1258225834</v>
      </c>
      <c r="H147">
        <v>451</v>
      </c>
      <c r="I147">
        <v>1006327224</v>
      </c>
      <c r="J147">
        <v>25416.156999999999</v>
      </c>
      <c r="K147">
        <v>23640430962.297779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47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t="s">
        <v>11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5">
      <c r="A3">
        <v>2</v>
      </c>
      <c r="B3" t="s">
        <v>13</v>
      </c>
      <c r="C3" t="s">
        <v>14</v>
      </c>
      <c r="D3">
        <v>13</v>
      </c>
      <c r="E3">
        <v>98275173</v>
      </c>
      <c r="F3">
        <v>0</v>
      </c>
      <c r="G3">
        <v>0</v>
      </c>
      <c r="H3">
        <v>2</v>
      </c>
      <c r="I3">
        <v>16111112</v>
      </c>
      <c r="J3">
        <v>11</v>
      </c>
      <c r="K3">
        <v>82164061</v>
      </c>
    </row>
    <row r="4" spans="1:11" x14ac:dyDescent="0.25">
      <c r="A4">
        <v>3</v>
      </c>
      <c r="B4" t="s">
        <v>15</v>
      </c>
      <c r="C4" t="s">
        <v>16</v>
      </c>
      <c r="D4">
        <v>251</v>
      </c>
      <c r="E4">
        <v>2667869958.201292</v>
      </c>
      <c r="F4">
        <v>22</v>
      </c>
      <c r="G4">
        <v>304074073</v>
      </c>
      <c r="H4">
        <v>8</v>
      </c>
      <c r="I4">
        <v>110851852</v>
      </c>
      <c r="J4">
        <v>265</v>
      </c>
      <c r="K4">
        <v>2861092179.201292</v>
      </c>
    </row>
    <row r="5" spans="1:11" x14ac:dyDescent="0.25">
      <c r="A5">
        <v>4</v>
      </c>
      <c r="B5" t="s">
        <v>17</v>
      </c>
      <c r="C5" t="s">
        <v>18</v>
      </c>
      <c r="D5">
        <v>1</v>
      </c>
      <c r="E5">
        <v>29283636</v>
      </c>
      <c r="F5">
        <v>0</v>
      </c>
      <c r="G5">
        <v>0</v>
      </c>
      <c r="H5">
        <v>0</v>
      </c>
      <c r="I5">
        <v>0</v>
      </c>
      <c r="J5">
        <v>1</v>
      </c>
      <c r="K5">
        <v>29283636</v>
      </c>
    </row>
    <row r="6" spans="1:11" x14ac:dyDescent="0.25">
      <c r="A6">
        <v>5</v>
      </c>
      <c r="B6" t="s">
        <v>19</v>
      </c>
      <c r="C6" t="s">
        <v>20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5">
      <c r="A7">
        <v>6</v>
      </c>
      <c r="B7" t="s">
        <v>21</v>
      </c>
      <c r="C7" t="s">
        <v>22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5">
      <c r="A8">
        <v>7</v>
      </c>
      <c r="B8" t="s">
        <v>23</v>
      </c>
      <c r="C8" t="s">
        <v>24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5">
      <c r="A9">
        <v>8</v>
      </c>
      <c r="B9" t="s">
        <v>25</v>
      </c>
      <c r="C9" t="s">
        <v>26</v>
      </c>
      <c r="D9">
        <v>14</v>
      </c>
      <c r="E9">
        <v>53164451.450000003</v>
      </c>
      <c r="F9">
        <v>0</v>
      </c>
      <c r="G9">
        <v>0</v>
      </c>
      <c r="H9">
        <v>0</v>
      </c>
      <c r="I9">
        <v>0</v>
      </c>
      <c r="J9">
        <v>14</v>
      </c>
      <c r="K9">
        <v>53164451.450000003</v>
      </c>
    </row>
    <row r="10" spans="1:11" x14ac:dyDescent="0.25">
      <c r="A10">
        <v>9</v>
      </c>
      <c r="B10" t="s">
        <v>27</v>
      </c>
      <c r="C10" t="s">
        <v>28</v>
      </c>
      <c r="D10">
        <v>388</v>
      </c>
      <c r="E10">
        <v>1098432130.5951941</v>
      </c>
      <c r="F10">
        <v>44</v>
      </c>
      <c r="G10">
        <v>87150001</v>
      </c>
      <c r="H10">
        <v>11</v>
      </c>
      <c r="I10">
        <v>80925926</v>
      </c>
      <c r="J10">
        <v>421</v>
      </c>
      <c r="K10">
        <v>1104656205.5951941</v>
      </c>
    </row>
    <row r="11" spans="1:11" x14ac:dyDescent="0.25">
      <c r="A11">
        <v>10</v>
      </c>
      <c r="B11" t="s">
        <v>29</v>
      </c>
      <c r="C11" t="s">
        <v>30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5">
      <c r="A12">
        <v>11</v>
      </c>
      <c r="B12" t="s">
        <v>31</v>
      </c>
      <c r="C12" t="s">
        <v>32</v>
      </c>
      <c r="D12">
        <v>423</v>
      </c>
      <c r="E12">
        <v>5090737947.2191219</v>
      </c>
      <c r="F12">
        <v>36</v>
      </c>
      <c r="G12">
        <v>459307402</v>
      </c>
      <c r="H12">
        <v>15</v>
      </c>
      <c r="I12">
        <v>177166668</v>
      </c>
      <c r="J12">
        <v>444</v>
      </c>
      <c r="K12">
        <v>5372878681.2191219</v>
      </c>
    </row>
    <row r="13" spans="1:11" x14ac:dyDescent="0.25">
      <c r="A13">
        <v>12</v>
      </c>
      <c r="B13" t="s">
        <v>33</v>
      </c>
      <c r="C13" t="s">
        <v>34</v>
      </c>
      <c r="D13">
        <v>42</v>
      </c>
      <c r="E13">
        <v>768766962.76923084</v>
      </c>
      <c r="F13">
        <v>6</v>
      </c>
      <c r="G13">
        <v>100355556</v>
      </c>
      <c r="H13">
        <v>0</v>
      </c>
      <c r="I13">
        <v>0</v>
      </c>
      <c r="J13">
        <v>48</v>
      </c>
      <c r="K13">
        <v>869122518.76923084</v>
      </c>
    </row>
    <row r="14" spans="1:11" x14ac:dyDescent="0.25">
      <c r="A14">
        <v>13</v>
      </c>
      <c r="B14" t="s">
        <v>35</v>
      </c>
      <c r="C14" t="s">
        <v>36</v>
      </c>
      <c r="D14">
        <v>13</v>
      </c>
      <c r="E14">
        <v>303767233.28947371</v>
      </c>
      <c r="F14">
        <v>3</v>
      </c>
      <c r="G14">
        <v>75555555</v>
      </c>
      <c r="H14">
        <v>0</v>
      </c>
      <c r="I14">
        <v>0</v>
      </c>
      <c r="J14">
        <v>16</v>
      </c>
      <c r="K14">
        <v>379322788.28947371</v>
      </c>
    </row>
    <row r="15" spans="1:11" x14ac:dyDescent="0.25">
      <c r="A15">
        <v>14</v>
      </c>
      <c r="B15" t="s">
        <v>37</v>
      </c>
      <c r="C15" t="s">
        <v>38</v>
      </c>
      <c r="D15">
        <v>24</v>
      </c>
      <c r="E15">
        <v>310455950.93430662</v>
      </c>
      <c r="F15">
        <v>0</v>
      </c>
      <c r="G15">
        <v>0</v>
      </c>
      <c r="H15">
        <v>0</v>
      </c>
      <c r="I15">
        <v>0</v>
      </c>
      <c r="J15">
        <v>24</v>
      </c>
      <c r="K15">
        <v>310455950.93430662</v>
      </c>
    </row>
    <row r="16" spans="1:11" x14ac:dyDescent="0.25">
      <c r="A16">
        <v>15</v>
      </c>
      <c r="B16" t="s">
        <v>39</v>
      </c>
      <c r="C16" t="s">
        <v>40</v>
      </c>
      <c r="D16">
        <v>2</v>
      </c>
      <c r="E16">
        <v>102033335.1044776</v>
      </c>
      <c r="F16">
        <v>0</v>
      </c>
      <c r="G16">
        <v>0</v>
      </c>
      <c r="H16">
        <v>2</v>
      </c>
      <c r="I16">
        <v>27777778</v>
      </c>
      <c r="J16">
        <v>0</v>
      </c>
      <c r="K16">
        <v>74255557.104477614</v>
      </c>
    </row>
    <row r="17" spans="1:11" x14ac:dyDescent="0.25">
      <c r="A17">
        <v>16</v>
      </c>
      <c r="B17" t="s">
        <v>41</v>
      </c>
      <c r="C17" t="s">
        <v>42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>
        <v>17</v>
      </c>
      <c r="B18" t="s">
        <v>43</v>
      </c>
      <c r="C18" t="s">
        <v>44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>
        <v>18</v>
      </c>
      <c r="B19" t="s">
        <v>45</v>
      </c>
      <c r="C19" t="s">
        <v>46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25">
      <c r="A20">
        <v>19</v>
      </c>
      <c r="B20" t="s">
        <v>47</v>
      </c>
      <c r="C20" t="s">
        <v>48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5">
      <c r="A21">
        <v>20</v>
      </c>
      <c r="B21" t="s">
        <v>49</v>
      </c>
      <c r="C21" t="s">
        <v>50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25">
      <c r="A22">
        <v>21</v>
      </c>
      <c r="B22" t="s">
        <v>51</v>
      </c>
      <c r="C22" t="s">
        <v>52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25">
      <c r="A23">
        <v>22</v>
      </c>
      <c r="B23" t="s">
        <v>53</v>
      </c>
      <c r="C23" t="s">
        <v>54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25">
      <c r="A24">
        <v>23</v>
      </c>
      <c r="B24" t="s">
        <v>55</v>
      </c>
      <c r="C24" t="s">
        <v>56</v>
      </c>
      <c r="D24">
        <v>0</v>
      </c>
      <c r="E24">
        <v>0</v>
      </c>
      <c r="F24">
        <v>0</v>
      </c>
      <c r="G24">
        <v>0</v>
      </c>
      <c r="H24">
        <v>26</v>
      </c>
      <c r="I24">
        <v>293000000</v>
      </c>
      <c r="J24">
        <v>0</v>
      </c>
      <c r="K24">
        <v>0</v>
      </c>
    </row>
    <row r="25" spans="1:11" x14ac:dyDescent="0.25">
      <c r="A25">
        <v>24</v>
      </c>
      <c r="B25" t="s">
        <v>57</v>
      </c>
      <c r="C25" t="s">
        <v>58</v>
      </c>
      <c r="D25">
        <v>261</v>
      </c>
      <c r="E25">
        <v>2103150170.361217</v>
      </c>
      <c r="F25">
        <v>8</v>
      </c>
      <c r="G25">
        <v>107685186</v>
      </c>
      <c r="H25">
        <v>2</v>
      </c>
      <c r="I25">
        <v>27111111</v>
      </c>
      <c r="J25">
        <v>267</v>
      </c>
      <c r="K25">
        <v>2183724245.361217</v>
      </c>
    </row>
    <row r="26" spans="1:11" x14ac:dyDescent="0.25">
      <c r="A26">
        <v>25</v>
      </c>
      <c r="B26" t="s">
        <v>59</v>
      </c>
      <c r="C26" t="s">
        <v>60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25">
      <c r="A27">
        <v>26</v>
      </c>
      <c r="B27" t="s">
        <v>61</v>
      </c>
      <c r="C27" t="s">
        <v>62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5">
      <c r="A28">
        <v>27</v>
      </c>
      <c r="B28" t="s">
        <v>63</v>
      </c>
      <c r="C28" t="s">
        <v>64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25">
      <c r="A29">
        <v>28</v>
      </c>
      <c r="B29" t="s">
        <v>65</v>
      </c>
      <c r="C29" t="s">
        <v>66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x14ac:dyDescent="0.25">
      <c r="A30">
        <v>29</v>
      </c>
      <c r="B30" t="s">
        <v>67</v>
      </c>
      <c r="C30" t="s">
        <v>68</v>
      </c>
      <c r="D30">
        <v>5</v>
      </c>
      <c r="E30">
        <v>57213777.307692319</v>
      </c>
      <c r="F30">
        <v>0</v>
      </c>
      <c r="G30">
        <v>0</v>
      </c>
      <c r="H30">
        <v>0</v>
      </c>
      <c r="I30">
        <v>0</v>
      </c>
      <c r="J30">
        <v>5</v>
      </c>
      <c r="K30">
        <v>57213777.307692319</v>
      </c>
    </row>
    <row r="31" spans="1:11" x14ac:dyDescent="0.25">
      <c r="A31">
        <v>30</v>
      </c>
      <c r="B31" t="s">
        <v>69</v>
      </c>
      <c r="C31" t="s">
        <v>70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25">
      <c r="A32">
        <v>31</v>
      </c>
      <c r="B32" t="s">
        <v>71</v>
      </c>
      <c r="C32" t="s">
        <v>72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25">
      <c r="A33">
        <v>32</v>
      </c>
      <c r="B33" t="s">
        <v>73</v>
      </c>
      <c r="C33" t="s">
        <v>74</v>
      </c>
      <c r="D33">
        <v>4</v>
      </c>
      <c r="E33">
        <v>24300672.5</v>
      </c>
      <c r="F33">
        <v>0</v>
      </c>
      <c r="G33">
        <v>0</v>
      </c>
      <c r="H33">
        <v>0</v>
      </c>
      <c r="I33">
        <v>0</v>
      </c>
      <c r="J33">
        <v>4</v>
      </c>
      <c r="K33">
        <v>24300672.5</v>
      </c>
    </row>
    <row r="34" spans="1:11" x14ac:dyDescent="0.25">
      <c r="A34">
        <v>33</v>
      </c>
      <c r="B34" t="s">
        <v>75</v>
      </c>
      <c r="C34" t="s">
        <v>76</v>
      </c>
      <c r="D34">
        <v>59</v>
      </c>
      <c r="E34">
        <v>125832139.18326689</v>
      </c>
      <c r="F34">
        <v>11</v>
      </c>
      <c r="G34">
        <v>21138889</v>
      </c>
      <c r="H34">
        <v>2</v>
      </c>
      <c r="I34">
        <v>3972222</v>
      </c>
      <c r="J34">
        <v>68</v>
      </c>
      <c r="K34">
        <v>142998806.18326691</v>
      </c>
    </row>
    <row r="35" spans="1:11" x14ac:dyDescent="0.25">
      <c r="A35">
        <v>34</v>
      </c>
      <c r="B35" t="s">
        <v>77</v>
      </c>
      <c r="C35" t="s">
        <v>78</v>
      </c>
      <c r="D35">
        <v>533</v>
      </c>
      <c r="E35">
        <v>1086039380.553802</v>
      </c>
      <c r="F35">
        <v>66</v>
      </c>
      <c r="G35">
        <v>148009258</v>
      </c>
      <c r="H35">
        <v>54</v>
      </c>
      <c r="I35">
        <v>105453705</v>
      </c>
      <c r="J35">
        <v>545</v>
      </c>
      <c r="K35">
        <v>1128594933.553802</v>
      </c>
    </row>
    <row r="36" spans="1:11" x14ac:dyDescent="0.25">
      <c r="A36">
        <v>35</v>
      </c>
      <c r="B36" t="s">
        <v>79</v>
      </c>
      <c r="C36" t="s">
        <v>80</v>
      </c>
      <c r="D36">
        <v>13</v>
      </c>
      <c r="E36">
        <v>30644097.021276589</v>
      </c>
      <c r="F36">
        <v>2</v>
      </c>
      <c r="G36">
        <v>5648148</v>
      </c>
      <c r="H36">
        <v>0</v>
      </c>
      <c r="I36">
        <v>0</v>
      </c>
      <c r="J36">
        <v>15</v>
      </c>
      <c r="K36">
        <v>36292245.021276593</v>
      </c>
    </row>
    <row r="37" spans="1:11" x14ac:dyDescent="0.25">
      <c r="A37">
        <v>36</v>
      </c>
      <c r="B37" t="s">
        <v>81</v>
      </c>
      <c r="C37" t="s">
        <v>82</v>
      </c>
      <c r="D37">
        <v>24</v>
      </c>
      <c r="E37">
        <v>184910718.1964286</v>
      </c>
      <c r="F37">
        <v>3</v>
      </c>
      <c r="G37">
        <v>13833333</v>
      </c>
      <c r="H37">
        <v>0</v>
      </c>
      <c r="I37">
        <v>0</v>
      </c>
      <c r="J37">
        <v>27</v>
      </c>
      <c r="K37">
        <v>198744051.1964286</v>
      </c>
    </row>
    <row r="38" spans="1:11" x14ac:dyDescent="0.25">
      <c r="A38">
        <v>37</v>
      </c>
      <c r="B38" t="s">
        <v>83</v>
      </c>
      <c r="C38" t="s">
        <v>84</v>
      </c>
      <c r="D38">
        <v>2</v>
      </c>
      <c r="E38">
        <v>16427273</v>
      </c>
      <c r="F38">
        <v>0</v>
      </c>
      <c r="G38">
        <v>0</v>
      </c>
      <c r="H38">
        <v>0</v>
      </c>
      <c r="I38">
        <v>0</v>
      </c>
      <c r="J38">
        <v>2</v>
      </c>
      <c r="K38">
        <v>16427273</v>
      </c>
    </row>
    <row r="39" spans="1:11" x14ac:dyDescent="0.25">
      <c r="A39">
        <v>38</v>
      </c>
      <c r="B39" t="s">
        <v>85</v>
      </c>
      <c r="C39" t="s">
        <v>86</v>
      </c>
      <c r="D39">
        <v>126</v>
      </c>
      <c r="E39">
        <v>355283216.38106239</v>
      </c>
      <c r="F39">
        <v>0</v>
      </c>
      <c r="G39">
        <v>0</v>
      </c>
      <c r="H39">
        <v>2</v>
      </c>
      <c r="I39">
        <v>4027778</v>
      </c>
      <c r="J39">
        <v>124</v>
      </c>
      <c r="K39">
        <v>351255438.38106239</v>
      </c>
    </row>
    <row r="40" spans="1:11" x14ac:dyDescent="0.25">
      <c r="A40">
        <v>39</v>
      </c>
      <c r="B40" t="s">
        <v>87</v>
      </c>
      <c r="C40" t="s">
        <v>88</v>
      </c>
      <c r="D40">
        <v>9</v>
      </c>
      <c r="E40">
        <v>48234342.777777784</v>
      </c>
      <c r="F40">
        <v>0</v>
      </c>
      <c r="G40">
        <v>0</v>
      </c>
      <c r="H40">
        <v>0</v>
      </c>
      <c r="I40">
        <v>0</v>
      </c>
      <c r="J40">
        <v>9</v>
      </c>
      <c r="K40">
        <v>48234342.777777784</v>
      </c>
    </row>
    <row r="41" spans="1:11" x14ac:dyDescent="0.25">
      <c r="A41">
        <v>40</v>
      </c>
      <c r="B41" t="s">
        <v>89</v>
      </c>
      <c r="C41" t="s">
        <v>90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25">
      <c r="A42">
        <v>41</v>
      </c>
      <c r="B42" t="s">
        <v>91</v>
      </c>
      <c r="C42" t="s">
        <v>92</v>
      </c>
      <c r="D42">
        <v>1985</v>
      </c>
      <c r="E42">
        <v>32851607</v>
      </c>
      <c r="F42">
        <v>62</v>
      </c>
      <c r="G42">
        <v>37495370</v>
      </c>
      <c r="H42">
        <v>114</v>
      </c>
      <c r="I42">
        <v>20055555</v>
      </c>
      <c r="J42">
        <v>1933</v>
      </c>
      <c r="K42">
        <v>50291422</v>
      </c>
    </row>
    <row r="43" spans="1:11" x14ac:dyDescent="0.25">
      <c r="A43">
        <v>42</v>
      </c>
      <c r="B43" t="s">
        <v>93</v>
      </c>
      <c r="C43" t="s">
        <v>94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25">
      <c r="A44">
        <v>43</v>
      </c>
      <c r="B44" t="s">
        <v>95</v>
      </c>
      <c r="C44" t="s">
        <v>96</v>
      </c>
      <c r="D44">
        <v>392</v>
      </c>
      <c r="E44">
        <v>1008853913.424744</v>
      </c>
      <c r="F44">
        <v>0</v>
      </c>
      <c r="G44">
        <v>0</v>
      </c>
      <c r="H44">
        <v>5</v>
      </c>
      <c r="I44">
        <v>16074075</v>
      </c>
      <c r="J44">
        <v>387</v>
      </c>
      <c r="K44">
        <v>992779838.42474437</v>
      </c>
    </row>
    <row r="45" spans="1:11" x14ac:dyDescent="0.25">
      <c r="A45">
        <v>44</v>
      </c>
      <c r="B45" t="s">
        <v>97</v>
      </c>
      <c r="C45" t="s">
        <v>98</v>
      </c>
      <c r="D45">
        <v>94</v>
      </c>
      <c r="E45">
        <v>389931393.97297299</v>
      </c>
      <c r="F45">
        <v>0</v>
      </c>
      <c r="G45">
        <v>0</v>
      </c>
      <c r="H45">
        <v>2</v>
      </c>
      <c r="I45">
        <v>10731481</v>
      </c>
      <c r="J45">
        <v>92</v>
      </c>
      <c r="K45">
        <v>379199912.97297299</v>
      </c>
    </row>
    <row r="46" spans="1:11" x14ac:dyDescent="0.25">
      <c r="A46">
        <v>45</v>
      </c>
      <c r="B46" t="s">
        <v>99</v>
      </c>
      <c r="C46" t="s">
        <v>100</v>
      </c>
      <c r="D46">
        <v>254</v>
      </c>
      <c r="E46">
        <v>87889562.632571429</v>
      </c>
      <c r="F46">
        <v>2</v>
      </c>
      <c r="G46">
        <v>11388889</v>
      </c>
      <c r="H46">
        <v>1</v>
      </c>
      <c r="I46">
        <v>6657407</v>
      </c>
      <c r="J46">
        <v>255</v>
      </c>
      <c r="K46">
        <v>92621044.632571429</v>
      </c>
    </row>
    <row r="47" spans="1:11" x14ac:dyDescent="0.25">
      <c r="A47">
        <v>46</v>
      </c>
      <c r="B47" t="s">
        <v>101</v>
      </c>
      <c r="C47" t="s">
        <v>102</v>
      </c>
      <c r="D47">
        <v>118</v>
      </c>
      <c r="E47">
        <v>245515686.36567381</v>
      </c>
      <c r="F47">
        <v>16</v>
      </c>
      <c r="G47">
        <v>21962963</v>
      </c>
      <c r="H47">
        <v>2</v>
      </c>
      <c r="I47">
        <v>11407407</v>
      </c>
      <c r="J47">
        <v>132</v>
      </c>
      <c r="K47">
        <v>256071242.36567381</v>
      </c>
    </row>
    <row r="48" spans="1:11" x14ac:dyDescent="0.25">
      <c r="A48">
        <v>47</v>
      </c>
      <c r="B48" t="s">
        <v>103</v>
      </c>
      <c r="C48" t="s">
        <v>104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 x14ac:dyDescent="0.25">
      <c r="A49">
        <v>48</v>
      </c>
      <c r="B49" t="s">
        <v>105</v>
      </c>
      <c r="C49" t="s">
        <v>106</v>
      </c>
      <c r="D49">
        <v>35</v>
      </c>
      <c r="E49">
        <v>261166849.08224139</v>
      </c>
      <c r="F49">
        <v>0</v>
      </c>
      <c r="G49">
        <v>0</v>
      </c>
      <c r="H49">
        <v>1</v>
      </c>
      <c r="I49">
        <v>1388889</v>
      </c>
      <c r="J49">
        <v>34</v>
      </c>
      <c r="K49">
        <v>259777960.08224139</v>
      </c>
    </row>
    <row r="50" spans="1:11" x14ac:dyDescent="0.25">
      <c r="A50">
        <v>49</v>
      </c>
      <c r="B50" t="s">
        <v>107</v>
      </c>
      <c r="C50" t="s">
        <v>108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25">
      <c r="A51">
        <v>50</v>
      </c>
      <c r="B51" t="s">
        <v>109</v>
      </c>
      <c r="C51" t="s">
        <v>110</v>
      </c>
      <c r="D51">
        <v>5</v>
      </c>
      <c r="E51">
        <v>254228.19999999931</v>
      </c>
      <c r="F51">
        <v>0</v>
      </c>
      <c r="G51">
        <v>0</v>
      </c>
      <c r="H51">
        <v>0</v>
      </c>
      <c r="I51">
        <v>0</v>
      </c>
      <c r="J51">
        <v>5</v>
      </c>
      <c r="K51">
        <v>254228.19999999931</v>
      </c>
    </row>
    <row r="52" spans="1:11" x14ac:dyDescent="0.25">
      <c r="A52">
        <v>51</v>
      </c>
      <c r="B52" t="s">
        <v>111</v>
      </c>
      <c r="C52" t="s">
        <v>112</v>
      </c>
      <c r="D52">
        <v>6</v>
      </c>
      <c r="E52">
        <v>20604559.066938762</v>
      </c>
      <c r="F52">
        <v>0</v>
      </c>
      <c r="G52">
        <v>0</v>
      </c>
      <c r="H52">
        <v>0</v>
      </c>
      <c r="I52">
        <v>0</v>
      </c>
      <c r="J52">
        <v>6</v>
      </c>
      <c r="K52">
        <v>20604559.066938762</v>
      </c>
    </row>
    <row r="53" spans="1:11" x14ac:dyDescent="0.25">
      <c r="A53">
        <v>52</v>
      </c>
      <c r="B53" t="s">
        <v>113</v>
      </c>
      <c r="C53" t="s">
        <v>114</v>
      </c>
      <c r="D53">
        <v>3</v>
      </c>
      <c r="E53">
        <v>5580000</v>
      </c>
      <c r="F53">
        <v>0</v>
      </c>
      <c r="G53">
        <v>0</v>
      </c>
      <c r="H53">
        <v>0</v>
      </c>
      <c r="I53">
        <v>0</v>
      </c>
      <c r="J53">
        <v>3</v>
      </c>
      <c r="K53">
        <v>5580000</v>
      </c>
    </row>
    <row r="54" spans="1:11" x14ac:dyDescent="0.25">
      <c r="A54">
        <v>53</v>
      </c>
      <c r="B54" t="s">
        <v>115</v>
      </c>
      <c r="C54" t="s">
        <v>116</v>
      </c>
      <c r="D54">
        <v>1</v>
      </c>
      <c r="E54">
        <v>1480000</v>
      </c>
      <c r="F54">
        <v>0</v>
      </c>
      <c r="G54">
        <v>0</v>
      </c>
      <c r="H54">
        <v>0</v>
      </c>
      <c r="I54">
        <v>0</v>
      </c>
      <c r="J54">
        <v>1</v>
      </c>
      <c r="K54">
        <v>1480000</v>
      </c>
    </row>
    <row r="55" spans="1:11" x14ac:dyDescent="0.25">
      <c r="A55">
        <v>54</v>
      </c>
      <c r="B55" t="s">
        <v>117</v>
      </c>
      <c r="C55" t="s">
        <v>118</v>
      </c>
      <c r="D55">
        <v>92</v>
      </c>
      <c r="E55">
        <v>102914260.172702</v>
      </c>
      <c r="F55">
        <v>1</v>
      </c>
      <c r="G55">
        <v>13300000</v>
      </c>
      <c r="H55">
        <v>15</v>
      </c>
      <c r="I55">
        <v>5527776</v>
      </c>
      <c r="J55">
        <v>78</v>
      </c>
      <c r="K55">
        <v>110686484.172702</v>
      </c>
    </row>
    <row r="56" spans="1:11" x14ac:dyDescent="0.25">
      <c r="A56">
        <v>55</v>
      </c>
      <c r="B56" t="s">
        <v>119</v>
      </c>
      <c r="C56" t="s">
        <v>120</v>
      </c>
      <c r="D56">
        <v>39</v>
      </c>
      <c r="E56">
        <v>8196677.4915254228</v>
      </c>
      <c r="F56">
        <v>0</v>
      </c>
      <c r="G56">
        <v>0</v>
      </c>
      <c r="H56">
        <v>1</v>
      </c>
      <c r="I56">
        <v>1009259</v>
      </c>
      <c r="J56">
        <v>38</v>
      </c>
      <c r="K56">
        <v>7187418.4915254228</v>
      </c>
    </row>
    <row r="57" spans="1:11" x14ac:dyDescent="0.25">
      <c r="A57">
        <v>56</v>
      </c>
      <c r="B57" t="s">
        <v>121</v>
      </c>
      <c r="C57" t="s">
        <v>122</v>
      </c>
      <c r="D57">
        <v>7</v>
      </c>
      <c r="E57">
        <v>19034813.180769231</v>
      </c>
      <c r="F57">
        <v>0</v>
      </c>
      <c r="G57">
        <v>0</v>
      </c>
      <c r="H57">
        <v>0</v>
      </c>
      <c r="I57">
        <v>0</v>
      </c>
      <c r="J57">
        <v>7</v>
      </c>
      <c r="K57">
        <v>19034813.180769231</v>
      </c>
    </row>
    <row r="58" spans="1:11" x14ac:dyDescent="0.25">
      <c r="A58">
        <v>57</v>
      </c>
      <c r="B58" t="s">
        <v>123</v>
      </c>
      <c r="C58" t="s">
        <v>124</v>
      </c>
      <c r="D58">
        <v>2</v>
      </c>
      <c r="E58">
        <v>1829966.11</v>
      </c>
      <c r="F58">
        <v>0</v>
      </c>
      <c r="G58">
        <v>0</v>
      </c>
      <c r="H58">
        <v>0</v>
      </c>
      <c r="I58">
        <v>0</v>
      </c>
      <c r="J58">
        <v>2</v>
      </c>
      <c r="K58">
        <v>1829966.11</v>
      </c>
    </row>
    <row r="59" spans="1:11" x14ac:dyDescent="0.25">
      <c r="A59">
        <v>58</v>
      </c>
      <c r="B59" t="s">
        <v>125</v>
      </c>
      <c r="C59" t="s">
        <v>126</v>
      </c>
      <c r="D59">
        <v>1321</v>
      </c>
      <c r="E59">
        <v>114992023.36559761</v>
      </c>
      <c r="F59">
        <v>188</v>
      </c>
      <c r="G59">
        <v>41590741</v>
      </c>
      <c r="H59">
        <v>218</v>
      </c>
      <c r="I59">
        <v>54396296</v>
      </c>
      <c r="J59">
        <v>1291</v>
      </c>
      <c r="K59">
        <v>102186468.36559761</v>
      </c>
    </row>
    <row r="60" spans="1:11" x14ac:dyDescent="0.25">
      <c r="A60">
        <v>59</v>
      </c>
      <c r="B60" t="s">
        <v>127</v>
      </c>
      <c r="C60" t="s">
        <v>128</v>
      </c>
      <c r="D60">
        <v>169</v>
      </c>
      <c r="E60">
        <v>2063494</v>
      </c>
      <c r="F60">
        <v>5</v>
      </c>
      <c r="G60">
        <v>370370</v>
      </c>
      <c r="H60">
        <v>2</v>
      </c>
      <c r="I60">
        <v>416667</v>
      </c>
      <c r="J60">
        <v>172</v>
      </c>
      <c r="K60">
        <v>2017197</v>
      </c>
    </row>
    <row r="61" spans="1:11" x14ac:dyDescent="0.25">
      <c r="A61">
        <v>60</v>
      </c>
      <c r="B61" t="s">
        <v>129</v>
      </c>
      <c r="C61" t="s">
        <v>130</v>
      </c>
      <c r="D61">
        <v>71</v>
      </c>
      <c r="E61">
        <v>4775253</v>
      </c>
      <c r="F61">
        <v>0</v>
      </c>
      <c r="G61">
        <v>0</v>
      </c>
      <c r="H61">
        <v>0</v>
      </c>
      <c r="I61">
        <v>0</v>
      </c>
      <c r="J61">
        <v>71</v>
      </c>
      <c r="K61">
        <v>4775253</v>
      </c>
    </row>
    <row r="62" spans="1:11" x14ac:dyDescent="0.25">
      <c r="A62">
        <v>61</v>
      </c>
      <c r="B62" t="s">
        <v>131</v>
      </c>
      <c r="C62" t="s">
        <v>132</v>
      </c>
      <c r="D62">
        <v>1203</v>
      </c>
      <c r="E62">
        <v>83772186.878957927</v>
      </c>
      <c r="F62">
        <v>0</v>
      </c>
      <c r="G62">
        <v>0</v>
      </c>
      <c r="H62">
        <v>40</v>
      </c>
      <c r="I62">
        <v>4462964</v>
      </c>
      <c r="J62">
        <v>1163</v>
      </c>
      <c r="K62">
        <v>79309222.878957927</v>
      </c>
    </row>
    <row r="63" spans="1:11" x14ac:dyDescent="0.25">
      <c r="A63">
        <v>62</v>
      </c>
      <c r="B63" t="s">
        <v>133</v>
      </c>
      <c r="C63" t="s">
        <v>134</v>
      </c>
      <c r="D63">
        <v>950</v>
      </c>
      <c r="E63">
        <v>169628879.71158049</v>
      </c>
      <c r="F63">
        <v>0</v>
      </c>
      <c r="G63">
        <v>0</v>
      </c>
      <c r="H63">
        <v>5</v>
      </c>
      <c r="I63">
        <v>962963</v>
      </c>
      <c r="J63">
        <v>945</v>
      </c>
      <c r="K63">
        <v>168665916.71158049</v>
      </c>
    </row>
    <row r="64" spans="1:11" x14ac:dyDescent="0.25">
      <c r="A64">
        <v>63</v>
      </c>
      <c r="B64" t="s">
        <v>135</v>
      </c>
      <c r="C64" t="s">
        <v>136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 x14ac:dyDescent="0.25">
      <c r="A65">
        <v>64</v>
      </c>
      <c r="B65" t="s">
        <v>137</v>
      </c>
      <c r="C65" t="s">
        <v>138</v>
      </c>
      <c r="D65">
        <v>20</v>
      </c>
      <c r="E65">
        <v>5114407.4511235952</v>
      </c>
      <c r="F65">
        <v>0</v>
      </c>
      <c r="G65">
        <v>0</v>
      </c>
      <c r="H65">
        <v>0</v>
      </c>
      <c r="I65">
        <v>0</v>
      </c>
      <c r="J65">
        <v>20</v>
      </c>
      <c r="K65">
        <v>5114407.4511235952</v>
      </c>
    </row>
    <row r="66" spans="1:11" x14ac:dyDescent="0.25">
      <c r="A66">
        <v>65</v>
      </c>
      <c r="B66" t="s">
        <v>139</v>
      </c>
      <c r="C66" t="s">
        <v>140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 x14ac:dyDescent="0.25">
      <c r="A67">
        <v>66</v>
      </c>
      <c r="B67" t="s">
        <v>141</v>
      </c>
      <c r="C67" t="s">
        <v>142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 x14ac:dyDescent="0.25">
      <c r="A68">
        <v>67</v>
      </c>
      <c r="B68" t="s">
        <v>143</v>
      </c>
      <c r="C68" t="s">
        <v>144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 x14ac:dyDescent="0.25">
      <c r="A69">
        <v>68</v>
      </c>
      <c r="B69" t="s">
        <v>145</v>
      </c>
      <c r="C69" t="s">
        <v>146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 x14ac:dyDescent="0.25">
      <c r="A70">
        <v>69</v>
      </c>
      <c r="B70" t="s">
        <v>147</v>
      </c>
      <c r="C70" t="s">
        <v>148</v>
      </c>
      <c r="D70">
        <v>257</v>
      </c>
      <c r="E70">
        <v>60949086.665112108</v>
      </c>
      <c r="F70">
        <v>0</v>
      </c>
      <c r="G70">
        <v>0</v>
      </c>
      <c r="H70">
        <v>1</v>
      </c>
      <c r="I70">
        <v>555556</v>
      </c>
      <c r="J70">
        <v>256</v>
      </c>
      <c r="K70">
        <v>60393530.665112108</v>
      </c>
    </row>
    <row r="71" spans="1:11" x14ac:dyDescent="0.25">
      <c r="A71">
        <v>70</v>
      </c>
      <c r="B71" t="s">
        <v>149</v>
      </c>
      <c r="C71" t="s">
        <v>150</v>
      </c>
      <c r="D71">
        <v>12</v>
      </c>
      <c r="E71">
        <v>941974.16000000015</v>
      </c>
      <c r="F71">
        <v>0</v>
      </c>
      <c r="G71">
        <v>0</v>
      </c>
      <c r="H71">
        <v>0</v>
      </c>
      <c r="I71">
        <v>0</v>
      </c>
      <c r="J71">
        <v>12</v>
      </c>
      <c r="K71">
        <v>941974.16000000015</v>
      </c>
    </row>
    <row r="72" spans="1:11" x14ac:dyDescent="0.25">
      <c r="A72">
        <v>71</v>
      </c>
      <c r="B72" t="s">
        <v>151</v>
      </c>
      <c r="C72" t="s">
        <v>152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</row>
    <row r="73" spans="1:11" x14ac:dyDescent="0.25">
      <c r="A73">
        <v>72</v>
      </c>
      <c r="B73" t="s">
        <v>153</v>
      </c>
      <c r="C73" t="s">
        <v>154</v>
      </c>
      <c r="D73">
        <v>100</v>
      </c>
      <c r="E73">
        <v>0</v>
      </c>
      <c r="F73">
        <v>0</v>
      </c>
      <c r="G73">
        <v>0</v>
      </c>
      <c r="H73">
        <v>0</v>
      </c>
      <c r="I73">
        <v>0</v>
      </c>
      <c r="J73">
        <v>100</v>
      </c>
      <c r="K73">
        <v>0</v>
      </c>
    </row>
    <row r="74" spans="1:11" x14ac:dyDescent="0.25">
      <c r="A74">
        <v>73</v>
      </c>
      <c r="B74" t="s">
        <v>155</v>
      </c>
      <c r="C74" t="s">
        <v>156</v>
      </c>
      <c r="D74">
        <v>177</v>
      </c>
      <c r="E74">
        <v>404055654.07878792</v>
      </c>
      <c r="F74">
        <v>17</v>
      </c>
      <c r="G74">
        <v>42592593</v>
      </c>
      <c r="H74">
        <v>0</v>
      </c>
      <c r="I74">
        <v>0</v>
      </c>
      <c r="J74">
        <v>194</v>
      </c>
      <c r="K74">
        <v>446648247.07878792</v>
      </c>
    </row>
    <row r="75" spans="1:11" x14ac:dyDescent="0.25">
      <c r="A75">
        <v>74</v>
      </c>
      <c r="B75" t="s">
        <v>157</v>
      </c>
      <c r="C75" t="s">
        <v>158</v>
      </c>
      <c r="D75">
        <v>150</v>
      </c>
      <c r="E75">
        <v>438033538.75098813</v>
      </c>
      <c r="F75">
        <v>9</v>
      </c>
      <c r="G75">
        <v>29412037</v>
      </c>
      <c r="H75">
        <v>5</v>
      </c>
      <c r="I75">
        <v>22479124</v>
      </c>
      <c r="J75">
        <v>154</v>
      </c>
      <c r="K75">
        <v>444966451.75098813</v>
      </c>
    </row>
    <row r="76" spans="1:11" x14ac:dyDescent="0.25">
      <c r="A76">
        <v>75</v>
      </c>
      <c r="B76" t="s">
        <v>159</v>
      </c>
      <c r="C76" t="s">
        <v>160</v>
      </c>
      <c r="D76">
        <v>10</v>
      </c>
      <c r="E76">
        <v>57249621.875</v>
      </c>
      <c r="F76">
        <v>1</v>
      </c>
      <c r="G76">
        <v>8657407</v>
      </c>
      <c r="H76">
        <v>0</v>
      </c>
      <c r="I76">
        <v>0</v>
      </c>
      <c r="J76">
        <v>11</v>
      </c>
      <c r="K76">
        <v>65907028.875</v>
      </c>
    </row>
    <row r="77" spans="1:11" x14ac:dyDescent="0.25">
      <c r="A77">
        <v>76</v>
      </c>
      <c r="B77" t="s">
        <v>161</v>
      </c>
      <c r="C77" t="s">
        <v>162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 x14ac:dyDescent="0.25">
      <c r="A78">
        <v>77</v>
      </c>
      <c r="B78" t="s">
        <v>163</v>
      </c>
      <c r="C78" t="s">
        <v>164</v>
      </c>
      <c r="D78">
        <v>252</v>
      </c>
      <c r="E78">
        <v>372491529.59605908</v>
      </c>
      <c r="F78">
        <v>25</v>
      </c>
      <c r="G78">
        <v>35787037</v>
      </c>
      <c r="H78">
        <v>5</v>
      </c>
      <c r="I78">
        <v>7518519</v>
      </c>
      <c r="J78">
        <v>272</v>
      </c>
      <c r="K78">
        <v>400760047.59605908</v>
      </c>
    </row>
    <row r="79" spans="1:11" x14ac:dyDescent="0.25">
      <c r="A79">
        <v>78</v>
      </c>
      <c r="B79" t="s">
        <v>165</v>
      </c>
      <c r="C79" t="s">
        <v>166</v>
      </c>
      <c r="D79">
        <v>22</v>
      </c>
      <c r="E79">
        <v>50540024</v>
      </c>
      <c r="F79">
        <v>3</v>
      </c>
      <c r="G79">
        <v>5944444</v>
      </c>
      <c r="H79">
        <v>0</v>
      </c>
      <c r="I79">
        <v>0</v>
      </c>
      <c r="J79">
        <v>25</v>
      </c>
      <c r="K79">
        <v>56484468</v>
      </c>
    </row>
    <row r="80" spans="1:11" x14ac:dyDescent="0.25">
      <c r="A80">
        <v>79</v>
      </c>
      <c r="B80" t="s">
        <v>167</v>
      </c>
      <c r="C80" t="s">
        <v>168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 x14ac:dyDescent="0.25">
      <c r="A81">
        <v>80</v>
      </c>
      <c r="B81" t="s">
        <v>169</v>
      </c>
      <c r="C81" t="s">
        <v>170</v>
      </c>
      <c r="D81">
        <v>856</v>
      </c>
      <c r="E81">
        <v>218840662.62329009</v>
      </c>
      <c r="F81">
        <v>95</v>
      </c>
      <c r="G81">
        <v>34490741</v>
      </c>
      <c r="H81">
        <v>111</v>
      </c>
      <c r="I81">
        <v>36083333</v>
      </c>
      <c r="J81">
        <v>840</v>
      </c>
      <c r="K81">
        <v>217248070.62329009</v>
      </c>
    </row>
    <row r="82" spans="1:11" x14ac:dyDescent="0.25">
      <c r="A82">
        <v>81</v>
      </c>
      <c r="B82" t="s">
        <v>171</v>
      </c>
      <c r="C82" t="s">
        <v>172</v>
      </c>
      <c r="D82">
        <v>196</v>
      </c>
      <c r="E82">
        <v>181583949.11730209</v>
      </c>
      <c r="F82">
        <v>55</v>
      </c>
      <c r="G82">
        <v>40740741</v>
      </c>
      <c r="H82">
        <v>3</v>
      </c>
      <c r="I82">
        <v>2453703</v>
      </c>
      <c r="J82">
        <v>248</v>
      </c>
      <c r="K82">
        <v>219870987.11730209</v>
      </c>
    </row>
    <row r="83" spans="1:11" x14ac:dyDescent="0.25">
      <c r="A83">
        <v>82</v>
      </c>
      <c r="B83" t="s">
        <v>173</v>
      </c>
      <c r="C83" t="s">
        <v>174</v>
      </c>
      <c r="D83">
        <v>99</v>
      </c>
      <c r="E83">
        <v>96027197.202380955</v>
      </c>
      <c r="F83">
        <v>10</v>
      </c>
      <c r="G83">
        <v>10879629</v>
      </c>
      <c r="H83">
        <v>0</v>
      </c>
      <c r="I83">
        <v>0</v>
      </c>
      <c r="J83">
        <v>109</v>
      </c>
      <c r="K83">
        <v>106906826.202381</v>
      </c>
    </row>
    <row r="84" spans="1:11" x14ac:dyDescent="0.25">
      <c r="A84">
        <v>83</v>
      </c>
      <c r="B84" t="s">
        <v>175</v>
      </c>
      <c r="C84" t="s">
        <v>176</v>
      </c>
      <c r="D84">
        <v>7</v>
      </c>
      <c r="E84">
        <v>6787540.200000003</v>
      </c>
      <c r="F84">
        <v>0</v>
      </c>
      <c r="G84">
        <v>0</v>
      </c>
      <c r="H84">
        <v>0</v>
      </c>
      <c r="I84">
        <v>0</v>
      </c>
      <c r="J84">
        <v>7</v>
      </c>
      <c r="K84">
        <v>6787540.200000003</v>
      </c>
    </row>
    <row r="85" spans="1:11" x14ac:dyDescent="0.25">
      <c r="A85">
        <v>84</v>
      </c>
      <c r="B85" t="s">
        <v>177</v>
      </c>
      <c r="C85" t="s">
        <v>178</v>
      </c>
      <c r="D85">
        <v>21</v>
      </c>
      <c r="E85">
        <v>109483182.483871</v>
      </c>
      <c r="F85">
        <v>0</v>
      </c>
      <c r="G85">
        <v>0</v>
      </c>
      <c r="H85">
        <v>0</v>
      </c>
      <c r="I85">
        <v>0</v>
      </c>
      <c r="J85">
        <v>21</v>
      </c>
      <c r="K85">
        <v>109483182.483871</v>
      </c>
    </row>
    <row r="86" spans="1:11" x14ac:dyDescent="0.25">
      <c r="A86">
        <v>85</v>
      </c>
      <c r="B86" t="s">
        <v>179</v>
      </c>
      <c r="C86" t="s">
        <v>180</v>
      </c>
      <c r="D86">
        <v>22</v>
      </c>
      <c r="E86">
        <v>29190400.16</v>
      </c>
      <c r="F86">
        <v>0</v>
      </c>
      <c r="G86">
        <v>0</v>
      </c>
      <c r="H86">
        <v>0</v>
      </c>
      <c r="I86">
        <v>0</v>
      </c>
      <c r="J86">
        <v>22</v>
      </c>
      <c r="K86">
        <v>29190400.16</v>
      </c>
    </row>
    <row r="87" spans="1:11" x14ac:dyDescent="0.25">
      <c r="A87">
        <v>86</v>
      </c>
      <c r="B87" t="s">
        <v>181</v>
      </c>
      <c r="C87" t="s">
        <v>182</v>
      </c>
      <c r="D87">
        <v>64</v>
      </c>
      <c r="E87">
        <v>63237189.572559372</v>
      </c>
      <c r="F87">
        <v>4</v>
      </c>
      <c r="G87">
        <v>4962963</v>
      </c>
      <c r="H87">
        <v>1</v>
      </c>
      <c r="I87">
        <v>1435185</v>
      </c>
      <c r="J87">
        <v>67</v>
      </c>
      <c r="K87">
        <v>66764967.572559372</v>
      </c>
    </row>
    <row r="88" spans="1:11" x14ac:dyDescent="0.25">
      <c r="A88">
        <v>87</v>
      </c>
      <c r="B88" t="s">
        <v>183</v>
      </c>
      <c r="C88" t="s">
        <v>184</v>
      </c>
      <c r="D88">
        <v>3</v>
      </c>
      <c r="E88">
        <v>2443182.9545454532</v>
      </c>
      <c r="F88">
        <v>0</v>
      </c>
      <c r="G88">
        <v>0</v>
      </c>
      <c r="H88">
        <v>0</v>
      </c>
      <c r="I88">
        <v>0</v>
      </c>
      <c r="J88">
        <v>3</v>
      </c>
      <c r="K88">
        <v>2443182.9545454532</v>
      </c>
    </row>
    <row r="89" spans="1:11" x14ac:dyDescent="0.25">
      <c r="A89">
        <v>88</v>
      </c>
      <c r="B89" t="s">
        <v>185</v>
      </c>
      <c r="C89" t="s">
        <v>186</v>
      </c>
      <c r="D89">
        <v>989</v>
      </c>
      <c r="E89">
        <v>295048588.74628812</v>
      </c>
      <c r="F89">
        <v>185</v>
      </c>
      <c r="G89">
        <v>71712964</v>
      </c>
      <c r="H89">
        <v>433</v>
      </c>
      <c r="I89">
        <v>149712967</v>
      </c>
      <c r="J89">
        <v>741</v>
      </c>
      <c r="K89">
        <v>217048585.74628809</v>
      </c>
    </row>
    <row r="90" spans="1:11" x14ac:dyDescent="0.25">
      <c r="A90">
        <v>89</v>
      </c>
      <c r="B90" t="s">
        <v>187</v>
      </c>
      <c r="C90" t="s">
        <v>188</v>
      </c>
      <c r="D90">
        <v>186</v>
      </c>
      <c r="E90">
        <v>247655384.34957021</v>
      </c>
      <c r="F90">
        <v>57</v>
      </c>
      <c r="G90">
        <v>38675925</v>
      </c>
      <c r="H90">
        <v>69</v>
      </c>
      <c r="I90">
        <v>46666666</v>
      </c>
      <c r="J90">
        <v>174</v>
      </c>
      <c r="K90">
        <v>239664643.34957021</v>
      </c>
    </row>
    <row r="91" spans="1:11" x14ac:dyDescent="0.25">
      <c r="A91">
        <v>90</v>
      </c>
      <c r="B91" t="s">
        <v>189</v>
      </c>
      <c r="C91" t="s">
        <v>190</v>
      </c>
      <c r="D91">
        <v>128</v>
      </c>
      <c r="E91">
        <v>168225450.9923954</v>
      </c>
      <c r="F91">
        <v>20</v>
      </c>
      <c r="G91">
        <v>27037037</v>
      </c>
      <c r="H91">
        <v>6</v>
      </c>
      <c r="I91">
        <v>9722222</v>
      </c>
      <c r="J91">
        <v>142</v>
      </c>
      <c r="K91">
        <v>185540265.9923954</v>
      </c>
    </row>
    <row r="92" spans="1:11" x14ac:dyDescent="0.25">
      <c r="A92">
        <v>91</v>
      </c>
      <c r="B92" t="s">
        <v>191</v>
      </c>
      <c r="C92" t="s">
        <v>192</v>
      </c>
      <c r="D92">
        <v>72</v>
      </c>
      <c r="E92">
        <v>36447657.128078818</v>
      </c>
      <c r="F92">
        <v>0</v>
      </c>
      <c r="G92">
        <v>0</v>
      </c>
      <c r="H92">
        <v>0</v>
      </c>
      <c r="I92">
        <v>0</v>
      </c>
      <c r="J92">
        <v>72</v>
      </c>
      <c r="K92">
        <v>36447657.128078818</v>
      </c>
    </row>
    <row r="93" spans="1:11" x14ac:dyDescent="0.25">
      <c r="A93">
        <v>92</v>
      </c>
      <c r="B93" t="s">
        <v>193</v>
      </c>
      <c r="C93" t="s">
        <v>194</v>
      </c>
      <c r="D93">
        <v>36</v>
      </c>
      <c r="E93">
        <v>65494894.432558149</v>
      </c>
      <c r="F93">
        <v>1</v>
      </c>
      <c r="G93">
        <v>4675926</v>
      </c>
      <c r="H93">
        <v>1</v>
      </c>
      <c r="I93">
        <v>5046296</v>
      </c>
      <c r="J93">
        <v>36</v>
      </c>
      <c r="K93">
        <v>65124524.432558149</v>
      </c>
    </row>
    <row r="94" spans="1:11" x14ac:dyDescent="0.25">
      <c r="A94">
        <v>93</v>
      </c>
      <c r="B94" t="s">
        <v>195</v>
      </c>
      <c r="C94" t="s">
        <v>196</v>
      </c>
      <c r="D94">
        <v>407</v>
      </c>
      <c r="E94">
        <v>131576851.6155607</v>
      </c>
      <c r="F94">
        <v>8</v>
      </c>
      <c r="G94">
        <v>13240741</v>
      </c>
      <c r="H94">
        <v>2</v>
      </c>
      <c r="I94">
        <v>3425926</v>
      </c>
      <c r="J94">
        <v>413</v>
      </c>
      <c r="K94">
        <v>141391666.61556071</v>
      </c>
    </row>
    <row r="95" spans="1:11" x14ac:dyDescent="0.25">
      <c r="A95">
        <v>94</v>
      </c>
      <c r="B95" t="s">
        <v>197</v>
      </c>
      <c r="C95" t="s">
        <v>198</v>
      </c>
      <c r="D95">
        <v>30</v>
      </c>
      <c r="E95">
        <v>3088722</v>
      </c>
      <c r="F95">
        <v>0</v>
      </c>
      <c r="G95">
        <v>0</v>
      </c>
      <c r="H95">
        <v>0</v>
      </c>
      <c r="I95">
        <v>0</v>
      </c>
      <c r="J95">
        <v>30</v>
      </c>
      <c r="K95">
        <v>3088722</v>
      </c>
    </row>
    <row r="96" spans="1:11" x14ac:dyDescent="0.25">
      <c r="A96">
        <v>95</v>
      </c>
      <c r="B96" t="s">
        <v>199</v>
      </c>
      <c r="C96" t="s">
        <v>200</v>
      </c>
      <c r="D96">
        <v>68</v>
      </c>
      <c r="E96">
        <v>3673370.0819672118</v>
      </c>
      <c r="F96">
        <v>50</v>
      </c>
      <c r="G96">
        <v>3842593</v>
      </c>
      <c r="H96">
        <v>0</v>
      </c>
      <c r="I96">
        <v>0</v>
      </c>
      <c r="J96">
        <v>118</v>
      </c>
      <c r="K96">
        <v>7515963.0819672123</v>
      </c>
    </row>
    <row r="97" spans="1:11" x14ac:dyDescent="0.25">
      <c r="A97">
        <v>96</v>
      </c>
      <c r="B97" t="s">
        <v>201</v>
      </c>
      <c r="C97" t="s">
        <v>202</v>
      </c>
      <c r="D97">
        <v>1811</v>
      </c>
      <c r="E97">
        <v>197506332.4361957</v>
      </c>
      <c r="F97">
        <v>0</v>
      </c>
      <c r="G97">
        <v>0</v>
      </c>
      <c r="H97">
        <v>0</v>
      </c>
      <c r="I97">
        <v>0</v>
      </c>
      <c r="J97">
        <v>1811</v>
      </c>
      <c r="K97">
        <v>197506332.4361957</v>
      </c>
    </row>
    <row r="98" spans="1:11" x14ac:dyDescent="0.25">
      <c r="A98">
        <v>97</v>
      </c>
      <c r="B98" t="s">
        <v>203</v>
      </c>
      <c r="C98" t="s">
        <v>204</v>
      </c>
      <c r="D98">
        <v>298</v>
      </c>
      <c r="E98">
        <v>53378345.620727673</v>
      </c>
      <c r="F98">
        <v>52</v>
      </c>
      <c r="G98">
        <v>7833334</v>
      </c>
      <c r="H98">
        <v>6</v>
      </c>
      <c r="I98">
        <v>1111110</v>
      </c>
      <c r="J98">
        <v>344</v>
      </c>
      <c r="K98">
        <v>60100569.620727673</v>
      </c>
    </row>
    <row r="99" spans="1:11" x14ac:dyDescent="0.25">
      <c r="A99">
        <v>98</v>
      </c>
      <c r="B99" t="s">
        <v>205</v>
      </c>
      <c r="C99" t="s">
        <v>206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 x14ac:dyDescent="0.25">
      <c r="A100">
        <v>99</v>
      </c>
      <c r="B100" t="s">
        <v>207</v>
      </c>
      <c r="C100" t="s">
        <v>208</v>
      </c>
      <c r="D100">
        <v>10</v>
      </c>
      <c r="E100">
        <v>3335423.7586206938</v>
      </c>
      <c r="F100">
        <v>0</v>
      </c>
      <c r="G100">
        <v>0</v>
      </c>
      <c r="H100">
        <v>0</v>
      </c>
      <c r="I100">
        <v>0</v>
      </c>
      <c r="J100">
        <v>10</v>
      </c>
      <c r="K100">
        <v>3335423.7586206938</v>
      </c>
    </row>
    <row r="101" spans="1:11" x14ac:dyDescent="0.25">
      <c r="A101">
        <v>100</v>
      </c>
      <c r="B101" t="s">
        <v>209</v>
      </c>
      <c r="C101" t="s">
        <v>210</v>
      </c>
      <c r="D101">
        <v>5</v>
      </c>
      <c r="E101">
        <v>5229125</v>
      </c>
      <c r="F101">
        <v>0</v>
      </c>
      <c r="G101">
        <v>0</v>
      </c>
      <c r="H101">
        <v>0</v>
      </c>
      <c r="I101">
        <v>0</v>
      </c>
      <c r="J101">
        <v>5</v>
      </c>
      <c r="K101">
        <v>5229125</v>
      </c>
    </row>
    <row r="102" spans="1:11" x14ac:dyDescent="0.25">
      <c r="A102">
        <v>101</v>
      </c>
      <c r="B102" t="s">
        <v>211</v>
      </c>
      <c r="C102" t="s">
        <v>212</v>
      </c>
      <c r="D102">
        <v>234</v>
      </c>
      <c r="E102">
        <v>127138334.6692913</v>
      </c>
      <c r="F102">
        <v>1</v>
      </c>
      <c r="G102">
        <v>2268519</v>
      </c>
      <c r="H102">
        <v>0</v>
      </c>
      <c r="I102">
        <v>0</v>
      </c>
      <c r="J102">
        <v>235</v>
      </c>
      <c r="K102">
        <v>129406853.6692913</v>
      </c>
    </row>
    <row r="103" spans="1:11" x14ac:dyDescent="0.25">
      <c r="A103">
        <v>102</v>
      </c>
      <c r="B103" t="s">
        <v>213</v>
      </c>
      <c r="C103" t="s">
        <v>214</v>
      </c>
      <c r="D103">
        <v>2</v>
      </c>
      <c r="E103">
        <v>2309091</v>
      </c>
      <c r="F103">
        <v>0</v>
      </c>
      <c r="G103">
        <v>0</v>
      </c>
      <c r="H103">
        <v>0</v>
      </c>
      <c r="I103">
        <v>0</v>
      </c>
      <c r="J103">
        <v>2</v>
      </c>
      <c r="K103">
        <v>2309091</v>
      </c>
    </row>
    <row r="104" spans="1:11" x14ac:dyDescent="0.25">
      <c r="A104">
        <v>103</v>
      </c>
      <c r="B104" t="s">
        <v>215</v>
      </c>
      <c r="C104" t="s">
        <v>216</v>
      </c>
      <c r="D104">
        <v>2016</v>
      </c>
      <c r="E104">
        <v>244952629.46378449</v>
      </c>
      <c r="F104">
        <v>138</v>
      </c>
      <c r="G104">
        <v>26119442</v>
      </c>
      <c r="H104">
        <v>35</v>
      </c>
      <c r="I104">
        <v>5416668</v>
      </c>
      <c r="J104">
        <v>2119</v>
      </c>
      <c r="K104">
        <v>265655403.46378449</v>
      </c>
    </row>
    <row r="105" spans="1:11" x14ac:dyDescent="0.25">
      <c r="A105">
        <v>104</v>
      </c>
      <c r="B105" t="s">
        <v>217</v>
      </c>
      <c r="C105" t="s">
        <v>218</v>
      </c>
      <c r="D105">
        <v>290</v>
      </c>
      <c r="E105">
        <v>111890601.9929824</v>
      </c>
      <c r="F105">
        <v>31</v>
      </c>
      <c r="G105">
        <v>8462963</v>
      </c>
      <c r="H105">
        <v>0</v>
      </c>
      <c r="I105">
        <v>0</v>
      </c>
      <c r="J105">
        <v>321</v>
      </c>
      <c r="K105">
        <v>120353564.9929824</v>
      </c>
    </row>
    <row r="106" spans="1:11" x14ac:dyDescent="0.25">
      <c r="A106">
        <v>105</v>
      </c>
      <c r="B106" t="s">
        <v>219</v>
      </c>
      <c r="C106" t="s">
        <v>220</v>
      </c>
      <c r="D106">
        <v>932</v>
      </c>
      <c r="E106">
        <v>269766871.69023043</v>
      </c>
      <c r="F106">
        <v>291</v>
      </c>
      <c r="G106">
        <v>43937966</v>
      </c>
      <c r="H106">
        <v>95</v>
      </c>
      <c r="I106">
        <v>9111110</v>
      </c>
      <c r="J106">
        <v>1128</v>
      </c>
      <c r="K106">
        <v>304593727.69023043</v>
      </c>
    </row>
    <row r="107" spans="1:11" x14ac:dyDescent="0.25">
      <c r="A107">
        <v>106</v>
      </c>
      <c r="B107" t="s">
        <v>221</v>
      </c>
      <c r="C107" t="s">
        <v>222</v>
      </c>
      <c r="D107">
        <v>32</v>
      </c>
      <c r="E107">
        <v>8021276.3291293681</v>
      </c>
      <c r="F107">
        <v>42</v>
      </c>
      <c r="G107">
        <v>6444445</v>
      </c>
      <c r="H107">
        <v>26</v>
      </c>
      <c r="I107">
        <v>5777782</v>
      </c>
      <c r="J107">
        <v>48</v>
      </c>
      <c r="K107">
        <v>8687939.3291293681</v>
      </c>
    </row>
    <row r="108" spans="1:11" x14ac:dyDescent="0.25">
      <c r="A108">
        <v>107</v>
      </c>
      <c r="B108" t="s">
        <v>223</v>
      </c>
      <c r="C108" t="s">
        <v>224</v>
      </c>
      <c r="D108">
        <v>9</v>
      </c>
      <c r="E108">
        <v>4562119.75</v>
      </c>
      <c r="F108">
        <v>0</v>
      </c>
      <c r="G108">
        <v>0</v>
      </c>
      <c r="H108">
        <v>0</v>
      </c>
      <c r="I108">
        <v>0</v>
      </c>
      <c r="J108">
        <v>9</v>
      </c>
      <c r="K108">
        <v>4562119.75</v>
      </c>
    </row>
    <row r="109" spans="1:11" x14ac:dyDescent="0.25">
      <c r="A109">
        <v>108</v>
      </c>
      <c r="B109" t="s">
        <v>225</v>
      </c>
      <c r="C109" t="s">
        <v>226</v>
      </c>
      <c r="D109">
        <v>330</v>
      </c>
      <c r="E109">
        <v>84181992.850046858</v>
      </c>
      <c r="F109">
        <v>2</v>
      </c>
      <c r="G109">
        <v>2250000</v>
      </c>
      <c r="H109">
        <v>1</v>
      </c>
      <c r="I109">
        <v>648148</v>
      </c>
      <c r="J109">
        <v>331</v>
      </c>
      <c r="K109">
        <v>85783844.850046858</v>
      </c>
    </row>
    <row r="110" spans="1:11" x14ac:dyDescent="0.25">
      <c r="A110">
        <v>109</v>
      </c>
      <c r="B110" t="s">
        <v>227</v>
      </c>
      <c r="C110" t="s">
        <v>228</v>
      </c>
      <c r="D110">
        <v>319</v>
      </c>
      <c r="E110">
        <v>121090611.1661891</v>
      </c>
      <c r="F110">
        <v>57</v>
      </c>
      <c r="G110">
        <v>20780551</v>
      </c>
      <c r="H110">
        <v>4</v>
      </c>
      <c r="I110">
        <v>2518519</v>
      </c>
      <c r="J110">
        <v>372</v>
      </c>
      <c r="K110">
        <v>139352643.1661891</v>
      </c>
    </row>
    <row r="111" spans="1:11" x14ac:dyDescent="0.25">
      <c r="A111">
        <v>110</v>
      </c>
      <c r="B111" t="s">
        <v>229</v>
      </c>
      <c r="C111" t="s">
        <v>230</v>
      </c>
      <c r="D111">
        <v>43</v>
      </c>
      <c r="E111">
        <v>3170917.8936170209</v>
      </c>
      <c r="F111">
        <v>0</v>
      </c>
      <c r="G111">
        <v>0</v>
      </c>
      <c r="H111">
        <v>1</v>
      </c>
      <c r="I111">
        <v>83333</v>
      </c>
      <c r="J111">
        <v>42</v>
      </c>
      <c r="K111">
        <v>3087584.8936170209</v>
      </c>
    </row>
    <row r="112" spans="1:11" x14ac:dyDescent="0.25">
      <c r="A112">
        <v>111</v>
      </c>
      <c r="B112" t="s">
        <v>231</v>
      </c>
      <c r="C112" t="s">
        <v>232</v>
      </c>
      <c r="D112">
        <v>97</v>
      </c>
      <c r="E112">
        <v>39464554.259079903</v>
      </c>
      <c r="F112">
        <v>13</v>
      </c>
      <c r="G112">
        <v>5120371</v>
      </c>
      <c r="H112">
        <v>6</v>
      </c>
      <c r="I112">
        <v>2509259</v>
      </c>
      <c r="J112">
        <v>104</v>
      </c>
      <c r="K112">
        <v>42075666.259079903</v>
      </c>
    </row>
    <row r="113" spans="1:11" x14ac:dyDescent="0.25">
      <c r="A113">
        <v>112</v>
      </c>
      <c r="B113" t="s">
        <v>233</v>
      </c>
      <c r="C113" t="s">
        <v>234</v>
      </c>
      <c r="D113">
        <v>962</v>
      </c>
      <c r="E113">
        <v>364650317.39026397</v>
      </c>
      <c r="F113">
        <v>0</v>
      </c>
      <c r="G113">
        <v>0</v>
      </c>
      <c r="H113">
        <v>5</v>
      </c>
      <c r="I113">
        <v>1824073</v>
      </c>
      <c r="J113">
        <v>957</v>
      </c>
      <c r="K113">
        <v>362826244.39026397</v>
      </c>
    </row>
    <row r="114" spans="1:11" x14ac:dyDescent="0.25">
      <c r="A114">
        <v>113</v>
      </c>
      <c r="B114" t="s">
        <v>235</v>
      </c>
      <c r="C114" t="s">
        <v>236</v>
      </c>
      <c r="D114">
        <v>37</v>
      </c>
      <c r="E114">
        <v>17331490.620689649</v>
      </c>
      <c r="F114">
        <v>0</v>
      </c>
      <c r="G114">
        <v>0</v>
      </c>
      <c r="H114">
        <v>3</v>
      </c>
      <c r="I114">
        <v>3657408</v>
      </c>
      <c r="J114">
        <v>34</v>
      </c>
      <c r="K114">
        <v>13674082.620689649</v>
      </c>
    </row>
    <row r="115" spans="1:11" x14ac:dyDescent="0.25">
      <c r="A115">
        <v>114</v>
      </c>
      <c r="B115" t="s">
        <v>237</v>
      </c>
      <c r="C115" t="s">
        <v>238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 x14ac:dyDescent="0.25">
      <c r="A116">
        <v>115</v>
      </c>
      <c r="B116" t="s">
        <v>239</v>
      </c>
      <c r="C116" t="s">
        <v>240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 x14ac:dyDescent="0.25">
      <c r="A117">
        <v>116</v>
      </c>
      <c r="B117" t="s">
        <v>241</v>
      </c>
      <c r="C117" t="s">
        <v>242</v>
      </c>
      <c r="D117">
        <v>1</v>
      </c>
      <c r="E117">
        <v>2400000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2400000</v>
      </c>
    </row>
    <row r="118" spans="1:11" x14ac:dyDescent="0.25">
      <c r="A118">
        <v>117</v>
      </c>
      <c r="B118" t="s">
        <v>243</v>
      </c>
      <c r="C118" t="s">
        <v>244</v>
      </c>
      <c r="D118">
        <v>1</v>
      </c>
      <c r="E118">
        <v>2200000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2200000</v>
      </c>
    </row>
    <row r="119" spans="1:11" x14ac:dyDescent="0.25">
      <c r="A119">
        <v>118</v>
      </c>
      <c r="B119" t="s">
        <v>245</v>
      </c>
      <c r="C119" t="s">
        <v>246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 x14ac:dyDescent="0.25">
      <c r="A120">
        <v>119</v>
      </c>
      <c r="B120" t="s">
        <v>247</v>
      </c>
      <c r="C120" t="s">
        <v>248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</row>
    <row r="121" spans="1:11" x14ac:dyDescent="0.25">
      <c r="A121">
        <v>120</v>
      </c>
      <c r="B121" t="s">
        <v>249</v>
      </c>
      <c r="C121" t="s">
        <v>250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 x14ac:dyDescent="0.25">
      <c r="A122">
        <v>121</v>
      </c>
      <c r="B122" t="s">
        <v>251</v>
      </c>
      <c r="C122" t="s">
        <v>252</v>
      </c>
      <c r="D122">
        <v>6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6</v>
      </c>
      <c r="K122">
        <v>0</v>
      </c>
    </row>
    <row r="123" spans="1:11" x14ac:dyDescent="0.25">
      <c r="A123">
        <v>122</v>
      </c>
      <c r="B123" t="s">
        <v>253</v>
      </c>
      <c r="C123" t="s">
        <v>254</v>
      </c>
      <c r="D123">
        <v>6</v>
      </c>
      <c r="E123">
        <v>19107793.616306961</v>
      </c>
      <c r="F123">
        <v>0</v>
      </c>
      <c r="G123">
        <v>0</v>
      </c>
      <c r="H123">
        <v>0</v>
      </c>
      <c r="I123">
        <v>0</v>
      </c>
      <c r="J123">
        <v>6</v>
      </c>
      <c r="K123">
        <v>19107793.616306961</v>
      </c>
    </row>
    <row r="124" spans="1:11" x14ac:dyDescent="0.25">
      <c r="A124">
        <v>123</v>
      </c>
      <c r="B124" t="s">
        <v>255</v>
      </c>
      <c r="C124" t="s">
        <v>256</v>
      </c>
      <c r="D124">
        <v>41</v>
      </c>
      <c r="E124">
        <v>23422515.84722222</v>
      </c>
      <c r="F124">
        <v>0</v>
      </c>
      <c r="G124">
        <v>0</v>
      </c>
      <c r="H124">
        <v>0</v>
      </c>
      <c r="I124">
        <v>0</v>
      </c>
      <c r="J124">
        <v>41</v>
      </c>
      <c r="K124">
        <v>23422515.84722222</v>
      </c>
    </row>
    <row r="125" spans="1:11" x14ac:dyDescent="0.25">
      <c r="A125">
        <v>124</v>
      </c>
      <c r="B125" t="s">
        <v>257</v>
      </c>
      <c r="C125" t="s">
        <v>258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 x14ac:dyDescent="0.25">
      <c r="A126">
        <v>125</v>
      </c>
      <c r="B126" t="s">
        <v>259</v>
      </c>
      <c r="C126" t="s">
        <v>260</v>
      </c>
      <c r="D126">
        <v>693</v>
      </c>
      <c r="E126">
        <v>432955879.2321918</v>
      </c>
      <c r="F126">
        <v>27</v>
      </c>
      <c r="G126">
        <v>24875006</v>
      </c>
      <c r="H126">
        <v>27</v>
      </c>
      <c r="I126">
        <v>27365742</v>
      </c>
      <c r="J126">
        <v>693</v>
      </c>
      <c r="K126">
        <v>430465143.2321918</v>
      </c>
    </row>
    <row r="127" spans="1:11" x14ac:dyDescent="0.25">
      <c r="A127">
        <v>126</v>
      </c>
      <c r="B127" t="s">
        <v>261</v>
      </c>
      <c r="C127" t="s">
        <v>262</v>
      </c>
      <c r="D127">
        <v>6</v>
      </c>
      <c r="E127">
        <v>2225742.1428571432</v>
      </c>
      <c r="F127">
        <v>0</v>
      </c>
      <c r="G127">
        <v>0</v>
      </c>
      <c r="H127">
        <v>0</v>
      </c>
      <c r="I127">
        <v>0</v>
      </c>
      <c r="J127">
        <v>6</v>
      </c>
      <c r="K127">
        <v>2225742.1428571432</v>
      </c>
    </row>
    <row r="128" spans="1:11" x14ac:dyDescent="0.25">
      <c r="A128">
        <v>127</v>
      </c>
      <c r="B128" t="s">
        <v>263</v>
      </c>
      <c r="C128" t="s">
        <v>264</v>
      </c>
      <c r="D128">
        <v>11</v>
      </c>
      <c r="E128">
        <v>10694447.40909091</v>
      </c>
      <c r="F128">
        <v>0</v>
      </c>
      <c r="G128">
        <v>0</v>
      </c>
      <c r="H128">
        <v>0</v>
      </c>
      <c r="I128">
        <v>0</v>
      </c>
      <c r="J128">
        <v>11</v>
      </c>
      <c r="K128">
        <v>10694447.40909091</v>
      </c>
    </row>
    <row r="129" spans="1:11" x14ac:dyDescent="0.25">
      <c r="A129">
        <v>128</v>
      </c>
      <c r="B129" t="s">
        <v>265</v>
      </c>
      <c r="C129" t="s">
        <v>266</v>
      </c>
      <c r="D129">
        <v>18</v>
      </c>
      <c r="E129">
        <v>37463253.75</v>
      </c>
      <c r="F129">
        <v>0</v>
      </c>
      <c r="G129">
        <v>0</v>
      </c>
      <c r="H129">
        <v>0</v>
      </c>
      <c r="I129">
        <v>0</v>
      </c>
      <c r="J129">
        <v>18</v>
      </c>
      <c r="K129">
        <v>37463253.75</v>
      </c>
    </row>
    <row r="130" spans="1:11" x14ac:dyDescent="0.25">
      <c r="A130">
        <v>129</v>
      </c>
      <c r="B130" t="s">
        <v>267</v>
      </c>
      <c r="C130" t="s">
        <v>268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1:11" x14ac:dyDescent="0.25">
      <c r="A131">
        <v>130</v>
      </c>
      <c r="B131" t="s">
        <v>269</v>
      </c>
      <c r="C131" t="s">
        <v>270</v>
      </c>
      <c r="D131">
        <v>244</v>
      </c>
      <c r="E131">
        <v>143815996.5194805</v>
      </c>
      <c r="F131">
        <v>0</v>
      </c>
      <c r="G131">
        <v>0</v>
      </c>
      <c r="H131">
        <v>1</v>
      </c>
      <c r="I131">
        <v>759259</v>
      </c>
      <c r="J131">
        <v>243</v>
      </c>
      <c r="K131">
        <v>143056737.5194805</v>
      </c>
    </row>
    <row r="132" spans="1:11" x14ac:dyDescent="0.25">
      <c r="A132">
        <v>131</v>
      </c>
      <c r="B132" t="s">
        <v>271</v>
      </c>
      <c r="C132" t="s">
        <v>272</v>
      </c>
      <c r="D132">
        <v>120</v>
      </c>
      <c r="E132">
        <v>22301326.7489301</v>
      </c>
      <c r="F132">
        <v>12</v>
      </c>
      <c r="G132">
        <v>11175924</v>
      </c>
      <c r="H132">
        <v>5</v>
      </c>
      <c r="I132">
        <v>10361111</v>
      </c>
      <c r="J132">
        <v>127</v>
      </c>
      <c r="K132">
        <v>23116139.7489301</v>
      </c>
    </row>
    <row r="133" spans="1:11" x14ac:dyDescent="0.25">
      <c r="A133">
        <v>132</v>
      </c>
      <c r="B133" t="s">
        <v>273</v>
      </c>
      <c r="C133" t="s">
        <v>274</v>
      </c>
      <c r="D133">
        <v>375</v>
      </c>
      <c r="E133">
        <v>106879751.7694118</v>
      </c>
      <c r="F133">
        <v>17</v>
      </c>
      <c r="G133">
        <v>1583333</v>
      </c>
      <c r="H133">
        <v>1</v>
      </c>
      <c r="I133">
        <v>9351852</v>
      </c>
      <c r="J133">
        <v>391</v>
      </c>
      <c r="K133">
        <v>99111232.769411772</v>
      </c>
    </row>
    <row r="134" spans="1:11" x14ac:dyDescent="0.25">
      <c r="A134">
        <v>133</v>
      </c>
      <c r="B134" t="s">
        <v>275</v>
      </c>
      <c r="C134" t="s">
        <v>276</v>
      </c>
      <c r="D134">
        <v>139</v>
      </c>
      <c r="E134">
        <v>37880758.084337354</v>
      </c>
      <c r="F134">
        <v>5</v>
      </c>
      <c r="G134">
        <v>1296297</v>
      </c>
      <c r="H134">
        <v>2</v>
      </c>
      <c r="I134">
        <v>611110</v>
      </c>
      <c r="J134">
        <v>142</v>
      </c>
      <c r="K134">
        <v>38565945.084337354</v>
      </c>
    </row>
    <row r="135" spans="1:11" x14ac:dyDescent="0.25">
      <c r="A135">
        <v>134</v>
      </c>
      <c r="B135" t="s">
        <v>277</v>
      </c>
      <c r="C135" t="s">
        <v>278</v>
      </c>
      <c r="D135">
        <v>6</v>
      </c>
      <c r="E135">
        <v>1047307.571428571</v>
      </c>
      <c r="F135">
        <v>2</v>
      </c>
      <c r="G135">
        <v>333333</v>
      </c>
      <c r="H135">
        <v>0</v>
      </c>
      <c r="I135">
        <v>0</v>
      </c>
      <c r="J135">
        <v>8</v>
      </c>
      <c r="K135">
        <v>1380640.5714285709</v>
      </c>
    </row>
    <row r="136" spans="1:11" x14ac:dyDescent="0.25">
      <c r="A136">
        <v>135</v>
      </c>
      <c r="B136" t="s">
        <v>279</v>
      </c>
      <c r="C136" t="s">
        <v>280</v>
      </c>
      <c r="D136">
        <v>28</v>
      </c>
      <c r="E136">
        <v>3245810.368421053</v>
      </c>
      <c r="F136">
        <v>12</v>
      </c>
      <c r="G136">
        <v>1560186</v>
      </c>
      <c r="H136">
        <v>2</v>
      </c>
      <c r="I136">
        <v>542592</v>
      </c>
      <c r="J136">
        <v>38</v>
      </c>
      <c r="K136">
        <v>4263404.3684210526</v>
      </c>
    </row>
    <row r="137" spans="1:11" x14ac:dyDescent="0.25">
      <c r="A137">
        <v>136</v>
      </c>
      <c r="B137" t="s">
        <v>281</v>
      </c>
      <c r="C137" t="s">
        <v>282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 x14ac:dyDescent="0.25">
      <c r="A138">
        <v>137</v>
      </c>
      <c r="B138" t="s">
        <v>283</v>
      </c>
      <c r="C138" t="s">
        <v>284</v>
      </c>
      <c r="D138">
        <v>24</v>
      </c>
      <c r="E138">
        <v>20007749.860465121</v>
      </c>
      <c r="F138">
        <v>0</v>
      </c>
      <c r="G138">
        <v>0</v>
      </c>
      <c r="H138">
        <v>0</v>
      </c>
      <c r="I138">
        <v>0</v>
      </c>
      <c r="J138">
        <v>24</v>
      </c>
      <c r="K138">
        <v>20007749.860465121</v>
      </c>
    </row>
    <row r="139" spans="1:11" x14ac:dyDescent="0.25">
      <c r="A139">
        <v>138</v>
      </c>
      <c r="B139" t="s">
        <v>285</v>
      </c>
      <c r="C139" t="s">
        <v>286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</row>
    <row r="140" spans="1:11" x14ac:dyDescent="0.25">
      <c r="A140">
        <v>139</v>
      </c>
      <c r="B140" t="s">
        <v>287</v>
      </c>
      <c r="C140" t="s">
        <v>288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1" x14ac:dyDescent="0.25">
      <c r="A141">
        <v>140</v>
      </c>
      <c r="B141" t="s">
        <v>289</v>
      </c>
      <c r="C141" t="s">
        <v>290</v>
      </c>
      <c r="D141">
        <v>7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7</v>
      </c>
      <c r="K141">
        <v>0</v>
      </c>
    </row>
    <row r="142" spans="1:11" x14ac:dyDescent="0.25">
      <c r="A142">
        <v>141</v>
      </c>
      <c r="B142" t="s">
        <v>291</v>
      </c>
      <c r="C142" t="s">
        <v>292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 x14ac:dyDescent="0.25">
      <c r="A143">
        <v>142</v>
      </c>
      <c r="B143" t="s">
        <v>293</v>
      </c>
      <c r="C143" t="s">
        <v>294</v>
      </c>
      <c r="D143">
        <v>100</v>
      </c>
      <c r="E143">
        <v>20920168.115942031</v>
      </c>
      <c r="F143">
        <v>0</v>
      </c>
      <c r="G143">
        <v>0</v>
      </c>
      <c r="H143">
        <v>5</v>
      </c>
      <c r="I143">
        <v>3240000</v>
      </c>
      <c r="J143">
        <v>95</v>
      </c>
      <c r="K143">
        <v>17680168.115942031</v>
      </c>
    </row>
    <row r="144" spans="1:11" x14ac:dyDescent="0.25">
      <c r="A144">
        <v>143</v>
      </c>
      <c r="B144" t="s">
        <v>295</v>
      </c>
      <c r="C144" t="s">
        <v>296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 x14ac:dyDescent="0.25">
      <c r="A145">
        <v>144</v>
      </c>
      <c r="B145" t="s">
        <v>297</v>
      </c>
      <c r="C145" t="s">
        <v>298</v>
      </c>
      <c r="D145">
        <v>46</v>
      </c>
      <c r="E145">
        <v>2972593.1515151509</v>
      </c>
      <c r="F145">
        <v>0</v>
      </c>
      <c r="G145">
        <v>0</v>
      </c>
      <c r="H145">
        <v>0</v>
      </c>
      <c r="I145">
        <v>0</v>
      </c>
      <c r="J145">
        <v>46</v>
      </c>
      <c r="K145">
        <v>2972593.1515151509</v>
      </c>
    </row>
    <row r="146" spans="1:11" x14ac:dyDescent="0.25">
      <c r="A146">
        <v>145</v>
      </c>
      <c r="B146" t="s">
        <v>299</v>
      </c>
      <c r="C146" t="s">
        <v>300</v>
      </c>
      <c r="D146">
        <v>2979.1570000000002</v>
      </c>
      <c r="E146">
        <v>928571852.48000002</v>
      </c>
      <c r="F146">
        <v>226.45500000000001</v>
      </c>
      <c r="G146">
        <v>115419155</v>
      </c>
      <c r="H146">
        <v>56</v>
      </c>
      <c r="I146">
        <v>52360185</v>
      </c>
      <c r="J146">
        <v>3149.6120000000001</v>
      </c>
      <c r="K146">
        <v>991630822.48000002</v>
      </c>
    </row>
    <row r="147" spans="1:11" x14ac:dyDescent="0.25">
      <c r="A147" t="s">
        <v>301</v>
      </c>
      <c r="D147">
        <v>25416.156999999999</v>
      </c>
      <c r="E147">
        <v>23640430962.297779</v>
      </c>
      <c r="F147">
        <v>1943.4549999999999</v>
      </c>
      <c r="G147">
        <v>2100979337</v>
      </c>
      <c r="H147">
        <v>1448</v>
      </c>
      <c r="I147">
        <v>1401837649</v>
      </c>
      <c r="J147">
        <v>25937.612000000001</v>
      </c>
      <c r="K147">
        <v>24632572650.297779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47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t="s">
        <v>11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5">
      <c r="A3">
        <v>2</v>
      </c>
      <c r="B3" t="s">
        <v>13</v>
      </c>
      <c r="C3" t="s">
        <v>14</v>
      </c>
      <c r="D3">
        <v>11</v>
      </c>
      <c r="E3">
        <v>82164061</v>
      </c>
      <c r="F3">
        <v>0</v>
      </c>
      <c r="G3">
        <v>0</v>
      </c>
      <c r="H3">
        <v>0</v>
      </c>
      <c r="I3">
        <v>0</v>
      </c>
      <c r="J3">
        <v>11</v>
      </c>
      <c r="K3">
        <v>82164061</v>
      </c>
    </row>
    <row r="4" spans="1:11" x14ac:dyDescent="0.25">
      <c r="A4">
        <v>3</v>
      </c>
      <c r="B4" t="s">
        <v>15</v>
      </c>
      <c r="C4" t="s">
        <v>16</v>
      </c>
      <c r="D4">
        <v>265</v>
      </c>
      <c r="E4">
        <v>2861092179.201292</v>
      </c>
      <c r="F4">
        <v>20</v>
      </c>
      <c r="G4">
        <v>266111111</v>
      </c>
      <c r="H4">
        <v>7</v>
      </c>
      <c r="I4">
        <v>104462963</v>
      </c>
      <c r="J4">
        <v>278</v>
      </c>
      <c r="K4">
        <v>3022740327.201292</v>
      </c>
    </row>
    <row r="5" spans="1:11" x14ac:dyDescent="0.25">
      <c r="A5">
        <v>4</v>
      </c>
      <c r="B5" t="s">
        <v>17</v>
      </c>
      <c r="C5" t="s">
        <v>18</v>
      </c>
      <c r="D5">
        <v>1</v>
      </c>
      <c r="E5">
        <v>29283636</v>
      </c>
      <c r="F5">
        <v>0</v>
      </c>
      <c r="G5">
        <v>0</v>
      </c>
      <c r="H5">
        <v>0</v>
      </c>
      <c r="I5">
        <v>0</v>
      </c>
      <c r="J5">
        <v>1</v>
      </c>
      <c r="K5">
        <v>29283636</v>
      </c>
    </row>
    <row r="6" spans="1:11" x14ac:dyDescent="0.25">
      <c r="A6">
        <v>5</v>
      </c>
      <c r="B6" t="s">
        <v>19</v>
      </c>
      <c r="C6" t="s">
        <v>20</v>
      </c>
      <c r="D6">
        <v>0</v>
      </c>
      <c r="E6">
        <v>0</v>
      </c>
      <c r="F6">
        <v>5</v>
      </c>
      <c r="G6">
        <v>53871736</v>
      </c>
      <c r="H6">
        <v>0</v>
      </c>
      <c r="I6">
        <v>0</v>
      </c>
      <c r="J6">
        <v>5</v>
      </c>
      <c r="K6">
        <v>53871736</v>
      </c>
    </row>
    <row r="7" spans="1:11" x14ac:dyDescent="0.25">
      <c r="A7">
        <v>6</v>
      </c>
      <c r="B7" t="s">
        <v>21</v>
      </c>
      <c r="C7" t="s">
        <v>22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5">
      <c r="A8">
        <v>7</v>
      </c>
      <c r="B8" t="s">
        <v>23</v>
      </c>
      <c r="C8" t="s">
        <v>24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5">
      <c r="A9">
        <v>8</v>
      </c>
      <c r="B9" t="s">
        <v>25</v>
      </c>
      <c r="C9" t="s">
        <v>26</v>
      </c>
      <c r="D9">
        <v>14</v>
      </c>
      <c r="E9">
        <v>53164451.450000003</v>
      </c>
      <c r="F9">
        <v>0</v>
      </c>
      <c r="G9">
        <v>0</v>
      </c>
      <c r="H9">
        <v>0</v>
      </c>
      <c r="I9">
        <v>0</v>
      </c>
      <c r="J9">
        <v>14</v>
      </c>
      <c r="K9">
        <v>53164451.450000003</v>
      </c>
    </row>
    <row r="10" spans="1:11" x14ac:dyDescent="0.25">
      <c r="A10">
        <v>9</v>
      </c>
      <c r="B10" t="s">
        <v>27</v>
      </c>
      <c r="C10" t="s">
        <v>28</v>
      </c>
      <c r="D10">
        <v>421</v>
      </c>
      <c r="E10">
        <v>1104656205.5951941</v>
      </c>
      <c r="F10">
        <v>85</v>
      </c>
      <c r="G10">
        <v>430634258</v>
      </c>
      <c r="H10">
        <v>19</v>
      </c>
      <c r="I10">
        <v>134361110</v>
      </c>
      <c r="J10">
        <v>487</v>
      </c>
      <c r="K10">
        <v>1400929353.5951941</v>
      </c>
    </row>
    <row r="11" spans="1:11" x14ac:dyDescent="0.25">
      <c r="A11">
        <v>10</v>
      </c>
      <c r="B11" t="s">
        <v>29</v>
      </c>
      <c r="C11" t="s">
        <v>30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5">
      <c r="A12">
        <v>11</v>
      </c>
      <c r="B12" t="s">
        <v>31</v>
      </c>
      <c r="C12" t="s">
        <v>32</v>
      </c>
      <c r="D12">
        <v>444</v>
      </c>
      <c r="E12">
        <v>5372878681.2191219</v>
      </c>
      <c r="F12">
        <v>37</v>
      </c>
      <c r="G12">
        <v>500806474</v>
      </c>
      <c r="H12">
        <v>36</v>
      </c>
      <c r="I12">
        <v>434592592</v>
      </c>
      <c r="J12">
        <v>445</v>
      </c>
      <c r="K12">
        <v>5439092563.2191219</v>
      </c>
    </row>
    <row r="13" spans="1:11" x14ac:dyDescent="0.25">
      <c r="A13">
        <v>12</v>
      </c>
      <c r="B13" t="s">
        <v>33</v>
      </c>
      <c r="C13" t="s">
        <v>34</v>
      </c>
      <c r="D13">
        <v>48</v>
      </c>
      <c r="E13">
        <v>869122518.76923084</v>
      </c>
      <c r="F13">
        <v>2</v>
      </c>
      <c r="G13">
        <v>30611110</v>
      </c>
      <c r="H13">
        <v>4</v>
      </c>
      <c r="I13">
        <v>38629630</v>
      </c>
      <c r="J13">
        <v>46</v>
      </c>
      <c r="K13">
        <v>861103998.76923084</v>
      </c>
    </row>
    <row r="14" spans="1:11" x14ac:dyDescent="0.25">
      <c r="A14">
        <v>13</v>
      </c>
      <c r="B14" t="s">
        <v>35</v>
      </c>
      <c r="C14" t="s">
        <v>36</v>
      </c>
      <c r="D14">
        <v>16</v>
      </c>
      <c r="E14">
        <v>379322788.28947371</v>
      </c>
      <c r="F14">
        <v>0</v>
      </c>
      <c r="G14">
        <v>0</v>
      </c>
      <c r="H14">
        <v>5</v>
      </c>
      <c r="I14">
        <v>70555556</v>
      </c>
      <c r="J14">
        <v>11</v>
      </c>
      <c r="K14">
        <v>308767232.28947371</v>
      </c>
    </row>
    <row r="15" spans="1:11" x14ac:dyDescent="0.25">
      <c r="A15">
        <v>14</v>
      </c>
      <c r="B15" t="s">
        <v>37</v>
      </c>
      <c r="C15" t="s">
        <v>38</v>
      </c>
      <c r="D15">
        <v>24</v>
      </c>
      <c r="E15">
        <v>310455950.93430662</v>
      </c>
      <c r="F15">
        <v>0</v>
      </c>
      <c r="G15">
        <v>0</v>
      </c>
      <c r="H15">
        <v>4</v>
      </c>
      <c r="I15">
        <v>53027779</v>
      </c>
      <c r="J15">
        <v>20</v>
      </c>
      <c r="K15">
        <v>257428171.93430659</v>
      </c>
    </row>
    <row r="16" spans="1:11" x14ac:dyDescent="0.25">
      <c r="A16">
        <v>15</v>
      </c>
      <c r="B16" t="s">
        <v>39</v>
      </c>
      <c r="C16" t="s">
        <v>40</v>
      </c>
      <c r="D16">
        <v>0</v>
      </c>
      <c r="E16">
        <v>74255557.104477614</v>
      </c>
      <c r="F16">
        <v>5</v>
      </c>
      <c r="G16">
        <v>82518517</v>
      </c>
      <c r="H16">
        <v>5</v>
      </c>
      <c r="I16">
        <v>82101852</v>
      </c>
      <c r="J16">
        <v>0</v>
      </c>
      <c r="K16">
        <v>74672222.104477614</v>
      </c>
    </row>
    <row r="17" spans="1:11" x14ac:dyDescent="0.25">
      <c r="A17">
        <v>16</v>
      </c>
      <c r="B17" t="s">
        <v>41</v>
      </c>
      <c r="C17" t="s">
        <v>42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>
        <v>17</v>
      </c>
      <c r="B18" t="s">
        <v>43</v>
      </c>
      <c r="C18" t="s">
        <v>44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>
        <v>18</v>
      </c>
      <c r="B19" t="s">
        <v>45</v>
      </c>
      <c r="C19" t="s">
        <v>46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25">
      <c r="A20">
        <v>19</v>
      </c>
      <c r="B20" t="s">
        <v>47</v>
      </c>
      <c r="C20" t="s">
        <v>48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5">
      <c r="A21">
        <v>20</v>
      </c>
      <c r="B21" t="s">
        <v>49</v>
      </c>
      <c r="C21" t="s">
        <v>50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25">
      <c r="A22">
        <v>21</v>
      </c>
      <c r="B22" t="s">
        <v>51</v>
      </c>
      <c r="C22" t="s">
        <v>52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25">
      <c r="A23">
        <v>22</v>
      </c>
      <c r="B23" t="s">
        <v>53</v>
      </c>
      <c r="C23" t="s">
        <v>54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25">
      <c r="A24">
        <v>23</v>
      </c>
      <c r="B24" t="s">
        <v>55</v>
      </c>
      <c r="C24" t="s">
        <v>56</v>
      </c>
      <c r="D24">
        <v>0</v>
      </c>
      <c r="E24">
        <v>0</v>
      </c>
      <c r="F24">
        <v>0</v>
      </c>
      <c r="G24">
        <v>0</v>
      </c>
      <c r="H24">
        <v>7</v>
      </c>
      <c r="I24">
        <v>111046296</v>
      </c>
      <c r="J24">
        <v>0</v>
      </c>
      <c r="K24">
        <v>0</v>
      </c>
    </row>
    <row r="25" spans="1:11" x14ac:dyDescent="0.25">
      <c r="A25">
        <v>24</v>
      </c>
      <c r="B25" t="s">
        <v>57</v>
      </c>
      <c r="C25" t="s">
        <v>58</v>
      </c>
      <c r="D25">
        <v>267</v>
      </c>
      <c r="E25">
        <v>2183724245.361217</v>
      </c>
      <c r="F25">
        <v>3</v>
      </c>
      <c r="G25">
        <v>40277778</v>
      </c>
      <c r="H25">
        <v>51</v>
      </c>
      <c r="I25">
        <v>474125925</v>
      </c>
      <c r="J25">
        <v>219</v>
      </c>
      <c r="K25">
        <v>1749876098.361217</v>
      </c>
    </row>
    <row r="26" spans="1:11" x14ac:dyDescent="0.25">
      <c r="A26">
        <v>25</v>
      </c>
      <c r="B26" t="s">
        <v>59</v>
      </c>
      <c r="C26" t="s">
        <v>60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25">
      <c r="A27">
        <v>26</v>
      </c>
      <c r="B27" t="s">
        <v>61</v>
      </c>
      <c r="C27" t="s">
        <v>62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5">
      <c r="A28">
        <v>27</v>
      </c>
      <c r="B28" t="s">
        <v>63</v>
      </c>
      <c r="C28" t="s">
        <v>64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25">
      <c r="A29">
        <v>28</v>
      </c>
      <c r="B29" t="s">
        <v>65</v>
      </c>
      <c r="C29" t="s">
        <v>66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x14ac:dyDescent="0.25">
      <c r="A30">
        <v>29</v>
      </c>
      <c r="B30" t="s">
        <v>67</v>
      </c>
      <c r="C30" t="s">
        <v>68</v>
      </c>
      <c r="D30">
        <v>5</v>
      </c>
      <c r="E30">
        <v>57213777.307692319</v>
      </c>
      <c r="F30">
        <v>0</v>
      </c>
      <c r="G30">
        <v>0</v>
      </c>
      <c r="H30">
        <v>0</v>
      </c>
      <c r="I30">
        <v>0</v>
      </c>
      <c r="J30">
        <v>5</v>
      </c>
      <c r="K30">
        <v>57213777.307692319</v>
      </c>
    </row>
    <row r="31" spans="1:11" x14ac:dyDescent="0.25">
      <c r="A31">
        <v>30</v>
      </c>
      <c r="B31" t="s">
        <v>69</v>
      </c>
      <c r="C31" t="s">
        <v>70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25">
      <c r="A32">
        <v>31</v>
      </c>
      <c r="B32" t="s">
        <v>71</v>
      </c>
      <c r="C32" t="s">
        <v>72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25">
      <c r="A33">
        <v>32</v>
      </c>
      <c r="B33" t="s">
        <v>73</v>
      </c>
      <c r="C33" t="s">
        <v>74</v>
      </c>
      <c r="D33">
        <v>4</v>
      </c>
      <c r="E33">
        <v>24300672.5</v>
      </c>
      <c r="F33">
        <v>0</v>
      </c>
      <c r="G33">
        <v>0</v>
      </c>
      <c r="H33">
        <v>0</v>
      </c>
      <c r="I33">
        <v>0</v>
      </c>
      <c r="J33">
        <v>4</v>
      </c>
      <c r="K33">
        <v>24300672.5</v>
      </c>
    </row>
    <row r="34" spans="1:11" x14ac:dyDescent="0.25">
      <c r="A34">
        <v>33</v>
      </c>
      <c r="B34" t="s">
        <v>75</v>
      </c>
      <c r="C34" t="s">
        <v>76</v>
      </c>
      <c r="D34">
        <v>68</v>
      </c>
      <c r="E34">
        <v>142998806.18326691</v>
      </c>
      <c r="F34">
        <v>6</v>
      </c>
      <c r="G34">
        <v>11388888</v>
      </c>
      <c r="H34">
        <v>32</v>
      </c>
      <c r="I34">
        <v>77453709</v>
      </c>
      <c r="J34">
        <v>42</v>
      </c>
      <c r="K34">
        <v>76933985.183266938</v>
      </c>
    </row>
    <row r="35" spans="1:11" x14ac:dyDescent="0.25">
      <c r="A35">
        <v>34</v>
      </c>
      <c r="B35" t="s">
        <v>77</v>
      </c>
      <c r="C35" t="s">
        <v>78</v>
      </c>
      <c r="D35">
        <v>545</v>
      </c>
      <c r="E35">
        <v>1128594933.553802</v>
      </c>
      <c r="F35">
        <v>10</v>
      </c>
      <c r="G35">
        <v>24722219</v>
      </c>
      <c r="H35">
        <v>115</v>
      </c>
      <c r="I35">
        <v>215111118</v>
      </c>
      <c r="J35">
        <v>440</v>
      </c>
      <c r="K35">
        <v>938206034.55380154</v>
      </c>
    </row>
    <row r="36" spans="1:11" x14ac:dyDescent="0.25">
      <c r="A36">
        <v>35</v>
      </c>
      <c r="B36" t="s">
        <v>79</v>
      </c>
      <c r="C36" t="s">
        <v>80</v>
      </c>
      <c r="D36">
        <v>15</v>
      </c>
      <c r="E36">
        <v>36292245.021276593</v>
      </c>
      <c r="F36">
        <v>0</v>
      </c>
      <c r="G36">
        <v>0</v>
      </c>
      <c r="H36">
        <v>0</v>
      </c>
      <c r="I36">
        <v>0</v>
      </c>
      <c r="J36">
        <v>15</v>
      </c>
      <c r="K36">
        <v>36292245.021276593</v>
      </c>
    </row>
    <row r="37" spans="1:11" x14ac:dyDescent="0.25">
      <c r="A37">
        <v>36</v>
      </c>
      <c r="B37" t="s">
        <v>81</v>
      </c>
      <c r="C37" t="s">
        <v>82</v>
      </c>
      <c r="D37">
        <v>27</v>
      </c>
      <c r="E37">
        <v>198744051.1964286</v>
      </c>
      <c r="F37">
        <v>0</v>
      </c>
      <c r="G37">
        <v>0</v>
      </c>
      <c r="H37">
        <v>0</v>
      </c>
      <c r="I37">
        <v>0</v>
      </c>
      <c r="J37">
        <v>27</v>
      </c>
      <c r="K37">
        <v>198744051.1964286</v>
      </c>
    </row>
    <row r="38" spans="1:11" x14ac:dyDescent="0.25">
      <c r="A38">
        <v>37</v>
      </c>
      <c r="B38" t="s">
        <v>83</v>
      </c>
      <c r="C38" t="s">
        <v>84</v>
      </c>
      <c r="D38">
        <v>2</v>
      </c>
      <c r="E38">
        <v>16427273</v>
      </c>
      <c r="F38">
        <v>0</v>
      </c>
      <c r="G38">
        <v>0</v>
      </c>
      <c r="H38">
        <v>0</v>
      </c>
      <c r="I38">
        <v>0</v>
      </c>
      <c r="J38">
        <v>2</v>
      </c>
      <c r="K38">
        <v>16427273</v>
      </c>
    </row>
    <row r="39" spans="1:11" x14ac:dyDescent="0.25">
      <c r="A39">
        <v>38</v>
      </c>
      <c r="B39" t="s">
        <v>85</v>
      </c>
      <c r="C39" t="s">
        <v>86</v>
      </c>
      <c r="D39">
        <v>124</v>
      </c>
      <c r="E39">
        <v>351255438.38106239</v>
      </c>
      <c r="F39">
        <v>0</v>
      </c>
      <c r="G39">
        <v>0</v>
      </c>
      <c r="H39">
        <v>3</v>
      </c>
      <c r="I39">
        <v>10277778</v>
      </c>
      <c r="J39">
        <v>121</v>
      </c>
      <c r="K39">
        <v>340977660.38106239</v>
      </c>
    </row>
    <row r="40" spans="1:11" x14ac:dyDescent="0.25">
      <c r="A40">
        <v>39</v>
      </c>
      <c r="B40" t="s">
        <v>87</v>
      </c>
      <c r="C40" t="s">
        <v>88</v>
      </c>
      <c r="D40">
        <v>9</v>
      </c>
      <c r="E40">
        <v>48234342.777777784</v>
      </c>
      <c r="F40">
        <v>0</v>
      </c>
      <c r="G40">
        <v>0</v>
      </c>
      <c r="H40">
        <v>0</v>
      </c>
      <c r="I40">
        <v>0</v>
      </c>
      <c r="J40">
        <v>9</v>
      </c>
      <c r="K40">
        <v>48234342.777777784</v>
      </c>
    </row>
    <row r="41" spans="1:11" x14ac:dyDescent="0.25">
      <c r="A41">
        <v>40</v>
      </c>
      <c r="B41" t="s">
        <v>89</v>
      </c>
      <c r="C41" t="s">
        <v>90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25">
      <c r="A42">
        <v>41</v>
      </c>
      <c r="B42" t="s">
        <v>91</v>
      </c>
      <c r="C42" t="s">
        <v>92</v>
      </c>
      <c r="D42">
        <v>1933</v>
      </c>
      <c r="E42">
        <v>50291422</v>
      </c>
      <c r="F42">
        <v>248</v>
      </c>
      <c r="G42">
        <v>58703827</v>
      </c>
      <c r="H42">
        <v>122</v>
      </c>
      <c r="I42">
        <v>74833342</v>
      </c>
      <c r="J42">
        <v>2059</v>
      </c>
      <c r="K42">
        <v>34161907</v>
      </c>
    </row>
    <row r="43" spans="1:11" x14ac:dyDescent="0.25">
      <c r="A43">
        <v>42</v>
      </c>
      <c r="B43" t="s">
        <v>93</v>
      </c>
      <c r="C43" t="s">
        <v>94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25">
      <c r="A44">
        <v>43</v>
      </c>
      <c r="B44" t="s">
        <v>95</v>
      </c>
      <c r="C44" t="s">
        <v>96</v>
      </c>
      <c r="D44">
        <v>387</v>
      </c>
      <c r="E44">
        <v>992779838.42474437</v>
      </c>
      <c r="F44">
        <v>48</v>
      </c>
      <c r="G44">
        <v>69833290</v>
      </c>
      <c r="H44">
        <v>85</v>
      </c>
      <c r="I44">
        <v>266555554</v>
      </c>
      <c r="J44">
        <v>350</v>
      </c>
      <c r="K44">
        <v>796057574.42474437</v>
      </c>
    </row>
    <row r="45" spans="1:11" x14ac:dyDescent="0.25">
      <c r="A45">
        <v>44</v>
      </c>
      <c r="B45" t="s">
        <v>97</v>
      </c>
      <c r="C45" t="s">
        <v>98</v>
      </c>
      <c r="D45">
        <v>92</v>
      </c>
      <c r="E45">
        <v>379199912.97297299</v>
      </c>
      <c r="F45">
        <v>3</v>
      </c>
      <c r="G45">
        <v>9163892</v>
      </c>
      <c r="H45">
        <v>5</v>
      </c>
      <c r="I45">
        <v>26027779</v>
      </c>
      <c r="J45">
        <v>90</v>
      </c>
      <c r="K45">
        <v>362336025.97297299</v>
      </c>
    </row>
    <row r="46" spans="1:11" x14ac:dyDescent="0.25">
      <c r="A46">
        <v>45</v>
      </c>
      <c r="B46" t="s">
        <v>99</v>
      </c>
      <c r="C46" t="s">
        <v>100</v>
      </c>
      <c r="D46">
        <v>255</v>
      </c>
      <c r="E46">
        <v>92621044.632571429</v>
      </c>
      <c r="F46">
        <v>23</v>
      </c>
      <c r="G46">
        <v>5203686</v>
      </c>
      <c r="H46">
        <v>49</v>
      </c>
      <c r="I46">
        <v>9916665</v>
      </c>
      <c r="J46">
        <v>229</v>
      </c>
      <c r="K46">
        <v>87908065.632571429</v>
      </c>
    </row>
    <row r="47" spans="1:11" x14ac:dyDescent="0.25">
      <c r="A47">
        <v>46</v>
      </c>
      <c r="B47" t="s">
        <v>101</v>
      </c>
      <c r="C47" t="s">
        <v>102</v>
      </c>
      <c r="D47">
        <v>132</v>
      </c>
      <c r="E47">
        <v>256071242.36567381</v>
      </c>
      <c r="F47">
        <v>4</v>
      </c>
      <c r="G47">
        <v>22777778</v>
      </c>
      <c r="H47">
        <v>3</v>
      </c>
      <c r="I47">
        <v>17175927</v>
      </c>
      <c r="J47">
        <v>133</v>
      </c>
      <c r="K47">
        <v>261673093.36567381</v>
      </c>
    </row>
    <row r="48" spans="1:11" x14ac:dyDescent="0.25">
      <c r="A48">
        <v>47</v>
      </c>
      <c r="B48" t="s">
        <v>103</v>
      </c>
      <c r="C48" t="s">
        <v>104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 x14ac:dyDescent="0.25">
      <c r="A49">
        <v>48</v>
      </c>
      <c r="B49" t="s">
        <v>105</v>
      </c>
      <c r="C49" t="s">
        <v>106</v>
      </c>
      <c r="D49">
        <v>34</v>
      </c>
      <c r="E49">
        <v>259777960.08224139</v>
      </c>
      <c r="F49">
        <v>5</v>
      </c>
      <c r="G49">
        <v>14527778.6</v>
      </c>
      <c r="H49">
        <v>4</v>
      </c>
      <c r="I49">
        <v>19185185</v>
      </c>
      <c r="J49">
        <v>35</v>
      </c>
      <c r="K49">
        <v>255120553.68224141</v>
      </c>
    </row>
    <row r="50" spans="1:11" x14ac:dyDescent="0.25">
      <c r="A50">
        <v>49</v>
      </c>
      <c r="B50" t="s">
        <v>107</v>
      </c>
      <c r="C50" t="s">
        <v>108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25">
      <c r="A51">
        <v>50</v>
      </c>
      <c r="B51" t="s">
        <v>109</v>
      </c>
      <c r="C51" t="s">
        <v>110</v>
      </c>
      <c r="D51">
        <v>5</v>
      </c>
      <c r="E51">
        <v>254228.19999999931</v>
      </c>
      <c r="F51">
        <v>0</v>
      </c>
      <c r="G51">
        <v>0</v>
      </c>
      <c r="H51">
        <v>0</v>
      </c>
      <c r="I51">
        <v>0</v>
      </c>
      <c r="J51">
        <v>5</v>
      </c>
      <c r="K51">
        <v>254228.19999999931</v>
      </c>
    </row>
    <row r="52" spans="1:11" x14ac:dyDescent="0.25">
      <c r="A52">
        <v>51</v>
      </c>
      <c r="B52" t="s">
        <v>111</v>
      </c>
      <c r="C52" t="s">
        <v>112</v>
      </c>
      <c r="D52">
        <v>6</v>
      </c>
      <c r="E52">
        <v>20604559.066938762</v>
      </c>
      <c r="F52">
        <v>10</v>
      </c>
      <c r="G52">
        <v>14805556</v>
      </c>
      <c r="H52">
        <v>1</v>
      </c>
      <c r="I52">
        <v>1842593</v>
      </c>
      <c r="J52">
        <v>15</v>
      </c>
      <c r="K52">
        <v>33567522.066938758</v>
      </c>
    </row>
    <row r="53" spans="1:11" x14ac:dyDescent="0.25">
      <c r="A53">
        <v>52</v>
      </c>
      <c r="B53" t="s">
        <v>113</v>
      </c>
      <c r="C53" t="s">
        <v>114</v>
      </c>
      <c r="D53">
        <v>3</v>
      </c>
      <c r="E53">
        <v>5580000</v>
      </c>
      <c r="F53">
        <v>0</v>
      </c>
      <c r="G53">
        <v>0</v>
      </c>
      <c r="H53">
        <v>0</v>
      </c>
      <c r="I53">
        <v>0</v>
      </c>
      <c r="J53">
        <v>3</v>
      </c>
      <c r="K53">
        <v>5580000</v>
      </c>
    </row>
    <row r="54" spans="1:11" x14ac:dyDescent="0.25">
      <c r="A54">
        <v>53</v>
      </c>
      <c r="B54" t="s">
        <v>115</v>
      </c>
      <c r="C54" t="s">
        <v>116</v>
      </c>
      <c r="D54">
        <v>1</v>
      </c>
      <c r="E54">
        <v>1480000</v>
      </c>
      <c r="F54">
        <v>0</v>
      </c>
      <c r="G54">
        <v>0</v>
      </c>
      <c r="H54">
        <v>0</v>
      </c>
      <c r="I54">
        <v>0</v>
      </c>
      <c r="J54">
        <v>1</v>
      </c>
      <c r="K54">
        <v>1480000</v>
      </c>
    </row>
    <row r="55" spans="1:11" x14ac:dyDescent="0.25">
      <c r="A55">
        <v>54</v>
      </c>
      <c r="B55" t="s">
        <v>117</v>
      </c>
      <c r="C55" t="s">
        <v>118</v>
      </c>
      <c r="D55">
        <v>78</v>
      </c>
      <c r="E55">
        <v>110686484.172702</v>
      </c>
      <c r="F55">
        <v>13</v>
      </c>
      <c r="G55">
        <v>4704364</v>
      </c>
      <c r="H55">
        <v>5</v>
      </c>
      <c r="I55">
        <v>9792087</v>
      </c>
      <c r="J55">
        <v>86</v>
      </c>
      <c r="K55">
        <v>105598761.172702</v>
      </c>
    </row>
    <row r="56" spans="1:11" x14ac:dyDescent="0.25">
      <c r="A56">
        <v>55</v>
      </c>
      <c r="B56" t="s">
        <v>119</v>
      </c>
      <c r="C56" t="s">
        <v>120</v>
      </c>
      <c r="D56">
        <v>38</v>
      </c>
      <c r="E56">
        <v>7187418.4915254228</v>
      </c>
      <c r="F56">
        <v>0</v>
      </c>
      <c r="G56">
        <v>0</v>
      </c>
      <c r="H56">
        <v>0</v>
      </c>
      <c r="I56">
        <v>0</v>
      </c>
      <c r="J56">
        <v>38</v>
      </c>
      <c r="K56">
        <v>7187418.4915254228</v>
      </c>
    </row>
    <row r="57" spans="1:11" x14ac:dyDescent="0.25">
      <c r="A57">
        <v>56</v>
      </c>
      <c r="B57" t="s">
        <v>121</v>
      </c>
      <c r="C57" t="s">
        <v>122</v>
      </c>
      <c r="D57">
        <v>7</v>
      </c>
      <c r="E57">
        <v>19034813.180769231</v>
      </c>
      <c r="F57">
        <v>0</v>
      </c>
      <c r="G57">
        <v>0</v>
      </c>
      <c r="H57">
        <v>1</v>
      </c>
      <c r="I57">
        <v>3194444</v>
      </c>
      <c r="J57">
        <v>6</v>
      </c>
      <c r="K57">
        <v>15840369.180769229</v>
      </c>
    </row>
    <row r="58" spans="1:11" x14ac:dyDescent="0.25">
      <c r="A58">
        <v>57</v>
      </c>
      <c r="B58" t="s">
        <v>123</v>
      </c>
      <c r="C58" t="s">
        <v>124</v>
      </c>
      <c r="D58">
        <v>2</v>
      </c>
      <c r="E58">
        <v>1829966.11</v>
      </c>
      <c r="F58">
        <v>0</v>
      </c>
      <c r="G58">
        <v>0</v>
      </c>
      <c r="H58">
        <v>0</v>
      </c>
      <c r="I58">
        <v>0</v>
      </c>
      <c r="J58">
        <v>2</v>
      </c>
      <c r="K58">
        <v>1829966.11</v>
      </c>
    </row>
    <row r="59" spans="1:11" x14ac:dyDescent="0.25">
      <c r="A59">
        <v>58</v>
      </c>
      <c r="B59" t="s">
        <v>125</v>
      </c>
      <c r="C59" t="s">
        <v>126</v>
      </c>
      <c r="D59">
        <v>1291</v>
      </c>
      <c r="E59">
        <v>102186468.36559761</v>
      </c>
      <c r="F59">
        <v>191</v>
      </c>
      <c r="G59">
        <v>39380503</v>
      </c>
      <c r="H59">
        <v>208</v>
      </c>
      <c r="I59">
        <v>46037013</v>
      </c>
      <c r="J59">
        <v>1274</v>
      </c>
      <c r="K59">
        <v>95529958.365597606</v>
      </c>
    </row>
    <row r="60" spans="1:11" x14ac:dyDescent="0.25">
      <c r="A60">
        <v>59</v>
      </c>
      <c r="B60" t="s">
        <v>127</v>
      </c>
      <c r="C60" t="s">
        <v>128</v>
      </c>
      <c r="D60">
        <v>172</v>
      </c>
      <c r="E60">
        <v>2017197</v>
      </c>
      <c r="F60">
        <v>20</v>
      </c>
      <c r="G60">
        <v>1490735</v>
      </c>
      <c r="H60">
        <v>10</v>
      </c>
      <c r="I60">
        <v>851851</v>
      </c>
      <c r="J60">
        <v>182</v>
      </c>
      <c r="K60">
        <v>2656081</v>
      </c>
    </row>
    <row r="61" spans="1:11" x14ac:dyDescent="0.25">
      <c r="A61">
        <v>60</v>
      </c>
      <c r="B61" t="s">
        <v>129</v>
      </c>
      <c r="C61" t="s">
        <v>130</v>
      </c>
      <c r="D61">
        <v>71</v>
      </c>
      <c r="E61">
        <v>4775253</v>
      </c>
      <c r="F61">
        <v>4</v>
      </c>
      <c r="G61">
        <v>537040</v>
      </c>
      <c r="H61">
        <v>1</v>
      </c>
      <c r="I61">
        <v>370370</v>
      </c>
      <c r="J61">
        <v>74</v>
      </c>
      <c r="K61">
        <v>4941923</v>
      </c>
    </row>
    <row r="62" spans="1:11" x14ac:dyDescent="0.25">
      <c r="A62">
        <v>61</v>
      </c>
      <c r="B62" t="s">
        <v>131</v>
      </c>
      <c r="C62" t="s">
        <v>132</v>
      </c>
      <c r="D62">
        <v>1163</v>
      </c>
      <c r="E62">
        <v>79309222.878957927</v>
      </c>
      <c r="F62">
        <v>143</v>
      </c>
      <c r="G62">
        <v>3490741</v>
      </c>
      <c r="H62">
        <v>18</v>
      </c>
      <c r="I62">
        <v>4444444</v>
      </c>
      <c r="J62">
        <v>1288</v>
      </c>
      <c r="K62">
        <v>78355519.878957927</v>
      </c>
    </row>
    <row r="63" spans="1:11" x14ac:dyDescent="0.25">
      <c r="A63">
        <v>62</v>
      </c>
      <c r="B63" t="s">
        <v>133</v>
      </c>
      <c r="C63" t="s">
        <v>134</v>
      </c>
      <c r="D63">
        <v>945</v>
      </c>
      <c r="E63">
        <v>168665916.71158049</v>
      </c>
      <c r="F63">
        <v>0</v>
      </c>
      <c r="G63">
        <v>0</v>
      </c>
      <c r="H63">
        <v>8</v>
      </c>
      <c r="I63">
        <v>1601852</v>
      </c>
      <c r="J63">
        <v>937</v>
      </c>
      <c r="K63">
        <v>167064064.71158049</v>
      </c>
    </row>
    <row r="64" spans="1:11" x14ac:dyDescent="0.25">
      <c r="A64">
        <v>63</v>
      </c>
      <c r="B64" t="s">
        <v>135</v>
      </c>
      <c r="C64" t="s">
        <v>136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 x14ac:dyDescent="0.25">
      <c r="A65">
        <v>64</v>
      </c>
      <c r="B65" t="s">
        <v>137</v>
      </c>
      <c r="C65" t="s">
        <v>138</v>
      </c>
      <c r="D65">
        <v>20</v>
      </c>
      <c r="E65">
        <v>5114407.4511235952</v>
      </c>
      <c r="F65">
        <v>2</v>
      </c>
      <c r="G65">
        <v>240740</v>
      </c>
      <c r="H65">
        <v>0</v>
      </c>
      <c r="I65">
        <v>0</v>
      </c>
      <c r="J65">
        <v>22</v>
      </c>
      <c r="K65">
        <v>5355147.4511235952</v>
      </c>
    </row>
    <row r="66" spans="1:11" x14ac:dyDescent="0.25">
      <c r="A66">
        <v>65</v>
      </c>
      <c r="B66" t="s">
        <v>139</v>
      </c>
      <c r="C66" t="s">
        <v>140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 x14ac:dyDescent="0.25">
      <c r="A67">
        <v>66</v>
      </c>
      <c r="B67" t="s">
        <v>141</v>
      </c>
      <c r="C67" t="s">
        <v>142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 x14ac:dyDescent="0.25">
      <c r="A68">
        <v>67</v>
      </c>
      <c r="B68" t="s">
        <v>143</v>
      </c>
      <c r="C68" t="s">
        <v>144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 x14ac:dyDescent="0.25">
      <c r="A69">
        <v>68</v>
      </c>
      <c r="B69" t="s">
        <v>145</v>
      </c>
      <c r="C69" t="s">
        <v>146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 x14ac:dyDescent="0.25">
      <c r="A70">
        <v>69</v>
      </c>
      <c r="B70" t="s">
        <v>147</v>
      </c>
      <c r="C70" t="s">
        <v>148</v>
      </c>
      <c r="D70">
        <v>256</v>
      </c>
      <c r="E70">
        <v>60393530.665112108</v>
      </c>
      <c r="F70">
        <v>10</v>
      </c>
      <c r="G70">
        <v>277770</v>
      </c>
      <c r="H70">
        <v>1</v>
      </c>
      <c r="I70">
        <v>629630</v>
      </c>
      <c r="J70">
        <v>265</v>
      </c>
      <c r="K70">
        <v>60041670.665112108</v>
      </c>
    </row>
    <row r="71" spans="1:11" x14ac:dyDescent="0.25">
      <c r="A71">
        <v>70</v>
      </c>
      <c r="B71" t="s">
        <v>149</v>
      </c>
      <c r="C71" t="s">
        <v>150</v>
      </c>
      <c r="D71">
        <v>12</v>
      </c>
      <c r="E71">
        <v>941974.16000000015</v>
      </c>
      <c r="F71">
        <v>3</v>
      </c>
      <c r="G71">
        <v>208332</v>
      </c>
      <c r="H71">
        <v>0</v>
      </c>
      <c r="I71">
        <v>0</v>
      </c>
      <c r="J71">
        <v>15</v>
      </c>
      <c r="K71">
        <v>1150306.1599999999</v>
      </c>
    </row>
    <row r="72" spans="1:11" x14ac:dyDescent="0.25">
      <c r="A72">
        <v>71</v>
      </c>
      <c r="B72" t="s">
        <v>151</v>
      </c>
      <c r="C72" t="s">
        <v>152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</row>
    <row r="73" spans="1:11" x14ac:dyDescent="0.25">
      <c r="A73">
        <v>72</v>
      </c>
      <c r="B73" t="s">
        <v>153</v>
      </c>
      <c r="C73" t="s">
        <v>154</v>
      </c>
      <c r="D73">
        <v>100</v>
      </c>
      <c r="E73">
        <v>0</v>
      </c>
      <c r="F73">
        <v>0</v>
      </c>
      <c r="G73">
        <v>0</v>
      </c>
      <c r="H73">
        <v>0</v>
      </c>
      <c r="I73">
        <v>0</v>
      </c>
      <c r="J73">
        <v>100</v>
      </c>
      <c r="K73">
        <v>0</v>
      </c>
    </row>
    <row r="74" spans="1:11" x14ac:dyDescent="0.25">
      <c r="A74">
        <v>73</v>
      </c>
      <c r="B74" t="s">
        <v>155</v>
      </c>
      <c r="C74" t="s">
        <v>156</v>
      </c>
      <c r="D74">
        <v>194</v>
      </c>
      <c r="E74">
        <v>446648247.07878792</v>
      </c>
      <c r="F74">
        <v>0</v>
      </c>
      <c r="G74">
        <v>0</v>
      </c>
      <c r="H74">
        <v>3</v>
      </c>
      <c r="I74">
        <v>6657408</v>
      </c>
      <c r="J74">
        <v>191</v>
      </c>
      <c r="K74">
        <v>439990839.07878792</v>
      </c>
    </row>
    <row r="75" spans="1:11" x14ac:dyDescent="0.25">
      <c r="A75">
        <v>74</v>
      </c>
      <c r="B75" t="s">
        <v>157</v>
      </c>
      <c r="C75" t="s">
        <v>158</v>
      </c>
      <c r="D75">
        <v>154</v>
      </c>
      <c r="E75">
        <v>444966451.75098813</v>
      </c>
      <c r="F75">
        <v>10</v>
      </c>
      <c r="G75">
        <v>36574074</v>
      </c>
      <c r="H75">
        <v>2</v>
      </c>
      <c r="I75">
        <v>8250000</v>
      </c>
      <c r="J75">
        <v>162</v>
      </c>
      <c r="K75">
        <v>473290525.75098813</v>
      </c>
    </row>
    <row r="76" spans="1:11" x14ac:dyDescent="0.25">
      <c r="A76">
        <v>75</v>
      </c>
      <c r="B76" t="s">
        <v>159</v>
      </c>
      <c r="C76" t="s">
        <v>160</v>
      </c>
      <c r="D76">
        <v>11</v>
      </c>
      <c r="E76">
        <v>65907028.875</v>
      </c>
      <c r="F76">
        <v>0</v>
      </c>
      <c r="G76">
        <v>0</v>
      </c>
      <c r="H76">
        <v>0</v>
      </c>
      <c r="I76">
        <v>0</v>
      </c>
      <c r="J76">
        <v>11</v>
      </c>
      <c r="K76">
        <v>65907028.875</v>
      </c>
    </row>
    <row r="77" spans="1:11" x14ac:dyDescent="0.25">
      <c r="A77">
        <v>76</v>
      </c>
      <c r="B77" t="s">
        <v>161</v>
      </c>
      <c r="C77" t="s">
        <v>162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 x14ac:dyDescent="0.25">
      <c r="A78">
        <v>77</v>
      </c>
      <c r="B78" t="s">
        <v>163</v>
      </c>
      <c r="C78" t="s">
        <v>164</v>
      </c>
      <c r="D78">
        <v>272</v>
      </c>
      <c r="E78">
        <v>400760047.59605908</v>
      </c>
      <c r="F78">
        <v>10</v>
      </c>
      <c r="G78">
        <v>14166667</v>
      </c>
      <c r="H78">
        <v>1</v>
      </c>
      <c r="I78">
        <v>1657407</v>
      </c>
      <c r="J78">
        <v>281</v>
      </c>
      <c r="K78">
        <v>413269307.59605908</v>
      </c>
    </row>
    <row r="79" spans="1:11" x14ac:dyDescent="0.25">
      <c r="A79">
        <v>78</v>
      </c>
      <c r="B79" t="s">
        <v>165</v>
      </c>
      <c r="C79" t="s">
        <v>166</v>
      </c>
      <c r="D79">
        <v>25</v>
      </c>
      <c r="E79">
        <v>56484468</v>
      </c>
      <c r="F79">
        <v>4</v>
      </c>
      <c r="G79">
        <v>9222222</v>
      </c>
      <c r="H79">
        <v>0</v>
      </c>
      <c r="I79">
        <v>0</v>
      </c>
      <c r="J79">
        <v>29</v>
      </c>
      <c r="K79">
        <v>65706690</v>
      </c>
    </row>
    <row r="80" spans="1:11" x14ac:dyDescent="0.25">
      <c r="A80">
        <v>79</v>
      </c>
      <c r="B80" t="s">
        <v>167</v>
      </c>
      <c r="C80" t="s">
        <v>168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 x14ac:dyDescent="0.25">
      <c r="A81">
        <v>80</v>
      </c>
      <c r="B81" t="s">
        <v>169</v>
      </c>
      <c r="C81" t="s">
        <v>170</v>
      </c>
      <c r="D81">
        <v>840</v>
      </c>
      <c r="E81">
        <v>217248070.62329009</v>
      </c>
      <c r="F81">
        <v>185</v>
      </c>
      <c r="G81">
        <v>77083333</v>
      </c>
      <c r="H81">
        <v>100</v>
      </c>
      <c r="I81">
        <v>31388886</v>
      </c>
      <c r="J81">
        <v>925</v>
      </c>
      <c r="K81">
        <v>262942517.62329009</v>
      </c>
    </row>
    <row r="82" spans="1:11" x14ac:dyDescent="0.25">
      <c r="A82">
        <v>81</v>
      </c>
      <c r="B82" t="s">
        <v>171</v>
      </c>
      <c r="C82" t="s">
        <v>172</v>
      </c>
      <c r="D82">
        <v>248</v>
      </c>
      <c r="E82">
        <v>219870987.11730209</v>
      </c>
      <c r="F82">
        <v>40</v>
      </c>
      <c r="G82">
        <v>29629630</v>
      </c>
      <c r="H82">
        <v>10</v>
      </c>
      <c r="I82">
        <v>6018510</v>
      </c>
      <c r="J82">
        <v>278</v>
      </c>
      <c r="K82">
        <v>243482107.11730209</v>
      </c>
    </row>
    <row r="83" spans="1:11" x14ac:dyDescent="0.25">
      <c r="A83">
        <v>82</v>
      </c>
      <c r="B83" t="s">
        <v>173</v>
      </c>
      <c r="C83" t="s">
        <v>174</v>
      </c>
      <c r="D83">
        <v>109</v>
      </c>
      <c r="E83">
        <v>106906826.202381</v>
      </c>
      <c r="F83">
        <v>70</v>
      </c>
      <c r="G83">
        <v>53842592</v>
      </c>
      <c r="H83">
        <v>0</v>
      </c>
      <c r="I83">
        <v>0</v>
      </c>
      <c r="J83">
        <v>179</v>
      </c>
      <c r="K83">
        <v>160749418.20238101</v>
      </c>
    </row>
    <row r="84" spans="1:11" x14ac:dyDescent="0.25">
      <c r="A84">
        <v>83</v>
      </c>
      <c r="B84" t="s">
        <v>175</v>
      </c>
      <c r="C84" t="s">
        <v>176</v>
      </c>
      <c r="D84">
        <v>7</v>
      </c>
      <c r="E84">
        <v>6787540.200000003</v>
      </c>
      <c r="F84">
        <v>0</v>
      </c>
      <c r="G84">
        <v>0</v>
      </c>
      <c r="H84">
        <v>0</v>
      </c>
      <c r="I84">
        <v>0</v>
      </c>
      <c r="J84">
        <v>7</v>
      </c>
      <c r="K84">
        <v>6787540.200000003</v>
      </c>
    </row>
    <row r="85" spans="1:11" x14ac:dyDescent="0.25">
      <c r="A85">
        <v>84</v>
      </c>
      <c r="B85" t="s">
        <v>177</v>
      </c>
      <c r="C85" t="s">
        <v>178</v>
      </c>
      <c r="D85">
        <v>21</v>
      </c>
      <c r="E85">
        <v>109483182.483871</v>
      </c>
      <c r="F85">
        <v>0</v>
      </c>
      <c r="G85">
        <v>0</v>
      </c>
      <c r="H85">
        <v>4</v>
      </c>
      <c r="I85">
        <v>17407404</v>
      </c>
      <c r="J85">
        <v>17</v>
      </c>
      <c r="K85">
        <v>92075778.483870968</v>
      </c>
    </row>
    <row r="86" spans="1:11" x14ac:dyDescent="0.25">
      <c r="A86">
        <v>85</v>
      </c>
      <c r="B86" t="s">
        <v>179</v>
      </c>
      <c r="C86" t="s">
        <v>180</v>
      </c>
      <c r="D86">
        <v>22</v>
      </c>
      <c r="E86">
        <v>29190400.16</v>
      </c>
      <c r="F86">
        <v>0</v>
      </c>
      <c r="G86">
        <v>0</v>
      </c>
      <c r="H86">
        <v>0</v>
      </c>
      <c r="I86">
        <v>0</v>
      </c>
      <c r="J86">
        <v>22</v>
      </c>
      <c r="K86">
        <v>29190400.16</v>
      </c>
    </row>
    <row r="87" spans="1:11" x14ac:dyDescent="0.25">
      <c r="A87">
        <v>86</v>
      </c>
      <c r="B87" t="s">
        <v>181</v>
      </c>
      <c r="C87" t="s">
        <v>182</v>
      </c>
      <c r="D87">
        <v>67</v>
      </c>
      <c r="E87">
        <v>66764967.572559372</v>
      </c>
      <c r="F87">
        <v>0</v>
      </c>
      <c r="G87">
        <v>0</v>
      </c>
      <c r="H87">
        <v>2</v>
      </c>
      <c r="I87">
        <v>2722222</v>
      </c>
      <c r="J87">
        <v>65</v>
      </c>
      <c r="K87">
        <v>64042745.572559372</v>
      </c>
    </row>
    <row r="88" spans="1:11" x14ac:dyDescent="0.25">
      <c r="A88">
        <v>87</v>
      </c>
      <c r="B88" t="s">
        <v>183</v>
      </c>
      <c r="C88" t="s">
        <v>184</v>
      </c>
      <c r="D88">
        <v>3</v>
      </c>
      <c r="E88">
        <v>2443182.9545454532</v>
      </c>
      <c r="F88">
        <v>0</v>
      </c>
      <c r="G88">
        <v>0</v>
      </c>
      <c r="H88">
        <v>0</v>
      </c>
      <c r="I88">
        <v>0</v>
      </c>
      <c r="J88">
        <v>3</v>
      </c>
      <c r="K88">
        <v>2443182.9545454532</v>
      </c>
    </row>
    <row r="89" spans="1:11" x14ac:dyDescent="0.25">
      <c r="A89">
        <v>88</v>
      </c>
      <c r="B89" t="s">
        <v>185</v>
      </c>
      <c r="C89" t="s">
        <v>186</v>
      </c>
      <c r="D89">
        <v>741</v>
      </c>
      <c r="E89">
        <v>217048585.74628809</v>
      </c>
      <c r="F89">
        <v>300</v>
      </c>
      <c r="G89">
        <v>122777777</v>
      </c>
      <c r="H89">
        <v>160</v>
      </c>
      <c r="I89">
        <v>57074080</v>
      </c>
      <c r="J89">
        <v>881</v>
      </c>
      <c r="K89">
        <v>282752282.74628812</v>
      </c>
    </row>
    <row r="90" spans="1:11" x14ac:dyDescent="0.25">
      <c r="A90">
        <v>89</v>
      </c>
      <c r="B90" t="s">
        <v>187</v>
      </c>
      <c r="C90" t="s">
        <v>188</v>
      </c>
      <c r="D90">
        <v>174</v>
      </c>
      <c r="E90">
        <v>239664643.34957021</v>
      </c>
      <c r="F90">
        <v>146</v>
      </c>
      <c r="G90">
        <v>99731482</v>
      </c>
      <c r="H90">
        <v>14</v>
      </c>
      <c r="I90">
        <v>64851847</v>
      </c>
      <c r="J90">
        <v>306</v>
      </c>
      <c r="K90">
        <v>274544278.34957021</v>
      </c>
    </row>
    <row r="91" spans="1:11" x14ac:dyDescent="0.25">
      <c r="A91">
        <v>90</v>
      </c>
      <c r="B91" t="s">
        <v>189</v>
      </c>
      <c r="C91" t="s">
        <v>190</v>
      </c>
      <c r="D91">
        <v>142</v>
      </c>
      <c r="E91">
        <v>185540265.9923954</v>
      </c>
      <c r="F91">
        <v>62</v>
      </c>
      <c r="G91">
        <v>81944444</v>
      </c>
      <c r="H91">
        <v>3</v>
      </c>
      <c r="I91">
        <v>5092593</v>
      </c>
      <c r="J91">
        <v>201</v>
      </c>
      <c r="K91">
        <v>262392116.9923954</v>
      </c>
    </row>
    <row r="92" spans="1:11" x14ac:dyDescent="0.25">
      <c r="A92">
        <v>91</v>
      </c>
      <c r="B92" t="s">
        <v>191</v>
      </c>
      <c r="C92" t="s">
        <v>192</v>
      </c>
      <c r="D92">
        <v>72</v>
      </c>
      <c r="E92">
        <v>36447657.128078818</v>
      </c>
      <c r="F92">
        <v>0</v>
      </c>
      <c r="G92">
        <v>0</v>
      </c>
      <c r="H92">
        <v>4</v>
      </c>
      <c r="I92">
        <v>6120370</v>
      </c>
      <c r="J92">
        <v>68</v>
      </c>
      <c r="K92">
        <v>30327287.128078818</v>
      </c>
    </row>
    <row r="93" spans="1:11" x14ac:dyDescent="0.25">
      <c r="A93">
        <v>92</v>
      </c>
      <c r="B93" t="s">
        <v>193</v>
      </c>
      <c r="C93" t="s">
        <v>194</v>
      </c>
      <c r="D93">
        <v>36</v>
      </c>
      <c r="E93">
        <v>65124524.432558149</v>
      </c>
      <c r="F93">
        <v>0</v>
      </c>
      <c r="G93">
        <v>0</v>
      </c>
      <c r="H93">
        <v>2</v>
      </c>
      <c r="I93">
        <v>4166667</v>
      </c>
      <c r="J93">
        <v>34</v>
      </c>
      <c r="K93">
        <v>60957857.432558149</v>
      </c>
    </row>
    <row r="94" spans="1:11" x14ac:dyDescent="0.25">
      <c r="A94">
        <v>93</v>
      </c>
      <c r="B94" t="s">
        <v>195</v>
      </c>
      <c r="C94" t="s">
        <v>196</v>
      </c>
      <c r="D94">
        <v>413</v>
      </c>
      <c r="E94">
        <v>141391666.61556071</v>
      </c>
      <c r="F94">
        <v>10</v>
      </c>
      <c r="G94">
        <v>15138886</v>
      </c>
      <c r="H94">
        <v>11</v>
      </c>
      <c r="I94">
        <v>1666666</v>
      </c>
      <c r="J94">
        <v>412</v>
      </c>
      <c r="K94">
        <v>154863886.61556071</v>
      </c>
    </row>
    <row r="95" spans="1:11" x14ac:dyDescent="0.25">
      <c r="A95">
        <v>94</v>
      </c>
      <c r="B95" t="s">
        <v>197</v>
      </c>
      <c r="C95" t="s">
        <v>198</v>
      </c>
      <c r="D95">
        <v>30</v>
      </c>
      <c r="E95">
        <v>3088722</v>
      </c>
      <c r="F95">
        <v>0</v>
      </c>
      <c r="G95">
        <v>0</v>
      </c>
      <c r="H95">
        <v>0</v>
      </c>
      <c r="I95">
        <v>0</v>
      </c>
      <c r="J95">
        <v>30</v>
      </c>
      <c r="K95">
        <v>3088722</v>
      </c>
    </row>
    <row r="96" spans="1:11" x14ac:dyDescent="0.25">
      <c r="A96">
        <v>95</v>
      </c>
      <c r="B96" t="s">
        <v>199</v>
      </c>
      <c r="C96" t="s">
        <v>200</v>
      </c>
      <c r="D96">
        <v>118</v>
      </c>
      <c r="E96">
        <v>7515963.0819672123</v>
      </c>
      <c r="F96">
        <v>0</v>
      </c>
      <c r="G96">
        <v>0</v>
      </c>
      <c r="H96">
        <v>25</v>
      </c>
      <c r="I96">
        <v>3009259</v>
      </c>
      <c r="J96">
        <v>93</v>
      </c>
      <c r="K96">
        <v>4506704.0819672123</v>
      </c>
    </row>
    <row r="97" spans="1:11" x14ac:dyDescent="0.25">
      <c r="A97">
        <v>96</v>
      </c>
      <c r="B97" t="s">
        <v>201</v>
      </c>
      <c r="C97" t="s">
        <v>202</v>
      </c>
      <c r="D97">
        <v>1811</v>
      </c>
      <c r="E97">
        <v>197506332.4361957</v>
      </c>
      <c r="F97">
        <v>23</v>
      </c>
      <c r="G97">
        <v>9509265</v>
      </c>
      <c r="H97">
        <v>2</v>
      </c>
      <c r="I97">
        <v>231481</v>
      </c>
      <c r="J97">
        <v>1832</v>
      </c>
      <c r="K97">
        <v>206784116.4361957</v>
      </c>
    </row>
    <row r="98" spans="1:11" x14ac:dyDescent="0.25">
      <c r="A98">
        <v>97</v>
      </c>
      <c r="B98" t="s">
        <v>203</v>
      </c>
      <c r="C98" t="s">
        <v>204</v>
      </c>
      <c r="D98">
        <v>344</v>
      </c>
      <c r="E98">
        <v>60100569.620727673</v>
      </c>
      <c r="F98">
        <v>100</v>
      </c>
      <c r="G98">
        <v>11111111</v>
      </c>
      <c r="H98">
        <v>8</v>
      </c>
      <c r="I98">
        <v>1555554</v>
      </c>
      <c r="J98">
        <v>436</v>
      </c>
      <c r="K98">
        <v>69656126.620727673</v>
      </c>
    </row>
    <row r="99" spans="1:11" x14ac:dyDescent="0.25">
      <c r="A99">
        <v>98</v>
      </c>
      <c r="B99" t="s">
        <v>205</v>
      </c>
      <c r="C99" t="s">
        <v>206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 x14ac:dyDescent="0.25">
      <c r="A100">
        <v>99</v>
      </c>
      <c r="B100" t="s">
        <v>207</v>
      </c>
      <c r="C100" t="s">
        <v>208</v>
      </c>
      <c r="D100">
        <v>10</v>
      </c>
      <c r="E100">
        <v>3335423.7586206938</v>
      </c>
      <c r="F100">
        <v>0</v>
      </c>
      <c r="G100">
        <v>0</v>
      </c>
      <c r="H100">
        <v>0</v>
      </c>
      <c r="I100">
        <v>0</v>
      </c>
      <c r="J100">
        <v>10</v>
      </c>
      <c r="K100">
        <v>3335423.7586206938</v>
      </c>
    </row>
    <row r="101" spans="1:11" x14ac:dyDescent="0.25">
      <c r="A101">
        <v>100</v>
      </c>
      <c r="B101" t="s">
        <v>209</v>
      </c>
      <c r="C101" t="s">
        <v>210</v>
      </c>
      <c r="D101">
        <v>5</v>
      </c>
      <c r="E101">
        <v>5229125</v>
      </c>
      <c r="F101">
        <v>0</v>
      </c>
      <c r="G101">
        <v>0</v>
      </c>
      <c r="H101">
        <v>0</v>
      </c>
      <c r="I101">
        <v>0</v>
      </c>
      <c r="J101">
        <v>5</v>
      </c>
      <c r="K101">
        <v>5229125</v>
      </c>
    </row>
    <row r="102" spans="1:11" x14ac:dyDescent="0.25">
      <c r="A102">
        <v>101</v>
      </c>
      <c r="B102" t="s">
        <v>211</v>
      </c>
      <c r="C102" t="s">
        <v>212</v>
      </c>
      <c r="D102">
        <v>235</v>
      </c>
      <c r="E102">
        <v>129406853.6692913</v>
      </c>
      <c r="F102">
        <v>25</v>
      </c>
      <c r="G102">
        <v>1523148</v>
      </c>
      <c r="H102">
        <v>0</v>
      </c>
      <c r="I102">
        <v>0</v>
      </c>
      <c r="J102">
        <v>260</v>
      </c>
      <c r="K102">
        <v>130930001.6692913</v>
      </c>
    </row>
    <row r="103" spans="1:11" x14ac:dyDescent="0.25">
      <c r="A103">
        <v>102</v>
      </c>
      <c r="B103" t="s">
        <v>213</v>
      </c>
      <c r="C103" t="s">
        <v>214</v>
      </c>
      <c r="D103">
        <v>2</v>
      </c>
      <c r="E103">
        <v>2309091</v>
      </c>
      <c r="F103">
        <v>0</v>
      </c>
      <c r="G103">
        <v>0</v>
      </c>
      <c r="H103">
        <v>0</v>
      </c>
      <c r="I103">
        <v>0</v>
      </c>
      <c r="J103">
        <v>2</v>
      </c>
      <c r="K103">
        <v>2309091</v>
      </c>
    </row>
    <row r="104" spans="1:11" x14ac:dyDescent="0.25">
      <c r="A104">
        <v>103</v>
      </c>
      <c r="B104" t="s">
        <v>215</v>
      </c>
      <c r="C104" t="s">
        <v>216</v>
      </c>
      <c r="D104">
        <v>2119</v>
      </c>
      <c r="E104">
        <v>265655403.46378449</v>
      </c>
      <c r="F104">
        <v>57</v>
      </c>
      <c r="G104">
        <v>9240741</v>
      </c>
      <c r="H104">
        <v>121</v>
      </c>
      <c r="I104">
        <v>23052797</v>
      </c>
      <c r="J104">
        <v>2055</v>
      </c>
      <c r="K104">
        <v>251843347.46378449</v>
      </c>
    </row>
    <row r="105" spans="1:11" x14ac:dyDescent="0.25">
      <c r="A105">
        <v>104</v>
      </c>
      <c r="B105" t="s">
        <v>217</v>
      </c>
      <c r="C105" t="s">
        <v>218</v>
      </c>
      <c r="D105">
        <v>321</v>
      </c>
      <c r="E105">
        <v>120353564.9929824</v>
      </c>
      <c r="F105">
        <v>127</v>
      </c>
      <c r="G105">
        <v>18212963</v>
      </c>
      <c r="H105">
        <v>1</v>
      </c>
      <c r="I105">
        <v>398148</v>
      </c>
      <c r="J105">
        <v>447</v>
      </c>
      <c r="K105">
        <v>138168379.99298239</v>
      </c>
    </row>
    <row r="106" spans="1:11" x14ac:dyDescent="0.25">
      <c r="A106">
        <v>105</v>
      </c>
      <c r="B106" t="s">
        <v>219</v>
      </c>
      <c r="C106" t="s">
        <v>220</v>
      </c>
      <c r="D106">
        <v>1128</v>
      </c>
      <c r="E106">
        <v>304593727.69023043</v>
      </c>
      <c r="F106">
        <v>1040</v>
      </c>
      <c r="G106">
        <v>141094448</v>
      </c>
      <c r="H106">
        <v>104</v>
      </c>
      <c r="I106">
        <v>16638891</v>
      </c>
      <c r="J106">
        <v>2064</v>
      </c>
      <c r="K106">
        <v>429049284.69023043</v>
      </c>
    </row>
    <row r="107" spans="1:11" x14ac:dyDescent="0.25">
      <c r="A107">
        <v>106</v>
      </c>
      <c r="B107" t="s">
        <v>221</v>
      </c>
      <c r="C107" t="s">
        <v>222</v>
      </c>
      <c r="D107">
        <v>48</v>
      </c>
      <c r="E107">
        <v>8687939.3291293681</v>
      </c>
      <c r="F107">
        <v>20</v>
      </c>
      <c r="G107">
        <v>2592593</v>
      </c>
      <c r="H107">
        <v>65</v>
      </c>
      <c r="I107">
        <v>10287058</v>
      </c>
      <c r="J107">
        <v>3</v>
      </c>
      <c r="K107">
        <v>993474.32912936807</v>
      </c>
    </row>
    <row r="108" spans="1:11" x14ac:dyDescent="0.25">
      <c r="A108">
        <v>107</v>
      </c>
      <c r="B108" t="s">
        <v>223</v>
      </c>
      <c r="C108" t="s">
        <v>224</v>
      </c>
      <c r="D108">
        <v>9</v>
      </c>
      <c r="E108">
        <v>4562119.75</v>
      </c>
      <c r="F108">
        <v>0</v>
      </c>
      <c r="G108">
        <v>0</v>
      </c>
      <c r="H108">
        <v>0</v>
      </c>
      <c r="I108">
        <v>0</v>
      </c>
      <c r="J108">
        <v>9</v>
      </c>
      <c r="K108">
        <v>4562119.75</v>
      </c>
    </row>
    <row r="109" spans="1:11" x14ac:dyDescent="0.25">
      <c r="A109">
        <v>108</v>
      </c>
      <c r="B109" t="s">
        <v>225</v>
      </c>
      <c r="C109" t="s">
        <v>226</v>
      </c>
      <c r="D109">
        <v>331</v>
      </c>
      <c r="E109">
        <v>85783844.850046858</v>
      </c>
      <c r="F109">
        <v>2</v>
      </c>
      <c r="G109">
        <v>0</v>
      </c>
      <c r="H109">
        <v>1</v>
      </c>
      <c r="I109">
        <v>231481</v>
      </c>
      <c r="J109">
        <v>332</v>
      </c>
      <c r="K109">
        <v>85552363.850046858</v>
      </c>
    </row>
    <row r="110" spans="1:11" x14ac:dyDescent="0.25">
      <c r="A110">
        <v>109</v>
      </c>
      <c r="B110" t="s">
        <v>227</v>
      </c>
      <c r="C110" t="s">
        <v>228</v>
      </c>
      <c r="D110">
        <v>372</v>
      </c>
      <c r="E110">
        <v>139352643.1661891</v>
      </c>
      <c r="F110">
        <v>25</v>
      </c>
      <c r="G110">
        <v>5785185</v>
      </c>
      <c r="H110">
        <v>14</v>
      </c>
      <c r="I110">
        <v>9500001</v>
      </c>
      <c r="J110">
        <v>383</v>
      </c>
      <c r="K110">
        <v>135637827.1661891</v>
      </c>
    </row>
    <row r="111" spans="1:11" x14ac:dyDescent="0.25">
      <c r="A111">
        <v>110</v>
      </c>
      <c r="B111" t="s">
        <v>229</v>
      </c>
      <c r="C111" t="s">
        <v>230</v>
      </c>
      <c r="D111">
        <v>42</v>
      </c>
      <c r="E111">
        <v>3087584.8936170209</v>
      </c>
      <c r="F111">
        <v>0</v>
      </c>
      <c r="G111">
        <v>0</v>
      </c>
      <c r="H111">
        <v>0</v>
      </c>
      <c r="I111">
        <v>0</v>
      </c>
      <c r="J111">
        <v>42</v>
      </c>
      <c r="K111">
        <v>3087584.8936170209</v>
      </c>
    </row>
    <row r="112" spans="1:11" x14ac:dyDescent="0.25">
      <c r="A112">
        <v>111</v>
      </c>
      <c r="B112" t="s">
        <v>231</v>
      </c>
      <c r="C112" t="s">
        <v>232</v>
      </c>
      <c r="D112">
        <v>104</v>
      </c>
      <c r="E112">
        <v>42075666.259079903</v>
      </c>
      <c r="F112">
        <v>5</v>
      </c>
      <c r="G112">
        <v>4157407</v>
      </c>
      <c r="H112">
        <v>3</v>
      </c>
      <c r="I112">
        <v>1749999</v>
      </c>
      <c r="J112">
        <v>106</v>
      </c>
      <c r="K112">
        <v>44483074.259079903</v>
      </c>
    </row>
    <row r="113" spans="1:11" x14ac:dyDescent="0.25">
      <c r="A113">
        <v>112</v>
      </c>
      <c r="B113" t="s">
        <v>233</v>
      </c>
      <c r="C113" t="s">
        <v>234</v>
      </c>
      <c r="D113">
        <v>957</v>
      </c>
      <c r="E113">
        <v>362826244.39026397</v>
      </c>
      <c r="F113">
        <v>7</v>
      </c>
      <c r="G113">
        <v>7893519</v>
      </c>
      <c r="H113">
        <v>14</v>
      </c>
      <c r="I113">
        <v>31379629</v>
      </c>
      <c r="J113">
        <v>950</v>
      </c>
      <c r="K113">
        <v>339340134.39026397</v>
      </c>
    </row>
    <row r="114" spans="1:11" x14ac:dyDescent="0.25">
      <c r="A114">
        <v>113</v>
      </c>
      <c r="B114" t="s">
        <v>235</v>
      </c>
      <c r="C114" t="s">
        <v>236</v>
      </c>
      <c r="D114">
        <v>34</v>
      </c>
      <c r="E114">
        <v>13674082.620689649</v>
      </c>
      <c r="F114">
        <v>1</v>
      </c>
      <c r="G114">
        <v>1097222</v>
      </c>
      <c r="H114">
        <v>1</v>
      </c>
      <c r="I114">
        <v>1527778</v>
      </c>
      <c r="J114">
        <v>34</v>
      </c>
      <c r="K114">
        <v>13243526.620689649</v>
      </c>
    </row>
    <row r="115" spans="1:11" x14ac:dyDescent="0.25">
      <c r="A115">
        <v>114</v>
      </c>
      <c r="B115" t="s">
        <v>237</v>
      </c>
      <c r="C115" t="s">
        <v>238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 x14ac:dyDescent="0.25">
      <c r="A116">
        <v>115</v>
      </c>
      <c r="B116" t="s">
        <v>239</v>
      </c>
      <c r="C116" t="s">
        <v>240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 x14ac:dyDescent="0.25">
      <c r="A117">
        <v>116</v>
      </c>
      <c r="B117" t="s">
        <v>241</v>
      </c>
      <c r="C117" t="s">
        <v>242</v>
      </c>
      <c r="D117">
        <v>1</v>
      </c>
      <c r="E117">
        <v>2400000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2400000</v>
      </c>
    </row>
    <row r="118" spans="1:11" x14ac:dyDescent="0.25">
      <c r="A118">
        <v>117</v>
      </c>
      <c r="B118" t="s">
        <v>243</v>
      </c>
      <c r="C118" t="s">
        <v>244</v>
      </c>
      <c r="D118">
        <v>1</v>
      </c>
      <c r="E118">
        <v>2200000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2200000</v>
      </c>
    </row>
    <row r="119" spans="1:11" x14ac:dyDescent="0.25">
      <c r="A119">
        <v>118</v>
      </c>
      <c r="B119" t="s">
        <v>245</v>
      </c>
      <c r="C119" t="s">
        <v>246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 x14ac:dyDescent="0.25">
      <c r="A120">
        <v>119</v>
      </c>
      <c r="B120" t="s">
        <v>247</v>
      </c>
      <c r="C120" t="s">
        <v>248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</row>
    <row r="121" spans="1:11" x14ac:dyDescent="0.25">
      <c r="A121">
        <v>120</v>
      </c>
      <c r="B121" t="s">
        <v>249</v>
      </c>
      <c r="C121" t="s">
        <v>250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 x14ac:dyDescent="0.25">
      <c r="A122">
        <v>121</v>
      </c>
      <c r="B122" t="s">
        <v>251</v>
      </c>
      <c r="C122" t="s">
        <v>252</v>
      </c>
      <c r="D122">
        <v>6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6</v>
      </c>
      <c r="K122">
        <v>0</v>
      </c>
    </row>
    <row r="123" spans="1:11" x14ac:dyDescent="0.25">
      <c r="A123">
        <v>122</v>
      </c>
      <c r="B123" t="s">
        <v>253</v>
      </c>
      <c r="C123" t="s">
        <v>254</v>
      </c>
      <c r="D123">
        <v>6</v>
      </c>
      <c r="E123">
        <v>19107793.616306961</v>
      </c>
      <c r="F123">
        <v>0</v>
      </c>
      <c r="G123">
        <v>0</v>
      </c>
      <c r="H123">
        <v>30</v>
      </c>
      <c r="I123">
        <v>8611110</v>
      </c>
      <c r="J123">
        <v>0</v>
      </c>
      <c r="K123">
        <v>10496683.616306961</v>
      </c>
    </row>
    <row r="124" spans="1:11" x14ac:dyDescent="0.25">
      <c r="A124">
        <v>123</v>
      </c>
      <c r="B124" t="s">
        <v>255</v>
      </c>
      <c r="C124" t="s">
        <v>256</v>
      </c>
      <c r="D124">
        <v>41</v>
      </c>
      <c r="E124">
        <v>23422515.84722222</v>
      </c>
      <c r="F124">
        <v>0</v>
      </c>
      <c r="G124">
        <v>0</v>
      </c>
      <c r="H124">
        <v>0</v>
      </c>
      <c r="I124">
        <v>0</v>
      </c>
      <c r="J124">
        <v>41</v>
      </c>
      <c r="K124">
        <v>23422515.84722222</v>
      </c>
    </row>
    <row r="125" spans="1:11" x14ac:dyDescent="0.25">
      <c r="A125">
        <v>124</v>
      </c>
      <c r="B125" t="s">
        <v>257</v>
      </c>
      <c r="C125" t="s">
        <v>258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 x14ac:dyDescent="0.25">
      <c r="A126">
        <v>125</v>
      </c>
      <c r="B126" t="s">
        <v>259</v>
      </c>
      <c r="C126" t="s">
        <v>260</v>
      </c>
      <c r="D126">
        <v>693</v>
      </c>
      <c r="E126">
        <v>430465143.2321918</v>
      </c>
      <c r="F126">
        <v>7</v>
      </c>
      <c r="G126">
        <v>3675926</v>
      </c>
      <c r="H126">
        <v>51</v>
      </c>
      <c r="I126">
        <v>32916670</v>
      </c>
      <c r="J126">
        <v>649</v>
      </c>
      <c r="K126">
        <v>401224399.2321918</v>
      </c>
    </row>
    <row r="127" spans="1:11" x14ac:dyDescent="0.25">
      <c r="A127">
        <v>126</v>
      </c>
      <c r="B127" t="s">
        <v>261</v>
      </c>
      <c r="C127" t="s">
        <v>262</v>
      </c>
      <c r="D127">
        <v>6</v>
      </c>
      <c r="E127">
        <v>2225742.1428571432</v>
      </c>
      <c r="F127">
        <v>0</v>
      </c>
      <c r="G127">
        <v>0</v>
      </c>
      <c r="H127">
        <v>0</v>
      </c>
      <c r="I127">
        <v>0</v>
      </c>
      <c r="J127">
        <v>6</v>
      </c>
      <c r="K127">
        <v>2225742.1428571432</v>
      </c>
    </row>
    <row r="128" spans="1:11" x14ac:dyDescent="0.25">
      <c r="A128">
        <v>127</v>
      </c>
      <c r="B128" t="s">
        <v>263</v>
      </c>
      <c r="C128" t="s">
        <v>264</v>
      </c>
      <c r="D128">
        <v>11</v>
      </c>
      <c r="E128">
        <v>10694447.40909091</v>
      </c>
      <c r="F128">
        <v>0</v>
      </c>
      <c r="G128">
        <v>0</v>
      </c>
      <c r="H128">
        <v>0</v>
      </c>
      <c r="I128">
        <v>0</v>
      </c>
      <c r="J128">
        <v>11</v>
      </c>
      <c r="K128">
        <v>10694447.40909091</v>
      </c>
    </row>
    <row r="129" spans="1:11" x14ac:dyDescent="0.25">
      <c r="A129">
        <v>128</v>
      </c>
      <c r="B129" t="s">
        <v>265</v>
      </c>
      <c r="C129" t="s">
        <v>266</v>
      </c>
      <c r="D129">
        <v>18</v>
      </c>
      <c r="E129">
        <v>37463253.75</v>
      </c>
      <c r="F129">
        <v>0</v>
      </c>
      <c r="G129">
        <v>0</v>
      </c>
      <c r="H129">
        <v>0</v>
      </c>
      <c r="I129">
        <v>0</v>
      </c>
      <c r="J129">
        <v>18</v>
      </c>
      <c r="K129">
        <v>37463253.75</v>
      </c>
    </row>
    <row r="130" spans="1:11" x14ac:dyDescent="0.25">
      <c r="A130">
        <v>129</v>
      </c>
      <c r="B130" t="s">
        <v>267</v>
      </c>
      <c r="C130" t="s">
        <v>268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1:11" x14ac:dyDescent="0.25">
      <c r="A131">
        <v>130</v>
      </c>
      <c r="B131" t="s">
        <v>269</v>
      </c>
      <c r="C131" t="s">
        <v>270</v>
      </c>
      <c r="D131">
        <v>243</v>
      </c>
      <c r="E131">
        <v>143056737.5194805</v>
      </c>
      <c r="F131">
        <v>6</v>
      </c>
      <c r="G131">
        <v>4999998</v>
      </c>
      <c r="H131">
        <v>1</v>
      </c>
      <c r="I131">
        <v>1620370</v>
      </c>
      <c r="J131">
        <v>248</v>
      </c>
      <c r="K131">
        <v>146436365.5194805</v>
      </c>
    </row>
    <row r="132" spans="1:11" x14ac:dyDescent="0.25">
      <c r="A132">
        <v>131</v>
      </c>
      <c r="B132" t="s">
        <v>271</v>
      </c>
      <c r="C132" t="s">
        <v>272</v>
      </c>
      <c r="D132">
        <v>127</v>
      </c>
      <c r="E132">
        <v>23116139.7489301</v>
      </c>
      <c r="F132">
        <v>6</v>
      </c>
      <c r="G132">
        <v>5231478</v>
      </c>
      <c r="H132">
        <v>0</v>
      </c>
      <c r="I132">
        <v>0</v>
      </c>
      <c r="J132">
        <v>133</v>
      </c>
      <c r="K132">
        <v>28347617.7489301</v>
      </c>
    </row>
    <row r="133" spans="1:11" x14ac:dyDescent="0.25">
      <c r="A133">
        <v>132</v>
      </c>
      <c r="B133" t="s">
        <v>273</v>
      </c>
      <c r="C133" t="s">
        <v>274</v>
      </c>
      <c r="D133">
        <v>391</v>
      </c>
      <c r="E133">
        <v>99111232.769411772</v>
      </c>
      <c r="F133">
        <v>0</v>
      </c>
      <c r="G133">
        <v>0</v>
      </c>
      <c r="H133">
        <v>18</v>
      </c>
      <c r="I133">
        <v>16240743</v>
      </c>
      <c r="J133">
        <v>373</v>
      </c>
      <c r="K133">
        <v>82870489.769411772</v>
      </c>
    </row>
    <row r="134" spans="1:11" x14ac:dyDescent="0.25">
      <c r="A134">
        <v>133</v>
      </c>
      <c r="B134" t="s">
        <v>275</v>
      </c>
      <c r="C134" t="s">
        <v>276</v>
      </c>
      <c r="D134">
        <v>142</v>
      </c>
      <c r="E134">
        <v>38565945.084337354</v>
      </c>
      <c r="F134">
        <v>0</v>
      </c>
      <c r="G134">
        <v>0</v>
      </c>
      <c r="H134">
        <v>15</v>
      </c>
      <c r="I134">
        <v>3888889</v>
      </c>
      <c r="J134">
        <v>127</v>
      </c>
      <c r="K134">
        <v>34677056.084337354</v>
      </c>
    </row>
    <row r="135" spans="1:11" x14ac:dyDescent="0.25">
      <c r="A135">
        <v>134</v>
      </c>
      <c r="B135" t="s">
        <v>277</v>
      </c>
      <c r="C135" t="s">
        <v>278</v>
      </c>
      <c r="D135">
        <v>8</v>
      </c>
      <c r="E135">
        <v>1380640.5714285709</v>
      </c>
      <c r="F135">
        <v>0</v>
      </c>
      <c r="G135">
        <v>0</v>
      </c>
      <c r="H135">
        <v>0</v>
      </c>
      <c r="I135">
        <v>0</v>
      </c>
      <c r="J135">
        <v>8</v>
      </c>
      <c r="K135">
        <v>1380640.5714285709</v>
      </c>
    </row>
    <row r="136" spans="1:11" x14ac:dyDescent="0.25">
      <c r="A136">
        <v>135</v>
      </c>
      <c r="B136" t="s">
        <v>279</v>
      </c>
      <c r="C136" t="s">
        <v>280</v>
      </c>
      <c r="D136">
        <v>38</v>
      </c>
      <c r="E136">
        <v>4263404.3684210526</v>
      </c>
      <c r="F136">
        <v>0</v>
      </c>
      <c r="G136">
        <v>0</v>
      </c>
      <c r="H136">
        <v>5</v>
      </c>
      <c r="I136">
        <v>1333334</v>
      </c>
      <c r="J136">
        <v>33</v>
      </c>
      <c r="K136">
        <v>2930070.368421053</v>
      </c>
    </row>
    <row r="137" spans="1:11" x14ac:dyDescent="0.25">
      <c r="A137">
        <v>136</v>
      </c>
      <c r="B137" t="s">
        <v>281</v>
      </c>
      <c r="C137" t="s">
        <v>282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 x14ac:dyDescent="0.25">
      <c r="A138">
        <v>137</v>
      </c>
      <c r="B138" t="s">
        <v>283</v>
      </c>
      <c r="C138" t="s">
        <v>284</v>
      </c>
      <c r="D138">
        <v>24</v>
      </c>
      <c r="E138">
        <v>20007749.860465121</v>
      </c>
      <c r="F138">
        <v>0</v>
      </c>
      <c r="G138">
        <v>0</v>
      </c>
      <c r="H138">
        <v>0</v>
      </c>
      <c r="I138">
        <v>0</v>
      </c>
      <c r="J138">
        <v>24</v>
      </c>
      <c r="K138">
        <v>20007749.860465121</v>
      </c>
    </row>
    <row r="139" spans="1:11" x14ac:dyDescent="0.25">
      <c r="A139">
        <v>138</v>
      </c>
      <c r="B139" t="s">
        <v>285</v>
      </c>
      <c r="C139" t="s">
        <v>286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</row>
    <row r="140" spans="1:11" x14ac:dyDescent="0.25">
      <c r="A140">
        <v>139</v>
      </c>
      <c r="B140" t="s">
        <v>287</v>
      </c>
      <c r="C140" t="s">
        <v>288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1" x14ac:dyDescent="0.25">
      <c r="A141">
        <v>140</v>
      </c>
      <c r="B141" t="s">
        <v>289</v>
      </c>
      <c r="C141" t="s">
        <v>290</v>
      </c>
      <c r="D141">
        <v>7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7</v>
      </c>
      <c r="K141">
        <v>0</v>
      </c>
    </row>
    <row r="142" spans="1:11" x14ac:dyDescent="0.25">
      <c r="A142">
        <v>141</v>
      </c>
      <c r="B142" t="s">
        <v>291</v>
      </c>
      <c r="C142" t="s">
        <v>292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 x14ac:dyDescent="0.25">
      <c r="A143">
        <v>142</v>
      </c>
      <c r="B143" t="s">
        <v>293</v>
      </c>
      <c r="C143" t="s">
        <v>294</v>
      </c>
      <c r="D143">
        <v>95</v>
      </c>
      <c r="E143">
        <v>17680168.115942031</v>
      </c>
      <c r="F143">
        <v>0</v>
      </c>
      <c r="G143">
        <v>0</v>
      </c>
      <c r="H143">
        <v>8</v>
      </c>
      <c r="I143">
        <v>3710000</v>
      </c>
      <c r="J143">
        <v>87</v>
      </c>
      <c r="K143">
        <v>13970168.115942029</v>
      </c>
    </row>
    <row r="144" spans="1:11" x14ac:dyDescent="0.25">
      <c r="A144">
        <v>143</v>
      </c>
      <c r="B144" t="s">
        <v>295</v>
      </c>
      <c r="C144" t="s">
        <v>296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 x14ac:dyDescent="0.25">
      <c r="A145">
        <v>144</v>
      </c>
      <c r="B145" t="s">
        <v>297</v>
      </c>
      <c r="C145" t="s">
        <v>298</v>
      </c>
      <c r="D145">
        <v>46</v>
      </c>
      <c r="E145">
        <v>2972593.1515151509</v>
      </c>
      <c r="F145">
        <v>0</v>
      </c>
      <c r="G145">
        <v>0</v>
      </c>
      <c r="H145">
        <v>0</v>
      </c>
      <c r="I145">
        <v>0</v>
      </c>
      <c r="J145">
        <v>46</v>
      </c>
      <c r="K145">
        <v>2972593.1515151509</v>
      </c>
    </row>
    <row r="146" spans="1:11" x14ac:dyDescent="0.25">
      <c r="A146">
        <v>145</v>
      </c>
      <c r="B146" t="s">
        <v>299</v>
      </c>
      <c r="C146" t="s">
        <v>300</v>
      </c>
      <c r="D146">
        <v>3149.6120000000001</v>
      </c>
      <c r="E146">
        <v>991630822.48000002</v>
      </c>
      <c r="F146">
        <v>204</v>
      </c>
      <c r="G146">
        <v>122829510</v>
      </c>
      <c r="H146">
        <v>87</v>
      </c>
      <c r="I146">
        <v>79587029</v>
      </c>
      <c r="J146">
        <v>3266.6120000000001</v>
      </c>
      <c r="K146">
        <v>1034873303.48</v>
      </c>
    </row>
    <row r="147" spans="1:11" x14ac:dyDescent="0.25">
      <c r="A147" t="s">
        <v>301</v>
      </c>
      <c r="D147">
        <v>25937.612000000001</v>
      </c>
      <c r="E147">
        <v>24632572650.297779</v>
      </c>
      <c r="F147">
        <v>3392</v>
      </c>
      <c r="G147">
        <v>2575353744.5999999</v>
      </c>
      <c r="H147">
        <v>1699</v>
      </c>
      <c r="I147">
        <v>2748749325</v>
      </c>
      <c r="J147">
        <v>27661.612000000001</v>
      </c>
      <c r="K147">
        <v>24570223365.897781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47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t="s">
        <v>11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5">
      <c r="A3">
        <v>2</v>
      </c>
      <c r="B3" t="s">
        <v>13</v>
      </c>
      <c r="C3" t="s">
        <v>14</v>
      </c>
      <c r="D3">
        <v>11</v>
      </c>
      <c r="E3">
        <v>82164061</v>
      </c>
      <c r="F3">
        <v>0</v>
      </c>
      <c r="G3">
        <v>0</v>
      </c>
      <c r="H3">
        <v>0</v>
      </c>
      <c r="I3">
        <v>0</v>
      </c>
      <c r="J3">
        <v>11</v>
      </c>
      <c r="K3">
        <v>82164061</v>
      </c>
    </row>
    <row r="4" spans="1:11" x14ac:dyDescent="0.25">
      <c r="A4">
        <v>3</v>
      </c>
      <c r="B4" t="s">
        <v>15</v>
      </c>
      <c r="C4" t="s">
        <v>16</v>
      </c>
      <c r="D4">
        <v>278</v>
      </c>
      <c r="E4">
        <v>3022740327.201292</v>
      </c>
      <c r="F4">
        <v>33</v>
      </c>
      <c r="G4">
        <v>389259260</v>
      </c>
      <c r="H4">
        <v>6</v>
      </c>
      <c r="I4">
        <v>109490742</v>
      </c>
      <c r="J4">
        <v>305</v>
      </c>
      <c r="K4">
        <v>3302508845.201292</v>
      </c>
    </row>
    <row r="5" spans="1:11" x14ac:dyDescent="0.25">
      <c r="A5">
        <v>4</v>
      </c>
      <c r="B5" t="s">
        <v>17</v>
      </c>
      <c r="C5" t="s">
        <v>18</v>
      </c>
      <c r="D5">
        <v>1</v>
      </c>
      <c r="E5">
        <v>29283636</v>
      </c>
      <c r="F5">
        <v>0</v>
      </c>
      <c r="G5">
        <v>0</v>
      </c>
      <c r="H5">
        <v>0</v>
      </c>
      <c r="I5">
        <v>0</v>
      </c>
      <c r="J5">
        <v>1</v>
      </c>
      <c r="K5">
        <v>29283636</v>
      </c>
    </row>
    <row r="6" spans="1:11" x14ac:dyDescent="0.25">
      <c r="A6">
        <v>5</v>
      </c>
      <c r="B6" t="s">
        <v>19</v>
      </c>
      <c r="C6" t="s">
        <v>20</v>
      </c>
      <c r="D6">
        <v>5</v>
      </c>
      <c r="E6">
        <v>53871736</v>
      </c>
      <c r="F6">
        <v>2</v>
      </c>
      <c r="G6">
        <v>22555556</v>
      </c>
      <c r="H6">
        <v>1</v>
      </c>
      <c r="I6">
        <v>12824074</v>
      </c>
      <c r="J6">
        <v>6</v>
      </c>
      <c r="K6">
        <v>63603218</v>
      </c>
    </row>
    <row r="7" spans="1:11" x14ac:dyDescent="0.25">
      <c r="A7">
        <v>6</v>
      </c>
      <c r="B7" t="s">
        <v>21</v>
      </c>
      <c r="C7" t="s">
        <v>22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5">
      <c r="A8">
        <v>7</v>
      </c>
      <c r="B8" t="s">
        <v>23</v>
      </c>
      <c r="C8" t="s">
        <v>24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5">
      <c r="A9">
        <v>8</v>
      </c>
      <c r="B9" t="s">
        <v>25</v>
      </c>
      <c r="C9" t="s">
        <v>26</v>
      </c>
      <c r="D9">
        <v>14</v>
      </c>
      <c r="E9">
        <v>53164451.450000003</v>
      </c>
      <c r="F9">
        <v>0</v>
      </c>
      <c r="G9">
        <v>0</v>
      </c>
      <c r="H9">
        <v>0</v>
      </c>
      <c r="I9">
        <v>0</v>
      </c>
      <c r="J9">
        <v>14</v>
      </c>
      <c r="K9">
        <v>53164451.450000003</v>
      </c>
    </row>
    <row r="10" spans="1:11" x14ac:dyDescent="0.25">
      <c r="A10">
        <v>9</v>
      </c>
      <c r="B10" t="s">
        <v>27</v>
      </c>
      <c r="C10" t="s">
        <v>28</v>
      </c>
      <c r="D10">
        <v>487</v>
      </c>
      <c r="E10">
        <v>1400929353.5951941</v>
      </c>
      <c r="F10">
        <v>34</v>
      </c>
      <c r="G10">
        <v>113805558</v>
      </c>
      <c r="H10">
        <v>2</v>
      </c>
      <c r="I10">
        <v>0</v>
      </c>
      <c r="J10">
        <v>519</v>
      </c>
      <c r="K10">
        <v>1514734911.5951941</v>
      </c>
    </row>
    <row r="11" spans="1:11" x14ac:dyDescent="0.25">
      <c r="A11">
        <v>10</v>
      </c>
      <c r="B11" t="s">
        <v>29</v>
      </c>
      <c r="C11" t="s">
        <v>30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5">
      <c r="A12">
        <v>11</v>
      </c>
      <c r="B12" t="s">
        <v>31</v>
      </c>
      <c r="C12" t="s">
        <v>32</v>
      </c>
      <c r="D12">
        <v>445</v>
      </c>
      <c r="E12">
        <v>5439092563.2191219</v>
      </c>
      <c r="F12">
        <v>22</v>
      </c>
      <c r="G12">
        <v>302913881</v>
      </c>
      <c r="H12">
        <v>7</v>
      </c>
      <c r="I12">
        <v>94648148</v>
      </c>
      <c r="J12">
        <v>460</v>
      </c>
      <c r="K12">
        <v>5647358296.2191219</v>
      </c>
    </row>
    <row r="13" spans="1:11" x14ac:dyDescent="0.25">
      <c r="A13">
        <v>12</v>
      </c>
      <c r="B13" t="s">
        <v>33</v>
      </c>
      <c r="C13" t="s">
        <v>34</v>
      </c>
      <c r="D13">
        <v>46</v>
      </c>
      <c r="E13">
        <v>861103998.76923084</v>
      </c>
      <c r="F13">
        <v>0</v>
      </c>
      <c r="G13">
        <v>0</v>
      </c>
      <c r="H13">
        <v>0</v>
      </c>
      <c r="I13">
        <v>0</v>
      </c>
      <c r="J13">
        <v>46</v>
      </c>
      <c r="K13">
        <v>861103998.76923084</v>
      </c>
    </row>
    <row r="14" spans="1:11" x14ac:dyDescent="0.25">
      <c r="A14">
        <v>13</v>
      </c>
      <c r="B14" t="s">
        <v>35</v>
      </c>
      <c r="C14" t="s">
        <v>36</v>
      </c>
      <c r="D14">
        <v>11</v>
      </c>
      <c r="E14">
        <v>308767232.28947371</v>
      </c>
      <c r="F14">
        <v>0</v>
      </c>
      <c r="G14">
        <v>0</v>
      </c>
      <c r="H14">
        <v>0</v>
      </c>
      <c r="I14">
        <v>0</v>
      </c>
      <c r="J14">
        <v>11</v>
      </c>
      <c r="K14">
        <v>308767232.28947371</v>
      </c>
    </row>
    <row r="15" spans="1:11" x14ac:dyDescent="0.25">
      <c r="A15">
        <v>14</v>
      </c>
      <c r="B15" t="s">
        <v>37</v>
      </c>
      <c r="C15" t="s">
        <v>38</v>
      </c>
      <c r="D15">
        <v>20</v>
      </c>
      <c r="E15">
        <v>257428171.93430659</v>
      </c>
      <c r="F15">
        <v>0</v>
      </c>
      <c r="G15">
        <v>0</v>
      </c>
      <c r="H15">
        <v>4</v>
      </c>
      <c r="I15">
        <v>45000000</v>
      </c>
      <c r="J15">
        <v>16</v>
      </c>
      <c r="K15">
        <v>212428171.93430659</v>
      </c>
    </row>
    <row r="16" spans="1:11" x14ac:dyDescent="0.25">
      <c r="A16">
        <v>15</v>
      </c>
      <c r="B16" t="s">
        <v>39</v>
      </c>
      <c r="C16" t="s">
        <v>40</v>
      </c>
      <c r="D16">
        <v>0</v>
      </c>
      <c r="E16">
        <v>74672222.104477614</v>
      </c>
      <c r="F16">
        <v>0</v>
      </c>
      <c r="G16">
        <v>0</v>
      </c>
      <c r="H16">
        <v>4</v>
      </c>
      <c r="I16">
        <v>44500000</v>
      </c>
      <c r="J16">
        <v>0</v>
      </c>
      <c r="K16">
        <v>30172222.10447761</v>
      </c>
    </row>
    <row r="17" spans="1:11" x14ac:dyDescent="0.25">
      <c r="A17">
        <v>16</v>
      </c>
      <c r="B17" t="s">
        <v>41</v>
      </c>
      <c r="C17" t="s">
        <v>42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>
        <v>17</v>
      </c>
      <c r="B18" t="s">
        <v>43</v>
      </c>
      <c r="C18" t="s">
        <v>44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>
        <v>18</v>
      </c>
      <c r="B19" t="s">
        <v>45</v>
      </c>
      <c r="C19" t="s">
        <v>46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25">
      <c r="A20">
        <v>19</v>
      </c>
      <c r="B20" t="s">
        <v>47</v>
      </c>
      <c r="C20" t="s">
        <v>48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5">
      <c r="A21">
        <v>20</v>
      </c>
      <c r="B21" t="s">
        <v>49</v>
      </c>
      <c r="C21" t="s">
        <v>50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25">
      <c r="A22">
        <v>21</v>
      </c>
      <c r="B22" t="s">
        <v>51</v>
      </c>
      <c r="C22" t="s">
        <v>52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25">
      <c r="A23">
        <v>22</v>
      </c>
      <c r="B23" t="s">
        <v>53</v>
      </c>
      <c r="C23" t="s">
        <v>54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25">
      <c r="A24">
        <v>23</v>
      </c>
      <c r="B24" t="s">
        <v>55</v>
      </c>
      <c r="C24" t="s">
        <v>56</v>
      </c>
      <c r="D24">
        <v>0</v>
      </c>
      <c r="E24">
        <v>0</v>
      </c>
      <c r="F24">
        <v>0</v>
      </c>
      <c r="G24">
        <v>0</v>
      </c>
      <c r="H24">
        <v>61</v>
      </c>
      <c r="I24">
        <v>636483334</v>
      </c>
      <c r="J24">
        <v>0</v>
      </c>
      <c r="K24">
        <v>0</v>
      </c>
    </row>
    <row r="25" spans="1:11" x14ac:dyDescent="0.25">
      <c r="A25">
        <v>24</v>
      </c>
      <c r="B25" t="s">
        <v>57</v>
      </c>
      <c r="C25" t="s">
        <v>58</v>
      </c>
      <c r="D25">
        <v>219</v>
      </c>
      <c r="E25">
        <v>1749876098.361217</v>
      </c>
      <c r="F25">
        <v>7</v>
      </c>
      <c r="G25">
        <v>94166667</v>
      </c>
      <c r="H25">
        <v>1</v>
      </c>
      <c r="I25">
        <v>14620370</v>
      </c>
      <c r="J25">
        <v>225</v>
      </c>
      <c r="K25">
        <v>1829422395.361217</v>
      </c>
    </row>
    <row r="26" spans="1:11" x14ac:dyDescent="0.25">
      <c r="A26">
        <v>25</v>
      </c>
      <c r="B26" t="s">
        <v>59</v>
      </c>
      <c r="C26" t="s">
        <v>60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25">
      <c r="A27">
        <v>26</v>
      </c>
      <c r="B27" t="s">
        <v>61</v>
      </c>
      <c r="C27" t="s">
        <v>62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5">
      <c r="A28">
        <v>27</v>
      </c>
      <c r="B28" t="s">
        <v>63</v>
      </c>
      <c r="C28" t="s">
        <v>64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25">
      <c r="A29">
        <v>28</v>
      </c>
      <c r="B29" t="s">
        <v>65</v>
      </c>
      <c r="C29" t="s">
        <v>66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x14ac:dyDescent="0.25">
      <c r="A30">
        <v>29</v>
      </c>
      <c r="B30" t="s">
        <v>67</v>
      </c>
      <c r="C30" t="s">
        <v>68</v>
      </c>
      <c r="D30">
        <v>5</v>
      </c>
      <c r="E30">
        <v>57213777.307692319</v>
      </c>
      <c r="F30">
        <v>0</v>
      </c>
      <c r="G30">
        <v>0</v>
      </c>
      <c r="H30">
        <v>0</v>
      </c>
      <c r="I30">
        <v>0</v>
      </c>
      <c r="J30">
        <v>5</v>
      </c>
      <c r="K30">
        <v>57213777.307692319</v>
      </c>
    </row>
    <row r="31" spans="1:11" x14ac:dyDescent="0.25">
      <c r="A31">
        <v>30</v>
      </c>
      <c r="B31" t="s">
        <v>69</v>
      </c>
      <c r="C31" t="s">
        <v>70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25">
      <c r="A32">
        <v>31</v>
      </c>
      <c r="B32" t="s">
        <v>71</v>
      </c>
      <c r="C32" t="s">
        <v>72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25">
      <c r="A33">
        <v>32</v>
      </c>
      <c r="B33" t="s">
        <v>73</v>
      </c>
      <c r="C33" t="s">
        <v>74</v>
      </c>
      <c r="D33">
        <v>4</v>
      </c>
      <c r="E33">
        <v>24300672.5</v>
      </c>
      <c r="F33">
        <v>0</v>
      </c>
      <c r="G33">
        <v>0</v>
      </c>
      <c r="H33">
        <v>1</v>
      </c>
      <c r="I33">
        <v>3842592</v>
      </c>
      <c r="J33">
        <v>3</v>
      </c>
      <c r="K33">
        <v>20458080.5</v>
      </c>
    </row>
    <row r="34" spans="1:11" x14ac:dyDescent="0.25">
      <c r="A34">
        <v>33</v>
      </c>
      <c r="B34" t="s">
        <v>75</v>
      </c>
      <c r="C34" t="s">
        <v>76</v>
      </c>
      <c r="D34">
        <v>42</v>
      </c>
      <c r="E34">
        <v>76933985.183266938</v>
      </c>
      <c r="F34">
        <v>6</v>
      </c>
      <c r="G34">
        <v>11388888</v>
      </c>
      <c r="H34">
        <v>3</v>
      </c>
      <c r="I34">
        <v>5907408</v>
      </c>
      <c r="J34">
        <v>45</v>
      </c>
      <c r="K34">
        <v>82415465.183266938</v>
      </c>
    </row>
    <row r="35" spans="1:11" x14ac:dyDescent="0.25">
      <c r="A35">
        <v>34</v>
      </c>
      <c r="B35" t="s">
        <v>77</v>
      </c>
      <c r="C35" t="s">
        <v>78</v>
      </c>
      <c r="D35">
        <v>440</v>
      </c>
      <c r="E35">
        <v>938206034.55380154</v>
      </c>
      <c r="F35">
        <v>11</v>
      </c>
      <c r="G35">
        <v>31092593</v>
      </c>
      <c r="H35">
        <v>14</v>
      </c>
      <c r="I35">
        <v>34157409</v>
      </c>
      <c r="J35">
        <v>437</v>
      </c>
      <c r="K35">
        <v>935141218.55380154</v>
      </c>
    </row>
    <row r="36" spans="1:11" x14ac:dyDescent="0.25">
      <c r="A36">
        <v>35</v>
      </c>
      <c r="B36" t="s">
        <v>79</v>
      </c>
      <c r="C36" t="s">
        <v>80</v>
      </c>
      <c r="D36">
        <v>15</v>
      </c>
      <c r="E36">
        <v>36292245.021276593</v>
      </c>
      <c r="F36">
        <v>0</v>
      </c>
      <c r="G36">
        <v>0</v>
      </c>
      <c r="H36">
        <v>0</v>
      </c>
      <c r="I36">
        <v>0</v>
      </c>
      <c r="J36">
        <v>15</v>
      </c>
      <c r="K36">
        <v>36292245.021276593</v>
      </c>
    </row>
    <row r="37" spans="1:11" x14ac:dyDescent="0.25">
      <c r="A37">
        <v>36</v>
      </c>
      <c r="B37" t="s">
        <v>81</v>
      </c>
      <c r="C37" t="s">
        <v>82</v>
      </c>
      <c r="D37">
        <v>27</v>
      </c>
      <c r="E37">
        <v>198744051.1964286</v>
      </c>
      <c r="F37">
        <v>3</v>
      </c>
      <c r="G37">
        <v>11833333</v>
      </c>
      <c r="H37">
        <v>0</v>
      </c>
      <c r="I37">
        <v>0</v>
      </c>
      <c r="J37">
        <v>30</v>
      </c>
      <c r="K37">
        <v>210577384.1964286</v>
      </c>
    </row>
    <row r="38" spans="1:11" x14ac:dyDescent="0.25">
      <c r="A38">
        <v>37</v>
      </c>
      <c r="B38" t="s">
        <v>83</v>
      </c>
      <c r="C38" t="s">
        <v>84</v>
      </c>
      <c r="D38">
        <v>2</v>
      </c>
      <c r="E38">
        <v>16427273</v>
      </c>
      <c r="F38">
        <v>0</v>
      </c>
      <c r="G38">
        <v>0</v>
      </c>
      <c r="H38">
        <v>0</v>
      </c>
      <c r="I38">
        <v>0</v>
      </c>
      <c r="J38">
        <v>2</v>
      </c>
      <c r="K38">
        <v>16427273</v>
      </c>
    </row>
    <row r="39" spans="1:11" x14ac:dyDescent="0.25">
      <c r="A39">
        <v>38</v>
      </c>
      <c r="B39" t="s">
        <v>85</v>
      </c>
      <c r="C39" t="s">
        <v>86</v>
      </c>
      <c r="D39">
        <v>121</v>
      </c>
      <c r="E39">
        <v>340977660.38106239</v>
      </c>
      <c r="F39">
        <v>0</v>
      </c>
      <c r="G39">
        <v>0</v>
      </c>
      <c r="H39">
        <v>0</v>
      </c>
      <c r="I39">
        <v>0</v>
      </c>
      <c r="J39">
        <v>121</v>
      </c>
      <c r="K39">
        <v>340977660.38106239</v>
      </c>
    </row>
    <row r="40" spans="1:11" x14ac:dyDescent="0.25">
      <c r="A40">
        <v>39</v>
      </c>
      <c r="B40" t="s">
        <v>87</v>
      </c>
      <c r="C40" t="s">
        <v>88</v>
      </c>
      <c r="D40">
        <v>9</v>
      </c>
      <c r="E40">
        <v>48234342.777777784</v>
      </c>
      <c r="F40">
        <v>0</v>
      </c>
      <c r="G40">
        <v>0</v>
      </c>
      <c r="H40">
        <v>0</v>
      </c>
      <c r="I40">
        <v>0</v>
      </c>
      <c r="J40">
        <v>9</v>
      </c>
      <c r="K40">
        <v>48234342.777777784</v>
      </c>
    </row>
    <row r="41" spans="1:11" x14ac:dyDescent="0.25">
      <c r="A41">
        <v>40</v>
      </c>
      <c r="B41" t="s">
        <v>89</v>
      </c>
      <c r="C41" t="s">
        <v>90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25">
      <c r="A42">
        <v>41</v>
      </c>
      <c r="B42" t="s">
        <v>91</v>
      </c>
      <c r="C42" t="s">
        <v>92</v>
      </c>
      <c r="D42">
        <v>2059</v>
      </c>
      <c r="E42">
        <v>34161907</v>
      </c>
      <c r="F42">
        <v>54</v>
      </c>
      <c r="G42">
        <v>45787035</v>
      </c>
      <c r="H42">
        <v>79</v>
      </c>
      <c r="I42">
        <v>34175926</v>
      </c>
      <c r="J42">
        <v>2034</v>
      </c>
      <c r="K42">
        <v>45773016</v>
      </c>
    </row>
    <row r="43" spans="1:11" x14ac:dyDescent="0.25">
      <c r="A43">
        <v>42</v>
      </c>
      <c r="B43" t="s">
        <v>93</v>
      </c>
      <c r="C43" t="s">
        <v>94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25">
      <c r="A44">
        <v>43</v>
      </c>
      <c r="B44" t="s">
        <v>95</v>
      </c>
      <c r="C44" t="s">
        <v>96</v>
      </c>
      <c r="D44">
        <v>350</v>
      </c>
      <c r="E44">
        <v>796057574.42474437</v>
      </c>
      <c r="F44">
        <v>22</v>
      </c>
      <c r="G44">
        <v>990740</v>
      </c>
      <c r="H44">
        <v>7</v>
      </c>
      <c r="I44">
        <v>25370371</v>
      </c>
      <c r="J44">
        <v>365</v>
      </c>
      <c r="K44">
        <v>771677943.42474437</v>
      </c>
    </row>
    <row r="45" spans="1:11" x14ac:dyDescent="0.25">
      <c r="A45">
        <v>44</v>
      </c>
      <c r="B45" t="s">
        <v>97</v>
      </c>
      <c r="C45" t="s">
        <v>98</v>
      </c>
      <c r="D45">
        <v>90</v>
      </c>
      <c r="E45">
        <v>362336025.97297299</v>
      </c>
      <c r="F45">
        <v>0</v>
      </c>
      <c r="G45">
        <v>0</v>
      </c>
      <c r="H45">
        <v>3</v>
      </c>
      <c r="I45">
        <v>16324073</v>
      </c>
      <c r="J45">
        <v>87</v>
      </c>
      <c r="K45">
        <v>346011952.97297299</v>
      </c>
    </row>
    <row r="46" spans="1:11" x14ac:dyDescent="0.25">
      <c r="A46">
        <v>45</v>
      </c>
      <c r="B46" t="s">
        <v>99</v>
      </c>
      <c r="C46" t="s">
        <v>100</v>
      </c>
      <c r="D46">
        <v>229</v>
      </c>
      <c r="E46">
        <v>87908065.632571429</v>
      </c>
      <c r="F46">
        <v>1</v>
      </c>
      <c r="G46">
        <v>5925926</v>
      </c>
      <c r="H46">
        <v>4</v>
      </c>
      <c r="I46">
        <v>7814814</v>
      </c>
      <c r="J46">
        <v>226</v>
      </c>
      <c r="K46">
        <v>86019177.632571429</v>
      </c>
    </row>
    <row r="47" spans="1:11" x14ac:dyDescent="0.25">
      <c r="A47">
        <v>46</v>
      </c>
      <c r="B47" t="s">
        <v>101</v>
      </c>
      <c r="C47" t="s">
        <v>102</v>
      </c>
      <c r="D47">
        <v>133</v>
      </c>
      <c r="E47">
        <v>261673093.36567381</v>
      </c>
      <c r="F47">
        <v>3</v>
      </c>
      <c r="G47">
        <v>16250000.15</v>
      </c>
      <c r="H47">
        <v>0</v>
      </c>
      <c r="I47">
        <v>0</v>
      </c>
      <c r="J47">
        <v>136</v>
      </c>
      <c r="K47">
        <v>277923093.51567382</v>
      </c>
    </row>
    <row r="48" spans="1:11" x14ac:dyDescent="0.25">
      <c r="A48">
        <v>47</v>
      </c>
      <c r="B48" t="s">
        <v>103</v>
      </c>
      <c r="C48" t="s">
        <v>104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 x14ac:dyDescent="0.25">
      <c r="A49">
        <v>48</v>
      </c>
      <c r="B49" t="s">
        <v>105</v>
      </c>
      <c r="C49" t="s">
        <v>106</v>
      </c>
      <c r="D49">
        <v>35</v>
      </c>
      <c r="E49">
        <v>255120553.68224141</v>
      </c>
      <c r="F49">
        <v>10</v>
      </c>
      <c r="G49">
        <v>46222222</v>
      </c>
      <c r="H49">
        <v>7</v>
      </c>
      <c r="I49">
        <v>35787037</v>
      </c>
      <c r="J49">
        <v>38</v>
      </c>
      <c r="K49">
        <v>265555738.68224141</v>
      </c>
    </row>
    <row r="50" spans="1:11" x14ac:dyDescent="0.25">
      <c r="A50">
        <v>49</v>
      </c>
      <c r="B50" t="s">
        <v>107</v>
      </c>
      <c r="C50" t="s">
        <v>108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25">
      <c r="A51">
        <v>50</v>
      </c>
      <c r="B51" t="s">
        <v>109</v>
      </c>
      <c r="C51" t="s">
        <v>110</v>
      </c>
      <c r="D51">
        <v>5</v>
      </c>
      <c r="E51">
        <v>254228.19999999931</v>
      </c>
      <c r="F51">
        <v>0</v>
      </c>
      <c r="G51">
        <v>0</v>
      </c>
      <c r="H51">
        <v>0</v>
      </c>
      <c r="I51">
        <v>0</v>
      </c>
      <c r="J51">
        <v>5</v>
      </c>
      <c r="K51">
        <v>254228.19999999931</v>
      </c>
    </row>
    <row r="52" spans="1:11" x14ac:dyDescent="0.25">
      <c r="A52">
        <v>51</v>
      </c>
      <c r="B52" t="s">
        <v>111</v>
      </c>
      <c r="C52" t="s">
        <v>112</v>
      </c>
      <c r="D52">
        <v>15</v>
      </c>
      <c r="E52">
        <v>33567522.066938758</v>
      </c>
      <c r="F52">
        <v>0</v>
      </c>
      <c r="G52">
        <v>0</v>
      </c>
      <c r="H52">
        <v>0</v>
      </c>
      <c r="I52">
        <v>0</v>
      </c>
      <c r="J52">
        <v>15</v>
      </c>
      <c r="K52">
        <v>33567522.066938758</v>
      </c>
    </row>
    <row r="53" spans="1:11" x14ac:dyDescent="0.25">
      <c r="A53">
        <v>52</v>
      </c>
      <c r="B53" t="s">
        <v>113</v>
      </c>
      <c r="C53" t="s">
        <v>114</v>
      </c>
      <c r="D53">
        <v>3</v>
      </c>
      <c r="E53">
        <v>5580000</v>
      </c>
      <c r="F53">
        <v>0</v>
      </c>
      <c r="G53">
        <v>0</v>
      </c>
      <c r="H53">
        <v>0</v>
      </c>
      <c r="I53">
        <v>0</v>
      </c>
      <c r="J53">
        <v>3</v>
      </c>
      <c r="K53">
        <v>5580000</v>
      </c>
    </row>
    <row r="54" spans="1:11" x14ac:dyDescent="0.25">
      <c r="A54">
        <v>53</v>
      </c>
      <c r="B54" t="s">
        <v>115</v>
      </c>
      <c r="C54" t="s">
        <v>116</v>
      </c>
      <c r="D54">
        <v>1</v>
      </c>
      <c r="E54">
        <v>1480000</v>
      </c>
      <c r="F54">
        <v>0</v>
      </c>
      <c r="G54">
        <v>0</v>
      </c>
      <c r="H54">
        <v>0</v>
      </c>
      <c r="I54">
        <v>0</v>
      </c>
      <c r="J54">
        <v>1</v>
      </c>
      <c r="K54">
        <v>1480000</v>
      </c>
    </row>
    <row r="55" spans="1:11" x14ac:dyDescent="0.25">
      <c r="A55">
        <v>54</v>
      </c>
      <c r="B55" t="s">
        <v>117</v>
      </c>
      <c r="C55" t="s">
        <v>118</v>
      </c>
      <c r="D55">
        <v>86</v>
      </c>
      <c r="E55">
        <v>105598761.172702</v>
      </c>
      <c r="F55">
        <v>0</v>
      </c>
      <c r="G55">
        <v>0</v>
      </c>
      <c r="H55">
        <v>0</v>
      </c>
      <c r="I55">
        <v>0</v>
      </c>
      <c r="J55">
        <v>86</v>
      </c>
      <c r="K55">
        <v>105598761.172702</v>
      </c>
    </row>
    <row r="56" spans="1:11" x14ac:dyDescent="0.25">
      <c r="A56">
        <v>55</v>
      </c>
      <c r="B56" t="s">
        <v>119</v>
      </c>
      <c r="C56" t="s">
        <v>120</v>
      </c>
      <c r="D56">
        <v>38</v>
      </c>
      <c r="E56">
        <v>7187418.4915254228</v>
      </c>
      <c r="F56">
        <v>0</v>
      </c>
      <c r="G56">
        <v>0</v>
      </c>
      <c r="H56">
        <v>1</v>
      </c>
      <c r="I56">
        <v>1009259</v>
      </c>
      <c r="J56">
        <v>37</v>
      </c>
      <c r="K56">
        <v>6178159.4915254228</v>
      </c>
    </row>
    <row r="57" spans="1:11" x14ac:dyDescent="0.25">
      <c r="A57">
        <v>56</v>
      </c>
      <c r="B57" t="s">
        <v>121</v>
      </c>
      <c r="C57" t="s">
        <v>122</v>
      </c>
      <c r="D57">
        <v>6</v>
      </c>
      <c r="E57">
        <v>15840369.180769229</v>
      </c>
      <c r="F57">
        <v>0</v>
      </c>
      <c r="G57">
        <v>0</v>
      </c>
      <c r="H57">
        <v>0</v>
      </c>
      <c r="I57">
        <v>0</v>
      </c>
      <c r="J57">
        <v>6</v>
      </c>
      <c r="K57">
        <v>15840369.180769229</v>
      </c>
    </row>
    <row r="58" spans="1:11" x14ac:dyDescent="0.25">
      <c r="A58">
        <v>57</v>
      </c>
      <c r="B58" t="s">
        <v>123</v>
      </c>
      <c r="C58" t="s">
        <v>124</v>
      </c>
      <c r="D58">
        <v>2</v>
      </c>
      <c r="E58">
        <v>1829966.11</v>
      </c>
      <c r="F58">
        <v>0</v>
      </c>
      <c r="G58">
        <v>0</v>
      </c>
      <c r="H58">
        <v>0</v>
      </c>
      <c r="I58">
        <v>0</v>
      </c>
      <c r="J58">
        <v>2</v>
      </c>
      <c r="K58">
        <v>1829966.11</v>
      </c>
    </row>
    <row r="59" spans="1:11" x14ac:dyDescent="0.25">
      <c r="A59">
        <v>58</v>
      </c>
      <c r="B59" t="s">
        <v>125</v>
      </c>
      <c r="C59" t="s">
        <v>126</v>
      </c>
      <c r="D59">
        <v>1274</v>
      </c>
      <c r="E59">
        <v>95529958.365597606</v>
      </c>
      <c r="F59">
        <v>68</v>
      </c>
      <c r="G59">
        <v>15210191</v>
      </c>
      <c r="H59">
        <v>117</v>
      </c>
      <c r="I59">
        <v>37402779</v>
      </c>
      <c r="J59">
        <v>1225</v>
      </c>
      <c r="K59">
        <v>73337370.365597606</v>
      </c>
    </row>
    <row r="60" spans="1:11" x14ac:dyDescent="0.25">
      <c r="A60">
        <v>59</v>
      </c>
      <c r="B60" t="s">
        <v>127</v>
      </c>
      <c r="C60" t="s">
        <v>128</v>
      </c>
      <c r="D60">
        <v>182</v>
      </c>
      <c r="E60">
        <v>2656081</v>
      </c>
      <c r="F60">
        <v>10</v>
      </c>
      <c r="G60">
        <v>750000</v>
      </c>
      <c r="H60">
        <v>4</v>
      </c>
      <c r="I60">
        <v>453703</v>
      </c>
      <c r="J60">
        <v>188</v>
      </c>
      <c r="K60">
        <v>2952378</v>
      </c>
    </row>
    <row r="61" spans="1:11" x14ac:dyDescent="0.25">
      <c r="A61">
        <v>60</v>
      </c>
      <c r="B61" t="s">
        <v>129</v>
      </c>
      <c r="C61" t="s">
        <v>130</v>
      </c>
      <c r="D61">
        <v>74</v>
      </c>
      <c r="E61">
        <v>4941923</v>
      </c>
      <c r="F61">
        <v>2</v>
      </c>
      <c r="G61">
        <v>166666</v>
      </c>
      <c r="H61">
        <v>1</v>
      </c>
      <c r="I61">
        <v>203704</v>
      </c>
      <c r="J61">
        <v>75</v>
      </c>
      <c r="K61">
        <v>4904885</v>
      </c>
    </row>
    <row r="62" spans="1:11" x14ac:dyDescent="0.25">
      <c r="A62">
        <v>61</v>
      </c>
      <c r="B62" t="s">
        <v>131</v>
      </c>
      <c r="C62" t="s">
        <v>132</v>
      </c>
      <c r="D62">
        <v>1288</v>
      </c>
      <c r="E62">
        <v>78355519.878957927</v>
      </c>
      <c r="F62">
        <v>115</v>
      </c>
      <c r="G62">
        <v>4499630</v>
      </c>
      <c r="H62">
        <v>99</v>
      </c>
      <c r="I62">
        <v>27777779</v>
      </c>
      <c r="J62">
        <v>1304</v>
      </c>
      <c r="K62">
        <v>55077370.878957927</v>
      </c>
    </row>
    <row r="63" spans="1:11" x14ac:dyDescent="0.25">
      <c r="A63">
        <v>62</v>
      </c>
      <c r="B63" t="s">
        <v>133</v>
      </c>
      <c r="C63" t="s">
        <v>134</v>
      </c>
      <c r="D63">
        <v>937</v>
      </c>
      <c r="E63">
        <v>167064064.71158049</v>
      </c>
      <c r="F63">
        <v>0</v>
      </c>
      <c r="G63">
        <v>0</v>
      </c>
      <c r="H63">
        <v>11</v>
      </c>
      <c r="I63">
        <v>2398149</v>
      </c>
      <c r="J63">
        <v>926</v>
      </c>
      <c r="K63">
        <v>164665915.71158049</v>
      </c>
    </row>
    <row r="64" spans="1:11" x14ac:dyDescent="0.25">
      <c r="A64">
        <v>63</v>
      </c>
      <c r="B64" t="s">
        <v>135</v>
      </c>
      <c r="C64" t="s">
        <v>136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 x14ac:dyDescent="0.25">
      <c r="A65">
        <v>64</v>
      </c>
      <c r="B65" t="s">
        <v>137</v>
      </c>
      <c r="C65" t="s">
        <v>138</v>
      </c>
      <c r="D65">
        <v>22</v>
      </c>
      <c r="E65">
        <v>5355147.4511235952</v>
      </c>
      <c r="F65">
        <v>0</v>
      </c>
      <c r="G65">
        <v>0</v>
      </c>
      <c r="H65">
        <v>0</v>
      </c>
      <c r="I65">
        <v>0</v>
      </c>
      <c r="J65">
        <v>22</v>
      </c>
      <c r="K65">
        <v>5355147.4511235952</v>
      </c>
    </row>
    <row r="66" spans="1:11" x14ac:dyDescent="0.25">
      <c r="A66">
        <v>65</v>
      </c>
      <c r="B66" t="s">
        <v>139</v>
      </c>
      <c r="C66" t="s">
        <v>140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 x14ac:dyDescent="0.25">
      <c r="A67">
        <v>66</v>
      </c>
      <c r="B67" t="s">
        <v>141</v>
      </c>
      <c r="C67" t="s">
        <v>142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 x14ac:dyDescent="0.25">
      <c r="A68">
        <v>67</v>
      </c>
      <c r="B68" t="s">
        <v>143</v>
      </c>
      <c r="C68" t="s">
        <v>144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 x14ac:dyDescent="0.25">
      <c r="A69">
        <v>68</v>
      </c>
      <c r="B69" t="s">
        <v>145</v>
      </c>
      <c r="C69" t="s">
        <v>146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 x14ac:dyDescent="0.25">
      <c r="A70">
        <v>69</v>
      </c>
      <c r="B70" t="s">
        <v>147</v>
      </c>
      <c r="C70" t="s">
        <v>148</v>
      </c>
      <c r="D70">
        <v>265</v>
      </c>
      <c r="E70">
        <v>60041670.665112108</v>
      </c>
      <c r="F70">
        <v>0</v>
      </c>
      <c r="G70">
        <v>0</v>
      </c>
      <c r="H70">
        <v>16</v>
      </c>
      <c r="I70">
        <v>8101852</v>
      </c>
      <c r="J70">
        <v>249</v>
      </c>
      <c r="K70">
        <v>51939818.665112108</v>
      </c>
    </row>
    <row r="71" spans="1:11" x14ac:dyDescent="0.25">
      <c r="A71">
        <v>70</v>
      </c>
      <c r="B71" t="s">
        <v>149</v>
      </c>
      <c r="C71" t="s">
        <v>150</v>
      </c>
      <c r="D71">
        <v>15</v>
      </c>
      <c r="E71">
        <v>1150306.1599999999</v>
      </c>
      <c r="F71">
        <v>4</v>
      </c>
      <c r="G71">
        <v>42592</v>
      </c>
      <c r="H71">
        <v>0</v>
      </c>
      <c r="I71">
        <v>0</v>
      </c>
      <c r="J71">
        <v>19</v>
      </c>
      <c r="K71">
        <v>1192898.1599999999</v>
      </c>
    </row>
    <row r="72" spans="1:11" x14ac:dyDescent="0.25">
      <c r="A72">
        <v>71</v>
      </c>
      <c r="B72" t="s">
        <v>151</v>
      </c>
      <c r="C72" t="s">
        <v>152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</row>
    <row r="73" spans="1:11" x14ac:dyDescent="0.25">
      <c r="A73">
        <v>72</v>
      </c>
      <c r="B73" t="s">
        <v>153</v>
      </c>
      <c r="C73" t="s">
        <v>154</v>
      </c>
      <c r="D73">
        <v>100</v>
      </c>
      <c r="E73">
        <v>0</v>
      </c>
      <c r="F73">
        <v>0</v>
      </c>
      <c r="G73">
        <v>0</v>
      </c>
      <c r="H73">
        <v>0</v>
      </c>
      <c r="I73">
        <v>0</v>
      </c>
      <c r="J73">
        <v>100</v>
      </c>
      <c r="K73">
        <v>0</v>
      </c>
    </row>
    <row r="74" spans="1:11" x14ac:dyDescent="0.25">
      <c r="A74">
        <v>73</v>
      </c>
      <c r="B74" t="s">
        <v>155</v>
      </c>
      <c r="C74" t="s">
        <v>156</v>
      </c>
      <c r="D74">
        <v>191</v>
      </c>
      <c r="E74">
        <v>439990839.07878792</v>
      </c>
      <c r="F74">
        <v>58</v>
      </c>
      <c r="G74">
        <v>153407408</v>
      </c>
      <c r="H74">
        <v>0</v>
      </c>
      <c r="I74">
        <v>0</v>
      </c>
      <c r="J74">
        <v>249</v>
      </c>
      <c r="K74">
        <v>593398247.0787878</v>
      </c>
    </row>
    <row r="75" spans="1:11" x14ac:dyDescent="0.25">
      <c r="A75">
        <v>74</v>
      </c>
      <c r="B75" t="s">
        <v>157</v>
      </c>
      <c r="C75" t="s">
        <v>158</v>
      </c>
      <c r="D75">
        <v>162</v>
      </c>
      <c r="E75">
        <v>473290525.75098813</v>
      </c>
      <c r="F75">
        <v>7</v>
      </c>
      <c r="G75">
        <v>28444444</v>
      </c>
      <c r="H75">
        <v>2</v>
      </c>
      <c r="I75">
        <v>8648148</v>
      </c>
      <c r="J75">
        <v>167</v>
      </c>
      <c r="K75">
        <v>493086821.75098813</v>
      </c>
    </row>
    <row r="76" spans="1:11" x14ac:dyDescent="0.25">
      <c r="A76">
        <v>75</v>
      </c>
      <c r="B76" t="s">
        <v>159</v>
      </c>
      <c r="C76" t="s">
        <v>160</v>
      </c>
      <c r="D76">
        <v>11</v>
      </c>
      <c r="E76">
        <v>65907028.875</v>
      </c>
      <c r="F76">
        <v>1</v>
      </c>
      <c r="G76">
        <v>5509259</v>
      </c>
      <c r="H76">
        <v>0</v>
      </c>
      <c r="I76">
        <v>0</v>
      </c>
      <c r="J76">
        <v>12</v>
      </c>
      <c r="K76">
        <v>71416287.875</v>
      </c>
    </row>
    <row r="77" spans="1:11" x14ac:dyDescent="0.25">
      <c r="A77">
        <v>76</v>
      </c>
      <c r="B77" t="s">
        <v>161</v>
      </c>
      <c r="C77" t="s">
        <v>162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 x14ac:dyDescent="0.25">
      <c r="A78">
        <v>77</v>
      </c>
      <c r="B78" t="s">
        <v>163</v>
      </c>
      <c r="C78" t="s">
        <v>164</v>
      </c>
      <c r="D78">
        <v>281</v>
      </c>
      <c r="E78">
        <v>413269307.59605908</v>
      </c>
      <c r="F78">
        <v>53</v>
      </c>
      <c r="G78">
        <v>75194442</v>
      </c>
      <c r="H78">
        <v>6</v>
      </c>
      <c r="I78">
        <v>8988889</v>
      </c>
      <c r="J78">
        <v>328</v>
      </c>
      <c r="K78">
        <v>479474860.59605908</v>
      </c>
    </row>
    <row r="79" spans="1:11" x14ac:dyDescent="0.25">
      <c r="A79">
        <v>78</v>
      </c>
      <c r="B79" t="s">
        <v>165</v>
      </c>
      <c r="C79" t="s">
        <v>166</v>
      </c>
      <c r="D79">
        <v>29</v>
      </c>
      <c r="E79">
        <v>65706690</v>
      </c>
      <c r="F79">
        <v>4</v>
      </c>
      <c r="G79">
        <v>7992592</v>
      </c>
      <c r="H79">
        <v>0</v>
      </c>
      <c r="I79">
        <v>0</v>
      </c>
      <c r="J79">
        <v>33</v>
      </c>
      <c r="K79">
        <v>73699282</v>
      </c>
    </row>
    <row r="80" spans="1:11" x14ac:dyDescent="0.25">
      <c r="A80">
        <v>79</v>
      </c>
      <c r="B80" t="s">
        <v>167</v>
      </c>
      <c r="C80" t="s">
        <v>168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 x14ac:dyDescent="0.25">
      <c r="A81">
        <v>80</v>
      </c>
      <c r="B81" t="s">
        <v>169</v>
      </c>
      <c r="C81" t="s">
        <v>170</v>
      </c>
      <c r="D81">
        <v>925</v>
      </c>
      <c r="E81">
        <v>262942517.62329009</v>
      </c>
      <c r="F81">
        <v>0</v>
      </c>
      <c r="G81">
        <v>0</v>
      </c>
      <c r="H81">
        <v>25</v>
      </c>
      <c r="I81">
        <v>7402778</v>
      </c>
      <c r="J81">
        <v>900</v>
      </c>
      <c r="K81">
        <v>255539739.62329009</v>
      </c>
    </row>
    <row r="82" spans="1:11" x14ac:dyDescent="0.25">
      <c r="A82">
        <v>81</v>
      </c>
      <c r="B82" t="s">
        <v>171</v>
      </c>
      <c r="C82" t="s">
        <v>172</v>
      </c>
      <c r="D82">
        <v>278</v>
      </c>
      <c r="E82">
        <v>243482107.11730209</v>
      </c>
      <c r="F82">
        <v>0</v>
      </c>
      <c r="G82">
        <v>0</v>
      </c>
      <c r="H82">
        <v>23</v>
      </c>
      <c r="I82">
        <v>18396300</v>
      </c>
      <c r="J82">
        <v>255</v>
      </c>
      <c r="K82">
        <v>225085807.11730209</v>
      </c>
    </row>
    <row r="83" spans="1:11" x14ac:dyDescent="0.25">
      <c r="A83">
        <v>82</v>
      </c>
      <c r="B83" t="s">
        <v>173</v>
      </c>
      <c r="C83" t="s">
        <v>174</v>
      </c>
      <c r="D83">
        <v>179</v>
      </c>
      <c r="E83">
        <v>160749418.20238101</v>
      </c>
      <c r="F83">
        <v>0</v>
      </c>
      <c r="G83">
        <v>0</v>
      </c>
      <c r="H83">
        <v>0</v>
      </c>
      <c r="I83">
        <v>0</v>
      </c>
      <c r="J83">
        <v>179</v>
      </c>
      <c r="K83">
        <v>160749418.20238101</v>
      </c>
    </row>
    <row r="84" spans="1:11" x14ac:dyDescent="0.25">
      <c r="A84">
        <v>83</v>
      </c>
      <c r="B84" t="s">
        <v>175</v>
      </c>
      <c r="C84" t="s">
        <v>176</v>
      </c>
      <c r="D84">
        <v>7</v>
      </c>
      <c r="E84">
        <v>6787540.200000003</v>
      </c>
      <c r="F84">
        <v>0</v>
      </c>
      <c r="G84">
        <v>0</v>
      </c>
      <c r="H84">
        <v>0</v>
      </c>
      <c r="I84">
        <v>0</v>
      </c>
      <c r="J84">
        <v>7</v>
      </c>
      <c r="K84">
        <v>6787540.200000003</v>
      </c>
    </row>
    <row r="85" spans="1:11" x14ac:dyDescent="0.25">
      <c r="A85">
        <v>84</v>
      </c>
      <c r="B85" t="s">
        <v>177</v>
      </c>
      <c r="C85" t="s">
        <v>178</v>
      </c>
      <c r="D85">
        <v>17</v>
      </c>
      <c r="E85">
        <v>92075778.483870968</v>
      </c>
      <c r="F85">
        <v>0</v>
      </c>
      <c r="G85">
        <v>0</v>
      </c>
      <c r="H85">
        <v>0</v>
      </c>
      <c r="I85">
        <v>0</v>
      </c>
      <c r="J85">
        <v>17</v>
      </c>
      <c r="K85">
        <v>92075778.483870968</v>
      </c>
    </row>
    <row r="86" spans="1:11" x14ac:dyDescent="0.25">
      <c r="A86">
        <v>85</v>
      </c>
      <c r="B86" t="s">
        <v>179</v>
      </c>
      <c r="C86" t="s">
        <v>180</v>
      </c>
      <c r="D86">
        <v>22</v>
      </c>
      <c r="E86">
        <v>29190400.16</v>
      </c>
      <c r="F86">
        <v>0</v>
      </c>
      <c r="G86">
        <v>0</v>
      </c>
      <c r="H86">
        <v>0</v>
      </c>
      <c r="I86">
        <v>0</v>
      </c>
      <c r="J86">
        <v>22</v>
      </c>
      <c r="K86">
        <v>29190400.16</v>
      </c>
    </row>
    <row r="87" spans="1:11" x14ac:dyDescent="0.25">
      <c r="A87">
        <v>86</v>
      </c>
      <c r="B87" t="s">
        <v>181</v>
      </c>
      <c r="C87" t="s">
        <v>182</v>
      </c>
      <c r="D87">
        <v>65</v>
      </c>
      <c r="E87">
        <v>64042745.572559372</v>
      </c>
      <c r="F87">
        <v>7</v>
      </c>
      <c r="G87">
        <v>11564815</v>
      </c>
      <c r="H87">
        <v>2</v>
      </c>
      <c r="I87">
        <v>5972222</v>
      </c>
      <c r="J87">
        <v>70</v>
      </c>
      <c r="K87">
        <v>69635338.572559372</v>
      </c>
    </row>
    <row r="88" spans="1:11" x14ac:dyDescent="0.25">
      <c r="A88">
        <v>87</v>
      </c>
      <c r="B88" t="s">
        <v>183</v>
      </c>
      <c r="C88" t="s">
        <v>184</v>
      </c>
      <c r="D88">
        <v>3</v>
      </c>
      <c r="E88">
        <v>2443182.9545454532</v>
      </c>
      <c r="F88">
        <v>0</v>
      </c>
      <c r="G88">
        <v>0</v>
      </c>
      <c r="H88">
        <v>0</v>
      </c>
      <c r="I88">
        <v>0</v>
      </c>
      <c r="J88">
        <v>3</v>
      </c>
      <c r="K88">
        <v>2443182.9545454532</v>
      </c>
    </row>
    <row r="89" spans="1:11" x14ac:dyDescent="0.25">
      <c r="A89">
        <v>88</v>
      </c>
      <c r="B89" t="s">
        <v>185</v>
      </c>
      <c r="C89" t="s">
        <v>186</v>
      </c>
      <c r="D89">
        <v>881</v>
      </c>
      <c r="E89">
        <v>282752282.74628812</v>
      </c>
      <c r="F89">
        <v>0</v>
      </c>
      <c r="G89">
        <v>0</v>
      </c>
      <c r="H89">
        <v>5</v>
      </c>
      <c r="I89">
        <v>3879630</v>
      </c>
      <c r="J89">
        <v>876</v>
      </c>
      <c r="K89">
        <v>278872652.74628812</v>
      </c>
    </row>
    <row r="90" spans="1:11" x14ac:dyDescent="0.25">
      <c r="A90">
        <v>89</v>
      </c>
      <c r="B90" t="s">
        <v>187</v>
      </c>
      <c r="C90" t="s">
        <v>188</v>
      </c>
      <c r="D90">
        <v>306</v>
      </c>
      <c r="E90">
        <v>274544278.34957021</v>
      </c>
      <c r="F90">
        <v>1</v>
      </c>
      <c r="G90">
        <v>1074074</v>
      </c>
      <c r="H90">
        <v>29</v>
      </c>
      <c r="I90">
        <v>23288883</v>
      </c>
      <c r="J90">
        <v>278</v>
      </c>
      <c r="K90">
        <v>252329469.34957021</v>
      </c>
    </row>
    <row r="91" spans="1:11" x14ac:dyDescent="0.25">
      <c r="A91">
        <v>90</v>
      </c>
      <c r="B91" t="s">
        <v>189</v>
      </c>
      <c r="C91" t="s">
        <v>190</v>
      </c>
      <c r="D91">
        <v>201</v>
      </c>
      <c r="E91">
        <v>262392116.9923954</v>
      </c>
      <c r="F91">
        <v>0</v>
      </c>
      <c r="G91">
        <v>0</v>
      </c>
      <c r="H91">
        <v>2</v>
      </c>
      <c r="I91">
        <v>2916666</v>
      </c>
      <c r="J91">
        <v>199</v>
      </c>
      <c r="K91">
        <v>259475450.9923954</v>
      </c>
    </row>
    <row r="92" spans="1:11" x14ac:dyDescent="0.25">
      <c r="A92">
        <v>91</v>
      </c>
      <c r="B92" t="s">
        <v>191</v>
      </c>
      <c r="C92" t="s">
        <v>192</v>
      </c>
      <c r="D92">
        <v>68</v>
      </c>
      <c r="E92">
        <v>30327287.128078818</v>
      </c>
      <c r="F92">
        <v>22</v>
      </c>
      <c r="G92">
        <v>6898148</v>
      </c>
      <c r="H92">
        <v>4</v>
      </c>
      <c r="I92">
        <v>5018518</v>
      </c>
      <c r="J92">
        <v>86</v>
      </c>
      <c r="K92">
        <v>32206917.128078818</v>
      </c>
    </row>
    <row r="93" spans="1:11" x14ac:dyDescent="0.25">
      <c r="A93">
        <v>92</v>
      </c>
      <c r="B93" t="s">
        <v>193</v>
      </c>
      <c r="C93" t="s">
        <v>194</v>
      </c>
      <c r="D93">
        <v>34</v>
      </c>
      <c r="E93">
        <v>60957857.432558149</v>
      </c>
      <c r="F93">
        <v>0</v>
      </c>
      <c r="G93">
        <v>0</v>
      </c>
      <c r="H93">
        <v>7</v>
      </c>
      <c r="I93">
        <v>8750000</v>
      </c>
      <c r="J93">
        <v>27</v>
      </c>
      <c r="K93">
        <v>52207857.432558149</v>
      </c>
    </row>
    <row r="94" spans="1:11" x14ac:dyDescent="0.25">
      <c r="A94">
        <v>93</v>
      </c>
      <c r="B94" t="s">
        <v>195</v>
      </c>
      <c r="C94" t="s">
        <v>196</v>
      </c>
      <c r="D94">
        <v>412</v>
      </c>
      <c r="E94">
        <v>154863886.61556071</v>
      </c>
      <c r="F94">
        <v>10</v>
      </c>
      <c r="G94">
        <v>17638888</v>
      </c>
      <c r="H94">
        <v>7</v>
      </c>
      <c r="I94">
        <v>10175925</v>
      </c>
      <c r="J94">
        <v>415</v>
      </c>
      <c r="K94">
        <v>162326849.61556071</v>
      </c>
    </row>
    <row r="95" spans="1:11" x14ac:dyDescent="0.25">
      <c r="A95">
        <v>94</v>
      </c>
      <c r="B95" t="s">
        <v>197</v>
      </c>
      <c r="C95" t="s">
        <v>198</v>
      </c>
      <c r="D95">
        <v>30</v>
      </c>
      <c r="E95">
        <v>3088722</v>
      </c>
      <c r="F95">
        <v>0</v>
      </c>
      <c r="G95">
        <v>0</v>
      </c>
      <c r="H95">
        <v>0</v>
      </c>
      <c r="I95">
        <v>0</v>
      </c>
      <c r="J95">
        <v>30</v>
      </c>
      <c r="K95">
        <v>3088722</v>
      </c>
    </row>
    <row r="96" spans="1:11" x14ac:dyDescent="0.25">
      <c r="A96">
        <v>95</v>
      </c>
      <c r="B96" t="s">
        <v>199</v>
      </c>
      <c r="C96" t="s">
        <v>200</v>
      </c>
      <c r="D96">
        <v>93</v>
      </c>
      <c r="E96">
        <v>4506704.0819672123</v>
      </c>
      <c r="F96">
        <v>50</v>
      </c>
      <c r="G96">
        <v>4166667</v>
      </c>
      <c r="H96">
        <v>6</v>
      </c>
      <c r="I96">
        <v>833333</v>
      </c>
      <c r="J96">
        <v>137</v>
      </c>
      <c r="K96">
        <v>7840038.0819672123</v>
      </c>
    </row>
    <row r="97" spans="1:11" x14ac:dyDescent="0.25">
      <c r="A97">
        <v>96</v>
      </c>
      <c r="B97" t="s">
        <v>201</v>
      </c>
      <c r="C97" t="s">
        <v>202</v>
      </c>
      <c r="D97">
        <v>1832</v>
      </c>
      <c r="E97">
        <v>206784116.4361957</v>
      </c>
      <c r="F97">
        <v>15</v>
      </c>
      <c r="G97">
        <v>5069445</v>
      </c>
      <c r="H97">
        <v>2</v>
      </c>
      <c r="I97">
        <v>370370</v>
      </c>
      <c r="J97">
        <v>1845</v>
      </c>
      <c r="K97">
        <v>211483191.4361957</v>
      </c>
    </row>
    <row r="98" spans="1:11" x14ac:dyDescent="0.25">
      <c r="A98">
        <v>97</v>
      </c>
      <c r="B98" t="s">
        <v>203</v>
      </c>
      <c r="C98" t="s">
        <v>204</v>
      </c>
      <c r="D98">
        <v>436</v>
      </c>
      <c r="E98">
        <v>69656126.620727673</v>
      </c>
      <c r="F98">
        <v>1</v>
      </c>
      <c r="G98">
        <v>694444</v>
      </c>
      <c r="H98">
        <v>2</v>
      </c>
      <c r="I98">
        <v>370370</v>
      </c>
      <c r="J98">
        <v>435</v>
      </c>
      <c r="K98">
        <v>69980200.620727673</v>
      </c>
    </row>
    <row r="99" spans="1:11" x14ac:dyDescent="0.25">
      <c r="A99">
        <v>98</v>
      </c>
      <c r="B99" t="s">
        <v>205</v>
      </c>
      <c r="C99" t="s">
        <v>206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 x14ac:dyDescent="0.25">
      <c r="A100">
        <v>99</v>
      </c>
      <c r="B100" t="s">
        <v>207</v>
      </c>
      <c r="C100" t="s">
        <v>208</v>
      </c>
      <c r="D100">
        <v>10</v>
      </c>
      <c r="E100">
        <v>3335423.7586206938</v>
      </c>
      <c r="F100">
        <v>0</v>
      </c>
      <c r="G100">
        <v>0</v>
      </c>
      <c r="H100">
        <v>0</v>
      </c>
      <c r="I100">
        <v>0</v>
      </c>
      <c r="J100">
        <v>10</v>
      </c>
      <c r="K100">
        <v>3335423.7586206938</v>
      </c>
    </row>
    <row r="101" spans="1:11" x14ac:dyDescent="0.25">
      <c r="A101">
        <v>100</v>
      </c>
      <c r="B101" t="s">
        <v>209</v>
      </c>
      <c r="C101" t="s">
        <v>210</v>
      </c>
      <c r="D101">
        <v>5</v>
      </c>
      <c r="E101">
        <v>5229125</v>
      </c>
      <c r="F101">
        <v>0</v>
      </c>
      <c r="G101">
        <v>0</v>
      </c>
      <c r="H101">
        <v>1</v>
      </c>
      <c r="I101">
        <v>1157407</v>
      </c>
      <c r="J101">
        <v>4</v>
      </c>
      <c r="K101">
        <v>4071718</v>
      </c>
    </row>
    <row r="102" spans="1:11" x14ac:dyDescent="0.25">
      <c r="A102">
        <v>101</v>
      </c>
      <c r="B102" t="s">
        <v>211</v>
      </c>
      <c r="C102" t="s">
        <v>212</v>
      </c>
      <c r="D102">
        <v>260</v>
      </c>
      <c r="E102">
        <v>130930001.6692913</v>
      </c>
      <c r="F102">
        <v>0</v>
      </c>
      <c r="G102">
        <v>0</v>
      </c>
      <c r="H102">
        <v>0</v>
      </c>
      <c r="I102">
        <v>0</v>
      </c>
      <c r="J102">
        <v>260</v>
      </c>
      <c r="K102">
        <v>130930001.6692913</v>
      </c>
    </row>
    <row r="103" spans="1:11" x14ac:dyDescent="0.25">
      <c r="A103">
        <v>102</v>
      </c>
      <c r="B103" t="s">
        <v>213</v>
      </c>
      <c r="C103" t="s">
        <v>214</v>
      </c>
      <c r="D103">
        <v>2</v>
      </c>
      <c r="E103">
        <v>2309091</v>
      </c>
      <c r="F103">
        <v>0</v>
      </c>
      <c r="G103">
        <v>0</v>
      </c>
      <c r="H103">
        <v>0</v>
      </c>
      <c r="I103">
        <v>0</v>
      </c>
      <c r="J103">
        <v>2</v>
      </c>
      <c r="K103">
        <v>2309091</v>
      </c>
    </row>
    <row r="104" spans="1:11" x14ac:dyDescent="0.25">
      <c r="A104">
        <v>103</v>
      </c>
      <c r="B104" t="s">
        <v>215</v>
      </c>
      <c r="C104" t="s">
        <v>216</v>
      </c>
      <c r="D104">
        <v>2055</v>
      </c>
      <c r="E104">
        <v>251843347.46378449</v>
      </c>
      <c r="F104">
        <v>118</v>
      </c>
      <c r="G104">
        <v>31439816</v>
      </c>
      <c r="H104">
        <v>43</v>
      </c>
      <c r="I104">
        <v>9947229</v>
      </c>
      <c r="J104">
        <v>2130</v>
      </c>
      <c r="K104">
        <v>273335934.46378452</v>
      </c>
    </row>
    <row r="105" spans="1:11" x14ac:dyDescent="0.25">
      <c r="A105">
        <v>104</v>
      </c>
      <c r="B105" t="s">
        <v>217</v>
      </c>
      <c r="C105" t="s">
        <v>218</v>
      </c>
      <c r="D105">
        <v>447</v>
      </c>
      <c r="E105">
        <v>138168379.99298239</v>
      </c>
      <c r="F105">
        <v>64</v>
      </c>
      <c r="G105">
        <v>15768517</v>
      </c>
      <c r="H105">
        <v>4</v>
      </c>
      <c r="I105">
        <v>6851852</v>
      </c>
      <c r="J105">
        <v>507</v>
      </c>
      <c r="K105">
        <v>147085044.99298239</v>
      </c>
    </row>
    <row r="106" spans="1:11" x14ac:dyDescent="0.25">
      <c r="A106">
        <v>105</v>
      </c>
      <c r="B106" t="s">
        <v>219</v>
      </c>
      <c r="C106" t="s">
        <v>220</v>
      </c>
      <c r="D106">
        <v>2064</v>
      </c>
      <c r="E106">
        <v>429049284.69023043</v>
      </c>
      <c r="F106">
        <v>338</v>
      </c>
      <c r="G106">
        <v>62465743</v>
      </c>
      <c r="H106">
        <v>65</v>
      </c>
      <c r="I106">
        <v>7597223</v>
      </c>
      <c r="J106">
        <v>2337</v>
      </c>
      <c r="K106">
        <v>483917804.69023043</v>
      </c>
    </row>
    <row r="107" spans="1:11" x14ac:dyDescent="0.25">
      <c r="A107">
        <v>106</v>
      </c>
      <c r="B107" t="s">
        <v>221</v>
      </c>
      <c r="C107" t="s">
        <v>222</v>
      </c>
      <c r="D107">
        <v>3</v>
      </c>
      <c r="E107">
        <v>993474.32912936807</v>
      </c>
      <c r="F107">
        <v>13</v>
      </c>
      <c r="G107">
        <v>3888888</v>
      </c>
      <c r="H107">
        <v>5</v>
      </c>
      <c r="I107">
        <v>3787037</v>
      </c>
      <c r="J107">
        <v>11</v>
      </c>
      <c r="K107">
        <v>1095325.3291293681</v>
      </c>
    </row>
    <row r="108" spans="1:11" x14ac:dyDescent="0.25">
      <c r="A108">
        <v>107</v>
      </c>
      <c r="B108" t="s">
        <v>223</v>
      </c>
      <c r="C108" t="s">
        <v>224</v>
      </c>
      <c r="D108">
        <v>9</v>
      </c>
      <c r="E108">
        <v>4562119.75</v>
      </c>
      <c r="F108">
        <v>0</v>
      </c>
      <c r="G108">
        <v>0</v>
      </c>
      <c r="H108">
        <v>0</v>
      </c>
      <c r="I108">
        <v>0</v>
      </c>
      <c r="J108">
        <v>9</v>
      </c>
      <c r="K108">
        <v>4562119.75</v>
      </c>
    </row>
    <row r="109" spans="1:11" x14ac:dyDescent="0.25">
      <c r="A109">
        <v>108</v>
      </c>
      <c r="B109" t="s">
        <v>225</v>
      </c>
      <c r="C109" t="s">
        <v>226</v>
      </c>
      <c r="D109">
        <v>332</v>
      </c>
      <c r="E109">
        <v>85552363.850046858</v>
      </c>
      <c r="F109">
        <v>2</v>
      </c>
      <c r="G109">
        <v>2185186</v>
      </c>
      <c r="H109">
        <v>0</v>
      </c>
      <c r="I109">
        <v>0</v>
      </c>
      <c r="J109">
        <v>334</v>
      </c>
      <c r="K109">
        <v>87737549.850046858</v>
      </c>
    </row>
    <row r="110" spans="1:11" x14ac:dyDescent="0.25">
      <c r="A110">
        <v>109</v>
      </c>
      <c r="B110" t="s">
        <v>227</v>
      </c>
      <c r="C110" t="s">
        <v>228</v>
      </c>
      <c r="D110">
        <v>383</v>
      </c>
      <c r="E110">
        <v>135637827.1661891</v>
      </c>
      <c r="F110">
        <v>0</v>
      </c>
      <c r="G110">
        <v>0</v>
      </c>
      <c r="H110">
        <v>3</v>
      </c>
      <c r="I110">
        <v>1222222</v>
      </c>
      <c r="J110">
        <v>380</v>
      </c>
      <c r="K110">
        <v>134415605.1661891</v>
      </c>
    </row>
    <row r="111" spans="1:11" x14ac:dyDescent="0.25">
      <c r="A111">
        <v>110</v>
      </c>
      <c r="B111" t="s">
        <v>229</v>
      </c>
      <c r="C111" t="s">
        <v>230</v>
      </c>
      <c r="D111">
        <v>42</v>
      </c>
      <c r="E111">
        <v>3087584.8936170209</v>
      </c>
      <c r="F111">
        <v>0</v>
      </c>
      <c r="G111">
        <v>0</v>
      </c>
      <c r="H111">
        <v>0</v>
      </c>
      <c r="I111">
        <v>0</v>
      </c>
      <c r="J111">
        <v>42</v>
      </c>
      <c r="K111">
        <v>3087584.8936170209</v>
      </c>
    </row>
    <row r="112" spans="1:11" x14ac:dyDescent="0.25">
      <c r="A112">
        <v>111</v>
      </c>
      <c r="B112" t="s">
        <v>231</v>
      </c>
      <c r="C112" t="s">
        <v>232</v>
      </c>
      <c r="D112">
        <v>106</v>
      </c>
      <c r="E112">
        <v>44483074.259079903</v>
      </c>
      <c r="F112">
        <v>12</v>
      </c>
      <c r="G112">
        <v>7009260</v>
      </c>
      <c r="H112">
        <v>0</v>
      </c>
      <c r="I112">
        <v>0</v>
      </c>
      <c r="J112">
        <v>118</v>
      </c>
      <c r="K112">
        <v>51492334.259079903</v>
      </c>
    </row>
    <row r="113" spans="1:11" x14ac:dyDescent="0.25">
      <c r="A113">
        <v>112</v>
      </c>
      <c r="B113" t="s">
        <v>233</v>
      </c>
      <c r="C113" t="s">
        <v>234</v>
      </c>
      <c r="D113">
        <v>950</v>
      </c>
      <c r="E113">
        <v>339340134.39026397</v>
      </c>
      <c r="F113">
        <v>12</v>
      </c>
      <c r="G113">
        <v>5775927</v>
      </c>
      <c r="H113">
        <v>2</v>
      </c>
      <c r="I113">
        <v>1444444</v>
      </c>
      <c r="J113">
        <v>960</v>
      </c>
      <c r="K113">
        <v>343671617.39026397</v>
      </c>
    </row>
    <row r="114" spans="1:11" x14ac:dyDescent="0.25">
      <c r="A114">
        <v>113</v>
      </c>
      <c r="B114" t="s">
        <v>235</v>
      </c>
      <c r="C114" t="s">
        <v>236</v>
      </c>
      <c r="D114">
        <v>34</v>
      </c>
      <c r="E114">
        <v>13243526.620689649</v>
      </c>
      <c r="F114">
        <v>0</v>
      </c>
      <c r="G114">
        <v>0</v>
      </c>
      <c r="H114">
        <v>0</v>
      </c>
      <c r="I114">
        <v>0</v>
      </c>
      <c r="J114">
        <v>34</v>
      </c>
      <c r="K114">
        <v>13243526.620689649</v>
      </c>
    </row>
    <row r="115" spans="1:11" x14ac:dyDescent="0.25">
      <c r="A115">
        <v>114</v>
      </c>
      <c r="B115" t="s">
        <v>237</v>
      </c>
      <c r="C115" t="s">
        <v>238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 x14ac:dyDescent="0.25">
      <c r="A116">
        <v>115</v>
      </c>
      <c r="B116" t="s">
        <v>239</v>
      </c>
      <c r="C116" t="s">
        <v>240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 x14ac:dyDescent="0.25">
      <c r="A117">
        <v>116</v>
      </c>
      <c r="B117" t="s">
        <v>241</v>
      </c>
      <c r="C117" t="s">
        <v>242</v>
      </c>
      <c r="D117">
        <v>1</v>
      </c>
      <c r="E117">
        <v>2400000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2400000</v>
      </c>
    </row>
    <row r="118" spans="1:11" x14ac:dyDescent="0.25">
      <c r="A118">
        <v>117</v>
      </c>
      <c r="B118" t="s">
        <v>243</v>
      </c>
      <c r="C118" t="s">
        <v>244</v>
      </c>
      <c r="D118">
        <v>1</v>
      </c>
      <c r="E118">
        <v>2200000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2200000</v>
      </c>
    </row>
    <row r="119" spans="1:11" x14ac:dyDescent="0.25">
      <c r="A119">
        <v>118</v>
      </c>
      <c r="B119" t="s">
        <v>245</v>
      </c>
      <c r="C119" t="s">
        <v>246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 x14ac:dyDescent="0.25">
      <c r="A120">
        <v>119</v>
      </c>
      <c r="B120" t="s">
        <v>247</v>
      </c>
      <c r="C120" t="s">
        <v>248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</row>
    <row r="121" spans="1:11" x14ac:dyDescent="0.25">
      <c r="A121">
        <v>120</v>
      </c>
      <c r="B121" t="s">
        <v>249</v>
      </c>
      <c r="C121" t="s">
        <v>250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 x14ac:dyDescent="0.25">
      <c r="A122">
        <v>121</v>
      </c>
      <c r="B122" t="s">
        <v>251</v>
      </c>
      <c r="C122" t="s">
        <v>252</v>
      </c>
      <c r="D122">
        <v>6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6</v>
      </c>
      <c r="K122">
        <v>0</v>
      </c>
    </row>
    <row r="123" spans="1:11" x14ac:dyDescent="0.25">
      <c r="A123">
        <v>122</v>
      </c>
      <c r="B123" t="s">
        <v>253</v>
      </c>
      <c r="C123" t="s">
        <v>254</v>
      </c>
      <c r="D123">
        <v>0</v>
      </c>
      <c r="E123">
        <v>10496683.616306961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10496683.616306961</v>
      </c>
    </row>
    <row r="124" spans="1:11" x14ac:dyDescent="0.25">
      <c r="A124">
        <v>123</v>
      </c>
      <c r="B124" t="s">
        <v>255</v>
      </c>
      <c r="C124" t="s">
        <v>256</v>
      </c>
      <c r="D124">
        <v>41</v>
      </c>
      <c r="E124">
        <v>23422515.84722222</v>
      </c>
      <c r="F124">
        <v>0</v>
      </c>
      <c r="G124">
        <v>0</v>
      </c>
      <c r="H124">
        <v>0</v>
      </c>
      <c r="I124">
        <v>0</v>
      </c>
      <c r="J124">
        <v>41</v>
      </c>
      <c r="K124">
        <v>23422515.84722222</v>
      </c>
    </row>
    <row r="125" spans="1:11" x14ac:dyDescent="0.25">
      <c r="A125">
        <v>124</v>
      </c>
      <c r="B125" t="s">
        <v>257</v>
      </c>
      <c r="C125" t="s">
        <v>258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 x14ac:dyDescent="0.25">
      <c r="A126">
        <v>125</v>
      </c>
      <c r="B126" t="s">
        <v>259</v>
      </c>
      <c r="C126" t="s">
        <v>260</v>
      </c>
      <c r="D126">
        <v>649</v>
      </c>
      <c r="E126">
        <v>401224399.2321918</v>
      </c>
      <c r="F126">
        <v>15</v>
      </c>
      <c r="G126">
        <v>7101852</v>
      </c>
      <c r="H126">
        <v>0</v>
      </c>
      <c r="I126">
        <v>0</v>
      </c>
      <c r="J126">
        <v>664</v>
      </c>
      <c r="K126">
        <v>408326251.2321918</v>
      </c>
    </row>
    <row r="127" spans="1:11" x14ac:dyDescent="0.25">
      <c r="A127">
        <v>126</v>
      </c>
      <c r="B127" t="s">
        <v>261</v>
      </c>
      <c r="C127" t="s">
        <v>262</v>
      </c>
      <c r="D127">
        <v>6</v>
      </c>
      <c r="E127">
        <v>2225742.1428571432</v>
      </c>
      <c r="F127">
        <v>1</v>
      </c>
      <c r="G127">
        <v>611111</v>
      </c>
      <c r="H127">
        <v>0</v>
      </c>
      <c r="I127">
        <v>0</v>
      </c>
      <c r="J127">
        <v>7</v>
      </c>
      <c r="K127">
        <v>2836853.1428571432</v>
      </c>
    </row>
    <row r="128" spans="1:11" x14ac:dyDescent="0.25">
      <c r="A128">
        <v>127</v>
      </c>
      <c r="B128" t="s">
        <v>263</v>
      </c>
      <c r="C128" t="s">
        <v>264</v>
      </c>
      <c r="D128">
        <v>11</v>
      </c>
      <c r="E128">
        <v>10694447.40909091</v>
      </c>
      <c r="F128">
        <v>0</v>
      </c>
      <c r="G128">
        <v>0</v>
      </c>
      <c r="H128">
        <v>0</v>
      </c>
      <c r="I128">
        <v>0</v>
      </c>
      <c r="J128">
        <v>11</v>
      </c>
      <c r="K128">
        <v>10694447.40909091</v>
      </c>
    </row>
    <row r="129" spans="1:11" x14ac:dyDescent="0.25">
      <c r="A129">
        <v>128</v>
      </c>
      <c r="B129" t="s">
        <v>265</v>
      </c>
      <c r="C129" t="s">
        <v>266</v>
      </c>
      <c r="D129">
        <v>18</v>
      </c>
      <c r="E129">
        <v>37463253.75</v>
      </c>
      <c r="F129">
        <v>0</v>
      </c>
      <c r="G129">
        <v>0</v>
      </c>
      <c r="H129">
        <v>0</v>
      </c>
      <c r="I129">
        <v>0</v>
      </c>
      <c r="J129">
        <v>18</v>
      </c>
      <c r="K129">
        <v>37463253.75</v>
      </c>
    </row>
    <row r="130" spans="1:11" x14ac:dyDescent="0.25">
      <c r="A130">
        <v>129</v>
      </c>
      <c r="B130" t="s">
        <v>267</v>
      </c>
      <c r="C130" t="s">
        <v>268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1:11" x14ac:dyDescent="0.25">
      <c r="A131">
        <v>130</v>
      </c>
      <c r="B131" t="s">
        <v>269</v>
      </c>
      <c r="C131" t="s">
        <v>270</v>
      </c>
      <c r="D131">
        <v>248</v>
      </c>
      <c r="E131">
        <v>146436365.5194805</v>
      </c>
      <c r="F131">
        <v>0</v>
      </c>
      <c r="G131">
        <v>0</v>
      </c>
      <c r="H131">
        <v>17</v>
      </c>
      <c r="I131">
        <v>15650000</v>
      </c>
      <c r="J131">
        <v>231</v>
      </c>
      <c r="K131">
        <v>130786365.5194805</v>
      </c>
    </row>
    <row r="132" spans="1:11" x14ac:dyDescent="0.25">
      <c r="A132">
        <v>131</v>
      </c>
      <c r="B132" t="s">
        <v>271</v>
      </c>
      <c r="C132" t="s">
        <v>272</v>
      </c>
      <c r="D132">
        <v>133</v>
      </c>
      <c r="E132">
        <v>28347617.7489301</v>
      </c>
      <c r="F132">
        <v>0</v>
      </c>
      <c r="G132">
        <v>0</v>
      </c>
      <c r="H132">
        <v>3</v>
      </c>
      <c r="I132">
        <v>5787036</v>
      </c>
      <c r="J132">
        <v>130</v>
      </c>
      <c r="K132">
        <v>22560581.7489301</v>
      </c>
    </row>
    <row r="133" spans="1:11" x14ac:dyDescent="0.25">
      <c r="A133">
        <v>132</v>
      </c>
      <c r="B133" t="s">
        <v>273</v>
      </c>
      <c r="C133" t="s">
        <v>274</v>
      </c>
      <c r="D133">
        <v>373</v>
      </c>
      <c r="E133">
        <v>82870489.769411772</v>
      </c>
      <c r="F133">
        <v>142</v>
      </c>
      <c r="G133">
        <v>17597222</v>
      </c>
      <c r="H133">
        <v>53</v>
      </c>
      <c r="I133">
        <v>10694445</v>
      </c>
      <c r="J133">
        <v>462</v>
      </c>
      <c r="K133">
        <v>89773266.769411772</v>
      </c>
    </row>
    <row r="134" spans="1:11" x14ac:dyDescent="0.25">
      <c r="A134">
        <v>133</v>
      </c>
      <c r="B134" t="s">
        <v>275</v>
      </c>
      <c r="C134" t="s">
        <v>276</v>
      </c>
      <c r="D134">
        <v>127</v>
      </c>
      <c r="E134">
        <v>34677056.084337354</v>
      </c>
      <c r="F134">
        <v>5</v>
      </c>
      <c r="G134">
        <v>1800000</v>
      </c>
      <c r="H134">
        <v>1</v>
      </c>
      <c r="I134">
        <v>416667</v>
      </c>
      <c r="J134">
        <v>131</v>
      </c>
      <c r="K134">
        <v>36060389.084337354</v>
      </c>
    </row>
    <row r="135" spans="1:11" x14ac:dyDescent="0.25">
      <c r="A135">
        <v>134</v>
      </c>
      <c r="B135" t="s">
        <v>277</v>
      </c>
      <c r="C135" t="s">
        <v>278</v>
      </c>
      <c r="D135">
        <v>8</v>
      </c>
      <c r="E135">
        <v>1380640.5714285709</v>
      </c>
      <c r="F135">
        <v>3</v>
      </c>
      <c r="G135">
        <v>500000</v>
      </c>
      <c r="H135">
        <v>1</v>
      </c>
      <c r="I135">
        <v>259259</v>
      </c>
      <c r="J135">
        <v>10</v>
      </c>
      <c r="K135">
        <v>1621381.5714285709</v>
      </c>
    </row>
    <row r="136" spans="1:11" x14ac:dyDescent="0.25">
      <c r="A136">
        <v>135</v>
      </c>
      <c r="B136" t="s">
        <v>279</v>
      </c>
      <c r="C136" t="s">
        <v>280</v>
      </c>
      <c r="D136">
        <v>33</v>
      </c>
      <c r="E136">
        <v>2930070.368421053</v>
      </c>
      <c r="F136">
        <v>14</v>
      </c>
      <c r="G136">
        <v>1675926</v>
      </c>
      <c r="H136">
        <v>1</v>
      </c>
      <c r="I136">
        <v>166667</v>
      </c>
      <c r="J136">
        <v>46</v>
      </c>
      <c r="K136">
        <v>4439329.3684210526</v>
      </c>
    </row>
    <row r="137" spans="1:11" x14ac:dyDescent="0.25">
      <c r="A137">
        <v>136</v>
      </c>
      <c r="B137" t="s">
        <v>281</v>
      </c>
      <c r="C137" t="s">
        <v>282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 x14ac:dyDescent="0.25">
      <c r="A138">
        <v>137</v>
      </c>
      <c r="B138" t="s">
        <v>283</v>
      </c>
      <c r="C138" t="s">
        <v>284</v>
      </c>
      <c r="D138">
        <v>24</v>
      </c>
      <c r="E138">
        <v>20007749.860465121</v>
      </c>
      <c r="F138">
        <v>0</v>
      </c>
      <c r="G138">
        <v>0</v>
      </c>
      <c r="H138">
        <v>0</v>
      </c>
      <c r="I138">
        <v>0</v>
      </c>
      <c r="J138">
        <v>24</v>
      </c>
      <c r="K138">
        <v>20007749.860465121</v>
      </c>
    </row>
    <row r="139" spans="1:11" x14ac:dyDescent="0.25">
      <c r="A139">
        <v>138</v>
      </c>
      <c r="B139" t="s">
        <v>285</v>
      </c>
      <c r="C139" t="s">
        <v>286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</row>
    <row r="140" spans="1:11" x14ac:dyDescent="0.25">
      <c r="A140">
        <v>139</v>
      </c>
      <c r="B140" t="s">
        <v>287</v>
      </c>
      <c r="C140" t="s">
        <v>288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1" x14ac:dyDescent="0.25">
      <c r="A141">
        <v>140</v>
      </c>
      <c r="B141" t="s">
        <v>289</v>
      </c>
      <c r="C141" t="s">
        <v>290</v>
      </c>
      <c r="D141">
        <v>7</v>
      </c>
      <c r="E141">
        <v>0</v>
      </c>
      <c r="F141">
        <v>1</v>
      </c>
      <c r="G141">
        <v>2400000</v>
      </c>
      <c r="H141">
        <v>0</v>
      </c>
      <c r="I141">
        <v>0</v>
      </c>
      <c r="J141">
        <v>8</v>
      </c>
      <c r="K141">
        <v>2400000</v>
      </c>
    </row>
    <row r="142" spans="1:11" x14ac:dyDescent="0.25">
      <c r="A142">
        <v>141</v>
      </c>
      <c r="B142" t="s">
        <v>291</v>
      </c>
      <c r="C142" t="s">
        <v>292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 x14ac:dyDescent="0.25">
      <c r="A143">
        <v>142</v>
      </c>
      <c r="B143" t="s">
        <v>293</v>
      </c>
      <c r="C143" t="s">
        <v>294</v>
      </c>
      <c r="D143">
        <v>87</v>
      </c>
      <c r="E143">
        <v>13970168.115942029</v>
      </c>
      <c r="F143">
        <v>0</v>
      </c>
      <c r="G143">
        <v>0</v>
      </c>
      <c r="H143">
        <v>29</v>
      </c>
      <c r="I143">
        <v>6670000</v>
      </c>
      <c r="J143">
        <v>58</v>
      </c>
      <c r="K143">
        <v>7300168.1159420311</v>
      </c>
    </row>
    <row r="144" spans="1:11" x14ac:dyDescent="0.25">
      <c r="A144">
        <v>143</v>
      </c>
      <c r="B144" t="s">
        <v>295</v>
      </c>
      <c r="C144" t="s">
        <v>296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 x14ac:dyDescent="0.25">
      <c r="A145">
        <v>144</v>
      </c>
      <c r="B145" t="s">
        <v>297</v>
      </c>
      <c r="C145" t="s">
        <v>298</v>
      </c>
      <c r="D145">
        <v>46</v>
      </c>
      <c r="E145">
        <v>2972593.1515151509</v>
      </c>
      <c r="F145">
        <v>0</v>
      </c>
      <c r="G145">
        <v>0</v>
      </c>
      <c r="H145">
        <v>0</v>
      </c>
      <c r="I145">
        <v>0</v>
      </c>
      <c r="J145">
        <v>46</v>
      </c>
      <c r="K145">
        <v>2972593.1515151509</v>
      </c>
    </row>
    <row r="146" spans="1:11" x14ac:dyDescent="0.25">
      <c r="A146">
        <v>145</v>
      </c>
      <c r="B146" t="s">
        <v>299</v>
      </c>
      <c r="C146" t="s">
        <v>300</v>
      </c>
      <c r="D146">
        <v>3266.6120000000001</v>
      </c>
      <c r="E146">
        <v>1034873303.48</v>
      </c>
      <c r="F146">
        <v>286.62400000000002</v>
      </c>
      <c r="G146">
        <v>141719345</v>
      </c>
      <c r="H146">
        <v>40</v>
      </c>
      <c r="I146">
        <v>30824076</v>
      </c>
      <c r="J146">
        <v>3513.2359999999999</v>
      </c>
      <c r="K146">
        <v>1145768572.48</v>
      </c>
    </row>
    <row r="147" spans="1:11" x14ac:dyDescent="0.25">
      <c r="A147" t="s">
        <v>301</v>
      </c>
      <c r="D147">
        <v>27661.612000000001</v>
      </c>
      <c r="E147">
        <v>24570223365.897781</v>
      </c>
      <c r="F147">
        <v>1662.624</v>
      </c>
      <c r="G147">
        <v>1732454157.1500001</v>
      </c>
      <c r="H147">
        <v>843</v>
      </c>
      <c r="I147">
        <v>1405781119</v>
      </c>
      <c r="J147">
        <v>28546.236000000001</v>
      </c>
      <c r="K147">
        <v>25533379738.047779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47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t="s">
        <v>11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5">
      <c r="A3">
        <v>2</v>
      </c>
      <c r="B3" t="s">
        <v>13</v>
      </c>
      <c r="C3" t="s">
        <v>14</v>
      </c>
      <c r="D3">
        <v>11</v>
      </c>
      <c r="E3">
        <v>82164061</v>
      </c>
      <c r="F3">
        <v>0</v>
      </c>
      <c r="G3">
        <v>0</v>
      </c>
      <c r="H3">
        <v>0</v>
      </c>
      <c r="I3">
        <v>0</v>
      </c>
      <c r="J3">
        <v>11</v>
      </c>
      <c r="K3">
        <v>82164061</v>
      </c>
    </row>
    <row r="4" spans="1:11" x14ac:dyDescent="0.25">
      <c r="A4">
        <v>3</v>
      </c>
      <c r="B4" t="s">
        <v>15</v>
      </c>
      <c r="C4" t="s">
        <v>16</v>
      </c>
      <c r="D4">
        <v>305</v>
      </c>
      <c r="E4">
        <v>3302508845.201292</v>
      </c>
      <c r="F4">
        <v>22</v>
      </c>
      <c r="G4">
        <v>232222223</v>
      </c>
      <c r="H4">
        <v>17</v>
      </c>
      <c r="I4">
        <v>208481481</v>
      </c>
      <c r="J4">
        <v>310</v>
      </c>
      <c r="K4">
        <v>3326249587.201292</v>
      </c>
    </row>
    <row r="5" spans="1:11" x14ac:dyDescent="0.25">
      <c r="A5">
        <v>4</v>
      </c>
      <c r="B5" t="s">
        <v>17</v>
      </c>
      <c r="C5" t="s">
        <v>18</v>
      </c>
      <c r="D5">
        <v>1</v>
      </c>
      <c r="E5">
        <v>29283636</v>
      </c>
      <c r="F5">
        <v>0</v>
      </c>
      <c r="G5">
        <v>0</v>
      </c>
      <c r="H5">
        <v>0</v>
      </c>
      <c r="I5">
        <v>0</v>
      </c>
      <c r="J5">
        <v>1</v>
      </c>
      <c r="K5">
        <v>29283636</v>
      </c>
    </row>
    <row r="6" spans="1:11" x14ac:dyDescent="0.25">
      <c r="A6">
        <v>5</v>
      </c>
      <c r="B6" t="s">
        <v>19</v>
      </c>
      <c r="C6" t="s">
        <v>20</v>
      </c>
      <c r="D6">
        <v>6</v>
      </c>
      <c r="E6">
        <v>63603218</v>
      </c>
      <c r="F6">
        <v>9</v>
      </c>
      <c r="G6">
        <v>98857408</v>
      </c>
      <c r="H6">
        <v>1</v>
      </c>
      <c r="I6">
        <v>16101852</v>
      </c>
      <c r="J6">
        <v>14</v>
      </c>
      <c r="K6">
        <v>146358774</v>
      </c>
    </row>
    <row r="7" spans="1:11" x14ac:dyDescent="0.25">
      <c r="A7">
        <v>6</v>
      </c>
      <c r="B7" t="s">
        <v>21</v>
      </c>
      <c r="C7" t="s">
        <v>22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5">
      <c r="A8">
        <v>7</v>
      </c>
      <c r="B8" t="s">
        <v>23</v>
      </c>
      <c r="C8" t="s">
        <v>24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5">
      <c r="A9">
        <v>8</v>
      </c>
      <c r="B9" t="s">
        <v>25</v>
      </c>
      <c r="C9" t="s">
        <v>26</v>
      </c>
      <c r="D9">
        <v>14</v>
      </c>
      <c r="E9">
        <v>53164451.450000003</v>
      </c>
      <c r="F9">
        <v>0</v>
      </c>
      <c r="G9">
        <v>0</v>
      </c>
      <c r="H9">
        <v>0</v>
      </c>
      <c r="I9">
        <v>0</v>
      </c>
      <c r="J9">
        <v>14</v>
      </c>
      <c r="K9">
        <v>53164451.450000003</v>
      </c>
    </row>
    <row r="10" spans="1:11" x14ac:dyDescent="0.25">
      <c r="A10">
        <v>9</v>
      </c>
      <c r="B10" t="s">
        <v>27</v>
      </c>
      <c r="C10" t="s">
        <v>28</v>
      </c>
      <c r="D10">
        <v>519</v>
      </c>
      <c r="E10">
        <v>1514734911.5951941</v>
      </c>
      <c r="F10">
        <v>53</v>
      </c>
      <c r="G10">
        <v>17777778</v>
      </c>
      <c r="H10">
        <v>13</v>
      </c>
      <c r="I10">
        <v>99648148</v>
      </c>
      <c r="J10">
        <v>559</v>
      </c>
      <c r="K10">
        <v>1432864541.5951941</v>
      </c>
    </row>
    <row r="11" spans="1:11" x14ac:dyDescent="0.25">
      <c r="A11">
        <v>10</v>
      </c>
      <c r="B11" t="s">
        <v>29</v>
      </c>
      <c r="C11" t="s">
        <v>30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5">
      <c r="A12">
        <v>11</v>
      </c>
      <c r="B12" t="s">
        <v>31</v>
      </c>
      <c r="C12" t="s">
        <v>32</v>
      </c>
      <c r="D12">
        <v>460</v>
      </c>
      <c r="E12">
        <v>5647358296.2191219</v>
      </c>
      <c r="F12">
        <v>51</v>
      </c>
      <c r="G12">
        <v>686577778</v>
      </c>
      <c r="H12">
        <v>23</v>
      </c>
      <c r="I12">
        <v>302712963</v>
      </c>
      <c r="J12">
        <v>488</v>
      </c>
      <c r="K12">
        <v>6031223111.2191219</v>
      </c>
    </row>
    <row r="13" spans="1:11" x14ac:dyDescent="0.25">
      <c r="A13">
        <v>12</v>
      </c>
      <c r="B13" t="s">
        <v>33</v>
      </c>
      <c r="C13" t="s">
        <v>34</v>
      </c>
      <c r="D13">
        <v>46</v>
      </c>
      <c r="E13">
        <v>861103998.76923084</v>
      </c>
      <c r="F13">
        <v>1</v>
      </c>
      <c r="G13">
        <v>21759259</v>
      </c>
      <c r="H13">
        <v>0</v>
      </c>
      <c r="I13">
        <v>0</v>
      </c>
      <c r="J13">
        <v>47</v>
      </c>
      <c r="K13">
        <v>882863257.76923084</v>
      </c>
    </row>
    <row r="14" spans="1:11" x14ac:dyDescent="0.25">
      <c r="A14">
        <v>13</v>
      </c>
      <c r="B14" t="s">
        <v>35</v>
      </c>
      <c r="C14" t="s">
        <v>36</v>
      </c>
      <c r="D14">
        <v>11</v>
      </c>
      <c r="E14">
        <v>308767232.28947371</v>
      </c>
      <c r="F14">
        <v>0</v>
      </c>
      <c r="G14">
        <v>0</v>
      </c>
      <c r="H14">
        <v>2</v>
      </c>
      <c r="I14">
        <v>34018519</v>
      </c>
      <c r="J14">
        <v>9</v>
      </c>
      <c r="K14">
        <v>274748713.28947371</v>
      </c>
    </row>
    <row r="15" spans="1:11" x14ac:dyDescent="0.25">
      <c r="A15">
        <v>14</v>
      </c>
      <c r="B15" t="s">
        <v>37</v>
      </c>
      <c r="C15" t="s">
        <v>38</v>
      </c>
      <c r="D15">
        <v>16</v>
      </c>
      <c r="E15">
        <v>212428171.93430659</v>
      </c>
      <c r="F15">
        <v>0</v>
      </c>
      <c r="G15">
        <v>0</v>
      </c>
      <c r="H15">
        <v>0</v>
      </c>
      <c r="I15">
        <v>0</v>
      </c>
      <c r="J15">
        <v>16</v>
      </c>
      <c r="K15">
        <v>212428171.93430659</v>
      </c>
    </row>
    <row r="16" spans="1:11" x14ac:dyDescent="0.25">
      <c r="A16">
        <v>15</v>
      </c>
      <c r="B16" t="s">
        <v>39</v>
      </c>
      <c r="C16" t="s">
        <v>40</v>
      </c>
      <c r="D16">
        <v>0</v>
      </c>
      <c r="E16">
        <v>30172222.10447761</v>
      </c>
      <c r="F16">
        <v>0</v>
      </c>
      <c r="G16">
        <v>0</v>
      </c>
      <c r="H16">
        <v>0</v>
      </c>
      <c r="I16">
        <v>0</v>
      </c>
      <c r="J16">
        <v>0</v>
      </c>
      <c r="K16">
        <v>30172222.10447761</v>
      </c>
    </row>
    <row r="17" spans="1:11" x14ac:dyDescent="0.25">
      <c r="A17">
        <v>16</v>
      </c>
      <c r="B17" t="s">
        <v>41</v>
      </c>
      <c r="C17" t="s">
        <v>42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>
        <v>17</v>
      </c>
      <c r="B18" t="s">
        <v>43</v>
      </c>
      <c r="C18" t="s">
        <v>44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>
        <v>18</v>
      </c>
      <c r="B19" t="s">
        <v>45</v>
      </c>
      <c r="C19" t="s">
        <v>46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25">
      <c r="A20">
        <v>19</v>
      </c>
      <c r="B20" t="s">
        <v>47</v>
      </c>
      <c r="C20" t="s">
        <v>48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5">
      <c r="A21">
        <v>20</v>
      </c>
      <c r="B21" t="s">
        <v>49</v>
      </c>
      <c r="C21" t="s">
        <v>50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25">
      <c r="A22">
        <v>21</v>
      </c>
      <c r="B22" t="s">
        <v>51</v>
      </c>
      <c r="C22" t="s">
        <v>52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25">
      <c r="A23">
        <v>22</v>
      </c>
      <c r="B23" t="s">
        <v>53</v>
      </c>
      <c r="C23" t="s">
        <v>54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25">
      <c r="A24">
        <v>23</v>
      </c>
      <c r="B24" t="s">
        <v>55</v>
      </c>
      <c r="C24" t="s">
        <v>56</v>
      </c>
      <c r="D24">
        <v>0</v>
      </c>
      <c r="E24">
        <v>0</v>
      </c>
      <c r="F24">
        <v>0</v>
      </c>
      <c r="G24">
        <v>0</v>
      </c>
      <c r="H24">
        <v>14</v>
      </c>
      <c r="I24">
        <v>196083334</v>
      </c>
      <c r="J24">
        <v>0</v>
      </c>
      <c r="K24">
        <v>0</v>
      </c>
    </row>
    <row r="25" spans="1:11" x14ac:dyDescent="0.25">
      <c r="A25">
        <v>24</v>
      </c>
      <c r="B25" t="s">
        <v>57</v>
      </c>
      <c r="C25" t="s">
        <v>58</v>
      </c>
      <c r="D25">
        <v>225</v>
      </c>
      <c r="E25">
        <v>1829422395.361217</v>
      </c>
      <c r="F25">
        <v>2</v>
      </c>
      <c r="G25">
        <v>26851852</v>
      </c>
      <c r="H25">
        <v>13</v>
      </c>
      <c r="I25">
        <v>167824075</v>
      </c>
      <c r="J25">
        <v>214</v>
      </c>
      <c r="K25">
        <v>1688450172.361217</v>
      </c>
    </row>
    <row r="26" spans="1:11" x14ac:dyDescent="0.25">
      <c r="A26">
        <v>25</v>
      </c>
      <c r="B26" t="s">
        <v>59</v>
      </c>
      <c r="C26" t="s">
        <v>60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25">
      <c r="A27">
        <v>26</v>
      </c>
      <c r="B27" t="s">
        <v>61</v>
      </c>
      <c r="C27" t="s">
        <v>62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5">
      <c r="A28">
        <v>27</v>
      </c>
      <c r="B28" t="s">
        <v>63</v>
      </c>
      <c r="C28" t="s">
        <v>64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25">
      <c r="A29">
        <v>28</v>
      </c>
      <c r="B29" t="s">
        <v>65</v>
      </c>
      <c r="C29" t="s">
        <v>66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x14ac:dyDescent="0.25">
      <c r="A30">
        <v>29</v>
      </c>
      <c r="B30" t="s">
        <v>67</v>
      </c>
      <c r="C30" t="s">
        <v>68</v>
      </c>
      <c r="D30">
        <v>5</v>
      </c>
      <c r="E30">
        <v>57213777.307692319</v>
      </c>
      <c r="F30">
        <v>0</v>
      </c>
      <c r="G30">
        <v>0</v>
      </c>
      <c r="H30">
        <v>0</v>
      </c>
      <c r="I30">
        <v>0</v>
      </c>
      <c r="J30">
        <v>5</v>
      </c>
      <c r="K30">
        <v>57213777.307692319</v>
      </c>
    </row>
    <row r="31" spans="1:11" x14ac:dyDescent="0.25">
      <c r="A31">
        <v>30</v>
      </c>
      <c r="B31" t="s">
        <v>69</v>
      </c>
      <c r="C31" t="s">
        <v>70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25">
      <c r="A32">
        <v>31</v>
      </c>
      <c r="B32" t="s">
        <v>71</v>
      </c>
      <c r="C32" t="s">
        <v>72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25">
      <c r="A33">
        <v>32</v>
      </c>
      <c r="B33" t="s">
        <v>73</v>
      </c>
      <c r="C33" t="s">
        <v>74</v>
      </c>
      <c r="D33">
        <v>3</v>
      </c>
      <c r="E33">
        <v>20458080.5</v>
      </c>
      <c r="F33">
        <v>0</v>
      </c>
      <c r="G33">
        <v>0</v>
      </c>
      <c r="H33">
        <v>0</v>
      </c>
      <c r="I33">
        <v>0</v>
      </c>
      <c r="J33">
        <v>3</v>
      </c>
      <c r="K33">
        <v>20458080.5</v>
      </c>
    </row>
    <row r="34" spans="1:11" x14ac:dyDescent="0.25">
      <c r="A34">
        <v>33</v>
      </c>
      <c r="B34" t="s">
        <v>75</v>
      </c>
      <c r="C34" t="s">
        <v>76</v>
      </c>
      <c r="D34">
        <v>45</v>
      </c>
      <c r="E34">
        <v>82415465.183266938</v>
      </c>
      <c r="F34">
        <v>0</v>
      </c>
      <c r="G34">
        <v>0</v>
      </c>
      <c r="H34">
        <v>8</v>
      </c>
      <c r="I34">
        <v>25231483</v>
      </c>
      <c r="J34">
        <v>37</v>
      </c>
      <c r="K34">
        <v>57183982.183266938</v>
      </c>
    </row>
    <row r="35" spans="1:11" x14ac:dyDescent="0.25">
      <c r="A35">
        <v>34</v>
      </c>
      <c r="B35" t="s">
        <v>77</v>
      </c>
      <c r="C35" t="s">
        <v>78</v>
      </c>
      <c r="D35">
        <v>437</v>
      </c>
      <c r="E35">
        <v>935141218.55380154</v>
      </c>
      <c r="F35">
        <v>46</v>
      </c>
      <c r="G35">
        <v>96381482</v>
      </c>
      <c r="H35">
        <v>11</v>
      </c>
      <c r="I35">
        <v>25074075</v>
      </c>
      <c r="J35">
        <v>472</v>
      </c>
      <c r="K35">
        <v>1006448625.553802</v>
      </c>
    </row>
    <row r="36" spans="1:11" x14ac:dyDescent="0.25">
      <c r="A36">
        <v>35</v>
      </c>
      <c r="B36" t="s">
        <v>79</v>
      </c>
      <c r="C36" t="s">
        <v>80</v>
      </c>
      <c r="D36">
        <v>15</v>
      </c>
      <c r="E36">
        <v>36292245.021276593</v>
      </c>
      <c r="F36">
        <v>0</v>
      </c>
      <c r="G36">
        <v>0</v>
      </c>
      <c r="H36">
        <v>0</v>
      </c>
      <c r="I36">
        <v>0</v>
      </c>
      <c r="J36">
        <v>15</v>
      </c>
      <c r="K36">
        <v>36292245.021276593</v>
      </c>
    </row>
    <row r="37" spans="1:11" x14ac:dyDescent="0.25">
      <c r="A37">
        <v>36</v>
      </c>
      <c r="B37" t="s">
        <v>81</v>
      </c>
      <c r="C37" t="s">
        <v>82</v>
      </c>
      <c r="D37">
        <v>30</v>
      </c>
      <c r="E37">
        <v>210577384.1964286</v>
      </c>
      <c r="F37">
        <v>0</v>
      </c>
      <c r="G37">
        <v>0</v>
      </c>
      <c r="H37">
        <v>0</v>
      </c>
      <c r="I37">
        <v>0</v>
      </c>
      <c r="J37">
        <v>30</v>
      </c>
      <c r="K37">
        <v>210577384.1964286</v>
      </c>
    </row>
    <row r="38" spans="1:11" x14ac:dyDescent="0.25">
      <c r="A38">
        <v>37</v>
      </c>
      <c r="B38" t="s">
        <v>83</v>
      </c>
      <c r="C38" t="s">
        <v>84</v>
      </c>
      <c r="D38">
        <v>2</v>
      </c>
      <c r="E38">
        <v>16427273</v>
      </c>
      <c r="F38">
        <v>0</v>
      </c>
      <c r="G38">
        <v>0</v>
      </c>
      <c r="H38">
        <v>0</v>
      </c>
      <c r="I38">
        <v>0</v>
      </c>
      <c r="J38">
        <v>2</v>
      </c>
      <c r="K38">
        <v>16427273</v>
      </c>
    </row>
    <row r="39" spans="1:11" x14ac:dyDescent="0.25">
      <c r="A39">
        <v>38</v>
      </c>
      <c r="B39" t="s">
        <v>85</v>
      </c>
      <c r="C39" t="s">
        <v>86</v>
      </c>
      <c r="D39">
        <v>121</v>
      </c>
      <c r="E39">
        <v>340977660.38106239</v>
      </c>
      <c r="F39">
        <v>10</v>
      </c>
      <c r="G39">
        <v>34592592</v>
      </c>
      <c r="H39">
        <v>0</v>
      </c>
      <c r="I39">
        <v>0</v>
      </c>
      <c r="J39">
        <v>131</v>
      </c>
      <c r="K39">
        <v>375570252.38106239</v>
      </c>
    </row>
    <row r="40" spans="1:11" x14ac:dyDescent="0.25">
      <c r="A40">
        <v>39</v>
      </c>
      <c r="B40" t="s">
        <v>87</v>
      </c>
      <c r="C40" t="s">
        <v>88</v>
      </c>
      <c r="D40">
        <v>9</v>
      </c>
      <c r="E40">
        <v>48234342.777777784</v>
      </c>
      <c r="F40">
        <v>0</v>
      </c>
      <c r="G40">
        <v>0</v>
      </c>
      <c r="H40">
        <v>0</v>
      </c>
      <c r="I40">
        <v>0</v>
      </c>
      <c r="J40">
        <v>9</v>
      </c>
      <c r="K40">
        <v>48234342.777777784</v>
      </c>
    </row>
    <row r="41" spans="1:11" x14ac:dyDescent="0.25">
      <c r="A41">
        <v>40</v>
      </c>
      <c r="B41" t="s">
        <v>89</v>
      </c>
      <c r="C41" t="s">
        <v>90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25">
      <c r="A42">
        <v>41</v>
      </c>
      <c r="B42" t="s">
        <v>91</v>
      </c>
      <c r="C42" t="s">
        <v>92</v>
      </c>
      <c r="D42">
        <v>2034</v>
      </c>
      <c r="E42">
        <v>45773016</v>
      </c>
      <c r="F42">
        <v>222</v>
      </c>
      <c r="G42">
        <v>56046219</v>
      </c>
      <c r="H42">
        <v>44</v>
      </c>
      <c r="I42">
        <v>37972223</v>
      </c>
      <c r="J42">
        <v>2212</v>
      </c>
      <c r="K42">
        <v>63847012</v>
      </c>
    </row>
    <row r="43" spans="1:11" x14ac:dyDescent="0.25">
      <c r="A43">
        <v>42</v>
      </c>
      <c r="B43" t="s">
        <v>93</v>
      </c>
      <c r="C43" t="s">
        <v>94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25">
      <c r="A44">
        <v>43</v>
      </c>
      <c r="B44" t="s">
        <v>95</v>
      </c>
      <c r="C44" t="s">
        <v>96</v>
      </c>
      <c r="D44">
        <v>365</v>
      </c>
      <c r="E44">
        <v>771677943.42474437</v>
      </c>
      <c r="F44">
        <v>37</v>
      </c>
      <c r="G44">
        <v>87634270</v>
      </c>
      <c r="H44">
        <v>10</v>
      </c>
      <c r="I44">
        <v>34462964</v>
      </c>
      <c r="J44">
        <v>392</v>
      </c>
      <c r="K44">
        <v>824849249.42474437</v>
      </c>
    </row>
    <row r="45" spans="1:11" x14ac:dyDescent="0.25">
      <c r="A45">
        <v>44</v>
      </c>
      <c r="B45" t="s">
        <v>97</v>
      </c>
      <c r="C45" t="s">
        <v>98</v>
      </c>
      <c r="D45">
        <v>87</v>
      </c>
      <c r="E45">
        <v>346011952.97297299</v>
      </c>
      <c r="F45">
        <v>0</v>
      </c>
      <c r="G45">
        <v>0</v>
      </c>
      <c r="H45">
        <v>2</v>
      </c>
      <c r="I45">
        <v>10814815</v>
      </c>
      <c r="J45">
        <v>85</v>
      </c>
      <c r="K45">
        <v>335197137.97297299</v>
      </c>
    </row>
    <row r="46" spans="1:11" x14ac:dyDescent="0.25">
      <c r="A46">
        <v>45</v>
      </c>
      <c r="B46" t="s">
        <v>99</v>
      </c>
      <c r="C46" t="s">
        <v>100</v>
      </c>
      <c r="D46">
        <v>226</v>
      </c>
      <c r="E46">
        <v>86019177.632571429</v>
      </c>
      <c r="F46">
        <v>0</v>
      </c>
      <c r="G46">
        <v>0</v>
      </c>
      <c r="H46">
        <v>1</v>
      </c>
      <c r="I46">
        <v>120370</v>
      </c>
      <c r="J46">
        <v>225</v>
      </c>
      <c r="K46">
        <v>85898807.632571429</v>
      </c>
    </row>
    <row r="47" spans="1:11" x14ac:dyDescent="0.25">
      <c r="A47">
        <v>46</v>
      </c>
      <c r="B47" t="s">
        <v>101</v>
      </c>
      <c r="C47" t="s">
        <v>102</v>
      </c>
      <c r="D47">
        <v>136</v>
      </c>
      <c r="E47">
        <v>277923093.51567382</v>
      </c>
      <c r="F47">
        <v>0</v>
      </c>
      <c r="G47">
        <v>0</v>
      </c>
      <c r="H47">
        <v>0</v>
      </c>
      <c r="I47">
        <v>0</v>
      </c>
      <c r="J47">
        <v>136</v>
      </c>
      <c r="K47">
        <v>277923093.51567382</v>
      </c>
    </row>
    <row r="48" spans="1:11" x14ac:dyDescent="0.25">
      <c r="A48">
        <v>47</v>
      </c>
      <c r="B48" t="s">
        <v>103</v>
      </c>
      <c r="C48" t="s">
        <v>104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 x14ac:dyDescent="0.25">
      <c r="A49">
        <v>48</v>
      </c>
      <c r="B49" t="s">
        <v>105</v>
      </c>
      <c r="C49" t="s">
        <v>106</v>
      </c>
      <c r="D49">
        <v>38</v>
      </c>
      <c r="E49">
        <v>265555738.68224141</v>
      </c>
      <c r="F49">
        <v>3</v>
      </c>
      <c r="G49">
        <v>14537037</v>
      </c>
      <c r="H49">
        <v>3</v>
      </c>
      <c r="I49">
        <v>16787038</v>
      </c>
      <c r="J49">
        <v>38</v>
      </c>
      <c r="K49">
        <v>263305737.68224141</v>
      </c>
    </row>
    <row r="50" spans="1:11" x14ac:dyDescent="0.25">
      <c r="A50">
        <v>49</v>
      </c>
      <c r="B50" t="s">
        <v>107</v>
      </c>
      <c r="C50" t="s">
        <v>108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25">
      <c r="A51">
        <v>50</v>
      </c>
      <c r="B51" t="s">
        <v>109</v>
      </c>
      <c r="C51" t="s">
        <v>110</v>
      </c>
      <c r="D51">
        <v>5</v>
      </c>
      <c r="E51">
        <v>254228.19999999931</v>
      </c>
      <c r="F51">
        <v>0</v>
      </c>
      <c r="G51">
        <v>0</v>
      </c>
      <c r="H51">
        <v>0</v>
      </c>
      <c r="I51">
        <v>0</v>
      </c>
      <c r="J51">
        <v>5</v>
      </c>
      <c r="K51">
        <v>254228.19999999931</v>
      </c>
    </row>
    <row r="52" spans="1:11" x14ac:dyDescent="0.25">
      <c r="A52">
        <v>51</v>
      </c>
      <c r="B52" t="s">
        <v>111</v>
      </c>
      <c r="C52" t="s">
        <v>112</v>
      </c>
      <c r="D52">
        <v>15</v>
      </c>
      <c r="E52">
        <v>33567522.066938758</v>
      </c>
      <c r="F52">
        <v>0</v>
      </c>
      <c r="G52">
        <v>0</v>
      </c>
      <c r="H52">
        <v>0</v>
      </c>
      <c r="I52">
        <v>0</v>
      </c>
      <c r="J52">
        <v>15</v>
      </c>
      <c r="K52">
        <v>33567522.066938758</v>
      </c>
    </row>
    <row r="53" spans="1:11" x14ac:dyDescent="0.25">
      <c r="A53">
        <v>52</v>
      </c>
      <c r="B53" t="s">
        <v>113</v>
      </c>
      <c r="C53" t="s">
        <v>114</v>
      </c>
      <c r="D53">
        <v>3</v>
      </c>
      <c r="E53">
        <v>5580000</v>
      </c>
      <c r="F53">
        <v>0</v>
      </c>
      <c r="G53">
        <v>0</v>
      </c>
      <c r="H53">
        <v>0</v>
      </c>
      <c r="I53">
        <v>0</v>
      </c>
      <c r="J53">
        <v>3</v>
      </c>
      <c r="K53">
        <v>5580000</v>
      </c>
    </row>
    <row r="54" spans="1:11" x14ac:dyDescent="0.25">
      <c r="A54">
        <v>53</v>
      </c>
      <c r="B54" t="s">
        <v>115</v>
      </c>
      <c r="C54" t="s">
        <v>116</v>
      </c>
      <c r="D54">
        <v>1</v>
      </c>
      <c r="E54">
        <v>1480000</v>
      </c>
      <c r="F54">
        <v>0</v>
      </c>
      <c r="G54">
        <v>0</v>
      </c>
      <c r="H54">
        <v>0</v>
      </c>
      <c r="I54">
        <v>0</v>
      </c>
      <c r="J54">
        <v>1</v>
      </c>
      <c r="K54">
        <v>1480000</v>
      </c>
    </row>
    <row r="55" spans="1:11" x14ac:dyDescent="0.25">
      <c r="A55">
        <v>54</v>
      </c>
      <c r="B55" t="s">
        <v>117</v>
      </c>
      <c r="C55" t="s">
        <v>118</v>
      </c>
      <c r="D55">
        <v>86</v>
      </c>
      <c r="E55">
        <v>105598761.172702</v>
      </c>
      <c r="F55">
        <v>1</v>
      </c>
      <c r="G55">
        <v>13300000</v>
      </c>
      <c r="H55">
        <v>4</v>
      </c>
      <c r="I55">
        <v>15638890</v>
      </c>
      <c r="J55">
        <v>83</v>
      </c>
      <c r="K55">
        <v>103259871.172702</v>
      </c>
    </row>
    <row r="56" spans="1:11" x14ac:dyDescent="0.25">
      <c r="A56">
        <v>55</v>
      </c>
      <c r="B56" t="s">
        <v>119</v>
      </c>
      <c r="C56" t="s">
        <v>120</v>
      </c>
      <c r="D56">
        <v>37</v>
      </c>
      <c r="E56">
        <v>6178159.4915254228</v>
      </c>
      <c r="F56">
        <v>0</v>
      </c>
      <c r="G56">
        <v>0</v>
      </c>
      <c r="H56">
        <v>2</v>
      </c>
      <c r="I56">
        <v>2166666</v>
      </c>
      <c r="J56">
        <v>35</v>
      </c>
      <c r="K56">
        <v>4011493.4915254228</v>
      </c>
    </row>
    <row r="57" spans="1:11" x14ac:dyDescent="0.25">
      <c r="A57">
        <v>56</v>
      </c>
      <c r="B57" t="s">
        <v>121</v>
      </c>
      <c r="C57" t="s">
        <v>122</v>
      </c>
      <c r="D57">
        <v>6</v>
      </c>
      <c r="E57">
        <v>15840369.180769229</v>
      </c>
      <c r="F57">
        <v>1</v>
      </c>
      <c r="G57">
        <v>12500000</v>
      </c>
      <c r="H57">
        <v>1</v>
      </c>
      <c r="I57">
        <v>9259259</v>
      </c>
      <c r="J57">
        <v>6</v>
      </c>
      <c r="K57">
        <v>19081110.180769231</v>
      </c>
    </row>
    <row r="58" spans="1:11" x14ac:dyDescent="0.25">
      <c r="A58">
        <v>57</v>
      </c>
      <c r="B58" t="s">
        <v>123</v>
      </c>
      <c r="C58" t="s">
        <v>124</v>
      </c>
      <c r="D58">
        <v>2</v>
      </c>
      <c r="E58">
        <v>1829966.11</v>
      </c>
      <c r="F58">
        <v>0</v>
      </c>
      <c r="G58">
        <v>0</v>
      </c>
      <c r="H58">
        <v>0</v>
      </c>
      <c r="I58">
        <v>0</v>
      </c>
      <c r="J58">
        <v>2</v>
      </c>
      <c r="K58">
        <v>1829966.11</v>
      </c>
    </row>
    <row r="59" spans="1:11" x14ac:dyDescent="0.25">
      <c r="A59">
        <v>58</v>
      </c>
      <c r="B59" t="s">
        <v>125</v>
      </c>
      <c r="C59" t="s">
        <v>126</v>
      </c>
      <c r="D59">
        <v>1225</v>
      </c>
      <c r="E59">
        <v>73337370.365597606</v>
      </c>
      <c r="F59">
        <v>128</v>
      </c>
      <c r="G59">
        <v>27200951</v>
      </c>
      <c r="H59">
        <v>59</v>
      </c>
      <c r="I59">
        <v>20537037</v>
      </c>
      <c r="J59">
        <v>1294</v>
      </c>
      <c r="K59">
        <v>80001284.365597606</v>
      </c>
    </row>
    <row r="60" spans="1:11" x14ac:dyDescent="0.25">
      <c r="A60">
        <v>59</v>
      </c>
      <c r="B60" t="s">
        <v>127</v>
      </c>
      <c r="C60" t="s">
        <v>128</v>
      </c>
      <c r="D60">
        <v>188</v>
      </c>
      <c r="E60">
        <v>2952378</v>
      </c>
      <c r="F60">
        <v>25</v>
      </c>
      <c r="G60">
        <v>1893570</v>
      </c>
      <c r="H60">
        <v>3</v>
      </c>
      <c r="I60">
        <v>648147</v>
      </c>
      <c r="J60">
        <v>210</v>
      </c>
      <c r="K60">
        <v>4197801</v>
      </c>
    </row>
    <row r="61" spans="1:11" x14ac:dyDescent="0.25">
      <c r="A61">
        <v>60</v>
      </c>
      <c r="B61" t="s">
        <v>129</v>
      </c>
      <c r="C61" t="s">
        <v>130</v>
      </c>
      <c r="D61">
        <v>75</v>
      </c>
      <c r="E61">
        <v>4904885</v>
      </c>
      <c r="F61">
        <v>0</v>
      </c>
      <c r="G61">
        <v>0</v>
      </c>
      <c r="H61">
        <v>0</v>
      </c>
      <c r="I61">
        <v>0</v>
      </c>
      <c r="J61">
        <v>75</v>
      </c>
      <c r="K61">
        <v>4904885</v>
      </c>
    </row>
    <row r="62" spans="1:11" x14ac:dyDescent="0.25">
      <c r="A62">
        <v>61</v>
      </c>
      <c r="B62" t="s">
        <v>131</v>
      </c>
      <c r="C62" t="s">
        <v>132</v>
      </c>
      <c r="D62">
        <v>1304</v>
      </c>
      <c r="E62">
        <v>55077370.878957927</v>
      </c>
      <c r="F62">
        <v>150</v>
      </c>
      <c r="G62">
        <v>4027778</v>
      </c>
      <c r="H62">
        <v>51</v>
      </c>
      <c r="I62">
        <v>6527776</v>
      </c>
      <c r="J62">
        <v>1403</v>
      </c>
      <c r="K62">
        <v>52577372.878957927</v>
      </c>
    </row>
    <row r="63" spans="1:11" x14ac:dyDescent="0.25">
      <c r="A63">
        <v>62</v>
      </c>
      <c r="B63" t="s">
        <v>133</v>
      </c>
      <c r="C63" t="s">
        <v>134</v>
      </c>
      <c r="D63">
        <v>926</v>
      </c>
      <c r="E63">
        <v>164665915.71158049</v>
      </c>
      <c r="F63">
        <v>0</v>
      </c>
      <c r="G63">
        <v>0</v>
      </c>
      <c r="H63">
        <v>9</v>
      </c>
      <c r="I63">
        <v>2222220</v>
      </c>
      <c r="J63">
        <v>917</v>
      </c>
      <c r="K63">
        <v>162443695.71158049</v>
      </c>
    </row>
    <row r="64" spans="1:11" x14ac:dyDescent="0.25">
      <c r="A64">
        <v>63</v>
      </c>
      <c r="B64" t="s">
        <v>135</v>
      </c>
      <c r="C64" t="s">
        <v>136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 x14ac:dyDescent="0.25">
      <c r="A65">
        <v>64</v>
      </c>
      <c r="B65" t="s">
        <v>137</v>
      </c>
      <c r="C65" t="s">
        <v>138</v>
      </c>
      <c r="D65">
        <v>22</v>
      </c>
      <c r="E65">
        <v>5355147.4511235952</v>
      </c>
      <c r="F65">
        <v>0</v>
      </c>
      <c r="G65">
        <v>0</v>
      </c>
      <c r="H65">
        <v>0</v>
      </c>
      <c r="I65">
        <v>0</v>
      </c>
      <c r="J65">
        <v>22</v>
      </c>
      <c r="K65">
        <v>5355147.4511235952</v>
      </c>
    </row>
    <row r="66" spans="1:11" x14ac:dyDescent="0.25">
      <c r="A66">
        <v>65</v>
      </c>
      <c r="B66" t="s">
        <v>139</v>
      </c>
      <c r="C66" t="s">
        <v>140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 x14ac:dyDescent="0.25">
      <c r="A67">
        <v>66</v>
      </c>
      <c r="B67" t="s">
        <v>141</v>
      </c>
      <c r="C67" t="s">
        <v>142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 x14ac:dyDescent="0.25">
      <c r="A68">
        <v>67</v>
      </c>
      <c r="B68" t="s">
        <v>143</v>
      </c>
      <c r="C68" t="s">
        <v>144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 x14ac:dyDescent="0.25">
      <c r="A69">
        <v>68</v>
      </c>
      <c r="B69" t="s">
        <v>145</v>
      </c>
      <c r="C69" t="s">
        <v>146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 x14ac:dyDescent="0.25">
      <c r="A70">
        <v>69</v>
      </c>
      <c r="B70" t="s">
        <v>147</v>
      </c>
      <c r="C70" t="s">
        <v>148</v>
      </c>
      <c r="D70">
        <v>249</v>
      </c>
      <c r="E70">
        <v>51939818.665112108</v>
      </c>
      <c r="F70">
        <v>20</v>
      </c>
      <c r="G70">
        <v>277780</v>
      </c>
      <c r="H70">
        <v>1</v>
      </c>
      <c r="I70">
        <v>638889</v>
      </c>
      <c r="J70">
        <v>268</v>
      </c>
      <c r="K70">
        <v>51578709.665112108</v>
      </c>
    </row>
    <row r="71" spans="1:11" x14ac:dyDescent="0.25">
      <c r="A71">
        <v>70</v>
      </c>
      <c r="B71" t="s">
        <v>149</v>
      </c>
      <c r="C71" t="s">
        <v>150</v>
      </c>
      <c r="D71">
        <v>19</v>
      </c>
      <c r="E71">
        <v>1192898.1599999999</v>
      </c>
      <c r="F71">
        <v>0</v>
      </c>
      <c r="G71">
        <v>0</v>
      </c>
      <c r="H71">
        <v>0</v>
      </c>
      <c r="I71">
        <v>0</v>
      </c>
      <c r="J71">
        <v>19</v>
      </c>
      <c r="K71">
        <v>1192898.1599999999</v>
      </c>
    </row>
    <row r="72" spans="1:11" x14ac:dyDescent="0.25">
      <c r="A72">
        <v>71</v>
      </c>
      <c r="B72" t="s">
        <v>151</v>
      </c>
      <c r="C72" t="s">
        <v>152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</row>
    <row r="73" spans="1:11" x14ac:dyDescent="0.25">
      <c r="A73">
        <v>72</v>
      </c>
      <c r="B73" t="s">
        <v>153</v>
      </c>
      <c r="C73" t="s">
        <v>154</v>
      </c>
      <c r="D73">
        <v>100</v>
      </c>
      <c r="E73">
        <v>0</v>
      </c>
      <c r="F73">
        <v>0</v>
      </c>
      <c r="G73">
        <v>0</v>
      </c>
      <c r="H73">
        <v>0</v>
      </c>
      <c r="I73">
        <v>0</v>
      </c>
      <c r="J73">
        <v>100</v>
      </c>
      <c r="K73">
        <v>0</v>
      </c>
    </row>
    <row r="74" spans="1:11" x14ac:dyDescent="0.25">
      <c r="A74">
        <v>73</v>
      </c>
      <c r="B74" t="s">
        <v>155</v>
      </c>
      <c r="C74" t="s">
        <v>156</v>
      </c>
      <c r="D74">
        <v>249</v>
      </c>
      <c r="E74">
        <v>593398247.0787878</v>
      </c>
      <c r="F74">
        <v>0</v>
      </c>
      <c r="G74">
        <v>0</v>
      </c>
      <c r="H74">
        <v>0</v>
      </c>
      <c r="I74">
        <v>0</v>
      </c>
      <c r="J74">
        <v>249</v>
      </c>
      <c r="K74">
        <v>593398247.0787878</v>
      </c>
    </row>
    <row r="75" spans="1:11" x14ac:dyDescent="0.25">
      <c r="A75">
        <v>74</v>
      </c>
      <c r="B75" t="s">
        <v>157</v>
      </c>
      <c r="C75" t="s">
        <v>158</v>
      </c>
      <c r="D75">
        <v>167</v>
      </c>
      <c r="E75">
        <v>493086821.75098813</v>
      </c>
      <c r="F75">
        <v>3</v>
      </c>
      <c r="G75">
        <v>11435185</v>
      </c>
      <c r="H75">
        <v>4</v>
      </c>
      <c r="I75">
        <v>17222222</v>
      </c>
      <c r="J75">
        <v>166</v>
      </c>
      <c r="K75">
        <v>487299784.75098813</v>
      </c>
    </row>
    <row r="76" spans="1:11" x14ac:dyDescent="0.25">
      <c r="A76">
        <v>75</v>
      </c>
      <c r="B76" t="s">
        <v>159</v>
      </c>
      <c r="C76" t="s">
        <v>160</v>
      </c>
      <c r="D76">
        <v>12</v>
      </c>
      <c r="E76">
        <v>71416287.875</v>
      </c>
      <c r="F76">
        <v>0</v>
      </c>
      <c r="G76">
        <v>0</v>
      </c>
      <c r="H76">
        <v>0</v>
      </c>
      <c r="I76">
        <v>0</v>
      </c>
      <c r="J76">
        <v>12</v>
      </c>
      <c r="K76">
        <v>71416287.875</v>
      </c>
    </row>
    <row r="77" spans="1:11" x14ac:dyDescent="0.25">
      <c r="A77">
        <v>76</v>
      </c>
      <c r="B77" t="s">
        <v>161</v>
      </c>
      <c r="C77" t="s">
        <v>162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 x14ac:dyDescent="0.25">
      <c r="A78">
        <v>77</v>
      </c>
      <c r="B78" t="s">
        <v>163</v>
      </c>
      <c r="C78" t="s">
        <v>164</v>
      </c>
      <c r="D78">
        <v>328</v>
      </c>
      <c r="E78">
        <v>479474860.59605908</v>
      </c>
      <c r="F78">
        <v>37</v>
      </c>
      <c r="G78">
        <v>53601857</v>
      </c>
      <c r="H78">
        <v>3</v>
      </c>
      <c r="I78">
        <v>4601852</v>
      </c>
      <c r="J78">
        <v>362</v>
      </c>
      <c r="K78">
        <v>528474865.59605908</v>
      </c>
    </row>
    <row r="79" spans="1:11" x14ac:dyDescent="0.25">
      <c r="A79">
        <v>78</v>
      </c>
      <c r="B79" t="s">
        <v>165</v>
      </c>
      <c r="C79" t="s">
        <v>166</v>
      </c>
      <c r="D79">
        <v>33</v>
      </c>
      <c r="E79">
        <v>73699282</v>
      </c>
      <c r="F79">
        <v>0</v>
      </c>
      <c r="G79">
        <v>0</v>
      </c>
      <c r="H79">
        <v>1</v>
      </c>
      <c r="I79">
        <v>1850000</v>
      </c>
      <c r="J79">
        <v>32</v>
      </c>
      <c r="K79">
        <v>71849282</v>
      </c>
    </row>
    <row r="80" spans="1:11" x14ac:dyDescent="0.25">
      <c r="A80">
        <v>79</v>
      </c>
      <c r="B80" t="s">
        <v>167</v>
      </c>
      <c r="C80" t="s">
        <v>168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 x14ac:dyDescent="0.25">
      <c r="A81">
        <v>80</v>
      </c>
      <c r="B81" t="s">
        <v>169</v>
      </c>
      <c r="C81" t="s">
        <v>170</v>
      </c>
      <c r="D81">
        <v>900</v>
      </c>
      <c r="E81">
        <v>255539739.62329009</v>
      </c>
      <c r="F81">
        <v>0</v>
      </c>
      <c r="G81">
        <v>0</v>
      </c>
      <c r="H81">
        <v>72</v>
      </c>
      <c r="I81">
        <v>59388889</v>
      </c>
      <c r="J81">
        <v>828</v>
      </c>
      <c r="K81">
        <v>196150850.62329009</v>
      </c>
    </row>
    <row r="82" spans="1:11" x14ac:dyDescent="0.25">
      <c r="A82">
        <v>81</v>
      </c>
      <c r="B82" t="s">
        <v>171</v>
      </c>
      <c r="C82" t="s">
        <v>172</v>
      </c>
      <c r="D82">
        <v>255</v>
      </c>
      <c r="E82">
        <v>225085807.11730209</v>
      </c>
      <c r="F82">
        <v>0</v>
      </c>
      <c r="G82">
        <v>0</v>
      </c>
      <c r="H82">
        <v>6</v>
      </c>
      <c r="I82">
        <v>6129628</v>
      </c>
      <c r="J82">
        <v>249</v>
      </c>
      <c r="K82">
        <v>218956179.11730209</v>
      </c>
    </row>
    <row r="83" spans="1:11" x14ac:dyDescent="0.25">
      <c r="A83">
        <v>82</v>
      </c>
      <c r="B83" t="s">
        <v>173</v>
      </c>
      <c r="C83" t="s">
        <v>174</v>
      </c>
      <c r="D83">
        <v>179</v>
      </c>
      <c r="E83">
        <v>160749418.20238101</v>
      </c>
      <c r="F83">
        <v>0</v>
      </c>
      <c r="G83">
        <v>0</v>
      </c>
      <c r="H83">
        <v>0</v>
      </c>
      <c r="I83">
        <v>0</v>
      </c>
      <c r="J83">
        <v>179</v>
      </c>
      <c r="K83">
        <v>160749418.20238101</v>
      </c>
    </row>
    <row r="84" spans="1:11" x14ac:dyDescent="0.25">
      <c r="A84">
        <v>83</v>
      </c>
      <c r="B84" t="s">
        <v>175</v>
      </c>
      <c r="C84" t="s">
        <v>176</v>
      </c>
      <c r="D84">
        <v>7</v>
      </c>
      <c r="E84">
        <v>6787540.200000003</v>
      </c>
      <c r="F84">
        <v>0</v>
      </c>
      <c r="G84">
        <v>0</v>
      </c>
      <c r="H84">
        <v>0</v>
      </c>
      <c r="I84">
        <v>0</v>
      </c>
      <c r="J84">
        <v>7</v>
      </c>
      <c r="K84">
        <v>6787540.200000003</v>
      </c>
    </row>
    <row r="85" spans="1:11" x14ac:dyDescent="0.25">
      <c r="A85">
        <v>84</v>
      </c>
      <c r="B85" t="s">
        <v>177</v>
      </c>
      <c r="C85" t="s">
        <v>178</v>
      </c>
      <c r="D85">
        <v>17</v>
      </c>
      <c r="E85">
        <v>92075778.483870968</v>
      </c>
      <c r="F85">
        <v>2</v>
      </c>
      <c r="G85">
        <v>8240741</v>
      </c>
      <c r="H85">
        <v>0</v>
      </c>
      <c r="I85">
        <v>0</v>
      </c>
      <c r="J85">
        <v>19</v>
      </c>
      <c r="K85">
        <v>100316519.483871</v>
      </c>
    </row>
    <row r="86" spans="1:11" x14ac:dyDescent="0.25">
      <c r="A86">
        <v>85</v>
      </c>
      <c r="B86" t="s">
        <v>179</v>
      </c>
      <c r="C86" t="s">
        <v>180</v>
      </c>
      <c r="D86">
        <v>22</v>
      </c>
      <c r="E86">
        <v>29190400.16</v>
      </c>
      <c r="F86">
        <v>0</v>
      </c>
      <c r="G86">
        <v>0</v>
      </c>
      <c r="H86">
        <v>0</v>
      </c>
      <c r="I86">
        <v>0</v>
      </c>
      <c r="J86">
        <v>22</v>
      </c>
      <c r="K86">
        <v>29190400.16</v>
      </c>
    </row>
    <row r="87" spans="1:11" x14ac:dyDescent="0.25">
      <c r="A87">
        <v>86</v>
      </c>
      <c r="B87" t="s">
        <v>181</v>
      </c>
      <c r="C87" t="s">
        <v>182</v>
      </c>
      <c r="D87">
        <v>70</v>
      </c>
      <c r="E87">
        <v>69635338.572559372</v>
      </c>
      <c r="F87">
        <v>2</v>
      </c>
      <c r="G87">
        <v>5092593</v>
      </c>
      <c r="H87">
        <v>12</v>
      </c>
      <c r="I87">
        <v>23592593</v>
      </c>
      <c r="J87">
        <v>60</v>
      </c>
      <c r="K87">
        <v>51135338.572559372</v>
      </c>
    </row>
    <row r="88" spans="1:11" x14ac:dyDescent="0.25">
      <c r="A88">
        <v>87</v>
      </c>
      <c r="B88" t="s">
        <v>183</v>
      </c>
      <c r="C88" t="s">
        <v>184</v>
      </c>
      <c r="D88">
        <v>3</v>
      </c>
      <c r="E88">
        <v>2443182.9545454532</v>
      </c>
      <c r="F88">
        <v>0</v>
      </c>
      <c r="G88">
        <v>0</v>
      </c>
      <c r="H88">
        <v>0</v>
      </c>
      <c r="I88">
        <v>0</v>
      </c>
      <c r="J88">
        <v>3</v>
      </c>
      <c r="K88">
        <v>2443182.9545454532</v>
      </c>
    </row>
    <row r="89" spans="1:11" x14ac:dyDescent="0.25">
      <c r="A89">
        <v>88</v>
      </c>
      <c r="B89" t="s">
        <v>185</v>
      </c>
      <c r="C89" t="s">
        <v>186</v>
      </c>
      <c r="D89">
        <v>876</v>
      </c>
      <c r="E89">
        <v>278872652.74628812</v>
      </c>
      <c r="F89">
        <v>0</v>
      </c>
      <c r="G89">
        <v>0</v>
      </c>
      <c r="H89">
        <v>13</v>
      </c>
      <c r="I89">
        <v>8166670</v>
      </c>
      <c r="J89">
        <v>863</v>
      </c>
      <c r="K89">
        <v>270705982.74628812</v>
      </c>
    </row>
    <row r="90" spans="1:11" x14ac:dyDescent="0.25">
      <c r="A90">
        <v>89</v>
      </c>
      <c r="B90" t="s">
        <v>187</v>
      </c>
      <c r="C90" t="s">
        <v>188</v>
      </c>
      <c r="D90">
        <v>278</v>
      </c>
      <c r="E90">
        <v>252329469.34957021</v>
      </c>
      <c r="F90">
        <v>0</v>
      </c>
      <c r="G90">
        <v>0</v>
      </c>
      <c r="H90">
        <v>7</v>
      </c>
      <c r="I90">
        <v>19750001</v>
      </c>
      <c r="J90">
        <v>271</v>
      </c>
      <c r="K90">
        <v>232579468.34957021</v>
      </c>
    </row>
    <row r="91" spans="1:11" x14ac:dyDescent="0.25">
      <c r="A91">
        <v>90</v>
      </c>
      <c r="B91" t="s">
        <v>189</v>
      </c>
      <c r="C91" t="s">
        <v>190</v>
      </c>
      <c r="D91">
        <v>199</v>
      </c>
      <c r="E91">
        <v>259475450.9923954</v>
      </c>
      <c r="F91">
        <v>1</v>
      </c>
      <c r="G91">
        <v>3018519</v>
      </c>
      <c r="H91">
        <v>3</v>
      </c>
      <c r="I91">
        <v>7120370</v>
      </c>
      <c r="J91">
        <v>197</v>
      </c>
      <c r="K91">
        <v>255373599.9923954</v>
      </c>
    </row>
    <row r="92" spans="1:11" x14ac:dyDescent="0.25">
      <c r="A92">
        <v>91</v>
      </c>
      <c r="B92" t="s">
        <v>191</v>
      </c>
      <c r="C92" t="s">
        <v>192</v>
      </c>
      <c r="D92">
        <v>86</v>
      </c>
      <c r="E92">
        <v>32206917.128078818</v>
      </c>
      <c r="F92">
        <v>0</v>
      </c>
      <c r="G92">
        <v>0</v>
      </c>
      <c r="H92">
        <v>1</v>
      </c>
      <c r="I92">
        <v>1225926</v>
      </c>
      <c r="J92">
        <v>85</v>
      </c>
      <c r="K92">
        <v>30980991.128078818</v>
      </c>
    </row>
    <row r="93" spans="1:11" x14ac:dyDescent="0.25">
      <c r="A93">
        <v>92</v>
      </c>
      <c r="B93" t="s">
        <v>193</v>
      </c>
      <c r="C93" t="s">
        <v>194</v>
      </c>
      <c r="D93">
        <v>27</v>
      </c>
      <c r="E93">
        <v>52207857.432558149</v>
      </c>
      <c r="F93">
        <v>0</v>
      </c>
      <c r="G93">
        <v>0</v>
      </c>
      <c r="H93">
        <v>0</v>
      </c>
      <c r="I93">
        <v>0</v>
      </c>
      <c r="J93">
        <v>27</v>
      </c>
      <c r="K93">
        <v>52207857.432558149</v>
      </c>
    </row>
    <row r="94" spans="1:11" x14ac:dyDescent="0.25">
      <c r="A94">
        <v>93</v>
      </c>
      <c r="B94" t="s">
        <v>195</v>
      </c>
      <c r="C94" t="s">
        <v>196</v>
      </c>
      <c r="D94">
        <v>415</v>
      </c>
      <c r="E94">
        <v>162326849.61556071</v>
      </c>
      <c r="F94">
        <v>0</v>
      </c>
      <c r="G94">
        <v>0</v>
      </c>
      <c r="H94">
        <v>0</v>
      </c>
      <c r="I94">
        <v>0</v>
      </c>
      <c r="J94">
        <v>415</v>
      </c>
      <c r="K94">
        <v>162326849.61556071</v>
      </c>
    </row>
    <row r="95" spans="1:11" x14ac:dyDescent="0.25">
      <c r="A95">
        <v>94</v>
      </c>
      <c r="B95" t="s">
        <v>197</v>
      </c>
      <c r="C95" t="s">
        <v>198</v>
      </c>
      <c r="D95">
        <v>30</v>
      </c>
      <c r="E95">
        <v>3088722</v>
      </c>
      <c r="F95">
        <v>0</v>
      </c>
      <c r="G95">
        <v>0</v>
      </c>
      <c r="H95">
        <v>0</v>
      </c>
      <c r="I95">
        <v>0</v>
      </c>
      <c r="J95">
        <v>30</v>
      </c>
      <c r="K95">
        <v>3088722</v>
      </c>
    </row>
    <row r="96" spans="1:11" x14ac:dyDescent="0.25">
      <c r="A96">
        <v>95</v>
      </c>
      <c r="B96" t="s">
        <v>199</v>
      </c>
      <c r="C96" t="s">
        <v>200</v>
      </c>
      <c r="D96">
        <v>137</v>
      </c>
      <c r="E96">
        <v>7840038.0819672123</v>
      </c>
      <c r="F96">
        <v>0</v>
      </c>
      <c r="G96">
        <v>0</v>
      </c>
      <c r="H96">
        <v>1</v>
      </c>
      <c r="I96">
        <v>92593</v>
      </c>
      <c r="J96">
        <v>136</v>
      </c>
      <c r="K96">
        <v>7747445.0819672123</v>
      </c>
    </row>
    <row r="97" spans="1:11" x14ac:dyDescent="0.25">
      <c r="A97">
        <v>96</v>
      </c>
      <c r="B97" t="s">
        <v>201</v>
      </c>
      <c r="C97" t="s">
        <v>202</v>
      </c>
      <c r="D97">
        <v>1845</v>
      </c>
      <c r="E97">
        <v>211483191.4361957</v>
      </c>
      <c r="F97">
        <v>27</v>
      </c>
      <c r="G97">
        <v>4958335</v>
      </c>
      <c r="H97">
        <v>0</v>
      </c>
      <c r="I97">
        <v>0</v>
      </c>
      <c r="J97">
        <v>1872</v>
      </c>
      <c r="K97">
        <v>216441526.4361957</v>
      </c>
    </row>
    <row r="98" spans="1:11" x14ac:dyDescent="0.25">
      <c r="A98">
        <v>97</v>
      </c>
      <c r="B98" t="s">
        <v>203</v>
      </c>
      <c r="C98" t="s">
        <v>204</v>
      </c>
      <c r="D98">
        <v>435</v>
      </c>
      <c r="E98">
        <v>69980200.620727673</v>
      </c>
      <c r="F98">
        <v>0</v>
      </c>
      <c r="G98">
        <v>0</v>
      </c>
      <c r="H98">
        <v>0</v>
      </c>
      <c r="I98">
        <v>0</v>
      </c>
      <c r="J98">
        <v>435</v>
      </c>
      <c r="K98">
        <v>69980200.620727673</v>
      </c>
    </row>
    <row r="99" spans="1:11" x14ac:dyDescent="0.25">
      <c r="A99">
        <v>98</v>
      </c>
      <c r="B99" t="s">
        <v>205</v>
      </c>
      <c r="C99" t="s">
        <v>206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 x14ac:dyDescent="0.25">
      <c r="A100">
        <v>99</v>
      </c>
      <c r="B100" t="s">
        <v>207</v>
      </c>
      <c r="C100" t="s">
        <v>208</v>
      </c>
      <c r="D100">
        <v>10</v>
      </c>
      <c r="E100">
        <v>3335423.7586206938</v>
      </c>
      <c r="F100">
        <v>0</v>
      </c>
      <c r="G100">
        <v>0</v>
      </c>
      <c r="H100">
        <v>0</v>
      </c>
      <c r="I100">
        <v>0</v>
      </c>
      <c r="J100">
        <v>10</v>
      </c>
      <c r="K100">
        <v>3335423.7586206938</v>
      </c>
    </row>
    <row r="101" spans="1:11" x14ac:dyDescent="0.25">
      <c r="A101">
        <v>100</v>
      </c>
      <c r="B101" t="s">
        <v>209</v>
      </c>
      <c r="C101" t="s">
        <v>210</v>
      </c>
      <c r="D101">
        <v>4</v>
      </c>
      <c r="E101">
        <v>4071718</v>
      </c>
      <c r="F101">
        <v>0</v>
      </c>
      <c r="G101">
        <v>0</v>
      </c>
      <c r="H101">
        <v>0</v>
      </c>
      <c r="I101">
        <v>0</v>
      </c>
      <c r="J101">
        <v>4</v>
      </c>
      <c r="K101">
        <v>4071718</v>
      </c>
    </row>
    <row r="102" spans="1:11" x14ac:dyDescent="0.25">
      <c r="A102">
        <v>101</v>
      </c>
      <c r="B102" t="s">
        <v>211</v>
      </c>
      <c r="C102" t="s">
        <v>212</v>
      </c>
      <c r="D102">
        <v>260</v>
      </c>
      <c r="E102">
        <v>130930001.6692913</v>
      </c>
      <c r="F102">
        <v>0</v>
      </c>
      <c r="G102">
        <v>0</v>
      </c>
      <c r="H102">
        <v>0</v>
      </c>
      <c r="I102">
        <v>0</v>
      </c>
      <c r="J102">
        <v>260</v>
      </c>
      <c r="K102">
        <v>130930001.6692913</v>
      </c>
    </row>
    <row r="103" spans="1:11" x14ac:dyDescent="0.25">
      <c r="A103">
        <v>102</v>
      </c>
      <c r="B103" t="s">
        <v>213</v>
      </c>
      <c r="C103" t="s">
        <v>214</v>
      </c>
      <c r="D103">
        <v>2</v>
      </c>
      <c r="E103">
        <v>2309091</v>
      </c>
      <c r="F103">
        <v>0</v>
      </c>
      <c r="G103">
        <v>0</v>
      </c>
      <c r="H103">
        <v>0</v>
      </c>
      <c r="I103">
        <v>0</v>
      </c>
      <c r="J103">
        <v>2</v>
      </c>
      <c r="K103">
        <v>2309091</v>
      </c>
    </row>
    <row r="104" spans="1:11" x14ac:dyDescent="0.25">
      <c r="A104">
        <v>103</v>
      </c>
      <c r="B104" t="s">
        <v>215</v>
      </c>
      <c r="C104" t="s">
        <v>216</v>
      </c>
      <c r="D104">
        <v>2130</v>
      </c>
      <c r="E104">
        <v>273335934.46378452</v>
      </c>
      <c r="F104">
        <v>30</v>
      </c>
      <c r="G104">
        <v>2361111</v>
      </c>
      <c r="H104">
        <v>18</v>
      </c>
      <c r="I104">
        <v>4287037</v>
      </c>
      <c r="J104">
        <v>2142</v>
      </c>
      <c r="K104">
        <v>271410008.46378452</v>
      </c>
    </row>
    <row r="105" spans="1:11" x14ac:dyDescent="0.25">
      <c r="A105">
        <v>104</v>
      </c>
      <c r="B105" t="s">
        <v>217</v>
      </c>
      <c r="C105" t="s">
        <v>218</v>
      </c>
      <c r="D105">
        <v>507</v>
      </c>
      <c r="E105">
        <v>147085044.99298239</v>
      </c>
      <c r="F105">
        <v>0</v>
      </c>
      <c r="G105">
        <v>0</v>
      </c>
      <c r="H105">
        <v>3</v>
      </c>
      <c r="I105">
        <v>777777</v>
      </c>
      <c r="J105">
        <v>504</v>
      </c>
      <c r="K105">
        <v>146307267.99298239</v>
      </c>
    </row>
    <row r="106" spans="1:11" x14ac:dyDescent="0.25">
      <c r="A106">
        <v>105</v>
      </c>
      <c r="B106" t="s">
        <v>219</v>
      </c>
      <c r="C106" t="s">
        <v>220</v>
      </c>
      <c r="D106">
        <v>2337</v>
      </c>
      <c r="E106">
        <v>483917804.69023043</v>
      </c>
      <c r="F106">
        <v>0</v>
      </c>
      <c r="G106">
        <v>0</v>
      </c>
      <c r="H106">
        <v>64</v>
      </c>
      <c r="I106">
        <v>10363887</v>
      </c>
      <c r="J106">
        <v>2273</v>
      </c>
      <c r="K106">
        <v>473553917.69023043</v>
      </c>
    </row>
    <row r="107" spans="1:11" x14ac:dyDescent="0.25">
      <c r="A107">
        <v>106</v>
      </c>
      <c r="B107" t="s">
        <v>221</v>
      </c>
      <c r="C107" t="s">
        <v>222</v>
      </c>
      <c r="D107">
        <v>11</v>
      </c>
      <c r="E107">
        <v>1095325.3291293681</v>
      </c>
      <c r="F107">
        <v>20</v>
      </c>
      <c r="G107">
        <v>2759259</v>
      </c>
      <c r="H107">
        <v>4</v>
      </c>
      <c r="I107">
        <v>1111111</v>
      </c>
      <c r="J107">
        <v>27</v>
      </c>
      <c r="K107">
        <v>2743473.3291293681</v>
      </c>
    </row>
    <row r="108" spans="1:11" x14ac:dyDescent="0.25">
      <c r="A108">
        <v>107</v>
      </c>
      <c r="B108" t="s">
        <v>223</v>
      </c>
      <c r="C108" t="s">
        <v>224</v>
      </c>
      <c r="D108">
        <v>9</v>
      </c>
      <c r="E108">
        <v>4562119.75</v>
      </c>
      <c r="F108">
        <v>0</v>
      </c>
      <c r="G108">
        <v>0</v>
      </c>
      <c r="H108">
        <v>0</v>
      </c>
      <c r="I108">
        <v>0</v>
      </c>
      <c r="J108">
        <v>9</v>
      </c>
      <c r="K108">
        <v>4562119.75</v>
      </c>
    </row>
    <row r="109" spans="1:11" x14ac:dyDescent="0.25">
      <c r="A109">
        <v>108</v>
      </c>
      <c r="B109" t="s">
        <v>225</v>
      </c>
      <c r="C109" t="s">
        <v>226</v>
      </c>
      <c r="D109">
        <v>334</v>
      </c>
      <c r="E109">
        <v>87737549.850046858</v>
      </c>
      <c r="F109">
        <v>0</v>
      </c>
      <c r="G109">
        <v>0</v>
      </c>
      <c r="H109">
        <v>2</v>
      </c>
      <c r="I109">
        <v>500000</v>
      </c>
      <c r="J109">
        <v>332</v>
      </c>
      <c r="K109">
        <v>87237549.850046858</v>
      </c>
    </row>
    <row r="110" spans="1:11" x14ac:dyDescent="0.25">
      <c r="A110">
        <v>109</v>
      </c>
      <c r="B110" t="s">
        <v>227</v>
      </c>
      <c r="C110" t="s">
        <v>228</v>
      </c>
      <c r="D110">
        <v>380</v>
      </c>
      <c r="E110">
        <v>134415605.1661891</v>
      </c>
      <c r="F110">
        <v>45</v>
      </c>
      <c r="G110">
        <v>17528704</v>
      </c>
      <c r="H110">
        <v>3</v>
      </c>
      <c r="I110">
        <v>574075</v>
      </c>
      <c r="J110">
        <v>422</v>
      </c>
      <c r="K110">
        <v>151370234.1661891</v>
      </c>
    </row>
    <row r="111" spans="1:11" x14ac:dyDescent="0.25">
      <c r="A111">
        <v>110</v>
      </c>
      <c r="B111" t="s">
        <v>229</v>
      </c>
      <c r="C111" t="s">
        <v>230</v>
      </c>
      <c r="D111">
        <v>42</v>
      </c>
      <c r="E111">
        <v>3087584.8936170209</v>
      </c>
      <c r="F111">
        <v>0</v>
      </c>
      <c r="G111">
        <v>0</v>
      </c>
      <c r="H111">
        <v>0</v>
      </c>
      <c r="I111">
        <v>0</v>
      </c>
      <c r="J111">
        <v>42</v>
      </c>
      <c r="K111">
        <v>3087584.8936170209</v>
      </c>
    </row>
    <row r="112" spans="1:11" x14ac:dyDescent="0.25">
      <c r="A112">
        <v>111</v>
      </c>
      <c r="B112" t="s">
        <v>231</v>
      </c>
      <c r="C112" t="s">
        <v>232</v>
      </c>
      <c r="D112">
        <v>118</v>
      </c>
      <c r="E112">
        <v>51492334.259079903</v>
      </c>
      <c r="F112">
        <v>0</v>
      </c>
      <c r="G112">
        <v>0</v>
      </c>
      <c r="H112">
        <v>1</v>
      </c>
      <c r="I112">
        <v>666666</v>
      </c>
      <c r="J112">
        <v>117</v>
      </c>
      <c r="K112">
        <v>50825668.259079903</v>
      </c>
    </row>
    <row r="113" spans="1:11" x14ac:dyDescent="0.25">
      <c r="A113">
        <v>112</v>
      </c>
      <c r="B113" t="s">
        <v>233</v>
      </c>
      <c r="C113" t="s">
        <v>234</v>
      </c>
      <c r="D113">
        <v>960</v>
      </c>
      <c r="E113">
        <v>343671617.39026397</v>
      </c>
      <c r="F113">
        <v>0</v>
      </c>
      <c r="G113">
        <v>0</v>
      </c>
      <c r="H113">
        <v>11</v>
      </c>
      <c r="I113">
        <v>6074076</v>
      </c>
      <c r="J113">
        <v>949</v>
      </c>
      <c r="K113">
        <v>337597541.39026397</v>
      </c>
    </row>
    <row r="114" spans="1:11" x14ac:dyDescent="0.25">
      <c r="A114">
        <v>113</v>
      </c>
      <c r="B114" t="s">
        <v>235</v>
      </c>
      <c r="C114" t="s">
        <v>236</v>
      </c>
      <c r="D114">
        <v>34</v>
      </c>
      <c r="E114">
        <v>13243526.620689649</v>
      </c>
      <c r="F114">
        <v>0</v>
      </c>
      <c r="G114">
        <v>0</v>
      </c>
      <c r="H114">
        <v>2</v>
      </c>
      <c r="I114">
        <v>1194445</v>
      </c>
      <c r="J114">
        <v>32</v>
      </c>
      <c r="K114">
        <v>12049081.620689649</v>
      </c>
    </row>
    <row r="115" spans="1:11" x14ac:dyDescent="0.25">
      <c r="A115">
        <v>114</v>
      </c>
      <c r="B115" t="s">
        <v>237</v>
      </c>
      <c r="C115" t="s">
        <v>238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 x14ac:dyDescent="0.25">
      <c r="A116">
        <v>115</v>
      </c>
      <c r="B116" t="s">
        <v>239</v>
      </c>
      <c r="C116" t="s">
        <v>240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 x14ac:dyDescent="0.25">
      <c r="A117">
        <v>116</v>
      </c>
      <c r="B117" t="s">
        <v>241</v>
      </c>
      <c r="C117" t="s">
        <v>242</v>
      </c>
      <c r="D117">
        <v>1</v>
      </c>
      <c r="E117">
        <v>2400000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2400000</v>
      </c>
    </row>
    <row r="118" spans="1:11" x14ac:dyDescent="0.25">
      <c r="A118">
        <v>117</v>
      </c>
      <c r="B118" t="s">
        <v>243</v>
      </c>
      <c r="C118" t="s">
        <v>244</v>
      </c>
      <c r="D118">
        <v>1</v>
      </c>
      <c r="E118">
        <v>2200000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2200000</v>
      </c>
    </row>
    <row r="119" spans="1:11" x14ac:dyDescent="0.25">
      <c r="A119">
        <v>118</v>
      </c>
      <c r="B119" t="s">
        <v>245</v>
      </c>
      <c r="C119" t="s">
        <v>246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 x14ac:dyDescent="0.25">
      <c r="A120">
        <v>119</v>
      </c>
      <c r="B120" t="s">
        <v>247</v>
      </c>
      <c r="C120" t="s">
        <v>248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</row>
    <row r="121" spans="1:11" x14ac:dyDescent="0.25">
      <c r="A121">
        <v>120</v>
      </c>
      <c r="B121" t="s">
        <v>249</v>
      </c>
      <c r="C121" t="s">
        <v>250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 x14ac:dyDescent="0.25">
      <c r="A122">
        <v>121</v>
      </c>
      <c r="B122" t="s">
        <v>251</v>
      </c>
      <c r="C122" t="s">
        <v>252</v>
      </c>
      <c r="D122">
        <v>6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6</v>
      </c>
      <c r="K122">
        <v>0</v>
      </c>
    </row>
    <row r="123" spans="1:11" x14ac:dyDescent="0.25">
      <c r="A123">
        <v>122</v>
      </c>
      <c r="B123" t="s">
        <v>253</v>
      </c>
      <c r="C123" t="s">
        <v>254</v>
      </c>
      <c r="D123">
        <v>0</v>
      </c>
      <c r="E123">
        <v>10496683.616306961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10496683.616306961</v>
      </c>
    </row>
    <row r="124" spans="1:11" x14ac:dyDescent="0.25">
      <c r="A124">
        <v>123</v>
      </c>
      <c r="B124" t="s">
        <v>255</v>
      </c>
      <c r="C124" t="s">
        <v>256</v>
      </c>
      <c r="D124">
        <v>41</v>
      </c>
      <c r="E124">
        <v>23422515.84722222</v>
      </c>
      <c r="F124">
        <v>0</v>
      </c>
      <c r="G124">
        <v>0</v>
      </c>
      <c r="H124">
        <v>0</v>
      </c>
      <c r="I124">
        <v>0</v>
      </c>
      <c r="J124">
        <v>41</v>
      </c>
      <c r="K124">
        <v>23422515.84722222</v>
      </c>
    </row>
    <row r="125" spans="1:11" x14ac:dyDescent="0.25">
      <c r="A125">
        <v>124</v>
      </c>
      <c r="B125" t="s">
        <v>257</v>
      </c>
      <c r="C125" t="s">
        <v>258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 x14ac:dyDescent="0.25">
      <c r="A126">
        <v>125</v>
      </c>
      <c r="B126" t="s">
        <v>259</v>
      </c>
      <c r="C126" t="s">
        <v>260</v>
      </c>
      <c r="D126">
        <v>664</v>
      </c>
      <c r="E126">
        <v>408326251.2321918</v>
      </c>
      <c r="F126">
        <v>19</v>
      </c>
      <c r="G126">
        <v>15805556</v>
      </c>
      <c r="H126">
        <v>3</v>
      </c>
      <c r="I126">
        <v>1444444</v>
      </c>
      <c r="J126">
        <v>680</v>
      </c>
      <c r="K126">
        <v>422687363.2321918</v>
      </c>
    </row>
    <row r="127" spans="1:11" x14ac:dyDescent="0.25">
      <c r="A127">
        <v>126</v>
      </c>
      <c r="B127" t="s">
        <v>261</v>
      </c>
      <c r="C127" t="s">
        <v>262</v>
      </c>
      <c r="D127">
        <v>7</v>
      </c>
      <c r="E127">
        <v>2836853.1428571432</v>
      </c>
      <c r="F127">
        <v>0</v>
      </c>
      <c r="G127">
        <v>0</v>
      </c>
      <c r="H127">
        <v>1</v>
      </c>
      <c r="I127">
        <v>787037</v>
      </c>
      <c r="J127">
        <v>6</v>
      </c>
      <c r="K127">
        <v>2049816.142857143</v>
      </c>
    </row>
    <row r="128" spans="1:11" x14ac:dyDescent="0.25">
      <c r="A128">
        <v>127</v>
      </c>
      <c r="B128" t="s">
        <v>263</v>
      </c>
      <c r="C128" t="s">
        <v>264</v>
      </c>
      <c r="D128">
        <v>11</v>
      </c>
      <c r="E128">
        <v>10694447.40909091</v>
      </c>
      <c r="F128">
        <v>0</v>
      </c>
      <c r="G128">
        <v>0</v>
      </c>
      <c r="H128">
        <v>0</v>
      </c>
      <c r="I128">
        <v>0</v>
      </c>
      <c r="J128">
        <v>11</v>
      </c>
      <c r="K128">
        <v>10694447.40909091</v>
      </c>
    </row>
    <row r="129" spans="1:11" x14ac:dyDescent="0.25">
      <c r="A129">
        <v>128</v>
      </c>
      <c r="B129" t="s">
        <v>265</v>
      </c>
      <c r="C129" t="s">
        <v>266</v>
      </c>
      <c r="D129">
        <v>18</v>
      </c>
      <c r="E129">
        <v>37463253.75</v>
      </c>
      <c r="F129">
        <v>0</v>
      </c>
      <c r="G129">
        <v>0</v>
      </c>
      <c r="H129">
        <v>0</v>
      </c>
      <c r="I129">
        <v>0</v>
      </c>
      <c r="J129">
        <v>18</v>
      </c>
      <c r="K129">
        <v>37463253.75</v>
      </c>
    </row>
    <row r="130" spans="1:11" x14ac:dyDescent="0.25">
      <c r="A130">
        <v>129</v>
      </c>
      <c r="B130" t="s">
        <v>267</v>
      </c>
      <c r="C130" t="s">
        <v>268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1:11" x14ac:dyDescent="0.25">
      <c r="A131">
        <v>130</v>
      </c>
      <c r="B131" t="s">
        <v>269</v>
      </c>
      <c r="C131" t="s">
        <v>270</v>
      </c>
      <c r="D131">
        <v>231</v>
      </c>
      <c r="E131">
        <v>130786365.5194805</v>
      </c>
      <c r="F131">
        <v>16</v>
      </c>
      <c r="G131">
        <v>6129627</v>
      </c>
      <c r="H131">
        <v>1</v>
      </c>
      <c r="I131">
        <v>1157407</v>
      </c>
      <c r="J131">
        <v>246</v>
      </c>
      <c r="K131">
        <v>135758585.5194805</v>
      </c>
    </row>
    <row r="132" spans="1:11" x14ac:dyDescent="0.25">
      <c r="A132">
        <v>131</v>
      </c>
      <c r="B132" t="s">
        <v>271</v>
      </c>
      <c r="C132" t="s">
        <v>272</v>
      </c>
      <c r="D132">
        <v>130</v>
      </c>
      <c r="E132">
        <v>22560581.7489301</v>
      </c>
      <c r="F132">
        <v>12</v>
      </c>
      <c r="G132">
        <v>11888880</v>
      </c>
      <c r="H132">
        <v>0</v>
      </c>
      <c r="I132">
        <v>0</v>
      </c>
      <c r="J132">
        <v>142</v>
      </c>
      <c r="K132">
        <v>34449461.748930097</v>
      </c>
    </row>
    <row r="133" spans="1:11" x14ac:dyDescent="0.25">
      <c r="A133">
        <v>132</v>
      </c>
      <c r="B133" t="s">
        <v>273</v>
      </c>
      <c r="C133" t="s">
        <v>274</v>
      </c>
      <c r="D133">
        <v>462</v>
      </c>
      <c r="E133">
        <v>89773266.769411772</v>
      </c>
      <c r="F133">
        <v>23</v>
      </c>
      <c r="G133">
        <v>3449073</v>
      </c>
      <c r="H133">
        <v>11</v>
      </c>
      <c r="I133">
        <v>1824074</v>
      </c>
      <c r="J133">
        <v>474</v>
      </c>
      <c r="K133">
        <v>91398265.769411772</v>
      </c>
    </row>
    <row r="134" spans="1:11" x14ac:dyDescent="0.25">
      <c r="A134">
        <v>133</v>
      </c>
      <c r="B134" t="s">
        <v>275</v>
      </c>
      <c r="C134" t="s">
        <v>276</v>
      </c>
      <c r="D134">
        <v>131</v>
      </c>
      <c r="E134">
        <v>36060389.084337354</v>
      </c>
      <c r="F134">
        <v>3</v>
      </c>
      <c r="G134">
        <v>1342592</v>
      </c>
      <c r="H134">
        <v>1</v>
      </c>
      <c r="I134">
        <v>509259</v>
      </c>
      <c r="J134">
        <v>133</v>
      </c>
      <c r="K134">
        <v>36893722.084337354</v>
      </c>
    </row>
    <row r="135" spans="1:11" x14ac:dyDescent="0.25">
      <c r="A135">
        <v>134</v>
      </c>
      <c r="B135" t="s">
        <v>277</v>
      </c>
      <c r="C135" t="s">
        <v>278</v>
      </c>
      <c r="D135">
        <v>10</v>
      </c>
      <c r="E135">
        <v>1621381.5714285709</v>
      </c>
      <c r="F135">
        <v>0</v>
      </c>
      <c r="G135">
        <v>0</v>
      </c>
      <c r="H135">
        <v>0</v>
      </c>
      <c r="I135">
        <v>0</v>
      </c>
      <c r="J135">
        <v>10</v>
      </c>
      <c r="K135">
        <v>1621381.5714285709</v>
      </c>
    </row>
    <row r="136" spans="1:11" x14ac:dyDescent="0.25">
      <c r="A136">
        <v>135</v>
      </c>
      <c r="B136" t="s">
        <v>279</v>
      </c>
      <c r="C136" t="s">
        <v>280</v>
      </c>
      <c r="D136">
        <v>46</v>
      </c>
      <c r="E136">
        <v>4439329.3684210526</v>
      </c>
      <c r="F136">
        <v>0</v>
      </c>
      <c r="G136">
        <v>0</v>
      </c>
      <c r="H136">
        <v>0</v>
      </c>
      <c r="I136">
        <v>0</v>
      </c>
      <c r="J136">
        <v>46</v>
      </c>
      <c r="K136">
        <v>4439329.3684210526</v>
      </c>
    </row>
    <row r="137" spans="1:11" x14ac:dyDescent="0.25">
      <c r="A137">
        <v>136</v>
      </c>
      <c r="B137" t="s">
        <v>281</v>
      </c>
      <c r="C137" t="s">
        <v>282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 x14ac:dyDescent="0.25">
      <c r="A138">
        <v>137</v>
      </c>
      <c r="B138" t="s">
        <v>283</v>
      </c>
      <c r="C138" t="s">
        <v>284</v>
      </c>
      <c r="D138">
        <v>24</v>
      </c>
      <c r="E138">
        <v>20007749.860465121</v>
      </c>
      <c r="F138">
        <v>18</v>
      </c>
      <c r="G138">
        <v>25200000</v>
      </c>
      <c r="H138">
        <v>18</v>
      </c>
      <c r="I138">
        <v>32500008</v>
      </c>
      <c r="J138">
        <v>24</v>
      </c>
      <c r="K138">
        <v>12707741.860465121</v>
      </c>
    </row>
    <row r="139" spans="1:11" x14ac:dyDescent="0.25">
      <c r="A139">
        <v>138</v>
      </c>
      <c r="B139" t="s">
        <v>285</v>
      </c>
      <c r="C139" t="s">
        <v>286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</row>
    <row r="140" spans="1:11" x14ac:dyDescent="0.25">
      <c r="A140">
        <v>139</v>
      </c>
      <c r="B140" t="s">
        <v>287</v>
      </c>
      <c r="C140" t="s">
        <v>288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1" x14ac:dyDescent="0.25">
      <c r="A141">
        <v>140</v>
      </c>
      <c r="B141" t="s">
        <v>289</v>
      </c>
      <c r="C141" t="s">
        <v>290</v>
      </c>
      <c r="D141">
        <v>8</v>
      </c>
      <c r="E141">
        <v>2400000</v>
      </c>
      <c r="F141">
        <v>0</v>
      </c>
      <c r="G141">
        <v>0</v>
      </c>
      <c r="H141">
        <v>0</v>
      </c>
      <c r="I141">
        <v>0</v>
      </c>
      <c r="J141">
        <v>8</v>
      </c>
      <c r="K141">
        <v>2400000</v>
      </c>
    </row>
    <row r="142" spans="1:11" x14ac:dyDescent="0.25">
      <c r="A142">
        <v>141</v>
      </c>
      <c r="B142" t="s">
        <v>291</v>
      </c>
      <c r="C142" t="s">
        <v>292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 x14ac:dyDescent="0.25">
      <c r="A143">
        <v>142</v>
      </c>
      <c r="B143" t="s">
        <v>293</v>
      </c>
      <c r="C143" t="s">
        <v>294</v>
      </c>
      <c r="D143">
        <v>58</v>
      </c>
      <c r="E143">
        <v>7300168.1159420311</v>
      </c>
      <c r="F143">
        <v>0</v>
      </c>
      <c r="G143">
        <v>0</v>
      </c>
      <c r="H143">
        <v>4</v>
      </c>
      <c r="I143">
        <v>2300000</v>
      </c>
      <c r="J143">
        <v>54</v>
      </c>
      <c r="K143">
        <v>5000168.1159420311</v>
      </c>
    </row>
    <row r="144" spans="1:11" x14ac:dyDescent="0.25">
      <c r="A144">
        <v>143</v>
      </c>
      <c r="B144" t="s">
        <v>295</v>
      </c>
      <c r="C144" t="s">
        <v>296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 x14ac:dyDescent="0.25">
      <c r="A145">
        <v>144</v>
      </c>
      <c r="B145" t="s">
        <v>297</v>
      </c>
      <c r="C145" t="s">
        <v>298</v>
      </c>
      <c r="D145">
        <v>46</v>
      </c>
      <c r="E145">
        <v>2972593.1515151509</v>
      </c>
      <c r="F145">
        <v>0</v>
      </c>
      <c r="G145">
        <v>0</v>
      </c>
      <c r="H145">
        <v>0</v>
      </c>
      <c r="I145">
        <v>0</v>
      </c>
      <c r="J145">
        <v>46</v>
      </c>
      <c r="K145">
        <v>2972593.1515151509</v>
      </c>
    </row>
    <row r="146" spans="1:11" x14ac:dyDescent="0.25">
      <c r="A146">
        <v>145</v>
      </c>
      <c r="B146" t="s">
        <v>299</v>
      </c>
      <c r="C146" t="s">
        <v>300</v>
      </c>
      <c r="D146">
        <v>3513.2359999999999</v>
      </c>
      <c r="E146">
        <v>1145768572.48</v>
      </c>
      <c r="F146">
        <v>159</v>
      </c>
      <c r="G146">
        <v>75482760</v>
      </c>
      <c r="H146">
        <v>31</v>
      </c>
      <c r="I146">
        <v>21157406</v>
      </c>
      <c r="J146">
        <v>3641.2359999999999</v>
      </c>
      <c r="K146">
        <v>1200093926.48</v>
      </c>
    </row>
    <row r="147" spans="1:11" x14ac:dyDescent="0.25">
      <c r="A147" t="s">
        <v>301</v>
      </c>
      <c r="D147">
        <v>28546.236000000001</v>
      </c>
      <c r="E147">
        <v>25533379738.047779</v>
      </c>
      <c r="F147">
        <v>1198</v>
      </c>
      <c r="G147">
        <v>1680732769</v>
      </c>
      <c r="H147">
        <v>593</v>
      </c>
      <c r="I147">
        <v>1469341677</v>
      </c>
      <c r="J147">
        <v>29165.236000000001</v>
      </c>
      <c r="K147">
        <v>25940854164.047779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147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t="s">
        <v>11</v>
      </c>
      <c r="C2" t="s">
        <v>12</v>
      </c>
      <c r="D2">
        <v>0</v>
      </c>
      <c r="E2">
        <v>0</v>
      </c>
      <c r="F2">
        <v>0</v>
      </c>
      <c r="G2">
        <v>0</v>
      </c>
      <c r="H2">
        <v>2</v>
      </c>
      <c r="I2">
        <v>14259260</v>
      </c>
      <c r="J2">
        <v>0</v>
      </c>
      <c r="K2">
        <v>0</v>
      </c>
    </row>
    <row r="3" spans="1:11" x14ac:dyDescent="0.25">
      <c r="A3">
        <v>2</v>
      </c>
      <c r="B3" t="s">
        <v>13</v>
      </c>
      <c r="C3" t="s">
        <v>14</v>
      </c>
      <c r="D3">
        <v>11</v>
      </c>
      <c r="E3">
        <v>82164061</v>
      </c>
      <c r="F3">
        <v>1</v>
      </c>
      <c r="G3">
        <v>652376</v>
      </c>
      <c r="H3">
        <v>0</v>
      </c>
      <c r="I3">
        <v>0</v>
      </c>
      <c r="J3">
        <v>12</v>
      </c>
      <c r="K3">
        <v>82816437</v>
      </c>
    </row>
    <row r="4" spans="1:11" x14ac:dyDescent="0.25">
      <c r="A4">
        <v>3</v>
      </c>
      <c r="B4" t="s">
        <v>15</v>
      </c>
      <c r="C4" t="s">
        <v>16</v>
      </c>
      <c r="D4">
        <v>310</v>
      </c>
      <c r="E4">
        <v>3326249587.201292</v>
      </c>
      <c r="F4">
        <v>48</v>
      </c>
      <c r="G4">
        <v>430185185</v>
      </c>
      <c r="H4">
        <v>37</v>
      </c>
      <c r="I4">
        <v>661675927</v>
      </c>
      <c r="J4">
        <v>321</v>
      </c>
      <c r="K4">
        <v>3094758845.201292</v>
      </c>
    </row>
    <row r="5" spans="1:11" x14ac:dyDescent="0.25">
      <c r="A5">
        <v>4</v>
      </c>
      <c r="B5" t="s">
        <v>17</v>
      </c>
      <c r="C5" t="s">
        <v>18</v>
      </c>
      <c r="D5">
        <v>1</v>
      </c>
      <c r="E5">
        <v>29283636</v>
      </c>
      <c r="F5">
        <v>0</v>
      </c>
      <c r="G5">
        <v>0</v>
      </c>
      <c r="H5">
        <v>0</v>
      </c>
      <c r="I5">
        <v>0</v>
      </c>
      <c r="J5">
        <v>1</v>
      </c>
      <c r="K5">
        <v>29283636</v>
      </c>
    </row>
    <row r="6" spans="1:11" x14ac:dyDescent="0.25">
      <c r="A6">
        <v>5</v>
      </c>
      <c r="B6" t="s">
        <v>19</v>
      </c>
      <c r="C6" t="s">
        <v>20</v>
      </c>
      <c r="D6">
        <v>14</v>
      </c>
      <c r="E6">
        <v>146358774</v>
      </c>
      <c r="F6">
        <v>0</v>
      </c>
      <c r="G6">
        <v>0</v>
      </c>
      <c r="H6">
        <v>3</v>
      </c>
      <c r="I6">
        <v>35435184</v>
      </c>
      <c r="J6">
        <v>11</v>
      </c>
      <c r="K6">
        <v>110923590</v>
      </c>
    </row>
    <row r="7" spans="1:11" x14ac:dyDescent="0.25">
      <c r="A7">
        <v>6</v>
      </c>
      <c r="B7" t="s">
        <v>21</v>
      </c>
      <c r="C7" t="s">
        <v>22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5">
      <c r="A8">
        <v>7</v>
      </c>
      <c r="B8" t="s">
        <v>23</v>
      </c>
      <c r="C8" t="s">
        <v>24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5">
      <c r="A9">
        <v>8</v>
      </c>
      <c r="B9" t="s">
        <v>25</v>
      </c>
      <c r="C9" t="s">
        <v>26</v>
      </c>
      <c r="D9">
        <v>14</v>
      </c>
      <c r="E9">
        <v>53164451.450000003</v>
      </c>
      <c r="F9">
        <v>0</v>
      </c>
      <c r="G9">
        <v>0</v>
      </c>
      <c r="H9">
        <v>0</v>
      </c>
      <c r="I9">
        <v>0</v>
      </c>
      <c r="J9">
        <v>14</v>
      </c>
      <c r="K9">
        <v>53164451.450000003</v>
      </c>
    </row>
    <row r="10" spans="1:11" x14ac:dyDescent="0.25">
      <c r="A10">
        <v>9</v>
      </c>
      <c r="B10" t="s">
        <v>27</v>
      </c>
      <c r="C10" t="s">
        <v>28</v>
      </c>
      <c r="D10">
        <v>559</v>
      </c>
      <c r="E10">
        <v>1432864541.5951941</v>
      </c>
      <c r="F10">
        <v>92</v>
      </c>
      <c r="G10">
        <v>111203703</v>
      </c>
      <c r="H10">
        <v>13</v>
      </c>
      <c r="I10">
        <v>89814816</v>
      </c>
      <c r="J10">
        <v>638</v>
      </c>
      <c r="K10">
        <v>1454253428.5951941</v>
      </c>
    </row>
    <row r="11" spans="1:11" x14ac:dyDescent="0.25">
      <c r="A11">
        <v>10</v>
      </c>
      <c r="B11" t="s">
        <v>29</v>
      </c>
      <c r="C11" t="s">
        <v>30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5">
      <c r="A12">
        <v>11</v>
      </c>
      <c r="B12" t="s">
        <v>31</v>
      </c>
      <c r="C12" t="s">
        <v>32</v>
      </c>
      <c r="D12">
        <v>488</v>
      </c>
      <c r="E12">
        <v>6031223111.2191219</v>
      </c>
      <c r="F12">
        <v>80</v>
      </c>
      <c r="G12">
        <v>1119157401</v>
      </c>
      <c r="H12">
        <v>20</v>
      </c>
      <c r="I12">
        <v>267722221</v>
      </c>
      <c r="J12">
        <v>548</v>
      </c>
      <c r="K12">
        <v>6882658291.2191219</v>
      </c>
    </row>
    <row r="13" spans="1:11" x14ac:dyDescent="0.25">
      <c r="A13">
        <v>12</v>
      </c>
      <c r="B13" t="s">
        <v>33</v>
      </c>
      <c r="C13" t="s">
        <v>34</v>
      </c>
      <c r="D13">
        <v>47</v>
      </c>
      <c r="E13">
        <v>882863257.76923084</v>
      </c>
      <c r="F13">
        <v>1</v>
      </c>
      <c r="G13">
        <v>20824074</v>
      </c>
      <c r="H13">
        <v>1</v>
      </c>
      <c r="I13">
        <v>8333333</v>
      </c>
      <c r="J13">
        <v>47</v>
      </c>
      <c r="K13">
        <v>895353998.76923084</v>
      </c>
    </row>
    <row r="14" spans="1:11" x14ac:dyDescent="0.25">
      <c r="A14">
        <v>13</v>
      </c>
      <c r="B14" t="s">
        <v>35</v>
      </c>
      <c r="C14" t="s">
        <v>36</v>
      </c>
      <c r="D14">
        <v>9</v>
      </c>
      <c r="E14">
        <v>274748713.28947371</v>
      </c>
      <c r="F14">
        <v>0</v>
      </c>
      <c r="G14">
        <v>0</v>
      </c>
      <c r="H14">
        <v>0</v>
      </c>
      <c r="I14">
        <v>0</v>
      </c>
      <c r="J14">
        <v>9</v>
      </c>
      <c r="K14">
        <v>274748713.28947371</v>
      </c>
    </row>
    <row r="15" spans="1:11" x14ac:dyDescent="0.25">
      <c r="A15">
        <v>14</v>
      </c>
      <c r="B15" t="s">
        <v>37</v>
      </c>
      <c r="C15" t="s">
        <v>38</v>
      </c>
      <c r="D15">
        <v>16</v>
      </c>
      <c r="E15">
        <v>212428171.93430659</v>
      </c>
      <c r="F15">
        <v>0</v>
      </c>
      <c r="G15">
        <v>0</v>
      </c>
      <c r="H15">
        <v>1</v>
      </c>
      <c r="I15">
        <v>9259259</v>
      </c>
      <c r="J15">
        <v>15</v>
      </c>
      <c r="K15">
        <v>203168912.93430659</v>
      </c>
    </row>
    <row r="16" spans="1:11" x14ac:dyDescent="0.25">
      <c r="A16">
        <v>15</v>
      </c>
      <c r="B16" t="s">
        <v>39</v>
      </c>
      <c r="C16" t="s">
        <v>40</v>
      </c>
      <c r="D16">
        <v>0</v>
      </c>
      <c r="E16">
        <v>30172222.10447761</v>
      </c>
      <c r="F16">
        <v>0</v>
      </c>
      <c r="G16">
        <v>0</v>
      </c>
      <c r="H16">
        <v>1</v>
      </c>
      <c r="I16">
        <v>8231481</v>
      </c>
      <c r="J16">
        <v>0</v>
      </c>
      <c r="K16">
        <v>21940741.10447761</v>
      </c>
    </row>
    <row r="17" spans="1:11" x14ac:dyDescent="0.25">
      <c r="A17">
        <v>16</v>
      </c>
      <c r="B17" t="s">
        <v>41</v>
      </c>
      <c r="C17" t="s">
        <v>42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>
        <v>17</v>
      </c>
      <c r="B18" t="s">
        <v>43</v>
      </c>
      <c r="C18" t="s">
        <v>44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>
        <v>18</v>
      </c>
      <c r="B19" t="s">
        <v>45</v>
      </c>
      <c r="C19" t="s">
        <v>46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25">
      <c r="A20">
        <v>19</v>
      </c>
      <c r="B20" t="s">
        <v>47</v>
      </c>
      <c r="C20" t="s">
        <v>48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5">
      <c r="A21">
        <v>20</v>
      </c>
      <c r="B21" t="s">
        <v>49</v>
      </c>
      <c r="C21" t="s">
        <v>50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25">
      <c r="A22">
        <v>21</v>
      </c>
      <c r="B22" t="s">
        <v>51</v>
      </c>
      <c r="C22" t="s">
        <v>52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25">
      <c r="A23">
        <v>22</v>
      </c>
      <c r="B23" t="s">
        <v>53</v>
      </c>
      <c r="C23" t="s">
        <v>54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25">
      <c r="A24">
        <v>23</v>
      </c>
      <c r="B24" t="s">
        <v>55</v>
      </c>
      <c r="C24" t="s">
        <v>56</v>
      </c>
      <c r="D24">
        <v>0</v>
      </c>
      <c r="E24">
        <v>0</v>
      </c>
      <c r="F24">
        <v>15</v>
      </c>
      <c r="G24">
        <v>18472215</v>
      </c>
      <c r="H24">
        <v>23</v>
      </c>
      <c r="I24">
        <v>319564814</v>
      </c>
      <c r="J24">
        <v>0</v>
      </c>
      <c r="K24">
        <v>0</v>
      </c>
    </row>
    <row r="25" spans="1:11" x14ac:dyDescent="0.25">
      <c r="A25">
        <v>24</v>
      </c>
      <c r="B25" t="s">
        <v>57</v>
      </c>
      <c r="C25" t="s">
        <v>58</v>
      </c>
      <c r="D25">
        <v>214</v>
      </c>
      <c r="E25">
        <v>1688450172.361217</v>
      </c>
      <c r="F25">
        <v>36</v>
      </c>
      <c r="G25">
        <v>196396297</v>
      </c>
      <c r="H25">
        <v>19</v>
      </c>
      <c r="I25">
        <v>244175926</v>
      </c>
      <c r="J25">
        <v>231</v>
      </c>
      <c r="K25">
        <v>1640670543.361217</v>
      </c>
    </row>
    <row r="26" spans="1:11" x14ac:dyDescent="0.25">
      <c r="A26">
        <v>25</v>
      </c>
      <c r="B26" t="s">
        <v>59</v>
      </c>
      <c r="C26" t="s">
        <v>60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25">
      <c r="A27">
        <v>26</v>
      </c>
      <c r="B27" t="s">
        <v>61</v>
      </c>
      <c r="C27" t="s">
        <v>62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5">
      <c r="A28">
        <v>27</v>
      </c>
      <c r="B28" t="s">
        <v>63</v>
      </c>
      <c r="C28" t="s">
        <v>64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25">
      <c r="A29">
        <v>28</v>
      </c>
      <c r="B29" t="s">
        <v>65</v>
      </c>
      <c r="C29" t="s">
        <v>66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x14ac:dyDescent="0.25">
      <c r="A30">
        <v>29</v>
      </c>
      <c r="B30" t="s">
        <v>67</v>
      </c>
      <c r="C30" t="s">
        <v>68</v>
      </c>
      <c r="D30">
        <v>5</v>
      </c>
      <c r="E30">
        <v>57213777.307692319</v>
      </c>
      <c r="F30">
        <v>0</v>
      </c>
      <c r="G30">
        <v>0</v>
      </c>
      <c r="H30">
        <v>0</v>
      </c>
      <c r="I30">
        <v>0</v>
      </c>
      <c r="J30">
        <v>5</v>
      </c>
      <c r="K30">
        <v>57213777.307692319</v>
      </c>
    </row>
    <row r="31" spans="1:11" x14ac:dyDescent="0.25">
      <c r="A31">
        <v>30</v>
      </c>
      <c r="B31" t="s">
        <v>69</v>
      </c>
      <c r="C31" t="s">
        <v>70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25">
      <c r="A32">
        <v>31</v>
      </c>
      <c r="B32" t="s">
        <v>71</v>
      </c>
      <c r="C32" t="s">
        <v>72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25">
      <c r="A33">
        <v>32</v>
      </c>
      <c r="B33" t="s">
        <v>73</v>
      </c>
      <c r="C33" t="s">
        <v>74</v>
      </c>
      <c r="D33">
        <v>3</v>
      </c>
      <c r="E33">
        <v>20458080.5</v>
      </c>
      <c r="F33">
        <v>0</v>
      </c>
      <c r="G33">
        <v>0</v>
      </c>
      <c r="H33">
        <v>0</v>
      </c>
      <c r="I33">
        <v>0</v>
      </c>
      <c r="J33">
        <v>3</v>
      </c>
      <c r="K33">
        <v>20458080.5</v>
      </c>
    </row>
    <row r="34" spans="1:11" x14ac:dyDescent="0.25">
      <c r="A34">
        <v>33</v>
      </c>
      <c r="B34" t="s">
        <v>75</v>
      </c>
      <c r="C34" t="s">
        <v>76</v>
      </c>
      <c r="D34">
        <v>37</v>
      </c>
      <c r="E34">
        <v>57183982.183266938</v>
      </c>
      <c r="F34">
        <v>0</v>
      </c>
      <c r="G34">
        <v>0</v>
      </c>
      <c r="H34">
        <v>4</v>
      </c>
      <c r="I34">
        <v>8148149</v>
      </c>
      <c r="J34">
        <v>33</v>
      </c>
      <c r="K34">
        <v>49035833.183266938</v>
      </c>
    </row>
    <row r="35" spans="1:11" x14ac:dyDescent="0.25">
      <c r="A35">
        <v>34</v>
      </c>
      <c r="B35" t="s">
        <v>77</v>
      </c>
      <c r="C35" t="s">
        <v>78</v>
      </c>
      <c r="D35">
        <v>472</v>
      </c>
      <c r="E35">
        <v>1006448625.553802</v>
      </c>
      <c r="F35">
        <v>27</v>
      </c>
      <c r="G35">
        <v>61842593</v>
      </c>
      <c r="H35">
        <v>40</v>
      </c>
      <c r="I35">
        <v>76555555</v>
      </c>
      <c r="J35">
        <v>459</v>
      </c>
      <c r="K35">
        <v>991735663.55380154</v>
      </c>
    </row>
    <row r="36" spans="1:11" x14ac:dyDescent="0.25">
      <c r="A36">
        <v>35</v>
      </c>
      <c r="B36" t="s">
        <v>79</v>
      </c>
      <c r="C36" t="s">
        <v>80</v>
      </c>
      <c r="D36">
        <v>15</v>
      </c>
      <c r="E36">
        <v>36292245.021276593</v>
      </c>
      <c r="F36">
        <v>0</v>
      </c>
      <c r="G36">
        <v>0</v>
      </c>
      <c r="H36">
        <v>0</v>
      </c>
      <c r="I36">
        <v>0</v>
      </c>
      <c r="J36">
        <v>15</v>
      </c>
      <c r="K36">
        <v>36292245.021276593</v>
      </c>
    </row>
    <row r="37" spans="1:11" x14ac:dyDescent="0.25">
      <c r="A37">
        <v>36</v>
      </c>
      <c r="B37" t="s">
        <v>81</v>
      </c>
      <c r="C37" t="s">
        <v>82</v>
      </c>
      <c r="D37">
        <v>30</v>
      </c>
      <c r="E37">
        <v>210577384.1964286</v>
      </c>
      <c r="F37">
        <v>4</v>
      </c>
      <c r="G37">
        <v>10629630</v>
      </c>
      <c r="H37">
        <v>10</v>
      </c>
      <c r="I37">
        <v>12500000</v>
      </c>
      <c r="J37">
        <v>24</v>
      </c>
      <c r="K37">
        <v>208707014.1964286</v>
      </c>
    </row>
    <row r="38" spans="1:11" x14ac:dyDescent="0.25">
      <c r="A38">
        <v>37</v>
      </c>
      <c r="B38" t="s">
        <v>83</v>
      </c>
      <c r="C38" t="s">
        <v>84</v>
      </c>
      <c r="D38">
        <v>2</v>
      </c>
      <c r="E38">
        <v>16427273</v>
      </c>
      <c r="F38">
        <v>0</v>
      </c>
      <c r="G38">
        <v>0</v>
      </c>
      <c r="H38">
        <v>1</v>
      </c>
      <c r="I38">
        <v>3851852</v>
      </c>
      <c r="J38">
        <v>1</v>
      </c>
      <c r="K38">
        <v>12575421</v>
      </c>
    </row>
    <row r="39" spans="1:11" x14ac:dyDescent="0.25">
      <c r="A39">
        <v>38</v>
      </c>
      <c r="B39" t="s">
        <v>85</v>
      </c>
      <c r="C39" t="s">
        <v>86</v>
      </c>
      <c r="D39">
        <v>131</v>
      </c>
      <c r="E39">
        <v>375570252.38106239</v>
      </c>
      <c r="F39">
        <v>0</v>
      </c>
      <c r="G39">
        <v>0</v>
      </c>
      <c r="H39">
        <v>1</v>
      </c>
      <c r="I39">
        <v>3416667</v>
      </c>
      <c r="J39">
        <v>130</v>
      </c>
      <c r="K39">
        <v>372153585.38106239</v>
      </c>
    </row>
    <row r="40" spans="1:11" x14ac:dyDescent="0.25">
      <c r="A40">
        <v>39</v>
      </c>
      <c r="B40" t="s">
        <v>87</v>
      </c>
      <c r="C40" t="s">
        <v>88</v>
      </c>
      <c r="D40">
        <v>9</v>
      </c>
      <c r="E40">
        <v>48234342.777777784</v>
      </c>
      <c r="F40">
        <v>0</v>
      </c>
      <c r="G40">
        <v>0</v>
      </c>
      <c r="H40">
        <v>0</v>
      </c>
      <c r="I40">
        <v>0</v>
      </c>
      <c r="J40">
        <v>9</v>
      </c>
      <c r="K40">
        <v>48234342.777777784</v>
      </c>
    </row>
    <row r="41" spans="1:11" x14ac:dyDescent="0.25">
      <c r="A41">
        <v>40</v>
      </c>
      <c r="B41" t="s">
        <v>89</v>
      </c>
      <c r="C41" t="s">
        <v>90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25">
      <c r="A42">
        <v>41</v>
      </c>
      <c r="B42" t="s">
        <v>91</v>
      </c>
      <c r="C42" t="s">
        <v>92</v>
      </c>
      <c r="D42">
        <v>2212</v>
      </c>
      <c r="E42">
        <v>63847012</v>
      </c>
      <c r="F42">
        <v>244</v>
      </c>
      <c r="G42">
        <v>125286960</v>
      </c>
      <c r="H42">
        <v>23</v>
      </c>
      <c r="I42">
        <v>113314818</v>
      </c>
      <c r="J42">
        <v>2433</v>
      </c>
      <c r="K42">
        <v>75819154</v>
      </c>
    </row>
    <row r="43" spans="1:11" x14ac:dyDescent="0.25">
      <c r="A43">
        <v>42</v>
      </c>
      <c r="B43" t="s">
        <v>93</v>
      </c>
      <c r="C43" t="s">
        <v>94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25">
      <c r="A44">
        <v>43</v>
      </c>
      <c r="B44" t="s">
        <v>95</v>
      </c>
      <c r="C44" t="s">
        <v>96</v>
      </c>
      <c r="D44">
        <v>392</v>
      </c>
      <c r="E44">
        <v>824849249.42474437</v>
      </c>
      <c r="F44">
        <v>0</v>
      </c>
      <c r="G44">
        <v>0</v>
      </c>
      <c r="H44">
        <v>10</v>
      </c>
      <c r="I44">
        <v>36361110</v>
      </c>
      <c r="J44">
        <v>382</v>
      </c>
      <c r="K44">
        <v>788488139.42474437</v>
      </c>
    </row>
    <row r="45" spans="1:11" x14ac:dyDescent="0.25">
      <c r="A45">
        <v>44</v>
      </c>
      <c r="B45" t="s">
        <v>97</v>
      </c>
      <c r="C45" t="s">
        <v>98</v>
      </c>
      <c r="D45">
        <v>85</v>
      </c>
      <c r="E45">
        <v>335197137.97297299</v>
      </c>
      <c r="F45">
        <v>0</v>
      </c>
      <c r="G45">
        <v>0</v>
      </c>
      <c r="H45">
        <v>5</v>
      </c>
      <c r="I45">
        <v>24990741</v>
      </c>
      <c r="J45">
        <v>80</v>
      </c>
      <c r="K45">
        <v>310206396.97297299</v>
      </c>
    </row>
    <row r="46" spans="1:11" x14ac:dyDescent="0.25">
      <c r="A46">
        <v>45</v>
      </c>
      <c r="B46" t="s">
        <v>99</v>
      </c>
      <c r="C46" t="s">
        <v>100</v>
      </c>
      <c r="D46">
        <v>225</v>
      </c>
      <c r="E46">
        <v>85898807.632571429</v>
      </c>
      <c r="F46">
        <v>7</v>
      </c>
      <c r="G46">
        <v>63055556.039999999</v>
      </c>
      <c r="H46">
        <v>8</v>
      </c>
      <c r="I46">
        <v>76305556</v>
      </c>
      <c r="J46">
        <v>224</v>
      </c>
      <c r="K46">
        <v>72648807.672571421</v>
      </c>
    </row>
    <row r="47" spans="1:11" x14ac:dyDescent="0.25">
      <c r="A47">
        <v>46</v>
      </c>
      <c r="B47" t="s">
        <v>101</v>
      </c>
      <c r="C47" t="s">
        <v>102</v>
      </c>
      <c r="D47">
        <v>136</v>
      </c>
      <c r="E47">
        <v>277923093.51567382</v>
      </c>
      <c r="F47">
        <v>4</v>
      </c>
      <c r="G47">
        <v>22592592.600000001</v>
      </c>
      <c r="H47">
        <v>2</v>
      </c>
      <c r="I47">
        <v>13129629</v>
      </c>
      <c r="J47">
        <v>138</v>
      </c>
      <c r="K47">
        <v>287386057.11567378</v>
      </c>
    </row>
    <row r="48" spans="1:11" x14ac:dyDescent="0.25">
      <c r="A48">
        <v>47</v>
      </c>
      <c r="B48" t="s">
        <v>103</v>
      </c>
      <c r="C48" t="s">
        <v>104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 x14ac:dyDescent="0.25">
      <c r="A49">
        <v>48</v>
      </c>
      <c r="B49" t="s">
        <v>105</v>
      </c>
      <c r="C49" t="s">
        <v>106</v>
      </c>
      <c r="D49">
        <v>38</v>
      </c>
      <c r="E49">
        <v>263305737.68224141</v>
      </c>
      <c r="F49">
        <v>6</v>
      </c>
      <c r="G49">
        <v>50833335</v>
      </c>
      <c r="H49">
        <v>7</v>
      </c>
      <c r="I49">
        <v>66494443</v>
      </c>
      <c r="J49">
        <v>37</v>
      </c>
      <c r="K49">
        <v>247644629.68224141</v>
      </c>
    </row>
    <row r="50" spans="1:11" x14ac:dyDescent="0.25">
      <c r="A50">
        <v>49</v>
      </c>
      <c r="B50" t="s">
        <v>107</v>
      </c>
      <c r="C50" t="s">
        <v>108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25">
      <c r="A51">
        <v>50</v>
      </c>
      <c r="B51" t="s">
        <v>109</v>
      </c>
      <c r="C51" t="s">
        <v>110</v>
      </c>
      <c r="D51">
        <v>5</v>
      </c>
      <c r="E51">
        <v>254228.19999999931</v>
      </c>
      <c r="F51">
        <v>0</v>
      </c>
      <c r="G51">
        <v>0</v>
      </c>
      <c r="H51">
        <v>0</v>
      </c>
      <c r="I51">
        <v>0</v>
      </c>
      <c r="J51">
        <v>5</v>
      </c>
      <c r="K51">
        <v>254228.19999999931</v>
      </c>
    </row>
    <row r="52" spans="1:11" x14ac:dyDescent="0.25">
      <c r="A52">
        <v>51</v>
      </c>
      <c r="B52" t="s">
        <v>111</v>
      </c>
      <c r="C52" t="s">
        <v>112</v>
      </c>
      <c r="D52">
        <v>15</v>
      </c>
      <c r="E52">
        <v>33567522.066938758</v>
      </c>
      <c r="F52">
        <v>0</v>
      </c>
      <c r="G52">
        <v>0</v>
      </c>
      <c r="H52">
        <v>0</v>
      </c>
      <c r="I52">
        <v>0</v>
      </c>
      <c r="J52">
        <v>15</v>
      </c>
      <c r="K52">
        <v>33567522.066938758</v>
      </c>
    </row>
    <row r="53" spans="1:11" x14ac:dyDescent="0.25">
      <c r="A53">
        <v>52</v>
      </c>
      <c r="B53" t="s">
        <v>113</v>
      </c>
      <c r="C53" t="s">
        <v>114</v>
      </c>
      <c r="D53">
        <v>3</v>
      </c>
      <c r="E53">
        <v>5580000</v>
      </c>
      <c r="F53">
        <v>0</v>
      </c>
      <c r="G53">
        <v>0</v>
      </c>
      <c r="H53">
        <v>0</v>
      </c>
      <c r="I53">
        <v>0</v>
      </c>
      <c r="J53">
        <v>3</v>
      </c>
      <c r="K53">
        <v>5580000</v>
      </c>
    </row>
    <row r="54" spans="1:11" x14ac:dyDescent="0.25">
      <c r="A54">
        <v>53</v>
      </c>
      <c r="B54" t="s">
        <v>115</v>
      </c>
      <c r="C54" t="s">
        <v>116</v>
      </c>
      <c r="D54">
        <v>1</v>
      </c>
      <c r="E54">
        <v>1480000</v>
      </c>
      <c r="F54">
        <v>0</v>
      </c>
      <c r="G54">
        <v>0</v>
      </c>
      <c r="H54">
        <v>0</v>
      </c>
      <c r="I54">
        <v>0</v>
      </c>
      <c r="J54">
        <v>1</v>
      </c>
      <c r="K54">
        <v>1480000</v>
      </c>
    </row>
    <row r="55" spans="1:11" x14ac:dyDescent="0.25">
      <c r="A55">
        <v>54</v>
      </c>
      <c r="B55" t="s">
        <v>117</v>
      </c>
      <c r="C55" t="s">
        <v>118</v>
      </c>
      <c r="D55">
        <v>83</v>
      </c>
      <c r="E55">
        <v>103259871.172702</v>
      </c>
      <c r="F55">
        <v>2</v>
      </c>
      <c r="G55">
        <v>29722222</v>
      </c>
      <c r="H55">
        <v>1</v>
      </c>
      <c r="I55">
        <v>25231481</v>
      </c>
      <c r="J55">
        <v>84</v>
      </c>
      <c r="K55">
        <v>107750612.172702</v>
      </c>
    </row>
    <row r="56" spans="1:11" x14ac:dyDescent="0.25">
      <c r="A56">
        <v>55</v>
      </c>
      <c r="B56" t="s">
        <v>119</v>
      </c>
      <c r="C56" t="s">
        <v>120</v>
      </c>
      <c r="D56">
        <v>35</v>
      </c>
      <c r="E56">
        <v>4011493.4915254228</v>
      </c>
      <c r="F56">
        <v>8</v>
      </c>
      <c r="G56">
        <v>5123148</v>
      </c>
      <c r="H56">
        <v>1</v>
      </c>
      <c r="I56">
        <v>1527777</v>
      </c>
      <c r="J56">
        <v>42</v>
      </c>
      <c r="K56">
        <v>7606864.4915254228</v>
      </c>
    </row>
    <row r="57" spans="1:11" x14ac:dyDescent="0.25">
      <c r="A57">
        <v>56</v>
      </c>
      <c r="B57" t="s">
        <v>121</v>
      </c>
      <c r="C57" t="s">
        <v>122</v>
      </c>
      <c r="D57">
        <v>6</v>
      </c>
      <c r="E57">
        <v>19081110.180769231</v>
      </c>
      <c r="F57">
        <v>0</v>
      </c>
      <c r="G57">
        <v>0</v>
      </c>
      <c r="H57">
        <v>0</v>
      </c>
      <c r="I57">
        <v>0</v>
      </c>
      <c r="J57">
        <v>6</v>
      </c>
      <c r="K57">
        <v>19081110.180769231</v>
      </c>
    </row>
    <row r="58" spans="1:11" x14ac:dyDescent="0.25">
      <c r="A58">
        <v>57</v>
      </c>
      <c r="B58" t="s">
        <v>123</v>
      </c>
      <c r="C58" t="s">
        <v>124</v>
      </c>
      <c r="D58">
        <v>2</v>
      </c>
      <c r="E58">
        <v>1829966.11</v>
      </c>
      <c r="F58">
        <v>0</v>
      </c>
      <c r="G58">
        <v>0</v>
      </c>
      <c r="H58">
        <v>0</v>
      </c>
      <c r="I58">
        <v>0</v>
      </c>
      <c r="J58">
        <v>2</v>
      </c>
      <c r="K58">
        <v>1829966.11</v>
      </c>
    </row>
    <row r="59" spans="1:11" x14ac:dyDescent="0.25">
      <c r="A59">
        <v>58</v>
      </c>
      <c r="B59" t="s">
        <v>125</v>
      </c>
      <c r="C59" t="s">
        <v>126</v>
      </c>
      <c r="D59">
        <v>1294</v>
      </c>
      <c r="E59">
        <v>80001284.365597606</v>
      </c>
      <c r="F59">
        <v>161</v>
      </c>
      <c r="G59">
        <v>32329656</v>
      </c>
      <c r="H59">
        <v>102</v>
      </c>
      <c r="I59">
        <v>46190742</v>
      </c>
      <c r="J59">
        <v>1353</v>
      </c>
      <c r="K59">
        <v>66140198.365597613</v>
      </c>
    </row>
    <row r="60" spans="1:11" x14ac:dyDescent="0.25">
      <c r="A60">
        <v>59</v>
      </c>
      <c r="B60" t="s">
        <v>127</v>
      </c>
      <c r="C60" t="s">
        <v>128</v>
      </c>
      <c r="D60">
        <v>210</v>
      </c>
      <c r="E60">
        <v>4197801</v>
      </c>
      <c r="F60">
        <v>25</v>
      </c>
      <c r="G60">
        <v>1898215</v>
      </c>
      <c r="H60">
        <v>17</v>
      </c>
      <c r="I60">
        <v>2657407</v>
      </c>
      <c r="J60">
        <v>218</v>
      </c>
      <c r="K60">
        <v>3438609</v>
      </c>
    </row>
    <row r="61" spans="1:11" x14ac:dyDescent="0.25">
      <c r="A61">
        <v>60</v>
      </c>
      <c r="B61" t="s">
        <v>129</v>
      </c>
      <c r="C61" t="s">
        <v>130</v>
      </c>
      <c r="D61">
        <v>75</v>
      </c>
      <c r="E61">
        <v>4904885</v>
      </c>
      <c r="F61">
        <v>24</v>
      </c>
      <c r="G61">
        <v>1049988</v>
      </c>
      <c r="H61">
        <v>5</v>
      </c>
      <c r="I61">
        <v>907407</v>
      </c>
      <c r="J61">
        <v>94</v>
      </c>
      <c r="K61">
        <v>5047466</v>
      </c>
    </row>
    <row r="62" spans="1:11" x14ac:dyDescent="0.25">
      <c r="A62">
        <v>61</v>
      </c>
      <c r="B62" t="s">
        <v>131</v>
      </c>
      <c r="C62" t="s">
        <v>132</v>
      </c>
      <c r="D62">
        <v>1403</v>
      </c>
      <c r="E62">
        <v>52577372.878957927</v>
      </c>
      <c r="F62">
        <v>0</v>
      </c>
      <c r="G62">
        <v>0</v>
      </c>
      <c r="H62">
        <v>23</v>
      </c>
      <c r="I62">
        <v>3546297</v>
      </c>
      <c r="J62">
        <v>1380</v>
      </c>
      <c r="K62">
        <v>49031075.878957927</v>
      </c>
    </row>
    <row r="63" spans="1:11" x14ac:dyDescent="0.25">
      <c r="A63">
        <v>62</v>
      </c>
      <c r="B63" t="s">
        <v>133</v>
      </c>
      <c r="C63" t="s">
        <v>134</v>
      </c>
      <c r="D63">
        <v>917</v>
      </c>
      <c r="E63">
        <v>162443695.71158049</v>
      </c>
      <c r="F63">
        <v>0</v>
      </c>
      <c r="G63">
        <v>0</v>
      </c>
      <c r="H63">
        <v>6</v>
      </c>
      <c r="I63">
        <v>1240740</v>
      </c>
      <c r="J63">
        <v>911</v>
      </c>
      <c r="K63">
        <v>161202955.71158049</v>
      </c>
    </row>
    <row r="64" spans="1:11" x14ac:dyDescent="0.25">
      <c r="A64">
        <v>63</v>
      </c>
      <c r="B64" t="s">
        <v>135</v>
      </c>
      <c r="C64" t="s">
        <v>136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 x14ac:dyDescent="0.25">
      <c r="A65">
        <v>64</v>
      </c>
      <c r="B65" t="s">
        <v>137</v>
      </c>
      <c r="C65" t="s">
        <v>138</v>
      </c>
      <c r="D65">
        <v>22</v>
      </c>
      <c r="E65">
        <v>5355147.4511235952</v>
      </c>
      <c r="F65">
        <v>0</v>
      </c>
      <c r="G65">
        <v>0</v>
      </c>
      <c r="H65">
        <v>0</v>
      </c>
      <c r="I65">
        <v>0</v>
      </c>
      <c r="J65">
        <v>22</v>
      </c>
      <c r="K65">
        <v>5355147.4511235952</v>
      </c>
    </row>
    <row r="66" spans="1:11" x14ac:dyDescent="0.25">
      <c r="A66">
        <v>65</v>
      </c>
      <c r="B66" t="s">
        <v>139</v>
      </c>
      <c r="C66" t="s">
        <v>140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 x14ac:dyDescent="0.25">
      <c r="A67">
        <v>66</v>
      </c>
      <c r="B67" t="s">
        <v>141</v>
      </c>
      <c r="C67" t="s">
        <v>142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 x14ac:dyDescent="0.25">
      <c r="A68">
        <v>67</v>
      </c>
      <c r="B68" t="s">
        <v>143</v>
      </c>
      <c r="C68" t="s">
        <v>144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 x14ac:dyDescent="0.25">
      <c r="A69">
        <v>68</v>
      </c>
      <c r="B69" t="s">
        <v>145</v>
      </c>
      <c r="C69" t="s">
        <v>146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 x14ac:dyDescent="0.25">
      <c r="A70">
        <v>69</v>
      </c>
      <c r="B70" t="s">
        <v>147</v>
      </c>
      <c r="C70" t="s">
        <v>148</v>
      </c>
      <c r="D70">
        <v>268</v>
      </c>
      <c r="E70">
        <v>51578709.665112108</v>
      </c>
      <c r="F70">
        <v>3</v>
      </c>
      <c r="G70">
        <v>380553</v>
      </c>
      <c r="H70">
        <v>3</v>
      </c>
      <c r="I70">
        <v>1759259</v>
      </c>
      <c r="J70">
        <v>268</v>
      </c>
      <c r="K70">
        <v>50200003.665112108</v>
      </c>
    </row>
    <row r="71" spans="1:11" x14ac:dyDescent="0.25">
      <c r="A71">
        <v>70</v>
      </c>
      <c r="B71" t="s">
        <v>149</v>
      </c>
      <c r="C71" t="s">
        <v>150</v>
      </c>
      <c r="D71">
        <v>19</v>
      </c>
      <c r="E71">
        <v>1192898.1599999999</v>
      </c>
      <c r="F71">
        <v>0</v>
      </c>
      <c r="G71">
        <v>0</v>
      </c>
      <c r="H71">
        <v>0</v>
      </c>
      <c r="I71">
        <v>0</v>
      </c>
      <c r="J71">
        <v>19</v>
      </c>
      <c r="K71">
        <v>1192898.1599999999</v>
      </c>
    </row>
    <row r="72" spans="1:11" x14ac:dyDescent="0.25">
      <c r="A72">
        <v>71</v>
      </c>
      <c r="B72" t="s">
        <v>151</v>
      </c>
      <c r="C72" t="s">
        <v>152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</row>
    <row r="73" spans="1:11" x14ac:dyDescent="0.25">
      <c r="A73">
        <v>72</v>
      </c>
      <c r="B73" t="s">
        <v>153</v>
      </c>
      <c r="C73" t="s">
        <v>154</v>
      </c>
      <c r="D73">
        <v>100</v>
      </c>
      <c r="E73">
        <v>0</v>
      </c>
      <c r="F73">
        <v>0</v>
      </c>
      <c r="G73">
        <v>0</v>
      </c>
      <c r="H73">
        <v>0</v>
      </c>
      <c r="I73">
        <v>0</v>
      </c>
      <c r="J73">
        <v>100</v>
      </c>
      <c r="K73">
        <v>0</v>
      </c>
    </row>
    <row r="74" spans="1:11" x14ac:dyDescent="0.25">
      <c r="A74">
        <v>73</v>
      </c>
      <c r="B74" t="s">
        <v>155</v>
      </c>
      <c r="C74" t="s">
        <v>156</v>
      </c>
      <c r="D74">
        <v>249</v>
      </c>
      <c r="E74">
        <v>593398247.0787878</v>
      </c>
      <c r="F74">
        <v>0</v>
      </c>
      <c r="G74">
        <v>0</v>
      </c>
      <c r="H74">
        <v>1</v>
      </c>
      <c r="I74">
        <v>4027778</v>
      </c>
      <c r="J74">
        <v>248</v>
      </c>
      <c r="K74">
        <v>589370469.0787878</v>
      </c>
    </row>
    <row r="75" spans="1:11" x14ac:dyDescent="0.25">
      <c r="A75">
        <v>74</v>
      </c>
      <c r="B75" t="s">
        <v>157</v>
      </c>
      <c r="C75" t="s">
        <v>158</v>
      </c>
      <c r="D75">
        <v>166</v>
      </c>
      <c r="E75">
        <v>487299784.75098813</v>
      </c>
      <c r="F75">
        <v>0</v>
      </c>
      <c r="G75">
        <v>0</v>
      </c>
      <c r="H75">
        <v>0</v>
      </c>
      <c r="I75">
        <v>0</v>
      </c>
      <c r="J75">
        <v>166</v>
      </c>
      <c r="K75">
        <v>487299784.75098813</v>
      </c>
    </row>
    <row r="76" spans="1:11" x14ac:dyDescent="0.25">
      <c r="A76">
        <v>75</v>
      </c>
      <c r="B76" t="s">
        <v>159</v>
      </c>
      <c r="C76" t="s">
        <v>160</v>
      </c>
      <c r="D76">
        <v>12</v>
      </c>
      <c r="E76">
        <v>71416287.875</v>
      </c>
      <c r="F76">
        <v>0</v>
      </c>
      <c r="G76">
        <v>0</v>
      </c>
      <c r="H76">
        <v>0</v>
      </c>
      <c r="I76">
        <v>0</v>
      </c>
      <c r="J76">
        <v>12</v>
      </c>
      <c r="K76">
        <v>71416287.875</v>
      </c>
    </row>
    <row r="77" spans="1:11" x14ac:dyDescent="0.25">
      <c r="A77">
        <v>76</v>
      </c>
      <c r="B77" t="s">
        <v>161</v>
      </c>
      <c r="C77" t="s">
        <v>162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 x14ac:dyDescent="0.25">
      <c r="A78">
        <v>77</v>
      </c>
      <c r="B78" t="s">
        <v>163</v>
      </c>
      <c r="C78" t="s">
        <v>164</v>
      </c>
      <c r="D78">
        <v>362</v>
      </c>
      <c r="E78">
        <v>528474865.59605908</v>
      </c>
      <c r="F78">
        <v>20</v>
      </c>
      <c r="G78">
        <v>29074074</v>
      </c>
      <c r="H78">
        <v>25</v>
      </c>
      <c r="I78">
        <v>36490732</v>
      </c>
      <c r="J78">
        <v>357</v>
      </c>
      <c r="K78">
        <v>521058207.59605908</v>
      </c>
    </row>
    <row r="79" spans="1:11" x14ac:dyDescent="0.25">
      <c r="A79">
        <v>78</v>
      </c>
      <c r="B79" t="s">
        <v>165</v>
      </c>
      <c r="C79" t="s">
        <v>166</v>
      </c>
      <c r="D79">
        <v>32</v>
      </c>
      <c r="E79">
        <v>71849282</v>
      </c>
      <c r="F79">
        <v>0</v>
      </c>
      <c r="G79">
        <v>0</v>
      </c>
      <c r="H79">
        <v>0</v>
      </c>
      <c r="I79">
        <v>0</v>
      </c>
      <c r="J79">
        <v>32</v>
      </c>
      <c r="K79">
        <v>71849282</v>
      </c>
    </row>
    <row r="80" spans="1:11" x14ac:dyDescent="0.25">
      <c r="A80">
        <v>79</v>
      </c>
      <c r="B80" t="s">
        <v>167</v>
      </c>
      <c r="C80" t="s">
        <v>168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 x14ac:dyDescent="0.25">
      <c r="A81">
        <v>80</v>
      </c>
      <c r="B81" t="s">
        <v>169</v>
      </c>
      <c r="C81" t="s">
        <v>170</v>
      </c>
      <c r="D81">
        <v>828</v>
      </c>
      <c r="E81">
        <v>196150850.62329009</v>
      </c>
      <c r="F81">
        <v>120</v>
      </c>
      <c r="G81">
        <v>20796297</v>
      </c>
      <c r="H81">
        <v>117</v>
      </c>
      <c r="I81">
        <v>41012966</v>
      </c>
      <c r="J81">
        <v>831</v>
      </c>
      <c r="K81">
        <v>175934181.62329009</v>
      </c>
    </row>
    <row r="82" spans="1:11" x14ac:dyDescent="0.25">
      <c r="A82">
        <v>81</v>
      </c>
      <c r="B82" t="s">
        <v>171</v>
      </c>
      <c r="C82" t="s">
        <v>172</v>
      </c>
      <c r="D82">
        <v>249</v>
      </c>
      <c r="E82">
        <v>218956179.11730209</v>
      </c>
      <c r="F82">
        <v>0</v>
      </c>
      <c r="G82">
        <v>0</v>
      </c>
      <c r="H82">
        <v>0</v>
      </c>
      <c r="I82">
        <v>0</v>
      </c>
      <c r="J82">
        <v>249</v>
      </c>
      <c r="K82">
        <v>218956179.11730209</v>
      </c>
    </row>
    <row r="83" spans="1:11" x14ac:dyDescent="0.25">
      <c r="A83">
        <v>82</v>
      </c>
      <c r="B83" t="s">
        <v>173</v>
      </c>
      <c r="C83" t="s">
        <v>174</v>
      </c>
      <c r="D83">
        <v>179</v>
      </c>
      <c r="E83">
        <v>160749418.20238101</v>
      </c>
      <c r="F83">
        <v>0</v>
      </c>
      <c r="G83">
        <v>0</v>
      </c>
      <c r="H83">
        <v>7</v>
      </c>
      <c r="I83">
        <v>11481482</v>
      </c>
      <c r="J83">
        <v>172</v>
      </c>
      <c r="K83">
        <v>149267936.20238101</v>
      </c>
    </row>
    <row r="84" spans="1:11" x14ac:dyDescent="0.25">
      <c r="A84">
        <v>83</v>
      </c>
      <c r="B84" t="s">
        <v>175</v>
      </c>
      <c r="C84" t="s">
        <v>176</v>
      </c>
      <c r="D84">
        <v>7</v>
      </c>
      <c r="E84">
        <v>6787540.200000003</v>
      </c>
      <c r="F84">
        <v>0</v>
      </c>
      <c r="G84">
        <v>0</v>
      </c>
      <c r="H84">
        <v>0</v>
      </c>
      <c r="I84">
        <v>0</v>
      </c>
      <c r="J84">
        <v>7</v>
      </c>
      <c r="K84">
        <v>6787540.200000003</v>
      </c>
    </row>
    <row r="85" spans="1:11" x14ac:dyDescent="0.25">
      <c r="A85">
        <v>84</v>
      </c>
      <c r="B85" t="s">
        <v>177</v>
      </c>
      <c r="C85" t="s">
        <v>178</v>
      </c>
      <c r="D85">
        <v>19</v>
      </c>
      <c r="E85">
        <v>100316519.483871</v>
      </c>
      <c r="F85">
        <v>0</v>
      </c>
      <c r="G85">
        <v>0</v>
      </c>
      <c r="H85">
        <v>0</v>
      </c>
      <c r="I85">
        <v>0</v>
      </c>
      <c r="J85">
        <v>19</v>
      </c>
      <c r="K85">
        <v>100316519.483871</v>
      </c>
    </row>
    <row r="86" spans="1:11" x14ac:dyDescent="0.25">
      <c r="A86">
        <v>85</v>
      </c>
      <c r="B86" t="s">
        <v>179</v>
      </c>
      <c r="C86" t="s">
        <v>180</v>
      </c>
      <c r="D86">
        <v>22</v>
      </c>
      <c r="E86">
        <v>29190400.16</v>
      </c>
      <c r="F86">
        <v>0</v>
      </c>
      <c r="G86">
        <v>0</v>
      </c>
      <c r="H86">
        <v>0</v>
      </c>
      <c r="I86">
        <v>0</v>
      </c>
      <c r="J86">
        <v>22</v>
      </c>
      <c r="K86">
        <v>29190400.16</v>
      </c>
    </row>
    <row r="87" spans="1:11" x14ac:dyDescent="0.25">
      <c r="A87">
        <v>86</v>
      </c>
      <c r="B87" t="s">
        <v>181</v>
      </c>
      <c r="C87" t="s">
        <v>182</v>
      </c>
      <c r="D87">
        <v>60</v>
      </c>
      <c r="E87">
        <v>51135338.572559372</v>
      </c>
      <c r="F87">
        <v>0</v>
      </c>
      <c r="G87">
        <v>0</v>
      </c>
      <c r="H87">
        <v>7</v>
      </c>
      <c r="I87">
        <v>8620370</v>
      </c>
      <c r="J87">
        <v>53</v>
      </c>
      <c r="K87">
        <v>42514968.572559372</v>
      </c>
    </row>
    <row r="88" spans="1:11" x14ac:dyDescent="0.25">
      <c r="A88">
        <v>87</v>
      </c>
      <c r="B88" t="s">
        <v>183</v>
      </c>
      <c r="C88" t="s">
        <v>184</v>
      </c>
      <c r="D88">
        <v>3</v>
      </c>
      <c r="E88">
        <v>2443182.9545454532</v>
      </c>
      <c r="F88">
        <v>0</v>
      </c>
      <c r="G88">
        <v>0</v>
      </c>
      <c r="H88">
        <v>0</v>
      </c>
      <c r="I88">
        <v>0</v>
      </c>
      <c r="J88">
        <v>3</v>
      </c>
      <c r="K88">
        <v>2443182.9545454532</v>
      </c>
    </row>
    <row r="89" spans="1:11" x14ac:dyDescent="0.25">
      <c r="A89">
        <v>88</v>
      </c>
      <c r="B89" t="s">
        <v>185</v>
      </c>
      <c r="C89" t="s">
        <v>186</v>
      </c>
      <c r="D89">
        <v>863</v>
      </c>
      <c r="E89">
        <v>270705982.74628812</v>
      </c>
      <c r="F89">
        <v>0</v>
      </c>
      <c r="G89">
        <v>0</v>
      </c>
      <c r="H89">
        <v>16</v>
      </c>
      <c r="I89">
        <v>12444444</v>
      </c>
      <c r="J89">
        <v>847</v>
      </c>
      <c r="K89">
        <v>258261538.74628809</v>
      </c>
    </row>
    <row r="90" spans="1:11" x14ac:dyDescent="0.25">
      <c r="A90">
        <v>89</v>
      </c>
      <c r="B90" t="s">
        <v>187</v>
      </c>
      <c r="C90" t="s">
        <v>188</v>
      </c>
      <c r="D90">
        <v>271</v>
      </c>
      <c r="E90">
        <v>232579468.34957021</v>
      </c>
      <c r="F90">
        <v>0</v>
      </c>
      <c r="G90">
        <v>0</v>
      </c>
      <c r="H90">
        <v>1</v>
      </c>
      <c r="I90">
        <v>1772222</v>
      </c>
      <c r="J90">
        <v>270</v>
      </c>
      <c r="K90">
        <v>230807246.34957021</v>
      </c>
    </row>
    <row r="91" spans="1:11" x14ac:dyDescent="0.25">
      <c r="A91">
        <v>90</v>
      </c>
      <c r="B91" t="s">
        <v>189</v>
      </c>
      <c r="C91" t="s">
        <v>190</v>
      </c>
      <c r="D91">
        <v>197</v>
      </c>
      <c r="E91">
        <v>255373599.9923954</v>
      </c>
      <c r="F91">
        <v>0</v>
      </c>
      <c r="G91">
        <v>0</v>
      </c>
      <c r="H91">
        <v>1</v>
      </c>
      <c r="I91">
        <v>2175926</v>
      </c>
      <c r="J91">
        <v>196</v>
      </c>
      <c r="K91">
        <v>253197673.9923954</v>
      </c>
    </row>
    <row r="92" spans="1:11" x14ac:dyDescent="0.25">
      <c r="A92">
        <v>91</v>
      </c>
      <c r="B92" t="s">
        <v>191</v>
      </c>
      <c r="C92" t="s">
        <v>192</v>
      </c>
      <c r="D92">
        <v>85</v>
      </c>
      <c r="E92">
        <v>30980991.128078818</v>
      </c>
      <c r="F92">
        <v>5</v>
      </c>
      <c r="G92">
        <v>384259</v>
      </c>
      <c r="H92">
        <v>3</v>
      </c>
      <c r="I92">
        <v>388889</v>
      </c>
      <c r="J92">
        <v>87</v>
      </c>
      <c r="K92">
        <v>30976361.128078818</v>
      </c>
    </row>
    <row r="93" spans="1:11" x14ac:dyDescent="0.25">
      <c r="A93">
        <v>92</v>
      </c>
      <c r="B93" t="s">
        <v>193</v>
      </c>
      <c r="C93" t="s">
        <v>194</v>
      </c>
      <c r="D93">
        <v>27</v>
      </c>
      <c r="E93">
        <v>52207857.432558149</v>
      </c>
      <c r="F93">
        <v>2</v>
      </c>
      <c r="G93">
        <v>3981481</v>
      </c>
      <c r="H93">
        <v>1</v>
      </c>
      <c r="I93">
        <v>2361111</v>
      </c>
      <c r="J93">
        <v>28</v>
      </c>
      <c r="K93">
        <v>53828227.432558149</v>
      </c>
    </row>
    <row r="94" spans="1:11" x14ac:dyDescent="0.25">
      <c r="A94">
        <v>93</v>
      </c>
      <c r="B94" t="s">
        <v>195</v>
      </c>
      <c r="C94" t="s">
        <v>196</v>
      </c>
      <c r="D94">
        <v>415</v>
      </c>
      <c r="E94">
        <v>162326849.61556071</v>
      </c>
      <c r="F94">
        <v>1</v>
      </c>
      <c r="G94">
        <v>3314815</v>
      </c>
      <c r="H94">
        <v>9</v>
      </c>
      <c r="I94">
        <v>18435187</v>
      </c>
      <c r="J94">
        <v>407</v>
      </c>
      <c r="K94">
        <v>147206477.61556071</v>
      </c>
    </row>
    <row r="95" spans="1:11" x14ac:dyDescent="0.25">
      <c r="A95">
        <v>94</v>
      </c>
      <c r="B95" t="s">
        <v>197</v>
      </c>
      <c r="C95" t="s">
        <v>198</v>
      </c>
      <c r="D95">
        <v>30</v>
      </c>
      <c r="E95">
        <v>3088722</v>
      </c>
      <c r="F95">
        <v>0</v>
      </c>
      <c r="G95">
        <v>0</v>
      </c>
      <c r="H95">
        <v>0</v>
      </c>
      <c r="I95">
        <v>0</v>
      </c>
      <c r="J95">
        <v>30</v>
      </c>
      <c r="K95">
        <v>3088722</v>
      </c>
    </row>
    <row r="96" spans="1:11" x14ac:dyDescent="0.25">
      <c r="A96">
        <v>95</v>
      </c>
      <c r="B96" t="s">
        <v>199</v>
      </c>
      <c r="C96" t="s">
        <v>200</v>
      </c>
      <c r="D96">
        <v>136</v>
      </c>
      <c r="E96">
        <v>7747445.0819672123</v>
      </c>
      <c r="F96">
        <v>30</v>
      </c>
      <c r="G96">
        <v>5277778</v>
      </c>
      <c r="H96">
        <v>35</v>
      </c>
      <c r="I96">
        <v>4953704</v>
      </c>
      <c r="J96">
        <v>131</v>
      </c>
      <c r="K96">
        <v>8071519.0819672123</v>
      </c>
    </row>
    <row r="97" spans="1:11" x14ac:dyDescent="0.25">
      <c r="A97">
        <v>96</v>
      </c>
      <c r="B97" t="s">
        <v>201</v>
      </c>
      <c r="C97" t="s">
        <v>202</v>
      </c>
      <c r="D97">
        <v>1872</v>
      </c>
      <c r="E97">
        <v>216441526.4361957</v>
      </c>
      <c r="F97">
        <v>50</v>
      </c>
      <c r="G97">
        <v>11111111</v>
      </c>
      <c r="H97">
        <v>0</v>
      </c>
      <c r="I97">
        <v>0</v>
      </c>
      <c r="J97">
        <v>1922</v>
      </c>
      <c r="K97">
        <v>227552637.4361957</v>
      </c>
    </row>
    <row r="98" spans="1:11" x14ac:dyDescent="0.25">
      <c r="A98">
        <v>97</v>
      </c>
      <c r="B98" t="s">
        <v>203</v>
      </c>
      <c r="C98" t="s">
        <v>204</v>
      </c>
      <c r="D98">
        <v>435</v>
      </c>
      <c r="E98">
        <v>69980200.620727673</v>
      </c>
      <c r="F98">
        <v>50</v>
      </c>
      <c r="G98">
        <v>7407407</v>
      </c>
      <c r="H98">
        <v>52</v>
      </c>
      <c r="I98">
        <v>6814808</v>
      </c>
      <c r="J98">
        <v>433</v>
      </c>
      <c r="K98">
        <v>70572799.620727673</v>
      </c>
    </row>
    <row r="99" spans="1:11" x14ac:dyDescent="0.25">
      <c r="A99">
        <v>98</v>
      </c>
      <c r="B99" t="s">
        <v>205</v>
      </c>
      <c r="C99" t="s">
        <v>206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 x14ac:dyDescent="0.25">
      <c r="A100">
        <v>99</v>
      </c>
      <c r="B100" t="s">
        <v>207</v>
      </c>
      <c r="C100" t="s">
        <v>208</v>
      </c>
      <c r="D100">
        <v>10</v>
      </c>
      <c r="E100">
        <v>3335423.7586206938</v>
      </c>
      <c r="F100">
        <v>0</v>
      </c>
      <c r="G100">
        <v>0</v>
      </c>
      <c r="H100">
        <v>0</v>
      </c>
      <c r="I100">
        <v>0</v>
      </c>
      <c r="J100">
        <v>10</v>
      </c>
      <c r="K100">
        <v>3335423.7586206938</v>
      </c>
    </row>
    <row r="101" spans="1:11" x14ac:dyDescent="0.25">
      <c r="A101">
        <v>100</v>
      </c>
      <c r="B101" t="s">
        <v>209</v>
      </c>
      <c r="C101" t="s">
        <v>210</v>
      </c>
      <c r="D101">
        <v>4</v>
      </c>
      <c r="E101">
        <v>4071718</v>
      </c>
      <c r="F101">
        <v>4</v>
      </c>
      <c r="G101">
        <v>3148148</v>
      </c>
      <c r="H101">
        <v>0</v>
      </c>
      <c r="I101">
        <v>0</v>
      </c>
      <c r="J101">
        <v>8</v>
      </c>
      <c r="K101">
        <v>7219866</v>
      </c>
    </row>
    <row r="102" spans="1:11" x14ac:dyDescent="0.25">
      <c r="A102">
        <v>101</v>
      </c>
      <c r="B102" t="s">
        <v>211</v>
      </c>
      <c r="C102" t="s">
        <v>212</v>
      </c>
      <c r="D102">
        <v>260</v>
      </c>
      <c r="E102">
        <v>130930001.6692913</v>
      </c>
      <c r="F102">
        <v>0</v>
      </c>
      <c r="G102">
        <v>0</v>
      </c>
      <c r="H102">
        <v>0</v>
      </c>
      <c r="I102">
        <v>0</v>
      </c>
      <c r="J102">
        <v>260</v>
      </c>
      <c r="K102">
        <v>130930001.6692913</v>
      </c>
    </row>
    <row r="103" spans="1:11" x14ac:dyDescent="0.25">
      <c r="A103">
        <v>102</v>
      </c>
      <c r="B103" t="s">
        <v>213</v>
      </c>
      <c r="C103" t="s">
        <v>214</v>
      </c>
      <c r="D103">
        <v>2</v>
      </c>
      <c r="E103">
        <v>2309091</v>
      </c>
      <c r="F103">
        <v>0</v>
      </c>
      <c r="G103">
        <v>0</v>
      </c>
      <c r="H103">
        <v>0</v>
      </c>
      <c r="I103">
        <v>0</v>
      </c>
      <c r="J103">
        <v>2</v>
      </c>
      <c r="K103">
        <v>2309091</v>
      </c>
    </row>
    <row r="104" spans="1:11" x14ac:dyDescent="0.25">
      <c r="A104">
        <v>103</v>
      </c>
      <c r="B104" t="s">
        <v>215</v>
      </c>
      <c r="C104" t="s">
        <v>216</v>
      </c>
      <c r="D104">
        <v>2142</v>
      </c>
      <c r="E104">
        <v>271410008.46378452</v>
      </c>
      <c r="F104">
        <v>73</v>
      </c>
      <c r="G104">
        <v>11487961</v>
      </c>
      <c r="H104">
        <v>45</v>
      </c>
      <c r="I104">
        <v>7342599</v>
      </c>
      <c r="J104">
        <v>2170</v>
      </c>
      <c r="K104">
        <v>275555370.46378452</v>
      </c>
    </row>
    <row r="105" spans="1:11" x14ac:dyDescent="0.25">
      <c r="A105">
        <v>104</v>
      </c>
      <c r="B105" t="s">
        <v>217</v>
      </c>
      <c r="C105" t="s">
        <v>218</v>
      </c>
      <c r="D105">
        <v>504</v>
      </c>
      <c r="E105">
        <v>146307267.99298239</v>
      </c>
      <c r="F105">
        <v>0</v>
      </c>
      <c r="G105">
        <v>0</v>
      </c>
      <c r="H105">
        <v>1</v>
      </c>
      <c r="I105">
        <v>398148</v>
      </c>
      <c r="J105">
        <v>503</v>
      </c>
      <c r="K105">
        <v>145909119.99298239</v>
      </c>
    </row>
    <row r="106" spans="1:11" x14ac:dyDescent="0.25">
      <c r="A106">
        <v>105</v>
      </c>
      <c r="B106" t="s">
        <v>219</v>
      </c>
      <c r="C106" t="s">
        <v>220</v>
      </c>
      <c r="D106">
        <v>2273</v>
      </c>
      <c r="E106">
        <v>473553917.69023043</v>
      </c>
      <c r="F106">
        <v>0</v>
      </c>
      <c r="G106">
        <v>0</v>
      </c>
      <c r="H106">
        <v>146</v>
      </c>
      <c r="I106">
        <v>17805551</v>
      </c>
      <c r="J106">
        <v>2127</v>
      </c>
      <c r="K106">
        <v>455748366.69023043</v>
      </c>
    </row>
    <row r="107" spans="1:11" x14ac:dyDescent="0.25">
      <c r="A107">
        <v>106</v>
      </c>
      <c r="B107" t="s">
        <v>221</v>
      </c>
      <c r="C107" t="s">
        <v>222</v>
      </c>
      <c r="D107">
        <v>27</v>
      </c>
      <c r="E107">
        <v>2743473.3291293681</v>
      </c>
      <c r="F107">
        <v>30</v>
      </c>
      <c r="G107">
        <v>3888889</v>
      </c>
      <c r="H107">
        <v>38</v>
      </c>
      <c r="I107">
        <v>9479627</v>
      </c>
      <c r="J107">
        <v>19</v>
      </c>
      <c r="K107">
        <v>0</v>
      </c>
    </row>
    <row r="108" spans="1:11" x14ac:dyDescent="0.25">
      <c r="A108">
        <v>107</v>
      </c>
      <c r="B108" t="s">
        <v>223</v>
      </c>
      <c r="C108" t="s">
        <v>224</v>
      </c>
      <c r="D108">
        <v>9</v>
      </c>
      <c r="E108">
        <v>4562119.75</v>
      </c>
      <c r="F108">
        <v>0</v>
      </c>
      <c r="G108">
        <v>0</v>
      </c>
      <c r="H108">
        <v>0</v>
      </c>
      <c r="I108">
        <v>0</v>
      </c>
      <c r="J108">
        <v>9</v>
      </c>
      <c r="K108">
        <v>4562119.75</v>
      </c>
    </row>
    <row r="109" spans="1:11" x14ac:dyDescent="0.25">
      <c r="A109">
        <v>108</v>
      </c>
      <c r="B109" t="s">
        <v>225</v>
      </c>
      <c r="C109" t="s">
        <v>226</v>
      </c>
      <c r="D109">
        <v>332</v>
      </c>
      <c r="E109">
        <v>87237549.850046858</v>
      </c>
      <c r="F109">
        <v>0</v>
      </c>
      <c r="G109">
        <v>0</v>
      </c>
      <c r="H109">
        <v>8</v>
      </c>
      <c r="I109">
        <v>1351852</v>
      </c>
      <c r="J109">
        <v>324</v>
      </c>
      <c r="K109">
        <v>85885697.850046858</v>
      </c>
    </row>
    <row r="110" spans="1:11" x14ac:dyDescent="0.25">
      <c r="A110">
        <v>109</v>
      </c>
      <c r="B110" t="s">
        <v>227</v>
      </c>
      <c r="C110" t="s">
        <v>228</v>
      </c>
      <c r="D110">
        <v>422</v>
      </c>
      <c r="E110">
        <v>151370234.1661891</v>
      </c>
      <c r="F110">
        <v>25</v>
      </c>
      <c r="G110">
        <v>11043526</v>
      </c>
      <c r="H110">
        <v>44</v>
      </c>
      <c r="I110">
        <v>9694448</v>
      </c>
      <c r="J110">
        <v>403</v>
      </c>
      <c r="K110">
        <v>152719312.1661891</v>
      </c>
    </row>
    <row r="111" spans="1:11" x14ac:dyDescent="0.25">
      <c r="A111">
        <v>110</v>
      </c>
      <c r="B111" t="s">
        <v>229</v>
      </c>
      <c r="C111" t="s">
        <v>230</v>
      </c>
      <c r="D111">
        <v>42</v>
      </c>
      <c r="E111">
        <v>3087584.8936170209</v>
      </c>
      <c r="F111">
        <v>0</v>
      </c>
      <c r="G111">
        <v>0</v>
      </c>
      <c r="H111">
        <v>0</v>
      </c>
      <c r="I111">
        <v>0</v>
      </c>
      <c r="J111">
        <v>42</v>
      </c>
      <c r="K111">
        <v>3087584.8936170209</v>
      </c>
    </row>
    <row r="112" spans="1:11" x14ac:dyDescent="0.25">
      <c r="A112">
        <v>111</v>
      </c>
      <c r="B112" t="s">
        <v>231</v>
      </c>
      <c r="C112" t="s">
        <v>232</v>
      </c>
      <c r="D112">
        <v>117</v>
      </c>
      <c r="E112">
        <v>50825668.259079903</v>
      </c>
      <c r="F112">
        <v>2</v>
      </c>
      <c r="G112">
        <v>3675926</v>
      </c>
      <c r="H112">
        <v>0</v>
      </c>
      <c r="I112">
        <v>0</v>
      </c>
      <c r="J112">
        <v>119</v>
      </c>
      <c r="K112">
        <v>54501594.259079903</v>
      </c>
    </row>
    <row r="113" spans="1:11" x14ac:dyDescent="0.25">
      <c r="A113">
        <v>112</v>
      </c>
      <c r="B113" t="s">
        <v>233</v>
      </c>
      <c r="C113" t="s">
        <v>234</v>
      </c>
      <c r="D113">
        <v>949</v>
      </c>
      <c r="E113">
        <v>337597541.39026397</v>
      </c>
      <c r="F113">
        <v>0</v>
      </c>
      <c r="G113">
        <v>0</v>
      </c>
      <c r="H113">
        <v>1</v>
      </c>
      <c r="I113">
        <v>648148</v>
      </c>
      <c r="J113">
        <v>948</v>
      </c>
      <c r="K113">
        <v>336949393.39026397</v>
      </c>
    </row>
    <row r="114" spans="1:11" x14ac:dyDescent="0.25">
      <c r="A114">
        <v>113</v>
      </c>
      <c r="B114" t="s">
        <v>235</v>
      </c>
      <c r="C114" t="s">
        <v>236</v>
      </c>
      <c r="D114">
        <v>32</v>
      </c>
      <c r="E114">
        <v>12049081.620689649</v>
      </c>
      <c r="F114">
        <v>0</v>
      </c>
      <c r="G114">
        <v>0</v>
      </c>
      <c r="H114">
        <v>0</v>
      </c>
      <c r="I114">
        <v>0</v>
      </c>
      <c r="J114">
        <v>32</v>
      </c>
      <c r="K114">
        <v>12049081.620689649</v>
      </c>
    </row>
    <row r="115" spans="1:11" x14ac:dyDescent="0.25">
      <c r="A115">
        <v>114</v>
      </c>
      <c r="B115" t="s">
        <v>237</v>
      </c>
      <c r="C115" t="s">
        <v>238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 x14ac:dyDescent="0.25">
      <c r="A116">
        <v>115</v>
      </c>
      <c r="B116" t="s">
        <v>239</v>
      </c>
      <c r="C116" t="s">
        <v>240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 x14ac:dyDescent="0.25">
      <c r="A117">
        <v>116</v>
      </c>
      <c r="B117" t="s">
        <v>241</v>
      </c>
      <c r="C117" t="s">
        <v>242</v>
      </c>
      <c r="D117">
        <v>1</v>
      </c>
      <c r="E117">
        <v>2400000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2400000</v>
      </c>
    </row>
    <row r="118" spans="1:11" x14ac:dyDescent="0.25">
      <c r="A118">
        <v>117</v>
      </c>
      <c r="B118" t="s">
        <v>243</v>
      </c>
      <c r="C118" t="s">
        <v>244</v>
      </c>
      <c r="D118">
        <v>1</v>
      </c>
      <c r="E118">
        <v>2200000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2200000</v>
      </c>
    </row>
    <row r="119" spans="1:11" x14ac:dyDescent="0.25">
      <c r="A119">
        <v>118</v>
      </c>
      <c r="B119" t="s">
        <v>245</v>
      </c>
      <c r="C119" t="s">
        <v>246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 x14ac:dyDescent="0.25">
      <c r="A120">
        <v>119</v>
      </c>
      <c r="B120" t="s">
        <v>247</v>
      </c>
      <c r="C120" t="s">
        <v>248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</row>
    <row r="121" spans="1:11" x14ac:dyDescent="0.25">
      <c r="A121">
        <v>120</v>
      </c>
      <c r="B121" t="s">
        <v>249</v>
      </c>
      <c r="C121" t="s">
        <v>250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 x14ac:dyDescent="0.25">
      <c r="A122">
        <v>121</v>
      </c>
      <c r="B122" t="s">
        <v>251</v>
      </c>
      <c r="C122" t="s">
        <v>252</v>
      </c>
      <c r="D122">
        <v>6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6</v>
      </c>
      <c r="K122">
        <v>0</v>
      </c>
    </row>
    <row r="123" spans="1:11" x14ac:dyDescent="0.25">
      <c r="A123">
        <v>122</v>
      </c>
      <c r="B123" t="s">
        <v>253</v>
      </c>
      <c r="C123" t="s">
        <v>254</v>
      </c>
      <c r="D123">
        <v>0</v>
      </c>
      <c r="E123">
        <v>10496683.616306961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10496683.616306961</v>
      </c>
    </row>
    <row r="124" spans="1:11" x14ac:dyDescent="0.25">
      <c r="A124">
        <v>123</v>
      </c>
      <c r="B124" t="s">
        <v>255</v>
      </c>
      <c r="C124" t="s">
        <v>256</v>
      </c>
      <c r="D124">
        <v>41</v>
      </c>
      <c r="E124">
        <v>23422515.84722222</v>
      </c>
      <c r="F124">
        <v>0</v>
      </c>
      <c r="G124">
        <v>0</v>
      </c>
      <c r="H124">
        <v>0</v>
      </c>
      <c r="I124">
        <v>0</v>
      </c>
      <c r="J124">
        <v>41</v>
      </c>
      <c r="K124">
        <v>23422515.84722222</v>
      </c>
    </row>
    <row r="125" spans="1:11" x14ac:dyDescent="0.25">
      <c r="A125">
        <v>124</v>
      </c>
      <c r="B125" t="s">
        <v>257</v>
      </c>
      <c r="C125" t="s">
        <v>258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 x14ac:dyDescent="0.25">
      <c r="A126">
        <v>125</v>
      </c>
      <c r="B126" t="s">
        <v>259</v>
      </c>
      <c r="C126" t="s">
        <v>260</v>
      </c>
      <c r="D126">
        <v>680</v>
      </c>
      <c r="E126">
        <v>422687363.2321918</v>
      </c>
      <c r="F126">
        <v>0</v>
      </c>
      <c r="G126">
        <v>0</v>
      </c>
      <c r="H126">
        <v>0</v>
      </c>
      <c r="I126">
        <v>0</v>
      </c>
      <c r="J126">
        <v>680</v>
      </c>
      <c r="K126">
        <v>422687363.2321918</v>
      </c>
    </row>
    <row r="127" spans="1:11" x14ac:dyDescent="0.25">
      <c r="A127">
        <v>126</v>
      </c>
      <c r="B127" t="s">
        <v>261</v>
      </c>
      <c r="C127" t="s">
        <v>262</v>
      </c>
      <c r="D127">
        <v>6</v>
      </c>
      <c r="E127">
        <v>2049816.142857143</v>
      </c>
      <c r="F127">
        <v>0</v>
      </c>
      <c r="G127">
        <v>0</v>
      </c>
      <c r="H127">
        <v>0</v>
      </c>
      <c r="I127">
        <v>0</v>
      </c>
      <c r="J127">
        <v>6</v>
      </c>
      <c r="K127">
        <v>2049816.142857143</v>
      </c>
    </row>
    <row r="128" spans="1:11" x14ac:dyDescent="0.25">
      <c r="A128">
        <v>127</v>
      </c>
      <c r="B128" t="s">
        <v>263</v>
      </c>
      <c r="C128" t="s">
        <v>264</v>
      </c>
      <c r="D128">
        <v>11</v>
      </c>
      <c r="E128">
        <v>10694447.40909091</v>
      </c>
      <c r="F128">
        <v>0</v>
      </c>
      <c r="G128">
        <v>0</v>
      </c>
      <c r="H128">
        <v>0</v>
      </c>
      <c r="I128">
        <v>0</v>
      </c>
      <c r="J128">
        <v>11</v>
      </c>
      <c r="K128">
        <v>10694447.40909091</v>
      </c>
    </row>
    <row r="129" spans="1:11" x14ac:dyDescent="0.25">
      <c r="A129">
        <v>128</v>
      </c>
      <c r="B129" t="s">
        <v>265</v>
      </c>
      <c r="C129" t="s">
        <v>266</v>
      </c>
      <c r="D129">
        <v>18</v>
      </c>
      <c r="E129">
        <v>37463253.75</v>
      </c>
      <c r="F129">
        <v>0</v>
      </c>
      <c r="G129">
        <v>0</v>
      </c>
      <c r="H129">
        <v>0</v>
      </c>
      <c r="I129">
        <v>0</v>
      </c>
      <c r="J129">
        <v>18</v>
      </c>
      <c r="K129">
        <v>37463253.75</v>
      </c>
    </row>
    <row r="130" spans="1:11" x14ac:dyDescent="0.25">
      <c r="A130">
        <v>129</v>
      </c>
      <c r="B130" t="s">
        <v>267</v>
      </c>
      <c r="C130" t="s">
        <v>268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1:11" x14ac:dyDescent="0.25">
      <c r="A131">
        <v>130</v>
      </c>
      <c r="B131" t="s">
        <v>269</v>
      </c>
      <c r="C131" t="s">
        <v>270</v>
      </c>
      <c r="D131">
        <v>246</v>
      </c>
      <c r="E131">
        <v>135758585.5194805</v>
      </c>
      <c r="F131">
        <v>0</v>
      </c>
      <c r="G131">
        <v>0</v>
      </c>
      <c r="H131">
        <v>0</v>
      </c>
      <c r="I131">
        <v>0</v>
      </c>
      <c r="J131">
        <v>246</v>
      </c>
      <c r="K131">
        <v>135758585.5194805</v>
      </c>
    </row>
    <row r="132" spans="1:11" x14ac:dyDescent="0.25">
      <c r="A132">
        <v>131</v>
      </c>
      <c r="B132" t="s">
        <v>271</v>
      </c>
      <c r="C132" t="s">
        <v>272</v>
      </c>
      <c r="D132">
        <v>142</v>
      </c>
      <c r="E132">
        <v>34449461.748930097</v>
      </c>
      <c r="F132">
        <v>0</v>
      </c>
      <c r="G132">
        <v>0</v>
      </c>
      <c r="H132">
        <v>1</v>
      </c>
      <c r="I132">
        <v>1435185</v>
      </c>
      <c r="J132">
        <v>141</v>
      </c>
      <c r="K132">
        <v>33014276.7489301</v>
      </c>
    </row>
    <row r="133" spans="1:11" x14ac:dyDescent="0.25">
      <c r="A133">
        <v>132</v>
      </c>
      <c r="B133" t="s">
        <v>273</v>
      </c>
      <c r="C133" t="s">
        <v>274</v>
      </c>
      <c r="D133">
        <v>474</v>
      </c>
      <c r="E133">
        <v>91398265.769411772</v>
      </c>
      <c r="F133">
        <v>34</v>
      </c>
      <c r="G133">
        <v>7412036</v>
      </c>
      <c r="H133">
        <v>60</v>
      </c>
      <c r="I133">
        <v>9324074</v>
      </c>
      <c r="J133">
        <v>448</v>
      </c>
      <c r="K133">
        <v>89486227.769411772</v>
      </c>
    </row>
    <row r="134" spans="1:11" x14ac:dyDescent="0.25">
      <c r="A134">
        <v>133</v>
      </c>
      <c r="B134" t="s">
        <v>275</v>
      </c>
      <c r="C134" t="s">
        <v>276</v>
      </c>
      <c r="D134">
        <v>133</v>
      </c>
      <c r="E134">
        <v>36893722.084337354</v>
      </c>
      <c r="F134">
        <v>6</v>
      </c>
      <c r="G134">
        <v>2601852</v>
      </c>
      <c r="H134">
        <v>6</v>
      </c>
      <c r="I134">
        <v>4416667</v>
      </c>
      <c r="J134">
        <v>133</v>
      </c>
      <c r="K134">
        <v>35078907.084337354</v>
      </c>
    </row>
    <row r="135" spans="1:11" x14ac:dyDescent="0.25">
      <c r="A135">
        <v>134</v>
      </c>
      <c r="B135" t="s">
        <v>277</v>
      </c>
      <c r="C135" t="s">
        <v>278</v>
      </c>
      <c r="D135">
        <v>10</v>
      </c>
      <c r="E135">
        <v>1621381.5714285709</v>
      </c>
      <c r="F135">
        <v>0</v>
      </c>
      <c r="G135">
        <v>0</v>
      </c>
      <c r="H135">
        <v>0</v>
      </c>
      <c r="I135">
        <v>0</v>
      </c>
      <c r="J135">
        <v>10</v>
      </c>
      <c r="K135">
        <v>1621381.5714285709</v>
      </c>
    </row>
    <row r="136" spans="1:11" x14ac:dyDescent="0.25">
      <c r="A136">
        <v>135</v>
      </c>
      <c r="B136" t="s">
        <v>279</v>
      </c>
      <c r="C136" t="s">
        <v>280</v>
      </c>
      <c r="D136">
        <v>46</v>
      </c>
      <c r="E136">
        <v>4439329.3684210526</v>
      </c>
      <c r="F136">
        <v>0</v>
      </c>
      <c r="G136">
        <v>0</v>
      </c>
      <c r="H136">
        <v>0</v>
      </c>
      <c r="I136">
        <v>0</v>
      </c>
      <c r="J136">
        <v>46</v>
      </c>
      <c r="K136">
        <v>4439329.3684210526</v>
      </c>
    </row>
    <row r="137" spans="1:11" x14ac:dyDescent="0.25">
      <c r="A137">
        <v>136</v>
      </c>
      <c r="B137" t="s">
        <v>281</v>
      </c>
      <c r="C137" t="s">
        <v>282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 x14ac:dyDescent="0.25">
      <c r="A138">
        <v>137</v>
      </c>
      <c r="B138" t="s">
        <v>283</v>
      </c>
      <c r="C138" t="s">
        <v>284</v>
      </c>
      <c r="D138">
        <v>24</v>
      </c>
      <c r="E138">
        <v>12707741.860465121</v>
      </c>
      <c r="F138">
        <v>0</v>
      </c>
      <c r="G138">
        <v>0</v>
      </c>
      <c r="H138">
        <v>0</v>
      </c>
      <c r="I138">
        <v>0</v>
      </c>
      <c r="J138">
        <v>24</v>
      </c>
      <c r="K138">
        <v>12707741.860465121</v>
      </c>
    </row>
    <row r="139" spans="1:11" x14ac:dyDescent="0.25">
      <c r="A139">
        <v>138</v>
      </c>
      <c r="B139" t="s">
        <v>285</v>
      </c>
      <c r="C139" t="s">
        <v>286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</row>
    <row r="140" spans="1:11" x14ac:dyDescent="0.25">
      <c r="A140">
        <v>139</v>
      </c>
      <c r="B140" t="s">
        <v>287</v>
      </c>
      <c r="C140" t="s">
        <v>288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1" x14ac:dyDescent="0.25">
      <c r="A141">
        <v>140</v>
      </c>
      <c r="B141" t="s">
        <v>289</v>
      </c>
      <c r="C141" t="s">
        <v>290</v>
      </c>
      <c r="D141">
        <v>8</v>
      </c>
      <c r="E141">
        <v>2400000</v>
      </c>
      <c r="F141">
        <v>0</v>
      </c>
      <c r="G141">
        <v>0</v>
      </c>
      <c r="H141">
        <v>0</v>
      </c>
      <c r="I141">
        <v>0</v>
      </c>
      <c r="J141">
        <v>8</v>
      </c>
      <c r="K141">
        <v>2400000</v>
      </c>
    </row>
    <row r="142" spans="1:11" x14ac:dyDescent="0.25">
      <c r="A142">
        <v>141</v>
      </c>
      <c r="B142" t="s">
        <v>291</v>
      </c>
      <c r="C142" t="s">
        <v>292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 x14ac:dyDescent="0.25">
      <c r="A143">
        <v>142</v>
      </c>
      <c r="B143" t="s">
        <v>293</v>
      </c>
      <c r="C143" t="s">
        <v>294</v>
      </c>
      <c r="D143">
        <v>54</v>
      </c>
      <c r="E143">
        <v>5000168.1159420311</v>
      </c>
      <c r="F143">
        <v>0</v>
      </c>
      <c r="G143">
        <v>0</v>
      </c>
      <c r="H143">
        <v>7</v>
      </c>
      <c r="I143">
        <v>3900000</v>
      </c>
      <c r="J143">
        <v>47</v>
      </c>
      <c r="K143">
        <v>1100168.1159420309</v>
      </c>
    </row>
    <row r="144" spans="1:11" x14ac:dyDescent="0.25">
      <c r="A144">
        <v>143</v>
      </c>
      <c r="B144" t="s">
        <v>295</v>
      </c>
      <c r="C144" t="s">
        <v>296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 x14ac:dyDescent="0.25">
      <c r="A145">
        <v>144</v>
      </c>
      <c r="B145" t="s">
        <v>297</v>
      </c>
      <c r="C145" t="s">
        <v>298</v>
      </c>
      <c r="D145">
        <v>46</v>
      </c>
      <c r="E145">
        <v>2972593.1515151509</v>
      </c>
      <c r="F145">
        <v>0</v>
      </c>
      <c r="G145">
        <v>0</v>
      </c>
      <c r="H145">
        <v>0</v>
      </c>
      <c r="I145">
        <v>0</v>
      </c>
      <c r="J145">
        <v>46</v>
      </c>
      <c r="K145">
        <v>2972593.1515151509</v>
      </c>
    </row>
    <row r="146" spans="1:11" x14ac:dyDescent="0.25">
      <c r="A146">
        <v>145</v>
      </c>
      <c r="B146" t="s">
        <v>299</v>
      </c>
      <c r="C146" t="s">
        <v>300</v>
      </c>
      <c r="D146">
        <v>3641.2359999999999</v>
      </c>
      <c r="E146">
        <v>1200093926.48</v>
      </c>
      <c r="F146">
        <v>916.06899999999996</v>
      </c>
      <c r="G146">
        <v>190195567</v>
      </c>
      <c r="H146">
        <v>165</v>
      </c>
      <c r="I146">
        <v>55147740</v>
      </c>
      <c r="J146">
        <v>4392.3050000000003</v>
      </c>
      <c r="K146">
        <v>1335141753.48</v>
      </c>
    </row>
    <row r="147" spans="1:11" x14ac:dyDescent="0.25">
      <c r="A147" t="s">
        <v>301</v>
      </c>
      <c r="D147">
        <v>29165.236000000001</v>
      </c>
      <c r="E147">
        <v>25940854164.047779</v>
      </c>
      <c r="F147">
        <v>2156.069</v>
      </c>
      <c r="G147">
        <v>2616436826.6399999</v>
      </c>
      <c r="H147">
        <v>1186</v>
      </c>
      <c r="I147">
        <v>2448525509</v>
      </c>
      <c r="J147">
        <v>30146.305</v>
      </c>
      <c r="K147">
        <v>26426964605.35865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38"/>
  <sheetViews>
    <sheetView tabSelected="1" workbookViewId="0">
      <selection activeCell="L7" sqref="L7"/>
    </sheetView>
  </sheetViews>
  <sheetFormatPr defaultRowHeight="15" x14ac:dyDescent="0.25"/>
  <cols>
    <col min="5" max="5" width="18.42578125" style="3" bestFit="1" customWidth="1"/>
    <col min="6" max="6" width="15.28515625" style="3" bestFit="1" customWidth="1"/>
    <col min="7" max="9" width="9.140625" style="3"/>
    <col min="10" max="10" width="14.28515625" bestFit="1" customWidth="1"/>
  </cols>
  <sheetData>
    <row r="1" spans="1:9" x14ac:dyDescent="0.25">
      <c r="A1" s="1" t="s">
        <v>302</v>
      </c>
      <c r="B1" s="1" t="s">
        <v>303</v>
      </c>
      <c r="C1" s="1" t="s">
        <v>304</v>
      </c>
      <c r="D1" s="1" t="s">
        <v>305</v>
      </c>
      <c r="E1" s="2" t="s">
        <v>306</v>
      </c>
      <c r="F1" s="2" t="s">
        <v>357</v>
      </c>
      <c r="G1" s="2"/>
      <c r="H1" s="2"/>
      <c r="I1" s="2"/>
    </row>
    <row r="2" spans="1:9" x14ac:dyDescent="0.25">
      <c r="A2" s="1" t="s">
        <v>307</v>
      </c>
      <c r="B2" s="1" t="s">
        <v>308</v>
      </c>
      <c r="C2" s="1" t="s">
        <v>309</v>
      </c>
      <c r="D2" s="1">
        <v>66</v>
      </c>
      <c r="E2" s="2">
        <v>384948018</v>
      </c>
      <c r="F2" s="2"/>
      <c r="G2" s="2"/>
      <c r="H2" s="2"/>
      <c r="I2" s="2"/>
    </row>
    <row r="3" spans="1:9" s="6" customFormat="1" x14ac:dyDescent="0.25">
      <c r="A3" s="4" t="s">
        <v>307</v>
      </c>
      <c r="B3" s="4" t="s">
        <v>310</v>
      </c>
      <c r="C3" s="4" t="s">
        <v>309</v>
      </c>
      <c r="D3" s="4">
        <v>47</v>
      </c>
      <c r="E3" s="5">
        <v>520801361</v>
      </c>
      <c r="F3" s="5">
        <f>[1]Sheet1!$K$37</f>
        <v>492283420</v>
      </c>
      <c r="G3" s="5"/>
      <c r="H3" s="5"/>
      <c r="I3" s="5"/>
    </row>
    <row r="4" spans="1:9" x14ac:dyDescent="0.25">
      <c r="A4" s="1" t="s">
        <v>311</v>
      </c>
      <c r="B4" s="1" t="s">
        <v>308</v>
      </c>
      <c r="C4" s="1" t="s">
        <v>309</v>
      </c>
      <c r="D4" s="1">
        <v>84</v>
      </c>
      <c r="E4" s="2">
        <v>702897988</v>
      </c>
      <c r="F4" s="2"/>
      <c r="G4" s="2"/>
      <c r="H4" s="2"/>
      <c r="I4" s="2"/>
    </row>
    <row r="5" spans="1:9" s="6" customFormat="1" x14ac:dyDescent="0.25">
      <c r="A5" s="4" t="s">
        <v>311</v>
      </c>
      <c r="B5" s="4" t="s">
        <v>310</v>
      </c>
      <c r="C5" s="4" t="s">
        <v>309</v>
      </c>
      <c r="D5" s="4">
        <v>92</v>
      </c>
      <c r="E5" s="5">
        <v>1405685156</v>
      </c>
      <c r="F5" s="5">
        <f>'[2]sheet 1'!$K$70</f>
        <v>1440907757</v>
      </c>
      <c r="G5" s="5"/>
      <c r="H5" s="5"/>
      <c r="I5" s="5"/>
    </row>
    <row r="6" spans="1:9" x14ac:dyDescent="0.25">
      <c r="A6" s="1" t="s">
        <v>312</v>
      </c>
      <c r="B6" s="1" t="s">
        <v>308</v>
      </c>
      <c r="C6" s="1" t="s">
        <v>309</v>
      </c>
      <c r="D6" s="1">
        <v>139</v>
      </c>
      <c r="E6" s="2">
        <v>2359911221</v>
      </c>
      <c r="F6" s="2"/>
      <c r="G6" s="2"/>
      <c r="H6" s="2"/>
      <c r="I6" s="2"/>
    </row>
    <row r="7" spans="1:9" s="6" customFormat="1" x14ac:dyDescent="0.25">
      <c r="A7" s="4" t="s">
        <v>312</v>
      </c>
      <c r="B7" s="4" t="s">
        <v>310</v>
      </c>
      <c r="C7" s="4" t="s">
        <v>309</v>
      </c>
      <c r="D7" s="4">
        <v>115</v>
      </c>
      <c r="E7" s="5">
        <v>1340113363</v>
      </c>
      <c r="F7" s="5">
        <f>'[3]sheet 1'!$K$83</f>
        <v>1279706544</v>
      </c>
      <c r="G7" s="5"/>
      <c r="H7" s="5"/>
      <c r="I7" s="5"/>
    </row>
    <row r="8" spans="1:9" x14ac:dyDescent="0.25">
      <c r="A8" s="1" t="s">
        <v>313</v>
      </c>
      <c r="B8" s="1" t="s">
        <v>308</v>
      </c>
      <c r="C8" s="1" t="s">
        <v>309</v>
      </c>
      <c r="D8" s="1">
        <v>105</v>
      </c>
      <c r="E8" s="2">
        <v>1325473203</v>
      </c>
      <c r="F8" s="2"/>
      <c r="G8" s="2"/>
      <c r="H8" s="2"/>
      <c r="I8" s="2"/>
    </row>
    <row r="9" spans="1:9" s="6" customFormat="1" x14ac:dyDescent="0.25">
      <c r="A9" s="4" t="s">
        <v>313</v>
      </c>
      <c r="B9" s="4" t="s">
        <v>310</v>
      </c>
      <c r="C9" s="4" t="s">
        <v>309</v>
      </c>
      <c r="D9" s="4">
        <v>87</v>
      </c>
      <c r="E9" s="5">
        <v>981367250</v>
      </c>
      <c r="F9" s="5">
        <f>[4]Sheet1!$K$56</f>
        <v>914601636</v>
      </c>
      <c r="G9" s="5"/>
      <c r="H9" s="5"/>
      <c r="I9" s="5"/>
    </row>
    <row r="10" spans="1:9" s="6" customFormat="1" x14ac:dyDescent="0.25">
      <c r="A10" s="4" t="s">
        <v>313</v>
      </c>
      <c r="B10" s="4" t="s">
        <v>310</v>
      </c>
      <c r="C10" s="4" t="s">
        <v>314</v>
      </c>
      <c r="D10" s="4">
        <v>1</v>
      </c>
      <c r="E10" s="5">
        <v>12818182</v>
      </c>
      <c r="F10" s="5"/>
      <c r="G10" s="5"/>
      <c r="H10" s="5"/>
      <c r="I10" s="5"/>
    </row>
    <row r="11" spans="1:9" x14ac:dyDescent="0.25">
      <c r="A11" s="1" t="s">
        <v>315</v>
      </c>
      <c r="B11" s="1" t="s">
        <v>308</v>
      </c>
      <c r="C11" s="1" t="s">
        <v>309</v>
      </c>
      <c r="D11" s="1">
        <v>122</v>
      </c>
      <c r="E11" s="2">
        <v>1833752802</v>
      </c>
      <c r="F11" s="2"/>
      <c r="G11" s="2"/>
      <c r="H11" s="2"/>
      <c r="I11" s="2"/>
    </row>
    <row r="12" spans="1:9" s="6" customFormat="1" x14ac:dyDescent="0.25">
      <c r="A12" s="4" t="s">
        <v>315</v>
      </c>
      <c r="B12" s="4" t="s">
        <v>310</v>
      </c>
      <c r="C12" s="4" t="s">
        <v>309</v>
      </c>
      <c r="D12" s="4">
        <v>112</v>
      </c>
      <c r="E12" s="5">
        <v>1191059693</v>
      </c>
      <c r="F12" s="5">
        <f>'[5]sheet 1'!$K$60</f>
        <v>1293439783</v>
      </c>
      <c r="G12" s="5"/>
      <c r="H12" s="5"/>
      <c r="I12" s="5"/>
    </row>
    <row r="13" spans="1:9" x14ac:dyDescent="0.25">
      <c r="A13" s="1" t="s">
        <v>316</v>
      </c>
      <c r="B13" s="1" t="s">
        <v>308</v>
      </c>
      <c r="C13" s="1" t="s">
        <v>309</v>
      </c>
      <c r="D13" s="1">
        <v>167</v>
      </c>
      <c r="E13" s="2">
        <v>3160568145</v>
      </c>
      <c r="F13" s="2"/>
      <c r="G13" s="2"/>
      <c r="H13" s="2"/>
      <c r="I13" s="2"/>
    </row>
    <row r="14" spans="1:9" x14ac:dyDescent="0.25">
      <c r="A14" s="1" t="s">
        <v>316</v>
      </c>
      <c r="B14" s="1" t="s">
        <v>308</v>
      </c>
      <c r="C14" s="1" t="s">
        <v>314</v>
      </c>
      <c r="D14" s="1">
        <v>1</v>
      </c>
      <c r="E14" s="2">
        <v>108636364</v>
      </c>
      <c r="F14" s="2"/>
      <c r="G14" s="2"/>
      <c r="H14" s="2"/>
      <c r="I14" s="2"/>
    </row>
    <row r="15" spans="1:9" s="6" customFormat="1" x14ac:dyDescent="0.25">
      <c r="A15" s="4" t="s">
        <v>316</v>
      </c>
      <c r="B15" s="4" t="s">
        <v>310</v>
      </c>
      <c r="C15" s="4" t="s">
        <v>309</v>
      </c>
      <c r="D15" s="4">
        <v>137</v>
      </c>
      <c r="E15" s="5">
        <v>2284055493</v>
      </c>
      <c r="F15" s="5">
        <f>'[6]sheet 1'!$K$88</f>
        <v>2241110859</v>
      </c>
      <c r="G15" s="5"/>
      <c r="H15" s="5"/>
      <c r="I15" s="5"/>
    </row>
    <row r="16" spans="1:9" x14ac:dyDescent="0.25">
      <c r="A16" s="1" t="s">
        <v>317</v>
      </c>
      <c r="B16" s="1" t="s">
        <v>308</v>
      </c>
      <c r="C16" s="1" t="s">
        <v>309</v>
      </c>
      <c r="D16" s="1">
        <v>106</v>
      </c>
      <c r="E16" s="2">
        <v>1006327224</v>
      </c>
      <c r="F16" s="2"/>
      <c r="G16" s="2"/>
      <c r="H16" s="2"/>
      <c r="I16" s="2"/>
    </row>
    <row r="17" spans="1:10" s="6" customFormat="1" x14ac:dyDescent="0.25">
      <c r="A17" s="4" t="s">
        <v>317</v>
      </c>
      <c r="B17" s="4" t="s">
        <v>310</v>
      </c>
      <c r="C17" s="4" t="s">
        <v>309</v>
      </c>
      <c r="D17" s="4">
        <v>105</v>
      </c>
      <c r="E17" s="5">
        <v>1234310853</v>
      </c>
      <c r="F17" s="5">
        <f>'[7]sheet 1'!$K$77</f>
        <v>1254323245</v>
      </c>
      <c r="G17" s="5"/>
      <c r="H17" s="5"/>
      <c r="I17" s="5"/>
      <c r="J17" s="7"/>
    </row>
    <row r="18" spans="1:10" s="6" customFormat="1" x14ac:dyDescent="0.25">
      <c r="A18" s="4" t="s">
        <v>317</v>
      </c>
      <c r="B18" s="4" t="s">
        <v>310</v>
      </c>
      <c r="C18" s="4" t="s">
        <v>318</v>
      </c>
      <c r="D18" s="4">
        <v>1</v>
      </c>
      <c r="E18" s="5">
        <v>10740741</v>
      </c>
      <c r="F18" s="5"/>
      <c r="G18" s="5"/>
      <c r="H18" s="5"/>
      <c r="I18" s="5"/>
    </row>
    <row r="19" spans="1:10" s="6" customFormat="1" x14ac:dyDescent="0.25">
      <c r="A19" s="4" t="s">
        <v>317</v>
      </c>
      <c r="B19" s="4" t="s">
        <v>310</v>
      </c>
      <c r="C19" s="4" t="s">
        <v>319</v>
      </c>
      <c r="D19" s="4">
        <v>2</v>
      </c>
      <c r="E19" s="5">
        <v>11628785</v>
      </c>
      <c r="F19" s="5"/>
      <c r="G19" s="5"/>
      <c r="H19" s="5"/>
      <c r="I19" s="5"/>
    </row>
    <row r="20" spans="1:10" x14ac:dyDescent="0.25">
      <c r="A20" s="1" t="s">
        <v>320</v>
      </c>
      <c r="B20" s="1" t="s">
        <v>308</v>
      </c>
      <c r="C20" s="1" t="s">
        <v>309</v>
      </c>
      <c r="D20" s="1">
        <v>119</v>
      </c>
      <c r="E20" s="2">
        <v>1401837649</v>
      </c>
      <c r="F20" s="2"/>
      <c r="G20" s="2"/>
      <c r="H20" s="2"/>
      <c r="I20" s="2"/>
    </row>
    <row r="21" spans="1:10" s="6" customFormat="1" x14ac:dyDescent="0.25">
      <c r="A21" s="4" t="s">
        <v>320</v>
      </c>
      <c r="B21" s="4" t="s">
        <v>310</v>
      </c>
      <c r="C21" s="4" t="s">
        <v>309</v>
      </c>
      <c r="D21" s="4">
        <v>126</v>
      </c>
      <c r="E21" s="5">
        <v>1977693176</v>
      </c>
      <c r="F21" s="5">
        <f>[8]Sheet1!$K$91</f>
        <v>1947179297</v>
      </c>
      <c r="G21" s="5"/>
      <c r="H21" s="5"/>
      <c r="I21" s="5"/>
    </row>
    <row r="22" spans="1:10" s="6" customFormat="1" x14ac:dyDescent="0.25">
      <c r="A22" s="4" t="s">
        <v>320</v>
      </c>
      <c r="B22" s="4" t="s">
        <v>310</v>
      </c>
      <c r="C22" s="4" t="s">
        <v>318</v>
      </c>
      <c r="D22" s="4">
        <v>2</v>
      </c>
      <c r="E22" s="5">
        <v>5824073</v>
      </c>
      <c r="F22" s="5"/>
      <c r="G22" s="5"/>
      <c r="H22" s="5"/>
      <c r="I22" s="5"/>
    </row>
    <row r="23" spans="1:10" s="6" customFormat="1" x14ac:dyDescent="0.25">
      <c r="A23" s="4" t="s">
        <v>320</v>
      </c>
      <c r="B23" s="4" t="s">
        <v>310</v>
      </c>
      <c r="C23" s="4" t="s">
        <v>319</v>
      </c>
      <c r="D23" s="4">
        <v>1</v>
      </c>
      <c r="E23" s="5">
        <v>5925926</v>
      </c>
      <c r="F23" s="5"/>
      <c r="G23" s="5"/>
      <c r="H23" s="5"/>
      <c r="I23" s="5"/>
    </row>
    <row r="24" spans="1:10" x14ac:dyDescent="0.25">
      <c r="A24" s="1" t="s">
        <v>321</v>
      </c>
      <c r="B24" s="1" t="s">
        <v>308</v>
      </c>
      <c r="C24" s="1" t="s">
        <v>309</v>
      </c>
      <c r="D24" s="1">
        <v>190</v>
      </c>
      <c r="E24" s="2">
        <v>2748749325</v>
      </c>
      <c r="F24" s="2"/>
      <c r="G24" s="2"/>
      <c r="H24" s="2"/>
      <c r="I24" s="2"/>
    </row>
    <row r="25" spans="1:10" s="6" customFormat="1" x14ac:dyDescent="0.25">
      <c r="A25" s="4" t="s">
        <v>321</v>
      </c>
      <c r="B25" s="4" t="s">
        <v>310</v>
      </c>
      <c r="C25" s="4" t="s">
        <v>309</v>
      </c>
      <c r="D25" s="4">
        <v>114</v>
      </c>
      <c r="E25" s="5">
        <v>2567168559</v>
      </c>
      <c r="F25" s="5">
        <f>[9]Sheet1!$K$68</f>
        <v>2549891919</v>
      </c>
      <c r="G25" s="5"/>
      <c r="H25" s="5"/>
      <c r="I25" s="5"/>
    </row>
    <row r="26" spans="1:10" s="6" customFormat="1" x14ac:dyDescent="0.25">
      <c r="A26" s="4" t="s">
        <v>321</v>
      </c>
      <c r="B26" s="4" t="s">
        <v>310</v>
      </c>
      <c r="C26" s="4" t="s">
        <v>318</v>
      </c>
      <c r="D26" s="4">
        <v>1</v>
      </c>
      <c r="E26" s="5">
        <v>4092593</v>
      </c>
      <c r="F26" s="5"/>
      <c r="G26" s="5"/>
      <c r="H26" s="5"/>
      <c r="I26" s="5"/>
    </row>
    <row r="27" spans="1:10" s="6" customFormat="1" x14ac:dyDescent="0.25">
      <c r="A27" s="4" t="s">
        <v>321</v>
      </c>
      <c r="B27" s="4" t="s">
        <v>310</v>
      </c>
      <c r="C27" s="4" t="s">
        <v>319</v>
      </c>
      <c r="D27" s="4">
        <v>1</v>
      </c>
      <c r="E27" s="5">
        <v>4092593</v>
      </c>
      <c r="F27" s="5"/>
      <c r="G27" s="5"/>
      <c r="H27" s="5"/>
      <c r="I27" s="5"/>
    </row>
    <row r="28" spans="1:10" x14ac:dyDescent="0.25">
      <c r="A28" s="1" t="s">
        <v>322</v>
      </c>
      <c r="B28" s="1" t="s">
        <v>308</v>
      </c>
      <c r="C28" s="1" t="s">
        <v>309</v>
      </c>
      <c r="D28" s="1">
        <v>139</v>
      </c>
      <c r="E28" s="2">
        <v>1405781119</v>
      </c>
      <c r="F28" s="2"/>
      <c r="G28" s="2"/>
      <c r="H28" s="2"/>
      <c r="I28" s="2"/>
    </row>
    <row r="29" spans="1:10" s="6" customFormat="1" x14ac:dyDescent="0.25">
      <c r="A29" s="4" t="s">
        <v>322</v>
      </c>
      <c r="B29" s="4" t="s">
        <v>310</v>
      </c>
      <c r="C29" s="4" t="s">
        <v>309</v>
      </c>
      <c r="D29" s="4">
        <v>104</v>
      </c>
      <c r="E29" s="5">
        <v>1694886346</v>
      </c>
      <c r="F29" s="5">
        <f>'[10]sheet 1'!$K$66</f>
        <v>1669536704</v>
      </c>
      <c r="G29" s="5"/>
      <c r="H29" s="5"/>
      <c r="I29" s="5"/>
    </row>
    <row r="30" spans="1:10" s="6" customFormat="1" x14ac:dyDescent="0.25">
      <c r="A30" s="4" t="s">
        <v>322</v>
      </c>
      <c r="B30" s="4" t="s">
        <v>310</v>
      </c>
      <c r="C30" s="4" t="s">
        <v>314</v>
      </c>
      <c r="D30" s="4">
        <v>2</v>
      </c>
      <c r="E30" s="5">
        <v>4234478</v>
      </c>
      <c r="F30" s="5"/>
      <c r="G30" s="5"/>
      <c r="H30" s="5"/>
      <c r="I30" s="5"/>
    </row>
    <row r="31" spans="1:10" x14ac:dyDescent="0.25">
      <c r="A31" s="1" t="s">
        <v>323</v>
      </c>
      <c r="B31" s="1" t="s">
        <v>308</v>
      </c>
      <c r="C31" s="1" t="s">
        <v>309</v>
      </c>
      <c r="D31" s="1">
        <v>133</v>
      </c>
      <c r="E31" s="2">
        <v>1469341677</v>
      </c>
      <c r="F31" s="2"/>
      <c r="G31" s="2"/>
      <c r="H31" s="2"/>
      <c r="I31" s="2"/>
    </row>
    <row r="32" spans="1:10" s="6" customFormat="1" x14ac:dyDescent="0.25">
      <c r="A32" s="4" t="s">
        <v>323</v>
      </c>
      <c r="B32" s="4" t="s">
        <v>310</v>
      </c>
      <c r="C32" s="4" t="s">
        <v>309</v>
      </c>
      <c r="D32" s="4">
        <v>114</v>
      </c>
      <c r="E32" s="5">
        <v>1620243879</v>
      </c>
      <c r="F32" s="5">
        <f>'[11]sheet 1'!$K$69</f>
        <v>1580603075</v>
      </c>
      <c r="G32" s="5"/>
      <c r="H32" s="5"/>
      <c r="I32" s="5"/>
    </row>
    <row r="33" spans="1:9" x14ac:dyDescent="0.25">
      <c r="A33" s="1" t="s">
        <v>324</v>
      </c>
      <c r="B33" s="1" t="s">
        <v>308</v>
      </c>
      <c r="C33" s="1" t="s">
        <v>309</v>
      </c>
      <c r="D33" s="1">
        <v>173</v>
      </c>
      <c r="E33" s="2">
        <v>2448525509</v>
      </c>
      <c r="F33" s="2"/>
      <c r="G33" s="2"/>
      <c r="H33" s="2"/>
      <c r="I33" s="2"/>
    </row>
    <row r="34" spans="1:9" s="6" customFormat="1" x14ac:dyDescent="0.25">
      <c r="A34" s="4" t="s">
        <v>324</v>
      </c>
      <c r="B34" s="4" t="s">
        <v>310</v>
      </c>
      <c r="C34" s="4" t="s">
        <v>309</v>
      </c>
      <c r="D34" s="4">
        <v>123</v>
      </c>
      <c r="E34" s="5">
        <v>2607650437</v>
      </c>
      <c r="F34" s="5">
        <f>'[12]sheet 1'!$K$69</f>
        <v>2487004799</v>
      </c>
      <c r="G34" s="5"/>
      <c r="H34" s="5"/>
      <c r="I34" s="5"/>
    </row>
    <row r="35" spans="1:9" s="6" customFormat="1" x14ac:dyDescent="0.25">
      <c r="E35" s="12">
        <f>E3+E5+E7+E9+E10+E12+E15+E17+E18+E19+E21+E22+E23+E25+E26+E27+E29+E30+E32+E34</f>
        <v>19484392937</v>
      </c>
      <c r="F35" s="12">
        <f>SUM(F3:F34)</f>
        <v>19150589038</v>
      </c>
      <c r="G35" s="12"/>
      <c r="H35" s="12"/>
      <c r="I35" s="12"/>
    </row>
    <row r="36" spans="1:9" s="6" customFormat="1" x14ac:dyDescent="0.25">
      <c r="A36" s="8" t="s">
        <v>354</v>
      </c>
      <c r="E36" s="12">
        <f>E35</f>
        <v>19484392937</v>
      </c>
      <c r="F36" s="12"/>
      <c r="G36" s="12"/>
      <c r="H36" s="12"/>
      <c r="I36" s="12"/>
    </row>
    <row r="37" spans="1:9" s="6" customFormat="1" x14ac:dyDescent="0.25">
      <c r="A37" s="6" t="s">
        <v>355</v>
      </c>
      <c r="E37" s="12">
        <f>F35</f>
        <v>19150589038</v>
      </c>
      <c r="F37" s="12"/>
      <c r="G37" s="12"/>
      <c r="H37" s="12"/>
      <c r="I37" s="12"/>
    </row>
    <row r="38" spans="1:9" s="10" customFormat="1" x14ac:dyDescent="0.25">
      <c r="A38" s="9" t="s">
        <v>356</v>
      </c>
      <c r="E38" s="11">
        <f>E36-E37</f>
        <v>333803899</v>
      </c>
      <c r="F38" s="11"/>
      <c r="G38" s="11"/>
      <c r="H38" s="11"/>
      <c r="I38" s="11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147"/>
  <sheetViews>
    <sheetView workbookViewId="0"/>
  </sheetViews>
  <sheetFormatPr defaultRowHeight="15" x14ac:dyDescent="0.25"/>
  <sheetData>
    <row r="1" spans="1:30" x14ac:dyDescent="0.25">
      <c r="A1" t="s">
        <v>1</v>
      </c>
      <c r="B1" t="s">
        <v>325</v>
      </c>
      <c r="C1" t="s">
        <v>326</v>
      </c>
      <c r="D1" t="s">
        <v>327</v>
      </c>
      <c r="E1" t="s">
        <v>328</v>
      </c>
      <c r="F1" t="s">
        <v>329</v>
      </c>
      <c r="G1" t="s">
        <v>330</v>
      </c>
      <c r="H1" t="s">
        <v>331</v>
      </c>
      <c r="I1" t="s">
        <v>332</v>
      </c>
      <c r="J1" t="s">
        <v>333</v>
      </c>
      <c r="K1" t="s">
        <v>334</v>
      </c>
      <c r="L1" t="s">
        <v>335</v>
      </c>
      <c r="M1" t="s">
        <v>336</v>
      </c>
      <c r="N1" t="s">
        <v>337</v>
      </c>
      <c r="O1" t="s">
        <v>338</v>
      </c>
      <c r="P1" t="s">
        <v>339</v>
      </c>
      <c r="Q1" t="s">
        <v>340</v>
      </c>
      <c r="R1" t="s">
        <v>341</v>
      </c>
      <c r="S1" t="s">
        <v>342</v>
      </c>
      <c r="T1" t="s">
        <v>343</v>
      </c>
      <c r="U1" t="s">
        <v>344</v>
      </c>
      <c r="V1" t="s">
        <v>345</v>
      </c>
      <c r="W1" t="s">
        <v>346</v>
      </c>
      <c r="X1" t="s">
        <v>347</v>
      </c>
      <c r="Y1" t="s">
        <v>348</v>
      </c>
      <c r="Z1" t="s">
        <v>349</v>
      </c>
      <c r="AA1" t="s">
        <v>350</v>
      </c>
      <c r="AB1" t="s">
        <v>351</v>
      </c>
      <c r="AC1" t="s">
        <v>352</v>
      </c>
      <c r="AD1" t="s">
        <v>353</v>
      </c>
    </row>
    <row r="2" spans="1:30" x14ac:dyDescent="0.25">
      <c r="A2" t="s">
        <v>11</v>
      </c>
      <c r="B2" t="s">
        <v>12</v>
      </c>
      <c r="C2">
        <v>24589927.772727281</v>
      </c>
      <c r="D2">
        <v>19636364</v>
      </c>
      <c r="E2">
        <v>129704712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19636364</v>
      </c>
      <c r="N2">
        <v>22718182</v>
      </c>
      <c r="O2">
        <v>0</v>
      </c>
      <c r="P2">
        <v>0</v>
      </c>
      <c r="Q2">
        <v>0</v>
      </c>
      <c r="R2">
        <v>92727270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14259260</v>
      </c>
    </row>
    <row r="3" spans="1:30" x14ac:dyDescent="0.25">
      <c r="A3" t="s">
        <v>13</v>
      </c>
      <c r="B3" t="s">
        <v>14</v>
      </c>
      <c r="C3">
        <v>107138809</v>
      </c>
      <c r="D3">
        <v>652376</v>
      </c>
      <c r="E3">
        <v>24974748</v>
      </c>
      <c r="F3">
        <v>82816437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8863636</v>
      </c>
      <c r="Q3">
        <v>0</v>
      </c>
      <c r="R3">
        <v>0</v>
      </c>
      <c r="S3">
        <v>0</v>
      </c>
      <c r="T3">
        <v>0</v>
      </c>
      <c r="U3">
        <v>0</v>
      </c>
      <c r="V3">
        <v>16111112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652376</v>
      </c>
      <c r="AD3">
        <v>0</v>
      </c>
    </row>
    <row r="4" spans="1:30" x14ac:dyDescent="0.25">
      <c r="A4" t="s">
        <v>15</v>
      </c>
      <c r="B4" t="s">
        <v>16</v>
      </c>
      <c r="C4">
        <v>1739236505.201292</v>
      </c>
      <c r="D4">
        <v>3132909649</v>
      </c>
      <c r="E4">
        <v>1777387309</v>
      </c>
      <c r="F4">
        <v>3094758845.201292</v>
      </c>
      <c r="G4">
        <v>208818183</v>
      </c>
      <c r="H4">
        <v>13636364</v>
      </c>
      <c r="I4">
        <v>289636364</v>
      </c>
      <c r="J4">
        <v>54263636</v>
      </c>
      <c r="K4">
        <v>394542465</v>
      </c>
      <c r="L4">
        <v>184771818</v>
      </c>
      <c r="M4">
        <v>176477185</v>
      </c>
      <c r="N4">
        <v>36409091</v>
      </c>
      <c r="O4">
        <v>109595385</v>
      </c>
      <c r="P4">
        <v>122336364</v>
      </c>
      <c r="Q4">
        <v>107636363</v>
      </c>
      <c r="R4">
        <v>157118182</v>
      </c>
      <c r="S4">
        <v>224351852</v>
      </c>
      <c r="T4">
        <v>13888889</v>
      </c>
      <c r="U4">
        <v>304074073</v>
      </c>
      <c r="V4">
        <v>110851852</v>
      </c>
      <c r="W4">
        <v>266111111</v>
      </c>
      <c r="X4">
        <v>104462963</v>
      </c>
      <c r="Y4">
        <v>389259260</v>
      </c>
      <c r="Z4">
        <v>109490742</v>
      </c>
      <c r="AA4">
        <v>232222223</v>
      </c>
      <c r="AB4">
        <v>208481481</v>
      </c>
      <c r="AC4">
        <v>430185185</v>
      </c>
      <c r="AD4">
        <v>661675927</v>
      </c>
    </row>
    <row r="5" spans="1:30" x14ac:dyDescent="0.25">
      <c r="A5" t="s">
        <v>17</v>
      </c>
      <c r="B5" t="s">
        <v>18</v>
      </c>
      <c r="C5">
        <v>29283636</v>
      </c>
      <c r="D5">
        <v>0</v>
      </c>
      <c r="E5">
        <v>0</v>
      </c>
      <c r="F5">
        <v>29283636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</row>
    <row r="6" spans="1:30" x14ac:dyDescent="0.25">
      <c r="A6" t="s">
        <v>19</v>
      </c>
      <c r="B6" t="s">
        <v>20</v>
      </c>
      <c r="C6">
        <v>42793621.178571403</v>
      </c>
      <c r="D6">
        <v>175284700</v>
      </c>
      <c r="E6">
        <v>167988382</v>
      </c>
      <c r="F6">
        <v>110923590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103627272</v>
      </c>
      <c r="S6">
        <v>0</v>
      </c>
      <c r="T6">
        <v>0</v>
      </c>
      <c r="U6">
        <v>0</v>
      </c>
      <c r="V6">
        <v>0</v>
      </c>
      <c r="W6">
        <v>53871736</v>
      </c>
      <c r="X6">
        <v>0</v>
      </c>
      <c r="Y6">
        <v>22555556</v>
      </c>
      <c r="Z6">
        <v>12824074</v>
      </c>
      <c r="AA6">
        <v>98857408</v>
      </c>
      <c r="AB6">
        <v>16101852</v>
      </c>
      <c r="AC6">
        <v>0</v>
      </c>
      <c r="AD6">
        <v>35435184</v>
      </c>
    </row>
    <row r="7" spans="1:30" x14ac:dyDescent="0.25">
      <c r="A7" t="s">
        <v>21</v>
      </c>
      <c r="B7" t="s">
        <v>22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  <row r="8" spans="1:30" x14ac:dyDescent="0.25">
      <c r="A8" t="s">
        <v>23</v>
      </c>
      <c r="B8" t="s">
        <v>24</v>
      </c>
      <c r="C8">
        <v>0</v>
      </c>
      <c r="D8">
        <v>0</v>
      </c>
      <c r="E8">
        <v>18909091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18909091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</row>
    <row r="9" spans="1:30" x14ac:dyDescent="0.25">
      <c r="A9" t="s">
        <v>25</v>
      </c>
      <c r="B9" t="s">
        <v>26</v>
      </c>
      <c r="C9">
        <v>40120814.450000003</v>
      </c>
      <c r="D9">
        <v>13043637</v>
      </c>
      <c r="E9">
        <v>0</v>
      </c>
      <c r="F9">
        <v>53164451.450000003</v>
      </c>
      <c r="G9">
        <v>6807273</v>
      </c>
      <c r="H9">
        <v>0</v>
      </c>
      <c r="I9">
        <v>0</v>
      </c>
      <c r="J9">
        <v>0</v>
      </c>
      <c r="K9">
        <v>0</v>
      </c>
      <c r="L9">
        <v>0</v>
      </c>
      <c r="M9">
        <v>6236364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</row>
    <row r="10" spans="1:30" x14ac:dyDescent="0.25">
      <c r="A10" t="s">
        <v>27</v>
      </c>
      <c r="B10" t="s">
        <v>28</v>
      </c>
      <c r="C10">
        <v>1426050948.5951941</v>
      </c>
      <c r="D10">
        <v>1322285072</v>
      </c>
      <c r="E10">
        <v>1294082592</v>
      </c>
      <c r="F10">
        <v>1454253428.5951941</v>
      </c>
      <c r="G10">
        <v>0</v>
      </c>
      <c r="H10">
        <v>44954545</v>
      </c>
      <c r="I10">
        <v>116623636</v>
      </c>
      <c r="J10">
        <v>29545455</v>
      </c>
      <c r="K10">
        <v>0</v>
      </c>
      <c r="L10">
        <v>39704545</v>
      </c>
      <c r="M10">
        <v>0</v>
      </c>
      <c r="N10">
        <v>275649092</v>
      </c>
      <c r="O10">
        <v>239119095</v>
      </c>
      <c r="P10">
        <v>145636364</v>
      </c>
      <c r="Q10">
        <v>181363636</v>
      </c>
      <c r="R10">
        <v>109500000</v>
      </c>
      <c r="S10">
        <v>24607407</v>
      </c>
      <c r="T10">
        <v>244342591</v>
      </c>
      <c r="U10">
        <v>87150001</v>
      </c>
      <c r="V10">
        <v>80925926</v>
      </c>
      <c r="W10">
        <v>430634258</v>
      </c>
      <c r="X10">
        <v>134361110</v>
      </c>
      <c r="Y10">
        <v>113805558</v>
      </c>
      <c r="Z10">
        <v>0</v>
      </c>
      <c r="AA10">
        <v>17777778</v>
      </c>
      <c r="AB10">
        <v>99648148</v>
      </c>
      <c r="AC10">
        <v>111203703</v>
      </c>
      <c r="AD10">
        <v>89814816</v>
      </c>
    </row>
    <row r="11" spans="1:30" x14ac:dyDescent="0.25">
      <c r="A11" t="s">
        <v>29</v>
      </c>
      <c r="B11" t="s">
        <v>30</v>
      </c>
      <c r="C11">
        <v>18961647.25</v>
      </c>
      <c r="D11">
        <v>0</v>
      </c>
      <c r="E11">
        <v>75781816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75781816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 spans="1:30" x14ac:dyDescent="0.25">
      <c r="A12" t="s">
        <v>31</v>
      </c>
      <c r="B12" t="s">
        <v>32</v>
      </c>
      <c r="C12">
        <v>4762154521.2191219</v>
      </c>
      <c r="D12">
        <v>4575898886</v>
      </c>
      <c r="E12">
        <v>2455395116</v>
      </c>
      <c r="F12">
        <v>6882658291.2191219</v>
      </c>
      <c r="G12">
        <v>0</v>
      </c>
      <c r="H12">
        <v>70663636</v>
      </c>
      <c r="I12">
        <v>248279997</v>
      </c>
      <c r="J12">
        <v>107454545</v>
      </c>
      <c r="K12">
        <v>137909091</v>
      </c>
      <c r="L12">
        <v>226377270</v>
      </c>
      <c r="M12">
        <v>65004545</v>
      </c>
      <c r="N12">
        <v>121909092</v>
      </c>
      <c r="O12">
        <v>195013635</v>
      </c>
      <c r="P12">
        <v>69072726</v>
      </c>
      <c r="Q12">
        <v>592400907</v>
      </c>
      <c r="R12">
        <v>440436365</v>
      </c>
      <c r="S12">
        <v>268527775</v>
      </c>
      <c r="T12">
        <v>142638890</v>
      </c>
      <c r="U12">
        <v>459307402</v>
      </c>
      <c r="V12">
        <v>177166668</v>
      </c>
      <c r="W12">
        <v>500806474</v>
      </c>
      <c r="X12">
        <v>434592592</v>
      </c>
      <c r="Y12">
        <v>302913881</v>
      </c>
      <c r="Z12">
        <v>94648148</v>
      </c>
      <c r="AA12">
        <v>686577778</v>
      </c>
      <c r="AB12">
        <v>302712963</v>
      </c>
      <c r="AC12">
        <v>1119157401</v>
      </c>
      <c r="AD12">
        <v>267722221</v>
      </c>
    </row>
    <row r="13" spans="1:30" x14ac:dyDescent="0.25">
      <c r="A13" t="s">
        <v>33</v>
      </c>
      <c r="B13" t="s">
        <v>34</v>
      </c>
      <c r="C13">
        <v>797736052.76923084</v>
      </c>
      <c r="D13">
        <v>320931816</v>
      </c>
      <c r="E13">
        <v>223313870</v>
      </c>
      <c r="F13">
        <v>895353998.76923084</v>
      </c>
      <c r="G13">
        <v>0</v>
      </c>
      <c r="H13">
        <v>0</v>
      </c>
      <c r="I13">
        <v>100763636</v>
      </c>
      <c r="J13">
        <v>0</v>
      </c>
      <c r="K13">
        <v>0</v>
      </c>
      <c r="L13">
        <v>35718181</v>
      </c>
      <c r="M13">
        <v>0</v>
      </c>
      <c r="N13">
        <v>58636363</v>
      </c>
      <c r="O13">
        <v>21263636</v>
      </c>
      <c r="P13">
        <v>18090909</v>
      </c>
      <c r="Q13">
        <v>25354545</v>
      </c>
      <c r="R13">
        <v>63905454</v>
      </c>
      <c r="S13">
        <v>0</v>
      </c>
      <c r="T13">
        <v>0</v>
      </c>
      <c r="U13">
        <v>100355556</v>
      </c>
      <c r="V13">
        <v>0</v>
      </c>
      <c r="W13">
        <v>30611110</v>
      </c>
      <c r="X13">
        <v>38629630</v>
      </c>
      <c r="Y13">
        <v>0</v>
      </c>
      <c r="Z13">
        <v>0</v>
      </c>
      <c r="AA13">
        <v>21759259</v>
      </c>
      <c r="AB13">
        <v>0</v>
      </c>
      <c r="AC13">
        <v>20824074</v>
      </c>
      <c r="AD13">
        <v>8333333</v>
      </c>
    </row>
    <row r="14" spans="1:30" x14ac:dyDescent="0.25">
      <c r="A14" t="s">
        <v>35</v>
      </c>
      <c r="B14" t="s">
        <v>36</v>
      </c>
      <c r="C14">
        <v>371611678.28947371</v>
      </c>
      <c r="D14">
        <v>154073736</v>
      </c>
      <c r="E14">
        <v>250936701</v>
      </c>
      <c r="F14">
        <v>274748713.28947371</v>
      </c>
      <c r="G14">
        <v>0</v>
      </c>
      <c r="H14">
        <v>0</v>
      </c>
      <c r="I14">
        <v>26172727</v>
      </c>
      <c r="J14">
        <v>0</v>
      </c>
      <c r="K14">
        <v>26172727</v>
      </c>
      <c r="L14">
        <v>0</v>
      </c>
      <c r="M14">
        <v>0</v>
      </c>
      <c r="N14">
        <v>0</v>
      </c>
      <c r="O14">
        <v>26172727</v>
      </c>
      <c r="P14">
        <v>26718182</v>
      </c>
      <c r="Q14">
        <v>0</v>
      </c>
      <c r="R14">
        <v>105200000</v>
      </c>
      <c r="S14">
        <v>0</v>
      </c>
      <c r="T14">
        <v>14444444</v>
      </c>
      <c r="U14">
        <v>75555555</v>
      </c>
      <c r="V14">
        <v>0</v>
      </c>
      <c r="W14">
        <v>0</v>
      </c>
      <c r="X14">
        <v>70555556</v>
      </c>
      <c r="Y14">
        <v>0</v>
      </c>
      <c r="Z14">
        <v>0</v>
      </c>
      <c r="AA14">
        <v>0</v>
      </c>
      <c r="AB14">
        <v>34018519</v>
      </c>
      <c r="AC14">
        <v>0</v>
      </c>
      <c r="AD14">
        <v>0</v>
      </c>
    </row>
    <row r="15" spans="1:30" x14ac:dyDescent="0.25">
      <c r="A15" t="s">
        <v>37</v>
      </c>
      <c r="B15" t="s">
        <v>38</v>
      </c>
      <c r="C15">
        <v>365728677.93430662</v>
      </c>
      <c r="D15">
        <v>0</v>
      </c>
      <c r="E15">
        <v>162559765</v>
      </c>
      <c r="F15">
        <v>203168912.93430659</v>
      </c>
      <c r="G15">
        <v>0</v>
      </c>
      <c r="H15">
        <v>13636364</v>
      </c>
      <c r="I15">
        <v>0</v>
      </c>
      <c r="J15">
        <v>16818182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24818181</v>
      </c>
      <c r="S15">
        <v>0</v>
      </c>
      <c r="T15">
        <v>0</v>
      </c>
      <c r="U15">
        <v>0</v>
      </c>
      <c r="V15">
        <v>0</v>
      </c>
      <c r="W15">
        <v>0</v>
      </c>
      <c r="X15">
        <v>53027779</v>
      </c>
      <c r="Y15">
        <v>0</v>
      </c>
      <c r="Z15">
        <v>45000000</v>
      </c>
      <c r="AA15">
        <v>0</v>
      </c>
      <c r="AB15">
        <v>0</v>
      </c>
      <c r="AC15">
        <v>0</v>
      </c>
      <c r="AD15">
        <v>9259259</v>
      </c>
    </row>
    <row r="16" spans="1:30" x14ac:dyDescent="0.25">
      <c r="A16" t="s">
        <v>39</v>
      </c>
      <c r="B16" t="s">
        <v>40</v>
      </c>
      <c r="C16">
        <v>78375895.104477614</v>
      </c>
      <c r="D16">
        <v>204518515</v>
      </c>
      <c r="E16">
        <v>260953669</v>
      </c>
      <c r="F16">
        <v>21940741.10447761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49090908</v>
      </c>
      <c r="N16">
        <v>0</v>
      </c>
      <c r="O16">
        <v>49090908</v>
      </c>
      <c r="P16">
        <v>16136364</v>
      </c>
      <c r="Q16">
        <v>23818182</v>
      </c>
      <c r="R16">
        <v>65715453</v>
      </c>
      <c r="S16">
        <v>0</v>
      </c>
      <c r="T16">
        <v>16490741</v>
      </c>
      <c r="U16">
        <v>0</v>
      </c>
      <c r="V16">
        <v>27777778</v>
      </c>
      <c r="W16">
        <v>82518517</v>
      </c>
      <c r="X16">
        <v>82101852</v>
      </c>
      <c r="Y16">
        <v>0</v>
      </c>
      <c r="Z16">
        <v>44500000</v>
      </c>
      <c r="AA16">
        <v>0</v>
      </c>
      <c r="AB16">
        <v>0</v>
      </c>
      <c r="AC16">
        <v>0</v>
      </c>
      <c r="AD16">
        <v>8231481</v>
      </c>
    </row>
    <row r="17" spans="1:30" x14ac:dyDescent="0.25">
      <c r="A17" t="s">
        <v>41</v>
      </c>
      <c r="B17" t="s">
        <v>42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25">
      <c r="A18" t="s">
        <v>43</v>
      </c>
      <c r="B18" t="s">
        <v>44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25">
      <c r="A19" t="s">
        <v>45</v>
      </c>
      <c r="B19" t="s">
        <v>46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25">
      <c r="A20" t="s">
        <v>47</v>
      </c>
      <c r="B20" t="s">
        <v>48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25">
      <c r="A21" t="s">
        <v>49</v>
      </c>
      <c r="B21" t="s">
        <v>50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25">
      <c r="A22" t="s">
        <v>51</v>
      </c>
      <c r="B22" t="s">
        <v>52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25">
      <c r="A23" t="s">
        <v>53</v>
      </c>
      <c r="B23" t="s">
        <v>54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25">
      <c r="A24" t="s">
        <v>55</v>
      </c>
      <c r="B24" t="s">
        <v>56</v>
      </c>
      <c r="C24">
        <v>0</v>
      </c>
      <c r="D24">
        <v>18472215</v>
      </c>
      <c r="E24">
        <v>2465087955</v>
      </c>
      <c r="F24">
        <v>0</v>
      </c>
      <c r="G24">
        <v>0</v>
      </c>
      <c r="H24">
        <v>60772728</v>
      </c>
      <c r="I24">
        <v>0</v>
      </c>
      <c r="J24">
        <v>181950002</v>
      </c>
      <c r="K24">
        <v>0</v>
      </c>
      <c r="L24">
        <v>114339093</v>
      </c>
      <c r="M24">
        <v>0</v>
      </c>
      <c r="N24">
        <v>68190910</v>
      </c>
      <c r="O24">
        <v>0</v>
      </c>
      <c r="P24">
        <v>150927273</v>
      </c>
      <c r="Q24">
        <v>0</v>
      </c>
      <c r="R24">
        <v>128470914</v>
      </c>
      <c r="S24">
        <v>0</v>
      </c>
      <c r="T24">
        <v>204259257</v>
      </c>
      <c r="U24">
        <v>0</v>
      </c>
      <c r="V24">
        <v>293000000</v>
      </c>
      <c r="W24">
        <v>0</v>
      </c>
      <c r="X24">
        <v>111046296</v>
      </c>
      <c r="Y24">
        <v>0</v>
      </c>
      <c r="Z24">
        <v>636483334</v>
      </c>
      <c r="AA24">
        <v>0</v>
      </c>
      <c r="AB24">
        <v>196083334</v>
      </c>
      <c r="AC24">
        <v>18472215</v>
      </c>
      <c r="AD24">
        <v>319564814</v>
      </c>
    </row>
    <row r="25" spans="1:30" x14ac:dyDescent="0.25">
      <c r="A25" t="s">
        <v>57</v>
      </c>
      <c r="B25" t="s">
        <v>58</v>
      </c>
      <c r="C25">
        <v>2423535221.361217</v>
      </c>
      <c r="D25">
        <v>1442783603</v>
      </c>
      <c r="E25">
        <v>2225648281</v>
      </c>
      <c r="F25">
        <v>1640670543.361217</v>
      </c>
      <c r="G25">
        <v>25272727</v>
      </c>
      <c r="H25">
        <v>17618182</v>
      </c>
      <c r="I25">
        <v>106453634</v>
      </c>
      <c r="J25">
        <v>36518182</v>
      </c>
      <c r="K25">
        <v>198954546</v>
      </c>
      <c r="L25">
        <v>497763636</v>
      </c>
      <c r="M25">
        <v>78090910</v>
      </c>
      <c r="N25">
        <v>45054545</v>
      </c>
      <c r="O25">
        <v>12590909</v>
      </c>
      <c r="P25">
        <v>487438185</v>
      </c>
      <c r="Q25">
        <v>488172727</v>
      </c>
      <c r="R25">
        <v>198499996</v>
      </c>
      <c r="S25">
        <v>67870370</v>
      </c>
      <c r="T25">
        <v>14898148</v>
      </c>
      <c r="U25">
        <v>107685186</v>
      </c>
      <c r="V25">
        <v>27111111</v>
      </c>
      <c r="W25">
        <v>40277778</v>
      </c>
      <c r="X25">
        <v>474125925</v>
      </c>
      <c r="Y25">
        <v>94166667</v>
      </c>
      <c r="Z25">
        <v>14620370</v>
      </c>
      <c r="AA25">
        <v>26851852</v>
      </c>
      <c r="AB25">
        <v>167824075</v>
      </c>
      <c r="AC25">
        <v>196396297</v>
      </c>
      <c r="AD25">
        <v>244175926</v>
      </c>
    </row>
    <row r="26" spans="1:30" x14ac:dyDescent="0.25">
      <c r="A26" t="s">
        <v>59</v>
      </c>
      <c r="B26" t="s">
        <v>60</v>
      </c>
      <c r="C26">
        <v>0</v>
      </c>
      <c r="D26">
        <v>0</v>
      </c>
      <c r="E26">
        <v>21263636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21263636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25">
      <c r="A27" t="s">
        <v>61</v>
      </c>
      <c r="B27" t="s">
        <v>62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25">
      <c r="A28" t="s">
        <v>63</v>
      </c>
      <c r="B28" t="s">
        <v>64</v>
      </c>
      <c r="C28">
        <v>0</v>
      </c>
      <c r="D28">
        <v>33000000</v>
      </c>
      <c r="E28">
        <v>37354545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33000000</v>
      </c>
      <c r="R28">
        <v>37354545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25">
      <c r="A29" t="s">
        <v>65</v>
      </c>
      <c r="B29" t="s">
        <v>66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25">
      <c r="A30" t="s">
        <v>67</v>
      </c>
      <c r="B30" t="s">
        <v>68</v>
      </c>
      <c r="C30">
        <v>67213777.307692319</v>
      </c>
      <c r="D30">
        <v>0</v>
      </c>
      <c r="E30">
        <v>10000000</v>
      </c>
      <c r="F30">
        <v>57213777.307692319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10000000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25">
      <c r="A31" t="s">
        <v>69</v>
      </c>
      <c r="B31" t="s">
        <v>70</v>
      </c>
      <c r="C31">
        <v>0</v>
      </c>
      <c r="D31">
        <v>0</v>
      </c>
      <c r="E31">
        <v>5454545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5454545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25">
      <c r="A32" t="s">
        <v>71</v>
      </c>
      <c r="B32" t="s">
        <v>72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25">
      <c r="A33" t="s">
        <v>73</v>
      </c>
      <c r="B33" t="s">
        <v>74</v>
      </c>
      <c r="C33">
        <v>25627439.5</v>
      </c>
      <c r="D33">
        <v>31802020</v>
      </c>
      <c r="E33">
        <v>36971379</v>
      </c>
      <c r="F33">
        <v>20458080.5</v>
      </c>
      <c r="G33">
        <v>0</v>
      </c>
      <c r="H33">
        <v>0</v>
      </c>
      <c r="I33">
        <v>0</v>
      </c>
      <c r="J33">
        <v>0</v>
      </c>
      <c r="K33">
        <v>1690909</v>
      </c>
      <c r="L33">
        <v>1863636</v>
      </c>
      <c r="M33">
        <v>0</v>
      </c>
      <c r="N33">
        <v>1750000</v>
      </c>
      <c r="O33">
        <v>0</v>
      </c>
      <c r="P33">
        <v>0</v>
      </c>
      <c r="Q33">
        <v>25000000</v>
      </c>
      <c r="R33">
        <v>26181818</v>
      </c>
      <c r="S33">
        <v>5111111</v>
      </c>
      <c r="T33">
        <v>3333333</v>
      </c>
      <c r="U33">
        <v>0</v>
      </c>
      <c r="V33">
        <v>0</v>
      </c>
      <c r="W33">
        <v>0</v>
      </c>
      <c r="X33">
        <v>0</v>
      </c>
      <c r="Y33">
        <v>0</v>
      </c>
      <c r="Z33">
        <v>3842592</v>
      </c>
      <c r="AA33">
        <v>0</v>
      </c>
      <c r="AB33">
        <v>0</v>
      </c>
      <c r="AC33">
        <v>0</v>
      </c>
      <c r="AD33">
        <v>0</v>
      </c>
    </row>
    <row r="34" spans="1:30" x14ac:dyDescent="0.25">
      <c r="A34" t="s">
        <v>75</v>
      </c>
      <c r="B34" t="s">
        <v>76</v>
      </c>
      <c r="C34">
        <v>94740721.183266938</v>
      </c>
      <c r="D34">
        <v>102737542</v>
      </c>
      <c r="E34">
        <v>148442430</v>
      </c>
      <c r="F34">
        <v>49035833.183266938</v>
      </c>
      <c r="G34">
        <v>3818182</v>
      </c>
      <c r="H34">
        <v>0</v>
      </c>
      <c r="I34">
        <v>0</v>
      </c>
      <c r="J34">
        <v>0</v>
      </c>
      <c r="K34">
        <v>0</v>
      </c>
      <c r="L34">
        <v>0</v>
      </c>
      <c r="M34">
        <v>9445456</v>
      </c>
      <c r="N34">
        <v>9000001</v>
      </c>
      <c r="O34">
        <v>3818182</v>
      </c>
      <c r="P34">
        <v>5763636</v>
      </c>
      <c r="Q34">
        <v>19090909</v>
      </c>
      <c r="R34">
        <v>10845452</v>
      </c>
      <c r="S34">
        <v>22648148</v>
      </c>
      <c r="T34">
        <v>2120370</v>
      </c>
      <c r="U34">
        <v>21138889</v>
      </c>
      <c r="V34">
        <v>3972222</v>
      </c>
      <c r="W34">
        <v>11388888</v>
      </c>
      <c r="X34">
        <v>77453709</v>
      </c>
      <c r="Y34">
        <v>11388888</v>
      </c>
      <c r="Z34">
        <v>5907408</v>
      </c>
      <c r="AA34">
        <v>0</v>
      </c>
      <c r="AB34">
        <v>25231483</v>
      </c>
      <c r="AC34">
        <v>0</v>
      </c>
      <c r="AD34">
        <v>8148149</v>
      </c>
    </row>
    <row r="35" spans="1:30" x14ac:dyDescent="0.25">
      <c r="A35" t="s">
        <v>77</v>
      </c>
      <c r="B35" t="s">
        <v>78</v>
      </c>
      <c r="C35">
        <v>1316892764.553802</v>
      </c>
      <c r="D35">
        <v>742829092</v>
      </c>
      <c r="E35">
        <v>1067986193</v>
      </c>
      <c r="F35">
        <v>991735663.55380154</v>
      </c>
      <c r="G35">
        <v>25945454</v>
      </c>
      <c r="H35">
        <v>13336364</v>
      </c>
      <c r="I35">
        <v>55229096</v>
      </c>
      <c r="J35">
        <v>33681813</v>
      </c>
      <c r="K35">
        <v>32772727</v>
      </c>
      <c r="L35">
        <v>125790910</v>
      </c>
      <c r="M35">
        <v>50227272</v>
      </c>
      <c r="N35">
        <v>5109091</v>
      </c>
      <c r="O35">
        <v>89486364</v>
      </c>
      <c r="P35">
        <v>175300002</v>
      </c>
      <c r="Q35">
        <v>108018182</v>
      </c>
      <c r="R35">
        <v>229027260</v>
      </c>
      <c r="S35">
        <v>19101852</v>
      </c>
      <c r="T35">
        <v>29388891</v>
      </c>
      <c r="U35">
        <v>148009258</v>
      </c>
      <c r="V35">
        <v>105453705</v>
      </c>
      <c r="W35">
        <v>24722219</v>
      </c>
      <c r="X35">
        <v>215111118</v>
      </c>
      <c r="Y35">
        <v>31092593</v>
      </c>
      <c r="Z35">
        <v>34157409</v>
      </c>
      <c r="AA35">
        <v>96381482</v>
      </c>
      <c r="AB35">
        <v>25074075</v>
      </c>
      <c r="AC35">
        <v>61842593</v>
      </c>
      <c r="AD35">
        <v>76555555</v>
      </c>
    </row>
    <row r="36" spans="1:30" x14ac:dyDescent="0.25">
      <c r="A36" t="s">
        <v>79</v>
      </c>
      <c r="B36" t="s">
        <v>80</v>
      </c>
      <c r="C36">
        <v>43508071.021276593</v>
      </c>
      <c r="D36">
        <v>28893602</v>
      </c>
      <c r="E36">
        <v>36109428</v>
      </c>
      <c r="F36">
        <v>36292245.021276593</v>
      </c>
      <c r="G36">
        <v>0</v>
      </c>
      <c r="H36">
        <v>0</v>
      </c>
      <c r="I36">
        <v>0</v>
      </c>
      <c r="J36">
        <v>0</v>
      </c>
      <c r="K36">
        <v>6000000</v>
      </c>
      <c r="L36">
        <v>0</v>
      </c>
      <c r="M36">
        <v>4772727</v>
      </c>
      <c r="N36">
        <v>5027273</v>
      </c>
      <c r="O36">
        <v>0</v>
      </c>
      <c r="P36">
        <v>0</v>
      </c>
      <c r="Q36">
        <v>12472727</v>
      </c>
      <c r="R36">
        <v>13063636</v>
      </c>
      <c r="S36">
        <v>0</v>
      </c>
      <c r="T36">
        <v>18018519</v>
      </c>
      <c r="U36">
        <v>5648148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25">
      <c r="A37" t="s">
        <v>81</v>
      </c>
      <c r="B37" t="s">
        <v>82</v>
      </c>
      <c r="C37">
        <v>98910381.196428597</v>
      </c>
      <c r="D37">
        <v>202678450</v>
      </c>
      <c r="E37">
        <v>92881817</v>
      </c>
      <c r="F37">
        <v>208707014.1964286</v>
      </c>
      <c r="G37">
        <v>33054546</v>
      </c>
      <c r="H37">
        <v>1218182</v>
      </c>
      <c r="I37">
        <v>7727273</v>
      </c>
      <c r="J37">
        <v>8154543</v>
      </c>
      <c r="K37">
        <v>16072727</v>
      </c>
      <c r="L37">
        <v>24990911</v>
      </c>
      <c r="M37">
        <v>29590908</v>
      </c>
      <c r="N37">
        <v>881818</v>
      </c>
      <c r="O37">
        <v>10000000</v>
      </c>
      <c r="P37">
        <v>13181818</v>
      </c>
      <c r="Q37">
        <v>26418181</v>
      </c>
      <c r="R37">
        <v>31954545</v>
      </c>
      <c r="S37">
        <v>43518519</v>
      </c>
      <c r="T37">
        <v>0</v>
      </c>
      <c r="U37">
        <v>13833333</v>
      </c>
      <c r="V37">
        <v>0</v>
      </c>
      <c r="W37">
        <v>0</v>
      </c>
      <c r="X37">
        <v>0</v>
      </c>
      <c r="Y37">
        <v>11833333</v>
      </c>
      <c r="Z37">
        <v>0</v>
      </c>
      <c r="AA37">
        <v>0</v>
      </c>
      <c r="AB37">
        <v>0</v>
      </c>
      <c r="AC37">
        <v>10629630</v>
      </c>
      <c r="AD37">
        <v>12500000</v>
      </c>
    </row>
    <row r="38" spans="1:30" x14ac:dyDescent="0.25">
      <c r="A38" t="s">
        <v>83</v>
      </c>
      <c r="B38" t="s">
        <v>84</v>
      </c>
      <c r="C38">
        <v>4336364</v>
      </c>
      <c r="D38">
        <v>12090909</v>
      </c>
      <c r="E38">
        <v>3851852</v>
      </c>
      <c r="F38">
        <v>12575421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12090909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3851852</v>
      </c>
    </row>
    <row r="39" spans="1:30" x14ac:dyDescent="0.25">
      <c r="A39" t="s">
        <v>85</v>
      </c>
      <c r="B39" t="s">
        <v>86</v>
      </c>
      <c r="C39">
        <v>371984050.38106239</v>
      </c>
      <c r="D39">
        <v>176665319</v>
      </c>
      <c r="E39">
        <v>176495784</v>
      </c>
      <c r="F39">
        <v>372153585.38106239</v>
      </c>
      <c r="G39">
        <v>0</v>
      </c>
      <c r="H39">
        <v>2345455</v>
      </c>
      <c r="I39">
        <v>95936363</v>
      </c>
      <c r="J39">
        <v>9945455</v>
      </c>
      <c r="K39">
        <v>0</v>
      </c>
      <c r="L39">
        <v>51172725</v>
      </c>
      <c r="M39">
        <v>3181818</v>
      </c>
      <c r="N39">
        <v>5054545</v>
      </c>
      <c r="O39">
        <v>0</v>
      </c>
      <c r="P39">
        <v>44263637</v>
      </c>
      <c r="Q39">
        <v>42954546</v>
      </c>
      <c r="R39">
        <v>40445447</v>
      </c>
      <c r="S39">
        <v>0</v>
      </c>
      <c r="T39">
        <v>5546297</v>
      </c>
      <c r="U39">
        <v>0</v>
      </c>
      <c r="V39">
        <v>4027778</v>
      </c>
      <c r="W39">
        <v>0</v>
      </c>
      <c r="X39">
        <v>10277778</v>
      </c>
      <c r="Y39">
        <v>0</v>
      </c>
      <c r="Z39">
        <v>0</v>
      </c>
      <c r="AA39">
        <v>34592592</v>
      </c>
      <c r="AB39">
        <v>0</v>
      </c>
      <c r="AC39">
        <v>0</v>
      </c>
      <c r="AD39">
        <v>3416667</v>
      </c>
    </row>
    <row r="40" spans="1:30" x14ac:dyDescent="0.25">
      <c r="A40" t="s">
        <v>87</v>
      </c>
      <c r="B40" t="s">
        <v>88</v>
      </c>
      <c r="C40">
        <v>51843434.777777784</v>
      </c>
      <c r="D40">
        <v>13545454</v>
      </c>
      <c r="E40">
        <v>17154546</v>
      </c>
      <c r="F40">
        <v>48234342.777777784</v>
      </c>
      <c r="G40">
        <v>13545454</v>
      </c>
      <c r="H40">
        <v>0</v>
      </c>
      <c r="I40">
        <v>0</v>
      </c>
      <c r="J40">
        <v>0</v>
      </c>
      <c r="K40">
        <v>0</v>
      </c>
      <c r="L40">
        <v>7445455</v>
      </c>
      <c r="M40">
        <v>0</v>
      </c>
      <c r="N40">
        <v>0</v>
      </c>
      <c r="O40">
        <v>0</v>
      </c>
      <c r="P40">
        <v>0</v>
      </c>
      <c r="Q40">
        <v>0</v>
      </c>
      <c r="R40">
        <v>9709091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x14ac:dyDescent="0.25">
      <c r="A41" t="s">
        <v>89</v>
      </c>
      <c r="B41" t="s">
        <v>90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 x14ac:dyDescent="0.25">
      <c r="A42" t="s">
        <v>91</v>
      </c>
      <c r="B42" t="s">
        <v>92</v>
      </c>
      <c r="C42">
        <v>10229092</v>
      </c>
      <c r="D42">
        <v>637918463.63999999</v>
      </c>
      <c r="E42">
        <v>674684256</v>
      </c>
      <c r="F42">
        <v>75819154</v>
      </c>
      <c r="G42">
        <v>31731817</v>
      </c>
      <c r="H42">
        <v>26254543</v>
      </c>
      <c r="I42">
        <v>49549999.640000001</v>
      </c>
      <c r="J42">
        <v>35381819</v>
      </c>
      <c r="K42">
        <v>25749999</v>
      </c>
      <c r="L42">
        <v>35304556</v>
      </c>
      <c r="M42">
        <v>22242273</v>
      </c>
      <c r="N42">
        <v>107943648</v>
      </c>
      <c r="O42">
        <v>34680092</v>
      </c>
      <c r="P42">
        <v>21818184</v>
      </c>
      <c r="Q42">
        <v>64163637</v>
      </c>
      <c r="R42">
        <v>114000014</v>
      </c>
      <c r="S42">
        <v>86481235</v>
      </c>
      <c r="T42">
        <v>53629628</v>
      </c>
      <c r="U42">
        <v>37495370</v>
      </c>
      <c r="V42">
        <v>20055555</v>
      </c>
      <c r="W42">
        <v>58703827</v>
      </c>
      <c r="X42">
        <v>74833342</v>
      </c>
      <c r="Y42">
        <v>45787035</v>
      </c>
      <c r="Z42">
        <v>34175926</v>
      </c>
      <c r="AA42">
        <v>56046219</v>
      </c>
      <c r="AB42">
        <v>37972223</v>
      </c>
      <c r="AC42">
        <v>125286960</v>
      </c>
      <c r="AD42">
        <v>113314818</v>
      </c>
    </row>
    <row r="43" spans="1:30" x14ac:dyDescent="0.25">
      <c r="A43" t="s">
        <v>93</v>
      </c>
      <c r="B43" t="s">
        <v>94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25">
      <c r="A44" t="s">
        <v>95</v>
      </c>
      <c r="B44" t="s">
        <v>96</v>
      </c>
      <c r="C44">
        <v>1645764071.4247439</v>
      </c>
      <c r="D44">
        <v>164799118</v>
      </c>
      <c r="E44">
        <v>1022075050</v>
      </c>
      <c r="F44">
        <v>788488139.42474437</v>
      </c>
      <c r="G44">
        <v>0</v>
      </c>
      <c r="H44">
        <v>23809090</v>
      </c>
      <c r="I44">
        <v>0</v>
      </c>
      <c r="J44">
        <v>28054546</v>
      </c>
      <c r="K44">
        <v>727280</v>
      </c>
      <c r="L44">
        <v>99485459</v>
      </c>
      <c r="M44">
        <v>0</v>
      </c>
      <c r="N44">
        <v>151067266</v>
      </c>
      <c r="O44">
        <v>2545455</v>
      </c>
      <c r="P44">
        <v>24349093</v>
      </c>
      <c r="Q44">
        <v>0</v>
      </c>
      <c r="R44">
        <v>260781819</v>
      </c>
      <c r="S44">
        <v>3068083</v>
      </c>
      <c r="T44">
        <v>55703703</v>
      </c>
      <c r="U44">
        <v>0</v>
      </c>
      <c r="V44">
        <v>16074075</v>
      </c>
      <c r="W44">
        <v>69833290</v>
      </c>
      <c r="X44">
        <v>266555554</v>
      </c>
      <c r="Y44">
        <v>990740</v>
      </c>
      <c r="Z44">
        <v>25370371</v>
      </c>
      <c r="AA44">
        <v>87634270</v>
      </c>
      <c r="AB44">
        <v>34462964</v>
      </c>
      <c r="AC44">
        <v>0</v>
      </c>
      <c r="AD44">
        <v>36361110</v>
      </c>
    </row>
    <row r="45" spans="1:30" x14ac:dyDescent="0.25">
      <c r="A45" t="s">
        <v>97</v>
      </c>
      <c r="B45" t="s">
        <v>98</v>
      </c>
      <c r="C45">
        <v>509906983.79297298</v>
      </c>
      <c r="D45">
        <v>22995710.18</v>
      </c>
      <c r="E45">
        <v>222696297</v>
      </c>
      <c r="F45">
        <v>310206396.97297299</v>
      </c>
      <c r="G45">
        <v>0</v>
      </c>
      <c r="H45">
        <v>35854545</v>
      </c>
      <c r="I45">
        <v>0</v>
      </c>
      <c r="J45">
        <v>26372727</v>
      </c>
      <c r="K45">
        <v>0</v>
      </c>
      <c r="L45">
        <v>13018182</v>
      </c>
      <c r="M45">
        <v>8054545.1799999997</v>
      </c>
      <c r="N45">
        <v>5263636</v>
      </c>
      <c r="O45">
        <v>5777273</v>
      </c>
      <c r="P45">
        <v>11609091</v>
      </c>
      <c r="Q45">
        <v>0</v>
      </c>
      <c r="R45">
        <v>30781820</v>
      </c>
      <c r="S45">
        <v>0</v>
      </c>
      <c r="T45">
        <v>10907407</v>
      </c>
      <c r="U45">
        <v>0</v>
      </c>
      <c r="V45">
        <v>10731481</v>
      </c>
      <c r="W45">
        <v>9163892</v>
      </c>
      <c r="X45">
        <v>26027779</v>
      </c>
      <c r="Y45">
        <v>0</v>
      </c>
      <c r="Z45">
        <v>16324073</v>
      </c>
      <c r="AA45">
        <v>0</v>
      </c>
      <c r="AB45">
        <v>10814815</v>
      </c>
      <c r="AC45">
        <v>0</v>
      </c>
      <c r="AD45">
        <v>24990741</v>
      </c>
    </row>
    <row r="46" spans="1:30" x14ac:dyDescent="0.25">
      <c r="A46" t="s">
        <v>99</v>
      </c>
      <c r="B46" t="s">
        <v>100</v>
      </c>
      <c r="C46">
        <v>96389209.632571429</v>
      </c>
      <c r="D46">
        <v>101833657.04000001</v>
      </c>
      <c r="E46">
        <v>125574059</v>
      </c>
      <c r="F46">
        <v>72648807.672571421</v>
      </c>
      <c r="G46">
        <v>0</v>
      </c>
      <c r="H46">
        <v>0</v>
      </c>
      <c r="I46">
        <v>0</v>
      </c>
      <c r="J46">
        <v>372728</v>
      </c>
      <c r="K46">
        <v>7636364</v>
      </c>
      <c r="L46">
        <v>15272715</v>
      </c>
      <c r="M46">
        <v>200000</v>
      </c>
      <c r="N46">
        <v>0</v>
      </c>
      <c r="O46">
        <v>0</v>
      </c>
      <c r="P46">
        <v>0</v>
      </c>
      <c r="Q46">
        <v>2145455</v>
      </c>
      <c r="R46">
        <v>2354545</v>
      </c>
      <c r="S46">
        <v>6277781</v>
      </c>
      <c r="T46">
        <v>6759259</v>
      </c>
      <c r="U46">
        <v>11388889</v>
      </c>
      <c r="V46">
        <v>6657407</v>
      </c>
      <c r="W46">
        <v>5203686</v>
      </c>
      <c r="X46">
        <v>9916665</v>
      </c>
      <c r="Y46">
        <v>5925926</v>
      </c>
      <c r="Z46">
        <v>7814814</v>
      </c>
      <c r="AA46">
        <v>0</v>
      </c>
      <c r="AB46">
        <v>120370</v>
      </c>
      <c r="AC46">
        <v>63055556.039999999</v>
      </c>
      <c r="AD46">
        <v>76305556</v>
      </c>
    </row>
    <row r="47" spans="1:30" x14ac:dyDescent="0.25">
      <c r="A47" t="s">
        <v>101</v>
      </c>
      <c r="B47" t="s">
        <v>102</v>
      </c>
      <c r="C47">
        <v>258426959.92567381</v>
      </c>
      <c r="D47">
        <v>170647308.19</v>
      </c>
      <c r="E47">
        <v>141688211</v>
      </c>
      <c r="F47">
        <v>287386057.11567378</v>
      </c>
      <c r="G47">
        <v>5454545</v>
      </c>
      <c r="H47">
        <v>0</v>
      </c>
      <c r="I47">
        <v>14345455</v>
      </c>
      <c r="J47">
        <v>7090909</v>
      </c>
      <c r="K47">
        <v>23690909.440000001</v>
      </c>
      <c r="L47">
        <v>13636362</v>
      </c>
      <c r="M47">
        <v>0</v>
      </c>
      <c r="N47">
        <v>46499997</v>
      </c>
      <c r="O47">
        <v>13263636</v>
      </c>
      <c r="P47">
        <v>20754546</v>
      </c>
      <c r="Q47">
        <v>5454545</v>
      </c>
      <c r="R47">
        <v>6354545</v>
      </c>
      <c r="S47">
        <v>24854884</v>
      </c>
      <c r="T47">
        <v>5638889</v>
      </c>
      <c r="U47">
        <v>21962963</v>
      </c>
      <c r="V47">
        <v>11407407</v>
      </c>
      <c r="W47">
        <v>22777778</v>
      </c>
      <c r="X47">
        <v>17175927</v>
      </c>
      <c r="Y47">
        <v>16250000.15</v>
      </c>
      <c r="Z47">
        <v>0</v>
      </c>
      <c r="AA47">
        <v>0</v>
      </c>
      <c r="AB47">
        <v>0</v>
      </c>
      <c r="AC47">
        <v>22592592.600000001</v>
      </c>
      <c r="AD47">
        <v>13129629</v>
      </c>
    </row>
    <row r="48" spans="1:30" x14ac:dyDescent="0.25">
      <c r="A48" t="s">
        <v>103</v>
      </c>
      <c r="B48" t="s">
        <v>104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 x14ac:dyDescent="0.25">
      <c r="A49" t="s">
        <v>105</v>
      </c>
      <c r="B49" t="s">
        <v>106</v>
      </c>
      <c r="C49">
        <v>229659250.96224141</v>
      </c>
      <c r="D49">
        <v>267609788.72</v>
      </c>
      <c r="E49">
        <v>249624410</v>
      </c>
      <c r="F49">
        <v>247644629.68224141</v>
      </c>
      <c r="G49">
        <v>43762142</v>
      </c>
      <c r="H49">
        <v>0</v>
      </c>
      <c r="I49">
        <v>8136364</v>
      </c>
      <c r="J49">
        <v>7590909</v>
      </c>
      <c r="K49">
        <v>37327272.600000001</v>
      </c>
      <c r="L49">
        <v>0</v>
      </c>
      <c r="M49">
        <v>12145454.449999999</v>
      </c>
      <c r="N49">
        <v>47854545</v>
      </c>
      <c r="O49">
        <v>26245454.899999999</v>
      </c>
      <c r="P49">
        <v>32009091</v>
      </c>
      <c r="Q49">
        <v>13872728.17</v>
      </c>
      <c r="R49">
        <v>22527273</v>
      </c>
      <c r="S49">
        <v>0</v>
      </c>
      <c r="T49">
        <v>0</v>
      </c>
      <c r="U49">
        <v>0</v>
      </c>
      <c r="V49">
        <v>1388889</v>
      </c>
      <c r="W49">
        <v>14527778.6</v>
      </c>
      <c r="X49">
        <v>19185185</v>
      </c>
      <c r="Y49">
        <v>46222222</v>
      </c>
      <c r="Z49">
        <v>35787037</v>
      </c>
      <c r="AA49">
        <v>14537037</v>
      </c>
      <c r="AB49">
        <v>16787038</v>
      </c>
      <c r="AC49">
        <v>50833335</v>
      </c>
      <c r="AD49">
        <v>66494443</v>
      </c>
    </row>
    <row r="50" spans="1:30" x14ac:dyDescent="0.25">
      <c r="A50" t="s">
        <v>107</v>
      </c>
      <c r="B50" t="s">
        <v>108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25">
      <c r="A51" t="s">
        <v>109</v>
      </c>
      <c r="B51" t="s">
        <v>110</v>
      </c>
      <c r="C51">
        <v>254228.19999999931</v>
      </c>
      <c r="D51">
        <v>0</v>
      </c>
      <c r="E51">
        <v>0</v>
      </c>
      <c r="F51">
        <v>254228.19999999931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25">
      <c r="A52" t="s">
        <v>111</v>
      </c>
      <c r="B52" t="s">
        <v>112</v>
      </c>
      <c r="C52">
        <v>63192100.066938758</v>
      </c>
      <c r="D52">
        <v>43643941</v>
      </c>
      <c r="E52">
        <v>73268519</v>
      </c>
      <c r="F52">
        <v>33567522.066938758</v>
      </c>
      <c r="G52">
        <v>0</v>
      </c>
      <c r="H52">
        <v>1564815</v>
      </c>
      <c r="I52">
        <v>0</v>
      </c>
      <c r="J52">
        <v>0</v>
      </c>
      <c r="K52">
        <v>19768519</v>
      </c>
      <c r="L52">
        <v>67314815</v>
      </c>
      <c r="M52">
        <v>227273</v>
      </c>
      <c r="N52">
        <v>0</v>
      </c>
      <c r="O52">
        <v>2129630</v>
      </c>
      <c r="P52">
        <v>0</v>
      </c>
      <c r="Q52">
        <v>6712963</v>
      </c>
      <c r="R52">
        <v>2546296</v>
      </c>
      <c r="S52">
        <v>0</v>
      </c>
      <c r="T52">
        <v>0</v>
      </c>
      <c r="U52">
        <v>0</v>
      </c>
      <c r="V52">
        <v>0</v>
      </c>
      <c r="W52">
        <v>14805556</v>
      </c>
      <c r="X52">
        <v>1842593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25">
      <c r="A53" t="s">
        <v>113</v>
      </c>
      <c r="B53" t="s">
        <v>114</v>
      </c>
      <c r="C53">
        <v>5580000</v>
      </c>
      <c r="D53">
        <v>0</v>
      </c>
      <c r="E53">
        <v>0</v>
      </c>
      <c r="F53">
        <v>5580000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25">
      <c r="A54" t="s">
        <v>115</v>
      </c>
      <c r="B54" t="s">
        <v>116</v>
      </c>
      <c r="C54">
        <v>0</v>
      </c>
      <c r="D54">
        <v>1480000</v>
      </c>
      <c r="E54">
        <v>0</v>
      </c>
      <c r="F54">
        <v>1480000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1480000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25">
      <c r="A55" t="s">
        <v>117</v>
      </c>
      <c r="B55" t="s">
        <v>118</v>
      </c>
      <c r="C55">
        <v>114586169.172702</v>
      </c>
      <c r="D55">
        <v>86645586</v>
      </c>
      <c r="E55">
        <v>93481143</v>
      </c>
      <c r="F55">
        <v>107750612.172702</v>
      </c>
      <c r="G55">
        <v>0</v>
      </c>
      <c r="H55">
        <v>0</v>
      </c>
      <c r="I55">
        <v>10200000</v>
      </c>
      <c r="J55">
        <v>12127273</v>
      </c>
      <c r="K55">
        <v>220000</v>
      </c>
      <c r="L55">
        <v>8536363</v>
      </c>
      <c r="M55">
        <v>1879000</v>
      </c>
      <c r="N55">
        <v>2090909</v>
      </c>
      <c r="O55">
        <v>13320000</v>
      </c>
      <c r="P55">
        <v>14536364</v>
      </c>
      <c r="Q55">
        <v>0</v>
      </c>
      <c r="R55">
        <v>0</v>
      </c>
      <c r="S55">
        <v>0</v>
      </c>
      <c r="T55">
        <v>0</v>
      </c>
      <c r="U55">
        <v>13300000</v>
      </c>
      <c r="V55">
        <v>5527776</v>
      </c>
      <c r="W55">
        <v>4704364</v>
      </c>
      <c r="X55">
        <v>9792087</v>
      </c>
      <c r="Y55">
        <v>0</v>
      </c>
      <c r="Z55">
        <v>0</v>
      </c>
      <c r="AA55">
        <v>13300000</v>
      </c>
      <c r="AB55">
        <v>15638890</v>
      </c>
      <c r="AC55">
        <v>29722222</v>
      </c>
      <c r="AD55">
        <v>25231481</v>
      </c>
    </row>
    <row r="56" spans="1:30" x14ac:dyDescent="0.25">
      <c r="A56" t="s">
        <v>119</v>
      </c>
      <c r="B56" t="s">
        <v>120</v>
      </c>
      <c r="C56">
        <v>4952973.4915254228</v>
      </c>
      <c r="D56">
        <v>10533518</v>
      </c>
      <c r="E56">
        <v>7879627</v>
      </c>
      <c r="F56">
        <v>7606864.4915254228</v>
      </c>
      <c r="G56">
        <v>0</v>
      </c>
      <c r="H56">
        <v>0</v>
      </c>
      <c r="I56">
        <v>0</v>
      </c>
      <c r="J56">
        <v>0</v>
      </c>
      <c r="K56">
        <v>2640000</v>
      </c>
      <c r="L56">
        <v>1157407</v>
      </c>
      <c r="M56">
        <v>0</v>
      </c>
      <c r="N56">
        <v>0</v>
      </c>
      <c r="O56">
        <v>2770370</v>
      </c>
      <c r="P56">
        <v>1009259</v>
      </c>
      <c r="Q56">
        <v>0</v>
      </c>
      <c r="R56">
        <v>0</v>
      </c>
      <c r="S56">
        <v>0</v>
      </c>
      <c r="T56">
        <v>0</v>
      </c>
      <c r="U56">
        <v>0</v>
      </c>
      <c r="V56">
        <v>1009259</v>
      </c>
      <c r="W56">
        <v>0</v>
      </c>
      <c r="X56">
        <v>0</v>
      </c>
      <c r="Y56">
        <v>0</v>
      </c>
      <c r="Z56">
        <v>1009259</v>
      </c>
      <c r="AA56">
        <v>0</v>
      </c>
      <c r="AB56">
        <v>2166666</v>
      </c>
      <c r="AC56">
        <v>5123148</v>
      </c>
      <c r="AD56">
        <v>1527777</v>
      </c>
    </row>
    <row r="57" spans="1:30" x14ac:dyDescent="0.25">
      <c r="A57" t="s">
        <v>121</v>
      </c>
      <c r="B57" t="s">
        <v>122</v>
      </c>
      <c r="C57">
        <v>17901110.180769231</v>
      </c>
      <c r="D57">
        <v>26274444</v>
      </c>
      <c r="E57">
        <v>25094444</v>
      </c>
      <c r="F57">
        <v>19081110.180769231</v>
      </c>
      <c r="G57">
        <v>0</v>
      </c>
      <c r="H57">
        <v>0</v>
      </c>
      <c r="I57">
        <v>0</v>
      </c>
      <c r="J57">
        <v>0</v>
      </c>
      <c r="K57">
        <v>3080000</v>
      </c>
      <c r="L57">
        <v>0</v>
      </c>
      <c r="M57">
        <v>0</v>
      </c>
      <c r="N57">
        <v>3879630</v>
      </c>
      <c r="O57">
        <v>3500000</v>
      </c>
      <c r="P57">
        <v>3900000</v>
      </c>
      <c r="Q57">
        <v>4444444</v>
      </c>
      <c r="R57">
        <v>4861111</v>
      </c>
      <c r="S57">
        <v>2750000</v>
      </c>
      <c r="T57">
        <v>0</v>
      </c>
      <c r="U57">
        <v>0</v>
      </c>
      <c r="V57">
        <v>0</v>
      </c>
      <c r="W57">
        <v>0</v>
      </c>
      <c r="X57">
        <v>3194444</v>
      </c>
      <c r="Y57">
        <v>0</v>
      </c>
      <c r="Z57">
        <v>0</v>
      </c>
      <c r="AA57">
        <v>12500000</v>
      </c>
      <c r="AB57">
        <v>9259259</v>
      </c>
      <c r="AC57">
        <v>0</v>
      </c>
      <c r="AD57">
        <v>0</v>
      </c>
    </row>
    <row r="58" spans="1:30" x14ac:dyDescent="0.25">
      <c r="A58" t="s">
        <v>123</v>
      </c>
      <c r="B58" t="s">
        <v>124</v>
      </c>
      <c r="C58">
        <v>1829966.11</v>
      </c>
      <c r="D58">
        <v>0</v>
      </c>
      <c r="E58">
        <v>0</v>
      </c>
      <c r="F58">
        <v>1829966.11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25">
      <c r="A59" t="s">
        <v>125</v>
      </c>
      <c r="B59" t="s">
        <v>126</v>
      </c>
      <c r="C59">
        <v>260502333.36559761</v>
      </c>
      <c r="D59">
        <v>322459356</v>
      </c>
      <c r="E59">
        <v>516821491</v>
      </c>
      <c r="F59">
        <v>66140198.365597613</v>
      </c>
      <c r="G59">
        <v>4084557</v>
      </c>
      <c r="H59">
        <v>7681826</v>
      </c>
      <c r="I59">
        <v>32841417</v>
      </c>
      <c r="J59">
        <v>14518185</v>
      </c>
      <c r="K59">
        <v>66057284</v>
      </c>
      <c r="L59">
        <v>185269082</v>
      </c>
      <c r="M59">
        <v>8111558</v>
      </c>
      <c r="N59">
        <v>10797275</v>
      </c>
      <c r="O59">
        <v>4622740</v>
      </c>
      <c r="P59">
        <v>8936368</v>
      </c>
      <c r="Q59">
        <v>6736364</v>
      </c>
      <c r="R59">
        <v>72036374</v>
      </c>
      <c r="S59">
        <v>44293394</v>
      </c>
      <c r="T59">
        <v>13018514</v>
      </c>
      <c r="U59">
        <v>41590741</v>
      </c>
      <c r="V59">
        <v>54396296</v>
      </c>
      <c r="W59">
        <v>39380503</v>
      </c>
      <c r="X59">
        <v>46037013</v>
      </c>
      <c r="Y59">
        <v>15210191</v>
      </c>
      <c r="Z59">
        <v>37402779</v>
      </c>
      <c r="AA59">
        <v>27200951</v>
      </c>
      <c r="AB59">
        <v>20537037</v>
      </c>
      <c r="AC59">
        <v>32329656</v>
      </c>
      <c r="AD59">
        <v>46190742</v>
      </c>
    </row>
    <row r="60" spans="1:30" x14ac:dyDescent="0.25">
      <c r="A60" t="s">
        <v>127</v>
      </c>
      <c r="B60" t="s">
        <v>128</v>
      </c>
      <c r="C60">
        <v>3354830.6822262122</v>
      </c>
      <c r="D60">
        <v>13202666</v>
      </c>
      <c r="E60">
        <v>19618666</v>
      </c>
      <c r="F60">
        <v>3438609</v>
      </c>
      <c r="G60">
        <v>2527190</v>
      </c>
      <c r="H60">
        <v>0</v>
      </c>
      <c r="I60">
        <v>354545</v>
      </c>
      <c r="J60">
        <v>690908</v>
      </c>
      <c r="K60">
        <v>709090</v>
      </c>
      <c r="L60">
        <v>12754526</v>
      </c>
      <c r="M60">
        <v>790910</v>
      </c>
      <c r="N60">
        <v>0</v>
      </c>
      <c r="O60">
        <v>927261</v>
      </c>
      <c r="P60">
        <v>327273</v>
      </c>
      <c r="Q60">
        <v>0</v>
      </c>
      <c r="R60">
        <v>818184</v>
      </c>
      <c r="S60">
        <v>1490780</v>
      </c>
      <c r="T60">
        <v>0</v>
      </c>
      <c r="U60">
        <v>370370</v>
      </c>
      <c r="V60">
        <v>416667</v>
      </c>
      <c r="W60">
        <v>1490735</v>
      </c>
      <c r="X60">
        <v>851851</v>
      </c>
      <c r="Y60">
        <v>750000</v>
      </c>
      <c r="Z60">
        <v>453703</v>
      </c>
      <c r="AA60">
        <v>1893570</v>
      </c>
      <c r="AB60">
        <v>648147</v>
      </c>
      <c r="AC60">
        <v>1898215</v>
      </c>
      <c r="AD60">
        <v>2657407</v>
      </c>
    </row>
    <row r="61" spans="1:30" x14ac:dyDescent="0.25">
      <c r="A61" t="s">
        <v>129</v>
      </c>
      <c r="B61" t="s">
        <v>130</v>
      </c>
      <c r="C61">
        <v>1100000</v>
      </c>
      <c r="D61">
        <v>7089554</v>
      </c>
      <c r="E61">
        <v>3142088</v>
      </c>
      <c r="F61">
        <v>5047466</v>
      </c>
      <c r="G61">
        <v>245454</v>
      </c>
      <c r="H61">
        <v>0</v>
      </c>
      <c r="I61">
        <v>0</v>
      </c>
      <c r="J61">
        <v>136364</v>
      </c>
      <c r="K61">
        <v>1381816</v>
      </c>
      <c r="L61">
        <v>0</v>
      </c>
      <c r="M61">
        <v>879816</v>
      </c>
      <c r="N61">
        <v>400000</v>
      </c>
      <c r="O61">
        <v>1136365</v>
      </c>
      <c r="P61">
        <v>0</v>
      </c>
      <c r="Q61">
        <v>409090</v>
      </c>
      <c r="R61">
        <v>290909</v>
      </c>
      <c r="S61">
        <v>1283319</v>
      </c>
      <c r="T61">
        <v>833334</v>
      </c>
      <c r="U61">
        <v>0</v>
      </c>
      <c r="V61">
        <v>0</v>
      </c>
      <c r="W61">
        <v>537040</v>
      </c>
      <c r="X61">
        <v>370370</v>
      </c>
      <c r="Y61">
        <v>166666</v>
      </c>
      <c r="Z61">
        <v>203704</v>
      </c>
      <c r="AA61">
        <v>0</v>
      </c>
      <c r="AB61">
        <v>0</v>
      </c>
      <c r="AC61">
        <v>1049988</v>
      </c>
      <c r="AD61">
        <v>907407</v>
      </c>
    </row>
    <row r="62" spans="1:30" x14ac:dyDescent="0.25">
      <c r="A62" t="s">
        <v>131</v>
      </c>
      <c r="B62" t="s">
        <v>132</v>
      </c>
      <c r="C62">
        <v>222002431.8789579</v>
      </c>
      <c r="D62">
        <v>28760094</v>
      </c>
      <c r="E62">
        <v>201731450</v>
      </c>
      <c r="F62">
        <v>49031075.878957927</v>
      </c>
      <c r="G62">
        <v>0</v>
      </c>
      <c r="H62">
        <v>1090909</v>
      </c>
      <c r="I62">
        <v>2545455</v>
      </c>
      <c r="J62">
        <v>1190913</v>
      </c>
      <c r="K62">
        <v>5090909</v>
      </c>
      <c r="L62">
        <v>86268211</v>
      </c>
      <c r="M62">
        <v>0</v>
      </c>
      <c r="N62">
        <v>6781820</v>
      </c>
      <c r="O62">
        <v>3815275</v>
      </c>
      <c r="P62">
        <v>6336362</v>
      </c>
      <c r="Q62">
        <v>0</v>
      </c>
      <c r="R62">
        <v>48285452</v>
      </c>
      <c r="S62">
        <v>5290306</v>
      </c>
      <c r="T62">
        <v>5018523</v>
      </c>
      <c r="U62">
        <v>0</v>
      </c>
      <c r="V62">
        <v>4462964</v>
      </c>
      <c r="W62">
        <v>3490741</v>
      </c>
      <c r="X62">
        <v>4444444</v>
      </c>
      <c r="Y62">
        <v>4499630</v>
      </c>
      <c r="Z62">
        <v>27777779</v>
      </c>
      <c r="AA62">
        <v>4027778</v>
      </c>
      <c r="AB62">
        <v>6527776</v>
      </c>
      <c r="AC62">
        <v>0</v>
      </c>
      <c r="AD62">
        <v>3546297</v>
      </c>
    </row>
    <row r="63" spans="1:30" x14ac:dyDescent="0.25">
      <c r="A63" t="s">
        <v>133</v>
      </c>
      <c r="B63" t="s">
        <v>134</v>
      </c>
      <c r="C63">
        <v>187052452.71158049</v>
      </c>
      <c r="D63">
        <v>0</v>
      </c>
      <c r="E63">
        <v>25849497</v>
      </c>
      <c r="F63">
        <v>161202955.71158049</v>
      </c>
      <c r="G63">
        <v>0</v>
      </c>
      <c r="H63">
        <v>1818181</v>
      </c>
      <c r="I63">
        <v>0</v>
      </c>
      <c r="J63">
        <v>1672726</v>
      </c>
      <c r="K63">
        <v>0</v>
      </c>
      <c r="L63">
        <v>927272</v>
      </c>
      <c r="M63">
        <v>0</v>
      </c>
      <c r="N63">
        <v>6836372</v>
      </c>
      <c r="O63">
        <v>0</v>
      </c>
      <c r="P63">
        <v>1145454</v>
      </c>
      <c r="Q63">
        <v>0</v>
      </c>
      <c r="R63">
        <v>4227272</v>
      </c>
      <c r="S63">
        <v>0</v>
      </c>
      <c r="T63">
        <v>796296</v>
      </c>
      <c r="U63">
        <v>0</v>
      </c>
      <c r="V63">
        <v>962963</v>
      </c>
      <c r="W63">
        <v>0</v>
      </c>
      <c r="X63">
        <v>1601852</v>
      </c>
      <c r="Y63">
        <v>0</v>
      </c>
      <c r="Z63">
        <v>2398149</v>
      </c>
      <c r="AA63">
        <v>0</v>
      </c>
      <c r="AB63">
        <v>2222220</v>
      </c>
      <c r="AC63">
        <v>0</v>
      </c>
      <c r="AD63">
        <v>1240740</v>
      </c>
    </row>
    <row r="64" spans="1:30" x14ac:dyDescent="0.25">
      <c r="A64" t="s">
        <v>135</v>
      </c>
      <c r="B64" t="s">
        <v>136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25">
      <c r="A65" t="s">
        <v>137</v>
      </c>
      <c r="B65" t="s">
        <v>138</v>
      </c>
      <c r="C65">
        <v>5701680.4511235952</v>
      </c>
      <c r="D65">
        <v>1208012</v>
      </c>
      <c r="E65">
        <v>1554545</v>
      </c>
      <c r="F65">
        <v>5355147.4511235952</v>
      </c>
      <c r="G65">
        <v>0</v>
      </c>
      <c r="H65">
        <v>0</v>
      </c>
      <c r="I65">
        <v>0</v>
      </c>
      <c r="J65">
        <v>0</v>
      </c>
      <c r="K65">
        <v>230910</v>
      </c>
      <c r="L65">
        <v>0</v>
      </c>
      <c r="M65">
        <v>327272</v>
      </c>
      <c r="N65">
        <v>0</v>
      </c>
      <c r="O65">
        <v>409090</v>
      </c>
      <c r="P65">
        <v>0</v>
      </c>
      <c r="Q65">
        <v>0</v>
      </c>
      <c r="R65">
        <v>1554545</v>
      </c>
      <c r="S65">
        <v>0</v>
      </c>
      <c r="T65">
        <v>0</v>
      </c>
      <c r="U65">
        <v>0</v>
      </c>
      <c r="V65">
        <v>0</v>
      </c>
      <c r="W65">
        <v>240740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25">
      <c r="A66" t="s">
        <v>139</v>
      </c>
      <c r="B66" t="s">
        <v>140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25">
      <c r="A67" t="s">
        <v>141</v>
      </c>
      <c r="B67" t="s">
        <v>142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25">
      <c r="A68" t="s">
        <v>143</v>
      </c>
      <c r="B68" t="s">
        <v>144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25">
      <c r="A69" t="s">
        <v>145</v>
      </c>
      <c r="B69" t="s">
        <v>146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25">
      <c r="A70" t="s">
        <v>147</v>
      </c>
      <c r="B70" t="s">
        <v>148</v>
      </c>
      <c r="C70">
        <v>77535471.665112108</v>
      </c>
      <c r="D70">
        <v>2095171</v>
      </c>
      <c r="E70">
        <v>29430639</v>
      </c>
      <c r="F70">
        <v>50200003.665112108</v>
      </c>
      <c r="G70">
        <v>0</v>
      </c>
      <c r="H70">
        <v>590909</v>
      </c>
      <c r="I70">
        <v>0</v>
      </c>
      <c r="J70">
        <v>0</v>
      </c>
      <c r="K70">
        <v>409080</v>
      </c>
      <c r="L70">
        <v>772727</v>
      </c>
      <c r="M70">
        <v>409080</v>
      </c>
      <c r="N70">
        <v>1072727</v>
      </c>
      <c r="O70">
        <v>340908</v>
      </c>
      <c r="P70">
        <v>1545454</v>
      </c>
      <c r="Q70">
        <v>0</v>
      </c>
      <c r="R70">
        <v>13763636</v>
      </c>
      <c r="S70">
        <v>0</v>
      </c>
      <c r="T70">
        <v>0</v>
      </c>
      <c r="U70">
        <v>0</v>
      </c>
      <c r="V70">
        <v>555556</v>
      </c>
      <c r="W70">
        <v>277770</v>
      </c>
      <c r="X70">
        <v>629630</v>
      </c>
      <c r="Y70">
        <v>0</v>
      </c>
      <c r="Z70">
        <v>8101852</v>
      </c>
      <c r="AA70">
        <v>277780</v>
      </c>
      <c r="AB70">
        <v>638889</v>
      </c>
      <c r="AC70">
        <v>380553</v>
      </c>
      <c r="AD70">
        <v>1759259</v>
      </c>
    </row>
    <row r="71" spans="1:30" x14ac:dyDescent="0.25">
      <c r="A71" t="s">
        <v>149</v>
      </c>
      <c r="B71" t="s">
        <v>150</v>
      </c>
      <c r="C71">
        <v>737428.16000000015</v>
      </c>
      <c r="D71">
        <v>455470</v>
      </c>
      <c r="E71">
        <v>0</v>
      </c>
      <c r="F71">
        <v>1192898.1599999999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204546</v>
      </c>
      <c r="R71">
        <v>0</v>
      </c>
      <c r="S71">
        <v>0</v>
      </c>
      <c r="T71">
        <v>0</v>
      </c>
      <c r="U71">
        <v>0</v>
      </c>
      <c r="V71">
        <v>0</v>
      </c>
      <c r="W71">
        <v>208332</v>
      </c>
      <c r="X71">
        <v>0</v>
      </c>
      <c r="Y71">
        <v>42592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25">
      <c r="A72" t="s">
        <v>151</v>
      </c>
      <c r="B72" t="s">
        <v>152</v>
      </c>
      <c r="C72">
        <v>290909.59999999992</v>
      </c>
      <c r="D72">
        <v>0</v>
      </c>
      <c r="E72">
        <v>1454546</v>
      </c>
      <c r="F72">
        <v>0</v>
      </c>
      <c r="G72">
        <v>0</v>
      </c>
      <c r="H72">
        <v>727273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727273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25">
      <c r="A73" t="s">
        <v>153</v>
      </c>
      <c r="B73" t="s">
        <v>154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25">
      <c r="A74" t="s">
        <v>155</v>
      </c>
      <c r="B74" t="s">
        <v>156</v>
      </c>
      <c r="C74">
        <v>326130569.07878792</v>
      </c>
      <c r="D74">
        <v>277925086</v>
      </c>
      <c r="E74">
        <v>14685186</v>
      </c>
      <c r="F74">
        <v>589370469.0787878</v>
      </c>
      <c r="G74">
        <v>0</v>
      </c>
      <c r="H74">
        <v>0</v>
      </c>
      <c r="I74">
        <v>5863636</v>
      </c>
      <c r="J74">
        <v>0</v>
      </c>
      <c r="K74">
        <v>14463636</v>
      </c>
      <c r="L74">
        <v>0</v>
      </c>
      <c r="M74">
        <v>8290909</v>
      </c>
      <c r="N74">
        <v>1954545</v>
      </c>
      <c r="O74">
        <v>30772727</v>
      </c>
      <c r="P74">
        <v>0</v>
      </c>
      <c r="Q74">
        <v>15654548</v>
      </c>
      <c r="R74">
        <v>2045455</v>
      </c>
      <c r="S74">
        <v>6879629</v>
      </c>
      <c r="T74">
        <v>0</v>
      </c>
      <c r="U74">
        <v>42592593</v>
      </c>
      <c r="V74">
        <v>0</v>
      </c>
      <c r="W74">
        <v>0</v>
      </c>
      <c r="X74">
        <v>6657408</v>
      </c>
      <c r="Y74">
        <v>153407408</v>
      </c>
      <c r="Z74">
        <v>0</v>
      </c>
      <c r="AA74">
        <v>0</v>
      </c>
      <c r="AB74">
        <v>0</v>
      </c>
      <c r="AC74">
        <v>0</v>
      </c>
      <c r="AD74">
        <v>4027778</v>
      </c>
    </row>
    <row r="75" spans="1:30" x14ac:dyDescent="0.25">
      <c r="A75" t="s">
        <v>157</v>
      </c>
      <c r="B75" t="s">
        <v>158</v>
      </c>
      <c r="C75">
        <v>380760137.75098813</v>
      </c>
      <c r="D75">
        <v>223506480</v>
      </c>
      <c r="E75">
        <v>116966833</v>
      </c>
      <c r="F75">
        <v>487299784.75098813</v>
      </c>
      <c r="G75">
        <v>0</v>
      </c>
      <c r="H75">
        <v>0</v>
      </c>
      <c r="I75">
        <v>21854545</v>
      </c>
      <c r="J75">
        <v>0</v>
      </c>
      <c r="K75">
        <v>15727272</v>
      </c>
      <c r="L75">
        <v>7500000</v>
      </c>
      <c r="M75">
        <v>14909091</v>
      </c>
      <c r="N75">
        <v>20163636</v>
      </c>
      <c r="O75">
        <v>0</v>
      </c>
      <c r="P75">
        <v>3200000</v>
      </c>
      <c r="Q75">
        <v>20409091</v>
      </c>
      <c r="R75">
        <v>20800000</v>
      </c>
      <c r="S75">
        <v>44740741</v>
      </c>
      <c r="T75">
        <v>8703703</v>
      </c>
      <c r="U75">
        <v>29412037</v>
      </c>
      <c r="V75">
        <v>22479124</v>
      </c>
      <c r="W75">
        <v>36574074</v>
      </c>
      <c r="X75">
        <v>8250000</v>
      </c>
      <c r="Y75">
        <v>28444444</v>
      </c>
      <c r="Z75">
        <v>8648148</v>
      </c>
      <c r="AA75">
        <v>11435185</v>
      </c>
      <c r="AB75">
        <v>17222222</v>
      </c>
      <c r="AC75">
        <v>0</v>
      </c>
      <c r="AD75">
        <v>0</v>
      </c>
    </row>
    <row r="76" spans="1:30" x14ac:dyDescent="0.25">
      <c r="A76" t="s">
        <v>159</v>
      </c>
      <c r="B76" t="s">
        <v>160</v>
      </c>
      <c r="C76">
        <v>26539183.875</v>
      </c>
      <c r="D76">
        <v>52058922</v>
      </c>
      <c r="E76">
        <v>7181818</v>
      </c>
      <c r="F76">
        <v>71416287.875</v>
      </c>
      <c r="G76">
        <v>0</v>
      </c>
      <c r="H76">
        <v>0</v>
      </c>
      <c r="I76">
        <v>0</v>
      </c>
      <c r="J76">
        <v>0</v>
      </c>
      <c r="K76">
        <v>11181818</v>
      </c>
      <c r="L76">
        <v>7181818</v>
      </c>
      <c r="M76">
        <v>0</v>
      </c>
      <c r="N76">
        <v>0</v>
      </c>
      <c r="O76">
        <v>18136364</v>
      </c>
      <c r="P76">
        <v>0</v>
      </c>
      <c r="Q76">
        <v>0</v>
      </c>
      <c r="R76">
        <v>0</v>
      </c>
      <c r="S76">
        <v>8574074</v>
      </c>
      <c r="T76">
        <v>0</v>
      </c>
      <c r="U76">
        <v>8657407</v>
      </c>
      <c r="V76">
        <v>0</v>
      </c>
      <c r="W76">
        <v>0</v>
      </c>
      <c r="X76">
        <v>0</v>
      </c>
      <c r="Y76">
        <v>5509259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25">
      <c r="A77" t="s">
        <v>161</v>
      </c>
      <c r="B77" t="s">
        <v>162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25">
      <c r="A78" t="s">
        <v>163</v>
      </c>
      <c r="B78" t="s">
        <v>164</v>
      </c>
      <c r="C78">
        <v>229686983.59605911</v>
      </c>
      <c r="D78">
        <v>457237720</v>
      </c>
      <c r="E78">
        <v>165866496</v>
      </c>
      <c r="F78">
        <v>521058207.59605908</v>
      </c>
      <c r="G78">
        <v>14272727</v>
      </c>
      <c r="H78">
        <v>0</v>
      </c>
      <c r="I78">
        <v>52763635</v>
      </c>
      <c r="J78">
        <v>4263637</v>
      </c>
      <c r="K78">
        <v>28545455</v>
      </c>
      <c r="L78">
        <v>51581817</v>
      </c>
      <c r="M78">
        <v>42863637</v>
      </c>
      <c r="N78">
        <v>2872728</v>
      </c>
      <c r="O78">
        <v>14363636</v>
      </c>
      <c r="P78">
        <v>15827273</v>
      </c>
      <c r="Q78">
        <v>42999999</v>
      </c>
      <c r="R78">
        <v>29063641</v>
      </c>
      <c r="S78">
        <v>53604554</v>
      </c>
      <c r="T78">
        <v>3000001</v>
      </c>
      <c r="U78">
        <v>35787037</v>
      </c>
      <c r="V78">
        <v>7518519</v>
      </c>
      <c r="W78">
        <v>14166667</v>
      </c>
      <c r="X78">
        <v>1657407</v>
      </c>
      <c r="Y78">
        <v>75194442</v>
      </c>
      <c r="Z78">
        <v>8988889</v>
      </c>
      <c r="AA78">
        <v>53601857</v>
      </c>
      <c r="AB78">
        <v>4601852</v>
      </c>
      <c r="AC78">
        <v>29074074</v>
      </c>
      <c r="AD78">
        <v>36490732</v>
      </c>
    </row>
    <row r="79" spans="1:30" x14ac:dyDescent="0.25">
      <c r="A79" t="s">
        <v>165</v>
      </c>
      <c r="B79" t="s">
        <v>166</v>
      </c>
      <c r="C79">
        <v>31720934</v>
      </c>
      <c r="D79">
        <v>50669257</v>
      </c>
      <c r="E79">
        <v>10540909</v>
      </c>
      <c r="F79">
        <v>71849282</v>
      </c>
      <c r="G79">
        <v>9300000</v>
      </c>
      <c r="H79">
        <v>2072727</v>
      </c>
      <c r="I79">
        <v>8327272</v>
      </c>
      <c r="J79">
        <v>0</v>
      </c>
      <c r="K79">
        <v>0</v>
      </c>
      <c r="L79">
        <v>4618182</v>
      </c>
      <c r="M79">
        <v>5991818</v>
      </c>
      <c r="N79">
        <v>2000000</v>
      </c>
      <c r="O79">
        <v>0</v>
      </c>
      <c r="P79">
        <v>0</v>
      </c>
      <c r="Q79">
        <v>3890909</v>
      </c>
      <c r="R79">
        <v>0</v>
      </c>
      <c r="S79">
        <v>0</v>
      </c>
      <c r="T79">
        <v>0</v>
      </c>
      <c r="U79">
        <v>5944444</v>
      </c>
      <c r="V79">
        <v>0</v>
      </c>
      <c r="W79">
        <v>9222222</v>
      </c>
      <c r="X79">
        <v>0</v>
      </c>
      <c r="Y79">
        <v>7992592</v>
      </c>
      <c r="Z79">
        <v>0</v>
      </c>
      <c r="AA79">
        <v>0</v>
      </c>
      <c r="AB79">
        <v>1850000</v>
      </c>
      <c r="AC79">
        <v>0</v>
      </c>
      <c r="AD79">
        <v>0</v>
      </c>
    </row>
    <row r="80" spans="1:30" x14ac:dyDescent="0.25">
      <c r="A80" t="s">
        <v>167</v>
      </c>
      <c r="B80" t="s">
        <v>168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25">
      <c r="A81" t="s">
        <v>169</v>
      </c>
      <c r="B81" t="s">
        <v>170</v>
      </c>
      <c r="C81">
        <v>206655815.62329009</v>
      </c>
      <c r="D81">
        <v>190115827</v>
      </c>
      <c r="E81">
        <v>220837461</v>
      </c>
      <c r="F81">
        <v>175934181.62329009</v>
      </c>
      <c r="G81">
        <v>0</v>
      </c>
      <c r="H81">
        <v>409091</v>
      </c>
      <c r="I81">
        <v>0</v>
      </c>
      <c r="J81">
        <v>2227273</v>
      </c>
      <c r="K81">
        <v>0</v>
      </c>
      <c r="L81">
        <v>21100004</v>
      </c>
      <c r="M81">
        <v>28545455</v>
      </c>
      <c r="N81">
        <v>5340908</v>
      </c>
      <c r="O81">
        <v>0</v>
      </c>
      <c r="P81">
        <v>2072726</v>
      </c>
      <c r="Q81">
        <v>29200001</v>
      </c>
      <c r="R81">
        <v>11827273</v>
      </c>
      <c r="S81">
        <v>0</v>
      </c>
      <c r="T81">
        <v>2583334</v>
      </c>
      <c r="U81">
        <v>34490741</v>
      </c>
      <c r="V81">
        <v>36083333</v>
      </c>
      <c r="W81">
        <v>77083333</v>
      </c>
      <c r="X81">
        <v>31388886</v>
      </c>
      <c r="Y81">
        <v>0</v>
      </c>
      <c r="Z81">
        <v>7402778</v>
      </c>
      <c r="AA81">
        <v>0</v>
      </c>
      <c r="AB81">
        <v>59388889</v>
      </c>
      <c r="AC81">
        <v>20796297</v>
      </c>
      <c r="AD81">
        <v>41012966</v>
      </c>
    </row>
    <row r="82" spans="1:30" x14ac:dyDescent="0.25">
      <c r="A82" t="s">
        <v>171</v>
      </c>
      <c r="B82" t="s">
        <v>172</v>
      </c>
      <c r="C82">
        <v>200762128.11730209</v>
      </c>
      <c r="D82">
        <v>70370371</v>
      </c>
      <c r="E82">
        <v>52176320</v>
      </c>
      <c r="F82">
        <v>218956179.11730209</v>
      </c>
      <c r="G82">
        <v>0</v>
      </c>
      <c r="H82">
        <v>581818</v>
      </c>
      <c r="I82">
        <v>0</v>
      </c>
      <c r="J82">
        <v>0</v>
      </c>
      <c r="K82">
        <v>0</v>
      </c>
      <c r="L82">
        <v>10336361</v>
      </c>
      <c r="M82">
        <v>0</v>
      </c>
      <c r="N82">
        <v>1418182</v>
      </c>
      <c r="O82">
        <v>0</v>
      </c>
      <c r="P82">
        <v>4145455</v>
      </c>
      <c r="Q82">
        <v>0</v>
      </c>
      <c r="R82">
        <v>2696363</v>
      </c>
      <c r="S82">
        <v>0</v>
      </c>
      <c r="T82">
        <v>0</v>
      </c>
      <c r="U82">
        <v>40740741</v>
      </c>
      <c r="V82">
        <v>2453703</v>
      </c>
      <c r="W82">
        <v>29629630</v>
      </c>
      <c r="X82">
        <v>6018510</v>
      </c>
      <c r="Y82">
        <v>0</v>
      </c>
      <c r="Z82">
        <v>18396300</v>
      </c>
      <c r="AA82">
        <v>0</v>
      </c>
      <c r="AB82">
        <v>6129628</v>
      </c>
      <c r="AC82">
        <v>0</v>
      </c>
      <c r="AD82">
        <v>0</v>
      </c>
    </row>
    <row r="83" spans="1:30" x14ac:dyDescent="0.25">
      <c r="A83" t="s">
        <v>173</v>
      </c>
      <c r="B83" t="s">
        <v>174</v>
      </c>
      <c r="C83">
        <v>97363561.202380955</v>
      </c>
      <c r="D83">
        <v>64722221</v>
      </c>
      <c r="E83">
        <v>12817846</v>
      </c>
      <c r="F83">
        <v>149267936.20238101</v>
      </c>
      <c r="G83">
        <v>0</v>
      </c>
      <c r="H83">
        <v>0</v>
      </c>
      <c r="I83">
        <v>0</v>
      </c>
      <c r="J83">
        <v>0</v>
      </c>
      <c r="K83">
        <v>0</v>
      </c>
      <c r="L83">
        <v>609091</v>
      </c>
      <c r="M83">
        <v>0</v>
      </c>
      <c r="N83">
        <v>0</v>
      </c>
      <c r="O83">
        <v>0</v>
      </c>
      <c r="P83">
        <v>727273</v>
      </c>
      <c r="Q83">
        <v>0</v>
      </c>
      <c r="R83">
        <v>0</v>
      </c>
      <c r="S83">
        <v>0</v>
      </c>
      <c r="T83">
        <v>0</v>
      </c>
      <c r="U83">
        <v>10879629</v>
      </c>
      <c r="V83">
        <v>0</v>
      </c>
      <c r="W83">
        <v>53842592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11481482</v>
      </c>
    </row>
    <row r="84" spans="1:30" x14ac:dyDescent="0.25">
      <c r="A84" t="s">
        <v>175</v>
      </c>
      <c r="B84" t="s">
        <v>176</v>
      </c>
      <c r="C84">
        <v>18878450.199999999</v>
      </c>
      <c r="D84">
        <v>0</v>
      </c>
      <c r="E84">
        <v>12090910</v>
      </c>
      <c r="F84">
        <v>6787540.200000003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12090910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25">
      <c r="A85" t="s">
        <v>177</v>
      </c>
      <c r="B85" t="s">
        <v>178</v>
      </c>
      <c r="C85">
        <v>81028636.483870968</v>
      </c>
      <c r="D85">
        <v>41877105</v>
      </c>
      <c r="E85">
        <v>22589222</v>
      </c>
      <c r="F85">
        <v>100316519.483871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33636364</v>
      </c>
      <c r="N85">
        <v>0</v>
      </c>
      <c r="O85">
        <v>0</v>
      </c>
      <c r="P85">
        <v>5181818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17407404</v>
      </c>
      <c r="Y85">
        <v>0</v>
      </c>
      <c r="Z85">
        <v>0</v>
      </c>
      <c r="AA85">
        <v>8240741</v>
      </c>
      <c r="AB85">
        <v>0</v>
      </c>
      <c r="AC85">
        <v>0</v>
      </c>
      <c r="AD85">
        <v>0</v>
      </c>
    </row>
    <row r="86" spans="1:30" x14ac:dyDescent="0.25">
      <c r="A86" t="s">
        <v>179</v>
      </c>
      <c r="B86" t="s">
        <v>180</v>
      </c>
      <c r="C86">
        <v>28108582.16</v>
      </c>
      <c r="D86">
        <v>1081818</v>
      </c>
      <c r="E86">
        <v>0</v>
      </c>
      <c r="F86">
        <v>29190400.16</v>
      </c>
      <c r="G86">
        <v>0</v>
      </c>
      <c r="H86">
        <v>0</v>
      </c>
      <c r="I86">
        <v>0</v>
      </c>
      <c r="J86">
        <v>0</v>
      </c>
      <c r="K86">
        <v>1081818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25">
      <c r="A87" t="s">
        <v>181</v>
      </c>
      <c r="B87" t="s">
        <v>182</v>
      </c>
      <c r="C87">
        <v>72005538.572559372</v>
      </c>
      <c r="D87">
        <v>76714479</v>
      </c>
      <c r="E87">
        <v>106205049</v>
      </c>
      <c r="F87">
        <v>42514968.572559372</v>
      </c>
      <c r="G87">
        <v>0</v>
      </c>
      <c r="H87">
        <v>0</v>
      </c>
      <c r="I87">
        <v>0</v>
      </c>
      <c r="J87">
        <v>0</v>
      </c>
      <c r="K87">
        <v>24172727</v>
      </c>
      <c r="L87">
        <v>6036363</v>
      </c>
      <c r="M87">
        <v>3727273</v>
      </c>
      <c r="N87">
        <v>24163636</v>
      </c>
      <c r="O87">
        <v>10927273</v>
      </c>
      <c r="P87">
        <v>9409091</v>
      </c>
      <c r="Q87">
        <v>8590909</v>
      </c>
      <c r="R87">
        <v>14318182</v>
      </c>
      <c r="S87">
        <v>7675926</v>
      </c>
      <c r="T87">
        <v>9935185</v>
      </c>
      <c r="U87">
        <v>4962963</v>
      </c>
      <c r="V87">
        <v>1435185</v>
      </c>
      <c r="W87">
        <v>0</v>
      </c>
      <c r="X87">
        <v>2722222</v>
      </c>
      <c r="Y87">
        <v>11564815</v>
      </c>
      <c r="Z87">
        <v>5972222</v>
      </c>
      <c r="AA87">
        <v>5092593</v>
      </c>
      <c r="AB87">
        <v>23592593</v>
      </c>
      <c r="AC87">
        <v>0</v>
      </c>
      <c r="AD87">
        <v>8620370</v>
      </c>
    </row>
    <row r="88" spans="1:30" x14ac:dyDescent="0.25">
      <c r="A88" t="s">
        <v>183</v>
      </c>
      <c r="B88" t="s">
        <v>184</v>
      </c>
      <c r="C88">
        <v>2443182.9545454532</v>
      </c>
      <c r="D88">
        <v>0</v>
      </c>
      <c r="E88">
        <v>0</v>
      </c>
      <c r="F88">
        <v>2443182.9545454532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25">
      <c r="A89" t="s">
        <v>185</v>
      </c>
      <c r="B89" t="s">
        <v>186</v>
      </c>
      <c r="C89">
        <v>434503136.74628812</v>
      </c>
      <c r="D89">
        <v>194490741</v>
      </c>
      <c r="E89">
        <v>370732339</v>
      </c>
      <c r="F89">
        <v>258261538.74628809</v>
      </c>
      <c r="G89">
        <v>0</v>
      </c>
      <c r="H89">
        <v>0</v>
      </c>
      <c r="I89">
        <v>0</v>
      </c>
      <c r="J89">
        <v>5636365</v>
      </c>
      <c r="K89">
        <v>0</v>
      </c>
      <c r="L89">
        <v>28236343</v>
      </c>
      <c r="M89">
        <v>0</v>
      </c>
      <c r="N89">
        <v>1172727</v>
      </c>
      <c r="O89">
        <v>0</v>
      </c>
      <c r="P89">
        <v>11645457</v>
      </c>
      <c r="Q89">
        <v>0</v>
      </c>
      <c r="R89">
        <v>86263654</v>
      </c>
      <c r="S89">
        <v>0</v>
      </c>
      <c r="T89">
        <v>6500002</v>
      </c>
      <c r="U89">
        <v>71712964</v>
      </c>
      <c r="V89">
        <v>149712967</v>
      </c>
      <c r="W89">
        <v>122777777</v>
      </c>
      <c r="X89">
        <v>57074080</v>
      </c>
      <c r="Y89">
        <v>0</v>
      </c>
      <c r="Z89">
        <v>3879630</v>
      </c>
      <c r="AA89">
        <v>0</v>
      </c>
      <c r="AB89">
        <v>8166670</v>
      </c>
      <c r="AC89">
        <v>0</v>
      </c>
      <c r="AD89">
        <v>12444444</v>
      </c>
    </row>
    <row r="90" spans="1:30" x14ac:dyDescent="0.25">
      <c r="A90" t="s">
        <v>187</v>
      </c>
      <c r="B90" t="s">
        <v>188</v>
      </c>
      <c r="C90">
        <v>314129124.34957021</v>
      </c>
      <c r="D90">
        <v>177550842</v>
      </c>
      <c r="E90">
        <v>260872720</v>
      </c>
      <c r="F90">
        <v>230807246.34957021</v>
      </c>
      <c r="G90">
        <v>0</v>
      </c>
      <c r="H90">
        <v>2909090</v>
      </c>
      <c r="I90">
        <v>0</v>
      </c>
      <c r="J90">
        <v>1363636</v>
      </c>
      <c r="K90">
        <v>0</v>
      </c>
      <c r="L90">
        <v>15672733</v>
      </c>
      <c r="M90">
        <v>29318182</v>
      </c>
      <c r="N90">
        <v>12363637</v>
      </c>
      <c r="O90">
        <v>0</v>
      </c>
      <c r="P90">
        <v>17818181</v>
      </c>
      <c r="Q90">
        <v>7436364</v>
      </c>
      <c r="R90">
        <v>33045454</v>
      </c>
      <c r="S90">
        <v>1314815</v>
      </c>
      <c r="T90">
        <v>21370370</v>
      </c>
      <c r="U90">
        <v>38675925</v>
      </c>
      <c r="V90">
        <v>46666666</v>
      </c>
      <c r="W90">
        <v>99731482</v>
      </c>
      <c r="X90">
        <v>64851847</v>
      </c>
      <c r="Y90">
        <v>1074074</v>
      </c>
      <c r="Z90">
        <v>23288883</v>
      </c>
      <c r="AA90">
        <v>0</v>
      </c>
      <c r="AB90">
        <v>19750001</v>
      </c>
      <c r="AC90">
        <v>0</v>
      </c>
      <c r="AD90">
        <v>1772222</v>
      </c>
    </row>
    <row r="91" spans="1:30" x14ac:dyDescent="0.25">
      <c r="A91" t="s">
        <v>189</v>
      </c>
      <c r="B91" t="s">
        <v>190</v>
      </c>
      <c r="C91">
        <v>148907776.9923954</v>
      </c>
      <c r="D91">
        <v>153826766</v>
      </c>
      <c r="E91">
        <v>49536869</v>
      </c>
      <c r="F91">
        <v>253197673.9923954</v>
      </c>
      <c r="G91">
        <v>0</v>
      </c>
      <c r="H91">
        <v>1590909</v>
      </c>
      <c r="I91">
        <v>0</v>
      </c>
      <c r="J91">
        <v>0</v>
      </c>
      <c r="K91">
        <v>0</v>
      </c>
      <c r="L91">
        <v>5209091</v>
      </c>
      <c r="M91">
        <v>0</v>
      </c>
      <c r="N91">
        <v>0</v>
      </c>
      <c r="O91">
        <v>25536363</v>
      </c>
      <c r="P91">
        <v>4763637</v>
      </c>
      <c r="Q91">
        <v>5318181</v>
      </c>
      <c r="R91">
        <v>10945455</v>
      </c>
      <c r="S91">
        <v>10972222</v>
      </c>
      <c r="T91">
        <v>0</v>
      </c>
      <c r="U91">
        <v>27037037</v>
      </c>
      <c r="V91">
        <v>9722222</v>
      </c>
      <c r="W91">
        <v>81944444</v>
      </c>
      <c r="X91">
        <v>5092593</v>
      </c>
      <c r="Y91">
        <v>0</v>
      </c>
      <c r="Z91">
        <v>2916666</v>
      </c>
      <c r="AA91">
        <v>3018519</v>
      </c>
      <c r="AB91">
        <v>7120370</v>
      </c>
      <c r="AC91">
        <v>0</v>
      </c>
      <c r="AD91">
        <v>2175926</v>
      </c>
    </row>
    <row r="92" spans="1:30" x14ac:dyDescent="0.25">
      <c r="A92" t="s">
        <v>191</v>
      </c>
      <c r="B92" t="s">
        <v>192</v>
      </c>
      <c r="C92">
        <v>53955034.128078818</v>
      </c>
      <c r="D92">
        <v>40968670</v>
      </c>
      <c r="E92">
        <v>63947343</v>
      </c>
      <c r="F92">
        <v>30976361.128078818</v>
      </c>
      <c r="G92">
        <v>5045455</v>
      </c>
      <c r="H92">
        <v>2239091</v>
      </c>
      <c r="I92">
        <v>0</v>
      </c>
      <c r="J92">
        <v>3254545</v>
      </c>
      <c r="K92">
        <v>4954545</v>
      </c>
      <c r="L92">
        <v>19890909</v>
      </c>
      <c r="M92">
        <v>11436365</v>
      </c>
      <c r="N92">
        <v>2390913</v>
      </c>
      <c r="O92">
        <v>0</v>
      </c>
      <c r="P92">
        <v>11609091</v>
      </c>
      <c r="Q92">
        <v>8805454</v>
      </c>
      <c r="R92">
        <v>11809091</v>
      </c>
      <c r="S92">
        <v>3444444</v>
      </c>
      <c r="T92">
        <v>0</v>
      </c>
      <c r="U92">
        <v>0</v>
      </c>
      <c r="V92">
        <v>0</v>
      </c>
      <c r="W92">
        <v>0</v>
      </c>
      <c r="X92">
        <v>6120370</v>
      </c>
      <c r="Y92">
        <v>6898148</v>
      </c>
      <c r="Z92">
        <v>5018518</v>
      </c>
      <c r="AA92">
        <v>0</v>
      </c>
      <c r="AB92">
        <v>1225926</v>
      </c>
      <c r="AC92">
        <v>384259</v>
      </c>
      <c r="AD92">
        <v>388889</v>
      </c>
    </row>
    <row r="93" spans="1:30" x14ac:dyDescent="0.25">
      <c r="A93" t="s">
        <v>193</v>
      </c>
      <c r="B93" t="s">
        <v>194</v>
      </c>
      <c r="C93">
        <v>59721325.432558149</v>
      </c>
      <c r="D93">
        <v>56378787</v>
      </c>
      <c r="E93">
        <v>62271885</v>
      </c>
      <c r="F93">
        <v>53828227.432558149</v>
      </c>
      <c r="G93">
        <v>0</v>
      </c>
      <c r="H93">
        <v>1263636</v>
      </c>
      <c r="I93">
        <v>7909091</v>
      </c>
      <c r="J93">
        <v>2418182</v>
      </c>
      <c r="K93">
        <v>6436363</v>
      </c>
      <c r="L93">
        <v>6472727</v>
      </c>
      <c r="M93">
        <v>15527273</v>
      </c>
      <c r="N93">
        <v>7127272</v>
      </c>
      <c r="O93">
        <v>0</v>
      </c>
      <c r="P93">
        <v>6336364</v>
      </c>
      <c r="Q93">
        <v>11672728</v>
      </c>
      <c r="R93">
        <v>15200001</v>
      </c>
      <c r="S93">
        <v>6175925</v>
      </c>
      <c r="T93">
        <v>3129629</v>
      </c>
      <c r="U93">
        <v>4675926</v>
      </c>
      <c r="V93">
        <v>5046296</v>
      </c>
      <c r="W93">
        <v>0</v>
      </c>
      <c r="X93">
        <v>4166667</v>
      </c>
      <c r="Y93">
        <v>0</v>
      </c>
      <c r="Z93">
        <v>8750000</v>
      </c>
      <c r="AA93">
        <v>0</v>
      </c>
      <c r="AB93">
        <v>0</v>
      </c>
      <c r="AC93">
        <v>3981481</v>
      </c>
      <c r="AD93">
        <v>2361111</v>
      </c>
    </row>
    <row r="94" spans="1:30" x14ac:dyDescent="0.25">
      <c r="A94" t="s">
        <v>195</v>
      </c>
      <c r="B94" t="s">
        <v>196</v>
      </c>
      <c r="C94">
        <v>140157965.61556071</v>
      </c>
      <c r="D94">
        <v>95795281</v>
      </c>
      <c r="E94">
        <v>88746769</v>
      </c>
      <c r="F94">
        <v>147206477.61556071</v>
      </c>
      <c r="G94">
        <v>0</v>
      </c>
      <c r="H94">
        <v>463636</v>
      </c>
      <c r="I94">
        <v>17599998</v>
      </c>
      <c r="J94">
        <v>1500000</v>
      </c>
      <c r="K94">
        <v>0</v>
      </c>
      <c r="L94">
        <v>11320001</v>
      </c>
      <c r="M94">
        <v>0</v>
      </c>
      <c r="N94">
        <v>1936364</v>
      </c>
      <c r="O94">
        <v>1363636</v>
      </c>
      <c r="P94">
        <v>4263636</v>
      </c>
      <c r="Q94">
        <v>17590910</v>
      </c>
      <c r="R94">
        <v>33290909</v>
      </c>
      <c r="S94">
        <v>9907407</v>
      </c>
      <c r="T94">
        <v>2268519</v>
      </c>
      <c r="U94">
        <v>13240741</v>
      </c>
      <c r="V94">
        <v>3425926</v>
      </c>
      <c r="W94">
        <v>15138886</v>
      </c>
      <c r="X94">
        <v>1666666</v>
      </c>
      <c r="Y94">
        <v>17638888</v>
      </c>
      <c r="Z94">
        <v>10175925</v>
      </c>
      <c r="AA94">
        <v>0</v>
      </c>
      <c r="AB94">
        <v>0</v>
      </c>
      <c r="AC94">
        <v>3314815</v>
      </c>
      <c r="AD94">
        <v>18435187</v>
      </c>
    </row>
    <row r="95" spans="1:30" x14ac:dyDescent="0.25">
      <c r="A95" t="s">
        <v>197</v>
      </c>
      <c r="B95" t="s">
        <v>198</v>
      </c>
      <c r="C95">
        <v>4204547</v>
      </c>
      <c r="D95">
        <v>1272727</v>
      </c>
      <c r="E95">
        <v>2388552</v>
      </c>
      <c r="F95">
        <v>3088722</v>
      </c>
      <c r="G95">
        <v>0</v>
      </c>
      <c r="H95">
        <v>1200000</v>
      </c>
      <c r="I95">
        <v>0</v>
      </c>
      <c r="J95">
        <v>0</v>
      </c>
      <c r="K95">
        <v>0</v>
      </c>
      <c r="L95">
        <v>0</v>
      </c>
      <c r="M95">
        <v>1272727</v>
      </c>
      <c r="N95">
        <v>0</v>
      </c>
      <c r="O95">
        <v>0</v>
      </c>
      <c r="P95">
        <v>409091</v>
      </c>
      <c r="Q95">
        <v>0</v>
      </c>
      <c r="R95">
        <v>409091</v>
      </c>
      <c r="S95">
        <v>0</v>
      </c>
      <c r="T95">
        <v>370370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25">
      <c r="A96" t="s">
        <v>199</v>
      </c>
      <c r="B96" t="s">
        <v>200</v>
      </c>
      <c r="C96">
        <v>11782466.08196721</v>
      </c>
      <c r="D96">
        <v>13287038</v>
      </c>
      <c r="E96">
        <v>16997985</v>
      </c>
      <c r="F96">
        <v>8071519.0819672123</v>
      </c>
      <c r="G96">
        <v>0</v>
      </c>
      <c r="H96">
        <v>681818</v>
      </c>
      <c r="I96">
        <v>0</v>
      </c>
      <c r="J96">
        <v>772730</v>
      </c>
      <c r="K96">
        <v>0</v>
      </c>
      <c r="L96">
        <v>5590911</v>
      </c>
      <c r="M96">
        <v>0</v>
      </c>
      <c r="N96">
        <v>327273</v>
      </c>
      <c r="O96">
        <v>0</v>
      </c>
      <c r="P96">
        <v>736364</v>
      </c>
      <c r="Q96">
        <v>0</v>
      </c>
      <c r="R96">
        <v>0</v>
      </c>
      <c r="S96">
        <v>0</v>
      </c>
      <c r="T96">
        <v>0</v>
      </c>
      <c r="U96">
        <v>3842593</v>
      </c>
      <c r="V96">
        <v>0</v>
      </c>
      <c r="W96">
        <v>0</v>
      </c>
      <c r="X96">
        <v>3009259</v>
      </c>
      <c r="Y96">
        <v>4166667</v>
      </c>
      <c r="Z96">
        <v>833333</v>
      </c>
      <c r="AA96">
        <v>0</v>
      </c>
      <c r="AB96">
        <v>92593</v>
      </c>
      <c r="AC96">
        <v>5277778</v>
      </c>
      <c r="AD96">
        <v>4953704</v>
      </c>
    </row>
    <row r="97" spans="1:30" x14ac:dyDescent="0.25">
      <c r="A97" t="s">
        <v>201</v>
      </c>
      <c r="B97" t="s">
        <v>202</v>
      </c>
      <c r="C97">
        <v>152256981.4361957</v>
      </c>
      <c r="D97">
        <v>108136225</v>
      </c>
      <c r="E97">
        <v>32840569</v>
      </c>
      <c r="F97">
        <v>227552637.4361957</v>
      </c>
      <c r="G97">
        <v>4481817</v>
      </c>
      <c r="H97">
        <v>200000</v>
      </c>
      <c r="I97">
        <v>21527282</v>
      </c>
      <c r="J97">
        <v>931821</v>
      </c>
      <c r="K97">
        <v>8254554</v>
      </c>
      <c r="L97">
        <v>12081825</v>
      </c>
      <c r="M97">
        <v>26209093</v>
      </c>
      <c r="N97">
        <v>2018181</v>
      </c>
      <c r="O97">
        <v>0</v>
      </c>
      <c r="P97">
        <v>5345444</v>
      </c>
      <c r="Q97">
        <v>8672730</v>
      </c>
      <c r="R97">
        <v>10781817</v>
      </c>
      <c r="S97">
        <v>8342593</v>
      </c>
      <c r="T97">
        <v>879630</v>
      </c>
      <c r="U97">
        <v>0</v>
      </c>
      <c r="V97">
        <v>0</v>
      </c>
      <c r="W97">
        <v>9509265</v>
      </c>
      <c r="X97">
        <v>231481</v>
      </c>
      <c r="Y97">
        <v>5069445</v>
      </c>
      <c r="Z97">
        <v>370370</v>
      </c>
      <c r="AA97">
        <v>4958335</v>
      </c>
      <c r="AB97">
        <v>0</v>
      </c>
      <c r="AC97">
        <v>11111111</v>
      </c>
      <c r="AD97">
        <v>0</v>
      </c>
    </row>
    <row r="98" spans="1:30" x14ac:dyDescent="0.25">
      <c r="A98" t="s">
        <v>203</v>
      </c>
      <c r="B98" t="s">
        <v>204</v>
      </c>
      <c r="C98">
        <v>46855272.620727673</v>
      </c>
      <c r="D98">
        <v>56228115</v>
      </c>
      <c r="E98">
        <v>32510588</v>
      </c>
      <c r="F98">
        <v>70572799.620727673</v>
      </c>
      <c r="G98">
        <v>0</v>
      </c>
      <c r="H98">
        <v>0</v>
      </c>
      <c r="I98">
        <v>11454546</v>
      </c>
      <c r="J98">
        <v>3381816</v>
      </c>
      <c r="K98">
        <v>5909091</v>
      </c>
      <c r="L98">
        <v>4818184</v>
      </c>
      <c r="M98">
        <v>0</v>
      </c>
      <c r="N98">
        <v>545454</v>
      </c>
      <c r="O98">
        <v>11818182</v>
      </c>
      <c r="P98">
        <v>545454</v>
      </c>
      <c r="Q98">
        <v>0</v>
      </c>
      <c r="R98">
        <v>11886358</v>
      </c>
      <c r="S98">
        <v>0</v>
      </c>
      <c r="T98">
        <v>1481480</v>
      </c>
      <c r="U98">
        <v>7833334</v>
      </c>
      <c r="V98">
        <v>1111110</v>
      </c>
      <c r="W98">
        <v>11111111</v>
      </c>
      <c r="X98">
        <v>1555554</v>
      </c>
      <c r="Y98">
        <v>694444</v>
      </c>
      <c r="Z98">
        <v>370370</v>
      </c>
      <c r="AA98">
        <v>0</v>
      </c>
      <c r="AB98">
        <v>0</v>
      </c>
      <c r="AC98">
        <v>7407407</v>
      </c>
      <c r="AD98">
        <v>6814808</v>
      </c>
    </row>
    <row r="99" spans="1:30" x14ac:dyDescent="0.25">
      <c r="A99" t="s">
        <v>205</v>
      </c>
      <c r="B99" t="s">
        <v>206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25">
      <c r="A100" t="s">
        <v>207</v>
      </c>
      <c r="B100" t="s">
        <v>208</v>
      </c>
      <c r="C100">
        <v>15908150.758620691</v>
      </c>
      <c r="D100">
        <v>35081819</v>
      </c>
      <c r="E100">
        <v>47654546</v>
      </c>
      <c r="F100">
        <v>3335423.7586206938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31990909</v>
      </c>
      <c r="P100">
        <v>47654546</v>
      </c>
      <c r="Q100">
        <v>3090910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 x14ac:dyDescent="0.25">
      <c r="A101" t="s">
        <v>209</v>
      </c>
      <c r="B101" t="s">
        <v>210</v>
      </c>
      <c r="C101">
        <v>3583670</v>
      </c>
      <c r="D101">
        <v>4793603</v>
      </c>
      <c r="E101">
        <v>1157407</v>
      </c>
      <c r="F101">
        <v>7219866</v>
      </c>
      <c r="G101">
        <v>1645455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1157407</v>
      </c>
      <c r="AA101">
        <v>0</v>
      </c>
      <c r="AB101">
        <v>0</v>
      </c>
      <c r="AC101">
        <v>3148148</v>
      </c>
      <c r="AD101">
        <v>0</v>
      </c>
    </row>
    <row r="102" spans="1:30" x14ac:dyDescent="0.25">
      <c r="A102" t="s">
        <v>211</v>
      </c>
      <c r="B102" t="s">
        <v>212</v>
      </c>
      <c r="C102">
        <v>122490690.6692913</v>
      </c>
      <c r="D102">
        <v>11905304</v>
      </c>
      <c r="E102">
        <v>3465993</v>
      </c>
      <c r="F102">
        <v>130930001.6692913</v>
      </c>
      <c r="G102">
        <v>0</v>
      </c>
      <c r="H102">
        <v>545454</v>
      </c>
      <c r="I102">
        <v>0</v>
      </c>
      <c r="J102">
        <v>0</v>
      </c>
      <c r="K102">
        <v>1800000</v>
      </c>
      <c r="L102">
        <v>1963636</v>
      </c>
      <c r="M102">
        <v>0</v>
      </c>
      <c r="N102">
        <v>0</v>
      </c>
      <c r="O102">
        <v>0</v>
      </c>
      <c r="P102">
        <v>145455</v>
      </c>
      <c r="Q102">
        <v>6313637</v>
      </c>
      <c r="R102">
        <v>181818</v>
      </c>
      <c r="S102">
        <v>0</v>
      </c>
      <c r="T102">
        <v>629630</v>
      </c>
      <c r="U102">
        <v>2268519</v>
      </c>
      <c r="V102">
        <v>0</v>
      </c>
      <c r="W102">
        <v>1523148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1:30" x14ac:dyDescent="0.25">
      <c r="A103" t="s">
        <v>213</v>
      </c>
      <c r="B103" t="s">
        <v>214</v>
      </c>
      <c r="C103">
        <v>2309091</v>
      </c>
      <c r="D103">
        <v>0</v>
      </c>
      <c r="E103">
        <v>0</v>
      </c>
      <c r="F103">
        <v>2309091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25">
      <c r="A104" t="s">
        <v>215</v>
      </c>
      <c r="B104" t="s">
        <v>216</v>
      </c>
      <c r="C104">
        <v>252727643.46378449</v>
      </c>
      <c r="D104">
        <v>152269369</v>
      </c>
      <c r="E104">
        <v>129441642</v>
      </c>
      <c r="F104">
        <v>275555370.46378452</v>
      </c>
      <c r="G104">
        <v>3218182</v>
      </c>
      <c r="H104">
        <v>663636</v>
      </c>
      <c r="I104">
        <v>9148181</v>
      </c>
      <c r="J104">
        <v>5350000</v>
      </c>
      <c r="K104">
        <v>19176356</v>
      </c>
      <c r="L104">
        <v>22527272</v>
      </c>
      <c r="M104">
        <v>10745456</v>
      </c>
      <c r="N104">
        <v>31067281</v>
      </c>
      <c r="O104">
        <v>15250001</v>
      </c>
      <c r="P104">
        <v>5677272</v>
      </c>
      <c r="Q104">
        <v>9915446</v>
      </c>
      <c r="R104">
        <v>8818183</v>
      </c>
      <c r="S104">
        <v>4166676</v>
      </c>
      <c r="T104">
        <v>5291668</v>
      </c>
      <c r="U104">
        <v>26119442</v>
      </c>
      <c r="V104">
        <v>5416668</v>
      </c>
      <c r="W104">
        <v>9240741</v>
      </c>
      <c r="X104">
        <v>23052797</v>
      </c>
      <c r="Y104">
        <v>31439816</v>
      </c>
      <c r="Z104">
        <v>9947229</v>
      </c>
      <c r="AA104">
        <v>2361111</v>
      </c>
      <c r="AB104">
        <v>4287037</v>
      </c>
      <c r="AC104">
        <v>11487961</v>
      </c>
      <c r="AD104">
        <v>7342599</v>
      </c>
    </row>
    <row r="105" spans="1:30" x14ac:dyDescent="0.25">
      <c r="A105" t="s">
        <v>217</v>
      </c>
      <c r="B105" t="s">
        <v>218</v>
      </c>
      <c r="C105">
        <v>92197164.992982447</v>
      </c>
      <c r="D105">
        <v>65183331</v>
      </c>
      <c r="E105">
        <v>11471376</v>
      </c>
      <c r="F105">
        <v>145909119.99298239</v>
      </c>
      <c r="G105">
        <v>0</v>
      </c>
      <c r="H105">
        <v>0</v>
      </c>
      <c r="I105">
        <v>0</v>
      </c>
      <c r="J105">
        <v>0</v>
      </c>
      <c r="K105">
        <v>6222727</v>
      </c>
      <c r="L105">
        <v>1363635</v>
      </c>
      <c r="M105">
        <v>8345455</v>
      </c>
      <c r="N105">
        <v>0</v>
      </c>
      <c r="O105">
        <v>3281818</v>
      </c>
      <c r="P105">
        <v>1681816</v>
      </c>
      <c r="Q105">
        <v>0</v>
      </c>
      <c r="R105">
        <v>0</v>
      </c>
      <c r="S105">
        <v>4888888</v>
      </c>
      <c r="T105">
        <v>0</v>
      </c>
      <c r="U105">
        <v>8462963</v>
      </c>
      <c r="V105">
        <v>0</v>
      </c>
      <c r="W105">
        <v>18212963</v>
      </c>
      <c r="X105">
        <v>398148</v>
      </c>
      <c r="Y105">
        <v>15768517</v>
      </c>
      <c r="Z105">
        <v>6851852</v>
      </c>
      <c r="AA105">
        <v>0</v>
      </c>
      <c r="AB105">
        <v>777777</v>
      </c>
      <c r="AC105">
        <v>0</v>
      </c>
      <c r="AD105">
        <v>398148</v>
      </c>
    </row>
    <row r="106" spans="1:30" x14ac:dyDescent="0.25">
      <c r="A106" t="s">
        <v>219</v>
      </c>
      <c r="B106" t="s">
        <v>220</v>
      </c>
      <c r="C106">
        <v>248350988.6902304</v>
      </c>
      <c r="D106">
        <v>305286625</v>
      </c>
      <c r="E106">
        <v>97889247</v>
      </c>
      <c r="F106">
        <v>455748366.69023043</v>
      </c>
      <c r="G106">
        <v>37037</v>
      </c>
      <c r="H106">
        <v>518182</v>
      </c>
      <c r="I106">
        <v>0</v>
      </c>
      <c r="J106">
        <v>581819</v>
      </c>
      <c r="K106">
        <v>0</v>
      </c>
      <c r="L106">
        <v>10190911</v>
      </c>
      <c r="M106">
        <v>4122727</v>
      </c>
      <c r="N106">
        <v>8427271</v>
      </c>
      <c r="O106">
        <v>0</v>
      </c>
      <c r="P106">
        <v>8263642</v>
      </c>
      <c r="Q106">
        <v>0</v>
      </c>
      <c r="R106">
        <v>6400024</v>
      </c>
      <c r="S106">
        <v>53628704</v>
      </c>
      <c r="T106">
        <v>1990736</v>
      </c>
      <c r="U106">
        <v>43937966</v>
      </c>
      <c r="V106">
        <v>9111110</v>
      </c>
      <c r="W106">
        <v>141094448</v>
      </c>
      <c r="X106">
        <v>16638891</v>
      </c>
      <c r="Y106">
        <v>62465743</v>
      </c>
      <c r="Z106">
        <v>7597223</v>
      </c>
      <c r="AA106">
        <v>0</v>
      </c>
      <c r="AB106">
        <v>10363887</v>
      </c>
      <c r="AC106">
        <v>0</v>
      </c>
      <c r="AD106">
        <v>17805551</v>
      </c>
    </row>
    <row r="107" spans="1:30" x14ac:dyDescent="0.25">
      <c r="A107" t="s">
        <v>221</v>
      </c>
      <c r="B107" t="s">
        <v>222</v>
      </c>
      <c r="C107">
        <v>64068345.329129368</v>
      </c>
      <c r="D107">
        <v>56325885</v>
      </c>
      <c r="E107">
        <v>123241495</v>
      </c>
      <c r="F107">
        <v>0</v>
      </c>
      <c r="G107">
        <v>2581818</v>
      </c>
      <c r="H107">
        <v>672728</v>
      </c>
      <c r="I107">
        <v>3709091</v>
      </c>
      <c r="J107">
        <v>5227281</v>
      </c>
      <c r="K107">
        <v>9856362</v>
      </c>
      <c r="L107">
        <v>35327282</v>
      </c>
      <c r="M107">
        <v>0</v>
      </c>
      <c r="N107">
        <v>31475458</v>
      </c>
      <c r="O107">
        <v>8031817</v>
      </c>
      <c r="P107">
        <v>5227274</v>
      </c>
      <c r="Q107">
        <v>5572727</v>
      </c>
      <c r="R107">
        <v>11581818</v>
      </c>
      <c r="S107">
        <v>6999996</v>
      </c>
      <c r="T107">
        <v>3287039</v>
      </c>
      <c r="U107">
        <v>6444445</v>
      </c>
      <c r="V107">
        <v>5777782</v>
      </c>
      <c r="W107">
        <v>2592593</v>
      </c>
      <c r="X107">
        <v>10287058</v>
      </c>
      <c r="Y107">
        <v>3888888</v>
      </c>
      <c r="Z107">
        <v>3787037</v>
      </c>
      <c r="AA107">
        <v>2759259</v>
      </c>
      <c r="AB107">
        <v>1111111</v>
      </c>
      <c r="AC107">
        <v>3888889</v>
      </c>
      <c r="AD107">
        <v>9479627</v>
      </c>
    </row>
    <row r="108" spans="1:30" x14ac:dyDescent="0.25">
      <c r="A108" t="s">
        <v>223</v>
      </c>
      <c r="B108" t="s">
        <v>224</v>
      </c>
      <c r="C108">
        <v>3124849.75</v>
      </c>
      <c r="D108">
        <v>2526361</v>
      </c>
      <c r="E108">
        <v>1089091</v>
      </c>
      <c r="F108">
        <v>4562119.75</v>
      </c>
      <c r="G108">
        <v>0</v>
      </c>
      <c r="H108">
        <v>0</v>
      </c>
      <c r="I108">
        <v>0</v>
      </c>
      <c r="J108">
        <v>0</v>
      </c>
      <c r="K108">
        <v>2526361</v>
      </c>
      <c r="L108">
        <v>590909</v>
      </c>
      <c r="M108">
        <v>0</v>
      </c>
      <c r="N108">
        <v>0</v>
      </c>
      <c r="O108">
        <v>0</v>
      </c>
      <c r="P108">
        <v>498182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25">
      <c r="A109" t="s">
        <v>225</v>
      </c>
      <c r="B109" t="s">
        <v>226</v>
      </c>
      <c r="C109">
        <v>87669234.850046858</v>
      </c>
      <c r="D109">
        <v>40425196</v>
      </c>
      <c r="E109">
        <v>42208733</v>
      </c>
      <c r="F109">
        <v>85885697.850046858</v>
      </c>
      <c r="G109">
        <v>600000</v>
      </c>
      <c r="H109">
        <v>936363</v>
      </c>
      <c r="I109">
        <v>9513637</v>
      </c>
      <c r="J109">
        <v>0</v>
      </c>
      <c r="K109">
        <v>4582735</v>
      </c>
      <c r="L109">
        <v>10704529</v>
      </c>
      <c r="M109">
        <v>3550911</v>
      </c>
      <c r="N109">
        <v>6836360</v>
      </c>
      <c r="O109">
        <v>4004545</v>
      </c>
      <c r="P109">
        <v>272727</v>
      </c>
      <c r="Q109">
        <v>13738182</v>
      </c>
      <c r="R109">
        <v>20727273</v>
      </c>
      <c r="S109">
        <v>0</v>
      </c>
      <c r="T109">
        <v>0</v>
      </c>
      <c r="U109">
        <v>2250000</v>
      </c>
      <c r="V109">
        <v>648148</v>
      </c>
      <c r="W109">
        <v>0</v>
      </c>
      <c r="X109">
        <v>231481</v>
      </c>
      <c r="Y109">
        <v>2185186</v>
      </c>
      <c r="Z109">
        <v>0</v>
      </c>
      <c r="AA109">
        <v>0</v>
      </c>
      <c r="AB109">
        <v>500000</v>
      </c>
      <c r="AC109">
        <v>0</v>
      </c>
      <c r="AD109">
        <v>1351852</v>
      </c>
    </row>
    <row r="110" spans="1:30" x14ac:dyDescent="0.25">
      <c r="A110" t="s">
        <v>227</v>
      </c>
      <c r="B110" t="s">
        <v>228</v>
      </c>
      <c r="C110">
        <v>118296575.1661891</v>
      </c>
      <c r="D110">
        <v>80796147</v>
      </c>
      <c r="E110">
        <v>46373410</v>
      </c>
      <c r="F110">
        <v>152719312.1661891</v>
      </c>
      <c r="G110">
        <v>0</v>
      </c>
      <c r="H110">
        <v>1209091</v>
      </c>
      <c r="I110">
        <v>7074545</v>
      </c>
      <c r="J110">
        <v>0</v>
      </c>
      <c r="K110">
        <v>5383636</v>
      </c>
      <c r="L110">
        <v>3200000</v>
      </c>
      <c r="M110">
        <v>0</v>
      </c>
      <c r="N110">
        <v>1509091</v>
      </c>
      <c r="O110">
        <v>13200000</v>
      </c>
      <c r="P110">
        <v>936364</v>
      </c>
      <c r="Q110">
        <v>0</v>
      </c>
      <c r="R110">
        <v>13481821</v>
      </c>
      <c r="S110">
        <v>0</v>
      </c>
      <c r="T110">
        <v>2527778</v>
      </c>
      <c r="U110">
        <v>20780551</v>
      </c>
      <c r="V110">
        <v>2518519</v>
      </c>
      <c r="W110">
        <v>5785185</v>
      </c>
      <c r="X110">
        <v>9500001</v>
      </c>
      <c r="Y110">
        <v>0</v>
      </c>
      <c r="Z110">
        <v>1222222</v>
      </c>
      <c r="AA110">
        <v>17528704</v>
      </c>
      <c r="AB110">
        <v>574075</v>
      </c>
      <c r="AC110">
        <v>11043526</v>
      </c>
      <c r="AD110">
        <v>9694448</v>
      </c>
    </row>
    <row r="111" spans="1:30" x14ac:dyDescent="0.25">
      <c r="A111" t="s">
        <v>229</v>
      </c>
      <c r="B111" t="s">
        <v>230</v>
      </c>
      <c r="C111">
        <v>1892138.8936170209</v>
      </c>
      <c r="D111">
        <v>2586355</v>
      </c>
      <c r="E111">
        <v>1390909</v>
      </c>
      <c r="F111">
        <v>3087584.8936170209</v>
      </c>
      <c r="G111">
        <v>0</v>
      </c>
      <c r="H111">
        <v>0</v>
      </c>
      <c r="I111">
        <v>0</v>
      </c>
      <c r="J111">
        <v>0</v>
      </c>
      <c r="K111">
        <v>2586355</v>
      </c>
      <c r="L111">
        <v>0</v>
      </c>
      <c r="M111">
        <v>0</v>
      </c>
      <c r="N111">
        <v>890909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416667</v>
      </c>
      <c r="U111">
        <v>0</v>
      </c>
      <c r="V111">
        <v>83333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 x14ac:dyDescent="0.25">
      <c r="A112" t="s">
        <v>231</v>
      </c>
      <c r="B112" t="s">
        <v>232</v>
      </c>
      <c r="C112">
        <v>47551427.259079903</v>
      </c>
      <c r="D112">
        <v>33312460</v>
      </c>
      <c r="E112">
        <v>26362293</v>
      </c>
      <c r="F112">
        <v>54501594.259079903</v>
      </c>
      <c r="G112">
        <v>0</v>
      </c>
      <c r="H112">
        <v>0</v>
      </c>
      <c r="I112">
        <v>1659091</v>
      </c>
      <c r="J112">
        <v>1609089</v>
      </c>
      <c r="K112">
        <v>1727275</v>
      </c>
      <c r="L112">
        <v>12681818</v>
      </c>
      <c r="M112">
        <v>3959090</v>
      </c>
      <c r="N112">
        <v>0</v>
      </c>
      <c r="O112">
        <v>3972727</v>
      </c>
      <c r="P112">
        <v>418182</v>
      </c>
      <c r="Q112">
        <v>1009091</v>
      </c>
      <c r="R112">
        <v>6727280</v>
      </c>
      <c r="S112">
        <v>1022222</v>
      </c>
      <c r="T112">
        <v>0</v>
      </c>
      <c r="U112">
        <v>5120371</v>
      </c>
      <c r="V112">
        <v>2509259</v>
      </c>
      <c r="W112">
        <v>4157407</v>
      </c>
      <c r="X112">
        <v>1749999</v>
      </c>
      <c r="Y112">
        <v>7009260</v>
      </c>
      <c r="Z112">
        <v>0</v>
      </c>
      <c r="AA112">
        <v>0</v>
      </c>
      <c r="AB112">
        <v>666666</v>
      </c>
      <c r="AC112">
        <v>3675926</v>
      </c>
      <c r="AD112">
        <v>0</v>
      </c>
    </row>
    <row r="113" spans="1:30" x14ac:dyDescent="0.25">
      <c r="A113" t="s">
        <v>233</v>
      </c>
      <c r="B113" t="s">
        <v>234</v>
      </c>
      <c r="C113">
        <v>352550897.39026397</v>
      </c>
      <c r="D113">
        <v>36498163</v>
      </c>
      <c r="E113">
        <v>52099667</v>
      </c>
      <c r="F113">
        <v>336949393.39026397</v>
      </c>
      <c r="G113">
        <v>15267273</v>
      </c>
      <c r="H113">
        <v>1190910</v>
      </c>
      <c r="I113">
        <v>0</v>
      </c>
      <c r="J113">
        <v>354545</v>
      </c>
      <c r="K113">
        <v>4881815</v>
      </c>
      <c r="L113">
        <v>1963637</v>
      </c>
      <c r="M113">
        <v>0</v>
      </c>
      <c r="N113">
        <v>0</v>
      </c>
      <c r="O113">
        <v>0</v>
      </c>
      <c r="P113">
        <v>1345455</v>
      </c>
      <c r="Q113">
        <v>0</v>
      </c>
      <c r="R113">
        <v>3763637</v>
      </c>
      <c r="S113">
        <v>2679629</v>
      </c>
      <c r="T113">
        <v>2111113</v>
      </c>
      <c r="U113">
        <v>0</v>
      </c>
      <c r="V113">
        <v>1824073</v>
      </c>
      <c r="W113">
        <v>7893519</v>
      </c>
      <c r="X113">
        <v>31379629</v>
      </c>
      <c r="Y113">
        <v>5775927</v>
      </c>
      <c r="Z113">
        <v>1444444</v>
      </c>
      <c r="AA113">
        <v>0</v>
      </c>
      <c r="AB113">
        <v>6074076</v>
      </c>
      <c r="AC113">
        <v>0</v>
      </c>
      <c r="AD113">
        <v>648148</v>
      </c>
    </row>
    <row r="114" spans="1:30" x14ac:dyDescent="0.25">
      <c r="A114" t="s">
        <v>235</v>
      </c>
      <c r="B114" t="s">
        <v>236</v>
      </c>
      <c r="C114">
        <v>23793785.620689649</v>
      </c>
      <c r="D114">
        <v>9329544</v>
      </c>
      <c r="E114">
        <v>21074248</v>
      </c>
      <c r="F114">
        <v>12049081.620689649</v>
      </c>
      <c r="G114">
        <v>0</v>
      </c>
      <c r="H114">
        <v>0</v>
      </c>
      <c r="I114">
        <v>3490909</v>
      </c>
      <c r="J114">
        <v>4336365</v>
      </c>
      <c r="K114">
        <v>2463635</v>
      </c>
      <c r="L114">
        <v>590909</v>
      </c>
      <c r="M114">
        <v>0</v>
      </c>
      <c r="N114">
        <v>0</v>
      </c>
      <c r="O114">
        <v>0</v>
      </c>
      <c r="P114">
        <v>6536366</v>
      </c>
      <c r="Q114">
        <v>0</v>
      </c>
      <c r="R114">
        <v>2027273</v>
      </c>
      <c r="S114">
        <v>2277778</v>
      </c>
      <c r="T114">
        <v>1203704</v>
      </c>
      <c r="U114">
        <v>0</v>
      </c>
      <c r="V114">
        <v>3657408</v>
      </c>
      <c r="W114">
        <v>1097222</v>
      </c>
      <c r="X114">
        <v>1527778</v>
      </c>
      <c r="Y114">
        <v>0</v>
      </c>
      <c r="Z114">
        <v>0</v>
      </c>
      <c r="AA114">
        <v>0</v>
      </c>
      <c r="AB114">
        <v>1194445</v>
      </c>
      <c r="AC114">
        <v>0</v>
      </c>
      <c r="AD114">
        <v>0</v>
      </c>
    </row>
    <row r="115" spans="1:30" x14ac:dyDescent="0.25">
      <c r="A115" t="s">
        <v>237</v>
      </c>
      <c r="B115" t="s">
        <v>238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25">
      <c r="A116" t="s">
        <v>239</v>
      </c>
      <c r="B116" t="s">
        <v>240</v>
      </c>
      <c r="C116">
        <v>0</v>
      </c>
      <c r="D116">
        <v>11074074</v>
      </c>
      <c r="E116">
        <v>12388889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11074074</v>
      </c>
      <c r="T116">
        <v>12388889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25">
      <c r="A117" t="s">
        <v>241</v>
      </c>
      <c r="B117" t="s">
        <v>242</v>
      </c>
      <c r="C117">
        <v>2400000</v>
      </c>
      <c r="D117">
        <v>0</v>
      </c>
      <c r="E117">
        <v>0</v>
      </c>
      <c r="F117">
        <v>2400000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25">
      <c r="A118" t="s">
        <v>243</v>
      </c>
      <c r="B118" t="s">
        <v>244</v>
      </c>
      <c r="C118">
        <v>2200000</v>
      </c>
      <c r="D118">
        <v>0</v>
      </c>
      <c r="E118">
        <v>0</v>
      </c>
      <c r="F118">
        <v>2200000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25">
      <c r="A119" t="s">
        <v>245</v>
      </c>
      <c r="B119" t="s">
        <v>246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25">
      <c r="A120" t="s">
        <v>247</v>
      </c>
      <c r="B120" t="s">
        <v>248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25">
      <c r="A121" t="s">
        <v>249</v>
      </c>
      <c r="B121" t="s">
        <v>250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25">
      <c r="A122" t="s">
        <v>251</v>
      </c>
      <c r="B122" t="s">
        <v>252</v>
      </c>
      <c r="C122">
        <v>1854545</v>
      </c>
      <c r="D122">
        <v>1250000</v>
      </c>
      <c r="E122">
        <v>3990908</v>
      </c>
      <c r="F122">
        <v>0</v>
      </c>
      <c r="G122">
        <v>0</v>
      </c>
      <c r="H122">
        <v>0</v>
      </c>
      <c r="I122">
        <v>1250000</v>
      </c>
      <c r="J122">
        <v>2181818</v>
      </c>
      <c r="K122">
        <v>0</v>
      </c>
      <c r="L122">
        <v>1809090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25">
      <c r="A123" t="s">
        <v>253</v>
      </c>
      <c r="B123" t="s">
        <v>254</v>
      </c>
      <c r="C123">
        <v>21144156.616306961</v>
      </c>
      <c r="D123">
        <v>0</v>
      </c>
      <c r="E123">
        <v>10647473</v>
      </c>
      <c r="F123">
        <v>10496683.616306961</v>
      </c>
      <c r="G123">
        <v>0</v>
      </c>
      <c r="H123">
        <v>0</v>
      </c>
      <c r="I123">
        <v>0</v>
      </c>
      <c r="J123">
        <v>872727</v>
      </c>
      <c r="K123">
        <v>0</v>
      </c>
      <c r="L123">
        <v>0</v>
      </c>
      <c r="M123">
        <v>0</v>
      </c>
      <c r="N123">
        <v>1163636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8611110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25">
      <c r="A124" t="s">
        <v>255</v>
      </c>
      <c r="B124" t="s">
        <v>256</v>
      </c>
      <c r="C124">
        <v>30172515.84722222</v>
      </c>
      <c r="D124">
        <v>0</v>
      </c>
      <c r="E124">
        <v>6750000</v>
      </c>
      <c r="F124">
        <v>23422515.84722222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6750000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 x14ac:dyDescent="0.25">
      <c r="A125" t="s">
        <v>257</v>
      </c>
      <c r="B125" t="s">
        <v>258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25">
      <c r="A126" t="s">
        <v>259</v>
      </c>
      <c r="B126" t="s">
        <v>260</v>
      </c>
      <c r="C126">
        <v>349704258.2321918</v>
      </c>
      <c r="D126">
        <v>195467400</v>
      </c>
      <c r="E126">
        <v>122484295</v>
      </c>
      <c r="F126">
        <v>422687363.2321918</v>
      </c>
      <c r="G126">
        <v>4890911</v>
      </c>
      <c r="H126">
        <v>4436364</v>
      </c>
      <c r="I126">
        <v>20538179</v>
      </c>
      <c r="J126">
        <v>5545455</v>
      </c>
      <c r="K126">
        <v>17886362</v>
      </c>
      <c r="L126">
        <v>19968179</v>
      </c>
      <c r="M126">
        <v>10109088</v>
      </c>
      <c r="N126">
        <v>2934546</v>
      </c>
      <c r="O126">
        <v>7518182</v>
      </c>
      <c r="P126">
        <v>1090908</v>
      </c>
      <c r="Q126">
        <v>73668190</v>
      </c>
      <c r="R126">
        <v>18272725</v>
      </c>
      <c r="S126">
        <v>9398148</v>
      </c>
      <c r="T126">
        <v>8509262</v>
      </c>
      <c r="U126">
        <v>24875006</v>
      </c>
      <c r="V126">
        <v>27365742</v>
      </c>
      <c r="W126">
        <v>3675926</v>
      </c>
      <c r="X126">
        <v>32916670</v>
      </c>
      <c r="Y126">
        <v>7101852</v>
      </c>
      <c r="Z126">
        <v>0</v>
      </c>
      <c r="AA126">
        <v>15805556</v>
      </c>
      <c r="AB126">
        <v>1444444</v>
      </c>
      <c r="AC126">
        <v>0</v>
      </c>
      <c r="AD126">
        <v>0</v>
      </c>
    </row>
    <row r="127" spans="1:30" x14ac:dyDescent="0.25">
      <c r="A127" t="s">
        <v>261</v>
      </c>
      <c r="B127" t="s">
        <v>262</v>
      </c>
      <c r="C127">
        <v>2475742.1428571432</v>
      </c>
      <c r="D127">
        <v>1261111</v>
      </c>
      <c r="E127">
        <v>1687037</v>
      </c>
      <c r="F127">
        <v>2049816.142857143</v>
      </c>
      <c r="G127">
        <v>650000</v>
      </c>
      <c r="H127">
        <v>900000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611111</v>
      </c>
      <c r="Z127">
        <v>0</v>
      </c>
      <c r="AA127">
        <v>0</v>
      </c>
      <c r="AB127">
        <v>787037</v>
      </c>
      <c r="AC127">
        <v>0</v>
      </c>
      <c r="AD127">
        <v>0</v>
      </c>
    </row>
    <row r="128" spans="1:30" x14ac:dyDescent="0.25">
      <c r="A128" t="s">
        <v>263</v>
      </c>
      <c r="B128" t="s">
        <v>264</v>
      </c>
      <c r="C128">
        <v>9639901.4090909101</v>
      </c>
      <c r="D128">
        <v>2772727</v>
      </c>
      <c r="E128">
        <v>1718181</v>
      </c>
      <c r="F128">
        <v>10694447.40909091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1363636</v>
      </c>
      <c r="P128">
        <v>0</v>
      </c>
      <c r="Q128">
        <v>1409091</v>
      </c>
      <c r="R128">
        <v>1718181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25">
      <c r="A129" t="s">
        <v>265</v>
      </c>
      <c r="B129" t="s">
        <v>266</v>
      </c>
      <c r="C129">
        <v>29299617.75</v>
      </c>
      <c r="D129">
        <v>8163636</v>
      </c>
      <c r="E129">
        <v>0</v>
      </c>
      <c r="F129">
        <v>37463253.75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5000000</v>
      </c>
      <c r="N129">
        <v>0</v>
      </c>
      <c r="O129">
        <v>0</v>
      </c>
      <c r="P129">
        <v>0</v>
      </c>
      <c r="Q129">
        <v>3163636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25">
      <c r="A130" t="s">
        <v>267</v>
      </c>
      <c r="B130" t="s">
        <v>268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25">
      <c r="A131" t="s">
        <v>269</v>
      </c>
      <c r="B131" t="s">
        <v>270</v>
      </c>
      <c r="C131">
        <v>154536703.5194805</v>
      </c>
      <c r="D131">
        <v>38760441</v>
      </c>
      <c r="E131">
        <v>57538559</v>
      </c>
      <c r="F131">
        <v>135758585.5194805</v>
      </c>
      <c r="G131">
        <v>4418184</v>
      </c>
      <c r="H131">
        <v>1272727</v>
      </c>
      <c r="I131">
        <v>4418184</v>
      </c>
      <c r="J131">
        <v>1754545</v>
      </c>
      <c r="K131">
        <v>5018184</v>
      </c>
      <c r="L131">
        <v>23727282</v>
      </c>
      <c r="M131">
        <v>0</v>
      </c>
      <c r="N131">
        <v>0</v>
      </c>
      <c r="O131">
        <v>4472730</v>
      </c>
      <c r="P131">
        <v>7022727</v>
      </c>
      <c r="Q131">
        <v>4609092</v>
      </c>
      <c r="R131">
        <v>1490910</v>
      </c>
      <c r="S131">
        <v>4694442</v>
      </c>
      <c r="T131">
        <v>3083332</v>
      </c>
      <c r="U131">
        <v>0</v>
      </c>
      <c r="V131">
        <v>759259</v>
      </c>
      <c r="W131">
        <v>4999998</v>
      </c>
      <c r="X131">
        <v>1620370</v>
      </c>
      <c r="Y131">
        <v>0</v>
      </c>
      <c r="Z131">
        <v>15650000</v>
      </c>
      <c r="AA131">
        <v>6129627</v>
      </c>
      <c r="AB131">
        <v>1157407</v>
      </c>
      <c r="AC131">
        <v>0</v>
      </c>
      <c r="AD131">
        <v>0</v>
      </c>
    </row>
    <row r="132" spans="1:30" x14ac:dyDescent="0.25">
      <c r="A132" t="s">
        <v>271</v>
      </c>
      <c r="B132" t="s">
        <v>272</v>
      </c>
      <c r="C132">
        <v>13823046.7489301</v>
      </c>
      <c r="D132">
        <v>39969006</v>
      </c>
      <c r="E132">
        <v>20777776</v>
      </c>
      <c r="F132">
        <v>33014276.7489301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11672724</v>
      </c>
      <c r="R132">
        <v>0</v>
      </c>
      <c r="S132">
        <v>0</v>
      </c>
      <c r="T132">
        <v>3194444</v>
      </c>
      <c r="U132">
        <v>11175924</v>
      </c>
      <c r="V132">
        <v>10361111</v>
      </c>
      <c r="W132">
        <v>5231478</v>
      </c>
      <c r="X132">
        <v>0</v>
      </c>
      <c r="Y132">
        <v>0</v>
      </c>
      <c r="Z132">
        <v>5787036</v>
      </c>
      <c r="AA132">
        <v>11888880</v>
      </c>
      <c r="AB132">
        <v>0</v>
      </c>
      <c r="AC132">
        <v>0</v>
      </c>
      <c r="AD132">
        <v>1435185</v>
      </c>
    </row>
    <row r="133" spans="1:30" x14ac:dyDescent="0.25">
      <c r="A133" t="s">
        <v>273</v>
      </c>
      <c r="B133" t="s">
        <v>274</v>
      </c>
      <c r="C133">
        <v>108696911.7694118</v>
      </c>
      <c r="D133">
        <v>55552960</v>
      </c>
      <c r="E133">
        <v>74763644</v>
      </c>
      <c r="F133">
        <v>89486227.769411772</v>
      </c>
      <c r="G133">
        <v>2685454</v>
      </c>
      <c r="H133">
        <v>772728</v>
      </c>
      <c r="I133">
        <v>5695456</v>
      </c>
      <c r="J133">
        <v>1131817</v>
      </c>
      <c r="K133">
        <v>4636361</v>
      </c>
      <c r="L133">
        <v>10045468</v>
      </c>
      <c r="M133">
        <v>4504547</v>
      </c>
      <c r="N133">
        <v>10099992</v>
      </c>
      <c r="O133">
        <v>590910</v>
      </c>
      <c r="P133">
        <v>636363</v>
      </c>
      <c r="Q133">
        <v>2977275</v>
      </c>
      <c r="R133">
        <v>4327272</v>
      </c>
      <c r="S133">
        <v>4421293</v>
      </c>
      <c r="T133">
        <v>314816</v>
      </c>
      <c r="U133">
        <v>1583333</v>
      </c>
      <c r="V133">
        <v>9351852</v>
      </c>
      <c r="W133">
        <v>0</v>
      </c>
      <c r="X133">
        <v>16240743</v>
      </c>
      <c r="Y133">
        <v>17597222</v>
      </c>
      <c r="Z133">
        <v>10694445</v>
      </c>
      <c r="AA133">
        <v>3449073</v>
      </c>
      <c r="AB133">
        <v>1824074</v>
      </c>
      <c r="AC133">
        <v>7412036</v>
      </c>
      <c r="AD133">
        <v>9324074</v>
      </c>
    </row>
    <row r="134" spans="1:30" x14ac:dyDescent="0.25">
      <c r="A134" t="s">
        <v>275</v>
      </c>
      <c r="B134" t="s">
        <v>276</v>
      </c>
      <c r="C134">
        <v>41147051.084337354</v>
      </c>
      <c r="D134">
        <v>26420706</v>
      </c>
      <c r="E134">
        <v>32488850</v>
      </c>
      <c r="F134">
        <v>35078907.084337354</v>
      </c>
      <c r="G134">
        <v>2990910</v>
      </c>
      <c r="H134">
        <v>0</v>
      </c>
      <c r="I134">
        <v>2418182</v>
      </c>
      <c r="J134">
        <v>272727</v>
      </c>
      <c r="K134">
        <v>3445455</v>
      </c>
      <c r="L134">
        <v>6172727</v>
      </c>
      <c r="M134">
        <v>0</v>
      </c>
      <c r="N134">
        <v>0</v>
      </c>
      <c r="O134">
        <v>963636</v>
      </c>
      <c r="P134">
        <v>972727</v>
      </c>
      <c r="Q134">
        <v>7063637</v>
      </c>
      <c r="R134">
        <v>14533633</v>
      </c>
      <c r="S134">
        <v>2498145</v>
      </c>
      <c r="T134">
        <v>694444</v>
      </c>
      <c r="U134">
        <v>1296297</v>
      </c>
      <c r="V134">
        <v>611110</v>
      </c>
      <c r="W134">
        <v>0</v>
      </c>
      <c r="X134">
        <v>3888889</v>
      </c>
      <c r="Y134">
        <v>1800000</v>
      </c>
      <c r="Z134">
        <v>416667</v>
      </c>
      <c r="AA134">
        <v>1342592</v>
      </c>
      <c r="AB134">
        <v>509259</v>
      </c>
      <c r="AC134">
        <v>2601852</v>
      </c>
      <c r="AD134">
        <v>4416667</v>
      </c>
    </row>
    <row r="135" spans="1:30" x14ac:dyDescent="0.25">
      <c r="A135" t="s">
        <v>277</v>
      </c>
      <c r="B135" t="s">
        <v>278</v>
      </c>
      <c r="C135">
        <v>358922.57142857142</v>
      </c>
      <c r="D135">
        <v>1716162</v>
      </c>
      <c r="E135">
        <v>453703</v>
      </c>
      <c r="F135">
        <v>1621381.5714285709</v>
      </c>
      <c r="G135">
        <v>0</v>
      </c>
      <c r="H135">
        <v>0</v>
      </c>
      <c r="I135">
        <v>0</v>
      </c>
      <c r="J135">
        <v>0</v>
      </c>
      <c r="K135">
        <v>327273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555556</v>
      </c>
      <c r="T135">
        <v>194444</v>
      </c>
      <c r="U135">
        <v>333333</v>
      </c>
      <c r="V135">
        <v>0</v>
      </c>
      <c r="W135">
        <v>0</v>
      </c>
      <c r="X135">
        <v>0</v>
      </c>
      <c r="Y135">
        <v>500000</v>
      </c>
      <c r="Z135">
        <v>259259</v>
      </c>
      <c r="AA135">
        <v>0</v>
      </c>
      <c r="AB135">
        <v>0</v>
      </c>
      <c r="AC135">
        <v>0</v>
      </c>
      <c r="AD135">
        <v>0</v>
      </c>
    </row>
    <row r="136" spans="1:30" x14ac:dyDescent="0.25">
      <c r="A136" t="s">
        <v>279</v>
      </c>
      <c r="B136" t="s">
        <v>280</v>
      </c>
      <c r="C136">
        <v>1118537.368421053</v>
      </c>
      <c r="D136">
        <v>5508839</v>
      </c>
      <c r="E136">
        <v>2188047</v>
      </c>
      <c r="F136">
        <v>4439329.3684210526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1363636</v>
      </c>
      <c r="P136">
        <v>0</v>
      </c>
      <c r="Q136">
        <v>909091</v>
      </c>
      <c r="R136">
        <v>145454</v>
      </c>
      <c r="S136">
        <v>0</v>
      </c>
      <c r="T136">
        <v>0</v>
      </c>
      <c r="U136">
        <v>1560186</v>
      </c>
      <c r="V136">
        <v>542592</v>
      </c>
      <c r="W136">
        <v>0</v>
      </c>
      <c r="X136">
        <v>1333334</v>
      </c>
      <c r="Y136">
        <v>1675926</v>
      </c>
      <c r="Z136">
        <v>166667</v>
      </c>
      <c r="AA136">
        <v>0</v>
      </c>
      <c r="AB136">
        <v>0</v>
      </c>
      <c r="AC136">
        <v>0</v>
      </c>
      <c r="AD136">
        <v>0</v>
      </c>
    </row>
    <row r="137" spans="1:30" x14ac:dyDescent="0.25">
      <c r="A137" t="s">
        <v>281</v>
      </c>
      <c r="B137" t="s">
        <v>282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25">
      <c r="A138" t="s">
        <v>283</v>
      </c>
      <c r="B138" t="s">
        <v>284</v>
      </c>
      <c r="C138">
        <v>21971385.860465121</v>
      </c>
      <c r="D138">
        <v>27600000</v>
      </c>
      <c r="E138">
        <v>36863644</v>
      </c>
      <c r="F138">
        <v>12707741.860465121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3181818</v>
      </c>
      <c r="O138">
        <v>0</v>
      </c>
      <c r="P138">
        <v>0</v>
      </c>
      <c r="Q138">
        <v>2400000</v>
      </c>
      <c r="R138">
        <v>1181818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25200000</v>
      </c>
      <c r="AB138">
        <v>32500008</v>
      </c>
      <c r="AC138">
        <v>0</v>
      </c>
      <c r="AD138">
        <v>0</v>
      </c>
    </row>
    <row r="139" spans="1:30" x14ac:dyDescent="0.25">
      <c r="A139" t="s">
        <v>285</v>
      </c>
      <c r="B139" t="s">
        <v>286</v>
      </c>
      <c r="C139">
        <v>0</v>
      </c>
      <c r="D139">
        <v>500000</v>
      </c>
      <c r="E139">
        <v>618182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500000</v>
      </c>
      <c r="P139">
        <v>618182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25">
      <c r="A140" t="s">
        <v>287</v>
      </c>
      <c r="B140" t="s">
        <v>288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25">
      <c r="A141" t="s">
        <v>289</v>
      </c>
      <c r="B141" t="s">
        <v>290</v>
      </c>
      <c r="C141">
        <v>16529354.83870968</v>
      </c>
      <c r="D141">
        <v>41800000</v>
      </c>
      <c r="E141">
        <v>66180000</v>
      </c>
      <c r="F141">
        <v>2400000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13300000</v>
      </c>
      <c r="N141">
        <v>19390000</v>
      </c>
      <c r="O141">
        <v>14000000</v>
      </c>
      <c r="P141">
        <v>23850000</v>
      </c>
      <c r="Q141">
        <v>12100000</v>
      </c>
      <c r="R141">
        <v>22940000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2400000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 x14ac:dyDescent="0.25">
      <c r="A142" t="s">
        <v>291</v>
      </c>
      <c r="B142" t="s">
        <v>292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 x14ac:dyDescent="0.25">
      <c r="A143" t="s">
        <v>293</v>
      </c>
      <c r="B143" t="s">
        <v>294</v>
      </c>
      <c r="C143">
        <v>19526168.115942031</v>
      </c>
      <c r="D143">
        <v>8809000</v>
      </c>
      <c r="E143">
        <v>27235000</v>
      </c>
      <c r="F143">
        <v>1100168.1159420309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900000</v>
      </c>
      <c r="M143">
        <v>0</v>
      </c>
      <c r="N143">
        <v>1350000</v>
      </c>
      <c r="O143">
        <v>0</v>
      </c>
      <c r="P143">
        <v>0</v>
      </c>
      <c r="Q143">
        <v>2870000</v>
      </c>
      <c r="R143">
        <v>3935000</v>
      </c>
      <c r="S143">
        <v>5939000</v>
      </c>
      <c r="T143">
        <v>1230000</v>
      </c>
      <c r="U143">
        <v>0</v>
      </c>
      <c r="V143">
        <v>3240000</v>
      </c>
      <c r="W143">
        <v>0</v>
      </c>
      <c r="X143">
        <v>3710000</v>
      </c>
      <c r="Y143">
        <v>0</v>
      </c>
      <c r="Z143">
        <v>6670000</v>
      </c>
      <c r="AA143">
        <v>0</v>
      </c>
      <c r="AB143">
        <v>2300000</v>
      </c>
      <c r="AC143">
        <v>0</v>
      </c>
      <c r="AD143">
        <v>3900000</v>
      </c>
    </row>
    <row r="144" spans="1:30" x14ac:dyDescent="0.25">
      <c r="A144" t="s">
        <v>295</v>
      </c>
      <c r="B144" t="s">
        <v>296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25">
      <c r="A145" t="s">
        <v>297</v>
      </c>
      <c r="B145" t="s">
        <v>298</v>
      </c>
      <c r="C145">
        <v>2435955.1515151509</v>
      </c>
      <c r="D145">
        <v>536638</v>
      </c>
      <c r="E145">
        <v>0</v>
      </c>
      <c r="F145">
        <v>2972593.1515151509</v>
      </c>
      <c r="G145">
        <v>119998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416640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 x14ac:dyDescent="0.25">
      <c r="A146" t="s">
        <v>299</v>
      </c>
      <c r="B146" t="s">
        <v>300</v>
      </c>
      <c r="C146">
        <v>793139925.4799999</v>
      </c>
      <c r="D146">
        <v>1469895058</v>
      </c>
      <c r="E146">
        <v>927893230</v>
      </c>
      <c r="F146">
        <v>1335141753.48</v>
      </c>
      <c r="G146">
        <v>43528616</v>
      </c>
      <c r="H146">
        <v>20644108</v>
      </c>
      <c r="I146">
        <v>82863961</v>
      </c>
      <c r="J146">
        <v>34397975</v>
      </c>
      <c r="K146">
        <v>118030567</v>
      </c>
      <c r="L146">
        <v>128271720</v>
      </c>
      <c r="M146">
        <v>151525606</v>
      </c>
      <c r="N146">
        <v>54209921</v>
      </c>
      <c r="O146">
        <v>124715484</v>
      </c>
      <c r="P146">
        <v>150567169</v>
      </c>
      <c r="Q146">
        <v>173178990</v>
      </c>
      <c r="R146">
        <v>263364789</v>
      </c>
      <c r="S146">
        <v>130405497</v>
      </c>
      <c r="T146">
        <v>37361112</v>
      </c>
      <c r="U146">
        <v>115419155</v>
      </c>
      <c r="V146">
        <v>52360185</v>
      </c>
      <c r="W146">
        <v>122829510</v>
      </c>
      <c r="X146">
        <v>79587029</v>
      </c>
      <c r="Y146">
        <v>141719345</v>
      </c>
      <c r="Z146">
        <v>30824076</v>
      </c>
      <c r="AA146">
        <v>75482760</v>
      </c>
      <c r="AB146">
        <v>21157406</v>
      </c>
      <c r="AC146">
        <v>190195567</v>
      </c>
      <c r="AD146">
        <v>55147740</v>
      </c>
    </row>
    <row r="147" spans="1:30" x14ac:dyDescent="0.25">
      <c r="A147" t="s">
        <v>301</v>
      </c>
      <c r="C147">
        <v>24146571300.88002</v>
      </c>
      <c r="D147">
        <v>19811977212.77</v>
      </c>
      <c r="E147">
        <v>20356750244</v>
      </c>
      <c r="F147">
        <v>26426964605.35865</v>
      </c>
      <c r="G147">
        <v>520801361</v>
      </c>
      <c r="H147">
        <v>384948018</v>
      </c>
      <c r="I147">
        <v>1463875382.6400001</v>
      </c>
      <c r="J147">
        <v>702897988</v>
      </c>
      <c r="K147">
        <v>1340113363.04</v>
      </c>
      <c r="L147">
        <v>2359911221</v>
      </c>
      <c r="M147">
        <v>996003614.63</v>
      </c>
      <c r="N147">
        <v>1325473203</v>
      </c>
      <c r="O147">
        <v>1219772602.9000001</v>
      </c>
      <c r="P147">
        <v>1833752802</v>
      </c>
      <c r="Q147">
        <v>2307228220.1700001</v>
      </c>
      <c r="R147">
        <v>3269204509</v>
      </c>
      <c r="S147">
        <v>1258225834</v>
      </c>
      <c r="T147">
        <v>1006327224</v>
      </c>
      <c r="U147">
        <v>2100979337</v>
      </c>
      <c r="V147">
        <v>1401837649</v>
      </c>
      <c r="W147">
        <v>2575353744.5999999</v>
      </c>
      <c r="X147">
        <v>2748749325</v>
      </c>
      <c r="Y147">
        <v>1732454157.1500001</v>
      </c>
      <c r="Z147">
        <v>1405781119</v>
      </c>
      <c r="AA147">
        <v>1680732769</v>
      </c>
      <c r="AB147">
        <v>1469341677</v>
      </c>
      <c r="AC147">
        <v>2616436826.6399999</v>
      </c>
      <c r="AD147">
        <v>2448525509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Tháng 1</vt:lpstr>
      <vt:lpstr>Tháng 2</vt:lpstr>
      <vt:lpstr>Tháng 3</vt:lpstr>
      <vt:lpstr>Tháng 4</vt:lpstr>
      <vt:lpstr>Tháng 5</vt:lpstr>
      <vt:lpstr>Tháng 6</vt:lpstr>
      <vt:lpstr>Tháng 7</vt:lpstr>
      <vt:lpstr>Tháng 8</vt:lpstr>
      <vt:lpstr>Tháng 9</vt:lpstr>
      <vt:lpstr>Tháng 10</vt:lpstr>
      <vt:lpstr>Tháng 11</vt:lpstr>
      <vt:lpstr>Tháng 12</vt:lpstr>
      <vt:lpstr>Hoadon</vt:lpstr>
      <vt:lpstr>xnt12thang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2026-03-25T04:15:28Z</dcterms:created>
  <dcterms:modified xsi:type="dcterms:W3CDTF">2026-03-26T02:02:31Z</dcterms:modified>
</cp:coreProperties>
</file>