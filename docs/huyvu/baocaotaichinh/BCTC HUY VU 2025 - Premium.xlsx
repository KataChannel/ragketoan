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CĐ Tài Khoản" sheetId="2" state="visible" r:id="rId2"/>
    <sheet xmlns:r="http://schemas.openxmlformats.org/officeDocument/2006/relationships" name="BCĐ Kế Toán" sheetId="3" state="visible" r:id="rId3"/>
    <sheet xmlns:r="http://schemas.openxmlformats.org/officeDocument/2006/relationships" name="Kết quả kinh do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Tài sản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'BCĐ Kế Toán'!$A$6:$A$9</f>
            </numRef>
          </cat>
          <val>
            <numRef>
              <f>'BCĐ Kế Toán'!$C$6:$C$9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TỔNG TÀI SẢN 2025</t>
        </is>
      </c>
      <c r="D2" s="1" t="inlineStr">
        <is>
          <t>DOANH THU 2025</t>
        </is>
      </c>
      <c r="F2" s="1" t="inlineStr">
        <is>
          <t>LỢI NHUẬN (LỖ) 2025</t>
        </is>
      </c>
    </row>
    <row r="3">
      <c r="B3" s="2">
        <f>'BCĐ Kế Toán'!C11</f>
        <v/>
      </c>
      <c r="D3" s="2">
        <f>'Kết quả kinh doanh'!C5</f>
        <v/>
      </c>
      <c r="F3" s="2">
        <f>'Kết quả kinh doanh'!C14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BẢNG CÂN ĐỐI TÀI KHOẢN 2025</t>
        </is>
      </c>
    </row>
    <row r="3">
      <c r="A3" s="4" t="inlineStr">
        <is>
          <t>Số hiệu TK</t>
        </is>
      </c>
      <c r="B3" s="4" t="inlineStr">
        <is>
          <t>Tên tài khoản</t>
        </is>
      </c>
      <c r="C3" s="4" t="inlineStr">
        <is>
          <t>Đầu năm</t>
        </is>
      </c>
      <c r="D3" s="4" t="n"/>
      <c r="E3" s="4" t="inlineStr">
        <is>
          <t>Phát sinh</t>
        </is>
      </c>
      <c r="F3" s="4" t="n"/>
      <c r="G3" s="4" t="inlineStr">
        <is>
          <t>Cuối năm</t>
        </is>
      </c>
      <c r="H3" s="4" t="n"/>
    </row>
    <row r="4">
      <c r="A4" s="4" t="n"/>
      <c r="B4" s="4" t="n"/>
      <c r="C4" s="4" t="inlineStr">
        <is>
          <t>Nợ</t>
        </is>
      </c>
      <c r="D4" s="4" t="inlineStr">
        <is>
          <t>Có</t>
        </is>
      </c>
      <c r="E4" s="4" t="inlineStr">
        <is>
          <t>Nợ</t>
        </is>
      </c>
      <c r="F4" s="4" t="inlineStr">
        <is>
          <t>Có</t>
        </is>
      </c>
      <c r="G4" s="4" t="inlineStr">
        <is>
          <t>Nợ</t>
        </is>
      </c>
      <c r="H4" s="4" t="inlineStr">
        <is>
          <t>Có</t>
        </is>
      </c>
    </row>
    <row r="5">
      <c r="A5" s="5" t="inlineStr">
        <is>
          <t>111</t>
        </is>
      </c>
      <c r="B5" s="5" t="inlineStr">
        <is>
          <t>Tiền mặt</t>
        </is>
      </c>
      <c r="C5" s="6" t="n">
        <v/>
      </c>
      <c r="D5" s="6" t="n">
        <v>0</v>
      </c>
      <c r="E5" s="6" t="n">
        <v/>
      </c>
      <c r="F5" s="6" t="n">
        <v/>
      </c>
      <c r="G5" s="6" t="n">
        <v/>
      </c>
      <c r="H5" s="6" t="n">
        <v>0</v>
      </c>
    </row>
    <row r="6">
      <c r="A6" s="5" t="inlineStr">
        <is>
          <t>1111</t>
        </is>
      </c>
      <c r="B6" s="5" t="inlineStr">
        <is>
          <t>Tiền Việt Nam</t>
        </is>
      </c>
      <c r="C6" s="6" t="n">
        <v>106031280</v>
      </c>
      <c r="D6" s="6" t="n">
        <v>0</v>
      </c>
      <c r="E6" s="6" t="n">
        <v>23787126489</v>
      </c>
      <c r="F6" s="6" t="n">
        <v>23866025769</v>
      </c>
      <c r="G6" s="6" t="n">
        <v>27132000</v>
      </c>
      <c r="H6" s="6" t="n">
        <v>0</v>
      </c>
    </row>
    <row r="7">
      <c r="A7" s="5" t="inlineStr">
        <is>
          <t>112</t>
        </is>
      </c>
      <c r="B7" s="5" t="inlineStr">
        <is>
          <t>Tiền gửi Ngân hàng</t>
        </is>
      </c>
      <c r="C7" s="6" t="n">
        <v/>
      </c>
      <c r="D7" s="6" t="n">
        <v>0</v>
      </c>
      <c r="E7" s="6" t="n">
        <v/>
      </c>
      <c r="F7" s="6" t="n">
        <v/>
      </c>
      <c r="G7" s="6" t="n">
        <v/>
      </c>
      <c r="H7" s="6" t="n">
        <v>0</v>
      </c>
    </row>
    <row r="8">
      <c r="A8" s="5" t="inlineStr">
        <is>
          <t>1121</t>
        </is>
      </c>
      <c r="B8" s="5" t="inlineStr">
        <is>
          <t>Tiền Việt Nam</t>
        </is>
      </c>
      <c r="C8" s="6" t="n">
        <v>357350</v>
      </c>
      <c r="D8" s="6" t="n">
        <v>0</v>
      </c>
      <c r="E8" s="6" t="n">
        <v>22488338318</v>
      </c>
      <c r="F8" s="6" t="n">
        <v>22475878318</v>
      </c>
      <c r="G8" s="6" t="n">
        <v>12817350</v>
      </c>
      <c r="H8" s="6" t="n">
        <v>0</v>
      </c>
    </row>
    <row r="9">
      <c r="A9" s="5" t="inlineStr">
        <is>
          <t>131</t>
        </is>
      </c>
      <c r="B9" s="5" t="inlineStr">
        <is>
          <t>Phải thu của khách hàng</t>
        </is>
      </c>
      <c r="C9" s="6" t="n">
        <v>5835849554</v>
      </c>
      <c r="D9" s="6" t="n">
        <v>0</v>
      </c>
      <c r="E9" s="6" t="n">
        <v>23787126489</v>
      </c>
      <c r="F9" s="6" t="n">
        <v>27244263394</v>
      </c>
      <c r="G9" s="6" t="n">
        <v>2378712649</v>
      </c>
      <c r="H9" s="6" t="n">
        <v>0</v>
      </c>
    </row>
    <row r="10">
      <c r="A10" s="5" t="inlineStr">
        <is>
          <t>133</t>
        </is>
      </c>
      <c r="B10" s="5" t="inlineStr">
        <is>
          <t>Thuế GTGT được khấu trừ</t>
        </is>
      </c>
      <c r="C10" s="6" t="n">
        <v/>
      </c>
      <c r="D10" s="6" t="n">
        <v>0</v>
      </c>
      <c r="E10" s="6" t="n">
        <v/>
      </c>
      <c r="F10" s="6" t="n">
        <v/>
      </c>
      <c r="G10" s="6" t="n">
        <v>0</v>
      </c>
      <c r="H10" s="6" t="n">
        <v>0</v>
      </c>
    </row>
    <row r="11">
      <c r="A11" s="5" t="inlineStr">
        <is>
          <t>1331</t>
        </is>
      </c>
      <c r="B11" s="5" t="inlineStr">
        <is>
          <t>Thuế GTGT được khấu trừ của hàng hóa, dịch vụ</t>
        </is>
      </c>
      <c r="C11" s="6" t="n">
        <v/>
      </c>
      <c r="D11" s="6" t="n">
        <v>0</v>
      </c>
      <c r="E11" s="6" t="n">
        <v/>
      </c>
      <c r="F11" s="6" t="n">
        <v/>
      </c>
      <c r="G11" s="6" t="n">
        <v>0</v>
      </c>
      <c r="H11" s="6" t="n">
        <v>0</v>
      </c>
    </row>
    <row r="12">
      <c r="A12" s="5" t="inlineStr">
        <is>
          <t>152</t>
        </is>
      </c>
      <c r="B12" s="5" t="inlineStr">
        <is>
          <t>Nguyên liệu, vật liệu</t>
        </is>
      </c>
      <c r="C12" s="6" t="n">
        <v>0</v>
      </c>
      <c r="D12" s="6" t="n">
        <v>0</v>
      </c>
      <c r="E12" s="6" t="n">
        <v/>
      </c>
      <c r="F12" s="6" t="n">
        <v/>
      </c>
      <c r="G12" s="6" t="n">
        <v>0</v>
      </c>
      <c r="H12" s="6" t="n">
        <v>0</v>
      </c>
    </row>
    <row r="13">
      <c r="A13" s="5" t="inlineStr">
        <is>
          <t>153</t>
        </is>
      </c>
      <c r="B13" s="5" t="inlineStr">
        <is>
          <t>Công cụ, dụng cụ</t>
        </is>
      </c>
      <c r="C13" s="6" t="n">
        <v>0</v>
      </c>
      <c r="D13" s="6" t="n">
        <v>0</v>
      </c>
      <c r="E13" s="6" t="n">
        <v/>
      </c>
      <c r="F13" s="6" t="n">
        <v/>
      </c>
      <c r="G13" s="6" t="n">
        <v>0</v>
      </c>
      <c r="H13" s="6" t="n">
        <v>0</v>
      </c>
    </row>
    <row r="14">
      <c r="A14" s="5" t="inlineStr">
        <is>
          <t>1531</t>
        </is>
      </c>
      <c r="B14" s="5" t="inlineStr">
        <is>
          <t>Công cụ, dụng cụ</t>
        </is>
      </c>
      <c r="C14" s="6" t="n">
        <v>0</v>
      </c>
      <c r="D14" s="6" t="n">
        <v>0</v>
      </c>
      <c r="E14" s="6" t="n">
        <v/>
      </c>
      <c r="F14" s="6" t="n">
        <v/>
      </c>
      <c r="G14" s="6" t="n">
        <v>0</v>
      </c>
      <c r="H14" s="6" t="n">
        <v>0</v>
      </c>
    </row>
    <row r="15">
      <c r="A15" s="5" t="inlineStr">
        <is>
          <t>156</t>
        </is>
      </c>
      <c r="B15" s="5" t="inlineStr">
        <is>
          <t>Hàng hóa</t>
        </is>
      </c>
      <c r="C15" s="6" t="n">
        <v/>
      </c>
      <c r="D15" s="6" t="n">
        <v>0</v>
      </c>
      <c r="E15" s="6" t="n">
        <v/>
      </c>
      <c r="F15" s="6" t="n">
        <v/>
      </c>
      <c r="G15" s="6" t="n">
        <v/>
      </c>
      <c r="H15" s="6" t="n">
        <v>0</v>
      </c>
    </row>
    <row r="16">
      <c r="A16" s="5" t="inlineStr">
        <is>
          <t>1561</t>
        </is>
      </c>
      <c r="B16" s="5" t="inlineStr">
        <is>
          <t>Giá mua hàng hóa</t>
        </is>
      </c>
      <c r="C16" s="6" t="n">
        <v>20633108385</v>
      </c>
      <c r="D16" s="6" t="n">
        <v>0</v>
      </c>
      <c r="E16" s="6" t="n">
        <v>19151978036</v>
      </c>
      <c r="F16" s="6" t="n">
        <v>20762261079.85</v>
      </c>
      <c r="G16" s="6" t="n">
        <v>19022825341.15</v>
      </c>
      <c r="H16" s="6" t="n">
        <v>0</v>
      </c>
    </row>
    <row r="17">
      <c r="A17" s="5" t="inlineStr">
        <is>
          <t>211</t>
        </is>
      </c>
      <c r="B17" s="5" t="inlineStr">
        <is>
          <t>Tài sản cố định hữu hình</t>
        </is>
      </c>
      <c r="C17" s="6" t="n">
        <v/>
      </c>
      <c r="D17" s="6" t="n">
        <v>0</v>
      </c>
      <c r="E17" s="6" t="n">
        <v/>
      </c>
      <c r="F17" s="6" t="n">
        <v/>
      </c>
      <c r="G17" s="6" t="n">
        <v>0</v>
      </c>
      <c r="H17" s="6" t="n">
        <v>0</v>
      </c>
    </row>
    <row r="18">
      <c r="A18" s="5" t="inlineStr">
        <is>
          <t>2113</t>
        </is>
      </c>
      <c r="B18" s="5" t="inlineStr">
        <is>
          <t>Phương tiện vận tải, truyền dẫn</t>
        </is>
      </c>
      <c r="C18" s="6" t="n">
        <v>2200000000</v>
      </c>
      <c r="D18" s="6" t="n">
        <v>0</v>
      </c>
      <c r="E18" s="6" t="n">
        <v/>
      </c>
      <c r="F18" s="6" t="n">
        <v/>
      </c>
      <c r="G18" s="6" t="n">
        <v>2200000000</v>
      </c>
      <c r="H18" s="6" t="n">
        <v>0</v>
      </c>
    </row>
    <row r="19">
      <c r="A19" s="5" t="inlineStr">
        <is>
          <t>214</t>
        </is>
      </c>
      <c r="B19" s="5" t="inlineStr">
        <is>
          <t>Hao mòn tài sản cố định</t>
        </is>
      </c>
      <c r="C19" s="6" t="n">
        <v>0</v>
      </c>
      <c r="D19" s="6" t="n">
        <v>0</v>
      </c>
      <c r="E19" s="6" t="n">
        <v/>
      </c>
      <c r="F19" s="6" t="n">
        <v/>
      </c>
      <c r="G19" s="6" t="n">
        <v>0</v>
      </c>
      <c r="H19" s="6" t="n">
        <v/>
      </c>
    </row>
    <row r="20">
      <c r="A20" s="5" t="inlineStr">
        <is>
          <t>2141</t>
        </is>
      </c>
      <c r="B20" s="5" t="inlineStr">
        <is>
          <t>Hao mòn TSCĐ hữu hình</t>
        </is>
      </c>
      <c r="C20" s="6" t="n">
        <v/>
      </c>
      <c r="D20" s="6" t="n">
        <v/>
      </c>
      <c r="E20" s="6" t="n">
        <v/>
      </c>
      <c r="F20" s="6" t="n">
        <v/>
      </c>
      <c r="G20" s="6" t="n">
        <v>0</v>
      </c>
      <c r="H20" s="6" t="n">
        <v/>
      </c>
    </row>
    <row r="21">
      <c r="A21" s="5" t="inlineStr">
        <is>
          <t>331</t>
        </is>
      </c>
      <c r="B21" s="5" t="inlineStr">
        <is>
          <t>Phải trả cho người bán</t>
        </is>
      </c>
      <c r="C21" s="6" t="n">
        <v/>
      </c>
      <c r="D21" s="6" t="n">
        <v>4632756100</v>
      </c>
      <c r="E21" s="6" t="n">
        <v>24986184461</v>
      </c>
      <c r="F21" s="6" t="n">
        <v>20831635858</v>
      </c>
      <c r="G21" s="6" t="n">
        <v/>
      </c>
      <c r="H21" s="6" t="n">
        <v>478207497</v>
      </c>
    </row>
    <row r="22">
      <c r="A22" s="5" t="inlineStr">
        <is>
          <t>333</t>
        </is>
      </c>
      <c r="B22" s="5" t="inlineStr">
        <is>
          <t>Thuế và các khoản phải nộp Nhà nước</t>
        </is>
      </c>
      <c r="C22" s="6" t="n">
        <v/>
      </c>
      <c r="D22" s="6" t="n">
        <v>0</v>
      </c>
      <c r="E22" s="6" t="n">
        <v/>
      </c>
      <c r="F22" s="6" t="n">
        <v/>
      </c>
      <c r="G22" s="6" t="n">
        <v/>
      </c>
      <c r="H22" s="6" t="n">
        <v>0</v>
      </c>
    </row>
    <row r="23">
      <c r="A23" s="5" t="inlineStr">
        <is>
          <t>3331</t>
        </is>
      </c>
      <c r="B23" s="5" t="inlineStr">
        <is>
          <t>Thuế giá trị gia tăng phải nộp</t>
        </is>
      </c>
      <c r="C23" s="6" t="n">
        <v>0</v>
      </c>
      <c r="D23" s="6" t="n">
        <v>0</v>
      </c>
      <c r="E23" s="6" t="n">
        <v>70237166</v>
      </c>
      <c r="F23" s="6" t="n">
        <v>70237166</v>
      </c>
      <c r="G23" s="6" t="n">
        <v/>
      </c>
      <c r="H23" s="6" t="n">
        <v>0</v>
      </c>
    </row>
    <row r="24">
      <c r="A24" s="5" t="inlineStr">
        <is>
          <t>3334</t>
        </is>
      </c>
      <c r="B24" s="5" t="inlineStr">
        <is>
          <t>Thuế thu nhập doanh nghiệp</t>
        </is>
      </c>
      <c r="C24" s="6" t="n">
        <v/>
      </c>
      <c r="D24" s="6" t="n">
        <v>0</v>
      </c>
      <c r="E24" s="6" t="n">
        <v>20000000</v>
      </c>
      <c r="F24" s="6" t="n">
        <v/>
      </c>
      <c r="G24" s="6" t="n">
        <v>20000000</v>
      </c>
      <c r="H24" s="6" t="n">
        <v>0</v>
      </c>
    </row>
    <row r="25">
      <c r="A25" s="5" t="inlineStr">
        <is>
          <t>3338</t>
        </is>
      </c>
      <c r="B25" s="5" t="inlineStr">
        <is>
          <t>Thuế bảo vệ môi trường và các loại thuế khác</t>
        </is>
      </c>
      <c r="C25" s="6" t="n">
        <v>0</v>
      </c>
      <c r="D25" s="6" t="n">
        <v>0</v>
      </c>
      <c r="E25" s="6" t="n">
        <v>2000000</v>
      </c>
      <c r="F25" s="6" t="n">
        <v>2000000</v>
      </c>
      <c r="G25" s="6" t="n">
        <v/>
      </c>
      <c r="H25" s="6" t="n">
        <v>0</v>
      </c>
    </row>
    <row r="26">
      <c r="A26" s="5" t="inlineStr">
        <is>
          <t>334</t>
        </is>
      </c>
      <c r="B26" s="5" t="inlineStr">
        <is>
          <t>Phải trả người lao động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5" t="inlineStr">
        <is>
          <t>3348</t>
        </is>
      </c>
      <c r="B27" s="5" t="inlineStr">
        <is>
          <t>Phải trả người lao động khác</t>
        </is>
      </c>
      <c r="C27" s="6" t="n">
        <v>0</v>
      </c>
      <c r="D27" s="6" t="n">
        <v>0</v>
      </c>
      <c r="E27" s="6" t="n">
        <v/>
      </c>
      <c r="F27" s="6" t="n">
        <v/>
      </c>
      <c r="G27" s="6" t="n">
        <v>0</v>
      </c>
      <c r="H27" s="6" t="n">
        <v>0</v>
      </c>
    </row>
    <row r="28">
      <c r="A28" s="5" t="inlineStr">
        <is>
          <t>338</t>
        </is>
      </c>
      <c r="B28" s="5" t="inlineStr">
        <is>
          <t>Phải trả, phải nộp khác</t>
        </is>
      </c>
      <c r="C28" s="6" t="n">
        <v>0</v>
      </c>
      <c r="D28" s="6" t="n">
        <v>0</v>
      </c>
      <c r="E28" s="6" t="n">
        <v/>
      </c>
      <c r="F28" s="6" t="n">
        <v>0</v>
      </c>
      <c r="G28" s="6" t="n">
        <v>0</v>
      </c>
      <c r="H28" s="6" t="n">
        <v>0</v>
      </c>
    </row>
    <row r="29">
      <c r="A29" s="5" t="inlineStr">
        <is>
          <t>3388</t>
        </is>
      </c>
      <c r="B29" s="5" t="inlineStr">
        <is>
          <t>Phải trả, phải nộp khác</t>
        </is>
      </c>
      <c r="C29" s="6" t="n">
        <v/>
      </c>
      <c r="D29" s="6" t="n">
        <v>56465573</v>
      </c>
      <c r="E29" s="6" t="n">
        <v>56465573</v>
      </c>
      <c r="F29" s="6" t="n">
        <v/>
      </c>
      <c r="G29" s="6" t="n">
        <v>0</v>
      </c>
      <c r="H29" s="6" t="n">
        <v>0</v>
      </c>
    </row>
    <row r="30">
      <c r="A30" s="5" t="inlineStr">
        <is>
          <t>341</t>
        </is>
      </c>
      <c r="B30" s="5" t="inlineStr">
        <is>
          <t>Vay và nợ thuê tài chính</t>
        </is>
      </c>
      <c r="C30" s="6" t="n">
        <v>0</v>
      </c>
      <c r="D30" s="6" t="n">
        <v/>
      </c>
      <c r="E30" s="6" t="n">
        <v/>
      </c>
      <c r="F30" s="6" t="n">
        <v/>
      </c>
      <c r="G30" s="6" t="n">
        <v/>
      </c>
      <c r="H30" s="6" t="n">
        <v/>
      </c>
    </row>
    <row r="31">
      <c r="A31" s="5" t="inlineStr">
        <is>
          <t>3411</t>
        </is>
      </c>
      <c r="B31" s="5" t="inlineStr">
        <is>
          <t>Các khoản đi vay</t>
        </is>
      </c>
      <c r="C31" s="6" t="n">
        <v/>
      </c>
      <c r="D31" s="6" t="n">
        <v>34090168080</v>
      </c>
      <c r="E31" s="6" t="n">
        <v>11949137184</v>
      </c>
      <c r="F31" s="6" t="n">
        <v>11185296033</v>
      </c>
      <c r="G31" s="6" t="n">
        <v>0</v>
      </c>
      <c r="H31" s="6" t="n">
        <v>33326326929</v>
      </c>
    </row>
    <row r="32">
      <c r="A32" s="5" t="inlineStr">
        <is>
          <t>411</t>
        </is>
      </c>
      <c r="B32" s="5" t="inlineStr">
        <is>
          <t>Vốn đầu tư của chủ sở hữu</t>
        </is>
      </c>
      <c r="C32" s="6" t="n">
        <v/>
      </c>
      <c r="D32" s="6" t="n">
        <v/>
      </c>
      <c r="E32" s="6" t="n">
        <v/>
      </c>
      <c r="F32" s="6" t="n">
        <v/>
      </c>
      <c r="G32" s="6" t="n">
        <v>0</v>
      </c>
      <c r="H32" s="6" t="n">
        <v/>
      </c>
    </row>
    <row r="33">
      <c r="A33" s="5" t="inlineStr">
        <is>
          <t>4118</t>
        </is>
      </c>
      <c r="B33" s="5" t="inlineStr">
        <is>
          <t>Vốn khác</t>
        </is>
      </c>
      <c r="C33" s="6" t="n">
        <v/>
      </c>
      <c r="D33" s="6" t="n">
        <v>3500000000</v>
      </c>
      <c r="E33" s="6" t="n">
        <v/>
      </c>
      <c r="F33" s="6" t="n">
        <v/>
      </c>
      <c r="G33" s="6" t="n">
        <v>0</v>
      </c>
      <c r="H33" s="6" t="n">
        <v>3500000000</v>
      </c>
    </row>
    <row r="34">
      <c r="A34" s="5" t="inlineStr">
        <is>
          <t>421</t>
        </is>
      </c>
      <c r="B34" s="5" t="inlineStr">
        <is>
          <t>Lợi nhuận sau thuế chưa phân phối</t>
        </is>
      </c>
      <c r="C34" s="6" t="n">
        <v/>
      </c>
      <c r="D34" s="6" t="n">
        <v/>
      </c>
      <c r="E34" s="6" t="n">
        <v/>
      </c>
      <c r="F34" s="6" t="n">
        <v/>
      </c>
      <c r="G34" s="6" t="n">
        <v/>
      </c>
      <c r="H34" s="6" t="n">
        <v/>
      </c>
    </row>
    <row r="35">
      <c r="A35" s="5" t="inlineStr">
        <is>
          <t>4211</t>
        </is>
      </c>
      <c r="B35" s="5" t="inlineStr">
        <is>
          <t>Lợi nhuận sau thuế chưa phân phối năm trước</t>
        </is>
      </c>
      <c r="C35" s="6" t="n">
        <v/>
      </c>
      <c r="D35" s="6" t="n">
        <v>-13504043184</v>
      </c>
      <c r="E35" s="6" t="n">
        <v>0</v>
      </c>
      <c r="F35" s="6" t="n">
        <v>-139003901.8499985</v>
      </c>
      <c r="G35" s="6" t="n">
        <v/>
      </c>
      <c r="H35" s="6" t="n">
        <v>-13643047085.85</v>
      </c>
    </row>
    <row r="36">
      <c r="A36" s="5" t="inlineStr">
        <is>
          <t>4212</t>
        </is>
      </c>
      <c r="B36" s="5" t="inlineStr">
        <is>
          <t>Lợi nhuận sau thuế chưa phân phối năm nay</t>
        </is>
      </c>
      <c r="C36" s="6" t="n">
        <v/>
      </c>
      <c r="D36" s="6" t="n">
        <v/>
      </c>
      <c r="E36" s="6" t="n">
        <v/>
      </c>
      <c r="F36" s="6" t="n">
        <v/>
      </c>
      <c r="G36" s="6" t="n">
        <v/>
      </c>
      <c r="H36" s="6" t="n">
        <v>0</v>
      </c>
    </row>
    <row r="37">
      <c r="A37" s="5" t="inlineStr">
        <is>
          <t>511</t>
        </is>
      </c>
      <c r="B37" s="5" t="inlineStr">
        <is>
          <t>Doanh thu bán hàng và cung cấp dịch vụ</t>
        </is>
      </c>
      <c r="C37" s="6" t="n">
        <v>0</v>
      </c>
      <c r="D37" s="6" t="n">
        <v>0</v>
      </c>
      <c r="E37" s="6" t="n">
        <v/>
      </c>
      <c r="F37" s="6" t="n">
        <v/>
      </c>
      <c r="G37" s="6" t="n">
        <v>0</v>
      </c>
      <c r="H37" s="6" t="n">
        <v>0</v>
      </c>
    </row>
    <row r="38">
      <c r="A38" s="5" t="inlineStr">
        <is>
          <t>5111</t>
        </is>
      </c>
      <c r="B38" s="5" t="inlineStr">
        <is>
          <t>Doanh thu bán hàng hóa</t>
        </is>
      </c>
      <c r="C38" s="6" t="n">
        <v>0</v>
      </c>
      <c r="D38" s="6" t="n">
        <v>0</v>
      </c>
      <c r="E38" s="6" t="n">
        <v>21855011663</v>
      </c>
      <c r="F38" s="6" t="n">
        <v>21855011663</v>
      </c>
      <c r="G38" s="6" t="n">
        <v>0</v>
      </c>
      <c r="H38" s="6" t="n">
        <v>0</v>
      </c>
    </row>
    <row r="39">
      <c r="A39" s="5" t="inlineStr">
        <is>
          <t>515</t>
        </is>
      </c>
      <c r="B39" s="5" t="inlineStr">
        <is>
          <t>Doanh thu hoạt động tài chính</t>
        </is>
      </c>
      <c r="C39" s="6" t="n">
        <v>0</v>
      </c>
      <c r="D39" s="6" t="n">
        <v>0</v>
      </c>
      <c r="E39" s="6" t="n">
        <v/>
      </c>
      <c r="F39" s="6" t="n">
        <v/>
      </c>
      <c r="G39" s="6" t="n">
        <v>0</v>
      </c>
      <c r="H39" s="6" t="n">
        <v>0</v>
      </c>
    </row>
    <row r="40">
      <c r="A40" s="5" t="inlineStr">
        <is>
          <t>521</t>
        </is>
      </c>
      <c r="B40" s="5" t="inlineStr">
        <is>
          <t>Các khoản giảm trừ doanh thu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s="5" t="inlineStr">
        <is>
          <t>5211</t>
        </is>
      </c>
      <c r="B41" s="5" t="inlineStr">
        <is>
          <t>Chiết khấu thương mại</t>
        </is>
      </c>
      <c r="C41" s="6" t="n">
        <v>0</v>
      </c>
      <c r="D41" s="6" t="n">
        <v>0</v>
      </c>
      <c r="E41" s="6" t="n">
        <v/>
      </c>
      <c r="F41" s="6" t="n">
        <v/>
      </c>
      <c r="G41" s="6" t="n">
        <v>0</v>
      </c>
      <c r="H41" s="6" t="n">
        <v>0</v>
      </c>
    </row>
    <row r="42">
      <c r="A42" s="5" t="inlineStr">
        <is>
          <t>632</t>
        </is>
      </c>
      <c r="B42" s="5" t="inlineStr">
        <is>
          <t>Giá vốn hàng bán</t>
        </is>
      </c>
      <c r="C42" s="6" t="n">
        <v>0</v>
      </c>
      <c r="D42" s="6" t="n">
        <v>0</v>
      </c>
      <c r="E42" s="6" t="n">
        <v>20762261079.85</v>
      </c>
      <c r="F42" s="6" t="n">
        <v>20762261079.85</v>
      </c>
      <c r="G42" s="6" t="n">
        <v>0</v>
      </c>
      <c r="H42" s="6" t="n">
        <v>0</v>
      </c>
    </row>
    <row r="43">
      <c r="A43" s="5" t="inlineStr">
        <is>
          <t>635</t>
        </is>
      </c>
      <c r="B43" s="5" t="inlineStr">
        <is>
          <t>Chi phí tài chính</t>
        </is>
      </c>
      <c r="C43" s="6" t="n">
        <v>0</v>
      </c>
      <c r="D43" s="6" t="n">
        <v>0</v>
      </c>
      <c r="E43" s="6" t="n">
        <v/>
      </c>
      <c r="F43" s="6" t="n">
        <v/>
      </c>
      <c r="G43" s="6" t="n">
        <v>0</v>
      </c>
      <c r="H43" s="6" t="n">
        <v>0</v>
      </c>
    </row>
    <row r="44">
      <c r="A44" s="5" t="inlineStr">
        <is>
          <t>635 (01)</t>
        </is>
      </c>
      <c r="B44" s="5" t="inlineStr">
        <is>
          <t>Lãi vay ngân hàng</t>
        </is>
      </c>
      <c r="C44" s="6" t="n">
        <v>0</v>
      </c>
      <c r="D44" s="6" t="n">
        <v>0</v>
      </c>
      <c r="E44" s="6" t="n">
        <v>566363005</v>
      </c>
      <c r="F44" s="6" t="n">
        <v>566363005</v>
      </c>
      <c r="G44" s="6" t="n">
        <v>0</v>
      </c>
      <c r="H44" s="6" t="n">
        <v>0</v>
      </c>
    </row>
    <row r="45">
      <c r="A45" s="5" t="inlineStr">
        <is>
          <t>635 (02)</t>
        </is>
      </c>
      <c r="B45" s="5" t="inlineStr">
        <is>
          <t>Phí ngân hàng</t>
        </is>
      </c>
      <c r="C45" s="6" t="n">
        <v>0</v>
      </c>
      <c r="D45" s="6" t="n">
        <v>0</v>
      </c>
      <c r="E45" s="6" t="n">
        <v/>
      </c>
      <c r="F45" s="6" t="n">
        <v/>
      </c>
      <c r="G45" s="6" t="n">
        <v>0</v>
      </c>
      <c r="H45" s="6" t="n">
        <v>0</v>
      </c>
    </row>
    <row r="46">
      <c r="A46" s="5" t="inlineStr">
        <is>
          <t>641</t>
        </is>
      </c>
      <c r="B46" s="5" t="inlineStr">
        <is>
          <t>Chi phí bán hàng</t>
        </is>
      </c>
      <c r="C46" s="6" t="n">
        <v>0</v>
      </c>
      <c r="D46" s="6" t="n">
        <v>0</v>
      </c>
      <c r="E46" s="6" t="n">
        <v/>
      </c>
      <c r="F46" s="6" t="n">
        <v/>
      </c>
      <c r="G46" s="6" t="n">
        <v>0</v>
      </c>
      <c r="H46" s="6" t="n">
        <v>0</v>
      </c>
    </row>
    <row r="47">
      <c r="A47" s="5" t="inlineStr">
        <is>
          <t>6411</t>
        </is>
      </c>
      <c r="B47" s="5" t="inlineStr">
        <is>
          <t>Chi phí nhân viên</t>
        </is>
      </c>
      <c r="C47" s="6" t="n">
        <v>0</v>
      </c>
      <c r="D47" s="6" t="n">
        <v>0</v>
      </c>
      <c r="E47" s="6" t="n">
        <v>550000000</v>
      </c>
      <c r="F47" s="6" t="n">
        <v>550000000</v>
      </c>
      <c r="G47" s="6" t="n">
        <v>0</v>
      </c>
      <c r="H47" s="6" t="n">
        <v>0</v>
      </c>
    </row>
    <row r="48">
      <c r="A48" s="5" t="inlineStr">
        <is>
          <t>6418</t>
        </is>
      </c>
      <c r="B48" s="5" t="inlineStr">
        <is>
          <t>Chi phí bằng tiền khác</t>
        </is>
      </c>
      <c r="C48" s="6" t="n">
        <v>0</v>
      </c>
      <c r="D48" s="6" t="n">
        <v>0</v>
      </c>
      <c r="E48" s="6" t="n">
        <v/>
      </c>
      <c r="F48" s="6" t="n">
        <v/>
      </c>
      <c r="G48" s="6" t="n">
        <v>0</v>
      </c>
      <c r="H48" s="6" t="n">
        <v>0</v>
      </c>
    </row>
    <row r="49">
      <c r="A49" s="5" t="inlineStr">
        <is>
          <t>642</t>
        </is>
      </c>
      <c r="B49" s="5" t="inlineStr">
        <is>
          <t>Chi phí quản lý doanh nghiệp</t>
        </is>
      </c>
      <c r="C49" s="6" t="n">
        <v>0</v>
      </c>
      <c r="D49" s="6" t="n">
        <v>0</v>
      </c>
      <c r="E49" s="6" t="n">
        <v>431797629</v>
      </c>
      <c r="F49" s="6" t="n">
        <v>431797629</v>
      </c>
      <c r="G49" s="6" t="n">
        <v>0</v>
      </c>
      <c r="H49" s="6" t="n">
        <v>0</v>
      </c>
    </row>
    <row r="50">
      <c r="A50" s="5" t="inlineStr">
        <is>
          <t>6423</t>
        </is>
      </c>
      <c r="B50" s="5" t="inlineStr">
        <is>
          <t>Chi phí nhân viên</t>
        </is>
      </c>
      <c r="C50" s="6" t="n">
        <v>0</v>
      </c>
      <c r="D50" s="6" t="n">
        <v>0</v>
      </c>
      <c r="E50" s="6" t="n">
        <v/>
      </c>
      <c r="F50" s="6" t="n">
        <v/>
      </c>
      <c r="G50" s="6" t="n">
        <v>0</v>
      </c>
      <c r="H50" s="6" t="n">
        <v>0</v>
      </c>
    </row>
    <row r="51">
      <c r="A51" s="5" t="inlineStr">
        <is>
          <t>6428</t>
        </is>
      </c>
      <c r="B51" s="5" t="inlineStr">
        <is>
          <t>Chi phí bằng tiền khác</t>
        </is>
      </c>
      <c r="C51" s="6" t="n">
        <v>0</v>
      </c>
      <c r="D51" s="6" t="n">
        <v>0</v>
      </c>
      <c r="E51" s="6" t="n">
        <v/>
      </c>
      <c r="F51" s="6" t="n">
        <v/>
      </c>
      <c r="G51" s="6" t="n">
        <v>0</v>
      </c>
      <c r="H51" s="6" t="n">
        <v>0</v>
      </c>
    </row>
    <row r="52">
      <c r="A52" s="5" t="inlineStr">
        <is>
          <t>711</t>
        </is>
      </c>
      <c r="B52" s="5" t="inlineStr">
        <is>
          <t>Thu nhập khác</t>
        </is>
      </c>
      <c r="C52" s="6" t="n">
        <v>0</v>
      </c>
      <c r="D52" s="6" t="n">
        <v>0</v>
      </c>
      <c r="E52" s="6" t="n">
        <v>316406149</v>
      </c>
      <c r="F52" s="6" t="n">
        <v>316406149</v>
      </c>
      <c r="G52" s="6" t="n">
        <v>0</v>
      </c>
      <c r="H52" s="6" t="n">
        <v>0</v>
      </c>
    </row>
    <row r="53">
      <c r="A53" s="5" t="inlineStr">
        <is>
          <t>911</t>
        </is>
      </c>
      <c r="B53" s="5" t="inlineStr">
        <is>
          <t>Xác định kết quả kinh doanh</t>
        </is>
      </c>
      <c r="C53" s="6" t="n">
        <v>0</v>
      </c>
      <c r="D53" s="6" t="n">
        <v>0</v>
      </c>
      <c r="E53" s="6" t="n">
        <v/>
      </c>
      <c r="F53" s="6" t="n">
        <v/>
      </c>
      <c r="G53" s="6" t="n">
        <v>0</v>
      </c>
      <c r="H53" s="6" t="n">
        <v>0</v>
      </c>
    </row>
    <row r="54">
      <c r="A54" s="7" t="inlineStr">
        <is>
          <t>CỘNG</t>
        </is>
      </c>
      <c r="C54" s="8">
        <f>SUM(C5:C53)</f>
        <v/>
      </c>
      <c r="D54" s="8">
        <f>SUM(D5:D53)</f>
        <v/>
      </c>
      <c r="E54" s="8">
        <f>SUM(E5:E53)</f>
        <v/>
      </c>
      <c r="F54" s="8">
        <f>SUM(F5:F53)</f>
        <v/>
      </c>
      <c r="G54" s="8">
        <f>SUM(G5:G53)</f>
        <v/>
      </c>
      <c r="H54" s="8">
        <f>SUM(H5:H53)</f>
        <v/>
      </c>
    </row>
  </sheetData>
  <mergeCells count="6">
    <mergeCell ref="B3:B4"/>
    <mergeCell ref="A3:A4"/>
    <mergeCell ref="A1:H1"/>
    <mergeCell ref="C3:D3"/>
    <mergeCell ref="G3:H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BẢNG CÂN ĐỐI KẾ TOÁN 2025</t>
        </is>
      </c>
    </row>
    <row r="3">
      <c r="A3" s="4" t="inlineStr">
        <is>
          <t>CHỈ TIÊU</t>
        </is>
      </c>
      <c r="B3" s="4" t="inlineStr">
        <is>
          <t>MÃ SỐ</t>
        </is>
      </c>
      <c r="C3" s="4" t="inlineStr">
        <is>
          <t>SỐ CUỐI NĂM</t>
        </is>
      </c>
    </row>
    <row r="5">
      <c r="A5" s="10" t="inlineStr">
        <is>
          <t>TÀI SẢN (ASSETS)</t>
        </is>
      </c>
      <c r="B5" s="11" t="inlineStr"/>
      <c r="C5" s="5" t="n"/>
    </row>
    <row r="6">
      <c r="A6" s="12" t="inlineStr">
        <is>
          <t>1. Tiền và tương đương tiền</t>
        </is>
      </c>
      <c r="B6" s="11" t="inlineStr">
        <is>
          <t>110</t>
        </is>
      </c>
      <c r="C6" s="6">
        <f>'BCĐ Tài Khoản'!G6+'BCĐ Tài Khoản'!G8</f>
        <v/>
      </c>
    </row>
    <row r="7">
      <c r="A7" s="12" t="inlineStr">
        <is>
          <t>2. Phải thu khách hàng</t>
        </is>
      </c>
      <c r="B7" s="11" t="inlineStr">
        <is>
          <t>130</t>
        </is>
      </c>
      <c r="C7" s="6">
        <f>'BCĐ Tài Khoản'!G9</f>
        <v/>
      </c>
    </row>
    <row r="8">
      <c r="A8" s="12" t="inlineStr">
        <is>
          <t>3. Hàng tồn kho</t>
        </is>
      </c>
      <c r="B8" s="11" t="inlineStr">
        <is>
          <t>140</t>
        </is>
      </c>
      <c r="C8" s="6">
        <f>'BCĐ Tài Khoản'!G16</f>
        <v/>
      </c>
    </row>
    <row r="9">
      <c r="A9" s="12" t="inlineStr">
        <is>
          <t>4. Thuế GTGT được khấu trừ (Overpaid)</t>
        </is>
      </c>
      <c r="B9" s="11" t="inlineStr">
        <is>
          <t>150</t>
        </is>
      </c>
      <c r="C9" s="6">
        <f>'BCĐ Tài Khoản'!G24</f>
        <v/>
      </c>
    </row>
    <row r="10">
      <c r="A10" s="12" t="inlineStr">
        <is>
          <t>5. Tài sản cố định</t>
        </is>
      </c>
      <c r="B10" s="11" t="inlineStr">
        <is>
          <t>210</t>
        </is>
      </c>
      <c r="C10" s="6">
        <f>'BCĐ Tài Khoản'!G18</f>
        <v/>
      </c>
    </row>
    <row r="11">
      <c r="A11" s="12" t="inlineStr">
        <is>
          <t>TỔNG CỘNG TÀI SẢN</t>
        </is>
      </c>
      <c r="B11" s="11" t="inlineStr">
        <is>
          <t>270</t>
        </is>
      </c>
      <c r="C11" s="6">
        <f>SUM(C5:C9)</f>
        <v/>
      </c>
    </row>
    <row r="12">
      <c r="A12" s="10" t="inlineStr"/>
      <c r="B12" s="11" t="inlineStr"/>
      <c r="C12" s="5" t="n"/>
    </row>
    <row r="13">
      <c r="A13" s="10" t="inlineStr">
        <is>
          <t>NGUỒN VỐN (RESOURCES)</t>
        </is>
      </c>
      <c r="B13" s="11" t="inlineStr"/>
      <c r="C13" s="5" t="n"/>
    </row>
    <row r="14">
      <c r="A14" s="12" t="inlineStr">
        <is>
          <t>1. Phải trả người bán</t>
        </is>
      </c>
      <c r="B14" s="11" t="inlineStr">
        <is>
          <t>310</t>
        </is>
      </c>
      <c r="C14" s="6">
        <f>'BCĐ Tài Khoản'!H21</f>
        <v/>
      </c>
    </row>
    <row r="15">
      <c r="A15" s="12" t="inlineStr">
        <is>
          <t>2. Vay và nợ tài chính</t>
        </is>
      </c>
      <c r="B15" s="11" t="inlineStr">
        <is>
          <t>320</t>
        </is>
      </c>
      <c r="C15" s="6">
        <f>'BCĐ Tài Khoản'!H31</f>
        <v/>
      </c>
    </row>
    <row r="16">
      <c r="A16" s="12" t="inlineStr">
        <is>
          <t>3. Vốn chủ sở hữu</t>
        </is>
      </c>
      <c r="B16" s="11" t="inlineStr">
        <is>
          <t>410</t>
        </is>
      </c>
      <c r="C16" s="6">
        <f>'BCĐ Tài Khoản'!H33</f>
        <v/>
      </c>
    </row>
    <row r="17">
      <c r="A17" s="12" t="inlineStr">
        <is>
          <t>4. Lợi nhuận chưa phân phối</t>
        </is>
      </c>
      <c r="B17" s="11" t="inlineStr">
        <is>
          <t>420</t>
        </is>
      </c>
      <c r="C17" s="6">
        <f>'BCĐ Tài Khoản'!H35 - 'BCĐ Tài Khoản'!G35</f>
        <v/>
      </c>
    </row>
    <row r="18">
      <c r="A18" s="12" t="inlineStr">
        <is>
          <t>TỔNG CỘNG NGUỒN VỐN</t>
        </is>
      </c>
      <c r="B18" s="11" t="inlineStr">
        <is>
          <t>440</t>
        </is>
      </c>
      <c r="C18" s="6">
        <f>SUM(C14:C17)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C1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CHỈ TIÊU</t>
        </is>
      </c>
      <c r="B3" s="1" t="inlineStr">
        <is>
          <t>MÃ SỐ</t>
        </is>
      </c>
      <c r="C3" s="1" t="inlineStr">
        <is>
          <t>NĂM NAY</t>
        </is>
      </c>
    </row>
    <row r="5">
      <c r="A5" s="12" t="inlineStr">
        <is>
          <t>1. Doanh thu bán hàng</t>
        </is>
      </c>
      <c r="B5" s="5" t="n"/>
      <c r="C5" s="6">
        <f>'BCĐ Tài Khoản'!F38</f>
        <v/>
      </c>
    </row>
    <row r="6">
      <c r="A6" s="12" t="inlineStr">
        <is>
          <t>2. Các khoản giảm trừ</t>
        </is>
      </c>
      <c r="B6" s="5" t="n"/>
      <c r="C6" s="6">
        <f>'BCĐ Tài Khoản'!E41</f>
        <v/>
      </c>
    </row>
    <row r="7">
      <c r="A7" s="10" t="inlineStr">
        <is>
          <t>3. Doanh thu thuần</t>
        </is>
      </c>
      <c r="B7" s="5" t="n"/>
      <c r="C7" s="6">
        <f>C5-C6</f>
        <v/>
      </c>
    </row>
    <row r="8">
      <c r="A8" s="12" t="inlineStr">
        <is>
          <t>4. Giá vốn hàng bán</t>
        </is>
      </c>
      <c r="B8" s="5" t="n"/>
      <c r="C8" s="6">
        <f>'BCĐ Tài Khoản'!E42</f>
        <v/>
      </c>
    </row>
    <row r="9">
      <c r="A9" s="12" t="inlineStr">
        <is>
          <t>5. Lợi nhuận gộp</t>
        </is>
      </c>
      <c r="B9" s="5" t="n"/>
      <c r="C9" s="6">
        <f>C7-C8</f>
        <v/>
      </c>
    </row>
    <row r="10">
      <c r="A10" s="12" t="inlineStr">
        <is>
          <t>6. Chi phí tài chính</t>
        </is>
      </c>
      <c r="B10" s="5" t="n"/>
      <c r="C10" s="6">
        <f>'BCĐ Tài Khoản'!E44</f>
        <v/>
      </c>
    </row>
    <row r="11">
      <c r="A11" s="12" t="inlineStr">
        <is>
          <t>7. Chi phí bán hàng</t>
        </is>
      </c>
      <c r="B11" s="5" t="n"/>
      <c r="C11" s="6">
        <f>'BCĐ Tài Khoản'!E47</f>
        <v/>
      </c>
    </row>
    <row r="12">
      <c r="A12" s="12" t="inlineStr">
        <is>
          <t>8. Chi phí quản lý DN</t>
        </is>
      </c>
      <c r="B12" s="5" t="n"/>
      <c r="C12" s="6">
        <f>'BCĐ Tài Khoản'!E49</f>
        <v/>
      </c>
    </row>
    <row r="13">
      <c r="A13" s="12" t="inlineStr">
        <is>
          <t>9. Chi phí khác/ Thu nhập khác (Net)</t>
        </is>
      </c>
      <c r="B13" s="5" t="n"/>
      <c r="C13" s="6">
        <f>'BCĐ Tài Khoản'!F52 - 'BCĐ Tài Khoản'!E52</f>
        <v/>
      </c>
    </row>
    <row r="14">
      <c r="A14" s="10" t="inlineStr">
        <is>
          <t>10. Lợi nhuận trước thuế</t>
        </is>
      </c>
      <c r="B14" s="5" t="n"/>
      <c r="C14" s="6">
        <f>C9 - C10 - C11 - C12 + 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2026-03-26T15:55:15Z</dcterms:created>
  <dcterms:modified xmlns:dcterms="http://purl.org/dc/terms/" xmlns:xsi="http://www.w3.org/2001/XMLSchema-instance" xsi:type="dcterms:W3CDTF">2026-03-26T15:55:15Z</dcterms:modified>
</cp:coreProperties>
</file>