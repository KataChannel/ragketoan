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E59E45F-2D55-4C4A-9044-811CB05338CA}" xr6:coauthVersionLast="47" xr6:coauthVersionMax="47" xr10:uidLastSave="{00000000-0000-0000-0000-000000000000}"/>
  <bookViews>
    <workbookView xWindow="-120" yWindow="-120" windowWidth="20730" windowHeight="11160" xr2:uid="{A09764F4-F23B-4777-B720-24AC4E0D999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" l="1"/>
  <c r="E64" i="1"/>
  <c r="C64" i="1"/>
  <c r="E66" i="1" s="1"/>
  <c r="F62" i="1"/>
  <c r="G62" i="1" s="1"/>
  <c r="F59" i="1"/>
  <c r="G59" i="1" s="1"/>
  <c r="F57" i="1"/>
  <c r="G57" i="1" s="1"/>
  <c r="F54" i="1"/>
  <c r="G54" i="1" s="1"/>
  <c r="F52" i="1"/>
  <c r="G52" i="1" s="1"/>
  <c r="G50" i="1"/>
  <c r="F50" i="1"/>
  <c r="F48" i="1"/>
  <c r="G48" i="1" s="1"/>
  <c r="F45" i="1"/>
  <c r="O45" i="1" s="1"/>
  <c r="O43" i="1"/>
  <c r="O41" i="1"/>
  <c r="G41" i="1"/>
  <c r="F41" i="1"/>
  <c r="F39" i="1"/>
  <c r="O39" i="1" s="1"/>
  <c r="G38" i="1"/>
  <c r="G36" i="1"/>
  <c r="F36" i="1"/>
  <c r="M34" i="1"/>
  <c r="L33" i="1"/>
  <c r="K33" i="1"/>
  <c r="J33" i="1"/>
  <c r="I33" i="1"/>
  <c r="H33" i="1"/>
  <c r="F33" i="1"/>
  <c r="G31" i="1"/>
  <c r="O31" i="1" s="1"/>
  <c r="O64" i="1" s="1"/>
  <c r="M30" i="1"/>
  <c r="M29" i="1" s="1"/>
  <c r="E29" i="1"/>
  <c r="C29" i="1"/>
  <c r="M28" i="1"/>
  <c r="M27" i="1"/>
  <c r="G26" i="1"/>
  <c r="F26" i="1"/>
  <c r="M26" i="1" s="1"/>
  <c r="M21" i="1"/>
  <c r="M20" i="1" s="1"/>
  <c r="M18" i="1"/>
  <c r="M16" i="1"/>
  <c r="F16" i="1"/>
  <c r="F19" i="1" s="1"/>
  <c r="G19" i="1" l="1"/>
  <c r="G64" i="1" s="1"/>
  <c r="F64" i="1"/>
  <c r="G66" i="1" s="1"/>
  <c r="M19" i="1" l="1"/>
  <c r="M64" i="1" s="1"/>
  <c r="O66" i="1" s="1"/>
</calcChain>
</file>

<file path=xl/sharedStrings.xml><?xml version="1.0" encoding="utf-8"?>
<sst xmlns="http://schemas.openxmlformats.org/spreadsheetml/2006/main" count="122" uniqueCount="112">
  <si>
    <t>CÔNG TY TNHH MỘT THÀNH VIÊN HUY VŨ</t>
  </si>
  <si>
    <t>210 Hùng vươngThành phố Pleiku, Tỉnh Gia Lai, Việt Nam</t>
  </si>
  <si>
    <t>BẢNG CÂN ĐỐI TÀI KHOẢN</t>
  </si>
  <si>
    <t>Năm 2025</t>
  </si>
  <si>
    <t>Đơn vị tính: VND</t>
  </si>
  <si>
    <t>Số hiệu tài khoản</t>
  </si>
  <si>
    <t>Tên tài khoản</t>
  </si>
  <si>
    <t>Đầu kỳ</t>
  </si>
  <si>
    <t>Phát sinh</t>
  </si>
  <si>
    <t>Cuối kỳ</t>
  </si>
  <si>
    <t>Nợ</t>
  </si>
  <si>
    <t>Có</t>
  </si>
  <si>
    <t>111</t>
  </si>
  <si>
    <t>Tiền mặt</t>
  </si>
  <si>
    <t>1111</t>
  </si>
  <si>
    <t>Tiền Việt Nam</t>
  </si>
  <si>
    <t>112</t>
  </si>
  <si>
    <t>Tiền gửi Ngân hàng</t>
  </si>
  <si>
    <t>1121</t>
  </si>
  <si>
    <t>131</t>
  </si>
  <si>
    <t>Phải thu của khách hàng</t>
  </si>
  <si>
    <t>133</t>
  </si>
  <si>
    <t>Thuế GTGT được khấu trừ</t>
  </si>
  <si>
    <t>1331</t>
  </si>
  <si>
    <t>Thuế GTGT được khấu trừ của hàng hóa, dịch vụ</t>
  </si>
  <si>
    <t>152</t>
  </si>
  <si>
    <t>Nguyên liệu, vật liệu</t>
  </si>
  <si>
    <t>153</t>
  </si>
  <si>
    <t>Công cụ, dụng cụ</t>
  </si>
  <si>
    <t>1531</t>
  </si>
  <si>
    <t>156</t>
  </si>
  <si>
    <t>Hàng hóa</t>
  </si>
  <si>
    <t>1561</t>
  </si>
  <si>
    <t>Giá mua hàng hóa</t>
  </si>
  <si>
    <t>211</t>
  </si>
  <si>
    <t>Tài sản cố định hữu hình</t>
  </si>
  <si>
    <t>2113</t>
  </si>
  <si>
    <t>Phương tiện vận tải, truyền dẫn</t>
  </si>
  <si>
    <t>214</t>
  </si>
  <si>
    <t>Hao mòn tài sản cố định</t>
  </si>
  <si>
    <t>2141</t>
  </si>
  <si>
    <t>Hao mòn TSCĐ hữu hình</t>
  </si>
  <si>
    <t>331</t>
  </si>
  <si>
    <t>Phải trả cho người bán</t>
  </si>
  <si>
    <t>333</t>
  </si>
  <si>
    <t>Thuế và các khoản phải nộp Nhà nước</t>
  </si>
  <si>
    <t>3331</t>
  </si>
  <si>
    <t>Thuế giá trị gia tăng phải nộp</t>
  </si>
  <si>
    <t>3334</t>
  </si>
  <si>
    <t>Thuế thu nhập doanh nghiệp</t>
  </si>
  <si>
    <t>3338</t>
  </si>
  <si>
    <t>Thuế bảo vệ môi trường và các loại thuế khác</t>
  </si>
  <si>
    <t>334</t>
  </si>
  <si>
    <t>Phải trả người lao động</t>
  </si>
  <si>
    <t>3348</t>
  </si>
  <si>
    <t>Phải trả người lao động khác</t>
  </si>
  <si>
    <t>338</t>
  </si>
  <si>
    <t>Phải trả, phải nộp khác</t>
  </si>
  <si>
    <t>3388</t>
  </si>
  <si>
    <t>341</t>
  </si>
  <si>
    <t>Vay và nợ thuê tài chính</t>
  </si>
  <si>
    <t>3411</t>
  </si>
  <si>
    <t>Các khoản đi vay</t>
  </si>
  <si>
    <t>411</t>
  </si>
  <si>
    <t>Vốn đầu tư của chủ sở hữu</t>
  </si>
  <si>
    <t>4118</t>
  </si>
  <si>
    <t>Vốn khác</t>
  </si>
  <si>
    <t>421</t>
  </si>
  <si>
    <t>Lợi nhuận sau thuế chưa phân phối</t>
  </si>
  <si>
    <t>4211</t>
  </si>
  <si>
    <t>Lợi nhuận sau thuế chưa phân phối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</si>
  <si>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</si>
  <si>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</si>
  <si>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</si>
  <si>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</si>
  <si>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</si>
  <si>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</si>
  <si>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515</t>
  </si>
  <si>
    <t>Doanh thu hoạt động tài chính</t>
  </si>
  <si>
    <t>521</t>
  </si>
  <si>
    <t>Các khoản giảm trừ doanh thu</t>
  </si>
  <si>
    <t>5211</t>
  </si>
  <si>
    <t>Chiết khấu thương mại</t>
  </si>
  <si>
    <t>632</t>
  </si>
  <si>
    <t>Giá vốn hàng bán</t>
  </si>
  <si>
    <t>635</t>
  </si>
  <si>
    <t>Chi phí tài chính</t>
  </si>
  <si>
    <t>635 (01)</t>
  </si>
  <si>
    <t>Lãi vay ngân hàng</t>
  </si>
  <si>
    <t>635 (02)</t>
  </si>
  <si>
    <t>Phí ngân hàng</t>
  </si>
  <si>
    <t>641</t>
  </si>
  <si>
    <t>Chi phí bán hàng</t>
  </si>
  <si>
    <t>6411</t>
  </si>
  <si>
    <t>Chi phí nhân viên</t>
  </si>
  <si>
    <t>6418</t>
  </si>
  <si>
    <t>Chi phí bằng tiền khác</t>
  </si>
  <si>
    <t>642</t>
  </si>
  <si>
    <t>Chi phí quản lý doanh nghiệp</t>
  </si>
  <si>
    <t>6423</t>
  </si>
  <si>
    <t>6428</t>
  </si>
  <si>
    <t>711</t>
  </si>
  <si>
    <t>Thu nhập khác</t>
  </si>
  <si>
    <t>911</t>
  </si>
  <si>
    <t>Xác định kết quả kinh doanh</t>
  </si>
  <si>
    <t>Cộng</t>
  </si>
  <si>
    <t>Lập, Ngày ..... tháng ..... năm .........</t>
  </si>
  <si>
    <t>Người lập biểu</t>
  </si>
  <si>
    <t>Kế toán trưởng</t>
  </si>
  <si>
    <t>Giám đốc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</si>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</sst>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center" wrapText="1" readingOrder="1"/>
    </xf>
    <xf numFmtId="0" fontId="0" fillId="0" borderId="1" xfId="0" applyBorder="1" applyAlignment="1">
      <alignment vertical="top"/>
    </xf>
    <xf numFmtId="0" fontId="6" fillId="0" borderId="2" xfId="0" applyFont="1" applyBorder="1" applyAlignment="1">
      <alignment horizontal="center" vertical="center" wrapText="1" readingOrder="1"/>
    </xf>
    <xf numFmtId="164" fontId="6" fillId="0" borderId="2" xfId="0" applyNumberFormat="1" applyFont="1" applyBorder="1" applyAlignment="1">
      <alignment horizontal="center" vertical="center" wrapText="1" readingOrder="1"/>
    </xf>
    <xf numFmtId="0" fontId="0" fillId="0" borderId="3" xfId="0" applyBorder="1" applyAlignment="1">
      <alignment vertical="top"/>
    </xf>
    <xf numFmtId="164" fontId="6" fillId="0" borderId="2" xfId="0" applyNumberFormat="1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164" fontId="7" fillId="0" borderId="2" xfId="0" applyNumberFormat="1" applyFont="1" applyBorder="1" applyAlignment="1">
      <alignment horizontal="right" vertical="center" wrapText="1" readingOrder="1"/>
    </xf>
    <xf numFmtId="164" fontId="7" fillId="0" borderId="2" xfId="0" applyNumberFormat="1" applyFont="1" applyBorder="1" applyAlignment="1">
      <alignment horizontal="righ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164" fontId="8" fillId="0" borderId="2" xfId="0" applyNumberFormat="1" applyFont="1" applyBorder="1" applyAlignment="1">
      <alignment horizontal="right" vertical="center" wrapText="1" readingOrder="1"/>
    </xf>
    <xf numFmtId="164" fontId="8" fillId="0" borderId="2" xfId="0" applyNumberFormat="1" applyFont="1" applyBorder="1" applyAlignment="1">
      <alignment horizontal="right" vertical="center" wrapText="1" readingOrder="1"/>
    </xf>
    <xf numFmtId="164" fontId="7" fillId="0" borderId="4" xfId="0" applyNumberFormat="1" applyFont="1" applyBorder="1" applyAlignment="1">
      <alignment horizontal="right" vertical="center" wrapText="1" readingOrder="1"/>
    </xf>
    <xf numFmtId="164" fontId="7" fillId="0" borderId="5" xfId="0" applyNumberFormat="1" applyFont="1" applyBorder="1" applyAlignment="1">
      <alignment horizontal="right" vertical="center" wrapText="1" readingOrder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1" fillId="0" borderId="3" xfId="0" applyFont="1" applyBorder="1" applyAlignment="1">
      <alignment vertical="top"/>
    </xf>
    <xf numFmtId="0" fontId="1" fillId="0" borderId="0" xfId="0" applyFont="1"/>
    <xf numFmtId="3" fontId="9" fillId="0" borderId="0" xfId="0" applyNumberFormat="1" applyFont="1"/>
    <xf numFmtId="164" fontId="7" fillId="0" borderId="2" xfId="0" applyNumberFormat="1" applyFont="1" applyBorder="1" applyAlignment="1">
      <alignment vertical="center" wrapText="1" readingOrder="1"/>
    </xf>
    <xf numFmtId="164" fontId="7" fillId="0" borderId="8" xfId="0" applyNumberFormat="1" applyFont="1" applyBorder="1" applyAlignment="1">
      <alignment horizontal="right" vertical="center" wrapText="1" readingOrder="1"/>
    </xf>
    <xf numFmtId="164" fontId="8" fillId="0" borderId="2" xfId="0" applyNumberFormat="1" applyFont="1" applyBorder="1" applyAlignment="1">
      <alignment vertical="center" wrapText="1" readingOrder="1"/>
    </xf>
    <xf numFmtId="164" fontId="7" fillId="0" borderId="4" xfId="0" applyNumberFormat="1" applyFont="1" applyBorder="1" applyAlignment="1">
      <alignment horizontal="center" vertical="center" wrapText="1" readingOrder="1"/>
    </xf>
    <xf numFmtId="164" fontId="7" fillId="0" borderId="8" xfId="0" applyNumberFormat="1" applyFont="1" applyBorder="1" applyAlignment="1">
      <alignment horizontal="center" vertical="center" wrapText="1" readingOrder="1"/>
    </xf>
    <xf numFmtId="164" fontId="7" fillId="0" borderId="5" xfId="0" applyNumberFormat="1" applyFont="1" applyBorder="1" applyAlignment="1">
      <alignment horizontal="center" vertical="center" wrapText="1" readingOrder="1"/>
    </xf>
    <xf numFmtId="0" fontId="0" fillId="0" borderId="9" xfId="0" applyBorder="1" applyAlignment="1">
      <alignment vertical="top"/>
    </xf>
    <xf numFmtId="164" fontId="0" fillId="0" borderId="9" xfId="0" applyNumberFormat="1" applyBorder="1" applyAlignment="1">
      <alignment vertical="top"/>
    </xf>
    <xf numFmtId="164" fontId="0" fillId="0" borderId="0" xfId="0" applyNumberFormat="1"/>
    <xf numFmtId="164" fontId="2" fillId="0" borderId="0" xfId="0" applyNumberFormat="1" applyFont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164" fontId="2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N&#258;M%202025%20HV\SL%20QUY&#7870;T%20TO&#193;N%202025%20HV.xlsx" TargetMode="External"/><Relationship Id="rId1" Type="http://schemas.openxmlformats.org/officeDocument/2006/relationships/externalLinkPath" Target="N&#258;M%202025%20HV/SL%20QUY&#7870;T%20TO&#193;N%202025%20H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T THUẾ THU NHẬP CN"/>
      <sheetName val="SỐ LIỆU QT TTNDN"/>
      <sheetName val="Sheet1"/>
    </sheetNames>
    <sheetDataSet>
      <sheetData sheetId="0"/>
      <sheetData sheetId="1">
        <row r="2">
          <cell r="C2">
            <v>21855011663</v>
          </cell>
        </row>
        <row r="3">
          <cell r="C3">
            <v>20762261079.849998</v>
          </cell>
        </row>
        <row r="7">
          <cell r="C7">
            <v>550000000</v>
          </cell>
        </row>
        <row r="8">
          <cell r="C8">
            <v>431797629</v>
          </cell>
        </row>
        <row r="9">
          <cell r="C9">
            <v>566363005</v>
          </cell>
        </row>
        <row r="11">
          <cell r="C11">
            <v>316406149</v>
          </cell>
        </row>
      </sheetData>
      <sheetData sheetId="2">
        <row r="17">
          <cell r="D17">
            <v>1932114826</v>
          </cell>
          <cell r="L17">
            <v>19151978036</v>
          </cell>
          <cell r="M17">
            <v>1679657822</v>
          </cell>
        </row>
        <row r="18">
          <cell r="C18">
            <v>21855011663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3063-870A-4AD7-BCCC-94186C586DDB}">
  <dimension ref="A1:P80"/>
  <sheetViews>
    <sheetView tabSelected="1" topLeftCell="A25" workbookViewId="0">
      <selection activeCell="C56" sqref="C56:D56"/>
    </sheetView>
  </sheetViews>
  <sheetFormatPr defaultRowHeight="15" x14ac:dyDescent="0.25"/>
  <cols>
    <col min="1" max="1" width="8.7109375" customWidth="1"/>
    <col min="2" max="2" width="37.7109375" customWidth="1"/>
    <col min="3" max="3" width="3.140625" customWidth="1"/>
    <col min="4" max="4" width="13.140625" customWidth="1"/>
    <col min="5" max="6" width="16.28515625" customWidth="1"/>
    <col min="7" max="7" width="4.5703125" customWidth="1"/>
    <col min="8" max="8" width="0.85546875" customWidth="1"/>
    <col min="9" max="9" width="0.140625" customWidth="1"/>
    <col min="10" max="10" width="6" customWidth="1"/>
    <col min="11" max="11" width="0.140625" customWidth="1"/>
    <col min="12" max="12" width="4.5703125" customWidth="1"/>
    <col min="13" max="13" width="13.140625" customWidth="1"/>
    <col min="14" max="14" width="3.140625" customWidth="1"/>
    <col min="15" max="15" width="16.28515625" customWidth="1"/>
    <col min="16" max="16" width="0.140625" customWidth="1"/>
    <col min="248" max="248" width="8.7109375" customWidth="1"/>
    <col min="249" max="249" width="31.85546875" customWidth="1"/>
    <col min="250" max="250" width="3.140625" customWidth="1"/>
    <col min="251" max="251" width="13.140625" customWidth="1"/>
    <col min="252" max="253" width="16.28515625" customWidth="1"/>
    <col min="254" max="254" width="4.5703125" customWidth="1"/>
    <col min="255" max="255" width="0.85546875" customWidth="1"/>
    <col min="256" max="256" width="0.140625" customWidth="1"/>
    <col min="257" max="257" width="6" customWidth="1"/>
    <col min="258" max="258" width="0.140625" customWidth="1"/>
    <col min="259" max="259" width="4.5703125" customWidth="1"/>
    <col min="260" max="260" width="13.140625" customWidth="1"/>
    <col min="261" max="261" width="3.140625" customWidth="1"/>
    <col min="262" max="262" width="16.28515625" customWidth="1"/>
    <col min="263" max="263" width="0.140625" customWidth="1"/>
    <col min="504" max="504" width="8.7109375" customWidth="1"/>
    <col min="505" max="505" width="31.85546875" customWidth="1"/>
    <col min="506" max="506" width="3.140625" customWidth="1"/>
    <col min="507" max="507" width="13.140625" customWidth="1"/>
    <col min="508" max="509" width="16.28515625" customWidth="1"/>
    <col min="510" max="510" width="4.5703125" customWidth="1"/>
    <col min="511" max="511" width="0.85546875" customWidth="1"/>
    <col min="512" max="512" width="0.140625" customWidth="1"/>
    <col min="513" max="513" width="6" customWidth="1"/>
    <col min="514" max="514" width="0.140625" customWidth="1"/>
    <col min="515" max="515" width="4.5703125" customWidth="1"/>
    <col min="516" max="516" width="13.140625" customWidth="1"/>
    <col min="517" max="517" width="3.140625" customWidth="1"/>
    <col min="518" max="518" width="16.28515625" customWidth="1"/>
    <col min="519" max="519" width="0.140625" customWidth="1"/>
    <col min="760" max="760" width="8.7109375" customWidth="1"/>
    <col min="761" max="761" width="31.85546875" customWidth="1"/>
    <col min="762" max="762" width="3.140625" customWidth="1"/>
    <col min="763" max="763" width="13.140625" customWidth="1"/>
    <col min="764" max="765" width="16.28515625" customWidth="1"/>
    <col min="766" max="766" width="4.5703125" customWidth="1"/>
    <col min="767" max="767" width="0.85546875" customWidth="1"/>
    <col min="768" max="768" width="0.140625" customWidth="1"/>
    <col min="769" max="769" width="6" customWidth="1"/>
    <col min="770" max="770" width="0.140625" customWidth="1"/>
    <col min="771" max="771" width="4.5703125" customWidth="1"/>
    <col min="772" max="772" width="13.140625" customWidth="1"/>
    <col min="773" max="773" width="3.140625" customWidth="1"/>
    <col min="774" max="774" width="16.28515625" customWidth="1"/>
    <col min="775" max="775" width="0.140625" customWidth="1"/>
    <col min="1016" max="1016" width="8.7109375" customWidth="1"/>
    <col min="1017" max="1017" width="31.85546875" customWidth="1"/>
    <col min="1018" max="1018" width="3.140625" customWidth="1"/>
    <col min="1019" max="1019" width="13.140625" customWidth="1"/>
    <col min="1020" max="1021" width="16.28515625" customWidth="1"/>
    <col min="1022" max="1022" width="4.5703125" customWidth="1"/>
    <col min="1023" max="1023" width="0.85546875" customWidth="1"/>
    <col min="1024" max="1024" width="0.140625" customWidth="1"/>
    <col min="1025" max="1025" width="6" customWidth="1"/>
    <col min="1026" max="1026" width="0.140625" customWidth="1"/>
    <col min="1027" max="1027" width="4.5703125" customWidth="1"/>
    <col min="1028" max="1028" width="13.140625" customWidth="1"/>
    <col min="1029" max="1029" width="3.140625" customWidth="1"/>
    <col min="1030" max="1030" width="16.28515625" customWidth="1"/>
    <col min="1031" max="1031" width="0.140625" customWidth="1"/>
    <col min="1272" max="1272" width="8.7109375" customWidth="1"/>
    <col min="1273" max="1273" width="31.85546875" customWidth="1"/>
    <col min="1274" max="1274" width="3.140625" customWidth="1"/>
    <col min="1275" max="1275" width="13.140625" customWidth="1"/>
    <col min="1276" max="1277" width="16.28515625" customWidth="1"/>
    <col min="1278" max="1278" width="4.5703125" customWidth="1"/>
    <col min="1279" max="1279" width="0.85546875" customWidth="1"/>
    <col min="1280" max="1280" width="0.140625" customWidth="1"/>
    <col min="1281" max="1281" width="6" customWidth="1"/>
    <col min="1282" max="1282" width="0.140625" customWidth="1"/>
    <col min="1283" max="1283" width="4.5703125" customWidth="1"/>
    <col min="1284" max="1284" width="13.140625" customWidth="1"/>
    <col min="1285" max="1285" width="3.140625" customWidth="1"/>
    <col min="1286" max="1286" width="16.28515625" customWidth="1"/>
    <col min="1287" max="1287" width="0.140625" customWidth="1"/>
    <col min="1528" max="1528" width="8.7109375" customWidth="1"/>
    <col min="1529" max="1529" width="31.85546875" customWidth="1"/>
    <col min="1530" max="1530" width="3.140625" customWidth="1"/>
    <col min="1531" max="1531" width="13.140625" customWidth="1"/>
    <col min="1532" max="1533" width="16.28515625" customWidth="1"/>
    <col min="1534" max="1534" width="4.5703125" customWidth="1"/>
    <col min="1535" max="1535" width="0.85546875" customWidth="1"/>
    <col min="1536" max="1536" width="0.140625" customWidth="1"/>
    <col min="1537" max="1537" width="6" customWidth="1"/>
    <col min="1538" max="1538" width="0.140625" customWidth="1"/>
    <col min="1539" max="1539" width="4.5703125" customWidth="1"/>
    <col min="1540" max="1540" width="13.140625" customWidth="1"/>
    <col min="1541" max="1541" width="3.140625" customWidth="1"/>
    <col min="1542" max="1542" width="16.28515625" customWidth="1"/>
    <col min="1543" max="1543" width="0.140625" customWidth="1"/>
    <col min="1784" max="1784" width="8.7109375" customWidth="1"/>
    <col min="1785" max="1785" width="31.85546875" customWidth="1"/>
    <col min="1786" max="1786" width="3.140625" customWidth="1"/>
    <col min="1787" max="1787" width="13.140625" customWidth="1"/>
    <col min="1788" max="1789" width="16.28515625" customWidth="1"/>
    <col min="1790" max="1790" width="4.5703125" customWidth="1"/>
    <col min="1791" max="1791" width="0.85546875" customWidth="1"/>
    <col min="1792" max="1792" width="0.140625" customWidth="1"/>
    <col min="1793" max="1793" width="6" customWidth="1"/>
    <col min="1794" max="1794" width="0.140625" customWidth="1"/>
    <col min="1795" max="1795" width="4.5703125" customWidth="1"/>
    <col min="1796" max="1796" width="13.140625" customWidth="1"/>
    <col min="1797" max="1797" width="3.140625" customWidth="1"/>
    <col min="1798" max="1798" width="16.28515625" customWidth="1"/>
    <col min="1799" max="1799" width="0.140625" customWidth="1"/>
    <col min="2040" max="2040" width="8.7109375" customWidth="1"/>
    <col min="2041" max="2041" width="31.85546875" customWidth="1"/>
    <col min="2042" max="2042" width="3.140625" customWidth="1"/>
    <col min="2043" max="2043" width="13.140625" customWidth="1"/>
    <col min="2044" max="2045" width="16.28515625" customWidth="1"/>
    <col min="2046" max="2046" width="4.5703125" customWidth="1"/>
    <col min="2047" max="2047" width="0.85546875" customWidth="1"/>
    <col min="2048" max="2048" width="0.140625" customWidth="1"/>
    <col min="2049" max="2049" width="6" customWidth="1"/>
    <col min="2050" max="2050" width="0.140625" customWidth="1"/>
    <col min="2051" max="2051" width="4.5703125" customWidth="1"/>
    <col min="2052" max="2052" width="13.140625" customWidth="1"/>
    <col min="2053" max="2053" width="3.140625" customWidth="1"/>
    <col min="2054" max="2054" width="16.28515625" customWidth="1"/>
    <col min="2055" max="2055" width="0.140625" customWidth="1"/>
    <col min="2296" max="2296" width="8.7109375" customWidth="1"/>
    <col min="2297" max="2297" width="31.85546875" customWidth="1"/>
    <col min="2298" max="2298" width="3.140625" customWidth="1"/>
    <col min="2299" max="2299" width="13.140625" customWidth="1"/>
    <col min="2300" max="2301" width="16.28515625" customWidth="1"/>
    <col min="2302" max="2302" width="4.5703125" customWidth="1"/>
    <col min="2303" max="2303" width="0.85546875" customWidth="1"/>
    <col min="2304" max="2304" width="0.140625" customWidth="1"/>
    <col min="2305" max="2305" width="6" customWidth="1"/>
    <col min="2306" max="2306" width="0.140625" customWidth="1"/>
    <col min="2307" max="2307" width="4.5703125" customWidth="1"/>
    <col min="2308" max="2308" width="13.140625" customWidth="1"/>
    <col min="2309" max="2309" width="3.140625" customWidth="1"/>
    <col min="2310" max="2310" width="16.28515625" customWidth="1"/>
    <col min="2311" max="2311" width="0.140625" customWidth="1"/>
    <col min="2552" max="2552" width="8.7109375" customWidth="1"/>
    <col min="2553" max="2553" width="31.85546875" customWidth="1"/>
    <col min="2554" max="2554" width="3.140625" customWidth="1"/>
    <col min="2555" max="2555" width="13.140625" customWidth="1"/>
    <col min="2556" max="2557" width="16.28515625" customWidth="1"/>
    <col min="2558" max="2558" width="4.5703125" customWidth="1"/>
    <col min="2559" max="2559" width="0.85546875" customWidth="1"/>
    <col min="2560" max="2560" width="0.140625" customWidth="1"/>
    <col min="2561" max="2561" width="6" customWidth="1"/>
    <col min="2562" max="2562" width="0.140625" customWidth="1"/>
    <col min="2563" max="2563" width="4.5703125" customWidth="1"/>
    <col min="2564" max="2564" width="13.140625" customWidth="1"/>
    <col min="2565" max="2565" width="3.140625" customWidth="1"/>
    <col min="2566" max="2566" width="16.28515625" customWidth="1"/>
    <col min="2567" max="2567" width="0.140625" customWidth="1"/>
    <col min="2808" max="2808" width="8.7109375" customWidth="1"/>
    <col min="2809" max="2809" width="31.85546875" customWidth="1"/>
    <col min="2810" max="2810" width="3.140625" customWidth="1"/>
    <col min="2811" max="2811" width="13.140625" customWidth="1"/>
    <col min="2812" max="2813" width="16.28515625" customWidth="1"/>
    <col min="2814" max="2814" width="4.5703125" customWidth="1"/>
    <col min="2815" max="2815" width="0.85546875" customWidth="1"/>
    <col min="2816" max="2816" width="0.140625" customWidth="1"/>
    <col min="2817" max="2817" width="6" customWidth="1"/>
    <col min="2818" max="2818" width="0.140625" customWidth="1"/>
    <col min="2819" max="2819" width="4.5703125" customWidth="1"/>
    <col min="2820" max="2820" width="13.140625" customWidth="1"/>
    <col min="2821" max="2821" width="3.140625" customWidth="1"/>
    <col min="2822" max="2822" width="16.28515625" customWidth="1"/>
    <col min="2823" max="2823" width="0.140625" customWidth="1"/>
    <col min="3064" max="3064" width="8.7109375" customWidth="1"/>
    <col min="3065" max="3065" width="31.85546875" customWidth="1"/>
    <col min="3066" max="3066" width="3.140625" customWidth="1"/>
    <col min="3067" max="3067" width="13.140625" customWidth="1"/>
    <col min="3068" max="3069" width="16.28515625" customWidth="1"/>
    <col min="3070" max="3070" width="4.5703125" customWidth="1"/>
    <col min="3071" max="3071" width="0.85546875" customWidth="1"/>
    <col min="3072" max="3072" width="0.140625" customWidth="1"/>
    <col min="3073" max="3073" width="6" customWidth="1"/>
    <col min="3074" max="3074" width="0.140625" customWidth="1"/>
    <col min="3075" max="3075" width="4.5703125" customWidth="1"/>
    <col min="3076" max="3076" width="13.140625" customWidth="1"/>
    <col min="3077" max="3077" width="3.140625" customWidth="1"/>
    <col min="3078" max="3078" width="16.28515625" customWidth="1"/>
    <col min="3079" max="3079" width="0.140625" customWidth="1"/>
    <col min="3320" max="3320" width="8.7109375" customWidth="1"/>
    <col min="3321" max="3321" width="31.85546875" customWidth="1"/>
    <col min="3322" max="3322" width="3.140625" customWidth="1"/>
    <col min="3323" max="3323" width="13.140625" customWidth="1"/>
    <col min="3324" max="3325" width="16.28515625" customWidth="1"/>
    <col min="3326" max="3326" width="4.5703125" customWidth="1"/>
    <col min="3327" max="3327" width="0.85546875" customWidth="1"/>
    <col min="3328" max="3328" width="0.140625" customWidth="1"/>
    <col min="3329" max="3329" width="6" customWidth="1"/>
    <col min="3330" max="3330" width="0.140625" customWidth="1"/>
    <col min="3331" max="3331" width="4.5703125" customWidth="1"/>
    <col min="3332" max="3332" width="13.140625" customWidth="1"/>
    <col min="3333" max="3333" width="3.140625" customWidth="1"/>
    <col min="3334" max="3334" width="16.28515625" customWidth="1"/>
    <col min="3335" max="3335" width="0.140625" customWidth="1"/>
    <col min="3576" max="3576" width="8.7109375" customWidth="1"/>
    <col min="3577" max="3577" width="31.85546875" customWidth="1"/>
    <col min="3578" max="3578" width="3.140625" customWidth="1"/>
    <col min="3579" max="3579" width="13.140625" customWidth="1"/>
    <col min="3580" max="3581" width="16.28515625" customWidth="1"/>
    <col min="3582" max="3582" width="4.5703125" customWidth="1"/>
    <col min="3583" max="3583" width="0.85546875" customWidth="1"/>
    <col min="3584" max="3584" width="0.140625" customWidth="1"/>
    <col min="3585" max="3585" width="6" customWidth="1"/>
    <col min="3586" max="3586" width="0.140625" customWidth="1"/>
    <col min="3587" max="3587" width="4.5703125" customWidth="1"/>
    <col min="3588" max="3588" width="13.140625" customWidth="1"/>
    <col min="3589" max="3589" width="3.140625" customWidth="1"/>
    <col min="3590" max="3590" width="16.28515625" customWidth="1"/>
    <col min="3591" max="3591" width="0.140625" customWidth="1"/>
    <col min="3832" max="3832" width="8.7109375" customWidth="1"/>
    <col min="3833" max="3833" width="31.85546875" customWidth="1"/>
    <col min="3834" max="3834" width="3.140625" customWidth="1"/>
    <col min="3835" max="3835" width="13.140625" customWidth="1"/>
    <col min="3836" max="3837" width="16.28515625" customWidth="1"/>
    <col min="3838" max="3838" width="4.5703125" customWidth="1"/>
    <col min="3839" max="3839" width="0.85546875" customWidth="1"/>
    <col min="3840" max="3840" width="0.140625" customWidth="1"/>
    <col min="3841" max="3841" width="6" customWidth="1"/>
    <col min="3842" max="3842" width="0.140625" customWidth="1"/>
    <col min="3843" max="3843" width="4.5703125" customWidth="1"/>
    <col min="3844" max="3844" width="13.140625" customWidth="1"/>
    <col min="3845" max="3845" width="3.140625" customWidth="1"/>
    <col min="3846" max="3846" width="16.28515625" customWidth="1"/>
    <col min="3847" max="3847" width="0.140625" customWidth="1"/>
    <col min="4088" max="4088" width="8.7109375" customWidth="1"/>
    <col min="4089" max="4089" width="31.85546875" customWidth="1"/>
    <col min="4090" max="4090" width="3.140625" customWidth="1"/>
    <col min="4091" max="4091" width="13.140625" customWidth="1"/>
    <col min="4092" max="4093" width="16.28515625" customWidth="1"/>
    <col min="4094" max="4094" width="4.5703125" customWidth="1"/>
    <col min="4095" max="4095" width="0.85546875" customWidth="1"/>
    <col min="4096" max="4096" width="0.140625" customWidth="1"/>
    <col min="4097" max="4097" width="6" customWidth="1"/>
    <col min="4098" max="4098" width="0.140625" customWidth="1"/>
    <col min="4099" max="4099" width="4.5703125" customWidth="1"/>
    <col min="4100" max="4100" width="13.140625" customWidth="1"/>
    <col min="4101" max="4101" width="3.140625" customWidth="1"/>
    <col min="4102" max="4102" width="16.28515625" customWidth="1"/>
    <col min="4103" max="4103" width="0.140625" customWidth="1"/>
    <col min="4344" max="4344" width="8.7109375" customWidth="1"/>
    <col min="4345" max="4345" width="31.85546875" customWidth="1"/>
    <col min="4346" max="4346" width="3.140625" customWidth="1"/>
    <col min="4347" max="4347" width="13.140625" customWidth="1"/>
    <col min="4348" max="4349" width="16.28515625" customWidth="1"/>
    <col min="4350" max="4350" width="4.5703125" customWidth="1"/>
    <col min="4351" max="4351" width="0.85546875" customWidth="1"/>
    <col min="4352" max="4352" width="0.140625" customWidth="1"/>
    <col min="4353" max="4353" width="6" customWidth="1"/>
    <col min="4354" max="4354" width="0.140625" customWidth="1"/>
    <col min="4355" max="4355" width="4.5703125" customWidth="1"/>
    <col min="4356" max="4356" width="13.140625" customWidth="1"/>
    <col min="4357" max="4357" width="3.140625" customWidth="1"/>
    <col min="4358" max="4358" width="16.28515625" customWidth="1"/>
    <col min="4359" max="4359" width="0.140625" customWidth="1"/>
    <col min="4600" max="4600" width="8.7109375" customWidth="1"/>
    <col min="4601" max="4601" width="31.85546875" customWidth="1"/>
    <col min="4602" max="4602" width="3.140625" customWidth="1"/>
    <col min="4603" max="4603" width="13.140625" customWidth="1"/>
    <col min="4604" max="4605" width="16.28515625" customWidth="1"/>
    <col min="4606" max="4606" width="4.5703125" customWidth="1"/>
    <col min="4607" max="4607" width="0.85546875" customWidth="1"/>
    <col min="4608" max="4608" width="0.140625" customWidth="1"/>
    <col min="4609" max="4609" width="6" customWidth="1"/>
    <col min="4610" max="4610" width="0.140625" customWidth="1"/>
    <col min="4611" max="4611" width="4.5703125" customWidth="1"/>
    <col min="4612" max="4612" width="13.140625" customWidth="1"/>
    <col min="4613" max="4613" width="3.140625" customWidth="1"/>
    <col min="4614" max="4614" width="16.28515625" customWidth="1"/>
    <col min="4615" max="4615" width="0.140625" customWidth="1"/>
    <col min="4856" max="4856" width="8.7109375" customWidth="1"/>
    <col min="4857" max="4857" width="31.85546875" customWidth="1"/>
    <col min="4858" max="4858" width="3.140625" customWidth="1"/>
    <col min="4859" max="4859" width="13.140625" customWidth="1"/>
    <col min="4860" max="4861" width="16.28515625" customWidth="1"/>
    <col min="4862" max="4862" width="4.5703125" customWidth="1"/>
    <col min="4863" max="4863" width="0.85546875" customWidth="1"/>
    <col min="4864" max="4864" width="0.140625" customWidth="1"/>
    <col min="4865" max="4865" width="6" customWidth="1"/>
    <col min="4866" max="4866" width="0.140625" customWidth="1"/>
    <col min="4867" max="4867" width="4.5703125" customWidth="1"/>
    <col min="4868" max="4868" width="13.140625" customWidth="1"/>
    <col min="4869" max="4869" width="3.140625" customWidth="1"/>
    <col min="4870" max="4870" width="16.28515625" customWidth="1"/>
    <col min="4871" max="4871" width="0.140625" customWidth="1"/>
    <col min="5112" max="5112" width="8.7109375" customWidth="1"/>
    <col min="5113" max="5113" width="31.85546875" customWidth="1"/>
    <col min="5114" max="5114" width="3.140625" customWidth="1"/>
    <col min="5115" max="5115" width="13.140625" customWidth="1"/>
    <col min="5116" max="5117" width="16.28515625" customWidth="1"/>
    <col min="5118" max="5118" width="4.5703125" customWidth="1"/>
    <col min="5119" max="5119" width="0.85546875" customWidth="1"/>
    <col min="5120" max="5120" width="0.140625" customWidth="1"/>
    <col min="5121" max="5121" width="6" customWidth="1"/>
    <col min="5122" max="5122" width="0.140625" customWidth="1"/>
    <col min="5123" max="5123" width="4.5703125" customWidth="1"/>
    <col min="5124" max="5124" width="13.140625" customWidth="1"/>
    <col min="5125" max="5125" width="3.140625" customWidth="1"/>
    <col min="5126" max="5126" width="16.28515625" customWidth="1"/>
    <col min="5127" max="5127" width="0.140625" customWidth="1"/>
    <col min="5368" max="5368" width="8.7109375" customWidth="1"/>
    <col min="5369" max="5369" width="31.85546875" customWidth="1"/>
    <col min="5370" max="5370" width="3.140625" customWidth="1"/>
    <col min="5371" max="5371" width="13.140625" customWidth="1"/>
    <col min="5372" max="5373" width="16.28515625" customWidth="1"/>
    <col min="5374" max="5374" width="4.5703125" customWidth="1"/>
    <col min="5375" max="5375" width="0.85546875" customWidth="1"/>
    <col min="5376" max="5376" width="0.140625" customWidth="1"/>
    <col min="5377" max="5377" width="6" customWidth="1"/>
    <col min="5378" max="5378" width="0.140625" customWidth="1"/>
    <col min="5379" max="5379" width="4.5703125" customWidth="1"/>
    <col min="5380" max="5380" width="13.140625" customWidth="1"/>
    <col min="5381" max="5381" width="3.140625" customWidth="1"/>
    <col min="5382" max="5382" width="16.28515625" customWidth="1"/>
    <col min="5383" max="5383" width="0.140625" customWidth="1"/>
    <col min="5624" max="5624" width="8.7109375" customWidth="1"/>
    <col min="5625" max="5625" width="31.85546875" customWidth="1"/>
    <col min="5626" max="5626" width="3.140625" customWidth="1"/>
    <col min="5627" max="5627" width="13.140625" customWidth="1"/>
    <col min="5628" max="5629" width="16.28515625" customWidth="1"/>
    <col min="5630" max="5630" width="4.5703125" customWidth="1"/>
    <col min="5631" max="5631" width="0.85546875" customWidth="1"/>
    <col min="5632" max="5632" width="0.140625" customWidth="1"/>
    <col min="5633" max="5633" width="6" customWidth="1"/>
    <col min="5634" max="5634" width="0.140625" customWidth="1"/>
    <col min="5635" max="5635" width="4.5703125" customWidth="1"/>
    <col min="5636" max="5636" width="13.140625" customWidth="1"/>
    <col min="5637" max="5637" width="3.140625" customWidth="1"/>
    <col min="5638" max="5638" width="16.28515625" customWidth="1"/>
    <col min="5639" max="5639" width="0.140625" customWidth="1"/>
    <col min="5880" max="5880" width="8.7109375" customWidth="1"/>
    <col min="5881" max="5881" width="31.85546875" customWidth="1"/>
    <col min="5882" max="5882" width="3.140625" customWidth="1"/>
    <col min="5883" max="5883" width="13.140625" customWidth="1"/>
    <col min="5884" max="5885" width="16.28515625" customWidth="1"/>
    <col min="5886" max="5886" width="4.5703125" customWidth="1"/>
    <col min="5887" max="5887" width="0.85546875" customWidth="1"/>
    <col min="5888" max="5888" width="0.140625" customWidth="1"/>
    <col min="5889" max="5889" width="6" customWidth="1"/>
    <col min="5890" max="5890" width="0.140625" customWidth="1"/>
    <col min="5891" max="5891" width="4.5703125" customWidth="1"/>
    <col min="5892" max="5892" width="13.140625" customWidth="1"/>
    <col min="5893" max="5893" width="3.140625" customWidth="1"/>
    <col min="5894" max="5894" width="16.28515625" customWidth="1"/>
    <col min="5895" max="5895" width="0.140625" customWidth="1"/>
    <col min="6136" max="6136" width="8.7109375" customWidth="1"/>
    <col min="6137" max="6137" width="31.85546875" customWidth="1"/>
    <col min="6138" max="6138" width="3.140625" customWidth="1"/>
    <col min="6139" max="6139" width="13.140625" customWidth="1"/>
    <col min="6140" max="6141" width="16.28515625" customWidth="1"/>
    <col min="6142" max="6142" width="4.5703125" customWidth="1"/>
    <col min="6143" max="6143" width="0.85546875" customWidth="1"/>
    <col min="6144" max="6144" width="0.140625" customWidth="1"/>
    <col min="6145" max="6145" width="6" customWidth="1"/>
    <col min="6146" max="6146" width="0.140625" customWidth="1"/>
    <col min="6147" max="6147" width="4.5703125" customWidth="1"/>
    <col min="6148" max="6148" width="13.140625" customWidth="1"/>
    <col min="6149" max="6149" width="3.140625" customWidth="1"/>
    <col min="6150" max="6150" width="16.28515625" customWidth="1"/>
    <col min="6151" max="6151" width="0.140625" customWidth="1"/>
    <col min="6392" max="6392" width="8.7109375" customWidth="1"/>
    <col min="6393" max="6393" width="31.85546875" customWidth="1"/>
    <col min="6394" max="6394" width="3.140625" customWidth="1"/>
    <col min="6395" max="6395" width="13.140625" customWidth="1"/>
    <col min="6396" max="6397" width="16.28515625" customWidth="1"/>
    <col min="6398" max="6398" width="4.5703125" customWidth="1"/>
    <col min="6399" max="6399" width="0.85546875" customWidth="1"/>
    <col min="6400" max="6400" width="0.140625" customWidth="1"/>
    <col min="6401" max="6401" width="6" customWidth="1"/>
    <col min="6402" max="6402" width="0.140625" customWidth="1"/>
    <col min="6403" max="6403" width="4.5703125" customWidth="1"/>
    <col min="6404" max="6404" width="13.140625" customWidth="1"/>
    <col min="6405" max="6405" width="3.140625" customWidth="1"/>
    <col min="6406" max="6406" width="16.28515625" customWidth="1"/>
    <col min="6407" max="6407" width="0.140625" customWidth="1"/>
    <col min="6648" max="6648" width="8.7109375" customWidth="1"/>
    <col min="6649" max="6649" width="31.85546875" customWidth="1"/>
    <col min="6650" max="6650" width="3.140625" customWidth="1"/>
    <col min="6651" max="6651" width="13.140625" customWidth="1"/>
    <col min="6652" max="6653" width="16.28515625" customWidth="1"/>
    <col min="6654" max="6654" width="4.5703125" customWidth="1"/>
    <col min="6655" max="6655" width="0.85546875" customWidth="1"/>
    <col min="6656" max="6656" width="0.140625" customWidth="1"/>
    <col min="6657" max="6657" width="6" customWidth="1"/>
    <col min="6658" max="6658" width="0.140625" customWidth="1"/>
    <col min="6659" max="6659" width="4.5703125" customWidth="1"/>
    <col min="6660" max="6660" width="13.140625" customWidth="1"/>
    <col min="6661" max="6661" width="3.140625" customWidth="1"/>
    <col min="6662" max="6662" width="16.28515625" customWidth="1"/>
    <col min="6663" max="6663" width="0.140625" customWidth="1"/>
    <col min="6904" max="6904" width="8.7109375" customWidth="1"/>
    <col min="6905" max="6905" width="31.85546875" customWidth="1"/>
    <col min="6906" max="6906" width="3.140625" customWidth="1"/>
    <col min="6907" max="6907" width="13.140625" customWidth="1"/>
    <col min="6908" max="6909" width="16.28515625" customWidth="1"/>
    <col min="6910" max="6910" width="4.5703125" customWidth="1"/>
    <col min="6911" max="6911" width="0.85546875" customWidth="1"/>
    <col min="6912" max="6912" width="0.140625" customWidth="1"/>
    <col min="6913" max="6913" width="6" customWidth="1"/>
    <col min="6914" max="6914" width="0.140625" customWidth="1"/>
    <col min="6915" max="6915" width="4.5703125" customWidth="1"/>
    <col min="6916" max="6916" width="13.140625" customWidth="1"/>
    <col min="6917" max="6917" width="3.140625" customWidth="1"/>
    <col min="6918" max="6918" width="16.28515625" customWidth="1"/>
    <col min="6919" max="6919" width="0.140625" customWidth="1"/>
    <col min="7160" max="7160" width="8.7109375" customWidth="1"/>
    <col min="7161" max="7161" width="31.85546875" customWidth="1"/>
    <col min="7162" max="7162" width="3.140625" customWidth="1"/>
    <col min="7163" max="7163" width="13.140625" customWidth="1"/>
    <col min="7164" max="7165" width="16.28515625" customWidth="1"/>
    <col min="7166" max="7166" width="4.5703125" customWidth="1"/>
    <col min="7167" max="7167" width="0.85546875" customWidth="1"/>
    <col min="7168" max="7168" width="0.140625" customWidth="1"/>
    <col min="7169" max="7169" width="6" customWidth="1"/>
    <col min="7170" max="7170" width="0.140625" customWidth="1"/>
    <col min="7171" max="7171" width="4.5703125" customWidth="1"/>
    <col min="7172" max="7172" width="13.140625" customWidth="1"/>
    <col min="7173" max="7173" width="3.140625" customWidth="1"/>
    <col min="7174" max="7174" width="16.28515625" customWidth="1"/>
    <col min="7175" max="7175" width="0.140625" customWidth="1"/>
    <col min="7416" max="7416" width="8.7109375" customWidth="1"/>
    <col min="7417" max="7417" width="31.85546875" customWidth="1"/>
    <col min="7418" max="7418" width="3.140625" customWidth="1"/>
    <col min="7419" max="7419" width="13.140625" customWidth="1"/>
    <col min="7420" max="7421" width="16.28515625" customWidth="1"/>
    <col min="7422" max="7422" width="4.5703125" customWidth="1"/>
    <col min="7423" max="7423" width="0.85546875" customWidth="1"/>
    <col min="7424" max="7424" width="0.140625" customWidth="1"/>
    <col min="7425" max="7425" width="6" customWidth="1"/>
    <col min="7426" max="7426" width="0.140625" customWidth="1"/>
    <col min="7427" max="7427" width="4.5703125" customWidth="1"/>
    <col min="7428" max="7428" width="13.140625" customWidth="1"/>
    <col min="7429" max="7429" width="3.140625" customWidth="1"/>
    <col min="7430" max="7430" width="16.28515625" customWidth="1"/>
    <col min="7431" max="7431" width="0.140625" customWidth="1"/>
    <col min="7672" max="7672" width="8.7109375" customWidth="1"/>
    <col min="7673" max="7673" width="31.85546875" customWidth="1"/>
    <col min="7674" max="7674" width="3.140625" customWidth="1"/>
    <col min="7675" max="7675" width="13.140625" customWidth="1"/>
    <col min="7676" max="7677" width="16.28515625" customWidth="1"/>
    <col min="7678" max="7678" width="4.5703125" customWidth="1"/>
    <col min="7679" max="7679" width="0.85546875" customWidth="1"/>
    <col min="7680" max="7680" width="0.140625" customWidth="1"/>
    <col min="7681" max="7681" width="6" customWidth="1"/>
    <col min="7682" max="7682" width="0.140625" customWidth="1"/>
    <col min="7683" max="7683" width="4.5703125" customWidth="1"/>
    <col min="7684" max="7684" width="13.140625" customWidth="1"/>
    <col min="7685" max="7685" width="3.140625" customWidth="1"/>
    <col min="7686" max="7686" width="16.28515625" customWidth="1"/>
    <col min="7687" max="7687" width="0.140625" customWidth="1"/>
    <col min="7928" max="7928" width="8.7109375" customWidth="1"/>
    <col min="7929" max="7929" width="31.85546875" customWidth="1"/>
    <col min="7930" max="7930" width="3.140625" customWidth="1"/>
    <col min="7931" max="7931" width="13.140625" customWidth="1"/>
    <col min="7932" max="7933" width="16.28515625" customWidth="1"/>
    <col min="7934" max="7934" width="4.5703125" customWidth="1"/>
    <col min="7935" max="7935" width="0.85546875" customWidth="1"/>
    <col min="7936" max="7936" width="0.140625" customWidth="1"/>
    <col min="7937" max="7937" width="6" customWidth="1"/>
    <col min="7938" max="7938" width="0.140625" customWidth="1"/>
    <col min="7939" max="7939" width="4.5703125" customWidth="1"/>
    <col min="7940" max="7940" width="13.140625" customWidth="1"/>
    <col min="7941" max="7941" width="3.140625" customWidth="1"/>
    <col min="7942" max="7942" width="16.28515625" customWidth="1"/>
    <col min="7943" max="7943" width="0.140625" customWidth="1"/>
    <col min="8184" max="8184" width="8.7109375" customWidth="1"/>
    <col min="8185" max="8185" width="31.85546875" customWidth="1"/>
    <col min="8186" max="8186" width="3.140625" customWidth="1"/>
    <col min="8187" max="8187" width="13.140625" customWidth="1"/>
    <col min="8188" max="8189" width="16.28515625" customWidth="1"/>
    <col min="8190" max="8190" width="4.5703125" customWidth="1"/>
    <col min="8191" max="8191" width="0.85546875" customWidth="1"/>
    <col min="8192" max="8192" width="0.140625" customWidth="1"/>
    <col min="8193" max="8193" width="6" customWidth="1"/>
    <col min="8194" max="8194" width="0.140625" customWidth="1"/>
    <col min="8195" max="8195" width="4.5703125" customWidth="1"/>
    <col min="8196" max="8196" width="13.140625" customWidth="1"/>
    <col min="8197" max="8197" width="3.140625" customWidth="1"/>
    <col min="8198" max="8198" width="16.28515625" customWidth="1"/>
    <col min="8199" max="8199" width="0.140625" customWidth="1"/>
    <col min="8440" max="8440" width="8.7109375" customWidth="1"/>
    <col min="8441" max="8441" width="31.85546875" customWidth="1"/>
    <col min="8442" max="8442" width="3.140625" customWidth="1"/>
    <col min="8443" max="8443" width="13.140625" customWidth="1"/>
    <col min="8444" max="8445" width="16.28515625" customWidth="1"/>
    <col min="8446" max="8446" width="4.5703125" customWidth="1"/>
    <col min="8447" max="8447" width="0.85546875" customWidth="1"/>
    <col min="8448" max="8448" width="0.140625" customWidth="1"/>
    <col min="8449" max="8449" width="6" customWidth="1"/>
    <col min="8450" max="8450" width="0.140625" customWidth="1"/>
    <col min="8451" max="8451" width="4.5703125" customWidth="1"/>
    <col min="8452" max="8452" width="13.140625" customWidth="1"/>
    <col min="8453" max="8453" width="3.140625" customWidth="1"/>
    <col min="8454" max="8454" width="16.28515625" customWidth="1"/>
    <col min="8455" max="8455" width="0.140625" customWidth="1"/>
    <col min="8696" max="8696" width="8.7109375" customWidth="1"/>
    <col min="8697" max="8697" width="31.85546875" customWidth="1"/>
    <col min="8698" max="8698" width="3.140625" customWidth="1"/>
    <col min="8699" max="8699" width="13.140625" customWidth="1"/>
    <col min="8700" max="8701" width="16.28515625" customWidth="1"/>
    <col min="8702" max="8702" width="4.5703125" customWidth="1"/>
    <col min="8703" max="8703" width="0.85546875" customWidth="1"/>
    <col min="8704" max="8704" width="0.140625" customWidth="1"/>
    <col min="8705" max="8705" width="6" customWidth="1"/>
    <col min="8706" max="8706" width="0.140625" customWidth="1"/>
    <col min="8707" max="8707" width="4.5703125" customWidth="1"/>
    <col min="8708" max="8708" width="13.140625" customWidth="1"/>
    <col min="8709" max="8709" width="3.140625" customWidth="1"/>
    <col min="8710" max="8710" width="16.28515625" customWidth="1"/>
    <col min="8711" max="8711" width="0.140625" customWidth="1"/>
    <col min="8952" max="8952" width="8.7109375" customWidth="1"/>
    <col min="8953" max="8953" width="31.85546875" customWidth="1"/>
    <col min="8954" max="8954" width="3.140625" customWidth="1"/>
    <col min="8955" max="8955" width="13.140625" customWidth="1"/>
    <col min="8956" max="8957" width="16.28515625" customWidth="1"/>
    <col min="8958" max="8958" width="4.5703125" customWidth="1"/>
    <col min="8959" max="8959" width="0.85546875" customWidth="1"/>
    <col min="8960" max="8960" width="0.140625" customWidth="1"/>
    <col min="8961" max="8961" width="6" customWidth="1"/>
    <col min="8962" max="8962" width="0.140625" customWidth="1"/>
    <col min="8963" max="8963" width="4.5703125" customWidth="1"/>
    <col min="8964" max="8964" width="13.140625" customWidth="1"/>
    <col min="8965" max="8965" width="3.140625" customWidth="1"/>
    <col min="8966" max="8966" width="16.28515625" customWidth="1"/>
    <col min="8967" max="8967" width="0.140625" customWidth="1"/>
    <col min="9208" max="9208" width="8.7109375" customWidth="1"/>
    <col min="9209" max="9209" width="31.85546875" customWidth="1"/>
    <col min="9210" max="9210" width="3.140625" customWidth="1"/>
    <col min="9211" max="9211" width="13.140625" customWidth="1"/>
    <col min="9212" max="9213" width="16.28515625" customWidth="1"/>
    <col min="9214" max="9214" width="4.5703125" customWidth="1"/>
    <col min="9215" max="9215" width="0.85546875" customWidth="1"/>
    <col min="9216" max="9216" width="0.140625" customWidth="1"/>
    <col min="9217" max="9217" width="6" customWidth="1"/>
    <col min="9218" max="9218" width="0.140625" customWidth="1"/>
    <col min="9219" max="9219" width="4.5703125" customWidth="1"/>
    <col min="9220" max="9220" width="13.140625" customWidth="1"/>
    <col min="9221" max="9221" width="3.140625" customWidth="1"/>
    <col min="9222" max="9222" width="16.28515625" customWidth="1"/>
    <col min="9223" max="9223" width="0.140625" customWidth="1"/>
    <col min="9464" max="9464" width="8.7109375" customWidth="1"/>
    <col min="9465" max="9465" width="31.85546875" customWidth="1"/>
    <col min="9466" max="9466" width="3.140625" customWidth="1"/>
    <col min="9467" max="9467" width="13.140625" customWidth="1"/>
    <col min="9468" max="9469" width="16.28515625" customWidth="1"/>
    <col min="9470" max="9470" width="4.5703125" customWidth="1"/>
    <col min="9471" max="9471" width="0.85546875" customWidth="1"/>
    <col min="9472" max="9472" width="0.140625" customWidth="1"/>
    <col min="9473" max="9473" width="6" customWidth="1"/>
    <col min="9474" max="9474" width="0.140625" customWidth="1"/>
    <col min="9475" max="9475" width="4.5703125" customWidth="1"/>
    <col min="9476" max="9476" width="13.140625" customWidth="1"/>
    <col min="9477" max="9477" width="3.140625" customWidth="1"/>
    <col min="9478" max="9478" width="16.28515625" customWidth="1"/>
    <col min="9479" max="9479" width="0.140625" customWidth="1"/>
    <col min="9720" max="9720" width="8.7109375" customWidth="1"/>
    <col min="9721" max="9721" width="31.85546875" customWidth="1"/>
    <col min="9722" max="9722" width="3.140625" customWidth="1"/>
    <col min="9723" max="9723" width="13.140625" customWidth="1"/>
    <col min="9724" max="9725" width="16.28515625" customWidth="1"/>
    <col min="9726" max="9726" width="4.5703125" customWidth="1"/>
    <col min="9727" max="9727" width="0.85546875" customWidth="1"/>
    <col min="9728" max="9728" width="0.140625" customWidth="1"/>
    <col min="9729" max="9729" width="6" customWidth="1"/>
    <col min="9730" max="9730" width="0.140625" customWidth="1"/>
    <col min="9731" max="9731" width="4.5703125" customWidth="1"/>
    <col min="9732" max="9732" width="13.140625" customWidth="1"/>
    <col min="9733" max="9733" width="3.140625" customWidth="1"/>
    <col min="9734" max="9734" width="16.28515625" customWidth="1"/>
    <col min="9735" max="9735" width="0.140625" customWidth="1"/>
    <col min="9976" max="9976" width="8.7109375" customWidth="1"/>
    <col min="9977" max="9977" width="31.85546875" customWidth="1"/>
    <col min="9978" max="9978" width="3.140625" customWidth="1"/>
    <col min="9979" max="9979" width="13.140625" customWidth="1"/>
    <col min="9980" max="9981" width="16.28515625" customWidth="1"/>
    <col min="9982" max="9982" width="4.5703125" customWidth="1"/>
    <col min="9983" max="9983" width="0.85546875" customWidth="1"/>
    <col min="9984" max="9984" width="0.140625" customWidth="1"/>
    <col min="9985" max="9985" width="6" customWidth="1"/>
    <col min="9986" max="9986" width="0.140625" customWidth="1"/>
    <col min="9987" max="9987" width="4.5703125" customWidth="1"/>
    <col min="9988" max="9988" width="13.140625" customWidth="1"/>
    <col min="9989" max="9989" width="3.140625" customWidth="1"/>
    <col min="9990" max="9990" width="16.28515625" customWidth="1"/>
    <col min="9991" max="9991" width="0.140625" customWidth="1"/>
    <col min="10232" max="10232" width="8.7109375" customWidth="1"/>
    <col min="10233" max="10233" width="31.85546875" customWidth="1"/>
    <col min="10234" max="10234" width="3.140625" customWidth="1"/>
    <col min="10235" max="10235" width="13.140625" customWidth="1"/>
    <col min="10236" max="10237" width="16.28515625" customWidth="1"/>
    <col min="10238" max="10238" width="4.5703125" customWidth="1"/>
    <col min="10239" max="10239" width="0.85546875" customWidth="1"/>
    <col min="10240" max="10240" width="0.140625" customWidth="1"/>
    <col min="10241" max="10241" width="6" customWidth="1"/>
    <col min="10242" max="10242" width="0.140625" customWidth="1"/>
    <col min="10243" max="10243" width="4.5703125" customWidth="1"/>
    <col min="10244" max="10244" width="13.140625" customWidth="1"/>
    <col min="10245" max="10245" width="3.140625" customWidth="1"/>
    <col min="10246" max="10246" width="16.28515625" customWidth="1"/>
    <col min="10247" max="10247" width="0.140625" customWidth="1"/>
    <col min="10488" max="10488" width="8.7109375" customWidth="1"/>
    <col min="10489" max="10489" width="31.85546875" customWidth="1"/>
    <col min="10490" max="10490" width="3.140625" customWidth="1"/>
    <col min="10491" max="10491" width="13.140625" customWidth="1"/>
    <col min="10492" max="10493" width="16.28515625" customWidth="1"/>
    <col min="10494" max="10494" width="4.5703125" customWidth="1"/>
    <col min="10495" max="10495" width="0.85546875" customWidth="1"/>
    <col min="10496" max="10496" width="0.140625" customWidth="1"/>
    <col min="10497" max="10497" width="6" customWidth="1"/>
    <col min="10498" max="10498" width="0.140625" customWidth="1"/>
    <col min="10499" max="10499" width="4.5703125" customWidth="1"/>
    <col min="10500" max="10500" width="13.140625" customWidth="1"/>
    <col min="10501" max="10501" width="3.140625" customWidth="1"/>
    <col min="10502" max="10502" width="16.28515625" customWidth="1"/>
    <col min="10503" max="10503" width="0.140625" customWidth="1"/>
    <col min="10744" max="10744" width="8.7109375" customWidth="1"/>
    <col min="10745" max="10745" width="31.85546875" customWidth="1"/>
    <col min="10746" max="10746" width="3.140625" customWidth="1"/>
    <col min="10747" max="10747" width="13.140625" customWidth="1"/>
    <col min="10748" max="10749" width="16.28515625" customWidth="1"/>
    <col min="10750" max="10750" width="4.5703125" customWidth="1"/>
    <col min="10751" max="10751" width="0.85546875" customWidth="1"/>
    <col min="10752" max="10752" width="0.140625" customWidth="1"/>
    <col min="10753" max="10753" width="6" customWidth="1"/>
    <col min="10754" max="10754" width="0.140625" customWidth="1"/>
    <col min="10755" max="10755" width="4.5703125" customWidth="1"/>
    <col min="10756" max="10756" width="13.140625" customWidth="1"/>
    <col min="10757" max="10757" width="3.140625" customWidth="1"/>
    <col min="10758" max="10758" width="16.28515625" customWidth="1"/>
    <col min="10759" max="10759" width="0.140625" customWidth="1"/>
    <col min="11000" max="11000" width="8.7109375" customWidth="1"/>
    <col min="11001" max="11001" width="31.85546875" customWidth="1"/>
    <col min="11002" max="11002" width="3.140625" customWidth="1"/>
    <col min="11003" max="11003" width="13.140625" customWidth="1"/>
    <col min="11004" max="11005" width="16.28515625" customWidth="1"/>
    <col min="11006" max="11006" width="4.5703125" customWidth="1"/>
    <col min="11007" max="11007" width="0.85546875" customWidth="1"/>
    <col min="11008" max="11008" width="0.140625" customWidth="1"/>
    <col min="11009" max="11009" width="6" customWidth="1"/>
    <col min="11010" max="11010" width="0.140625" customWidth="1"/>
    <col min="11011" max="11011" width="4.5703125" customWidth="1"/>
    <col min="11012" max="11012" width="13.140625" customWidth="1"/>
    <col min="11013" max="11013" width="3.140625" customWidth="1"/>
    <col min="11014" max="11014" width="16.28515625" customWidth="1"/>
    <col min="11015" max="11015" width="0.140625" customWidth="1"/>
    <col min="11256" max="11256" width="8.7109375" customWidth="1"/>
    <col min="11257" max="11257" width="31.85546875" customWidth="1"/>
    <col min="11258" max="11258" width="3.140625" customWidth="1"/>
    <col min="11259" max="11259" width="13.140625" customWidth="1"/>
    <col min="11260" max="11261" width="16.28515625" customWidth="1"/>
    <col min="11262" max="11262" width="4.5703125" customWidth="1"/>
    <col min="11263" max="11263" width="0.85546875" customWidth="1"/>
    <col min="11264" max="11264" width="0.140625" customWidth="1"/>
    <col min="11265" max="11265" width="6" customWidth="1"/>
    <col min="11266" max="11266" width="0.140625" customWidth="1"/>
    <col min="11267" max="11267" width="4.5703125" customWidth="1"/>
    <col min="11268" max="11268" width="13.140625" customWidth="1"/>
    <col min="11269" max="11269" width="3.140625" customWidth="1"/>
    <col min="11270" max="11270" width="16.28515625" customWidth="1"/>
    <col min="11271" max="11271" width="0.140625" customWidth="1"/>
    <col min="11512" max="11512" width="8.7109375" customWidth="1"/>
    <col min="11513" max="11513" width="31.85546875" customWidth="1"/>
    <col min="11514" max="11514" width="3.140625" customWidth="1"/>
    <col min="11515" max="11515" width="13.140625" customWidth="1"/>
    <col min="11516" max="11517" width="16.28515625" customWidth="1"/>
    <col min="11518" max="11518" width="4.5703125" customWidth="1"/>
    <col min="11519" max="11519" width="0.85546875" customWidth="1"/>
    <col min="11520" max="11520" width="0.140625" customWidth="1"/>
    <col min="11521" max="11521" width="6" customWidth="1"/>
    <col min="11522" max="11522" width="0.140625" customWidth="1"/>
    <col min="11523" max="11523" width="4.5703125" customWidth="1"/>
    <col min="11524" max="11524" width="13.140625" customWidth="1"/>
    <col min="11525" max="11525" width="3.140625" customWidth="1"/>
    <col min="11526" max="11526" width="16.28515625" customWidth="1"/>
    <col min="11527" max="11527" width="0.140625" customWidth="1"/>
    <col min="11768" max="11768" width="8.7109375" customWidth="1"/>
    <col min="11769" max="11769" width="31.85546875" customWidth="1"/>
    <col min="11770" max="11770" width="3.140625" customWidth="1"/>
    <col min="11771" max="11771" width="13.140625" customWidth="1"/>
    <col min="11772" max="11773" width="16.28515625" customWidth="1"/>
    <col min="11774" max="11774" width="4.5703125" customWidth="1"/>
    <col min="11775" max="11775" width="0.85546875" customWidth="1"/>
    <col min="11776" max="11776" width="0.140625" customWidth="1"/>
    <col min="11777" max="11777" width="6" customWidth="1"/>
    <col min="11778" max="11778" width="0.140625" customWidth="1"/>
    <col min="11779" max="11779" width="4.5703125" customWidth="1"/>
    <col min="11780" max="11780" width="13.140625" customWidth="1"/>
    <col min="11781" max="11781" width="3.140625" customWidth="1"/>
    <col min="11782" max="11782" width="16.28515625" customWidth="1"/>
    <col min="11783" max="11783" width="0.140625" customWidth="1"/>
    <col min="12024" max="12024" width="8.7109375" customWidth="1"/>
    <col min="12025" max="12025" width="31.85546875" customWidth="1"/>
    <col min="12026" max="12026" width="3.140625" customWidth="1"/>
    <col min="12027" max="12027" width="13.140625" customWidth="1"/>
    <col min="12028" max="12029" width="16.28515625" customWidth="1"/>
    <col min="12030" max="12030" width="4.5703125" customWidth="1"/>
    <col min="12031" max="12031" width="0.85546875" customWidth="1"/>
    <col min="12032" max="12032" width="0.140625" customWidth="1"/>
    <col min="12033" max="12033" width="6" customWidth="1"/>
    <col min="12034" max="12034" width="0.140625" customWidth="1"/>
    <col min="12035" max="12035" width="4.5703125" customWidth="1"/>
    <col min="12036" max="12036" width="13.140625" customWidth="1"/>
    <col min="12037" max="12037" width="3.140625" customWidth="1"/>
    <col min="12038" max="12038" width="16.28515625" customWidth="1"/>
    <col min="12039" max="12039" width="0.140625" customWidth="1"/>
    <col min="12280" max="12280" width="8.7109375" customWidth="1"/>
    <col min="12281" max="12281" width="31.85546875" customWidth="1"/>
    <col min="12282" max="12282" width="3.140625" customWidth="1"/>
    <col min="12283" max="12283" width="13.140625" customWidth="1"/>
    <col min="12284" max="12285" width="16.28515625" customWidth="1"/>
    <col min="12286" max="12286" width="4.5703125" customWidth="1"/>
    <col min="12287" max="12287" width="0.85546875" customWidth="1"/>
    <col min="12288" max="12288" width="0.140625" customWidth="1"/>
    <col min="12289" max="12289" width="6" customWidth="1"/>
    <col min="12290" max="12290" width="0.140625" customWidth="1"/>
    <col min="12291" max="12291" width="4.5703125" customWidth="1"/>
    <col min="12292" max="12292" width="13.140625" customWidth="1"/>
    <col min="12293" max="12293" width="3.140625" customWidth="1"/>
    <col min="12294" max="12294" width="16.28515625" customWidth="1"/>
    <col min="12295" max="12295" width="0.140625" customWidth="1"/>
    <col min="12536" max="12536" width="8.7109375" customWidth="1"/>
    <col min="12537" max="12537" width="31.85546875" customWidth="1"/>
    <col min="12538" max="12538" width="3.140625" customWidth="1"/>
    <col min="12539" max="12539" width="13.140625" customWidth="1"/>
    <col min="12540" max="12541" width="16.28515625" customWidth="1"/>
    <col min="12542" max="12542" width="4.5703125" customWidth="1"/>
    <col min="12543" max="12543" width="0.85546875" customWidth="1"/>
    <col min="12544" max="12544" width="0.140625" customWidth="1"/>
    <col min="12545" max="12545" width="6" customWidth="1"/>
    <col min="12546" max="12546" width="0.140625" customWidth="1"/>
    <col min="12547" max="12547" width="4.5703125" customWidth="1"/>
    <col min="12548" max="12548" width="13.140625" customWidth="1"/>
    <col min="12549" max="12549" width="3.140625" customWidth="1"/>
    <col min="12550" max="12550" width="16.28515625" customWidth="1"/>
    <col min="12551" max="12551" width="0.140625" customWidth="1"/>
    <col min="12792" max="12792" width="8.7109375" customWidth="1"/>
    <col min="12793" max="12793" width="31.85546875" customWidth="1"/>
    <col min="12794" max="12794" width="3.140625" customWidth="1"/>
    <col min="12795" max="12795" width="13.140625" customWidth="1"/>
    <col min="12796" max="12797" width="16.28515625" customWidth="1"/>
    <col min="12798" max="12798" width="4.5703125" customWidth="1"/>
    <col min="12799" max="12799" width="0.85546875" customWidth="1"/>
    <col min="12800" max="12800" width="0.140625" customWidth="1"/>
    <col min="12801" max="12801" width="6" customWidth="1"/>
    <col min="12802" max="12802" width="0.140625" customWidth="1"/>
    <col min="12803" max="12803" width="4.5703125" customWidth="1"/>
    <col min="12804" max="12804" width="13.140625" customWidth="1"/>
    <col min="12805" max="12805" width="3.140625" customWidth="1"/>
    <col min="12806" max="12806" width="16.28515625" customWidth="1"/>
    <col min="12807" max="12807" width="0.140625" customWidth="1"/>
    <col min="13048" max="13048" width="8.7109375" customWidth="1"/>
    <col min="13049" max="13049" width="31.85546875" customWidth="1"/>
    <col min="13050" max="13050" width="3.140625" customWidth="1"/>
    <col min="13051" max="13051" width="13.140625" customWidth="1"/>
    <col min="13052" max="13053" width="16.28515625" customWidth="1"/>
    <col min="13054" max="13054" width="4.5703125" customWidth="1"/>
    <col min="13055" max="13055" width="0.85546875" customWidth="1"/>
    <col min="13056" max="13056" width="0.140625" customWidth="1"/>
    <col min="13057" max="13057" width="6" customWidth="1"/>
    <col min="13058" max="13058" width="0.140625" customWidth="1"/>
    <col min="13059" max="13059" width="4.5703125" customWidth="1"/>
    <col min="13060" max="13060" width="13.140625" customWidth="1"/>
    <col min="13061" max="13061" width="3.140625" customWidth="1"/>
    <col min="13062" max="13062" width="16.28515625" customWidth="1"/>
    <col min="13063" max="13063" width="0.140625" customWidth="1"/>
    <col min="13304" max="13304" width="8.7109375" customWidth="1"/>
    <col min="13305" max="13305" width="31.85546875" customWidth="1"/>
    <col min="13306" max="13306" width="3.140625" customWidth="1"/>
    <col min="13307" max="13307" width="13.140625" customWidth="1"/>
    <col min="13308" max="13309" width="16.28515625" customWidth="1"/>
    <col min="13310" max="13310" width="4.5703125" customWidth="1"/>
    <col min="13311" max="13311" width="0.85546875" customWidth="1"/>
    <col min="13312" max="13312" width="0.140625" customWidth="1"/>
    <col min="13313" max="13313" width="6" customWidth="1"/>
    <col min="13314" max="13314" width="0.140625" customWidth="1"/>
    <col min="13315" max="13315" width="4.5703125" customWidth="1"/>
    <col min="13316" max="13316" width="13.140625" customWidth="1"/>
    <col min="13317" max="13317" width="3.140625" customWidth="1"/>
    <col min="13318" max="13318" width="16.28515625" customWidth="1"/>
    <col min="13319" max="13319" width="0.140625" customWidth="1"/>
    <col min="13560" max="13560" width="8.7109375" customWidth="1"/>
    <col min="13561" max="13561" width="31.85546875" customWidth="1"/>
    <col min="13562" max="13562" width="3.140625" customWidth="1"/>
    <col min="13563" max="13563" width="13.140625" customWidth="1"/>
    <col min="13564" max="13565" width="16.28515625" customWidth="1"/>
    <col min="13566" max="13566" width="4.5703125" customWidth="1"/>
    <col min="13567" max="13567" width="0.85546875" customWidth="1"/>
    <col min="13568" max="13568" width="0.140625" customWidth="1"/>
    <col min="13569" max="13569" width="6" customWidth="1"/>
    <col min="13570" max="13570" width="0.140625" customWidth="1"/>
    <col min="13571" max="13571" width="4.5703125" customWidth="1"/>
    <col min="13572" max="13572" width="13.140625" customWidth="1"/>
    <col min="13573" max="13573" width="3.140625" customWidth="1"/>
    <col min="13574" max="13574" width="16.28515625" customWidth="1"/>
    <col min="13575" max="13575" width="0.140625" customWidth="1"/>
    <col min="13816" max="13816" width="8.7109375" customWidth="1"/>
    <col min="13817" max="13817" width="31.85546875" customWidth="1"/>
    <col min="13818" max="13818" width="3.140625" customWidth="1"/>
    <col min="13819" max="13819" width="13.140625" customWidth="1"/>
    <col min="13820" max="13821" width="16.28515625" customWidth="1"/>
    <col min="13822" max="13822" width="4.5703125" customWidth="1"/>
    <col min="13823" max="13823" width="0.85546875" customWidth="1"/>
    <col min="13824" max="13824" width="0.140625" customWidth="1"/>
    <col min="13825" max="13825" width="6" customWidth="1"/>
    <col min="13826" max="13826" width="0.140625" customWidth="1"/>
    <col min="13827" max="13827" width="4.5703125" customWidth="1"/>
    <col min="13828" max="13828" width="13.140625" customWidth="1"/>
    <col min="13829" max="13829" width="3.140625" customWidth="1"/>
    <col min="13830" max="13830" width="16.28515625" customWidth="1"/>
    <col min="13831" max="13831" width="0.140625" customWidth="1"/>
    <col min="14072" max="14072" width="8.7109375" customWidth="1"/>
    <col min="14073" max="14073" width="31.85546875" customWidth="1"/>
    <col min="14074" max="14074" width="3.140625" customWidth="1"/>
    <col min="14075" max="14075" width="13.140625" customWidth="1"/>
    <col min="14076" max="14077" width="16.28515625" customWidth="1"/>
    <col min="14078" max="14078" width="4.5703125" customWidth="1"/>
    <col min="14079" max="14079" width="0.85546875" customWidth="1"/>
    <col min="14080" max="14080" width="0.140625" customWidth="1"/>
    <col min="14081" max="14081" width="6" customWidth="1"/>
    <col min="14082" max="14082" width="0.140625" customWidth="1"/>
    <col min="14083" max="14083" width="4.5703125" customWidth="1"/>
    <col min="14084" max="14084" width="13.140625" customWidth="1"/>
    <col min="14085" max="14085" width="3.140625" customWidth="1"/>
    <col min="14086" max="14086" width="16.28515625" customWidth="1"/>
    <col min="14087" max="14087" width="0.140625" customWidth="1"/>
    <col min="14328" max="14328" width="8.7109375" customWidth="1"/>
    <col min="14329" max="14329" width="31.85546875" customWidth="1"/>
    <col min="14330" max="14330" width="3.140625" customWidth="1"/>
    <col min="14331" max="14331" width="13.140625" customWidth="1"/>
    <col min="14332" max="14333" width="16.28515625" customWidth="1"/>
    <col min="14334" max="14334" width="4.5703125" customWidth="1"/>
    <col min="14335" max="14335" width="0.85546875" customWidth="1"/>
    <col min="14336" max="14336" width="0.140625" customWidth="1"/>
    <col min="14337" max="14337" width="6" customWidth="1"/>
    <col min="14338" max="14338" width="0.140625" customWidth="1"/>
    <col min="14339" max="14339" width="4.5703125" customWidth="1"/>
    <col min="14340" max="14340" width="13.140625" customWidth="1"/>
    <col min="14341" max="14341" width="3.140625" customWidth="1"/>
    <col min="14342" max="14342" width="16.28515625" customWidth="1"/>
    <col min="14343" max="14343" width="0.140625" customWidth="1"/>
    <col min="14584" max="14584" width="8.7109375" customWidth="1"/>
    <col min="14585" max="14585" width="31.85546875" customWidth="1"/>
    <col min="14586" max="14586" width="3.140625" customWidth="1"/>
    <col min="14587" max="14587" width="13.140625" customWidth="1"/>
    <col min="14588" max="14589" width="16.28515625" customWidth="1"/>
    <col min="14590" max="14590" width="4.5703125" customWidth="1"/>
    <col min="14591" max="14591" width="0.85546875" customWidth="1"/>
    <col min="14592" max="14592" width="0.140625" customWidth="1"/>
    <col min="14593" max="14593" width="6" customWidth="1"/>
    <col min="14594" max="14594" width="0.140625" customWidth="1"/>
    <col min="14595" max="14595" width="4.5703125" customWidth="1"/>
    <col min="14596" max="14596" width="13.140625" customWidth="1"/>
    <col min="14597" max="14597" width="3.140625" customWidth="1"/>
    <col min="14598" max="14598" width="16.28515625" customWidth="1"/>
    <col min="14599" max="14599" width="0.140625" customWidth="1"/>
    <col min="14840" max="14840" width="8.7109375" customWidth="1"/>
    <col min="14841" max="14841" width="31.85546875" customWidth="1"/>
    <col min="14842" max="14842" width="3.140625" customWidth="1"/>
    <col min="14843" max="14843" width="13.140625" customWidth="1"/>
    <col min="14844" max="14845" width="16.28515625" customWidth="1"/>
    <col min="14846" max="14846" width="4.5703125" customWidth="1"/>
    <col min="14847" max="14847" width="0.85546875" customWidth="1"/>
    <col min="14848" max="14848" width="0.140625" customWidth="1"/>
    <col min="14849" max="14849" width="6" customWidth="1"/>
    <col min="14850" max="14850" width="0.140625" customWidth="1"/>
    <col min="14851" max="14851" width="4.5703125" customWidth="1"/>
    <col min="14852" max="14852" width="13.140625" customWidth="1"/>
    <col min="14853" max="14853" width="3.140625" customWidth="1"/>
    <col min="14854" max="14854" width="16.28515625" customWidth="1"/>
    <col min="14855" max="14855" width="0.140625" customWidth="1"/>
    <col min="15096" max="15096" width="8.7109375" customWidth="1"/>
    <col min="15097" max="15097" width="31.85546875" customWidth="1"/>
    <col min="15098" max="15098" width="3.140625" customWidth="1"/>
    <col min="15099" max="15099" width="13.140625" customWidth="1"/>
    <col min="15100" max="15101" width="16.28515625" customWidth="1"/>
    <col min="15102" max="15102" width="4.5703125" customWidth="1"/>
    <col min="15103" max="15103" width="0.85546875" customWidth="1"/>
    <col min="15104" max="15104" width="0.140625" customWidth="1"/>
    <col min="15105" max="15105" width="6" customWidth="1"/>
    <col min="15106" max="15106" width="0.140625" customWidth="1"/>
    <col min="15107" max="15107" width="4.5703125" customWidth="1"/>
    <col min="15108" max="15108" width="13.140625" customWidth="1"/>
    <col min="15109" max="15109" width="3.140625" customWidth="1"/>
    <col min="15110" max="15110" width="16.28515625" customWidth="1"/>
    <col min="15111" max="15111" width="0.140625" customWidth="1"/>
    <col min="15352" max="15352" width="8.7109375" customWidth="1"/>
    <col min="15353" max="15353" width="31.85546875" customWidth="1"/>
    <col min="15354" max="15354" width="3.140625" customWidth="1"/>
    <col min="15355" max="15355" width="13.140625" customWidth="1"/>
    <col min="15356" max="15357" width="16.28515625" customWidth="1"/>
    <col min="15358" max="15358" width="4.5703125" customWidth="1"/>
    <col min="15359" max="15359" width="0.85546875" customWidth="1"/>
    <col min="15360" max="15360" width="0.140625" customWidth="1"/>
    <col min="15361" max="15361" width="6" customWidth="1"/>
    <col min="15362" max="15362" width="0.140625" customWidth="1"/>
    <col min="15363" max="15363" width="4.5703125" customWidth="1"/>
    <col min="15364" max="15364" width="13.140625" customWidth="1"/>
    <col min="15365" max="15365" width="3.140625" customWidth="1"/>
    <col min="15366" max="15366" width="16.28515625" customWidth="1"/>
    <col min="15367" max="15367" width="0.140625" customWidth="1"/>
    <col min="15608" max="15608" width="8.7109375" customWidth="1"/>
    <col min="15609" max="15609" width="31.85546875" customWidth="1"/>
    <col min="15610" max="15610" width="3.140625" customWidth="1"/>
    <col min="15611" max="15611" width="13.140625" customWidth="1"/>
    <col min="15612" max="15613" width="16.28515625" customWidth="1"/>
    <col min="15614" max="15614" width="4.5703125" customWidth="1"/>
    <col min="15615" max="15615" width="0.85546875" customWidth="1"/>
    <col min="15616" max="15616" width="0.140625" customWidth="1"/>
    <col min="15617" max="15617" width="6" customWidth="1"/>
    <col min="15618" max="15618" width="0.140625" customWidth="1"/>
    <col min="15619" max="15619" width="4.5703125" customWidth="1"/>
    <col min="15620" max="15620" width="13.140625" customWidth="1"/>
    <col min="15621" max="15621" width="3.140625" customWidth="1"/>
    <col min="15622" max="15622" width="16.28515625" customWidth="1"/>
    <col min="15623" max="15623" width="0.140625" customWidth="1"/>
    <col min="15864" max="15864" width="8.7109375" customWidth="1"/>
    <col min="15865" max="15865" width="31.85546875" customWidth="1"/>
    <col min="15866" max="15866" width="3.140625" customWidth="1"/>
    <col min="15867" max="15867" width="13.140625" customWidth="1"/>
    <col min="15868" max="15869" width="16.28515625" customWidth="1"/>
    <col min="15870" max="15870" width="4.5703125" customWidth="1"/>
    <col min="15871" max="15871" width="0.85546875" customWidth="1"/>
    <col min="15872" max="15872" width="0.140625" customWidth="1"/>
    <col min="15873" max="15873" width="6" customWidth="1"/>
    <col min="15874" max="15874" width="0.140625" customWidth="1"/>
    <col min="15875" max="15875" width="4.5703125" customWidth="1"/>
    <col min="15876" max="15876" width="13.140625" customWidth="1"/>
    <col min="15877" max="15877" width="3.140625" customWidth="1"/>
    <col min="15878" max="15878" width="16.28515625" customWidth="1"/>
    <col min="15879" max="15879" width="0.140625" customWidth="1"/>
    <col min="16120" max="16120" width="8.7109375" customWidth="1"/>
    <col min="16121" max="16121" width="31.85546875" customWidth="1"/>
    <col min="16122" max="16122" width="3.140625" customWidth="1"/>
    <col min="16123" max="16123" width="13.140625" customWidth="1"/>
    <col min="16124" max="16125" width="16.28515625" customWidth="1"/>
    <col min="16126" max="16126" width="4.5703125" customWidth="1"/>
    <col min="16127" max="16127" width="0.85546875" customWidth="1"/>
    <col min="16128" max="16128" width="0.140625" customWidth="1"/>
    <col min="16129" max="16129" width="6" customWidth="1"/>
    <col min="16130" max="16130" width="0.140625" customWidth="1"/>
    <col min="16131" max="16131" width="4.5703125" customWidth="1"/>
    <col min="16132" max="16132" width="13.140625" customWidth="1"/>
    <col min="16133" max="16133" width="3.140625" customWidth="1"/>
    <col min="16134" max="16134" width="16.28515625" customWidth="1"/>
    <col min="16135" max="16135" width="0.140625" customWidth="1"/>
  </cols>
  <sheetData>
    <row r="1" spans="1:16" ht="5.8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ht="8.8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ht="8.1" customHeight="1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6" ht="5.8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6" ht="23.65" customHeight="1" x14ac:dyDescent="0.25"/>
    <row r="6" spans="1:16" ht="2.85" customHeight="1" x14ac:dyDescent="0.25"/>
    <row r="7" spans="1:16" ht="2.85" customHeight="1" x14ac:dyDescent="0.25"/>
    <row r="8" spans="1:16" ht="25.9" customHeight="1" x14ac:dyDescent="0.25">
      <c r="A8" s="2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" ht="15.4" customHeight="1" x14ac:dyDescent="0.25">
      <c r="A9" s="3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6" ht="2.25" customHeight="1" x14ac:dyDescent="0.25"/>
    <row r="11" spans="1:16" ht="16.899999999999999" customHeight="1" x14ac:dyDescent="0.25">
      <c r="N11" s="4" t="s">
        <v>4</v>
      </c>
      <c r="O11" s="4"/>
    </row>
    <row r="12" spans="1:16" ht="2.8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" ht="17.649999999999999" customHeight="1" x14ac:dyDescent="0.25">
      <c r="A13" s="6" t="s">
        <v>5</v>
      </c>
      <c r="B13" s="6" t="s">
        <v>6</v>
      </c>
      <c r="C13" s="7" t="s">
        <v>7</v>
      </c>
      <c r="D13" s="7"/>
      <c r="E13" s="7"/>
      <c r="F13" s="7" t="s">
        <v>8</v>
      </c>
      <c r="G13" s="7"/>
      <c r="H13" s="7"/>
      <c r="I13" s="7"/>
      <c r="J13" s="7"/>
      <c r="K13" s="7"/>
      <c r="L13" s="7"/>
      <c r="M13" s="7" t="s">
        <v>9</v>
      </c>
      <c r="N13" s="7"/>
      <c r="O13" s="7"/>
      <c r="P13" s="8"/>
    </row>
    <row r="14" spans="1:16" ht="17.649999999999999" customHeight="1" x14ac:dyDescent="0.25">
      <c r="A14" s="6"/>
      <c r="B14" s="6"/>
      <c r="C14" s="7" t="s">
        <v>10</v>
      </c>
      <c r="D14" s="7"/>
      <c r="E14" s="9" t="s">
        <v>11</v>
      </c>
      <c r="F14" s="9" t="s">
        <v>10</v>
      </c>
      <c r="G14" s="7" t="s">
        <v>11</v>
      </c>
      <c r="H14" s="7"/>
      <c r="I14" s="7"/>
      <c r="J14" s="7"/>
      <c r="K14" s="7"/>
      <c r="L14" s="7"/>
      <c r="M14" s="7" t="s">
        <v>10</v>
      </c>
      <c r="N14" s="7"/>
      <c r="O14" s="9" t="s">
        <v>11</v>
      </c>
      <c r="P14" s="8"/>
    </row>
    <row r="15" spans="1:16" ht="16.899999999999999" customHeight="1" x14ac:dyDescent="0.25">
      <c r="A15" s="10" t="s">
        <v>12</v>
      </c>
      <c r="B15" s="10" t="s">
        <v>13</v>
      </c>
      <c r="C15" s="11"/>
      <c r="D15" s="11"/>
      <c r="E15" s="12">
        <v>0</v>
      </c>
      <c r="F15" s="12"/>
      <c r="G15" s="11"/>
      <c r="H15" s="11"/>
      <c r="I15" s="11"/>
      <c r="J15" s="11"/>
      <c r="K15" s="11"/>
      <c r="L15" s="11"/>
      <c r="M15" s="11"/>
      <c r="N15" s="11"/>
      <c r="O15" s="12">
        <v>0</v>
      </c>
      <c r="P15" s="8"/>
    </row>
    <row r="16" spans="1:16" ht="17.649999999999999" customHeight="1" x14ac:dyDescent="0.25">
      <c r="A16" s="13" t="s">
        <v>14</v>
      </c>
      <c r="B16" s="13" t="s">
        <v>15</v>
      </c>
      <c r="C16" s="14">
        <v>106031280</v>
      </c>
      <c r="D16" s="14"/>
      <c r="E16" s="15">
        <v>0</v>
      </c>
      <c r="F16" s="15">
        <f>[1]Sheet1!$C$18+[1]Sheet1!$D$17</f>
        <v>23787126489</v>
      </c>
      <c r="G16" s="14">
        <v>23866025769</v>
      </c>
      <c r="H16" s="14"/>
      <c r="I16" s="14"/>
      <c r="J16" s="14"/>
      <c r="K16" s="14"/>
      <c r="L16" s="14"/>
      <c r="M16" s="14">
        <f>C16+F16-G16</f>
        <v>27132000</v>
      </c>
      <c r="N16" s="14"/>
      <c r="O16" s="15">
        <v>0</v>
      </c>
      <c r="P16" s="8"/>
    </row>
    <row r="17" spans="1:16" ht="16.899999999999999" customHeight="1" thickBot="1" x14ac:dyDescent="0.3">
      <c r="A17" s="10" t="s">
        <v>16</v>
      </c>
      <c r="B17" s="10" t="s">
        <v>17</v>
      </c>
      <c r="C17" s="11"/>
      <c r="D17" s="11"/>
      <c r="E17" s="12">
        <v>0</v>
      </c>
      <c r="F17" s="12"/>
      <c r="G17" s="11"/>
      <c r="H17" s="11"/>
      <c r="I17" s="11"/>
      <c r="J17" s="11"/>
      <c r="K17" s="11"/>
      <c r="L17" s="11"/>
      <c r="M17" s="16"/>
      <c r="N17" s="17"/>
      <c r="O17" s="12">
        <v>0</v>
      </c>
      <c r="P17" s="8"/>
    </row>
    <row r="18" spans="1:16" ht="17.649999999999999" customHeight="1" thickBot="1" x14ac:dyDescent="0.3">
      <c r="A18" s="13" t="s">
        <v>18</v>
      </c>
      <c r="B18" s="13" t="s">
        <v>15</v>
      </c>
      <c r="C18" s="18">
        <v>357350</v>
      </c>
      <c r="D18" s="19"/>
      <c r="E18" s="15">
        <v>0</v>
      </c>
      <c r="F18" s="15">
        <v>22488338318</v>
      </c>
      <c r="G18" s="14">
        <v>22475878318</v>
      </c>
      <c r="H18" s="14"/>
      <c r="I18" s="14"/>
      <c r="J18" s="14"/>
      <c r="K18" s="14"/>
      <c r="L18" s="14"/>
      <c r="M18" s="14">
        <f>C18+F18-G18</f>
        <v>12817350</v>
      </c>
      <c r="N18" s="14"/>
      <c r="O18" s="15">
        <v>0</v>
      </c>
      <c r="P18" s="8"/>
    </row>
    <row r="19" spans="1:16" ht="17.649999999999999" customHeight="1" x14ac:dyDescent="0.25">
      <c r="A19" s="10" t="s">
        <v>19</v>
      </c>
      <c r="B19" s="10" t="s">
        <v>20</v>
      </c>
      <c r="C19" s="11">
        <v>5835849554</v>
      </c>
      <c r="D19" s="11"/>
      <c r="E19" s="12">
        <v>0</v>
      </c>
      <c r="F19" s="12">
        <f>F16</f>
        <v>23787126489</v>
      </c>
      <c r="G19" s="11">
        <f>F19-2378712649+5835849554</f>
        <v>27244263394</v>
      </c>
      <c r="H19" s="11"/>
      <c r="I19" s="11"/>
      <c r="J19" s="11"/>
      <c r="K19" s="11"/>
      <c r="L19" s="11"/>
      <c r="M19" s="11">
        <f>C19+F19-G19</f>
        <v>2378712649</v>
      </c>
      <c r="N19" s="11"/>
      <c r="O19" s="12">
        <v>0</v>
      </c>
      <c r="P19" s="8"/>
    </row>
    <row r="20" spans="1:16" ht="16.899999999999999" customHeight="1" x14ac:dyDescent="0.25">
      <c r="A20" s="10" t="s">
        <v>21</v>
      </c>
      <c r="B20" s="10" t="s">
        <v>22</v>
      </c>
      <c r="C20" s="11"/>
      <c r="D20" s="11"/>
      <c r="E20" s="12">
        <v>0</v>
      </c>
      <c r="F20" s="12"/>
      <c r="G20" s="11"/>
      <c r="H20" s="11"/>
      <c r="I20" s="11"/>
      <c r="J20" s="11"/>
      <c r="K20" s="11"/>
      <c r="L20" s="11"/>
      <c r="M20" s="11">
        <f>M21</f>
        <v>0</v>
      </c>
      <c r="N20" s="11"/>
      <c r="O20" s="12">
        <v>0</v>
      </c>
      <c r="P20" s="8"/>
    </row>
    <row r="21" spans="1:16" ht="27" customHeight="1" x14ac:dyDescent="0.25">
      <c r="A21" s="13" t="s">
        <v>23</v>
      </c>
      <c r="B21" s="13" t="s">
        <v>24</v>
      </c>
      <c r="C21" s="14"/>
      <c r="D21" s="14"/>
      <c r="E21" s="15">
        <v>0</v>
      </c>
      <c r="F21" s="20"/>
      <c r="G21" s="14"/>
      <c r="H21" s="14"/>
      <c r="I21" s="14"/>
      <c r="J21" s="14"/>
      <c r="K21" s="14"/>
      <c r="L21" s="14"/>
      <c r="M21" s="14">
        <f>C21+C21+F21-G21</f>
        <v>0</v>
      </c>
      <c r="N21" s="14"/>
      <c r="O21" s="15">
        <v>0</v>
      </c>
      <c r="P21" s="8"/>
    </row>
    <row r="22" spans="1:16" ht="16.899999999999999" customHeight="1" x14ac:dyDescent="0.25">
      <c r="A22" s="10" t="s">
        <v>25</v>
      </c>
      <c r="B22" s="10" t="s">
        <v>26</v>
      </c>
      <c r="C22" s="11">
        <v>0</v>
      </c>
      <c r="D22" s="11"/>
      <c r="E22" s="12">
        <v>0</v>
      </c>
      <c r="F22" s="12"/>
      <c r="G22" s="11"/>
      <c r="H22" s="11"/>
      <c r="I22" s="11"/>
      <c r="J22" s="11"/>
      <c r="K22" s="11"/>
      <c r="L22" s="11"/>
      <c r="M22" s="11">
        <v>0</v>
      </c>
      <c r="N22" s="11"/>
      <c r="O22" s="12">
        <v>0</v>
      </c>
      <c r="P22" s="8"/>
    </row>
    <row r="23" spans="1:16" ht="17.649999999999999" customHeight="1" x14ac:dyDescent="0.25">
      <c r="A23" s="10" t="s">
        <v>27</v>
      </c>
      <c r="B23" s="10" t="s">
        <v>28</v>
      </c>
      <c r="C23" s="11">
        <v>0</v>
      </c>
      <c r="D23" s="11"/>
      <c r="E23" s="12">
        <v>0</v>
      </c>
      <c r="F23" s="12"/>
      <c r="G23" s="11"/>
      <c r="H23" s="11"/>
      <c r="I23" s="11"/>
      <c r="J23" s="11"/>
      <c r="K23" s="11"/>
      <c r="L23" s="11"/>
      <c r="M23" s="11">
        <v>0</v>
      </c>
      <c r="N23" s="11"/>
      <c r="O23" s="12">
        <v>0</v>
      </c>
      <c r="P23" s="8"/>
    </row>
    <row r="24" spans="1:16" ht="16.899999999999999" customHeight="1" x14ac:dyDescent="0.25">
      <c r="A24" s="13" t="s">
        <v>29</v>
      </c>
      <c r="B24" s="13" t="s">
        <v>28</v>
      </c>
      <c r="C24" s="14">
        <v>0</v>
      </c>
      <c r="D24" s="14"/>
      <c r="E24" s="15">
        <v>0</v>
      </c>
      <c r="F24" s="15"/>
      <c r="G24" s="14"/>
      <c r="H24" s="14"/>
      <c r="I24" s="14"/>
      <c r="J24" s="14"/>
      <c r="K24" s="14"/>
      <c r="L24" s="14"/>
      <c r="M24" s="14">
        <v>0</v>
      </c>
      <c r="N24" s="14"/>
      <c r="O24" s="15">
        <v>0</v>
      </c>
      <c r="P24" s="8"/>
    </row>
    <row r="25" spans="1:16" s="22" customFormat="1" ht="17.649999999999999" customHeight="1" x14ac:dyDescent="0.25">
      <c r="A25" s="10" t="s">
        <v>30</v>
      </c>
      <c r="B25" s="10" t="s">
        <v>31</v>
      </c>
      <c r="C25" s="11"/>
      <c r="D25" s="11"/>
      <c r="E25" s="12">
        <v>0</v>
      </c>
      <c r="F25" s="12"/>
      <c r="G25" s="11"/>
      <c r="H25" s="11"/>
      <c r="I25" s="11"/>
      <c r="J25" s="11"/>
      <c r="K25" s="11"/>
      <c r="L25" s="11"/>
      <c r="M25" s="11"/>
      <c r="N25" s="11"/>
      <c r="O25" s="12">
        <v>0</v>
      </c>
      <c r="P25" s="21"/>
    </row>
    <row r="26" spans="1:16" ht="17.649999999999999" customHeight="1" x14ac:dyDescent="0.25">
      <c r="A26" s="13" t="s">
        <v>32</v>
      </c>
      <c r="B26" s="13" t="s">
        <v>33</v>
      </c>
      <c r="C26" s="14">
        <v>20633108385</v>
      </c>
      <c r="D26" s="14"/>
      <c r="E26" s="15">
        <v>0</v>
      </c>
      <c r="F26" s="15">
        <f>[1]Sheet1!$L$17</f>
        <v>19151978036</v>
      </c>
      <c r="G26" s="14">
        <f>'[1]SỐ LIỆU QT TTNDN'!$C$3</f>
        <v>20762261079.849998</v>
      </c>
      <c r="H26" s="14"/>
      <c r="I26" s="14"/>
      <c r="J26" s="14"/>
      <c r="K26" s="14"/>
      <c r="L26" s="14"/>
      <c r="M26" s="14">
        <f>C26+F26-G26</f>
        <v>19022825341.150002</v>
      </c>
      <c r="N26" s="14"/>
      <c r="O26" s="15">
        <v>0</v>
      </c>
      <c r="P26" s="8"/>
    </row>
    <row r="27" spans="1:16" ht="16.899999999999999" customHeight="1" x14ac:dyDescent="0.25">
      <c r="A27" s="10" t="s">
        <v>34</v>
      </c>
      <c r="B27" s="10" t="s">
        <v>35</v>
      </c>
      <c r="C27" s="11"/>
      <c r="D27" s="11"/>
      <c r="E27" s="12">
        <v>0</v>
      </c>
      <c r="F27" s="12"/>
      <c r="G27" s="11"/>
      <c r="H27" s="11"/>
      <c r="I27" s="11"/>
      <c r="J27" s="11"/>
      <c r="K27" s="11"/>
      <c r="L27" s="11"/>
      <c r="M27" s="11">
        <f>C27+F27-G27</f>
        <v>0</v>
      </c>
      <c r="N27" s="11"/>
      <c r="O27" s="12">
        <v>0</v>
      </c>
      <c r="P27" s="8"/>
    </row>
    <row r="28" spans="1:16" ht="17.649999999999999" customHeight="1" x14ac:dyDescent="0.25">
      <c r="A28" s="13" t="s">
        <v>36</v>
      </c>
      <c r="B28" s="13" t="s">
        <v>37</v>
      </c>
      <c r="C28" s="14">
        <v>2200000000</v>
      </c>
      <c r="D28" s="14"/>
      <c r="E28" s="15">
        <v>0</v>
      </c>
      <c r="F28" s="15"/>
      <c r="G28" s="14"/>
      <c r="H28" s="14"/>
      <c r="I28" s="14"/>
      <c r="J28" s="14"/>
      <c r="K28" s="14"/>
      <c r="L28" s="14"/>
      <c r="M28" s="14">
        <f>C28</f>
        <v>2200000000</v>
      </c>
      <c r="N28" s="14"/>
      <c r="O28" s="15">
        <v>0</v>
      </c>
      <c r="P28" s="8"/>
    </row>
    <row r="29" spans="1:16" ht="17.649999999999999" customHeight="1" x14ac:dyDescent="0.25">
      <c r="A29" s="10" t="s">
        <v>38</v>
      </c>
      <c r="B29" s="10" t="s">
        <v>39</v>
      </c>
      <c r="C29" s="11">
        <f>C30</f>
        <v>0</v>
      </c>
      <c r="D29" s="11"/>
      <c r="E29" s="12">
        <f>E30</f>
        <v>0</v>
      </c>
      <c r="F29" s="12"/>
      <c r="G29" s="11"/>
      <c r="H29" s="11"/>
      <c r="I29" s="11"/>
      <c r="J29" s="11"/>
      <c r="K29" s="11"/>
      <c r="L29" s="11"/>
      <c r="M29" s="11">
        <f>M30</f>
        <v>0</v>
      </c>
      <c r="N29" s="11"/>
      <c r="O29" s="12"/>
      <c r="P29" s="8"/>
    </row>
    <row r="30" spans="1:16" ht="16.899999999999999" customHeight="1" x14ac:dyDescent="0.25">
      <c r="A30" s="13" t="s">
        <v>40</v>
      </c>
      <c r="B30" s="13" t="s">
        <v>41</v>
      </c>
      <c r="C30" s="14"/>
      <c r="D30" s="14"/>
      <c r="E30" s="23"/>
      <c r="F30" s="15"/>
      <c r="G30" s="14"/>
      <c r="H30" s="14"/>
      <c r="I30" s="14"/>
      <c r="J30" s="14"/>
      <c r="K30" s="14"/>
      <c r="L30" s="14"/>
      <c r="M30" s="14">
        <f>C30+F30-G30</f>
        <v>0</v>
      </c>
      <c r="N30" s="14"/>
      <c r="O30" s="15"/>
      <c r="P30" s="8"/>
    </row>
    <row r="31" spans="1:16" s="22" customFormat="1" ht="17.649999999999999" customHeight="1" x14ac:dyDescent="0.25">
      <c r="A31" s="10" t="s">
        <v>42</v>
      </c>
      <c r="B31" s="10" t="s">
        <v>43</v>
      </c>
      <c r="C31" s="11"/>
      <c r="D31" s="11"/>
      <c r="E31" s="24">
        <v>4632756100</v>
      </c>
      <c r="F31" s="12">
        <v>24986184461</v>
      </c>
      <c r="G31" s="11">
        <f>[1]Sheet1!$L$17+[1]Sheet1!$M$17</f>
        <v>20831635858</v>
      </c>
      <c r="H31" s="11"/>
      <c r="I31" s="11"/>
      <c r="J31" s="11"/>
      <c r="K31" s="11"/>
      <c r="L31" s="11"/>
      <c r="M31" s="11"/>
      <c r="N31" s="11"/>
      <c r="O31" s="12">
        <f>E31+G31-F31</f>
        <v>478207497</v>
      </c>
      <c r="P31" s="21"/>
    </row>
    <row r="32" spans="1:16" ht="16.899999999999999" customHeight="1" x14ac:dyDescent="0.25">
      <c r="A32" s="10" t="s">
        <v>44</v>
      </c>
      <c r="B32" s="10" t="s">
        <v>45</v>
      </c>
      <c r="C32" s="11"/>
      <c r="D32" s="11"/>
      <c r="E32" s="12">
        <v>0</v>
      </c>
      <c r="F32" s="12"/>
      <c r="G32" s="16"/>
      <c r="H32" s="25"/>
      <c r="I32" s="25"/>
      <c r="J32" s="25"/>
      <c r="K32" s="25"/>
      <c r="L32" s="17"/>
      <c r="M32" s="11"/>
      <c r="N32" s="11"/>
      <c r="O32" s="12">
        <v>0</v>
      </c>
      <c r="P32" s="8"/>
    </row>
    <row r="33" spans="1:16" ht="17.649999999999999" customHeight="1" x14ac:dyDescent="0.25">
      <c r="A33" s="13" t="s">
        <v>46</v>
      </c>
      <c r="B33" s="13" t="s">
        <v>47</v>
      </c>
      <c r="C33" s="14">
        <v>0</v>
      </c>
      <c r="D33" s="14"/>
      <c r="E33" s="15">
        <v>0</v>
      </c>
      <c r="F33" s="15">
        <f>G33</f>
        <v>70237166</v>
      </c>
      <c r="G33" s="14">
        <v>70237166</v>
      </c>
      <c r="H33" s="14">
        <f>H32+H31+H30+H27</f>
        <v>0</v>
      </c>
      <c r="I33" s="14">
        <f>I32+I31+I30+I27</f>
        <v>0</v>
      </c>
      <c r="J33" s="14">
        <f>J32+J31+J30+J27</f>
        <v>0</v>
      </c>
      <c r="K33" s="14">
        <f>K32+K31+K30+K27</f>
        <v>0</v>
      </c>
      <c r="L33" s="14">
        <f>L32+L31+L30+L27</f>
        <v>0</v>
      </c>
      <c r="M33" s="14"/>
      <c r="N33" s="14"/>
      <c r="O33" s="15">
        <v>0</v>
      </c>
      <c r="P33" s="8"/>
    </row>
    <row r="34" spans="1:16" ht="17.649999999999999" customHeight="1" x14ac:dyDescent="0.25">
      <c r="A34" s="13" t="s">
        <v>48</v>
      </c>
      <c r="B34" s="13" t="s">
        <v>49</v>
      </c>
      <c r="C34" s="14"/>
      <c r="D34" s="14"/>
      <c r="E34" s="15">
        <v>0</v>
      </c>
      <c r="F34" s="15">
        <v>20000000</v>
      </c>
      <c r="G34" s="14"/>
      <c r="H34" s="14"/>
      <c r="I34" s="14"/>
      <c r="J34" s="14"/>
      <c r="K34" s="14"/>
      <c r="L34" s="14"/>
      <c r="M34" s="14">
        <f>C34+F34-G34</f>
        <v>20000000</v>
      </c>
      <c r="N34" s="14"/>
      <c r="O34" s="15">
        <v>0</v>
      </c>
      <c r="P34" s="8"/>
    </row>
    <row r="35" spans="1:16" ht="25.15" customHeight="1" x14ac:dyDescent="0.25">
      <c r="A35" s="13" t="s">
        <v>50</v>
      </c>
      <c r="B35" s="13" t="s">
        <v>51</v>
      </c>
      <c r="C35" s="14">
        <v>0</v>
      </c>
      <c r="D35" s="14"/>
      <c r="E35" s="15">
        <v>0</v>
      </c>
      <c r="F35" s="15">
        <v>2000000</v>
      </c>
      <c r="G35" s="14">
        <v>2000000</v>
      </c>
      <c r="H35" s="14"/>
      <c r="I35" s="14"/>
      <c r="J35" s="14"/>
      <c r="K35" s="14"/>
      <c r="L35" s="14"/>
      <c r="M35" s="14"/>
      <c r="N35" s="14"/>
      <c r="O35" s="15">
        <v>0</v>
      </c>
      <c r="P35" s="8"/>
    </row>
    <row r="36" spans="1:16" ht="17.649999999999999" customHeight="1" x14ac:dyDescent="0.25">
      <c r="A36" s="10" t="s">
        <v>52</v>
      </c>
      <c r="B36" s="10" t="s">
        <v>53</v>
      </c>
      <c r="C36" s="11">
        <v>0</v>
      </c>
      <c r="D36" s="11"/>
      <c r="E36" s="12">
        <v>0</v>
      </c>
      <c r="F36" s="12">
        <f>F37</f>
        <v>0</v>
      </c>
      <c r="G36" s="11">
        <f>G37</f>
        <v>0</v>
      </c>
      <c r="H36" s="11"/>
      <c r="I36" s="11"/>
      <c r="J36" s="11"/>
      <c r="K36" s="11"/>
      <c r="L36" s="11"/>
      <c r="M36" s="11">
        <v>0</v>
      </c>
      <c r="N36" s="11"/>
      <c r="O36" s="12">
        <v>0</v>
      </c>
      <c r="P36" s="8"/>
    </row>
    <row r="37" spans="1:16" ht="17.649999999999999" customHeight="1" x14ac:dyDescent="0.25">
      <c r="A37" s="13" t="s">
        <v>54</v>
      </c>
      <c r="B37" s="13" t="s">
        <v>55</v>
      </c>
      <c r="C37" s="14">
        <v>0</v>
      </c>
      <c r="D37" s="14"/>
      <c r="E37" s="15">
        <v>0</v>
      </c>
      <c r="F37" s="15"/>
      <c r="G37" s="14"/>
      <c r="H37" s="14"/>
      <c r="I37" s="14"/>
      <c r="J37" s="14"/>
      <c r="K37" s="14"/>
      <c r="L37" s="14"/>
      <c r="M37" s="14">
        <v>0</v>
      </c>
      <c r="N37" s="14"/>
      <c r="O37" s="15">
        <v>0</v>
      </c>
      <c r="P37" s="8"/>
    </row>
    <row r="38" spans="1:16" ht="16.899999999999999" customHeight="1" x14ac:dyDescent="0.25">
      <c r="A38" s="10" t="s">
        <v>56</v>
      </c>
      <c r="B38" s="10" t="s">
        <v>57</v>
      </c>
      <c r="C38" s="11">
        <v>0</v>
      </c>
      <c r="D38" s="11"/>
      <c r="E38" s="12">
        <v>0</v>
      </c>
      <c r="F38" s="12"/>
      <c r="G38" s="11">
        <f>G39</f>
        <v>0</v>
      </c>
      <c r="H38" s="11"/>
      <c r="I38" s="11"/>
      <c r="J38" s="11"/>
      <c r="K38" s="11"/>
      <c r="L38" s="11"/>
      <c r="M38" s="11">
        <v>0</v>
      </c>
      <c r="N38" s="11"/>
      <c r="O38" s="12">
        <v>0</v>
      </c>
      <c r="P38" s="8"/>
    </row>
    <row r="39" spans="1:16" ht="17.649999999999999" customHeight="1" x14ac:dyDescent="0.25">
      <c r="A39" s="13" t="s">
        <v>58</v>
      </c>
      <c r="B39" s="13" t="s">
        <v>57</v>
      </c>
      <c r="C39" s="14"/>
      <c r="D39" s="14"/>
      <c r="E39" s="26">
        <v>56465573</v>
      </c>
      <c r="F39" s="26">
        <f>E39</f>
        <v>56465573</v>
      </c>
      <c r="G39" s="14"/>
      <c r="H39" s="14"/>
      <c r="I39" s="14"/>
      <c r="J39" s="14"/>
      <c r="K39" s="14"/>
      <c r="L39" s="14"/>
      <c r="M39" s="14">
        <v>0</v>
      </c>
      <c r="N39" s="14"/>
      <c r="O39" s="15">
        <f>E39+G39-F39</f>
        <v>0</v>
      </c>
      <c r="P39" s="8"/>
    </row>
    <row r="40" spans="1:16" ht="16.899999999999999" customHeight="1" x14ac:dyDescent="0.25">
      <c r="A40" s="10" t="s">
        <v>59</v>
      </c>
      <c r="B40" s="10" t="s">
        <v>60</v>
      </c>
      <c r="C40" s="11">
        <v>0</v>
      </c>
      <c r="D40" s="11"/>
      <c r="E40" s="12"/>
      <c r="F40" s="12"/>
      <c r="G40" s="11"/>
      <c r="H40" s="11"/>
      <c r="I40" s="11"/>
      <c r="J40" s="11"/>
      <c r="K40" s="11"/>
      <c r="L40" s="11"/>
      <c r="M40" s="11"/>
      <c r="N40" s="11"/>
      <c r="O40" s="12"/>
      <c r="P40" s="8"/>
    </row>
    <row r="41" spans="1:16" ht="17.649999999999999" customHeight="1" x14ac:dyDescent="0.25">
      <c r="A41" s="13" t="s">
        <v>61</v>
      </c>
      <c r="B41" s="13" t="s">
        <v>62</v>
      </c>
      <c r="C41" s="14"/>
      <c r="D41" s="14"/>
      <c r="E41" s="26">
        <v>34090168080</v>
      </c>
      <c r="F41" s="26">
        <f>1949137184+10000000000</f>
        <v>11949137184</v>
      </c>
      <c r="G41" s="14">
        <f>1185296033+10000000000</f>
        <v>11185296033</v>
      </c>
      <c r="H41" s="14"/>
      <c r="I41" s="14"/>
      <c r="J41" s="14"/>
      <c r="K41" s="14"/>
      <c r="L41" s="14"/>
      <c r="M41" s="14">
        <v>0</v>
      </c>
      <c r="N41" s="14"/>
      <c r="O41" s="15">
        <f>E41+G41-F41</f>
        <v>33326326929</v>
      </c>
      <c r="P41" s="8"/>
    </row>
    <row r="42" spans="1:16" ht="17.649999999999999" customHeight="1" x14ac:dyDescent="0.25">
      <c r="A42" s="10" t="s">
        <v>63</v>
      </c>
      <c r="B42" s="10" t="s">
        <v>64</v>
      </c>
      <c r="C42" s="11"/>
      <c r="D42" s="11"/>
      <c r="E42" s="12"/>
      <c r="F42" s="12"/>
      <c r="G42" s="11"/>
      <c r="H42" s="11"/>
      <c r="I42" s="11"/>
      <c r="J42" s="11"/>
      <c r="K42" s="11"/>
      <c r="L42" s="11"/>
      <c r="M42" s="11">
        <v>0</v>
      </c>
      <c r="N42" s="11"/>
      <c r="O42" s="23"/>
      <c r="P42" s="8"/>
    </row>
    <row r="43" spans="1:16" ht="16.899999999999999" customHeight="1" x14ac:dyDescent="0.25">
      <c r="A43" s="13" t="s">
        <v>65</v>
      </c>
      <c r="B43" s="13" t="s">
        <v>66</v>
      </c>
      <c r="C43" s="14"/>
      <c r="D43" s="14"/>
      <c r="E43" s="26">
        <v>3500000000</v>
      </c>
      <c r="F43" s="26"/>
      <c r="G43" s="14"/>
      <c r="H43" s="14"/>
      <c r="I43" s="14"/>
      <c r="J43" s="14"/>
      <c r="K43" s="14"/>
      <c r="L43" s="14"/>
      <c r="M43" s="14">
        <v>0</v>
      </c>
      <c r="N43" s="14"/>
      <c r="O43" s="23">
        <f>E43+G43</f>
        <v>3500000000</v>
      </c>
      <c r="P43" s="8"/>
    </row>
    <row r="44" spans="1:16" ht="17.649999999999999" customHeight="1" x14ac:dyDescent="0.25">
      <c r="A44" s="10" t="s">
        <v>67</v>
      </c>
      <c r="B44" s="10" t="s">
        <v>68</v>
      </c>
      <c r="C44" s="11"/>
      <c r="D44" s="11"/>
      <c r="E44" s="12"/>
      <c r="F44" s="12"/>
      <c r="G44" s="11"/>
      <c r="H44" s="11"/>
      <c r="I44" s="11"/>
      <c r="J44" s="11"/>
      <c r="K44" s="11"/>
      <c r="L44" s="11"/>
      <c r="M44" s="11"/>
      <c r="N44" s="11"/>
      <c r="O44" s="12"/>
      <c r="P44" s="8"/>
    </row>
    <row r="45" spans="1:16" ht="25.15" customHeight="1" x14ac:dyDescent="0.25">
      <c r="A45" s="13" t="s">
        <v>69</v>
      </c>
      <c r="B45" s="13" t="s">
        <v>70</v>
      </c>
      <c r="C45" s="14"/>
      <c r="D45" s="14"/>
      <c r="E45" s="26">
        <v>-13504043184</v>
      </c>
      <c r="F45" s="26">
        <f>G43</f>
        <v>0</v>
      </c>
      <c r="G45" s="14">
        <v>-139003901.84999847</v>
      </c>
      <c r="H45" s="14"/>
      <c r="I45" s="14"/>
      <c r="J45" s="14"/>
      <c r="K45" s="14"/>
      <c r="L45" s="14"/>
      <c r="M45" s="14"/>
      <c r="N45" s="14"/>
      <c r="O45" s="15">
        <f>E45+G45+F45</f>
        <v>-13643047085.849998</v>
      </c>
      <c r="P45" s="8"/>
    </row>
    <row r="46" spans="1:16" ht="17.649999999999999" customHeight="1" x14ac:dyDescent="0.25">
      <c r="A46" s="13" t="s">
        <v>71</v>
      </c>
      <c r="B46" s="13" t="s">
        <v>72</v>
      </c>
      <c r="C46" s="14"/>
      <c r="D46" s="14"/>
      <c r="E46" s="26"/>
      <c r="F46" s="26"/>
      <c r="G46" s="14"/>
      <c r="H46" s="14"/>
      <c r="I46" s="14"/>
      <c r="J46" s="14"/>
      <c r="K46" s="14"/>
      <c r="L46" s="14"/>
      <c r="M46" s="14"/>
      <c r="N46" s="14"/>
      <c r="O46" s="15">
        <v>0</v>
      </c>
      <c r="P46" s="8"/>
    </row>
    <row r="47" spans="1:16" ht="19.5" customHeight="1" x14ac:dyDescent="0.25">
      <c r="A47" s="10" t="s">
        <v>73</v>
      </c>
      <c r="B47" s="10" t="s">
        <v>74</v>
      </c>
      <c r="C47" s="11">
        <v>0</v>
      </c>
      <c r="D47" s="11"/>
      <c r="E47" s="12">
        <v>0</v>
      </c>
      <c r="F47" s="12"/>
      <c r="G47" s="11"/>
      <c r="H47" s="11"/>
      <c r="I47" s="11"/>
      <c r="J47" s="11"/>
      <c r="K47" s="11"/>
      <c r="L47" s="11"/>
      <c r="M47" s="11">
        <v>0</v>
      </c>
      <c r="N47" s="11"/>
      <c r="O47" s="12">
        <v>0</v>
      </c>
      <c r="P47" s="8"/>
    </row>
    <row r="48" spans="1:16" ht="17.649999999999999" customHeight="1" x14ac:dyDescent="0.25">
      <c r="A48" s="13" t="s">
        <v>75</v>
      </c>
      <c r="B48" s="13" t="s">
        <v>76</v>
      </c>
      <c r="C48" s="14">
        <v>0</v>
      </c>
      <c r="D48" s="14"/>
      <c r="E48" s="15">
        <v>0</v>
      </c>
      <c r="F48" s="15">
        <f>'[1]SỐ LIỆU QT TTNDN'!$C$2</f>
        <v>21855011663</v>
      </c>
      <c r="G48" s="14">
        <f>F48</f>
        <v>21855011663</v>
      </c>
      <c r="H48" s="14"/>
      <c r="I48" s="14"/>
      <c r="J48" s="14"/>
      <c r="K48" s="14"/>
      <c r="L48" s="14"/>
      <c r="M48" s="14">
        <v>0</v>
      </c>
      <c r="N48" s="14"/>
      <c r="O48" s="15">
        <v>0</v>
      </c>
      <c r="P48" s="8"/>
    </row>
    <row r="49" spans="1:16" ht="17.649999999999999" customHeight="1" x14ac:dyDescent="0.25">
      <c r="A49" s="10" t="s">
        <v>77</v>
      </c>
      <c r="B49" s="10" t="s">
        <v>78</v>
      </c>
      <c r="C49" s="11">
        <v>0</v>
      </c>
      <c r="D49" s="11"/>
      <c r="E49" s="12">
        <v>0</v>
      </c>
      <c r="F49" s="12"/>
      <c r="G49" s="11"/>
      <c r="H49" s="11"/>
      <c r="I49" s="11"/>
      <c r="J49" s="11"/>
      <c r="K49" s="11"/>
      <c r="L49" s="11"/>
      <c r="M49" s="11">
        <v>0</v>
      </c>
      <c r="N49" s="11"/>
      <c r="O49" s="12">
        <v>0</v>
      </c>
      <c r="P49" s="8"/>
    </row>
    <row r="50" spans="1:16" s="22" customFormat="1" ht="16.899999999999999" customHeight="1" x14ac:dyDescent="0.25">
      <c r="A50" s="10" t="s">
        <v>79</v>
      </c>
      <c r="B50" s="10" t="s">
        <v>80</v>
      </c>
      <c r="C50" s="11">
        <v>0</v>
      </c>
      <c r="D50" s="11"/>
      <c r="E50" s="12">
        <v>0</v>
      </c>
      <c r="F50" s="12">
        <f>F51</f>
        <v>0</v>
      </c>
      <c r="G50" s="11">
        <f>G51</f>
        <v>0</v>
      </c>
      <c r="H50" s="11"/>
      <c r="I50" s="11"/>
      <c r="J50" s="11"/>
      <c r="K50" s="11"/>
      <c r="L50" s="11"/>
      <c r="M50" s="11">
        <v>0</v>
      </c>
      <c r="N50" s="11"/>
      <c r="O50" s="12">
        <v>0</v>
      </c>
      <c r="P50" s="21"/>
    </row>
    <row r="51" spans="1:16" s="22" customFormat="1" ht="17.649999999999999" customHeight="1" x14ac:dyDescent="0.25">
      <c r="A51" s="13" t="s">
        <v>81</v>
      </c>
      <c r="B51" s="13" t="s">
        <v>82</v>
      </c>
      <c r="C51" s="14">
        <v>0</v>
      </c>
      <c r="D51" s="14"/>
      <c r="E51" s="15">
        <v>0</v>
      </c>
      <c r="F51" s="15"/>
      <c r="G51" s="14"/>
      <c r="H51" s="14"/>
      <c r="I51" s="14"/>
      <c r="J51" s="14"/>
      <c r="K51" s="14"/>
      <c r="L51" s="14"/>
      <c r="M51" s="14">
        <v>0</v>
      </c>
      <c r="N51" s="14"/>
      <c r="O51" s="15">
        <v>0</v>
      </c>
      <c r="P51" s="21"/>
    </row>
    <row r="52" spans="1:16" ht="17.649999999999999" customHeight="1" x14ac:dyDescent="0.25">
      <c r="A52" s="10" t="s">
        <v>83</v>
      </c>
      <c r="B52" s="10" t="s">
        <v>84</v>
      </c>
      <c r="C52" s="11">
        <v>0</v>
      </c>
      <c r="D52" s="11"/>
      <c r="E52" s="12">
        <v>0</v>
      </c>
      <c r="F52" s="15">
        <f>'[1]SỐ LIỆU QT TTNDN'!$C$3</f>
        <v>20762261079.849998</v>
      </c>
      <c r="G52" s="14">
        <f>F52</f>
        <v>20762261079.849998</v>
      </c>
      <c r="H52" s="14"/>
      <c r="I52" s="14"/>
      <c r="J52" s="14"/>
      <c r="K52" s="14"/>
      <c r="L52" s="14"/>
      <c r="M52" s="11">
        <v>0</v>
      </c>
      <c r="N52" s="11"/>
      <c r="O52" s="12">
        <v>0</v>
      </c>
      <c r="P52" s="8"/>
    </row>
    <row r="53" spans="1:16" ht="16.899999999999999" customHeight="1" x14ac:dyDescent="0.25">
      <c r="A53" s="10" t="s">
        <v>85</v>
      </c>
      <c r="B53" s="10" t="s">
        <v>86</v>
      </c>
      <c r="C53" s="11">
        <v>0</v>
      </c>
      <c r="D53" s="11"/>
      <c r="E53" s="12">
        <v>0</v>
      </c>
      <c r="F53" s="12"/>
      <c r="G53" s="11"/>
      <c r="H53" s="11"/>
      <c r="I53" s="11"/>
      <c r="J53" s="11"/>
      <c r="K53" s="11"/>
      <c r="L53" s="11"/>
      <c r="M53" s="11">
        <v>0</v>
      </c>
      <c r="N53" s="11"/>
      <c r="O53" s="12">
        <v>0</v>
      </c>
      <c r="P53" s="8"/>
    </row>
    <row r="54" spans="1:16" ht="17.649999999999999" customHeight="1" x14ac:dyDescent="0.25">
      <c r="A54" s="13" t="s">
        <v>87</v>
      </c>
      <c r="B54" s="13" t="s">
        <v>88</v>
      </c>
      <c r="C54" s="14">
        <v>0</v>
      </c>
      <c r="D54" s="14"/>
      <c r="E54" s="15">
        <v>0</v>
      </c>
      <c r="F54" s="15">
        <f>'[1]SỐ LIỆU QT TTNDN'!$C$9</f>
        <v>566363005</v>
      </c>
      <c r="G54" s="14">
        <f>F54</f>
        <v>566363005</v>
      </c>
      <c r="H54" s="14"/>
      <c r="I54" s="14"/>
      <c r="J54" s="14"/>
      <c r="K54" s="14"/>
      <c r="L54" s="14"/>
      <c r="M54" s="14">
        <v>0</v>
      </c>
      <c r="N54" s="14"/>
      <c r="O54" s="15">
        <v>0</v>
      </c>
      <c r="P54" s="8"/>
    </row>
    <row r="55" spans="1:16" ht="16.899999999999999" customHeight="1" x14ac:dyDescent="0.25">
      <c r="A55" s="13" t="s">
        <v>89</v>
      </c>
      <c r="B55" s="13" t="s">
        <v>90</v>
      </c>
      <c r="C55" s="14">
        <v>0</v>
      </c>
      <c r="D55" s="14"/>
      <c r="E55" s="15">
        <v>0</v>
      </c>
      <c r="F55" s="15"/>
      <c r="G55" s="14"/>
      <c r="H55" s="14"/>
      <c r="I55" s="14"/>
      <c r="J55" s="14"/>
      <c r="K55" s="14"/>
      <c r="L55" s="14"/>
      <c r="M55" s="14">
        <v>0</v>
      </c>
      <c r="N55" s="14"/>
      <c r="O55" s="15">
        <v>0</v>
      </c>
      <c r="P55" s="8"/>
    </row>
    <row r="56" spans="1:16" ht="17.649999999999999" customHeight="1" x14ac:dyDescent="0.25">
      <c r="A56" s="10" t="s">
        <v>91</v>
      </c>
      <c r="B56" s="10" t="s">
        <v>92</v>
      </c>
      <c r="C56" s="11">
        <v>0</v>
      </c>
      <c r="D56" s="11"/>
      <c r="E56" s="12">
        <v>0</v>
      </c>
      <c r="F56" s="12"/>
      <c r="G56" s="27"/>
      <c r="H56" s="28"/>
      <c r="I56" s="28"/>
      <c r="J56" s="28"/>
      <c r="K56" s="28"/>
      <c r="L56" s="29"/>
      <c r="M56" s="11">
        <v>0</v>
      </c>
      <c r="N56" s="11"/>
      <c r="O56" s="12">
        <v>0</v>
      </c>
      <c r="P56" s="8"/>
    </row>
    <row r="57" spans="1:16" ht="17.649999999999999" customHeight="1" x14ac:dyDescent="0.25">
      <c r="A57" s="13" t="s">
        <v>93</v>
      </c>
      <c r="B57" s="13" t="s">
        <v>94</v>
      </c>
      <c r="C57" s="14">
        <v>0</v>
      </c>
      <c r="D57" s="14"/>
      <c r="E57" s="15">
        <v>0</v>
      </c>
      <c r="F57" s="15">
        <f>'[1]SỐ LIỆU QT TTNDN'!$C$7</f>
        <v>550000000</v>
      </c>
      <c r="G57" s="14">
        <f>F57</f>
        <v>550000000</v>
      </c>
      <c r="H57" s="14"/>
      <c r="I57" s="14"/>
      <c r="J57" s="14"/>
      <c r="K57" s="14"/>
      <c r="L57" s="14"/>
      <c r="M57" s="14">
        <v>0</v>
      </c>
      <c r="N57" s="14"/>
      <c r="O57" s="15">
        <v>0</v>
      </c>
      <c r="P57" s="8"/>
    </row>
    <row r="58" spans="1:16" ht="16.899999999999999" customHeight="1" x14ac:dyDescent="0.25">
      <c r="A58" s="13" t="s">
        <v>95</v>
      </c>
      <c r="B58" s="13" t="s">
        <v>96</v>
      </c>
      <c r="C58" s="14">
        <v>0</v>
      </c>
      <c r="D58" s="14"/>
      <c r="E58" s="15">
        <v>0</v>
      </c>
      <c r="F58" s="15"/>
      <c r="G58" s="14"/>
      <c r="H58" s="14"/>
      <c r="I58" s="14"/>
      <c r="J58" s="14"/>
      <c r="K58" s="14"/>
      <c r="L58" s="14"/>
      <c r="M58" s="14">
        <v>0</v>
      </c>
      <c r="N58" s="14"/>
      <c r="O58" s="15">
        <v>0</v>
      </c>
      <c r="P58" s="8"/>
    </row>
    <row r="59" spans="1:16" ht="17.649999999999999" customHeight="1" x14ac:dyDescent="0.25">
      <c r="A59" s="10" t="s">
        <v>97</v>
      </c>
      <c r="B59" s="10" t="s">
        <v>98</v>
      </c>
      <c r="C59" s="11">
        <v>0</v>
      </c>
      <c r="D59" s="11"/>
      <c r="E59" s="12">
        <v>0</v>
      </c>
      <c r="F59" s="12">
        <f>'[1]SỐ LIỆU QT TTNDN'!$C$8</f>
        <v>431797629</v>
      </c>
      <c r="G59" s="27">
        <f>F59</f>
        <v>431797629</v>
      </c>
      <c r="H59" s="28"/>
      <c r="I59" s="28"/>
      <c r="J59" s="28"/>
      <c r="K59" s="28"/>
      <c r="L59" s="29"/>
      <c r="M59" s="11">
        <v>0</v>
      </c>
      <c r="N59" s="11"/>
      <c r="O59" s="12">
        <v>0</v>
      </c>
      <c r="P59" s="8"/>
    </row>
    <row r="60" spans="1:16" ht="17.649999999999999" customHeight="1" x14ac:dyDescent="0.25">
      <c r="A60" s="13" t="s">
        <v>99</v>
      </c>
      <c r="B60" s="13" t="s">
        <v>94</v>
      </c>
      <c r="C60" s="14">
        <v>0</v>
      </c>
      <c r="D60" s="14"/>
      <c r="E60" s="15">
        <v>0</v>
      </c>
      <c r="F60" s="15"/>
      <c r="G60" s="14"/>
      <c r="H60" s="14"/>
      <c r="I60" s="14"/>
      <c r="J60" s="14"/>
      <c r="K60" s="14"/>
      <c r="L60" s="14"/>
      <c r="M60" s="14">
        <v>0</v>
      </c>
      <c r="N60" s="14"/>
      <c r="O60" s="15">
        <v>0</v>
      </c>
      <c r="P60" s="8"/>
    </row>
    <row r="61" spans="1:16" ht="16.899999999999999" customHeight="1" x14ac:dyDescent="0.25">
      <c r="A61" s="13" t="s">
        <v>100</v>
      </c>
      <c r="B61" s="13" t="s">
        <v>96</v>
      </c>
      <c r="C61" s="14">
        <v>0</v>
      </c>
      <c r="D61" s="14"/>
      <c r="E61" s="15">
        <v>0</v>
      </c>
      <c r="F61" s="15"/>
      <c r="G61" s="14"/>
      <c r="H61" s="14"/>
      <c r="I61" s="14"/>
      <c r="J61" s="14"/>
      <c r="K61" s="14"/>
      <c r="L61" s="14"/>
      <c r="M61" s="14">
        <v>0</v>
      </c>
      <c r="N61" s="14"/>
      <c r="O61" s="15">
        <v>0</v>
      </c>
      <c r="P61" s="8"/>
    </row>
    <row r="62" spans="1:16" s="22" customFormat="1" ht="17.649999999999999" customHeight="1" x14ac:dyDescent="0.25">
      <c r="A62" s="10" t="s">
        <v>101</v>
      </c>
      <c r="B62" s="10" t="s">
        <v>102</v>
      </c>
      <c r="C62" s="11">
        <v>0</v>
      </c>
      <c r="D62" s="11"/>
      <c r="E62" s="12">
        <v>0</v>
      </c>
      <c r="F62" s="12">
        <f>'[1]SỐ LIỆU QT TTNDN'!$C$11</f>
        <v>316406149</v>
      </c>
      <c r="G62" s="11">
        <f>F62</f>
        <v>316406149</v>
      </c>
      <c r="H62" s="11"/>
      <c r="I62" s="11"/>
      <c r="J62" s="11"/>
      <c r="K62" s="11"/>
      <c r="L62" s="11"/>
      <c r="M62" s="11">
        <v>0</v>
      </c>
      <c r="N62" s="11"/>
      <c r="O62" s="12">
        <v>0</v>
      </c>
      <c r="P62" s="21"/>
    </row>
    <row r="63" spans="1:16" ht="16.899999999999999" customHeight="1" x14ac:dyDescent="0.25">
      <c r="A63" s="10" t="s">
        <v>103</v>
      </c>
      <c r="B63" s="10" t="s">
        <v>104</v>
      </c>
      <c r="C63" s="11">
        <v>0</v>
      </c>
      <c r="D63" s="11"/>
      <c r="E63" s="12">
        <v>0</v>
      </c>
      <c r="F63" s="12"/>
      <c r="G63" s="11"/>
      <c r="H63" s="11"/>
      <c r="I63" s="11"/>
      <c r="J63" s="11"/>
      <c r="K63" s="11"/>
      <c r="L63" s="11"/>
      <c r="M63" s="11">
        <v>0</v>
      </c>
      <c r="N63" s="11"/>
      <c r="O63" s="12">
        <v>0</v>
      </c>
      <c r="P63" s="8"/>
    </row>
    <row r="64" spans="1:16" ht="17.649999999999999" customHeight="1" x14ac:dyDescent="0.25">
      <c r="A64" s="6" t="s">
        <v>105</v>
      </c>
      <c r="B64" s="6"/>
      <c r="C64" s="11">
        <f>C45+C28+C26+C19+C18+C16</f>
        <v>28775346569</v>
      </c>
      <c r="D64" s="11"/>
      <c r="E64" s="12">
        <f>E45+E43+E41+E39+E31</f>
        <v>28775346569</v>
      </c>
      <c r="F64" s="12">
        <f>SUM(F16:F63)</f>
        <v>170780433241.85001</v>
      </c>
      <c r="G64" s="27">
        <f t="shared" ref="G64" si="0">SUM(G16:G63)</f>
        <v>170780433241.85001</v>
      </c>
      <c r="H64" s="28"/>
      <c r="I64" s="28"/>
      <c r="J64" s="28"/>
      <c r="K64" s="28"/>
      <c r="L64" s="29"/>
      <c r="M64" s="11">
        <f>M28+M26+M18+M16+M19</f>
        <v>23641487340.150002</v>
      </c>
      <c r="N64" s="11"/>
      <c r="O64" s="12">
        <f>O31+O41+++O45</f>
        <v>20161487340.150002</v>
      </c>
      <c r="P64" s="8"/>
    </row>
    <row r="65" spans="1:15" ht="0.75" customHeight="1" x14ac:dyDescent="0.25">
      <c r="A65" s="30"/>
      <c r="B65" s="30"/>
      <c r="C65" s="30"/>
      <c r="D65" s="30"/>
      <c r="E65" s="31">
        <f>SUM(E15:E64)</f>
        <v>57550693138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5" ht="17.649999999999999" customHeight="1" x14ac:dyDescent="0.25">
      <c r="E66" s="32">
        <f>C64-E64</f>
        <v>0</v>
      </c>
      <c r="G66" s="33">
        <f>F64-G64</f>
        <v>0</v>
      </c>
      <c r="H66" s="34"/>
      <c r="I66" s="34"/>
      <c r="J66" s="34"/>
      <c r="K66" s="34"/>
      <c r="L66" s="34"/>
      <c r="M66" s="34"/>
      <c r="N66" s="34"/>
      <c r="O66" s="35">
        <f>M64-O64</f>
        <v>3480000000</v>
      </c>
    </row>
    <row r="67" spans="1:15" ht="11.65" customHeight="1" x14ac:dyDescent="0.25"/>
    <row r="68" spans="1:15" ht="17.649999999999999" customHeight="1" x14ac:dyDescent="0.25">
      <c r="J68" s="36" t="s">
        <v>106</v>
      </c>
      <c r="K68" s="36"/>
      <c r="L68" s="36"/>
      <c r="M68" s="36"/>
      <c r="N68" s="36"/>
      <c r="O68" s="36"/>
    </row>
    <row r="69" spans="1:15" ht="16.899999999999999" customHeight="1" x14ac:dyDescent="0.25">
      <c r="A69" s="37" t="s">
        <v>107</v>
      </c>
      <c r="B69" s="37"/>
      <c r="D69" s="37" t="s">
        <v>108</v>
      </c>
      <c r="E69" s="37"/>
      <c r="F69" s="37"/>
      <c r="G69" s="37"/>
      <c r="I69" s="38" t="s">
        <v>109</v>
      </c>
      <c r="J69" s="38"/>
      <c r="K69" s="38"/>
      <c r="L69" s="38"/>
      <c r="M69" s="38"/>
      <c r="N69" s="38"/>
      <c r="O69" s="38"/>
    </row>
    <row r="70" spans="1:15" ht="17.649999999999999" customHeight="1" x14ac:dyDescent="0.25">
      <c r="A70" s="4" t="s">
        <v>110</v>
      </c>
      <c r="B70" s="4"/>
      <c r="D70" s="4" t="s">
        <v>110</v>
      </c>
      <c r="E70" s="4"/>
      <c r="F70" s="4"/>
      <c r="G70" s="4"/>
      <c r="J70" s="4" t="s">
        <v>111</v>
      </c>
      <c r="K70" s="4"/>
      <c r="L70" s="4"/>
      <c r="M70" s="4"/>
      <c r="N70" s="4"/>
      <c r="O70" s="4"/>
    </row>
    <row r="71" spans="1:15" ht="37.5" customHeight="1" x14ac:dyDescent="0.25"/>
    <row r="72" spans="1:15" ht="37.5" customHeight="1" x14ac:dyDescent="0.25"/>
    <row r="73" spans="1:15" ht="17.649999999999999" customHeight="1" x14ac:dyDescent="0.25"/>
    <row r="74" spans="1:15" ht="40.5" customHeight="1" x14ac:dyDescent="0.25"/>
    <row r="75" spans="1:15" ht="73.5" customHeight="1" x14ac:dyDescent="0.25"/>
    <row r="76" spans="1:15" ht="73.5" customHeight="1" x14ac:dyDescent="0.25"/>
    <row r="77" spans="1:15" ht="73.5" customHeight="1" x14ac:dyDescent="0.25"/>
    <row r="78" spans="1:15" ht="58.15" customHeight="1" x14ac:dyDescent="0.25"/>
    <row r="79" spans="1:15" ht="57.4" customHeight="1" x14ac:dyDescent="0.25"/>
    <row r="80" spans="1:15" ht="16.899999999999999" customHeight="1" x14ac:dyDescent="0.25">
      <c r="K80" s="39"/>
      <c r="L80" s="39"/>
      <c r="M80" s="39"/>
      <c r="N80" s="39"/>
      <c r="O80" s="39"/>
    </row>
  </sheetData>
  <mergeCells count="174">
    <mergeCell ref="K80:O80"/>
    <mergeCell ref="J68:O68"/>
    <mergeCell ref="A69:B69"/>
    <mergeCell ref="D69:G69"/>
    <mergeCell ref="I69:O69"/>
    <mergeCell ref="A70:B70"/>
    <mergeCell ref="D70:G70"/>
    <mergeCell ref="J70:O70"/>
    <mergeCell ref="A64:B64"/>
    <mergeCell ref="C64:D64"/>
    <mergeCell ref="G64:L64"/>
    <mergeCell ref="M64:N64"/>
    <mergeCell ref="G66:L66"/>
    <mergeCell ref="M66:N66"/>
    <mergeCell ref="C62:D62"/>
    <mergeCell ref="G62:L62"/>
    <mergeCell ref="M62:N62"/>
    <mergeCell ref="C63:D63"/>
    <mergeCell ref="G63:L63"/>
    <mergeCell ref="M63:N63"/>
    <mergeCell ref="C60:D60"/>
    <mergeCell ref="G60:L60"/>
    <mergeCell ref="M60:N60"/>
    <mergeCell ref="C61:D61"/>
    <mergeCell ref="G61:L61"/>
    <mergeCell ref="M61:N61"/>
    <mergeCell ref="C58:D58"/>
    <mergeCell ref="G58:L58"/>
    <mergeCell ref="M58:N58"/>
    <mergeCell ref="C59:D59"/>
    <mergeCell ref="G59:L59"/>
    <mergeCell ref="M59:N59"/>
    <mergeCell ref="C56:D56"/>
    <mergeCell ref="G56:L56"/>
    <mergeCell ref="M56:N56"/>
    <mergeCell ref="C57:D57"/>
    <mergeCell ref="G57:L57"/>
    <mergeCell ref="M57:N57"/>
    <mergeCell ref="C54:D54"/>
    <mergeCell ref="G54:L54"/>
    <mergeCell ref="M54:N54"/>
    <mergeCell ref="C55:D55"/>
    <mergeCell ref="G55:L55"/>
    <mergeCell ref="M55:N55"/>
    <mergeCell ref="C52:D52"/>
    <mergeCell ref="G52:L52"/>
    <mergeCell ref="M52:N52"/>
    <mergeCell ref="C53:D53"/>
    <mergeCell ref="G53:L53"/>
    <mergeCell ref="M53:N53"/>
    <mergeCell ref="C50:D50"/>
    <mergeCell ref="G50:L50"/>
    <mergeCell ref="M50:N50"/>
    <mergeCell ref="C51:D51"/>
    <mergeCell ref="G51:L51"/>
    <mergeCell ref="M51:N51"/>
    <mergeCell ref="C48:D48"/>
    <mergeCell ref="G48:L48"/>
    <mergeCell ref="M48:N48"/>
    <mergeCell ref="C49:D49"/>
    <mergeCell ref="G49:L49"/>
    <mergeCell ref="M49:N49"/>
    <mergeCell ref="C46:D46"/>
    <mergeCell ref="G46:L46"/>
    <mergeCell ref="M46:N46"/>
    <mergeCell ref="C47:D47"/>
    <mergeCell ref="G47:L47"/>
    <mergeCell ref="M47:N47"/>
    <mergeCell ref="C44:D44"/>
    <mergeCell ref="G44:L44"/>
    <mergeCell ref="M44:N44"/>
    <mergeCell ref="C45:D45"/>
    <mergeCell ref="G45:L45"/>
    <mergeCell ref="M45:N45"/>
    <mergeCell ref="C42:D42"/>
    <mergeCell ref="G42:L42"/>
    <mergeCell ref="M42:N42"/>
    <mergeCell ref="C43:D43"/>
    <mergeCell ref="G43:L43"/>
    <mergeCell ref="M43:N43"/>
    <mergeCell ref="C40:D40"/>
    <mergeCell ref="G40:L40"/>
    <mergeCell ref="M40:N40"/>
    <mergeCell ref="C41:D41"/>
    <mergeCell ref="G41:L41"/>
    <mergeCell ref="M41:N41"/>
    <mergeCell ref="C38:D38"/>
    <mergeCell ref="G38:L38"/>
    <mergeCell ref="M38:N38"/>
    <mergeCell ref="C39:D39"/>
    <mergeCell ref="G39:L39"/>
    <mergeCell ref="M39:N39"/>
    <mergeCell ref="C36:D36"/>
    <mergeCell ref="G36:L36"/>
    <mergeCell ref="M36:N36"/>
    <mergeCell ref="C37:D37"/>
    <mergeCell ref="G37:L37"/>
    <mergeCell ref="M37:N37"/>
    <mergeCell ref="C34:D34"/>
    <mergeCell ref="G34:L34"/>
    <mergeCell ref="M34:N34"/>
    <mergeCell ref="C35:D35"/>
    <mergeCell ref="G35:L35"/>
    <mergeCell ref="M35:N35"/>
    <mergeCell ref="C32:D32"/>
    <mergeCell ref="G32:L32"/>
    <mergeCell ref="M32:N32"/>
    <mergeCell ref="C33:D33"/>
    <mergeCell ref="G33:L33"/>
    <mergeCell ref="M33:N33"/>
    <mergeCell ref="C30:D30"/>
    <mergeCell ref="G30:L30"/>
    <mergeCell ref="M30:N30"/>
    <mergeCell ref="C31:D31"/>
    <mergeCell ref="G31:L31"/>
    <mergeCell ref="M31:N31"/>
    <mergeCell ref="C28:D28"/>
    <mergeCell ref="G28:L28"/>
    <mergeCell ref="M28:N28"/>
    <mergeCell ref="C29:D29"/>
    <mergeCell ref="G29:L29"/>
    <mergeCell ref="M29:N29"/>
    <mergeCell ref="C26:D26"/>
    <mergeCell ref="G26:L26"/>
    <mergeCell ref="M26:N26"/>
    <mergeCell ref="C27:D27"/>
    <mergeCell ref="G27:L27"/>
    <mergeCell ref="M27:N27"/>
    <mergeCell ref="C24:D24"/>
    <mergeCell ref="G24:L24"/>
    <mergeCell ref="M24:N24"/>
    <mergeCell ref="C25:D25"/>
    <mergeCell ref="G25:L25"/>
    <mergeCell ref="M25:N25"/>
    <mergeCell ref="C22:D22"/>
    <mergeCell ref="G22:L22"/>
    <mergeCell ref="M22:N22"/>
    <mergeCell ref="C23:D23"/>
    <mergeCell ref="G23:L23"/>
    <mergeCell ref="M23:N23"/>
    <mergeCell ref="C20:D20"/>
    <mergeCell ref="G20:L20"/>
    <mergeCell ref="M20:N20"/>
    <mergeCell ref="C21:D21"/>
    <mergeCell ref="G21:L21"/>
    <mergeCell ref="M21:N21"/>
    <mergeCell ref="C18:D18"/>
    <mergeCell ref="G18:L18"/>
    <mergeCell ref="M18:N18"/>
    <mergeCell ref="C19:D19"/>
    <mergeCell ref="G19:L19"/>
    <mergeCell ref="M19:N19"/>
    <mergeCell ref="C16:D16"/>
    <mergeCell ref="G16:L16"/>
    <mergeCell ref="M16:N16"/>
    <mergeCell ref="C17:D17"/>
    <mergeCell ref="G17:L17"/>
    <mergeCell ref="M17:N17"/>
    <mergeCell ref="C14:D14"/>
    <mergeCell ref="G14:L14"/>
    <mergeCell ref="M14:N14"/>
    <mergeCell ref="C15:D15"/>
    <mergeCell ref="G15:L15"/>
    <mergeCell ref="M15:N15"/>
    <mergeCell ref="A1:J2"/>
    <mergeCell ref="A3:J4"/>
    <mergeCell ref="A8:O8"/>
    <mergeCell ref="A9:O9"/>
    <mergeCell ref="N11:O11"/>
    <mergeCell ref="A13:A14"/>
    <mergeCell ref="B13:B14"/>
    <mergeCell ref="C13:E13"/>
    <mergeCell ref="F13:L13"/>
    <mergeCell ref="M13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2026-03-26T14:56:26Z</dcterms:created>
  <dcterms:modified xsi:type="dcterms:W3CDTF">2026-03-26T14:57:19Z</dcterms:modified>
</cp:coreProperties>
</file>