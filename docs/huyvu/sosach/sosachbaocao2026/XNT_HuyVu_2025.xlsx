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AppData\Local\Temp\Rar$DIa2916.35633\"/>
    </mc:Choice>
  </mc:AlternateContent>
  <xr:revisionPtr revIDLastSave="0" documentId="13_ncr:1_{6271F241-7B36-4D89-A5B1-9088549A949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xnt12thang" sheetId="1" r:id="rId1"/>
    <sheet name="Tháng 1" sheetId="2" r:id="rId2"/>
    <sheet name="Tháng 2" sheetId="3" r:id="rId3"/>
    <sheet name="Tháng 3" sheetId="4" r:id="rId4"/>
    <sheet name="Tháng 4" sheetId="5" r:id="rId5"/>
    <sheet name="Tháng 5" sheetId="6" r:id="rId6"/>
    <sheet name="Tháng 6" sheetId="7" r:id="rId7"/>
    <sheet name="Tháng 7" sheetId="8" r:id="rId8"/>
    <sheet name="Tháng 8" sheetId="9" r:id="rId9"/>
    <sheet name="Tháng 9" sheetId="10" r:id="rId10"/>
    <sheet name="Tháng 10" sheetId="11" r:id="rId11"/>
    <sheet name="Tháng 11" sheetId="12" r:id="rId12"/>
    <sheet name="Tháng 12" sheetId="13" r:id="rId13"/>
    <sheet name="Hoadon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8" roundtripDataChecksum="8ESoajrB+j0HbtMoxcjfDAqqAbXl4Ggdcvvaj0GPqiI="/>
    </ext>
  </extLst>
</workbook>
</file>

<file path=xl/calcChain.xml><?xml version="1.0" encoding="utf-8"?>
<calcChain xmlns="http://schemas.openxmlformats.org/spreadsheetml/2006/main">
  <c r="C14" i="14" l="1"/>
  <c r="B14" i="14"/>
  <c r="M57" i="13"/>
  <c r="L57" i="13"/>
  <c r="K57" i="13"/>
  <c r="J57" i="13"/>
  <c r="I57" i="13"/>
  <c r="H57" i="13"/>
  <c r="G57" i="13"/>
  <c r="F57" i="13"/>
  <c r="E57" i="13"/>
  <c r="D57" i="13"/>
  <c r="M57" i="12"/>
  <c r="L57" i="12"/>
  <c r="K57" i="12"/>
  <c r="J57" i="12"/>
  <c r="I57" i="12"/>
  <c r="H57" i="12"/>
  <c r="G57" i="12"/>
  <c r="F57" i="12"/>
  <c r="E57" i="12"/>
  <c r="D57" i="12"/>
  <c r="M57" i="11"/>
  <c r="L57" i="11"/>
  <c r="K57" i="11"/>
  <c r="J57" i="11"/>
  <c r="I57" i="11"/>
  <c r="H57" i="11"/>
  <c r="G57" i="11"/>
  <c r="F57" i="11"/>
  <c r="E57" i="11"/>
  <c r="D57" i="11"/>
  <c r="M57" i="10"/>
  <c r="L57" i="10"/>
  <c r="K57" i="10"/>
  <c r="J57" i="10"/>
  <c r="I57" i="10"/>
  <c r="H57" i="10"/>
  <c r="G57" i="10"/>
  <c r="F57" i="10"/>
  <c r="E57" i="10"/>
  <c r="D57" i="10"/>
  <c r="M57" i="9"/>
  <c r="L57" i="9"/>
  <c r="K57" i="9"/>
  <c r="J57" i="9"/>
  <c r="I57" i="9"/>
  <c r="H57" i="9"/>
  <c r="G57" i="9"/>
  <c r="F57" i="9"/>
  <c r="E57" i="9"/>
  <c r="D57" i="9"/>
  <c r="M57" i="8"/>
  <c r="L57" i="8"/>
  <c r="K57" i="8"/>
  <c r="J57" i="8"/>
  <c r="I57" i="8"/>
  <c r="H57" i="8"/>
  <c r="G57" i="8"/>
  <c r="F57" i="8"/>
  <c r="E57" i="8"/>
  <c r="D57" i="8"/>
  <c r="M57" i="7"/>
  <c r="L57" i="7"/>
  <c r="K57" i="7"/>
  <c r="J57" i="7"/>
  <c r="I57" i="7"/>
  <c r="H57" i="7"/>
  <c r="G57" i="7"/>
  <c r="F57" i="7"/>
  <c r="E57" i="7"/>
  <c r="D57" i="7"/>
  <c r="M57" i="6"/>
  <c r="L57" i="6"/>
  <c r="K57" i="6"/>
  <c r="J57" i="6"/>
  <c r="I57" i="6"/>
  <c r="H57" i="6"/>
  <c r="G57" i="6"/>
  <c r="F57" i="6"/>
  <c r="E57" i="6"/>
  <c r="D57" i="6"/>
  <c r="M57" i="5"/>
  <c r="L57" i="5"/>
  <c r="K57" i="5"/>
  <c r="J57" i="5"/>
  <c r="I57" i="5"/>
  <c r="H57" i="5"/>
  <c r="G57" i="5"/>
  <c r="F57" i="5"/>
  <c r="E57" i="5"/>
  <c r="D57" i="5"/>
  <c r="M57" i="4"/>
  <c r="L57" i="4"/>
  <c r="K57" i="4"/>
  <c r="J57" i="4"/>
  <c r="I57" i="4"/>
  <c r="H57" i="4"/>
  <c r="G57" i="4"/>
  <c r="F57" i="4"/>
  <c r="E57" i="4"/>
  <c r="D57" i="4"/>
  <c r="M57" i="3"/>
  <c r="L57" i="3"/>
  <c r="K57" i="3"/>
  <c r="J57" i="3"/>
  <c r="I57" i="3"/>
  <c r="H57" i="3"/>
  <c r="G57" i="3"/>
  <c r="F57" i="3"/>
  <c r="E57" i="3"/>
  <c r="D57" i="3"/>
  <c r="M57" i="2"/>
  <c r="L57" i="2"/>
  <c r="K57" i="2"/>
  <c r="J57" i="2"/>
  <c r="I57" i="2"/>
  <c r="H57" i="2"/>
  <c r="G57" i="2"/>
  <c r="F57" i="2"/>
  <c r="E57" i="2"/>
  <c r="D57" i="2"/>
  <c r="E64" i="1"/>
  <c r="E59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E58" i="1" s="1"/>
  <c r="D57" i="1"/>
</calcChain>
</file>

<file path=xl/sharedStrings.xml><?xml version="1.0" encoding="utf-8"?>
<sst xmlns="http://schemas.openxmlformats.org/spreadsheetml/2006/main" count="1656" uniqueCount="174">
  <si>
    <t>STT</t>
  </si>
  <si>
    <t>Mã Nhóm</t>
  </si>
  <si>
    <t>Tên Nhóm Sản Phẩm</t>
  </si>
  <si>
    <t>Tồn Đầu SL</t>
  </si>
  <si>
    <t>Tồn Đầu VNĐ</t>
  </si>
  <si>
    <t>Tổng Tiền Nhập VNĐ</t>
  </si>
  <si>
    <t>Tổng Tiền Xuất HĐ VNĐ</t>
  </si>
  <si>
    <t>Tổng Tiền Giá Vốn VNĐ</t>
  </si>
  <si>
    <t>Tồn Cuối SL</t>
  </si>
  <si>
    <t>Tồn Cuối VNĐ</t>
  </si>
  <si>
    <t>Nhập T1 VNĐ</t>
  </si>
  <si>
    <t>Xuất T1 VNĐ</t>
  </si>
  <si>
    <t>Nhập T2 VNĐ</t>
  </si>
  <si>
    <t>Xuất T2 VNĐ</t>
  </si>
  <si>
    <t>Nhập T3 VNĐ</t>
  </si>
  <si>
    <t>Xuất T3 VNĐ</t>
  </si>
  <si>
    <t>Nhập T4 VNĐ</t>
  </si>
  <si>
    <t>Xuất T4 VNĐ</t>
  </si>
  <si>
    <t>Nhập T5 VNĐ</t>
  </si>
  <si>
    <t>Xuất T5 VNĐ</t>
  </si>
  <si>
    <t>Nhập T6 VNĐ</t>
  </si>
  <si>
    <t>Xuất T6 VNĐ</t>
  </si>
  <si>
    <t>Nhập T7 VNĐ</t>
  </si>
  <si>
    <t>Xuất T7 VNĐ</t>
  </si>
  <si>
    <t>Nhập T8 VNĐ</t>
  </si>
  <si>
    <t>Xuất T8 VNĐ</t>
  </si>
  <si>
    <t>Nhập T9 VNĐ</t>
  </si>
  <si>
    <t>Xuất T9 VNĐ</t>
  </si>
  <si>
    <t>Nhập T10 VNĐ</t>
  </si>
  <si>
    <t>Xuất T10 VNĐ</t>
  </si>
  <si>
    <t>Nhập T11 VNĐ</t>
  </si>
  <si>
    <t>Xuất T11 VNĐ</t>
  </si>
  <si>
    <t>Nhập T12 VNĐ</t>
  </si>
  <si>
    <t>Xuất T12 VNĐ</t>
  </si>
  <si>
    <t>CAM-WIFI-2M</t>
  </si>
  <si>
    <t>Camera WiFi 2MP</t>
  </si>
  <si>
    <t>HDD-1TB</t>
  </si>
  <si>
    <t>HDD 1TB+</t>
  </si>
  <si>
    <t>INK-BRO-2385</t>
  </si>
  <si>
    <t>Hộp mực Brother TN-2385</t>
  </si>
  <si>
    <t>INK-CAN-12A</t>
  </si>
  <si>
    <t>Hộp mực Canon 12A / 303</t>
  </si>
  <si>
    <t>INK-CAN-35A</t>
  </si>
  <si>
    <t>Hộp mực Canon 35A / 85A</t>
  </si>
  <si>
    <t>INK-EPS-003</t>
  </si>
  <si>
    <t>Mực nước Epson 003</t>
  </si>
  <si>
    <t>KB-OFF</t>
  </si>
  <si>
    <t>Bàn phím Văn phòng</t>
  </si>
  <si>
    <t>LCD-DELL-19</t>
  </si>
  <si>
    <t>Màn hình DELL 19 inch</t>
  </si>
  <si>
    <t>LCD-DELL-22</t>
  </si>
  <si>
    <t>Màn hình DELL 22 inch</t>
  </si>
  <si>
    <t>LCD-DELL-24</t>
  </si>
  <si>
    <t>Màn hình DELL 24 inch</t>
  </si>
  <si>
    <t>LCD-DELL-27</t>
  </si>
  <si>
    <t>Màn hình DELL 27 inch</t>
  </si>
  <si>
    <t>LCD-SAM-24</t>
  </si>
  <si>
    <t>Màn hình Samsung 24-27 inch</t>
  </si>
  <si>
    <t>MS-LOGI</t>
  </si>
  <si>
    <t>Chuột Logitech</t>
  </si>
  <si>
    <t>MS-RAPO</t>
  </si>
  <si>
    <t>Chuột Rapoo</t>
  </si>
  <si>
    <t>OTH-GEN-MID</t>
  </si>
  <si>
    <t>Hàng hóa khác</t>
  </si>
  <si>
    <t>PC-ASU-EXP</t>
  </si>
  <si>
    <t>Laptop ASUS ExpertBook</t>
  </si>
  <si>
    <t>PC-ASU-ROG</t>
  </si>
  <si>
    <t>Laptop ASUS Gaming (ROG/TUF)</t>
  </si>
  <si>
    <t>PC-DELL-INS</t>
  </si>
  <si>
    <t>Laptop DELL Inspiron Series</t>
  </si>
  <si>
    <t>PC-DELL-INS-DT</t>
  </si>
  <si>
    <t>PC Dell Inspiron Desktop</t>
  </si>
  <si>
    <t>PC-DELL-LAT</t>
  </si>
  <si>
    <t>Laptop DELL Latitude Series</t>
  </si>
  <si>
    <t>PC-DELL-OPT</t>
  </si>
  <si>
    <t>PC Dell OptiPlex</t>
  </si>
  <si>
    <t>PC-DELL-PRE</t>
  </si>
  <si>
    <t>PC Dell Precision</t>
  </si>
  <si>
    <t>PC-DELL-VOS-DT</t>
  </si>
  <si>
    <t>PC Dell Vostro Desktop</t>
  </si>
  <si>
    <t>PC-HP-PAV</t>
  </si>
  <si>
    <t>Laptop HP Pavilion</t>
  </si>
  <si>
    <t>PC-LEN-IP</t>
  </si>
  <si>
    <t>Laptop LENOVO IdeaPad</t>
  </si>
  <si>
    <t>PC-LEN-TP</t>
  </si>
  <si>
    <t>Laptop LENOVO ThinkPad</t>
  </si>
  <si>
    <t>PC-LEN-V</t>
  </si>
  <si>
    <t>Laptop LENOVO V-Series</t>
  </si>
  <si>
    <t>PC-LEN-V-DT</t>
  </si>
  <si>
    <t>PC Lenovo Desktop</t>
  </si>
  <si>
    <t>PC-MSI-DT</t>
  </si>
  <si>
    <t>PC MSI Desktop</t>
  </si>
  <si>
    <t>PC-MSI-GF</t>
  </si>
  <si>
    <t>Laptop MSI Gaming Series</t>
  </si>
  <si>
    <t>PC-MSI-MOD</t>
  </si>
  <si>
    <t>Laptop MSI Modern Series</t>
  </si>
  <si>
    <t>PC-SYS-AMD</t>
  </si>
  <si>
    <t>PC Lắp Ráp AMD Ryzen</t>
  </si>
  <si>
    <t>PC-SYS-G</t>
  </si>
  <si>
    <t>PC Văn phòng Entry (G/Celeron)</t>
  </si>
  <si>
    <t>PC-SYS-I3</t>
  </si>
  <si>
    <t>PC Văn phòng Core i3</t>
  </si>
  <si>
    <t>PC-SYS-I5</t>
  </si>
  <si>
    <t>PC Văn phòng Core i5</t>
  </si>
  <si>
    <t>PC-SYS-I7</t>
  </si>
  <si>
    <t>PC Đồ họa Core i7</t>
  </si>
  <si>
    <t>PRN-BRO-DCP</t>
  </si>
  <si>
    <t>Máy in Đa năng Brother (DCP)</t>
  </si>
  <si>
    <t>PRN-BRO-HL</t>
  </si>
  <si>
    <t>Máy in Laser Brother (HL)</t>
  </si>
  <si>
    <t>PRN-CAN-LBP</t>
  </si>
  <si>
    <t>Máy in Laser Canon (LBP)</t>
  </si>
  <si>
    <t>PRN-CAN-MF</t>
  </si>
  <si>
    <t>Máy in Đa năng Canon (MF)</t>
  </si>
  <si>
    <t>PRN-EPS-L</t>
  </si>
  <si>
    <t>Máy in Phun màu Epson (L-Series)</t>
  </si>
  <si>
    <t>PRN-HP-LJ</t>
  </si>
  <si>
    <t>Máy in Laser HP (LaserJet)</t>
  </si>
  <si>
    <t>PRN-POS-80</t>
  </si>
  <si>
    <t>Máy in Hóa đơn K80</t>
  </si>
  <si>
    <t>RAM-16G-D4</t>
  </si>
  <si>
    <t>RAM 16GB DDR4</t>
  </si>
  <si>
    <t>RAM-8G-D4</t>
  </si>
  <si>
    <t>RAM 8GB DDR4</t>
  </si>
  <si>
    <t>SCN-HP-SJ</t>
  </si>
  <si>
    <t>Máy quét HP ScanJet</t>
  </si>
  <si>
    <t>SRV-INSTALL</t>
  </si>
  <si>
    <t>Phí lắp đặt / Sửa chữa</t>
  </si>
  <si>
    <t>SSD-128-256</t>
  </si>
  <si>
    <t>SSD 120-256GB</t>
  </si>
  <si>
    <t>SSD-480-512</t>
  </si>
  <si>
    <t>SSD 480-512GB</t>
  </si>
  <si>
    <t>SW-WIN-PRO</t>
  </si>
  <si>
    <t>Bản quyền Windows</t>
  </si>
  <si>
    <t>UPS-SAN-500</t>
  </si>
  <si>
    <t>Bộ lưu điện Santak 500VA+</t>
  </si>
  <si>
    <t>VGA-GTX-16</t>
  </si>
  <si>
    <t>Card đồ họa GTX 16-Series</t>
  </si>
  <si>
    <t>WST-DRUM</t>
  </si>
  <si>
    <t>Trống máy in (Drum)</t>
  </si>
  <si>
    <t>WST-INK-REFILL</t>
  </si>
  <si>
    <t>Mực nạp / Mực đổ lẻ</t>
  </si>
  <si>
    <t>WST-ROLL</t>
  </si>
  <si>
    <t>Trục sấy / Rulo</t>
  </si>
  <si>
    <t>TỔNG CỘNG</t>
  </si>
  <si>
    <t>ĐK</t>
  </si>
  <si>
    <t>CK</t>
  </si>
  <si>
    <t>ĐK THEO BC</t>
  </si>
  <si>
    <t>CK THEO BC</t>
  </si>
  <si>
    <t>ĐÀU KỲ KHỚP</t>
  </si>
  <si>
    <t>ĐIỀU CHỈNH CUỐI KÝ THEO KIỆT TĂNG LÊN:727112713</t>
  </si>
  <si>
    <t>Tên Nhóm</t>
  </si>
  <si>
    <t>Nhập SL</t>
  </si>
  <si>
    <t>Nhập VNĐ</t>
  </si>
  <si>
    <t>Xuất SL</t>
  </si>
  <si>
    <t>Xuất VNĐ</t>
  </si>
  <si>
    <t>Giá Vốn (Bình quân)</t>
  </si>
  <si>
    <t>Thành tiền Giá Vốn</t>
  </si>
  <si>
    <t>Tháng</t>
  </si>
  <si>
    <t>Tổng Tiền Hóa Đơn Mua (VNĐ)</t>
  </si>
  <si>
    <t>Tổng Tiền Hóa Đơn Bán (VNĐ)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</si>
  <si>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</si>
  <si>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</si>
  <si>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</si>
  <si>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</si>
  <si>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</si>
  <si>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</si>
  <si>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</si>
  <si>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</si>
  <si>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</si>
  <si>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</si>
  <si>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</si>
  <si>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</si>
  <si>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CUỐI KỲ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</si>
</sst>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3" fontId="2" fillId="0" borderId="1" xfId="0" applyNumberFormat="1" applyFont="1" applyBorder="1"/>
    <xf numFmtId="0" fontId="3" fillId="0" borderId="0" xfId="0" applyFont="1"/>
    <xf numFmtId="3" fontId="3" fillId="3" borderId="1" xfId="0" applyNumberFormat="1" applyFont="1" applyFill="1" applyBorder="1"/>
    <xf numFmtId="0" fontId="4" fillId="0" borderId="0" xfId="0" applyFont="1"/>
    <xf numFmtId="3" fontId="4" fillId="0" borderId="0" xfId="0" applyNumberFormat="1" applyFont="1"/>
    <xf numFmtId="3" fontId="4" fillId="4" borderId="0" xfId="0" applyNumberFormat="1" applyFont="1" applyFill="1" applyAlignment="1">
      <alignment horizontal="left"/>
    </xf>
    <xf numFmtId="0" fontId="1" fillId="2" borderId="2" xfId="0" applyFont="1" applyFill="1" applyBorder="1" applyAlignment="1">
      <alignment horizontal="center"/>
    </xf>
    <xf numFmtId="0" fontId="2" fillId="0" borderId="2" xfId="0" applyFont="1" applyBorder="1"/>
    <xf numFmtId="3" fontId="2" fillId="0" borderId="2" xfId="0" applyNumberFormat="1" applyFont="1" applyBorder="1"/>
    <xf numFmtId="0" fontId="0" fillId="0" borderId="2" xfId="0" applyBorder="1"/>
    <xf numFmtId="0" fontId="3" fillId="0" borderId="2" xfId="0" applyFont="1" applyBorder="1"/>
    <xf numFmtId="3" fontId="3" fillId="3" borderId="2" xfId="0" applyNumberFormat="1" applyFont="1" applyFill="1" applyBorder="1"/>
    <xf numFmtId="0" fontId="5" fillId="0" borderId="0" xfId="0" applyFont="1"/>
    <xf numFmtId="3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000"/>
  <sheetViews>
    <sheetView tabSelected="1" topLeftCell="A55" workbookViewId="0">
      <selection activeCell="A64" sqref="A64:XFD64"/>
    </sheetView>
  </sheetViews>
  <sheetFormatPr defaultColWidth="14.42578125" defaultRowHeight="15" customHeight="1" x14ac:dyDescent="0.25"/>
  <cols>
    <col min="1" max="4" width="8.7109375" customWidth="1"/>
    <col min="5" max="5" width="14.42578125" customWidth="1"/>
    <col min="6" max="6" width="24.5703125" customWidth="1"/>
    <col min="7" max="7" width="22.140625" bestFit="1" customWidth="1"/>
    <col min="8" max="8" width="22" bestFit="1" customWidth="1"/>
    <col min="9" max="9" width="11" bestFit="1" customWidth="1"/>
    <col min="10" max="10" width="13.85546875" bestFit="1" customWidth="1"/>
    <col min="11" max="11" width="12.7109375" bestFit="1" customWidth="1"/>
    <col min="12" max="12" width="12" bestFit="1" customWidth="1"/>
    <col min="13" max="13" width="12.7109375" bestFit="1" customWidth="1"/>
    <col min="14" max="14" width="12" bestFit="1" customWidth="1"/>
    <col min="15" max="28" width="12.7109375" bestFit="1" customWidth="1"/>
    <col min="29" max="29" width="13.85546875" bestFit="1" customWidth="1"/>
    <col min="30" max="30" width="13.140625" bestFit="1" customWidth="1"/>
    <col min="31" max="31" width="13.85546875" bestFit="1" customWidth="1"/>
    <col min="32" max="32" width="13.140625" bestFit="1" customWidth="1"/>
    <col min="33" max="33" width="13.85546875" bestFit="1" customWidth="1"/>
    <col min="34" max="34" width="13.140625" bestFit="1" customWidth="1"/>
  </cols>
  <sheetData>
    <row r="1" spans="1:34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</row>
    <row r="2" spans="1:34" x14ac:dyDescent="0.25">
      <c r="A2" s="10">
        <v>1</v>
      </c>
      <c r="B2" s="10" t="s">
        <v>34</v>
      </c>
      <c r="C2" s="10" t="s">
        <v>35</v>
      </c>
      <c r="D2" s="11">
        <v>5</v>
      </c>
      <c r="E2" s="11">
        <v>1837062</v>
      </c>
      <c r="F2" s="11">
        <v>69224525.398040399</v>
      </c>
      <c r="G2" s="11">
        <v>29152018</v>
      </c>
      <c r="H2" s="11">
        <v>42105478.649210744</v>
      </c>
      <c r="I2" s="11">
        <v>92</v>
      </c>
      <c r="J2" s="11">
        <v>28956108.74882967</v>
      </c>
      <c r="K2" s="11">
        <v>4347233.2343958672</v>
      </c>
      <c r="L2" s="11">
        <v>0</v>
      </c>
      <c r="M2" s="11">
        <v>11401571.588859661</v>
      </c>
      <c r="N2" s="11">
        <v>872727</v>
      </c>
      <c r="O2" s="11">
        <v>8006679.3186592264</v>
      </c>
      <c r="P2" s="11">
        <v>0</v>
      </c>
      <c r="Q2" s="11">
        <v>9399904.1841227524</v>
      </c>
      <c r="R2" s="11">
        <v>1163636</v>
      </c>
      <c r="S2" s="11">
        <v>0</v>
      </c>
      <c r="T2" s="11">
        <v>8413637</v>
      </c>
      <c r="U2" s="11">
        <v>7971402.4375412017</v>
      </c>
      <c r="V2" s="11">
        <v>10090908</v>
      </c>
      <c r="W2" s="11">
        <v>10472095.7548189</v>
      </c>
      <c r="X2" s="11">
        <v>0</v>
      </c>
      <c r="Y2" s="11">
        <v>0</v>
      </c>
      <c r="Z2" s="11">
        <v>0</v>
      </c>
      <c r="AA2" s="11">
        <v>9223712.8027934674</v>
      </c>
      <c r="AB2" s="11">
        <v>8611110</v>
      </c>
      <c r="AC2" s="11">
        <v>4917215.4472041037</v>
      </c>
      <c r="AD2" s="11">
        <v>0</v>
      </c>
      <c r="AE2" s="11">
        <v>3484710.629645234</v>
      </c>
      <c r="AF2" s="11">
        <v>0</v>
      </c>
      <c r="AG2" s="11">
        <v>0</v>
      </c>
      <c r="AH2" s="11">
        <v>0</v>
      </c>
    </row>
    <row r="3" spans="1:34" x14ac:dyDescent="0.25">
      <c r="A3" s="10">
        <v>2</v>
      </c>
      <c r="B3" s="10" t="s">
        <v>36</v>
      </c>
      <c r="C3" s="10" t="s">
        <v>37</v>
      </c>
      <c r="D3" s="11">
        <v>33</v>
      </c>
      <c r="E3" s="11">
        <v>44417946</v>
      </c>
      <c r="F3" s="11">
        <v>110726938.46330009</v>
      </c>
      <c r="G3" s="11">
        <v>114042930</v>
      </c>
      <c r="H3" s="11">
        <v>150405531.1082013</v>
      </c>
      <c r="I3" s="11">
        <v>31</v>
      </c>
      <c r="J3" s="11">
        <v>4739353.3550988045</v>
      </c>
      <c r="K3" s="11">
        <v>4893945.8390757134</v>
      </c>
      <c r="L3" s="11">
        <v>2239091</v>
      </c>
      <c r="M3" s="11">
        <v>13315056.005527521</v>
      </c>
      <c r="N3" s="11">
        <v>4754545</v>
      </c>
      <c r="O3" s="11">
        <v>4805765.7609201511</v>
      </c>
      <c r="P3" s="11">
        <v>14038182</v>
      </c>
      <c r="Q3" s="11">
        <v>4982125.9172312757</v>
      </c>
      <c r="R3" s="11">
        <v>2027273</v>
      </c>
      <c r="S3" s="11">
        <v>3077453.688552008</v>
      </c>
      <c r="T3" s="11">
        <v>15018183</v>
      </c>
      <c r="U3" s="11">
        <v>29681117.495987348</v>
      </c>
      <c r="V3" s="11">
        <v>22054544</v>
      </c>
      <c r="W3" s="11">
        <v>7023308.9770554062</v>
      </c>
      <c r="X3" s="11">
        <v>0</v>
      </c>
      <c r="Y3" s="11">
        <v>8999177.0888786428</v>
      </c>
      <c r="Z3" s="11">
        <v>11990741</v>
      </c>
      <c r="AA3" s="11">
        <v>18366580.44934329</v>
      </c>
      <c r="AB3" s="11">
        <v>8240740</v>
      </c>
      <c r="AC3" s="11">
        <v>12654530.86481797</v>
      </c>
      <c r="AD3" s="11">
        <v>13629629</v>
      </c>
      <c r="AE3" s="11">
        <v>2927876.375910792</v>
      </c>
      <c r="AF3" s="11">
        <v>4642592</v>
      </c>
      <c r="AG3" s="11">
        <v>0</v>
      </c>
      <c r="AH3" s="11">
        <v>15407410</v>
      </c>
    </row>
    <row r="4" spans="1:34" x14ac:dyDescent="0.25">
      <c r="A4" s="10">
        <v>3</v>
      </c>
      <c r="B4" s="10" t="s">
        <v>38</v>
      </c>
      <c r="C4" s="10" t="s">
        <v>39</v>
      </c>
      <c r="D4" s="11">
        <v>1871</v>
      </c>
      <c r="E4" s="11">
        <v>692569119</v>
      </c>
      <c r="F4" s="11">
        <v>0</v>
      </c>
      <c r="G4" s="11">
        <v>155548674</v>
      </c>
      <c r="H4" s="11">
        <v>206932075.4357639</v>
      </c>
      <c r="I4" s="11">
        <v>1451</v>
      </c>
      <c r="J4" s="11">
        <v>485637043.56423622</v>
      </c>
      <c r="K4" s="11">
        <v>0</v>
      </c>
      <c r="L4" s="11">
        <v>909091</v>
      </c>
      <c r="M4" s="11">
        <v>0</v>
      </c>
      <c r="N4" s="11">
        <v>418182</v>
      </c>
      <c r="O4" s="11">
        <v>0</v>
      </c>
      <c r="P4" s="11">
        <v>57681836</v>
      </c>
      <c r="Q4" s="11">
        <v>0</v>
      </c>
      <c r="R4" s="11">
        <v>4545456</v>
      </c>
      <c r="S4" s="11">
        <v>0</v>
      </c>
      <c r="T4" s="11">
        <v>4418180</v>
      </c>
      <c r="U4" s="11">
        <v>0</v>
      </c>
      <c r="V4" s="11">
        <v>46400002</v>
      </c>
      <c r="W4" s="11">
        <v>0</v>
      </c>
      <c r="X4" s="11">
        <v>4120373</v>
      </c>
      <c r="Y4" s="11">
        <v>0</v>
      </c>
      <c r="Z4" s="11">
        <v>2583333</v>
      </c>
      <c r="AA4" s="11">
        <v>0</v>
      </c>
      <c r="AB4" s="11">
        <v>3277778</v>
      </c>
      <c r="AC4" s="11">
        <v>0</v>
      </c>
      <c r="AD4" s="11">
        <v>25833333</v>
      </c>
      <c r="AE4" s="11">
        <v>0</v>
      </c>
      <c r="AF4" s="11">
        <v>4037036</v>
      </c>
      <c r="AG4" s="11">
        <v>0</v>
      </c>
      <c r="AH4" s="11">
        <v>1324074</v>
      </c>
    </row>
    <row r="5" spans="1:34" x14ac:dyDescent="0.25">
      <c r="A5" s="10">
        <v>4</v>
      </c>
      <c r="B5" s="10" t="s">
        <v>40</v>
      </c>
      <c r="C5" s="10" t="s">
        <v>41</v>
      </c>
      <c r="D5" s="11">
        <v>2618</v>
      </c>
      <c r="E5" s="11">
        <v>349085997</v>
      </c>
      <c r="F5" s="11">
        <v>59339651.15345642</v>
      </c>
      <c r="G5" s="11">
        <v>153299113</v>
      </c>
      <c r="H5" s="11">
        <v>185800438.69790581</v>
      </c>
      <c r="I5" s="11">
        <v>2096</v>
      </c>
      <c r="J5" s="11">
        <v>222625209.45555061</v>
      </c>
      <c r="K5" s="11">
        <v>57315.595844375574</v>
      </c>
      <c r="L5" s="11">
        <v>4245459</v>
      </c>
      <c r="M5" s="11">
        <v>4911580.8847356662</v>
      </c>
      <c r="N5" s="11">
        <v>4454548</v>
      </c>
      <c r="O5" s="11">
        <v>5706957.2359353267</v>
      </c>
      <c r="P5" s="11">
        <v>49290894</v>
      </c>
      <c r="Q5" s="11">
        <v>5572926.6210465841</v>
      </c>
      <c r="R5" s="11">
        <v>5254547</v>
      </c>
      <c r="S5" s="11">
        <v>678979.81199971051</v>
      </c>
      <c r="T5" s="11">
        <v>3236369</v>
      </c>
      <c r="U5" s="11">
        <v>6410627.6638128273</v>
      </c>
      <c r="V5" s="11">
        <v>20618216</v>
      </c>
      <c r="W5" s="11">
        <v>5029527.4378492963</v>
      </c>
      <c r="X5" s="11">
        <v>259258</v>
      </c>
      <c r="Y5" s="11">
        <v>7184970.1904078973</v>
      </c>
      <c r="Z5" s="11">
        <v>20722222</v>
      </c>
      <c r="AA5" s="11">
        <v>7943836.8271451732</v>
      </c>
      <c r="AB5" s="11">
        <v>23537041</v>
      </c>
      <c r="AC5" s="11">
        <v>718506.13676969369</v>
      </c>
      <c r="AD5" s="11">
        <v>12208334</v>
      </c>
      <c r="AE5" s="11">
        <v>5765968.3413673816</v>
      </c>
      <c r="AF5" s="11">
        <v>3833336</v>
      </c>
      <c r="AG5" s="11">
        <v>9358454.4065424912</v>
      </c>
      <c r="AH5" s="11">
        <v>5638889</v>
      </c>
    </row>
    <row r="6" spans="1:34" x14ac:dyDescent="0.25">
      <c r="A6" s="10">
        <v>5</v>
      </c>
      <c r="B6" s="10" t="s">
        <v>42</v>
      </c>
      <c r="C6" s="10" t="s">
        <v>43</v>
      </c>
      <c r="D6" s="11">
        <v>5</v>
      </c>
      <c r="E6" s="11">
        <v>392492</v>
      </c>
      <c r="F6" s="11">
        <v>14772437.6734269</v>
      </c>
      <c r="G6" s="11">
        <v>28500147</v>
      </c>
      <c r="H6" s="11">
        <v>11135424.742645551</v>
      </c>
      <c r="I6" s="11">
        <v>105</v>
      </c>
      <c r="J6" s="11">
        <v>4029504.93078135</v>
      </c>
      <c r="K6" s="11">
        <v>2451301.415839355</v>
      </c>
      <c r="L6" s="11">
        <v>0</v>
      </c>
      <c r="M6" s="11">
        <v>343898.42492205341</v>
      </c>
      <c r="N6" s="11">
        <v>690908</v>
      </c>
      <c r="O6" s="11">
        <v>687796.84984410682</v>
      </c>
      <c r="P6" s="11">
        <v>12754526</v>
      </c>
      <c r="Q6" s="11">
        <v>802431.92141749791</v>
      </c>
      <c r="R6" s="11">
        <v>0</v>
      </c>
      <c r="S6" s="11">
        <v>899416.42779237661</v>
      </c>
      <c r="T6" s="11">
        <v>0</v>
      </c>
      <c r="U6" s="11">
        <v>0</v>
      </c>
      <c r="V6" s="11">
        <v>1045457</v>
      </c>
      <c r="W6" s="11">
        <v>1446013.605904184</v>
      </c>
      <c r="X6" s="11">
        <v>231481</v>
      </c>
      <c r="Y6" s="11">
        <v>1302275.519646165</v>
      </c>
      <c r="Z6" s="11">
        <v>805556</v>
      </c>
      <c r="AA6" s="11">
        <v>2433903.0431424431</v>
      </c>
      <c r="AB6" s="11">
        <v>4740740</v>
      </c>
      <c r="AC6" s="11">
        <v>727478.36999968986</v>
      </c>
      <c r="AD6" s="11">
        <v>4342592</v>
      </c>
      <c r="AE6" s="11">
        <v>1836708.289440417</v>
      </c>
      <c r="AF6" s="11">
        <v>1018517</v>
      </c>
      <c r="AG6" s="11">
        <v>1841213.805478615</v>
      </c>
      <c r="AH6" s="11">
        <v>2870370</v>
      </c>
    </row>
    <row r="7" spans="1:34" x14ac:dyDescent="0.25">
      <c r="A7" s="10">
        <v>6</v>
      </c>
      <c r="B7" s="10" t="s">
        <v>44</v>
      </c>
      <c r="C7" s="10" t="s">
        <v>45</v>
      </c>
      <c r="D7" s="11">
        <v>118</v>
      </c>
      <c r="E7" s="11">
        <v>3406938</v>
      </c>
      <c r="F7" s="11">
        <v>624112.42336317396</v>
      </c>
      <c r="G7" s="11">
        <v>927272</v>
      </c>
      <c r="H7" s="11">
        <v>1315087.6532744949</v>
      </c>
      <c r="I7" s="11">
        <v>104</v>
      </c>
      <c r="J7" s="11">
        <v>2715962.7700886792</v>
      </c>
      <c r="K7" s="11">
        <v>0</v>
      </c>
      <c r="L7" s="11">
        <v>0</v>
      </c>
      <c r="M7" s="11">
        <v>246902.27889325481</v>
      </c>
      <c r="N7" s="11">
        <v>0</v>
      </c>
      <c r="O7" s="11">
        <v>0</v>
      </c>
      <c r="P7" s="11">
        <v>927272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377210.14446991921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</row>
    <row r="8" spans="1:34" x14ac:dyDescent="0.25">
      <c r="A8" s="10">
        <v>7</v>
      </c>
      <c r="B8" s="10" t="s">
        <v>46</v>
      </c>
      <c r="C8" s="10" t="s">
        <v>47</v>
      </c>
      <c r="D8" s="11">
        <v>2456</v>
      </c>
      <c r="E8" s="11">
        <v>1126277840</v>
      </c>
      <c r="F8" s="11">
        <v>362167847.24018419</v>
      </c>
      <c r="G8" s="11">
        <v>200385127</v>
      </c>
      <c r="H8" s="11">
        <v>532422491.88564402</v>
      </c>
      <c r="I8" s="11">
        <v>1939</v>
      </c>
      <c r="J8" s="11">
        <v>956023195.35454011</v>
      </c>
      <c r="K8" s="11">
        <v>2504289.0003678119</v>
      </c>
      <c r="L8" s="11">
        <v>672728</v>
      </c>
      <c r="M8" s="11">
        <v>3597711.2998140259</v>
      </c>
      <c r="N8" s="11">
        <v>3772731</v>
      </c>
      <c r="O8" s="11">
        <v>12010884.19226356</v>
      </c>
      <c r="P8" s="11">
        <v>33200009</v>
      </c>
      <c r="Q8" s="11">
        <v>0</v>
      </c>
      <c r="R8" s="11">
        <v>39875458</v>
      </c>
      <c r="S8" s="11">
        <v>7790630.8523943992</v>
      </c>
      <c r="T8" s="11">
        <v>5552729</v>
      </c>
      <c r="U8" s="11">
        <v>5405384.4725510152</v>
      </c>
      <c r="V8" s="11">
        <v>11581818</v>
      </c>
      <c r="W8" s="11">
        <v>6789794.2401124658</v>
      </c>
      <c r="X8" s="11">
        <v>3287039</v>
      </c>
      <c r="Y8" s="11">
        <v>36939734.686660543</v>
      </c>
      <c r="Z8" s="11">
        <v>5777782</v>
      </c>
      <c r="AA8" s="11">
        <v>48547953.781302303</v>
      </c>
      <c r="AB8" s="11">
        <v>10287058</v>
      </c>
      <c r="AC8" s="11">
        <v>80494131.44061096</v>
      </c>
      <c r="AD8" s="11">
        <v>3787037</v>
      </c>
      <c r="AE8" s="11">
        <v>2676401.6529692989</v>
      </c>
      <c r="AF8" s="11">
        <v>16666666</v>
      </c>
      <c r="AG8" s="11">
        <v>155410931.6211378</v>
      </c>
      <c r="AH8" s="11">
        <v>65924072</v>
      </c>
    </row>
    <row r="9" spans="1:34" x14ac:dyDescent="0.25">
      <c r="A9" s="10">
        <v>8</v>
      </c>
      <c r="B9" s="10" t="s">
        <v>48</v>
      </c>
      <c r="C9" s="10" t="s">
        <v>49</v>
      </c>
      <c r="D9" s="11">
        <v>206</v>
      </c>
      <c r="E9" s="11">
        <v>69933051</v>
      </c>
      <c r="F9" s="11">
        <v>-18429806.079465538</v>
      </c>
      <c r="G9" s="11">
        <v>45481817</v>
      </c>
      <c r="H9" s="11">
        <v>29277435.70091242</v>
      </c>
      <c r="I9" s="11">
        <v>170</v>
      </c>
      <c r="J9" s="11">
        <v>22225809.219622031</v>
      </c>
      <c r="K9" s="11">
        <v>35924.821852904694</v>
      </c>
      <c r="L9" s="11">
        <v>0</v>
      </c>
      <c r="M9" s="11">
        <v>4863082.3267356874</v>
      </c>
      <c r="N9" s="11">
        <v>3490909</v>
      </c>
      <c r="O9" s="11">
        <v>4843743.0417476147</v>
      </c>
      <c r="P9" s="11">
        <v>10000000</v>
      </c>
      <c r="Q9" s="11">
        <v>10621051.315946549</v>
      </c>
      <c r="R9" s="11">
        <v>13950000</v>
      </c>
      <c r="S9" s="11">
        <v>10605953.714841161</v>
      </c>
      <c r="T9" s="11">
        <v>18040908</v>
      </c>
      <c r="U9" s="11">
        <v>0</v>
      </c>
      <c r="V9" s="11">
        <v>0</v>
      </c>
      <c r="W9" s="11">
        <v>0</v>
      </c>
      <c r="X9" s="11">
        <v>0</v>
      </c>
      <c r="Y9" s="11">
        <v>-50808982.744482659</v>
      </c>
      <c r="Z9" s="11">
        <v>0</v>
      </c>
      <c r="AA9" s="11">
        <v>0</v>
      </c>
      <c r="AB9" s="11">
        <v>0</v>
      </c>
      <c r="AC9" s="11">
        <v>107774.4655587141</v>
      </c>
      <c r="AD9" s="11">
        <v>0</v>
      </c>
      <c r="AE9" s="11">
        <v>591699.86708062771</v>
      </c>
      <c r="AF9" s="11">
        <v>0</v>
      </c>
      <c r="AG9" s="11">
        <v>709947.11125385738</v>
      </c>
      <c r="AH9" s="11">
        <v>0</v>
      </c>
    </row>
    <row r="10" spans="1:34" x14ac:dyDescent="0.25">
      <c r="A10" s="10">
        <v>9</v>
      </c>
      <c r="B10" s="10" t="s">
        <v>50</v>
      </c>
      <c r="C10" s="10" t="s">
        <v>51</v>
      </c>
      <c r="D10" s="11">
        <v>1523</v>
      </c>
      <c r="E10" s="11">
        <v>1483765852</v>
      </c>
      <c r="F10" s="11">
        <v>243309278.91487581</v>
      </c>
      <c r="G10" s="11">
        <v>452710085</v>
      </c>
      <c r="H10" s="11">
        <v>698073864.19946003</v>
      </c>
      <c r="I10" s="11">
        <v>1181</v>
      </c>
      <c r="J10" s="11">
        <v>1029001266.715415</v>
      </c>
      <c r="K10" s="11">
        <v>3998621.719607376</v>
      </c>
      <c r="L10" s="11">
        <v>454545</v>
      </c>
      <c r="M10" s="11">
        <v>33361936.894761302</v>
      </c>
      <c r="N10" s="11">
        <v>17827270</v>
      </c>
      <c r="O10" s="11">
        <v>1677853.202653805</v>
      </c>
      <c r="P10" s="11">
        <v>47227273</v>
      </c>
      <c r="Q10" s="11">
        <v>22410659.867364049</v>
      </c>
      <c r="R10" s="11">
        <v>27354546</v>
      </c>
      <c r="S10" s="11">
        <v>22507568.71598845</v>
      </c>
      <c r="T10" s="11">
        <v>105736363</v>
      </c>
      <c r="U10" s="11">
        <v>42185319.617961332</v>
      </c>
      <c r="V10" s="11">
        <v>80004533</v>
      </c>
      <c r="W10" s="11">
        <v>21968050.387402311</v>
      </c>
      <c r="X10" s="11">
        <v>4481481</v>
      </c>
      <c r="Y10" s="11">
        <v>20746547.671131618</v>
      </c>
      <c r="Z10" s="11">
        <v>5453704</v>
      </c>
      <c r="AA10" s="11">
        <v>14378609.01307271</v>
      </c>
      <c r="AB10" s="11">
        <v>93249999</v>
      </c>
      <c r="AC10" s="11">
        <v>15100587.646595201</v>
      </c>
      <c r="AD10" s="11">
        <v>9009260</v>
      </c>
      <c r="AE10" s="11">
        <v>37031756.07511989</v>
      </c>
      <c r="AF10" s="11">
        <v>11851852</v>
      </c>
      <c r="AG10" s="11">
        <v>7941768.1032178206</v>
      </c>
      <c r="AH10" s="11">
        <v>50059259</v>
      </c>
    </row>
    <row r="11" spans="1:34" x14ac:dyDescent="0.25">
      <c r="A11" s="10">
        <v>10</v>
      </c>
      <c r="B11" s="10" t="s">
        <v>52</v>
      </c>
      <c r="C11" s="10" t="s">
        <v>53</v>
      </c>
      <c r="D11" s="11">
        <v>647</v>
      </c>
      <c r="E11" s="11">
        <v>1489117356</v>
      </c>
      <c r="F11" s="11">
        <v>1104939846.3235779</v>
      </c>
      <c r="G11" s="11">
        <v>1232003871</v>
      </c>
      <c r="H11" s="11">
        <v>1804557128.4715841</v>
      </c>
      <c r="I11" s="11">
        <v>562</v>
      </c>
      <c r="J11" s="11">
        <v>789500073.85199428</v>
      </c>
      <c r="K11" s="11">
        <v>70366998.169076636</v>
      </c>
      <c r="L11" s="11">
        <v>16900001</v>
      </c>
      <c r="M11" s="11">
        <v>102609573.1610004</v>
      </c>
      <c r="N11" s="11">
        <v>14154543</v>
      </c>
      <c r="O11" s="11">
        <v>42934450.356719457</v>
      </c>
      <c r="P11" s="11">
        <v>154345454</v>
      </c>
      <c r="Q11" s="11">
        <v>68294786.701815292</v>
      </c>
      <c r="R11" s="11">
        <v>9054545</v>
      </c>
      <c r="S11" s="11">
        <v>127529163.0053923</v>
      </c>
      <c r="T11" s="11">
        <v>169718185</v>
      </c>
      <c r="U11" s="11">
        <v>195269947.9268868</v>
      </c>
      <c r="V11" s="11">
        <v>332618170</v>
      </c>
      <c r="W11" s="11">
        <v>54190630.709766082</v>
      </c>
      <c r="X11" s="11">
        <v>38175928</v>
      </c>
      <c r="Y11" s="11">
        <v>173625379.13286701</v>
      </c>
      <c r="Z11" s="11">
        <v>105453705</v>
      </c>
      <c r="AA11" s="11">
        <v>37900721.973776206</v>
      </c>
      <c r="AB11" s="11">
        <v>200657411</v>
      </c>
      <c r="AC11" s="11">
        <v>68939802.973647609</v>
      </c>
      <c r="AD11" s="11">
        <v>34250001</v>
      </c>
      <c r="AE11" s="11">
        <v>73785079.803256273</v>
      </c>
      <c r="AF11" s="11">
        <v>40583335</v>
      </c>
      <c r="AG11" s="11">
        <v>89493312.409374252</v>
      </c>
      <c r="AH11" s="11">
        <v>116092593</v>
      </c>
    </row>
    <row r="12" spans="1:34" x14ac:dyDescent="0.25">
      <c r="A12" s="10">
        <v>11</v>
      </c>
      <c r="B12" s="10" t="s">
        <v>54</v>
      </c>
      <c r="C12" s="10" t="s">
        <v>55</v>
      </c>
      <c r="D12" s="11">
        <v>69</v>
      </c>
      <c r="E12" s="11">
        <v>200841358</v>
      </c>
      <c r="F12" s="11">
        <v>83089115.725375041</v>
      </c>
      <c r="G12" s="11">
        <v>101544282</v>
      </c>
      <c r="H12" s="11">
        <v>147556300.48845199</v>
      </c>
      <c r="I12" s="11">
        <v>59</v>
      </c>
      <c r="J12" s="11">
        <v>136374173.23692301</v>
      </c>
      <c r="K12" s="11">
        <v>0</v>
      </c>
      <c r="L12" s="11">
        <v>0</v>
      </c>
      <c r="M12" s="11">
        <v>25915865.017648909</v>
      </c>
      <c r="N12" s="11">
        <v>9945455</v>
      </c>
      <c r="O12" s="11">
        <v>5819826.9599975189</v>
      </c>
      <c r="P12" s="11">
        <v>9854546</v>
      </c>
      <c r="Q12" s="11">
        <v>7715679.2409189111</v>
      </c>
      <c r="R12" s="11">
        <v>5027273</v>
      </c>
      <c r="S12" s="11">
        <v>0</v>
      </c>
      <c r="T12" s="11">
        <v>20081821</v>
      </c>
      <c r="U12" s="11">
        <v>20951196.712378129</v>
      </c>
      <c r="V12" s="11">
        <v>17700000</v>
      </c>
      <c r="W12" s="11">
        <v>0</v>
      </c>
      <c r="X12" s="11">
        <v>18018519</v>
      </c>
      <c r="Y12" s="11">
        <v>5478540.6674093446</v>
      </c>
      <c r="Z12" s="11">
        <v>2546296</v>
      </c>
      <c r="AA12" s="11">
        <v>0</v>
      </c>
      <c r="AB12" s="11">
        <v>14953705</v>
      </c>
      <c r="AC12" s="11">
        <v>0</v>
      </c>
      <c r="AD12" s="11">
        <v>0</v>
      </c>
      <c r="AE12" s="11">
        <v>17208007.127022229</v>
      </c>
      <c r="AF12" s="11">
        <v>0</v>
      </c>
      <c r="AG12" s="11">
        <v>0</v>
      </c>
      <c r="AH12" s="11">
        <v>3416667</v>
      </c>
    </row>
    <row r="13" spans="1:34" x14ac:dyDescent="0.25">
      <c r="A13" s="10">
        <v>12</v>
      </c>
      <c r="B13" s="10" t="s">
        <v>56</v>
      </c>
      <c r="C13" s="10" t="s">
        <v>57</v>
      </c>
      <c r="D13" s="11">
        <v>9</v>
      </c>
      <c r="E13" s="11">
        <v>14136215</v>
      </c>
      <c r="F13" s="11">
        <v>0</v>
      </c>
      <c r="G13" s="11">
        <v>1750000</v>
      </c>
      <c r="H13" s="11">
        <v>2090642.718406236</v>
      </c>
      <c r="I13" s="11">
        <v>8</v>
      </c>
      <c r="J13" s="11">
        <v>12045572.28159376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1750000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</row>
    <row r="14" spans="1:34" x14ac:dyDescent="0.25">
      <c r="A14" s="10">
        <v>13</v>
      </c>
      <c r="B14" s="10" t="s">
        <v>58</v>
      </c>
      <c r="C14" s="10" t="s">
        <v>59</v>
      </c>
      <c r="D14" s="11">
        <v>311</v>
      </c>
      <c r="E14" s="11">
        <v>50280662</v>
      </c>
      <c r="F14" s="11">
        <v>170184715.6145348</v>
      </c>
      <c r="G14" s="11">
        <v>101982383</v>
      </c>
      <c r="H14" s="11">
        <v>194543799.4172141</v>
      </c>
      <c r="I14" s="11">
        <v>405</v>
      </c>
      <c r="J14" s="11">
        <v>25921578.19732061</v>
      </c>
      <c r="K14" s="11">
        <v>3121543.7276297892</v>
      </c>
      <c r="L14" s="11">
        <v>663636</v>
      </c>
      <c r="M14" s="11">
        <v>8873471.7364561763</v>
      </c>
      <c r="N14" s="11">
        <v>4540912</v>
      </c>
      <c r="O14" s="11">
        <v>24349796.141329259</v>
      </c>
      <c r="P14" s="11">
        <v>19309090</v>
      </c>
      <c r="Q14" s="11">
        <v>18517633.08811887</v>
      </c>
      <c r="R14" s="11">
        <v>6303645</v>
      </c>
      <c r="S14" s="11">
        <v>17975329.972332381</v>
      </c>
      <c r="T14" s="11">
        <v>7268179</v>
      </c>
      <c r="U14" s="11">
        <v>8171566.6560898768</v>
      </c>
      <c r="V14" s="11">
        <v>8818183</v>
      </c>
      <c r="W14" s="11">
        <v>1751337.247764213</v>
      </c>
      <c r="X14" s="11">
        <v>5291668</v>
      </c>
      <c r="Y14" s="11">
        <v>31981204.287867401</v>
      </c>
      <c r="Z14" s="11">
        <v>4814816</v>
      </c>
      <c r="AA14" s="11">
        <v>11513917.52849545</v>
      </c>
      <c r="AB14" s="11">
        <v>23219463</v>
      </c>
      <c r="AC14" s="11">
        <v>30495714.795693561</v>
      </c>
      <c r="AD14" s="11">
        <v>9947229</v>
      </c>
      <c r="AE14" s="11">
        <v>2290209.5755577842</v>
      </c>
      <c r="AF14" s="11">
        <v>4064815</v>
      </c>
      <c r="AG14" s="11">
        <v>11142990.85720001</v>
      </c>
      <c r="AH14" s="11">
        <v>7740747</v>
      </c>
    </row>
    <row r="15" spans="1:34" x14ac:dyDescent="0.25">
      <c r="A15" s="10">
        <v>14</v>
      </c>
      <c r="B15" s="10" t="s">
        <v>60</v>
      </c>
      <c r="C15" s="10" t="s">
        <v>61</v>
      </c>
      <c r="D15" s="11">
        <v>2105</v>
      </c>
      <c r="E15" s="11">
        <v>253981726</v>
      </c>
      <c r="F15" s="11">
        <v>283019911.0772959</v>
      </c>
      <c r="G15" s="11">
        <v>99762140</v>
      </c>
      <c r="H15" s="11">
        <v>163276381.6973418</v>
      </c>
      <c r="I15" s="11">
        <v>3381</v>
      </c>
      <c r="J15" s="11">
        <v>373725255.37995398</v>
      </c>
      <c r="K15" s="11">
        <v>0</v>
      </c>
      <c r="L15" s="11">
        <v>518182</v>
      </c>
      <c r="M15" s="11">
        <v>0</v>
      </c>
      <c r="N15" s="11">
        <v>581819</v>
      </c>
      <c r="O15" s="11">
        <v>0</v>
      </c>
      <c r="P15" s="11">
        <v>11554546</v>
      </c>
      <c r="Q15" s="11">
        <v>3998926.2905516149</v>
      </c>
      <c r="R15" s="11">
        <v>8427271</v>
      </c>
      <c r="S15" s="11">
        <v>0</v>
      </c>
      <c r="T15" s="11">
        <v>8263642</v>
      </c>
      <c r="U15" s="11">
        <v>0</v>
      </c>
      <c r="V15" s="11">
        <v>6400024</v>
      </c>
      <c r="W15" s="11">
        <v>56760376.592622533</v>
      </c>
      <c r="X15" s="11">
        <v>1851847</v>
      </c>
      <c r="Y15" s="11">
        <v>44181291.054600477</v>
      </c>
      <c r="Z15" s="11">
        <v>9111110</v>
      </c>
      <c r="AA15" s="11">
        <v>151972928.98273119</v>
      </c>
      <c r="AB15" s="11">
        <v>16509261</v>
      </c>
      <c r="AC15" s="11">
        <v>26106388.1567901</v>
      </c>
      <c r="AD15" s="11">
        <v>7597223</v>
      </c>
      <c r="AE15" s="11">
        <v>0</v>
      </c>
      <c r="AF15" s="11">
        <v>11141664</v>
      </c>
      <c r="AG15" s="11">
        <v>0</v>
      </c>
      <c r="AH15" s="11">
        <v>17805551</v>
      </c>
    </row>
    <row r="16" spans="1:34" x14ac:dyDescent="0.25">
      <c r="A16" s="10">
        <v>15</v>
      </c>
      <c r="B16" s="10" t="s">
        <v>62</v>
      </c>
      <c r="C16" s="10" t="s">
        <v>63</v>
      </c>
      <c r="D16" s="11">
        <v>5</v>
      </c>
      <c r="E16" s="11">
        <v>2683292</v>
      </c>
      <c r="F16" s="11">
        <v>3658576153.6326051</v>
      </c>
      <c r="G16" s="11">
        <v>5074604527</v>
      </c>
      <c r="H16" s="11">
        <v>2868126643.4747372</v>
      </c>
      <c r="I16" s="11">
        <v>4042.76</v>
      </c>
      <c r="J16" s="11">
        <v>793132802.15786815</v>
      </c>
      <c r="K16" s="11">
        <v>172453110.53870419</v>
      </c>
      <c r="L16" s="11">
        <v>94054378</v>
      </c>
      <c r="M16" s="11">
        <v>257091336.22647801</v>
      </c>
      <c r="N16" s="11">
        <v>269470705</v>
      </c>
      <c r="O16" s="11">
        <v>307381048.65747613</v>
      </c>
      <c r="P16" s="11">
        <v>589269385</v>
      </c>
      <c r="Q16" s="11">
        <v>305049766.62311929</v>
      </c>
      <c r="R16" s="11">
        <v>217048633</v>
      </c>
      <c r="S16" s="11">
        <v>348382247.5552581</v>
      </c>
      <c r="T16" s="11">
        <v>412962781</v>
      </c>
      <c r="U16" s="11">
        <v>432137160.83291429</v>
      </c>
      <c r="V16" s="11">
        <v>667141275</v>
      </c>
      <c r="W16" s="11">
        <v>303821801.88271022</v>
      </c>
      <c r="X16" s="11">
        <v>298583331</v>
      </c>
      <c r="Y16" s="11">
        <v>327450930.12429881</v>
      </c>
      <c r="Z16" s="11">
        <v>465377776</v>
      </c>
      <c r="AA16" s="11">
        <v>310559667.42810261</v>
      </c>
      <c r="AB16" s="11">
        <v>375684639</v>
      </c>
      <c r="AC16" s="11">
        <v>351397161.91934621</v>
      </c>
      <c r="AD16" s="11">
        <v>784680554</v>
      </c>
      <c r="AE16" s="11">
        <v>283428894.38839632</v>
      </c>
      <c r="AF16" s="11">
        <v>355118529</v>
      </c>
      <c r="AG16" s="11">
        <v>259423027.45580089</v>
      </c>
      <c r="AH16" s="11">
        <v>545212541</v>
      </c>
    </row>
    <row r="17" spans="1:34" x14ac:dyDescent="0.25">
      <c r="A17" s="10">
        <v>16</v>
      </c>
      <c r="B17" s="10" t="s">
        <v>64</v>
      </c>
      <c r="C17" s="10" t="s">
        <v>65</v>
      </c>
      <c r="D17" s="11">
        <v>13</v>
      </c>
      <c r="E17" s="11">
        <v>114558421</v>
      </c>
      <c r="F17" s="11">
        <v>0</v>
      </c>
      <c r="G17" s="11">
        <v>18909091</v>
      </c>
      <c r="H17" s="11">
        <v>23458641.056234151</v>
      </c>
      <c r="I17" s="11">
        <v>11</v>
      </c>
      <c r="J17" s="11">
        <v>91099779.943765849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18909091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</row>
    <row r="18" spans="1:34" x14ac:dyDescent="0.25">
      <c r="A18" s="10">
        <v>17</v>
      </c>
      <c r="B18" s="10" t="s">
        <v>66</v>
      </c>
      <c r="C18" s="10" t="s">
        <v>67</v>
      </c>
      <c r="D18" s="11">
        <v>5</v>
      </c>
      <c r="E18" s="11">
        <v>13170547</v>
      </c>
      <c r="F18" s="11">
        <v>12651951.71150353</v>
      </c>
      <c r="G18" s="11">
        <v>0</v>
      </c>
      <c r="H18" s="11">
        <v>0</v>
      </c>
      <c r="I18" s="11">
        <v>9</v>
      </c>
      <c r="J18" s="11">
        <v>25822498.711503521</v>
      </c>
      <c r="K18" s="11">
        <v>6602858.4882438648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6049093.2232596613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</row>
    <row r="19" spans="1:34" x14ac:dyDescent="0.25">
      <c r="A19" s="10">
        <v>18</v>
      </c>
      <c r="B19" s="10" t="s">
        <v>68</v>
      </c>
      <c r="C19" s="10" t="s">
        <v>69</v>
      </c>
      <c r="D19" s="11">
        <v>5</v>
      </c>
      <c r="E19" s="11">
        <v>51170047</v>
      </c>
      <c r="F19" s="11">
        <v>2330500222.1268649</v>
      </c>
      <c r="G19" s="11">
        <v>954700741</v>
      </c>
      <c r="H19" s="11">
        <v>1081455898.9018109</v>
      </c>
      <c r="I19" s="11">
        <v>144</v>
      </c>
      <c r="J19" s="11">
        <v>1300214370.225054</v>
      </c>
      <c r="K19" s="11">
        <v>202547615.1935159</v>
      </c>
      <c r="L19" s="11">
        <v>31727273</v>
      </c>
      <c r="M19" s="11">
        <v>258203833.51055291</v>
      </c>
      <c r="N19" s="11">
        <v>54263636</v>
      </c>
      <c r="O19" s="11">
        <v>363827363.13805819</v>
      </c>
      <c r="P19" s="11">
        <v>162781818</v>
      </c>
      <c r="Q19" s="11">
        <v>170362206.75721851</v>
      </c>
      <c r="R19" s="11">
        <v>16045455</v>
      </c>
      <c r="S19" s="11">
        <v>105550498.2235861</v>
      </c>
      <c r="T19" s="11">
        <v>122336364</v>
      </c>
      <c r="U19" s="11">
        <v>132295247.2461569</v>
      </c>
      <c r="V19" s="11">
        <v>74805454</v>
      </c>
      <c r="W19" s="11">
        <v>217614826.13249561</v>
      </c>
      <c r="X19" s="11">
        <v>13888889</v>
      </c>
      <c r="Y19" s="11">
        <v>260136175.85177979</v>
      </c>
      <c r="Z19" s="11">
        <v>96962963</v>
      </c>
      <c r="AA19" s="11">
        <v>137628129.2844114</v>
      </c>
      <c r="AB19" s="11">
        <v>65712963</v>
      </c>
      <c r="AC19" s="11">
        <v>103822839.91177981</v>
      </c>
      <c r="AD19" s="11">
        <v>71574075</v>
      </c>
      <c r="AE19" s="11">
        <v>257895573.13136089</v>
      </c>
      <c r="AF19" s="11">
        <v>193787037</v>
      </c>
      <c r="AG19" s="11">
        <v>120615913.7459486</v>
      </c>
      <c r="AH19" s="11">
        <v>50814814</v>
      </c>
    </row>
    <row r="20" spans="1:34" x14ac:dyDescent="0.25">
      <c r="A20" s="10">
        <v>19</v>
      </c>
      <c r="B20" s="10" t="s">
        <v>70</v>
      </c>
      <c r="C20" s="10" t="s">
        <v>71</v>
      </c>
      <c r="D20" s="11">
        <v>9</v>
      </c>
      <c r="E20" s="11">
        <v>134807683</v>
      </c>
      <c r="F20" s="11">
        <v>18341272.931807742</v>
      </c>
      <c r="G20" s="11">
        <v>31156667</v>
      </c>
      <c r="H20" s="11">
        <v>40920454.143347047</v>
      </c>
      <c r="I20" s="11">
        <v>8</v>
      </c>
      <c r="J20" s="11">
        <v>112228501.7884607</v>
      </c>
      <c r="K20" s="11">
        <v>0</v>
      </c>
      <c r="L20" s="11">
        <v>0</v>
      </c>
      <c r="M20" s="11">
        <v>0</v>
      </c>
      <c r="N20" s="11">
        <v>0</v>
      </c>
      <c r="O20" s="11">
        <v>18341272.931807742</v>
      </c>
      <c r="P20" s="11">
        <v>21990000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11">
        <v>0</v>
      </c>
      <c r="AG20" s="11">
        <v>0</v>
      </c>
      <c r="AH20" s="11">
        <v>9166667</v>
      </c>
    </row>
    <row r="21" spans="1:34" ht="15.75" customHeight="1" x14ac:dyDescent="0.25">
      <c r="A21" s="10">
        <v>20</v>
      </c>
      <c r="B21" s="10" t="s">
        <v>72</v>
      </c>
      <c r="C21" s="10" t="s">
        <v>73</v>
      </c>
      <c r="D21" s="11">
        <v>57</v>
      </c>
      <c r="E21" s="11">
        <v>603176461</v>
      </c>
      <c r="F21" s="11">
        <v>19046706.767254122</v>
      </c>
      <c r="G21" s="11">
        <v>129704712</v>
      </c>
      <c r="H21" s="11">
        <v>185807009.48909479</v>
      </c>
      <c r="I21" s="11">
        <v>45</v>
      </c>
      <c r="J21" s="11">
        <v>436416158.27815932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19046706.767254122</v>
      </c>
      <c r="R21" s="11">
        <v>22718182</v>
      </c>
      <c r="S21" s="11">
        <v>0</v>
      </c>
      <c r="T21" s="11">
        <v>0</v>
      </c>
      <c r="U21" s="11">
        <v>0</v>
      </c>
      <c r="V21" s="11">
        <v>92727270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14259260</v>
      </c>
    </row>
    <row r="22" spans="1:34" ht="15.75" customHeight="1" x14ac:dyDescent="0.25">
      <c r="A22" s="10">
        <v>21</v>
      </c>
      <c r="B22" s="10" t="s">
        <v>74</v>
      </c>
      <c r="C22" s="10" t="s">
        <v>75</v>
      </c>
      <c r="D22" s="11">
        <v>9</v>
      </c>
      <c r="E22" s="11">
        <v>25591847</v>
      </c>
      <c r="F22" s="11">
        <v>107932822.2527148</v>
      </c>
      <c r="G22" s="11">
        <v>104160337</v>
      </c>
      <c r="H22" s="11">
        <v>25823855.260641862</v>
      </c>
      <c r="I22" s="11">
        <v>61</v>
      </c>
      <c r="J22" s="11">
        <v>107700813.9920729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9037273</v>
      </c>
      <c r="U22" s="11">
        <v>105642603.9474166</v>
      </c>
      <c r="V22" s="11">
        <v>30354545</v>
      </c>
      <c r="W22" s="11">
        <v>2290218.3052982241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64768519</v>
      </c>
      <c r="AG22" s="11">
        <v>0</v>
      </c>
      <c r="AH22" s="11">
        <v>0</v>
      </c>
    </row>
    <row r="23" spans="1:34" ht="15.75" customHeight="1" x14ac:dyDescent="0.25">
      <c r="A23" s="10">
        <v>22</v>
      </c>
      <c r="B23" s="10" t="s">
        <v>76</v>
      </c>
      <c r="C23" s="10" t="s">
        <v>77</v>
      </c>
      <c r="D23" s="11">
        <v>5</v>
      </c>
      <c r="E23" s="11">
        <v>54567066</v>
      </c>
      <c r="F23" s="11">
        <v>389211894.86332607</v>
      </c>
      <c r="G23" s="11">
        <v>98620369</v>
      </c>
      <c r="H23" s="11">
        <v>119300964.56072479</v>
      </c>
      <c r="I23" s="11">
        <v>28</v>
      </c>
      <c r="J23" s="11">
        <v>324477996.30260128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65832301.518501133</v>
      </c>
      <c r="X23" s="11">
        <v>14898148</v>
      </c>
      <c r="Y23" s="11">
        <v>101363971.20050719</v>
      </c>
      <c r="Z23" s="11">
        <v>14620370</v>
      </c>
      <c r="AA23" s="11">
        <v>39068283.048865817</v>
      </c>
      <c r="AB23" s="11">
        <v>14620370</v>
      </c>
      <c r="AC23" s="11">
        <v>91338951.223284781</v>
      </c>
      <c r="AD23" s="11">
        <v>14620370</v>
      </c>
      <c r="AE23" s="11">
        <v>26045522.03257722</v>
      </c>
      <c r="AF23" s="11">
        <v>25148148</v>
      </c>
      <c r="AG23" s="11">
        <v>65562865.839589931</v>
      </c>
      <c r="AH23" s="11">
        <v>14712963</v>
      </c>
    </row>
    <row r="24" spans="1:34" ht="15.75" customHeight="1" x14ac:dyDescent="0.25">
      <c r="A24" s="10">
        <v>23</v>
      </c>
      <c r="B24" s="10" t="s">
        <v>78</v>
      </c>
      <c r="C24" s="10" t="s">
        <v>79</v>
      </c>
      <c r="D24" s="11">
        <v>29</v>
      </c>
      <c r="E24" s="11">
        <v>195457421</v>
      </c>
      <c r="F24" s="11">
        <v>1152325.738079509</v>
      </c>
      <c r="G24" s="11">
        <v>81772290</v>
      </c>
      <c r="H24" s="11">
        <v>76509131.16655992</v>
      </c>
      <c r="I24" s="11">
        <v>23</v>
      </c>
      <c r="J24" s="11">
        <v>120100615.5715196</v>
      </c>
      <c r="K24" s="11">
        <v>0</v>
      </c>
      <c r="L24" s="11">
        <v>0</v>
      </c>
      <c r="M24" s="11">
        <v>1152325.738079509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27964545</v>
      </c>
      <c r="U24" s="11">
        <v>0</v>
      </c>
      <c r="V24" s="11">
        <v>26181818</v>
      </c>
      <c r="W24" s="11">
        <v>0</v>
      </c>
      <c r="X24" s="11">
        <v>0</v>
      </c>
      <c r="Y24" s="11">
        <v>0</v>
      </c>
      <c r="Z24" s="11">
        <v>16111112</v>
      </c>
      <c r="AA24" s="11">
        <v>0</v>
      </c>
      <c r="AB24" s="11">
        <v>11514815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</row>
    <row r="25" spans="1:34" ht="15.75" customHeight="1" x14ac:dyDescent="0.25">
      <c r="A25" s="10">
        <v>24</v>
      </c>
      <c r="B25" s="10" t="s">
        <v>80</v>
      </c>
      <c r="C25" s="10" t="s">
        <v>81</v>
      </c>
      <c r="D25" s="11">
        <v>41</v>
      </c>
      <c r="E25" s="11">
        <v>526755536</v>
      </c>
      <c r="F25" s="11">
        <v>0</v>
      </c>
      <c r="G25" s="11">
        <v>117377947</v>
      </c>
      <c r="H25" s="11">
        <v>153906495.43363991</v>
      </c>
      <c r="I25" s="11">
        <v>32</v>
      </c>
      <c r="J25" s="11">
        <v>372849040.56636012</v>
      </c>
      <c r="K25" s="11">
        <v>0</v>
      </c>
      <c r="L25" s="11">
        <v>13636364</v>
      </c>
      <c r="M25" s="11">
        <v>0</v>
      </c>
      <c r="N25" s="11">
        <v>16818182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11636363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53027779</v>
      </c>
      <c r="AC25" s="11">
        <v>0</v>
      </c>
      <c r="AD25" s="11">
        <v>13000000</v>
      </c>
      <c r="AE25" s="11">
        <v>0</v>
      </c>
      <c r="AF25" s="11">
        <v>0</v>
      </c>
      <c r="AG25" s="11">
        <v>0</v>
      </c>
      <c r="AH25" s="11">
        <v>9259259</v>
      </c>
    </row>
    <row r="26" spans="1:34" ht="15.75" customHeight="1" x14ac:dyDescent="0.25">
      <c r="A26" s="10">
        <v>25</v>
      </c>
      <c r="B26" s="10" t="s">
        <v>82</v>
      </c>
      <c r="C26" s="10" t="s">
        <v>83</v>
      </c>
      <c r="D26" s="11">
        <v>37</v>
      </c>
      <c r="E26" s="11">
        <v>344336166</v>
      </c>
      <c r="F26" s="11">
        <v>0</v>
      </c>
      <c r="G26" s="11">
        <v>75781816</v>
      </c>
      <c r="H26" s="11">
        <v>99096904.873148963</v>
      </c>
      <c r="I26" s="11">
        <v>29</v>
      </c>
      <c r="J26" s="11">
        <v>245239261.12685099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75781816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</row>
    <row r="27" spans="1:34" ht="15.75" customHeight="1" x14ac:dyDescent="0.25">
      <c r="A27" s="10">
        <v>26</v>
      </c>
      <c r="B27" s="10" t="s">
        <v>84</v>
      </c>
      <c r="C27" s="10" t="s">
        <v>85</v>
      </c>
      <c r="D27" s="11">
        <v>146</v>
      </c>
      <c r="E27" s="11">
        <v>504259954</v>
      </c>
      <c r="F27" s="11">
        <v>1263184630.121994</v>
      </c>
      <c r="G27" s="11">
        <v>1260607003</v>
      </c>
      <c r="H27" s="11">
        <v>1186914276.0178311</v>
      </c>
      <c r="I27" s="11">
        <v>355</v>
      </c>
      <c r="J27" s="11">
        <v>580530308.10416234</v>
      </c>
      <c r="K27" s="11">
        <v>0</v>
      </c>
      <c r="L27" s="11">
        <v>44954545</v>
      </c>
      <c r="M27" s="11">
        <v>113121563.4942895</v>
      </c>
      <c r="N27" s="11">
        <v>29545455</v>
      </c>
      <c r="O27" s="11">
        <v>0</v>
      </c>
      <c r="P27" s="11">
        <v>39704545</v>
      </c>
      <c r="Q27" s="11">
        <v>0</v>
      </c>
      <c r="R27" s="11">
        <v>275649092</v>
      </c>
      <c r="S27" s="11">
        <v>231938625.9552013</v>
      </c>
      <c r="T27" s="11">
        <v>130818182</v>
      </c>
      <c r="U27" s="11">
        <v>175917496.39266279</v>
      </c>
      <c r="V27" s="11">
        <v>109500000</v>
      </c>
      <c r="W27" s="11">
        <v>23868475.11237194</v>
      </c>
      <c r="X27" s="11">
        <v>244342591</v>
      </c>
      <c r="Y27" s="11">
        <v>65139232.54795175</v>
      </c>
      <c r="Z27" s="11">
        <v>80925926</v>
      </c>
      <c r="AA27" s="11">
        <v>417702810.76782119</v>
      </c>
      <c r="AB27" s="11">
        <v>115703703</v>
      </c>
      <c r="AC27" s="11">
        <v>110388109.1076602</v>
      </c>
      <c r="AD27" s="11">
        <v>0</v>
      </c>
      <c r="AE27" s="11">
        <v>17243931.948875129</v>
      </c>
      <c r="AF27" s="11">
        <v>99648148</v>
      </c>
      <c r="AG27" s="11">
        <v>107864384.7951595</v>
      </c>
      <c r="AH27" s="11">
        <v>89814816</v>
      </c>
    </row>
    <row r="28" spans="1:34" ht="15.75" customHeight="1" x14ac:dyDescent="0.25">
      <c r="A28" s="10">
        <v>27</v>
      </c>
      <c r="B28" s="10" t="s">
        <v>86</v>
      </c>
      <c r="C28" s="10" t="s">
        <v>87</v>
      </c>
      <c r="D28" s="11">
        <v>9</v>
      </c>
      <c r="E28" s="11">
        <v>96109880</v>
      </c>
      <c r="F28" s="11">
        <v>3458868054.5569782</v>
      </c>
      <c r="G28" s="11">
        <v>1740545960</v>
      </c>
      <c r="H28" s="11">
        <v>2430971076.8908701</v>
      </c>
      <c r="I28" s="11">
        <v>147</v>
      </c>
      <c r="J28" s="11">
        <v>1124006857.6661091</v>
      </c>
      <c r="K28" s="11">
        <v>0</v>
      </c>
      <c r="L28" s="11">
        <v>12272727</v>
      </c>
      <c r="M28" s="11">
        <v>193511882.66866699</v>
      </c>
      <c r="N28" s="11">
        <v>45981819</v>
      </c>
      <c r="O28" s="11">
        <v>112869370.99268959</v>
      </c>
      <c r="P28" s="11">
        <v>83136363</v>
      </c>
      <c r="Q28" s="11">
        <v>63052533.918895319</v>
      </c>
      <c r="R28" s="11">
        <v>53727273</v>
      </c>
      <c r="S28" s="11">
        <v>189157601.756686</v>
      </c>
      <c r="T28" s="11">
        <v>55572726</v>
      </c>
      <c r="U28" s="11">
        <v>367196640.96198201</v>
      </c>
      <c r="V28" s="11">
        <v>394827275</v>
      </c>
      <c r="W28" s="11">
        <v>173211698.79371849</v>
      </c>
      <c r="X28" s="11">
        <v>37685185</v>
      </c>
      <c r="Y28" s="11">
        <v>363065130.90388912</v>
      </c>
      <c r="Z28" s="11">
        <v>157166668</v>
      </c>
      <c r="AA28" s="11">
        <v>439734623.17939728</v>
      </c>
      <c r="AB28" s="11">
        <v>355361110</v>
      </c>
      <c r="AC28" s="11">
        <v>217095706.2974042</v>
      </c>
      <c r="AD28" s="11">
        <v>77657407</v>
      </c>
      <c r="AE28" s="11">
        <v>497984013.39615649</v>
      </c>
      <c r="AF28" s="11">
        <v>272074075</v>
      </c>
      <c r="AG28" s="11">
        <v>841988851.68749249</v>
      </c>
      <c r="AH28" s="11">
        <v>195083332</v>
      </c>
    </row>
    <row r="29" spans="1:34" ht="15.75" customHeight="1" x14ac:dyDescent="0.25">
      <c r="A29" s="10">
        <v>28</v>
      </c>
      <c r="B29" s="10" t="s">
        <v>88</v>
      </c>
      <c r="C29" s="10" t="s">
        <v>89</v>
      </c>
      <c r="D29" s="11">
        <v>295</v>
      </c>
      <c r="E29" s="11">
        <v>2983183563</v>
      </c>
      <c r="F29" s="11">
        <v>740103440.90043628</v>
      </c>
      <c r="G29" s="11">
        <v>1341515153</v>
      </c>
      <c r="H29" s="11">
        <v>1844723671.382946</v>
      </c>
      <c r="I29" s="11">
        <v>229</v>
      </c>
      <c r="J29" s="11">
        <v>1878563332.5174911</v>
      </c>
      <c r="K29" s="11">
        <v>0</v>
      </c>
      <c r="L29" s="11">
        <v>17618182</v>
      </c>
      <c r="M29" s="11">
        <v>103256954.8571514</v>
      </c>
      <c r="N29" s="11">
        <v>36518182</v>
      </c>
      <c r="O29" s="11">
        <v>156209445.82904011</v>
      </c>
      <c r="P29" s="11">
        <v>388672727</v>
      </c>
      <c r="Q29" s="11">
        <v>75745930.558123305</v>
      </c>
      <c r="R29" s="11">
        <v>27181818</v>
      </c>
      <c r="S29" s="11">
        <v>0</v>
      </c>
      <c r="T29" s="11">
        <v>395218186</v>
      </c>
      <c r="U29" s="11">
        <v>343369790.6398536</v>
      </c>
      <c r="V29" s="11">
        <v>96972724</v>
      </c>
      <c r="W29" s="11">
        <v>0</v>
      </c>
      <c r="X29" s="11">
        <v>0</v>
      </c>
      <c r="Y29" s="11">
        <v>0</v>
      </c>
      <c r="Z29" s="11">
        <v>12490741</v>
      </c>
      <c r="AA29" s="11">
        <v>0</v>
      </c>
      <c r="AB29" s="11">
        <v>190416666</v>
      </c>
      <c r="AC29" s="11">
        <v>0</v>
      </c>
      <c r="AD29" s="11">
        <v>0</v>
      </c>
      <c r="AE29" s="11">
        <v>0</v>
      </c>
      <c r="AF29" s="11">
        <v>64787038</v>
      </c>
      <c r="AG29" s="11">
        <v>61521319.016267933</v>
      </c>
      <c r="AH29" s="11">
        <v>111638889</v>
      </c>
    </row>
    <row r="30" spans="1:34" ht="15.75" customHeight="1" x14ac:dyDescent="0.25">
      <c r="A30" s="10">
        <v>29</v>
      </c>
      <c r="B30" s="10" t="s">
        <v>90</v>
      </c>
      <c r="C30" s="10" t="s">
        <v>91</v>
      </c>
      <c r="D30" s="11">
        <v>5</v>
      </c>
      <c r="E30" s="11">
        <v>3958371</v>
      </c>
      <c r="F30" s="11">
        <v>7149046.3385261521</v>
      </c>
      <c r="G30" s="11">
        <v>5370372</v>
      </c>
      <c r="H30" s="11">
        <v>3941767.474081649</v>
      </c>
      <c r="I30" s="11">
        <v>10</v>
      </c>
      <c r="J30" s="11">
        <v>7165649.8644445036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4778006.1562921228</v>
      </c>
      <c r="X30" s="11">
        <v>5370372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2371040.1822340288</v>
      </c>
      <c r="AF30" s="11">
        <v>0</v>
      </c>
      <c r="AG30" s="11">
        <v>0</v>
      </c>
      <c r="AH30" s="11">
        <v>0</v>
      </c>
    </row>
    <row r="31" spans="1:34" ht="15.75" customHeight="1" x14ac:dyDescent="0.25">
      <c r="A31" s="10">
        <v>30</v>
      </c>
      <c r="B31" s="10" t="s">
        <v>92</v>
      </c>
      <c r="C31" s="10" t="s">
        <v>93</v>
      </c>
      <c r="D31" s="11">
        <v>57</v>
      </c>
      <c r="E31" s="11">
        <v>954219128</v>
      </c>
      <c r="F31" s="11">
        <v>149447080.43339011</v>
      </c>
      <c r="G31" s="11">
        <v>250936701</v>
      </c>
      <c r="H31" s="11">
        <v>416668273.04791999</v>
      </c>
      <c r="I31" s="11">
        <v>45</v>
      </c>
      <c r="J31" s="11">
        <v>686997935.38547027</v>
      </c>
      <c r="K31" s="11">
        <v>0</v>
      </c>
      <c r="L31" s="11">
        <v>0</v>
      </c>
      <c r="M31" s="11">
        <v>25386790.3685425</v>
      </c>
      <c r="N31" s="11">
        <v>0</v>
      </c>
      <c r="O31" s="11">
        <v>25386790.3685425</v>
      </c>
      <c r="P31" s="11">
        <v>0</v>
      </c>
      <c r="Q31" s="11">
        <v>0</v>
      </c>
      <c r="R31" s="11">
        <v>0</v>
      </c>
      <c r="S31" s="11">
        <v>25386790.3685425</v>
      </c>
      <c r="T31" s="11">
        <v>26718182</v>
      </c>
      <c r="U31" s="11">
        <v>0</v>
      </c>
      <c r="V31" s="11">
        <v>105200000</v>
      </c>
      <c r="W31" s="11">
        <v>0</v>
      </c>
      <c r="X31" s="11">
        <v>14444444</v>
      </c>
      <c r="Y31" s="11">
        <v>73286709.327762559</v>
      </c>
      <c r="Z31" s="11">
        <v>0</v>
      </c>
      <c r="AA31" s="11">
        <v>0</v>
      </c>
      <c r="AB31" s="11">
        <v>70555556</v>
      </c>
      <c r="AC31" s="11">
        <v>0</v>
      </c>
      <c r="AD31" s="11">
        <v>0</v>
      </c>
      <c r="AE31" s="11">
        <v>0</v>
      </c>
      <c r="AF31" s="11">
        <v>34018519</v>
      </c>
      <c r="AG31" s="11">
        <v>0</v>
      </c>
      <c r="AH31" s="11">
        <v>0</v>
      </c>
    </row>
    <row r="32" spans="1:34" ht="15.75" customHeight="1" x14ac:dyDescent="0.25">
      <c r="A32" s="10">
        <v>31</v>
      </c>
      <c r="B32" s="10" t="s">
        <v>94</v>
      </c>
      <c r="C32" s="10" t="s">
        <v>95</v>
      </c>
      <c r="D32" s="11">
        <v>9</v>
      </c>
      <c r="E32" s="11">
        <v>67315309</v>
      </c>
      <c r="F32" s="11">
        <v>0</v>
      </c>
      <c r="G32" s="11">
        <v>8333333</v>
      </c>
      <c r="H32" s="11">
        <v>9955441.4387525786</v>
      </c>
      <c r="I32" s="11">
        <v>8</v>
      </c>
      <c r="J32" s="11">
        <v>57359867.561247423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8333333</v>
      </c>
    </row>
    <row r="33" spans="1:34" ht="15.75" customHeight="1" x14ac:dyDescent="0.25">
      <c r="A33" s="10">
        <v>32</v>
      </c>
      <c r="B33" s="10" t="s">
        <v>96</v>
      </c>
      <c r="C33" s="10" t="s">
        <v>97</v>
      </c>
      <c r="D33" s="11">
        <v>21</v>
      </c>
      <c r="E33" s="11">
        <v>29806821</v>
      </c>
      <c r="F33" s="11">
        <v>83677157.76018849</v>
      </c>
      <c r="G33" s="11">
        <v>50998485</v>
      </c>
      <c r="H33" s="11">
        <v>25562838.778804451</v>
      </c>
      <c r="I33" s="11">
        <v>90</v>
      </c>
      <c r="J33" s="11">
        <v>87921139.981384039</v>
      </c>
      <c r="K33" s="11">
        <v>0</v>
      </c>
      <c r="L33" s="11">
        <v>0</v>
      </c>
      <c r="M33" s="11">
        <v>0</v>
      </c>
      <c r="N33" s="11">
        <v>0</v>
      </c>
      <c r="O33" s="11">
        <v>20898469.97906889</v>
      </c>
      <c r="P33" s="11">
        <v>609091</v>
      </c>
      <c r="Q33" s="11">
        <v>0</v>
      </c>
      <c r="R33" s="11">
        <v>0</v>
      </c>
      <c r="S33" s="11">
        <v>0</v>
      </c>
      <c r="T33" s="11">
        <v>727273</v>
      </c>
      <c r="U33" s="11">
        <v>0</v>
      </c>
      <c r="V33" s="11">
        <v>25745454</v>
      </c>
      <c r="W33" s="11">
        <v>0</v>
      </c>
      <c r="X33" s="11">
        <v>0</v>
      </c>
      <c r="Y33" s="11">
        <v>10552926.361495139</v>
      </c>
      <c r="Z33" s="11">
        <v>0</v>
      </c>
      <c r="AA33" s="11">
        <v>52225761.419624463</v>
      </c>
      <c r="AB33" s="11">
        <v>16138889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7777778</v>
      </c>
    </row>
    <row r="34" spans="1:34" ht="15.75" customHeight="1" x14ac:dyDescent="0.25">
      <c r="A34" s="10">
        <v>33</v>
      </c>
      <c r="B34" s="10" t="s">
        <v>98</v>
      </c>
      <c r="C34" s="10" t="s">
        <v>99</v>
      </c>
      <c r="D34" s="11">
        <v>89</v>
      </c>
      <c r="E34" s="11">
        <v>484670241</v>
      </c>
      <c r="F34" s="11">
        <v>0</v>
      </c>
      <c r="G34" s="11">
        <v>109090909</v>
      </c>
      <c r="H34" s="11">
        <v>144969129.61661121</v>
      </c>
      <c r="I34" s="11">
        <v>69</v>
      </c>
      <c r="J34" s="11">
        <v>339701111.38338882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109090909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</row>
    <row r="35" spans="1:34" ht="15.75" customHeight="1" x14ac:dyDescent="0.25">
      <c r="A35" s="10">
        <v>34</v>
      </c>
      <c r="B35" s="10" t="s">
        <v>100</v>
      </c>
      <c r="C35" s="10" t="s">
        <v>101</v>
      </c>
      <c r="D35" s="11">
        <v>5</v>
      </c>
      <c r="E35" s="11">
        <v>16780091</v>
      </c>
      <c r="F35" s="11">
        <v>314530296.75000358</v>
      </c>
      <c r="G35" s="11">
        <v>369550502</v>
      </c>
      <c r="H35" s="11">
        <v>174850274.2668106</v>
      </c>
      <c r="I35" s="11">
        <v>68</v>
      </c>
      <c r="J35" s="11">
        <v>156460113.48319301</v>
      </c>
      <c r="K35" s="11">
        <v>0</v>
      </c>
      <c r="L35" s="11">
        <v>0</v>
      </c>
      <c r="M35" s="11">
        <v>5687557.812735335</v>
      </c>
      <c r="N35" s="11">
        <v>0</v>
      </c>
      <c r="O35" s="11">
        <v>14029309.78873178</v>
      </c>
      <c r="P35" s="11">
        <v>0</v>
      </c>
      <c r="Q35" s="11">
        <v>8041942.620181012</v>
      </c>
      <c r="R35" s="11">
        <v>1954545</v>
      </c>
      <c r="S35" s="11">
        <v>29848657.704540599</v>
      </c>
      <c r="T35" s="11">
        <v>30909089</v>
      </c>
      <c r="U35" s="11">
        <v>15184460.082829211</v>
      </c>
      <c r="V35" s="11">
        <v>38409090</v>
      </c>
      <c r="W35" s="11">
        <v>6673041.7214967953</v>
      </c>
      <c r="X35" s="11">
        <v>0</v>
      </c>
      <c r="Y35" s="11">
        <v>41313586.839600272</v>
      </c>
      <c r="Z35" s="11">
        <v>0</v>
      </c>
      <c r="AA35" s="11">
        <v>0</v>
      </c>
      <c r="AB35" s="11">
        <v>266768519</v>
      </c>
      <c r="AC35" s="11">
        <v>148800761.49028981</v>
      </c>
      <c r="AD35" s="11">
        <v>0</v>
      </c>
      <c r="AE35" s="11">
        <v>44950978.689598717</v>
      </c>
      <c r="AF35" s="11">
        <v>0</v>
      </c>
      <c r="AG35" s="11">
        <v>0</v>
      </c>
      <c r="AH35" s="11">
        <v>31509259</v>
      </c>
    </row>
    <row r="36" spans="1:34" ht="15.75" customHeight="1" x14ac:dyDescent="0.25">
      <c r="A36" s="10">
        <v>35</v>
      </c>
      <c r="B36" s="10" t="s">
        <v>102</v>
      </c>
      <c r="C36" s="10" t="s">
        <v>103</v>
      </c>
      <c r="D36" s="11">
        <v>57</v>
      </c>
      <c r="E36" s="11">
        <v>506661780</v>
      </c>
      <c r="F36" s="11">
        <v>1145877813.830066</v>
      </c>
      <c r="G36" s="11">
        <v>1318585341</v>
      </c>
      <c r="H36" s="11">
        <v>1262493787.805712</v>
      </c>
      <c r="I36" s="11">
        <v>92</v>
      </c>
      <c r="J36" s="11">
        <v>390045806.02435362</v>
      </c>
      <c r="K36" s="11">
        <v>24513816.324542869</v>
      </c>
      <c r="L36" s="11">
        <v>40300000</v>
      </c>
      <c r="M36" s="11">
        <v>112772373.8766897</v>
      </c>
      <c r="N36" s="11">
        <v>61472726</v>
      </c>
      <c r="O36" s="11">
        <v>58110090.491790786</v>
      </c>
      <c r="P36" s="11">
        <v>95209090</v>
      </c>
      <c r="Q36" s="11">
        <v>82932532.240022331</v>
      </c>
      <c r="R36" s="11">
        <v>185218181</v>
      </c>
      <c r="S36" s="11">
        <v>59829583.586372212</v>
      </c>
      <c r="T36" s="11">
        <v>81463637</v>
      </c>
      <c r="U36" s="11">
        <v>38199227.688352592</v>
      </c>
      <c r="V36" s="11">
        <v>255599998</v>
      </c>
      <c r="W36" s="11">
        <v>58665293.254034109</v>
      </c>
      <c r="X36" s="11">
        <v>37416666</v>
      </c>
      <c r="Y36" s="11">
        <v>28528827.646840759</v>
      </c>
      <c r="Z36" s="11">
        <v>50256902</v>
      </c>
      <c r="AA36" s="11">
        <v>286027831.94932038</v>
      </c>
      <c r="AB36" s="11">
        <v>175814811</v>
      </c>
      <c r="AC36" s="11">
        <v>207445612.60212699</v>
      </c>
      <c r="AD36" s="11">
        <v>97972222</v>
      </c>
      <c r="AE36" s="11">
        <v>101750841.8381737</v>
      </c>
      <c r="AF36" s="11">
        <v>58157406</v>
      </c>
      <c r="AG36" s="11">
        <v>87101782.331799462</v>
      </c>
      <c r="AH36" s="11">
        <v>179703702</v>
      </c>
    </row>
    <row r="37" spans="1:34" ht="15.75" customHeight="1" x14ac:dyDescent="0.25">
      <c r="A37" s="10">
        <v>36</v>
      </c>
      <c r="B37" s="10" t="s">
        <v>104</v>
      </c>
      <c r="C37" s="10" t="s">
        <v>105</v>
      </c>
      <c r="D37" s="11">
        <v>13</v>
      </c>
      <c r="E37" s="11">
        <v>192483555</v>
      </c>
      <c r="F37" s="11">
        <v>730802400.0568254</v>
      </c>
      <c r="G37" s="11">
        <v>676289060</v>
      </c>
      <c r="H37" s="11">
        <v>788140347.23871791</v>
      </c>
      <c r="I37" s="11">
        <v>23</v>
      </c>
      <c r="J37" s="11">
        <v>135145607.81810749</v>
      </c>
      <c r="K37" s="11">
        <v>0</v>
      </c>
      <c r="L37" s="11">
        <v>0</v>
      </c>
      <c r="M37" s="11">
        <v>20625113.676728971</v>
      </c>
      <c r="N37" s="11">
        <v>0</v>
      </c>
      <c r="O37" s="11">
        <v>10846040.976364261</v>
      </c>
      <c r="P37" s="11">
        <v>25363636</v>
      </c>
      <c r="Q37" s="11">
        <v>0</v>
      </c>
      <c r="R37" s="11">
        <v>21263636</v>
      </c>
      <c r="S37" s="11">
        <v>38216863.703983709</v>
      </c>
      <c r="T37" s="11">
        <v>18090909</v>
      </c>
      <c r="U37" s="11">
        <v>0</v>
      </c>
      <c r="V37" s="11">
        <v>48172728</v>
      </c>
      <c r="W37" s="11">
        <v>8316604.503702295</v>
      </c>
      <c r="X37" s="11">
        <v>0</v>
      </c>
      <c r="Y37" s="11">
        <v>137712553.63423541</v>
      </c>
      <c r="Z37" s="11">
        <v>13888889</v>
      </c>
      <c r="AA37" s="11">
        <v>31973124.428104609</v>
      </c>
      <c r="AB37" s="11">
        <v>14722222</v>
      </c>
      <c r="AC37" s="11">
        <v>99826198.873281166</v>
      </c>
      <c r="AD37" s="11">
        <v>37916667</v>
      </c>
      <c r="AE37" s="11">
        <v>50172656.444272771</v>
      </c>
      <c r="AF37" s="11">
        <v>16101852</v>
      </c>
      <c r="AG37" s="11">
        <v>333113243.81615222</v>
      </c>
      <c r="AH37" s="11">
        <v>480768521</v>
      </c>
    </row>
    <row r="38" spans="1:34" ht="15.75" customHeight="1" x14ac:dyDescent="0.25">
      <c r="A38" s="10">
        <v>37</v>
      </c>
      <c r="B38" s="10" t="s">
        <v>106</v>
      </c>
      <c r="C38" s="10" t="s">
        <v>107</v>
      </c>
      <c r="D38" s="11">
        <v>146</v>
      </c>
      <c r="E38" s="11">
        <v>692883908</v>
      </c>
      <c r="F38" s="11">
        <v>22305175.503714088</v>
      </c>
      <c r="G38" s="11">
        <v>205740069</v>
      </c>
      <c r="H38" s="11">
        <v>249617968.93119711</v>
      </c>
      <c r="I38" s="11">
        <v>114</v>
      </c>
      <c r="J38" s="11">
        <v>465571114.57251692</v>
      </c>
      <c r="K38" s="11">
        <v>0</v>
      </c>
      <c r="L38" s="11">
        <v>35854545</v>
      </c>
      <c r="M38" s="11">
        <v>0</v>
      </c>
      <c r="N38" s="11">
        <v>26372727</v>
      </c>
      <c r="O38" s="11">
        <v>0</v>
      </c>
      <c r="P38" s="11">
        <v>13018182</v>
      </c>
      <c r="Q38" s="11">
        <v>7812676.3569188695</v>
      </c>
      <c r="R38" s="11">
        <v>5263636</v>
      </c>
      <c r="S38" s="11">
        <v>5603788.1934442911</v>
      </c>
      <c r="T38" s="11">
        <v>5245455</v>
      </c>
      <c r="U38" s="11">
        <v>0</v>
      </c>
      <c r="V38" s="11">
        <v>30781820</v>
      </c>
      <c r="W38" s="11">
        <v>0</v>
      </c>
      <c r="X38" s="11">
        <v>10907407</v>
      </c>
      <c r="Y38" s="11">
        <v>0</v>
      </c>
      <c r="Z38" s="11">
        <v>10731481</v>
      </c>
      <c r="AA38" s="11">
        <v>8888710.9533509314</v>
      </c>
      <c r="AB38" s="11">
        <v>26027779</v>
      </c>
      <c r="AC38" s="11">
        <v>0</v>
      </c>
      <c r="AD38" s="11">
        <v>11092592</v>
      </c>
      <c r="AE38" s="11">
        <v>0</v>
      </c>
      <c r="AF38" s="11">
        <v>5453704</v>
      </c>
      <c r="AG38" s="11">
        <v>0</v>
      </c>
      <c r="AH38" s="11">
        <v>24990741</v>
      </c>
    </row>
    <row r="39" spans="1:34" ht="15.75" customHeight="1" x14ac:dyDescent="0.25">
      <c r="A39" s="10">
        <v>38</v>
      </c>
      <c r="B39" s="10" t="s">
        <v>108</v>
      </c>
      <c r="C39" s="10" t="s">
        <v>109</v>
      </c>
      <c r="D39" s="11">
        <v>1039</v>
      </c>
      <c r="E39" s="11">
        <v>2660783934</v>
      </c>
      <c r="F39" s="11">
        <v>155720352.42117769</v>
      </c>
      <c r="G39" s="11">
        <v>1013482457</v>
      </c>
      <c r="H39" s="11">
        <v>1101558745.9705989</v>
      </c>
      <c r="I39" s="11">
        <v>831</v>
      </c>
      <c r="J39" s="11">
        <v>1714945540.4505789</v>
      </c>
      <c r="K39" s="11">
        <v>0</v>
      </c>
      <c r="L39" s="11">
        <v>23809090</v>
      </c>
      <c r="M39" s="11">
        <v>0</v>
      </c>
      <c r="N39" s="11">
        <v>28054546</v>
      </c>
      <c r="O39" s="11">
        <v>705440.6252444993</v>
      </c>
      <c r="P39" s="11">
        <v>99485459</v>
      </c>
      <c r="Q39" s="11">
        <v>0</v>
      </c>
      <c r="R39" s="11">
        <v>151067266</v>
      </c>
      <c r="S39" s="11">
        <v>2469017.9390767468</v>
      </c>
      <c r="T39" s="11">
        <v>24349093</v>
      </c>
      <c r="U39" s="11">
        <v>0</v>
      </c>
      <c r="V39" s="11">
        <v>260781819</v>
      </c>
      <c r="W39" s="11">
        <v>359248.21852904692</v>
      </c>
      <c r="X39" s="11">
        <v>55703703</v>
      </c>
      <c r="Y39" s="11">
        <v>0</v>
      </c>
      <c r="Z39" s="11">
        <v>16074075</v>
      </c>
      <c r="AA39" s="11">
        <v>67323141.371593535</v>
      </c>
      <c r="AB39" s="11">
        <v>266555554</v>
      </c>
      <c r="AC39" s="11">
        <v>718496.43705809372</v>
      </c>
      <c r="AD39" s="11">
        <v>25370371</v>
      </c>
      <c r="AE39" s="11">
        <v>84145007.829675734</v>
      </c>
      <c r="AF39" s="11">
        <v>25870371</v>
      </c>
      <c r="AG39" s="11">
        <v>0</v>
      </c>
      <c r="AH39" s="11">
        <v>36361110</v>
      </c>
    </row>
    <row r="40" spans="1:34" ht="15.75" customHeight="1" x14ac:dyDescent="0.25">
      <c r="A40" s="10">
        <v>39</v>
      </c>
      <c r="B40" s="10" t="s">
        <v>110</v>
      </c>
      <c r="C40" s="10" t="s">
        <v>111</v>
      </c>
      <c r="D40" s="11">
        <v>5</v>
      </c>
      <c r="E40" s="11">
        <v>1946585</v>
      </c>
      <c r="F40" s="11">
        <v>698250818.37449133</v>
      </c>
      <c r="G40" s="11">
        <v>766005970</v>
      </c>
      <c r="H40" s="11">
        <v>344591346.78828812</v>
      </c>
      <c r="I40" s="11">
        <v>1268</v>
      </c>
      <c r="J40" s="11">
        <v>355606056.5862031</v>
      </c>
      <c r="K40" s="11">
        <v>30474730.439618129</v>
      </c>
      <c r="L40" s="11">
        <v>26599998</v>
      </c>
      <c r="M40" s="11">
        <v>95949655.78392902</v>
      </c>
      <c r="N40" s="11">
        <v>35618183</v>
      </c>
      <c r="O40" s="11">
        <v>29544439.426406641</v>
      </c>
      <c r="P40" s="11">
        <v>47668191</v>
      </c>
      <c r="Q40" s="11">
        <v>21574363.342837479</v>
      </c>
      <c r="R40" s="11">
        <v>151716373</v>
      </c>
      <c r="S40" s="11">
        <v>46504033.462864652</v>
      </c>
      <c r="T40" s="11">
        <v>43481820</v>
      </c>
      <c r="U40" s="11">
        <v>62236877.410682388</v>
      </c>
      <c r="V40" s="11">
        <v>111745469</v>
      </c>
      <c r="W40" s="11">
        <v>84165892.278721675</v>
      </c>
      <c r="X40" s="11">
        <v>51175926</v>
      </c>
      <c r="Y40" s="11">
        <v>46473294.106833108</v>
      </c>
      <c r="Z40" s="11">
        <v>26148147</v>
      </c>
      <c r="AA40" s="11">
        <v>56384185.887841761</v>
      </c>
      <c r="AB40" s="11">
        <v>81657415</v>
      </c>
      <c r="AC40" s="11">
        <v>49217053.467066258</v>
      </c>
      <c r="AD40" s="11">
        <v>30333333</v>
      </c>
      <c r="AE40" s="11">
        <v>42534957.064790867</v>
      </c>
      <c r="AF40" s="11">
        <v>46194446</v>
      </c>
      <c r="AG40" s="11">
        <v>133191335.70289931</v>
      </c>
      <c r="AH40" s="11">
        <v>113666669</v>
      </c>
    </row>
    <row r="41" spans="1:34" ht="15.75" customHeight="1" x14ac:dyDescent="0.25">
      <c r="A41" s="10">
        <v>40</v>
      </c>
      <c r="B41" s="10" t="s">
        <v>112</v>
      </c>
      <c r="C41" s="10" t="s">
        <v>113</v>
      </c>
      <c r="D41" s="11">
        <v>9</v>
      </c>
      <c r="E41" s="11">
        <v>45876404</v>
      </c>
      <c r="F41" s="11">
        <v>16884682.760374919</v>
      </c>
      <c r="G41" s="11">
        <v>22347643</v>
      </c>
      <c r="H41" s="11">
        <v>27975546.312357299</v>
      </c>
      <c r="I41" s="11">
        <v>8</v>
      </c>
      <c r="J41" s="11">
        <v>34785540.448017612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2727272</v>
      </c>
      <c r="S41" s="11">
        <v>0</v>
      </c>
      <c r="T41" s="11">
        <v>0</v>
      </c>
      <c r="U41" s="11">
        <v>0</v>
      </c>
      <c r="V41" s="11">
        <v>0</v>
      </c>
      <c r="W41" s="11">
        <v>7184971.1603790568</v>
      </c>
      <c r="X41" s="11">
        <v>8148148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9699711.5999958646</v>
      </c>
      <c r="AF41" s="11">
        <v>0</v>
      </c>
      <c r="AG41" s="11">
        <v>0</v>
      </c>
      <c r="AH41" s="11">
        <v>11472223</v>
      </c>
    </row>
    <row r="42" spans="1:34" ht="15.75" customHeight="1" x14ac:dyDescent="0.25">
      <c r="A42" s="10">
        <v>41</v>
      </c>
      <c r="B42" s="10" t="s">
        <v>114</v>
      </c>
      <c r="C42" s="10" t="s">
        <v>115</v>
      </c>
      <c r="D42" s="11">
        <v>5</v>
      </c>
      <c r="E42" s="11">
        <v>22481539</v>
      </c>
      <c r="F42" s="11">
        <v>126973798.7277052</v>
      </c>
      <c r="G42" s="11">
        <v>69479460</v>
      </c>
      <c r="H42" s="11">
        <v>81925801.330442414</v>
      </c>
      <c r="I42" s="11">
        <v>17</v>
      </c>
      <c r="J42" s="11">
        <v>67529536.397262841</v>
      </c>
      <c r="K42" s="11">
        <v>5290751.3409199445</v>
      </c>
      <c r="L42" s="11">
        <v>0</v>
      </c>
      <c r="M42" s="11">
        <v>5378931.4190755067</v>
      </c>
      <c r="N42" s="11">
        <v>7090909</v>
      </c>
      <c r="O42" s="11">
        <v>15863437.388311761</v>
      </c>
      <c r="P42" s="11">
        <v>12709090</v>
      </c>
      <c r="Q42" s="11">
        <v>0</v>
      </c>
      <c r="R42" s="11">
        <v>0</v>
      </c>
      <c r="S42" s="11">
        <v>0</v>
      </c>
      <c r="T42" s="11">
        <v>5454546</v>
      </c>
      <c r="U42" s="11">
        <v>5290751.3409199445</v>
      </c>
      <c r="V42" s="11">
        <v>6354545</v>
      </c>
      <c r="W42" s="11">
        <v>19258664.865137231</v>
      </c>
      <c r="X42" s="11">
        <v>0</v>
      </c>
      <c r="Y42" s="11">
        <v>20926230.553668082</v>
      </c>
      <c r="Z42" s="11">
        <v>11407407</v>
      </c>
      <c r="AA42" s="11">
        <v>22093787.748873059</v>
      </c>
      <c r="AB42" s="11">
        <v>13333334</v>
      </c>
      <c r="AC42" s="11">
        <v>10957081.334818689</v>
      </c>
      <c r="AD42" s="11">
        <v>0</v>
      </c>
      <c r="AE42" s="11">
        <v>0</v>
      </c>
      <c r="AF42" s="11">
        <v>0</v>
      </c>
      <c r="AG42" s="11">
        <v>21914162.735981021</v>
      </c>
      <c r="AH42" s="11">
        <v>13129629</v>
      </c>
    </row>
    <row r="43" spans="1:34" ht="15.75" customHeight="1" x14ac:dyDescent="0.25">
      <c r="A43" s="10">
        <v>42</v>
      </c>
      <c r="B43" s="10" t="s">
        <v>116</v>
      </c>
      <c r="C43" s="10" t="s">
        <v>117</v>
      </c>
      <c r="D43" s="11">
        <v>9</v>
      </c>
      <c r="E43" s="11">
        <v>68512935</v>
      </c>
      <c r="F43" s="11">
        <v>72754369.689387932</v>
      </c>
      <c r="G43" s="11">
        <v>77661953</v>
      </c>
      <c r="H43" s="11">
        <v>79933888.542010948</v>
      </c>
      <c r="I43" s="11">
        <v>11</v>
      </c>
      <c r="J43" s="11">
        <v>61333416.147376992</v>
      </c>
      <c r="K43" s="11">
        <v>0</v>
      </c>
      <c r="L43" s="11">
        <v>0</v>
      </c>
      <c r="M43" s="11">
        <v>0</v>
      </c>
      <c r="N43" s="11">
        <v>254546</v>
      </c>
      <c r="O43" s="11">
        <v>7407052.8472590819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5927601.4255562332</v>
      </c>
      <c r="X43" s="11">
        <v>6759259</v>
      </c>
      <c r="Y43" s="11">
        <v>0</v>
      </c>
      <c r="Z43" s="11">
        <v>0</v>
      </c>
      <c r="AA43" s="11">
        <v>4176265.1477631801</v>
      </c>
      <c r="AB43" s="11">
        <v>0</v>
      </c>
      <c r="AC43" s="11">
        <v>5747977.3162917094</v>
      </c>
      <c r="AD43" s="11">
        <v>6759259</v>
      </c>
      <c r="AE43" s="11">
        <v>0</v>
      </c>
      <c r="AF43" s="11">
        <v>0</v>
      </c>
      <c r="AG43" s="11">
        <v>49495472.952517733</v>
      </c>
      <c r="AH43" s="11">
        <v>63888889</v>
      </c>
    </row>
    <row r="44" spans="1:34" ht="15.75" customHeight="1" x14ac:dyDescent="0.25">
      <c r="A44" s="10">
        <v>43</v>
      </c>
      <c r="B44" s="10" t="s">
        <v>118</v>
      </c>
      <c r="C44" s="10" t="s">
        <v>119</v>
      </c>
      <c r="D44" s="11">
        <v>5</v>
      </c>
      <c r="E44" s="11">
        <v>6061946</v>
      </c>
      <c r="F44" s="11">
        <v>4456478.1762331408</v>
      </c>
      <c r="G44" s="11">
        <v>1409090</v>
      </c>
      <c r="H44" s="11">
        <v>1609019.833062215</v>
      </c>
      <c r="I44" s="11">
        <v>7</v>
      </c>
      <c r="J44" s="11">
        <v>8909404.343170926</v>
      </c>
      <c r="K44" s="11">
        <v>0</v>
      </c>
      <c r="L44" s="11">
        <v>0</v>
      </c>
      <c r="M44" s="11">
        <v>0</v>
      </c>
      <c r="N44" s="11">
        <v>0</v>
      </c>
      <c r="O44" s="11">
        <v>2327930.7839990081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1409090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2128547.3922341331</v>
      </c>
      <c r="AF44" s="11">
        <v>0</v>
      </c>
      <c r="AG44" s="11">
        <v>0</v>
      </c>
      <c r="AH44" s="11">
        <v>0</v>
      </c>
    </row>
    <row r="45" spans="1:34" ht="15.75" customHeight="1" x14ac:dyDescent="0.25">
      <c r="A45" s="10">
        <v>44</v>
      </c>
      <c r="B45" s="10" t="s">
        <v>120</v>
      </c>
      <c r="C45" s="10" t="s">
        <v>121</v>
      </c>
      <c r="D45" s="11">
        <v>110</v>
      </c>
      <c r="E45" s="11">
        <v>404179198</v>
      </c>
      <c r="F45" s="11">
        <v>363497999.73096877</v>
      </c>
      <c r="G45" s="11">
        <v>296095926</v>
      </c>
      <c r="H45" s="11">
        <v>356738715.84423047</v>
      </c>
      <c r="I45" s="11">
        <v>153</v>
      </c>
      <c r="J45" s="11">
        <v>410938481.8867383</v>
      </c>
      <c r="K45" s="11">
        <v>0</v>
      </c>
      <c r="L45" s="11">
        <v>581818</v>
      </c>
      <c r="M45" s="11">
        <v>0</v>
      </c>
      <c r="N45" s="11">
        <v>0</v>
      </c>
      <c r="O45" s="11">
        <v>0</v>
      </c>
      <c r="P45" s="11">
        <v>10336361</v>
      </c>
      <c r="Q45" s="11">
        <v>0</v>
      </c>
      <c r="R45" s="11">
        <v>1418182</v>
      </c>
      <c r="S45" s="11">
        <v>0</v>
      </c>
      <c r="T45" s="11">
        <v>4145455</v>
      </c>
      <c r="U45" s="11">
        <v>207988270.72735801</v>
      </c>
      <c r="V45" s="11">
        <v>61688181</v>
      </c>
      <c r="W45" s="11">
        <v>87252498.61513944</v>
      </c>
      <c r="X45" s="11">
        <v>104953705</v>
      </c>
      <c r="Y45" s="11">
        <v>39517343.807012707</v>
      </c>
      <c r="Z45" s="11">
        <v>22453703</v>
      </c>
      <c r="AA45" s="11">
        <v>28739886.58145855</v>
      </c>
      <c r="AB45" s="11">
        <v>51101852</v>
      </c>
      <c r="AC45" s="11">
        <v>0</v>
      </c>
      <c r="AD45" s="11">
        <v>33287041</v>
      </c>
      <c r="AE45" s="11">
        <v>0</v>
      </c>
      <c r="AF45" s="11">
        <v>6129628</v>
      </c>
      <c r="AG45" s="11">
        <v>0</v>
      </c>
      <c r="AH45" s="11">
        <v>0</v>
      </c>
    </row>
    <row r="46" spans="1:34" ht="15.75" customHeight="1" x14ac:dyDescent="0.25">
      <c r="A46" s="10">
        <v>45</v>
      </c>
      <c r="B46" s="10" t="s">
        <v>122</v>
      </c>
      <c r="C46" s="10" t="s">
        <v>123</v>
      </c>
      <c r="D46" s="11">
        <v>178</v>
      </c>
      <c r="E46" s="11">
        <v>82254710</v>
      </c>
      <c r="F46" s="11">
        <v>135430991.35156909</v>
      </c>
      <c r="G46" s="11">
        <v>146419362</v>
      </c>
      <c r="H46" s="11">
        <v>163762417.9606154</v>
      </c>
      <c r="I46" s="11">
        <v>210</v>
      </c>
      <c r="J46" s="11">
        <v>53923283.390953697</v>
      </c>
      <c r="K46" s="11">
        <v>0</v>
      </c>
      <c r="L46" s="11">
        <v>409091</v>
      </c>
      <c r="M46" s="11">
        <v>0</v>
      </c>
      <c r="N46" s="11">
        <v>2227273</v>
      </c>
      <c r="O46" s="11">
        <v>0</v>
      </c>
      <c r="P46" s="11">
        <v>10954549</v>
      </c>
      <c r="Q46" s="11">
        <v>12433266.863625821</v>
      </c>
      <c r="R46" s="11">
        <v>818182</v>
      </c>
      <c r="S46" s="11">
        <v>0</v>
      </c>
      <c r="T46" s="11">
        <v>1709090</v>
      </c>
      <c r="U46" s="11">
        <v>0</v>
      </c>
      <c r="V46" s="11">
        <v>6736364</v>
      </c>
      <c r="W46" s="11">
        <v>0</v>
      </c>
      <c r="X46" s="11">
        <v>2175926</v>
      </c>
      <c r="Y46" s="11">
        <v>30311598.749987081</v>
      </c>
      <c r="Z46" s="11">
        <v>31027776</v>
      </c>
      <c r="AA46" s="11">
        <v>74768609.9266444</v>
      </c>
      <c r="AB46" s="11">
        <v>22944444</v>
      </c>
      <c r="AC46" s="11">
        <v>0</v>
      </c>
      <c r="AD46" s="11">
        <v>3750000</v>
      </c>
      <c r="AE46" s="11">
        <v>0</v>
      </c>
      <c r="AF46" s="11">
        <v>57462962</v>
      </c>
      <c r="AG46" s="11">
        <v>17917515.811311759</v>
      </c>
      <c r="AH46" s="11">
        <v>6203705</v>
      </c>
    </row>
    <row r="47" spans="1:34" ht="15.75" customHeight="1" x14ac:dyDescent="0.25">
      <c r="A47" s="10">
        <v>46</v>
      </c>
      <c r="B47" s="10" t="s">
        <v>124</v>
      </c>
      <c r="C47" s="10" t="s">
        <v>125</v>
      </c>
      <c r="D47" s="11">
        <v>9</v>
      </c>
      <c r="E47" s="11">
        <v>60634607</v>
      </c>
      <c r="F47" s="11">
        <v>109881567.8585718</v>
      </c>
      <c r="G47" s="11">
        <v>126918013</v>
      </c>
      <c r="H47" s="11">
        <v>146373822.90978411</v>
      </c>
      <c r="I47" s="11">
        <v>9</v>
      </c>
      <c r="J47" s="11">
        <v>24142351.948787689</v>
      </c>
      <c r="K47" s="11">
        <v>0</v>
      </c>
      <c r="L47" s="11">
        <v>0</v>
      </c>
      <c r="M47" s="11">
        <v>0</v>
      </c>
      <c r="N47" s="11">
        <v>0</v>
      </c>
      <c r="O47" s="11">
        <v>35324586.239616059</v>
      </c>
      <c r="P47" s="11">
        <v>6318182</v>
      </c>
      <c r="Q47" s="11">
        <v>5872734.0369196963</v>
      </c>
      <c r="R47" s="11">
        <v>34000000</v>
      </c>
      <c r="S47" s="11">
        <v>13676593.355994171</v>
      </c>
      <c r="T47" s="11">
        <v>22481818</v>
      </c>
      <c r="U47" s="11">
        <v>11763105.059441671</v>
      </c>
      <c r="V47" s="11">
        <v>14127273</v>
      </c>
      <c r="W47" s="11">
        <v>0</v>
      </c>
      <c r="X47" s="11">
        <v>0</v>
      </c>
      <c r="Y47" s="11">
        <v>0</v>
      </c>
      <c r="Z47" s="11">
        <v>0</v>
      </c>
      <c r="AA47" s="11">
        <v>6152132.2896152567</v>
      </c>
      <c r="AB47" s="11">
        <v>14388889</v>
      </c>
      <c r="AC47" s="11">
        <v>12304263.60925935</v>
      </c>
      <c r="AD47" s="11">
        <v>7129629</v>
      </c>
      <c r="AE47" s="11">
        <v>0</v>
      </c>
      <c r="AF47" s="11">
        <v>0</v>
      </c>
      <c r="AG47" s="11">
        <v>24788153.26772555</v>
      </c>
      <c r="AH47" s="11">
        <v>28472222</v>
      </c>
    </row>
    <row r="48" spans="1:34" ht="15.75" customHeight="1" x14ac:dyDescent="0.25">
      <c r="A48" s="10">
        <v>47</v>
      </c>
      <c r="B48" s="10" t="s">
        <v>126</v>
      </c>
      <c r="C48" s="10" t="s">
        <v>127</v>
      </c>
      <c r="D48" s="11">
        <v>5</v>
      </c>
      <c r="E48" s="11">
        <v>484662</v>
      </c>
      <c r="F48" s="11">
        <v>116394.5992576304</v>
      </c>
      <c r="G48" s="11">
        <v>0</v>
      </c>
      <c r="H48" s="11">
        <v>0</v>
      </c>
      <c r="I48" s="11">
        <v>6</v>
      </c>
      <c r="J48" s="11">
        <v>601056.59925763041</v>
      </c>
      <c r="K48" s="11">
        <v>116394.5992576304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</row>
    <row r="49" spans="1:34" ht="15.75" customHeight="1" x14ac:dyDescent="0.25">
      <c r="A49" s="10">
        <v>48</v>
      </c>
      <c r="B49" s="10" t="s">
        <v>128</v>
      </c>
      <c r="C49" s="10" t="s">
        <v>129</v>
      </c>
      <c r="D49" s="11">
        <v>2690</v>
      </c>
      <c r="E49" s="11">
        <v>999019816</v>
      </c>
      <c r="F49" s="11">
        <v>188650409.65694919</v>
      </c>
      <c r="G49" s="11">
        <v>350715502</v>
      </c>
      <c r="H49" s="11">
        <v>488100129.06868953</v>
      </c>
      <c r="I49" s="11">
        <v>2192</v>
      </c>
      <c r="J49" s="11">
        <v>699570096.5882597</v>
      </c>
      <c r="K49" s="11">
        <v>0</v>
      </c>
      <c r="L49" s="11">
        <v>0</v>
      </c>
      <c r="M49" s="11">
        <v>0</v>
      </c>
      <c r="N49" s="11">
        <v>3681820</v>
      </c>
      <c r="O49" s="11">
        <v>0</v>
      </c>
      <c r="P49" s="11">
        <v>28236343</v>
      </c>
      <c r="Q49" s="11">
        <v>0</v>
      </c>
      <c r="R49" s="11">
        <v>1172727</v>
      </c>
      <c r="S49" s="11">
        <v>0</v>
      </c>
      <c r="T49" s="11">
        <v>9100001</v>
      </c>
      <c r="U49" s="11">
        <v>0</v>
      </c>
      <c r="V49" s="11">
        <v>71672744</v>
      </c>
      <c r="W49" s="11">
        <v>0</v>
      </c>
      <c r="X49" s="11">
        <v>6500002</v>
      </c>
      <c r="Y49" s="11">
        <v>69559506.878088593</v>
      </c>
      <c r="Z49" s="11">
        <v>149712967</v>
      </c>
      <c r="AA49" s="11">
        <v>119090902.7788606</v>
      </c>
      <c r="AB49" s="11">
        <v>57074080</v>
      </c>
      <c r="AC49" s="11">
        <v>0</v>
      </c>
      <c r="AD49" s="11">
        <v>2953704</v>
      </c>
      <c r="AE49" s="11">
        <v>0</v>
      </c>
      <c r="AF49" s="11">
        <v>8166670</v>
      </c>
      <c r="AG49" s="11">
        <v>0</v>
      </c>
      <c r="AH49" s="11">
        <v>12444444</v>
      </c>
    </row>
    <row r="50" spans="1:34" ht="15.75" customHeight="1" x14ac:dyDescent="0.25">
      <c r="A50" s="10">
        <v>49</v>
      </c>
      <c r="B50" s="10" t="s">
        <v>130</v>
      </c>
      <c r="C50" s="10" t="s">
        <v>131</v>
      </c>
      <c r="D50" s="11">
        <v>332</v>
      </c>
      <c r="E50" s="11">
        <v>261250102</v>
      </c>
      <c r="F50" s="11">
        <v>218616639.50573561</v>
      </c>
      <c r="G50" s="11">
        <v>157981481</v>
      </c>
      <c r="H50" s="11">
        <v>228351318.56443971</v>
      </c>
      <c r="I50" s="11">
        <v>364</v>
      </c>
      <c r="J50" s="11">
        <v>251515422.94129589</v>
      </c>
      <c r="K50" s="11">
        <v>0</v>
      </c>
      <c r="L50" s="11">
        <v>2045454</v>
      </c>
      <c r="M50" s="11">
        <v>0</v>
      </c>
      <c r="N50" s="11">
        <v>1363636</v>
      </c>
      <c r="O50" s="11">
        <v>0</v>
      </c>
      <c r="P50" s="11">
        <v>12945461</v>
      </c>
      <c r="Q50" s="11">
        <v>31259525.375433359</v>
      </c>
      <c r="R50" s="11">
        <v>15900000</v>
      </c>
      <c r="S50" s="11">
        <v>0</v>
      </c>
      <c r="T50" s="11">
        <v>2318181</v>
      </c>
      <c r="U50" s="11">
        <v>2909913.479998759</v>
      </c>
      <c r="V50" s="11">
        <v>31727272</v>
      </c>
      <c r="W50" s="11">
        <v>1275332.630734856</v>
      </c>
      <c r="X50" s="11">
        <v>9148148</v>
      </c>
      <c r="Y50" s="11">
        <v>35430890.228896223</v>
      </c>
      <c r="Z50" s="11">
        <v>46666666</v>
      </c>
      <c r="AA50" s="11">
        <v>95694840.480312482</v>
      </c>
      <c r="AB50" s="11">
        <v>6564815</v>
      </c>
      <c r="AC50" s="11">
        <v>0</v>
      </c>
      <c r="AD50" s="11">
        <v>20899995</v>
      </c>
      <c r="AE50" s="11">
        <v>0</v>
      </c>
      <c r="AF50" s="11">
        <v>6629631</v>
      </c>
      <c r="AG50" s="11">
        <v>52046137.310359932</v>
      </c>
      <c r="AH50" s="11">
        <v>1772222</v>
      </c>
    </row>
    <row r="51" spans="1:34" ht="15.75" customHeight="1" x14ac:dyDescent="0.25">
      <c r="A51" s="10">
        <v>50</v>
      </c>
      <c r="B51" s="10" t="s">
        <v>132</v>
      </c>
      <c r="C51" s="10" t="s">
        <v>133</v>
      </c>
      <c r="D51" s="11">
        <v>142</v>
      </c>
      <c r="E51" s="11">
        <v>67355567</v>
      </c>
      <c r="F51" s="11">
        <v>13491328.86443425</v>
      </c>
      <c r="G51" s="11">
        <v>34215000</v>
      </c>
      <c r="H51" s="11">
        <v>40812591.005124308</v>
      </c>
      <c r="I51" s="11">
        <v>111</v>
      </c>
      <c r="J51" s="11">
        <v>40034304.859309927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900000</v>
      </c>
      <c r="Q51" s="11">
        <v>2424927.8999989661</v>
      </c>
      <c r="R51" s="11">
        <v>4840000</v>
      </c>
      <c r="S51" s="11">
        <v>0</v>
      </c>
      <c r="T51" s="11">
        <v>0</v>
      </c>
      <c r="U51" s="11">
        <v>5305742.2451977395</v>
      </c>
      <c r="V51" s="11">
        <v>7425000</v>
      </c>
      <c r="W51" s="11">
        <v>5760658.7192375446</v>
      </c>
      <c r="X51" s="11">
        <v>1230000</v>
      </c>
      <c r="Y51" s="11">
        <v>0</v>
      </c>
      <c r="Z51" s="11">
        <v>3240000</v>
      </c>
      <c r="AA51" s="11">
        <v>0</v>
      </c>
      <c r="AB51" s="11">
        <v>3710000</v>
      </c>
      <c r="AC51" s="11">
        <v>0</v>
      </c>
      <c r="AD51" s="11">
        <v>6670000</v>
      </c>
      <c r="AE51" s="11">
        <v>0</v>
      </c>
      <c r="AF51" s="11">
        <v>2300000</v>
      </c>
      <c r="AG51" s="11">
        <v>0</v>
      </c>
      <c r="AH51" s="11">
        <v>3900000</v>
      </c>
    </row>
    <row r="52" spans="1:34" ht="15.75" customHeight="1" x14ac:dyDescent="0.25">
      <c r="A52" s="10">
        <v>51</v>
      </c>
      <c r="B52" s="10" t="s">
        <v>134</v>
      </c>
      <c r="C52" s="10" t="s">
        <v>135</v>
      </c>
      <c r="D52" s="11">
        <v>41</v>
      </c>
      <c r="E52" s="11">
        <v>49738539</v>
      </c>
      <c r="F52" s="11">
        <v>0</v>
      </c>
      <c r="G52" s="11">
        <v>11083334</v>
      </c>
      <c r="H52" s="11">
        <v>14532517.842355279</v>
      </c>
      <c r="I52" s="11">
        <v>32</v>
      </c>
      <c r="J52" s="11">
        <v>35206021.157644719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2462964</v>
      </c>
      <c r="AG52" s="11">
        <v>0</v>
      </c>
      <c r="AH52" s="11">
        <v>8620370</v>
      </c>
    </row>
    <row r="53" spans="1:34" ht="15.75" customHeight="1" x14ac:dyDescent="0.25">
      <c r="A53" s="10">
        <v>52</v>
      </c>
      <c r="B53" s="10" t="s">
        <v>136</v>
      </c>
      <c r="C53" s="10" t="s">
        <v>137</v>
      </c>
      <c r="D53" s="11">
        <v>21</v>
      </c>
      <c r="E53" s="11">
        <v>61042753</v>
      </c>
      <c r="F53" s="11">
        <v>0</v>
      </c>
      <c r="G53" s="11">
        <v>12090910</v>
      </c>
      <c r="H53" s="11">
        <v>15476187.98193197</v>
      </c>
      <c r="I53" s="11">
        <v>17</v>
      </c>
      <c r="J53" s="11">
        <v>45566565.01806803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12090910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</row>
    <row r="54" spans="1:34" ht="15.75" customHeight="1" x14ac:dyDescent="0.25">
      <c r="A54" s="10">
        <v>53</v>
      </c>
      <c r="B54" s="10" t="s">
        <v>138</v>
      </c>
      <c r="C54" s="10" t="s">
        <v>139</v>
      </c>
      <c r="D54" s="11">
        <v>5</v>
      </c>
      <c r="E54" s="11">
        <v>562688</v>
      </c>
      <c r="F54" s="11">
        <v>4671980.5487348884</v>
      </c>
      <c r="G54" s="11">
        <v>24300505</v>
      </c>
      <c r="H54" s="11">
        <v>2843648.9641269748</v>
      </c>
      <c r="I54" s="11">
        <v>80</v>
      </c>
      <c r="J54" s="11">
        <v>2391019.5846079132</v>
      </c>
      <c r="K54" s="11">
        <v>304216.90476647031</v>
      </c>
      <c r="L54" s="11">
        <v>590909</v>
      </c>
      <c r="M54" s="11">
        <v>0</v>
      </c>
      <c r="N54" s="11">
        <v>0</v>
      </c>
      <c r="O54" s="11">
        <v>617243.08760805684</v>
      </c>
      <c r="P54" s="11">
        <v>772727</v>
      </c>
      <c r="Q54" s="11">
        <v>396795.80213263078</v>
      </c>
      <c r="R54" s="11">
        <v>1072727</v>
      </c>
      <c r="S54" s="11">
        <v>330670.92821313901</v>
      </c>
      <c r="T54" s="11">
        <v>1545454</v>
      </c>
      <c r="U54" s="11">
        <v>0</v>
      </c>
      <c r="V54" s="11">
        <v>11790909</v>
      </c>
      <c r="W54" s="11">
        <v>161665.09323713111</v>
      </c>
      <c r="X54" s="11">
        <v>0</v>
      </c>
      <c r="Y54" s="11">
        <v>0</v>
      </c>
      <c r="Z54" s="11">
        <v>555556</v>
      </c>
      <c r="AA54" s="11">
        <v>1122625.221160321</v>
      </c>
      <c r="AB54" s="11">
        <v>953704</v>
      </c>
      <c r="AC54" s="11">
        <v>242492.7899998966</v>
      </c>
      <c r="AD54" s="11">
        <v>5000000</v>
      </c>
      <c r="AE54" s="11">
        <v>1127145.28676592</v>
      </c>
      <c r="AF54" s="11">
        <v>638889</v>
      </c>
      <c r="AG54" s="11">
        <v>369125.43485132261</v>
      </c>
      <c r="AH54" s="11">
        <v>1379630</v>
      </c>
    </row>
    <row r="55" spans="1:34" ht="15.75" customHeight="1" x14ac:dyDescent="0.25">
      <c r="A55" s="10">
        <v>54</v>
      </c>
      <c r="B55" s="10" t="s">
        <v>140</v>
      </c>
      <c r="C55" s="10" t="s">
        <v>141</v>
      </c>
      <c r="D55" s="11">
        <v>14419</v>
      </c>
      <c r="E55" s="11">
        <v>734881055</v>
      </c>
      <c r="F55" s="11">
        <v>105852723.7775611</v>
      </c>
      <c r="G55" s="11">
        <v>166751212</v>
      </c>
      <c r="H55" s="11">
        <v>284968448.96574187</v>
      </c>
      <c r="I55" s="11">
        <v>11702</v>
      </c>
      <c r="J55" s="11">
        <v>555765329.81181943</v>
      </c>
      <c r="K55" s="11">
        <v>4142670.1966365939</v>
      </c>
      <c r="L55" s="11">
        <v>2736365</v>
      </c>
      <c r="M55" s="11">
        <v>29897370.62616694</v>
      </c>
      <c r="N55" s="11">
        <v>5836367</v>
      </c>
      <c r="O55" s="11">
        <v>9976603.4472139869</v>
      </c>
      <c r="P55" s="11">
        <v>85155482</v>
      </c>
      <c r="Q55" s="11">
        <v>3465891.249198922</v>
      </c>
      <c r="R55" s="11">
        <v>9936373</v>
      </c>
      <c r="S55" s="11">
        <v>9004698.1647213604</v>
      </c>
      <c r="T55" s="11">
        <v>6600000</v>
      </c>
      <c r="U55" s="11">
        <v>2019303.420368019</v>
      </c>
      <c r="V55" s="11">
        <v>17421811</v>
      </c>
      <c r="W55" s="11">
        <v>13902319.224522309</v>
      </c>
      <c r="X55" s="11">
        <v>6509262</v>
      </c>
      <c r="Y55" s="11">
        <v>2087236.3205297501</v>
      </c>
      <c r="Z55" s="11">
        <v>5148148</v>
      </c>
      <c r="AA55" s="11">
        <v>10530474.439054631</v>
      </c>
      <c r="AB55" s="11">
        <v>4101851</v>
      </c>
      <c r="AC55" s="11">
        <v>9331117.7093402222</v>
      </c>
      <c r="AD55" s="11">
        <v>11657409</v>
      </c>
      <c r="AE55" s="11">
        <v>7809163.1213773508</v>
      </c>
      <c r="AF55" s="11">
        <v>5259255</v>
      </c>
      <c r="AG55" s="11">
        <v>3685875.8584310291</v>
      </c>
      <c r="AH55" s="11">
        <v>6388889</v>
      </c>
    </row>
    <row r="56" spans="1:34" ht="15.75" customHeight="1" x14ac:dyDescent="0.25">
      <c r="A56" s="10">
        <v>55</v>
      </c>
      <c r="B56" s="10" t="s">
        <v>142</v>
      </c>
      <c r="C56" s="10" t="s">
        <v>143</v>
      </c>
      <c r="D56" s="11">
        <v>5</v>
      </c>
      <c r="E56" s="11">
        <v>277930</v>
      </c>
      <c r="F56" s="11">
        <v>400479.75259830931</v>
      </c>
      <c r="G56" s="11">
        <v>0</v>
      </c>
      <c r="H56" s="11">
        <v>0</v>
      </c>
      <c r="I56" s="11">
        <v>11</v>
      </c>
      <c r="J56" s="11">
        <v>678409.75259830931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198403.7208932754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202076.03170503379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</row>
    <row r="57" spans="1:34" ht="15.75" customHeight="1" x14ac:dyDescent="0.25">
      <c r="A57" s="12"/>
      <c r="B57" s="12"/>
      <c r="C57" s="13" t="s">
        <v>144</v>
      </c>
      <c r="D57" s="14">
        <f t="shared" ref="D57:AH57" si="0">SUM(D2:D56)</f>
        <v>32072</v>
      </c>
      <c r="E57" s="14">
        <f t="shared" si="0"/>
        <v>19905995672</v>
      </c>
      <c r="F57" s="14">
        <f t="shared" si="0"/>
        <v>19151978035.999996</v>
      </c>
      <c r="G57" s="14">
        <f t="shared" si="0"/>
        <v>20018399062</v>
      </c>
      <c r="H57" s="14">
        <f t="shared" si="0"/>
        <v>20762261080.000011</v>
      </c>
      <c r="I57" s="14">
        <f t="shared" si="0"/>
        <v>34295.760000000002</v>
      </c>
      <c r="J57" s="14">
        <f t="shared" si="0"/>
        <v>18295712627.999981</v>
      </c>
      <c r="K57" s="14">
        <f t="shared" si="0"/>
        <v>538223337.54989552</v>
      </c>
      <c r="L57" s="14">
        <f t="shared" si="0"/>
        <v>373793472</v>
      </c>
      <c r="M57" s="14">
        <f t="shared" si="0"/>
        <v>1431476339.678441</v>
      </c>
      <c r="N57" s="14">
        <f t="shared" si="0"/>
        <v>690075261</v>
      </c>
      <c r="O57" s="14">
        <f t="shared" si="0"/>
        <v>1300509690.0592995</v>
      </c>
      <c r="P57" s="14">
        <f t="shared" si="0"/>
        <v>2264511219</v>
      </c>
      <c r="Q57" s="14">
        <f t="shared" si="0"/>
        <v>967837018.78367257</v>
      </c>
      <c r="R57" s="14">
        <f t="shared" si="0"/>
        <v>1325473203</v>
      </c>
      <c r="S57" s="14">
        <f t="shared" si="0"/>
        <v>1296964167.0877774</v>
      </c>
      <c r="T57" s="14">
        <f t="shared" si="0"/>
        <v>1816089166</v>
      </c>
      <c r="U57" s="14">
        <f t="shared" si="0"/>
        <v>2223701558.1802363</v>
      </c>
      <c r="V57" s="14">
        <f t="shared" si="0"/>
        <v>3262959053</v>
      </c>
      <c r="W57" s="14">
        <f t="shared" si="0"/>
        <v>1255752254.5651112</v>
      </c>
      <c r="X57" s="14">
        <f t="shared" si="0"/>
        <v>1005558706</v>
      </c>
      <c r="Y57" s="14">
        <f t="shared" si="0"/>
        <v>1932863492.7828329</v>
      </c>
      <c r="Z57" s="14">
        <f t="shared" si="0"/>
        <v>1400226538</v>
      </c>
      <c r="AA57" s="14">
        <f t="shared" si="0"/>
        <v>2512370034.7656837</v>
      </c>
      <c r="AB57" s="14">
        <f t="shared" si="0"/>
        <v>2681740065</v>
      </c>
      <c r="AC57" s="14">
        <f t="shared" si="0"/>
        <v>1658895954.3866956</v>
      </c>
      <c r="AD57" s="14">
        <f t="shared" si="0"/>
        <v>1382929266</v>
      </c>
      <c r="AE57" s="14">
        <f t="shared" si="0"/>
        <v>1576886402.0838552</v>
      </c>
      <c r="AF57" s="14">
        <f t="shared" si="0"/>
        <v>1448017604</v>
      </c>
      <c r="AG57" s="14">
        <f t="shared" si="0"/>
        <v>2456497786.0764933</v>
      </c>
      <c r="AH57" s="14">
        <f t="shared" si="0"/>
        <v>2367025509</v>
      </c>
    </row>
    <row r="58" spans="1:34" ht="15.75" customHeight="1" x14ac:dyDescent="0.25">
      <c r="C58" s="6" t="s">
        <v>145</v>
      </c>
      <c r="E58" s="7">
        <f>E57</f>
        <v>19905995672</v>
      </c>
    </row>
    <row r="59" spans="1:34" ht="15.75" customHeight="1" x14ac:dyDescent="0.25">
      <c r="C59" s="6" t="s">
        <v>146</v>
      </c>
      <c r="E59" s="7">
        <f>'Tháng 12'!M57</f>
        <v>18295712627.999973</v>
      </c>
    </row>
    <row r="60" spans="1:34" ht="15.75" customHeight="1" x14ac:dyDescent="0.25">
      <c r="C60" s="6" t="s">
        <v>147</v>
      </c>
      <c r="E60" s="8">
        <v>19905995673</v>
      </c>
    </row>
    <row r="61" spans="1:34" ht="15.75" customHeight="1" x14ac:dyDescent="0.25">
      <c r="C61" s="6" t="s">
        <v>148</v>
      </c>
      <c r="E61" s="8">
        <v>19022825341</v>
      </c>
    </row>
    <row r="62" spans="1:34" ht="15.75" customHeight="1" x14ac:dyDescent="0.25"/>
    <row r="63" spans="1:34" ht="15.75" customHeight="1" x14ac:dyDescent="0.25">
      <c r="C63" s="6" t="s">
        <v>149</v>
      </c>
    </row>
    <row r="64" spans="1:34" s="15" customFormat="1" ht="15.75" customHeight="1" x14ac:dyDescent="0.25">
      <c r="C64" s="15" t="s">
        <v>173</v>
      </c>
      <c r="E64" s="16">
        <f>E59-E61</f>
        <v>-727112713.0000267</v>
      </c>
      <c r="F64" s="15" t="s">
        <v>150</v>
      </c>
    </row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5</v>
      </c>
      <c r="E2" s="3">
        <v>1837062</v>
      </c>
      <c r="F2" s="3">
        <v>8</v>
      </c>
      <c r="G2" s="3">
        <v>4347233.2343958672</v>
      </c>
      <c r="H2" s="3">
        <v>0</v>
      </c>
      <c r="I2" s="3">
        <v>0</v>
      </c>
      <c r="J2" s="3">
        <v>486067.61538461538</v>
      </c>
      <c r="K2" s="3">
        <v>0</v>
      </c>
      <c r="L2" s="3">
        <v>13</v>
      </c>
      <c r="M2" s="3">
        <v>6184295.2343958672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33</v>
      </c>
      <c r="E3" s="3">
        <v>44417946</v>
      </c>
      <c r="F3" s="3">
        <v>5</v>
      </c>
      <c r="G3" s="3">
        <v>4893945.8390757134</v>
      </c>
      <c r="H3" s="3">
        <v>2</v>
      </c>
      <c r="I3" s="3">
        <v>2239091</v>
      </c>
      <c r="J3" s="3">
        <v>1301668.4473684209</v>
      </c>
      <c r="K3" s="3">
        <v>3465130.2277773041</v>
      </c>
      <c r="L3" s="3">
        <v>36</v>
      </c>
      <c r="M3" s="3">
        <v>45846761.611298412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1871</v>
      </c>
      <c r="E4" s="3">
        <v>692569119</v>
      </c>
      <c r="F4" s="3">
        <v>0</v>
      </c>
      <c r="G4" s="3">
        <v>0</v>
      </c>
      <c r="H4" s="3">
        <v>2</v>
      </c>
      <c r="I4" s="3">
        <v>909091</v>
      </c>
      <c r="J4" s="3">
        <v>370159.87119187601</v>
      </c>
      <c r="K4" s="3">
        <v>985390.83540839935</v>
      </c>
      <c r="L4" s="3">
        <v>1869</v>
      </c>
      <c r="M4" s="3">
        <v>691583728.16459155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2618</v>
      </c>
      <c r="E5" s="3">
        <v>349085997</v>
      </c>
      <c r="F5" s="3">
        <v>10</v>
      </c>
      <c r="G5" s="3">
        <v>57315.595844375574</v>
      </c>
      <c r="H5" s="3">
        <v>26</v>
      </c>
      <c r="I5" s="3">
        <v>4245459</v>
      </c>
      <c r="J5" s="3">
        <v>132855.8169710807</v>
      </c>
      <c r="K5" s="3">
        <v>4597726.2545560701</v>
      </c>
      <c r="L5" s="3">
        <v>2602</v>
      </c>
      <c r="M5" s="3">
        <v>344545586.34128833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5</v>
      </c>
      <c r="E6" s="3">
        <v>392492</v>
      </c>
      <c r="F6" s="3">
        <v>110</v>
      </c>
      <c r="G6" s="3">
        <v>2451301.415839355</v>
      </c>
      <c r="H6" s="3">
        <v>0</v>
      </c>
      <c r="I6" s="3">
        <v>0</v>
      </c>
      <c r="J6" s="3">
        <v>25388.53913043478</v>
      </c>
      <c r="K6" s="3">
        <v>0</v>
      </c>
      <c r="L6" s="3">
        <v>115</v>
      </c>
      <c r="M6" s="3">
        <v>2843793.415839355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118</v>
      </c>
      <c r="E7" s="3">
        <v>3406938</v>
      </c>
      <c r="F7" s="3">
        <v>0</v>
      </c>
      <c r="G7" s="3">
        <v>0</v>
      </c>
      <c r="H7" s="3">
        <v>0</v>
      </c>
      <c r="I7" s="3">
        <v>0</v>
      </c>
      <c r="J7" s="3">
        <v>28872.355932203391</v>
      </c>
      <c r="K7" s="3">
        <v>0</v>
      </c>
      <c r="L7" s="3">
        <v>118</v>
      </c>
      <c r="M7" s="3">
        <v>3406938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2456</v>
      </c>
      <c r="E8" s="3">
        <v>1126277840</v>
      </c>
      <c r="F8" s="3">
        <v>20</v>
      </c>
      <c r="G8" s="3">
        <v>2504289.0003678119</v>
      </c>
      <c r="H8" s="3">
        <v>5</v>
      </c>
      <c r="I8" s="3">
        <v>672728</v>
      </c>
      <c r="J8" s="3">
        <v>455920.70193861058</v>
      </c>
      <c r="K8" s="3">
        <v>3034230.0471192421</v>
      </c>
      <c r="L8" s="3">
        <v>2471</v>
      </c>
      <c r="M8" s="3">
        <v>1125747898.953249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206</v>
      </c>
      <c r="E9" s="3">
        <v>69933051</v>
      </c>
      <c r="F9" s="3">
        <v>1</v>
      </c>
      <c r="G9" s="3">
        <v>35924.821852904694</v>
      </c>
      <c r="H9" s="3">
        <v>0</v>
      </c>
      <c r="I9" s="3">
        <v>0</v>
      </c>
      <c r="J9" s="3">
        <v>338019.74879227049</v>
      </c>
      <c r="K9" s="3">
        <v>0</v>
      </c>
      <c r="L9" s="3">
        <v>207</v>
      </c>
      <c r="M9" s="3">
        <v>69968975.821852908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1523</v>
      </c>
      <c r="E10" s="3">
        <v>1483765852</v>
      </c>
      <c r="F10" s="3">
        <v>5</v>
      </c>
      <c r="G10" s="3">
        <v>3998621.719607376</v>
      </c>
      <c r="H10" s="3">
        <v>1</v>
      </c>
      <c r="I10" s="3">
        <v>454545</v>
      </c>
      <c r="J10" s="3">
        <v>973748.86452879582</v>
      </c>
      <c r="K10" s="3">
        <v>1296092.9611392589</v>
      </c>
      <c r="L10" s="3">
        <v>1527</v>
      </c>
      <c r="M10" s="3">
        <v>1486468380.7584679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647</v>
      </c>
      <c r="E11" s="3">
        <v>1489117356</v>
      </c>
      <c r="F11" s="3">
        <v>18</v>
      </c>
      <c r="G11" s="3">
        <v>70366998.169076636</v>
      </c>
      <c r="H11" s="3">
        <v>7</v>
      </c>
      <c r="I11" s="3">
        <v>16900001</v>
      </c>
      <c r="J11" s="3">
        <v>2348365.1278195488</v>
      </c>
      <c r="K11" s="3">
        <v>21880278.748024799</v>
      </c>
      <c r="L11" s="3">
        <v>658</v>
      </c>
      <c r="M11" s="3">
        <v>1537604075.421052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69</v>
      </c>
      <c r="E12" s="3">
        <v>200841358</v>
      </c>
      <c r="F12" s="3">
        <v>0</v>
      </c>
      <c r="G12" s="3">
        <v>0</v>
      </c>
      <c r="H12" s="3">
        <v>0</v>
      </c>
      <c r="I12" s="3">
        <v>0</v>
      </c>
      <c r="J12" s="3">
        <v>2910744.3188405801</v>
      </c>
      <c r="K12" s="3">
        <v>0</v>
      </c>
      <c r="L12" s="3">
        <v>69</v>
      </c>
      <c r="M12" s="3">
        <v>200841358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9</v>
      </c>
      <c r="E13" s="3">
        <v>14136215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9</v>
      </c>
      <c r="M13" s="3">
        <v>14136215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311</v>
      </c>
      <c r="E14" s="3">
        <v>50280662</v>
      </c>
      <c r="F14" s="3">
        <v>40</v>
      </c>
      <c r="G14" s="3">
        <v>3121543.7276297892</v>
      </c>
      <c r="H14" s="3">
        <v>5</v>
      </c>
      <c r="I14" s="3">
        <v>663636</v>
      </c>
      <c r="J14" s="3">
        <v>152418.358974359</v>
      </c>
      <c r="K14" s="3">
        <v>1014370.180090831</v>
      </c>
      <c r="L14" s="3">
        <v>346</v>
      </c>
      <c r="M14" s="3">
        <v>52387835.547538958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2105</v>
      </c>
      <c r="E15" s="3">
        <v>253981726</v>
      </c>
      <c r="F15" s="3">
        <v>0</v>
      </c>
      <c r="G15" s="3">
        <v>0</v>
      </c>
      <c r="H15" s="3">
        <v>3</v>
      </c>
      <c r="I15" s="3">
        <v>518182</v>
      </c>
      <c r="J15" s="3">
        <v>120656.4019002375</v>
      </c>
      <c r="K15" s="3">
        <v>481793.36248559848</v>
      </c>
      <c r="L15" s="3">
        <v>2102</v>
      </c>
      <c r="M15" s="3">
        <v>253499932.63751441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5</v>
      </c>
      <c r="E16" s="3">
        <v>2683292</v>
      </c>
      <c r="F16" s="3">
        <v>191.18700000000001</v>
      </c>
      <c r="G16" s="3">
        <v>172453110.53870419</v>
      </c>
      <c r="H16" s="3">
        <v>75</v>
      </c>
      <c r="I16" s="3">
        <v>94054378</v>
      </c>
      <c r="J16" s="3">
        <v>919914.62227364699</v>
      </c>
      <c r="K16" s="3">
        <v>91832831.098209858</v>
      </c>
      <c r="L16" s="3">
        <v>121.187</v>
      </c>
      <c r="M16" s="3">
        <v>83303571.440494299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13</v>
      </c>
      <c r="E17" s="3">
        <v>114558421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13</v>
      </c>
      <c r="M17" s="3">
        <v>114558421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5</v>
      </c>
      <c r="E18" s="3">
        <v>13170547</v>
      </c>
      <c r="F18" s="3">
        <v>2</v>
      </c>
      <c r="G18" s="3">
        <v>6602858.4882438648</v>
      </c>
      <c r="H18" s="3">
        <v>0</v>
      </c>
      <c r="I18" s="3">
        <v>0</v>
      </c>
      <c r="J18" s="3">
        <v>2853974.2857142859</v>
      </c>
      <c r="K18" s="3">
        <v>0</v>
      </c>
      <c r="L18" s="3">
        <v>7</v>
      </c>
      <c r="M18" s="3">
        <v>19773405.488243859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5</v>
      </c>
      <c r="E19" s="3">
        <v>51170047</v>
      </c>
      <c r="F19" s="3">
        <v>15</v>
      </c>
      <c r="G19" s="3">
        <v>202547615.1935159</v>
      </c>
      <c r="H19" s="3">
        <v>2</v>
      </c>
      <c r="I19" s="3">
        <v>31727273</v>
      </c>
      <c r="J19" s="3">
        <v>12999411.5</v>
      </c>
      <c r="K19" s="3">
        <v>34605320.443183921</v>
      </c>
      <c r="L19" s="3">
        <v>18</v>
      </c>
      <c r="M19" s="3">
        <v>219112341.750332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134807683</v>
      </c>
      <c r="F20" s="3">
        <v>0</v>
      </c>
      <c r="G20" s="3">
        <v>0</v>
      </c>
      <c r="H20" s="3">
        <v>0</v>
      </c>
      <c r="I20" s="3">
        <v>0</v>
      </c>
      <c r="J20" s="3">
        <v>14978631.44444444</v>
      </c>
      <c r="K20" s="3">
        <v>0</v>
      </c>
      <c r="L20" s="3">
        <v>9</v>
      </c>
      <c r="M20" s="3">
        <v>134807683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57</v>
      </c>
      <c r="E21" s="3">
        <v>603176461</v>
      </c>
      <c r="F21" s="3">
        <v>0</v>
      </c>
      <c r="G21" s="3">
        <v>0</v>
      </c>
      <c r="H21" s="3">
        <v>0</v>
      </c>
      <c r="I21" s="3">
        <v>0</v>
      </c>
      <c r="J21" s="3">
        <v>10582043.1754386</v>
      </c>
      <c r="K21" s="3">
        <v>0</v>
      </c>
      <c r="L21" s="3">
        <v>57</v>
      </c>
      <c r="M21" s="3">
        <v>603176461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9</v>
      </c>
      <c r="E22" s="3">
        <v>25591847</v>
      </c>
      <c r="F22" s="3">
        <v>0</v>
      </c>
      <c r="G22" s="3">
        <v>0</v>
      </c>
      <c r="H22" s="3">
        <v>0</v>
      </c>
      <c r="I22" s="3">
        <v>0</v>
      </c>
      <c r="J22" s="3">
        <v>2843538.555555556</v>
      </c>
      <c r="K22" s="3">
        <v>0</v>
      </c>
      <c r="L22" s="3">
        <v>9</v>
      </c>
      <c r="M22" s="3">
        <v>25591847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5</v>
      </c>
      <c r="E23" s="3">
        <v>54567066</v>
      </c>
      <c r="F23" s="3">
        <v>0</v>
      </c>
      <c r="G23" s="3">
        <v>0</v>
      </c>
      <c r="H23" s="3">
        <v>0</v>
      </c>
      <c r="I23" s="3">
        <v>0</v>
      </c>
      <c r="J23" s="3">
        <v>10913413.199999999</v>
      </c>
      <c r="K23" s="3">
        <v>0</v>
      </c>
      <c r="L23" s="3">
        <v>5</v>
      </c>
      <c r="M23" s="3">
        <v>54567066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29</v>
      </c>
      <c r="E24" s="3">
        <v>195457421</v>
      </c>
      <c r="F24" s="3">
        <v>0</v>
      </c>
      <c r="G24" s="3">
        <v>0</v>
      </c>
      <c r="H24" s="3">
        <v>0</v>
      </c>
      <c r="I24" s="3">
        <v>0</v>
      </c>
      <c r="J24" s="3">
        <v>6739911.068965517</v>
      </c>
      <c r="K24" s="3">
        <v>0</v>
      </c>
      <c r="L24" s="3">
        <v>29</v>
      </c>
      <c r="M24" s="3">
        <v>195457421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41</v>
      </c>
      <c r="E25" s="3">
        <v>526755536</v>
      </c>
      <c r="F25" s="3">
        <v>0</v>
      </c>
      <c r="G25" s="3">
        <v>0</v>
      </c>
      <c r="H25" s="3">
        <v>1</v>
      </c>
      <c r="I25" s="3">
        <v>13636364</v>
      </c>
      <c r="J25" s="3">
        <v>12847696</v>
      </c>
      <c r="K25" s="3">
        <v>17100721.714848869</v>
      </c>
      <c r="L25" s="3">
        <v>40</v>
      </c>
      <c r="M25" s="3">
        <v>509654814.28515112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37</v>
      </c>
      <c r="E26" s="3">
        <v>344336166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37</v>
      </c>
      <c r="M26" s="3">
        <v>344336166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146</v>
      </c>
      <c r="E27" s="3">
        <v>504259954</v>
      </c>
      <c r="F27" s="3">
        <v>0</v>
      </c>
      <c r="G27" s="3">
        <v>0</v>
      </c>
      <c r="H27" s="3">
        <v>7</v>
      </c>
      <c r="I27" s="3">
        <v>44954545</v>
      </c>
      <c r="J27" s="3">
        <v>3453835.3013698631</v>
      </c>
      <c r="K27" s="3">
        <v>32180208.37070946</v>
      </c>
      <c r="L27" s="3">
        <v>139</v>
      </c>
      <c r="M27" s="3">
        <v>472079745.62929052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9</v>
      </c>
      <c r="E28" s="3">
        <v>96109880</v>
      </c>
      <c r="F28" s="3">
        <v>0</v>
      </c>
      <c r="G28" s="3">
        <v>0</v>
      </c>
      <c r="H28" s="3">
        <v>1</v>
      </c>
      <c r="I28" s="3">
        <v>12272727</v>
      </c>
      <c r="J28" s="3">
        <v>10678875.55555556</v>
      </c>
      <c r="K28" s="3">
        <v>14213947.70728212</v>
      </c>
      <c r="L28" s="3">
        <v>8</v>
      </c>
      <c r="M28" s="3">
        <v>81895932.292717874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295</v>
      </c>
      <c r="E29" s="3">
        <v>2983183563</v>
      </c>
      <c r="F29" s="3">
        <v>0</v>
      </c>
      <c r="G29" s="3">
        <v>0</v>
      </c>
      <c r="H29" s="3">
        <v>2</v>
      </c>
      <c r="I29" s="3">
        <v>17618182</v>
      </c>
      <c r="J29" s="3">
        <v>10112486.654237291</v>
      </c>
      <c r="K29" s="3">
        <v>26920129.511039961</v>
      </c>
      <c r="L29" s="3">
        <v>293</v>
      </c>
      <c r="M29" s="3">
        <v>2956263433.4889598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5</v>
      </c>
      <c r="E30" s="3">
        <v>3958371</v>
      </c>
      <c r="F30" s="3">
        <v>0</v>
      </c>
      <c r="G30" s="3">
        <v>0</v>
      </c>
      <c r="H30" s="3">
        <v>0</v>
      </c>
      <c r="I30" s="3">
        <v>0</v>
      </c>
      <c r="J30" s="3">
        <v>791674.2</v>
      </c>
      <c r="K30" s="3">
        <v>0</v>
      </c>
      <c r="L30" s="3">
        <v>5</v>
      </c>
      <c r="M30" s="3">
        <v>3958371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57</v>
      </c>
      <c r="E31" s="3">
        <v>954219128</v>
      </c>
      <c r="F31" s="3">
        <v>0</v>
      </c>
      <c r="G31" s="3">
        <v>0</v>
      </c>
      <c r="H31" s="3">
        <v>0</v>
      </c>
      <c r="I31" s="3">
        <v>0</v>
      </c>
      <c r="J31" s="3">
        <v>16740686.456140351</v>
      </c>
      <c r="K31" s="3">
        <v>0</v>
      </c>
      <c r="L31" s="3">
        <v>57</v>
      </c>
      <c r="M31" s="3">
        <v>954219128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21</v>
      </c>
      <c r="E33" s="3">
        <v>29806821</v>
      </c>
      <c r="F33" s="3">
        <v>0</v>
      </c>
      <c r="G33" s="3">
        <v>0</v>
      </c>
      <c r="H33" s="3">
        <v>0</v>
      </c>
      <c r="I33" s="3">
        <v>0</v>
      </c>
      <c r="J33" s="3">
        <v>1419372.4285714291</v>
      </c>
      <c r="K33" s="3">
        <v>0</v>
      </c>
      <c r="L33" s="3">
        <v>21</v>
      </c>
      <c r="M33" s="3">
        <v>29806821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89</v>
      </c>
      <c r="E34" s="3">
        <v>484670241</v>
      </c>
      <c r="F34" s="3">
        <v>0</v>
      </c>
      <c r="G34" s="3">
        <v>0</v>
      </c>
      <c r="H34" s="3">
        <v>0</v>
      </c>
      <c r="I34" s="3">
        <v>0</v>
      </c>
      <c r="J34" s="3">
        <v>5445733.0449438207</v>
      </c>
      <c r="K34" s="3">
        <v>0</v>
      </c>
      <c r="L34" s="3">
        <v>89</v>
      </c>
      <c r="M34" s="3">
        <v>484670241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5</v>
      </c>
      <c r="E35" s="3">
        <v>16780091</v>
      </c>
      <c r="F35" s="3">
        <v>0</v>
      </c>
      <c r="G35" s="3">
        <v>0</v>
      </c>
      <c r="H35" s="3">
        <v>0</v>
      </c>
      <c r="I35" s="3">
        <v>0</v>
      </c>
      <c r="J35" s="3">
        <v>3356018.2</v>
      </c>
      <c r="K35" s="3">
        <v>0</v>
      </c>
      <c r="L35" s="3">
        <v>5</v>
      </c>
      <c r="M35" s="3">
        <v>16780091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57</v>
      </c>
      <c r="E36" s="3">
        <v>506661780</v>
      </c>
      <c r="F36" s="3">
        <v>2</v>
      </c>
      <c r="G36" s="3">
        <v>24513816.324542869</v>
      </c>
      <c r="H36" s="3">
        <v>3</v>
      </c>
      <c r="I36" s="3">
        <v>40300000</v>
      </c>
      <c r="J36" s="3">
        <v>9015839.1016949154</v>
      </c>
      <c r="K36" s="3">
        <v>36001168.34269844</v>
      </c>
      <c r="L36" s="3">
        <v>56</v>
      </c>
      <c r="M36" s="3">
        <v>495174427.98184443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13</v>
      </c>
      <c r="E37" s="3">
        <v>192483555</v>
      </c>
      <c r="F37" s="3">
        <v>0</v>
      </c>
      <c r="G37" s="3">
        <v>0</v>
      </c>
      <c r="H37" s="3">
        <v>0</v>
      </c>
      <c r="I37" s="3">
        <v>0</v>
      </c>
      <c r="J37" s="3">
        <v>14806427.30769231</v>
      </c>
      <c r="K37" s="3">
        <v>0</v>
      </c>
      <c r="L37" s="3">
        <v>13</v>
      </c>
      <c r="M37" s="3">
        <v>192483555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146</v>
      </c>
      <c r="E38" s="3">
        <v>692883908</v>
      </c>
      <c r="F38" s="3">
        <v>0</v>
      </c>
      <c r="G38" s="3">
        <v>0</v>
      </c>
      <c r="H38" s="3">
        <v>7</v>
      </c>
      <c r="I38" s="3">
        <v>35854545</v>
      </c>
      <c r="J38" s="3">
        <v>4745780.1917808224</v>
      </c>
      <c r="K38" s="3">
        <v>44217567.465513013</v>
      </c>
      <c r="L38" s="3">
        <v>139</v>
      </c>
      <c r="M38" s="3">
        <v>648666340.53448701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1039</v>
      </c>
      <c r="E39" s="3">
        <v>2660783934</v>
      </c>
      <c r="F39" s="3">
        <v>0</v>
      </c>
      <c r="G39" s="3">
        <v>0</v>
      </c>
      <c r="H39" s="3">
        <v>7</v>
      </c>
      <c r="I39" s="3">
        <v>23809090</v>
      </c>
      <c r="J39" s="3">
        <v>2560908.5024061599</v>
      </c>
      <c r="K39" s="3">
        <v>23860596.13006619</v>
      </c>
      <c r="L39" s="3">
        <v>1032</v>
      </c>
      <c r="M39" s="3">
        <v>2636923337.8699341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5</v>
      </c>
      <c r="E40" s="3">
        <v>1946585</v>
      </c>
      <c r="F40" s="3">
        <v>321</v>
      </c>
      <c r="G40" s="3">
        <v>30474730.439618129</v>
      </c>
      <c r="H40" s="3">
        <v>12</v>
      </c>
      <c r="I40" s="3">
        <v>26599998</v>
      </c>
      <c r="J40" s="3">
        <v>102345.9110429448</v>
      </c>
      <c r="K40" s="3">
        <v>1634710.7933420071</v>
      </c>
      <c r="L40" s="3">
        <v>314</v>
      </c>
      <c r="M40" s="3">
        <v>30786604.64627612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9</v>
      </c>
      <c r="E41" s="3">
        <v>45876404</v>
      </c>
      <c r="F41" s="3">
        <v>0</v>
      </c>
      <c r="G41" s="3">
        <v>0</v>
      </c>
      <c r="H41" s="3">
        <v>0</v>
      </c>
      <c r="I41" s="3">
        <v>0</v>
      </c>
      <c r="J41" s="3">
        <v>5097378.222222222</v>
      </c>
      <c r="K41" s="3">
        <v>0</v>
      </c>
      <c r="L41" s="3">
        <v>9</v>
      </c>
      <c r="M41" s="3">
        <v>45876404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5</v>
      </c>
      <c r="E42" s="3">
        <v>22481539</v>
      </c>
      <c r="F42" s="3">
        <v>1</v>
      </c>
      <c r="G42" s="3">
        <v>5290751.3409199445</v>
      </c>
      <c r="H42" s="3">
        <v>0</v>
      </c>
      <c r="I42" s="3">
        <v>0</v>
      </c>
      <c r="J42" s="3">
        <v>4656014</v>
      </c>
      <c r="K42" s="3">
        <v>0</v>
      </c>
      <c r="L42" s="3">
        <v>6</v>
      </c>
      <c r="M42" s="3">
        <v>27772290.340919949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68512935</v>
      </c>
      <c r="F43" s="3">
        <v>0</v>
      </c>
      <c r="G43" s="3">
        <v>0</v>
      </c>
      <c r="H43" s="3">
        <v>0</v>
      </c>
      <c r="I43" s="3">
        <v>0</v>
      </c>
      <c r="J43" s="3">
        <v>7612548.333333333</v>
      </c>
      <c r="K43" s="3">
        <v>0</v>
      </c>
      <c r="L43" s="3">
        <v>9</v>
      </c>
      <c r="M43" s="3">
        <v>68512935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5</v>
      </c>
      <c r="E44" s="3">
        <v>6061946</v>
      </c>
      <c r="F44" s="3">
        <v>0</v>
      </c>
      <c r="G44" s="3">
        <v>0</v>
      </c>
      <c r="H44" s="3">
        <v>0</v>
      </c>
      <c r="I44" s="3">
        <v>0</v>
      </c>
      <c r="J44" s="3">
        <v>1212389.2</v>
      </c>
      <c r="K44" s="3">
        <v>0</v>
      </c>
      <c r="L44" s="3">
        <v>5</v>
      </c>
      <c r="M44" s="3">
        <v>6061946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110</v>
      </c>
      <c r="E45" s="3">
        <v>404179198</v>
      </c>
      <c r="F45" s="3">
        <v>0</v>
      </c>
      <c r="G45" s="3">
        <v>0</v>
      </c>
      <c r="H45" s="3">
        <v>1</v>
      </c>
      <c r="I45" s="3">
        <v>581818</v>
      </c>
      <c r="J45" s="3">
        <v>3674356.3454545452</v>
      </c>
      <c r="K45" s="3">
        <v>4890693.657820615</v>
      </c>
      <c r="L45" s="3">
        <v>109</v>
      </c>
      <c r="M45" s="3">
        <v>399288504.34217942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178</v>
      </c>
      <c r="E46" s="3">
        <v>82254710</v>
      </c>
      <c r="F46" s="3">
        <v>0</v>
      </c>
      <c r="G46" s="3">
        <v>0</v>
      </c>
      <c r="H46" s="3">
        <v>1</v>
      </c>
      <c r="I46" s="3">
        <v>409091</v>
      </c>
      <c r="J46" s="3">
        <v>462105.11235955049</v>
      </c>
      <c r="K46" s="3">
        <v>615077.67069439101</v>
      </c>
      <c r="L46" s="3">
        <v>177</v>
      </c>
      <c r="M46" s="3">
        <v>81639632.329305604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60634607</v>
      </c>
      <c r="F47" s="3">
        <v>0</v>
      </c>
      <c r="G47" s="3">
        <v>0</v>
      </c>
      <c r="H47" s="3">
        <v>0</v>
      </c>
      <c r="I47" s="3">
        <v>0</v>
      </c>
      <c r="J47" s="3">
        <v>6737178.555555556</v>
      </c>
      <c r="K47" s="3">
        <v>0</v>
      </c>
      <c r="L47" s="3">
        <v>9</v>
      </c>
      <c r="M47" s="3">
        <v>60634607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5</v>
      </c>
      <c r="E48" s="3">
        <v>484662</v>
      </c>
      <c r="F48" s="3">
        <v>1</v>
      </c>
      <c r="G48" s="3">
        <v>116394.5992576304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2690</v>
      </c>
      <c r="E49" s="3">
        <v>999019816</v>
      </c>
      <c r="F49" s="3">
        <v>0</v>
      </c>
      <c r="G49" s="3">
        <v>0</v>
      </c>
      <c r="H49" s="3">
        <v>0</v>
      </c>
      <c r="I49" s="3">
        <v>0</v>
      </c>
      <c r="J49" s="3">
        <v>371382.83122676582</v>
      </c>
      <c r="K49" s="3">
        <v>0</v>
      </c>
      <c r="L49" s="3">
        <v>2690</v>
      </c>
      <c r="M49" s="3">
        <v>999019816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332</v>
      </c>
      <c r="E50" s="3">
        <v>261250102</v>
      </c>
      <c r="F50" s="3">
        <v>0</v>
      </c>
      <c r="G50" s="3">
        <v>0</v>
      </c>
      <c r="H50" s="3">
        <v>3</v>
      </c>
      <c r="I50" s="3">
        <v>2045454</v>
      </c>
      <c r="J50" s="3">
        <v>786897.89759036142</v>
      </c>
      <c r="K50" s="3">
        <v>3142163.8474382679</v>
      </c>
      <c r="L50" s="3">
        <v>329</v>
      </c>
      <c r="M50" s="3">
        <v>258107938.15256169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142</v>
      </c>
      <c r="E51" s="3">
        <v>67355567</v>
      </c>
      <c r="F51" s="3">
        <v>0</v>
      </c>
      <c r="G51" s="3">
        <v>0</v>
      </c>
      <c r="H51" s="3">
        <v>0</v>
      </c>
      <c r="I51" s="3">
        <v>0</v>
      </c>
      <c r="J51" s="3">
        <v>474334.97887323942</v>
      </c>
      <c r="K51" s="3">
        <v>0</v>
      </c>
      <c r="L51" s="3">
        <v>142</v>
      </c>
      <c r="M51" s="3">
        <v>67355567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21</v>
      </c>
      <c r="E53" s="3">
        <v>61042753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21</v>
      </c>
      <c r="M53" s="3">
        <v>61042753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5</v>
      </c>
      <c r="E54" s="3">
        <v>562688</v>
      </c>
      <c r="F54" s="3">
        <v>3</v>
      </c>
      <c r="G54" s="3">
        <v>304216.90476647031</v>
      </c>
      <c r="H54" s="3">
        <v>1</v>
      </c>
      <c r="I54" s="3">
        <v>590909</v>
      </c>
      <c r="J54" s="3">
        <v>109540.375</v>
      </c>
      <c r="K54" s="3">
        <v>145801.97643337669</v>
      </c>
      <c r="L54" s="3">
        <v>7</v>
      </c>
      <c r="M54" s="3">
        <v>721102.92833309365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14419</v>
      </c>
      <c r="E55" s="3">
        <v>734881055</v>
      </c>
      <c r="F55" s="3">
        <v>69</v>
      </c>
      <c r="G55" s="3">
        <v>4142670.1966365939</v>
      </c>
      <c r="H55" s="3">
        <v>57</v>
      </c>
      <c r="I55" s="3">
        <v>2736365</v>
      </c>
      <c r="J55" s="3">
        <v>51018.220320265049</v>
      </c>
      <c r="K55" s="3">
        <v>3870698.537758905</v>
      </c>
      <c r="L55" s="3">
        <v>14431</v>
      </c>
      <c r="M55" s="3">
        <v>735153026.65887761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5</v>
      </c>
      <c r="E56" s="3">
        <v>277930</v>
      </c>
      <c r="F56" s="3">
        <v>0</v>
      </c>
      <c r="G56" s="3">
        <v>0</v>
      </c>
      <c r="H56" s="3">
        <v>0</v>
      </c>
      <c r="I56" s="3">
        <v>0</v>
      </c>
      <c r="J56" s="3">
        <v>55586</v>
      </c>
      <c r="K56" s="3">
        <v>0</v>
      </c>
      <c r="L56" s="3">
        <v>5</v>
      </c>
      <c r="M56" s="3">
        <v>277930</v>
      </c>
    </row>
    <row r="57" spans="1:13" ht="15.75" customHeight="1" x14ac:dyDescent="0.25">
      <c r="C57" s="4" t="s">
        <v>144</v>
      </c>
      <c r="D57" s="5">
        <f t="shared" ref="D57:M57" si="0">SUM(D2:D56)</f>
        <v>32072</v>
      </c>
      <c r="E57" s="5">
        <f t="shared" si="0"/>
        <v>19905995672</v>
      </c>
      <c r="F57" s="5">
        <f t="shared" si="0"/>
        <v>822.18700000000001</v>
      </c>
      <c r="G57" s="5">
        <f t="shared" si="0"/>
        <v>538223337.54989552</v>
      </c>
      <c r="H57" s="5">
        <f t="shared" si="0"/>
        <v>231</v>
      </c>
      <c r="I57" s="5">
        <f t="shared" si="0"/>
        <v>373793472</v>
      </c>
      <c r="J57" s="5">
        <f t="shared" si="0"/>
        <v>231243580.90363622</v>
      </c>
      <c r="K57" s="5">
        <f t="shared" si="0"/>
        <v>371986649.88364094</v>
      </c>
      <c r="L57" s="5">
        <f t="shared" si="0"/>
        <v>32663.186999999998</v>
      </c>
      <c r="M57" s="5">
        <f t="shared" si="0"/>
        <v>20072232359.666252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13</v>
      </c>
      <c r="E2" s="3">
        <v>6184295.2343958672</v>
      </c>
      <c r="F2" s="3">
        <v>23</v>
      </c>
      <c r="G2" s="3">
        <v>11401571.588859661</v>
      </c>
      <c r="H2" s="3">
        <v>3</v>
      </c>
      <c r="I2" s="3">
        <v>872727</v>
      </c>
      <c r="J2" s="3">
        <v>502039.61111111112</v>
      </c>
      <c r="K2" s="3">
        <v>2004695.5530646259</v>
      </c>
      <c r="L2" s="3">
        <v>33</v>
      </c>
      <c r="M2" s="3">
        <v>15581171.2701909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36</v>
      </c>
      <c r="E3" s="3">
        <v>45846761.611298412</v>
      </c>
      <c r="F3" s="3">
        <v>10</v>
      </c>
      <c r="G3" s="3">
        <v>13315056.005527521</v>
      </c>
      <c r="H3" s="3">
        <v>4</v>
      </c>
      <c r="I3" s="3">
        <v>4754545</v>
      </c>
      <c r="J3" s="3">
        <v>1317115.9588100689</v>
      </c>
      <c r="K3" s="3">
        <v>7012505.1146282833</v>
      </c>
      <c r="L3" s="3">
        <v>42</v>
      </c>
      <c r="M3" s="3">
        <v>52149312.502197653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1869</v>
      </c>
      <c r="E4" s="3">
        <v>691583728.16459155</v>
      </c>
      <c r="F4" s="3">
        <v>0</v>
      </c>
      <c r="G4" s="3">
        <v>0</v>
      </c>
      <c r="H4" s="3">
        <v>1</v>
      </c>
      <c r="I4" s="3">
        <v>418182</v>
      </c>
      <c r="J4" s="3">
        <v>370159.87119187601</v>
      </c>
      <c r="K4" s="3">
        <v>492695.41770419967</v>
      </c>
      <c r="L4" s="3">
        <v>1868</v>
      </c>
      <c r="M4" s="3">
        <v>691091032.74688733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2602</v>
      </c>
      <c r="E5" s="3">
        <v>344545586.34128833</v>
      </c>
      <c r="F5" s="3">
        <v>42</v>
      </c>
      <c r="G5" s="3">
        <v>4911580.8847356662</v>
      </c>
      <c r="H5" s="3">
        <v>27</v>
      </c>
      <c r="I5" s="3">
        <v>4454548</v>
      </c>
      <c r="J5" s="3">
        <v>132660.54151238731</v>
      </c>
      <c r="K5" s="3">
        <v>4767544.0856867451</v>
      </c>
      <c r="L5" s="3">
        <v>2617</v>
      </c>
      <c r="M5" s="3">
        <v>344689623.14033723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115</v>
      </c>
      <c r="E6" s="3">
        <v>2843793.415839355</v>
      </c>
      <c r="F6" s="3">
        <v>5</v>
      </c>
      <c r="G6" s="3">
        <v>343898.42492205341</v>
      </c>
      <c r="H6" s="3">
        <v>4</v>
      </c>
      <c r="I6" s="3">
        <v>690908</v>
      </c>
      <c r="J6" s="3">
        <v>27285.224999999999</v>
      </c>
      <c r="K6" s="3">
        <v>145270.26157905269</v>
      </c>
      <c r="L6" s="3">
        <v>116</v>
      </c>
      <c r="M6" s="3">
        <v>3042421.5791823561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118</v>
      </c>
      <c r="E7" s="3">
        <v>3406938</v>
      </c>
      <c r="F7" s="3">
        <v>8</v>
      </c>
      <c r="G7" s="3">
        <v>246902.27889325481</v>
      </c>
      <c r="H7" s="3">
        <v>0</v>
      </c>
      <c r="I7" s="3">
        <v>0</v>
      </c>
      <c r="J7" s="3">
        <v>29059.396825396831</v>
      </c>
      <c r="K7" s="3">
        <v>0</v>
      </c>
      <c r="L7" s="3">
        <v>126</v>
      </c>
      <c r="M7" s="3">
        <v>3653840.2788932552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2471</v>
      </c>
      <c r="E8" s="3">
        <v>1125747898.953249</v>
      </c>
      <c r="F8" s="3">
        <v>30</v>
      </c>
      <c r="G8" s="3">
        <v>3597711.2998140259</v>
      </c>
      <c r="H8" s="3">
        <v>25</v>
      </c>
      <c r="I8" s="3">
        <v>3772731</v>
      </c>
      <c r="J8" s="3">
        <v>451934.88424242579</v>
      </c>
      <c r="K8" s="3">
        <v>15038518.75204348</v>
      </c>
      <c r="L8" s="3">
        <v>2476</v>
      </c>
      <c r="M8" s="3">
        <v>1114307091.501019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207</v>
      </c>
      <c r="E9" s="3">
        <v>69968975.821852908</v>
      </c>
      <c r="F9" s="3">
        <v>3</v>
      </c>
      <c r="G9" s="3">
        <v>4863082.3267356874</v>
      </c>
      <c r="H9" s="3">
        <v>2</v>
      </c>
      <c r="I9" s="3">
        <v>3490909</v>
      </c>
      <c r="J9" s="3">
        <v>357065.35238095239</v>
      </c>
      <c r="K9" s="3">
        <v>950532.33281377715</v>
      </c>
      <c r="L9" s="3">
        <v>208</v>
      </c>
      <c r="M9" s="3">
        <v>73881525.815774813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1527</v>
      </c>
      <c r="E10" s="3">
        <v>1486468380.7584679</v>
      </c>
      <c r="F10" s="3">
        <v>24</v>
      </c>
      <c r="G10" s="3">
        <v>33361936.894761302</v>
      </c>
      <c r="H10" s="3">
        <v>11</v>
      </c>
      <c r="I10" s="3">
        <v>17827270</v>
      </c>
      <c r="J10" s="3">
        <v>980857.05231171579</v>
      </c>
      <c r="K10" s="3">
        <v>14361096.217557279</v>
      </c>
      <c r="L10" s="3">
        <v>1540</v>
      </c>
      <c r="M10" s="3">
        <v>1505469221.435672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658</v>
      </c>
      <c r="E11" s="3">
        <v>1537604075.421052</v>
      </c>
      <c r="F11" s="3">
        <v>38</v>
      </c>
      <c r="G11" s="3">
        <v>102609573.1610004</v>
      </c>
      <c r="H11" s="3">
        <v>6</v>
      </c>
      <c r="I11" s="3">
        <v>14154543</v>
      </c>
      <c r="J11" s="3">
        <v>2372141.4719123361</v>
      </c>
      <c r="K11" s="3">
        <v>18944407.3923098</v>
      </c>
      <c r="L11" s="3">
        <v>690</v>
      </c>
      <c r="M11" s="3">
        <v>1621269241.1897421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69</v>
      </c>
      <c r="E12" s="3">
        <v>200841358</v>
      </c>
      <c r="F12" s="3">
        <v>7</v>
      </c>
      <c r="G12" s="3">
        <v>25915865.017648909</v>
      </c>
      <c r="H12" s="3">
        <v>2</v>
      </c>
      <c r="I12" s="3">
        <v>9945455</v>
      </c>
      <c r="J12" s="3">
        <v>2994204.460526316</v>
      </c>
      <c r="K12" s="3">
        <v>7970776.5869957888</v>
      </c>
      <c r="L12" s="3">
        <v>74</v>
      </c>
      <c r="M12" s="3">
        <v>218786446.4306531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9</v>
      </c>
      <c r="E13" s="3">
        <v>14136215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9</v>
      </c>
      <c r="M13" s="3">
        <v>14136215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346</v>
      </c>
      <c r="E14" s="3">
        <v>52387835.547538958</v>
      </c>
      <c r="F14" s="3">
        <v>54</v>
      </c>
      <c r="G14" s="3">
        <v>8873471.7364561763</v>
      </c>
      <c r="H14" s="3">
        <v>30</v>
      </c>
      <c r="I14" s="3">
        <v>4540912</v>
      </c>
      <c r="J14" s="3">
        <v>154712.33301282051</v>
      </c>
      <c r="K14" s="3">
        <v>6177821.8118811408</v>
      </c>
      <c r="L14" s="3">
        <v>370</v>
      </c>
      <c r="M14" s="3">
        <v>55083485.472113997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2102</v>
      </c>
      <c r="E15" s="3">
        <v>253499932.63751441</v>
      </c>
      <c r="F15" s="3">
        <v>0</v>
      </c>
      <c r="G15" s="3">
        <v>0</v>
      </c>
      <c r="H15" s="3">
        <v>5</v>
      </c>
      <c r="I15" s="3">
        <v>581819</v>
      </c>
      <c r="J15" s="3">
        <v>120656.4019002375</v>
      </c>
      <c r="K15" s="3">
        <v>802988.93747599737</v>
      </c>
      <c r="L15" s="3">
        <v>2097</v>
      </c>
      <c r="M15" s="3">
        <v>252696943.7000384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121.187</v>
      </c>
      <c r="E16" s="3">
        <v>83303571.440494299</v>
      </c>
      <c r="F16" s="3">
        <v>587</v>
      </c>
      <c r="G16" s="3">
        <v>257091336.22647801</v>
      </c>
      <c r="H16" s="3">
        <v>111</v>
      </c>
      <c r="I16" s="3">
        <v>269470705</v>
      </c>
      <c r="J16" s="3">
        <v>531684.69410826953</v>
      </c>
      <c r="K16" s="3">
        <v>78553641.939605132</v>
      </c>
      <c r="L16" s="3">
        <v>597.18700000000001</v>
      </c>
      <c r="M16" s="3">
        <v>261841265.72736719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13</v>
      </c>
      <c r="E17" s="3">
        <v>114558421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13</v>
      </c>
      <c r="M17" s="3">
        <v>114558421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7</v>
      </c>
      <c r="E18" s="3">
        <v>19773405.488243859</v>
      </c>
      <c r="F18" s="3">
        <v>0</v>
      </c>
      <c r="G18" s="3">
        <v>0</v>
      </c>
      <c r="H18" s="3">
        <v>0</v>
      </c>
      <c r="I18" s="3">
        <v>0</v>
      </c>
      <c r="J18" s="3">
        <v>2853974.2857142859</v>
      </c>
      <c r="K18" s="3">
        <v>0</v>
      </c>
      <c r="L18" s="3">
        <v>7</v>
      </c>
      <c r="M18" s="3">
        <v>19773405.488243859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18</v>
      </c>
      <c r="E19" s="3">
        <v>219112341.750332</v>
      </c>
      <c r="F19" s="3">
        <v>20</v>
      </c>
      <c r="G19" s="3">
        <v>258203833.51055291</v>
      </c>
      <c r="H19" s="3">
        <v>3</v>
      </c>
      <c r="I19" s="3">
        <v>54263636</v>
      </c>
      <c r="J19" s="3">
        <v>13162811.59616521</v>
      </c>
      <c r="K19" s="3">
        <v>52560453.973461121</v>
      </c>
      <c r="L19" s="3">
        <v>35</v>
      </c>
      <c r="M19" s="3">
        <v>424755721.28742367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134807683</v>
      </c>
      <c r="F20" s="3">
        <v>0</v>
      </c>
      <c r="G20" s="3">
        <v>0</v>
      </c>
      <c r="H20" s="3">
        <v>0</v>
      </c>
      <c r="I20" s="3">
        <v>0</v>
      </c>
      <c r="J20" s="3">
        <v>14978631.44444444</v>
      </c>
      <c r="K20" s="3">
        <v>0</v>
      </c>
      <c r="L20" s="3">
        <v>9</v>
      </c>
      <c r="M20" s="3">
        <v>134807683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57</v>
      </c>
      <c r="E21" s="3">
        <v>603176461</v>
      </c>
      <c r="F21" s="3">
        <v>0</v>
      </c>
      <c r="G21" s="3">
        <v>0</v>
      </c>
      <c r="H21" s="3">
        <v>0</v>
      </c>
      <c r="I21" s="3">
        <v>0</v>
      </c>
      <c r="J21" s="3">
        <v>10582043.1754386</v>
      </c>
      <c r="K21" s="3">
        <v>0</v>
      </c>
      <c r="L21" s="3">
        <v>57</v>
      </c>
      <c r="M21" s="3">
        <v>603176461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9</v>
      </c>
      <c r="E22" s="3">
        <v>25591847</v>
      </c>
      <c r="F22" s="3">
        <v>0</v>
      </c>
      <c r="G22" s="3">
        <v>0</v>
      </c>
      <c r="H22" s="3">
        <v>0</v>
      </c>
      <c r="I22" s="3">
        <v>0</v>
      </c>
      <c r="J22" s="3">
        <v>2843538.555555556</v>
      </c>
      <c r="K22" s="3">
        <v>0</v>
      </c>
      <c r="L22" s="3">
        <v>9</v>
      </c>
      <c r="M22" s="3">
        <v>25591847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5</v>
      </c>
      <c r="E23" s="3">
        <v>54567066</v>
      </c>
      <c r="F23" s="3">
        <v>0</v>
      </c>
      <c r="G23" s="3">
        <v>0</v>
      </c>
      <c r="H23" s="3">
        <v>0</v>
      </c>
      <c r="I23" s="3">
        <v>0</v>
      </c>
      <c r="J23" s="3">
        <v>10913413.199999999</v>
      </c>
      <c r="K23" s="3">
        <v>0</v>
      </c>
      <c r="L23" s="3">
        <v>5</v>
      </c>
      <c r="M23" s="3">
        <v>54567066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29</v>
      </c>
      <c r="E24" s="3">
        <v>195457421</v>
      </c>
      <c r="F24" s="3">
        <v>1</v>
      </c>
      <c r="G24" s="3">
        <v>1152325.738079509</v>
      </c>
      <c r="H24" s="3">
        <v>0</v>
      </c>
      <c r="I24" s="3">
        <v>0</v>
      </c>
      <c r="J24" s="3">
        <v>6554847.3666666662</v>
      </c>
      <c r="K24" s="3">
        <v>0</v>
      </c>
      <c r="L24" s="3">
        <v>30</v>
      </c>
      <c r="M24" s="3">
        <v>196609746.73807949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40</v>
      </c>
      <c r="E25" s="3">
        <v>509654814.28515112</v>
      </c>
      <c r="F25" s="3">
        <v>0</v>
      </c>
      <c r="G25" s="3">
        <v>0</v>
      </c>
      <c r="H25" s="3">
        <v>1</v>
      </c>
      <c r="I25" s="3">
        <v>16818182</v>
      </c>
      <c r="J25" s="3">
        <v>12847696</v>
      </c>
      <c r="K25" s="3">
        <v>17100721.714848869</v>
      </c>
      <c r="L25" s="3">
        <v>39</v>
      </c>
      <c r="M25" s="3">
        <v>492554092.57030219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37</v>
      </c>
      <c r="E26" s="3">
        <v>344336166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37</v>
      </c>
      <c r="M26" s="3">
        <v>344336166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139</v>
      </c>
      <c r="E27" s="3">
        <v>472079745.62929052</v>
      </c>
      <c r="F27" s="3">
        <v>32</v>
      </c>
      <c r="G27" s="3">
        <v>113121563.4942895</v>
      </c>
      <c r="H27" s="3">
        <v>8</v>
      </c>
      <c r="I27" s="3">
        <v>29545455</v>
      </c>
      <c r="J27" s="3">
        <v>3489513.1163181919</v>
      </c>
      <c r="K27" s="3">
        <v>37157288.106737562</v>
      </c>
      <c r="L27" s="3">
        <v>163</v>
      </c>
      <c r="M27" s="3">
        <v>548044021.01684248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8</v>
      </c>
      <c r="E28" s="3">
        <v>81895932.292717874</v>
      </c>
      <c r="F28" s="3">
        <v>20</v>
      </c>
      <c r="G28" s="3">
        <v>193511882.66866699</v>
      </c>
      <c r="H28" s="3">
        <v>4</v>
      </c>
      <c r="I28" s="3">
        <v>45981819</v>
      </c>
      <c r="J28" s="3">
        <v>10176204.36812385</v>
      </c>
      <c r="K28" s="3">
        <v>54179500.826518767</v>
      </c>
      <c r="L28" s="3">
        <v>24</v>
      </c>
      <c r="M28" s="3">
        <v>221228314.13486609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293</v>
      </c>
      <c r="E29" s="3">
        <v>2956263433.4889598</v>
      </c>
      <c r="F29" s="3">
        <v>9</v>
      </c>
      <c r="G29" s="3">
        <v>103256954.8571514</v>
      </c>
      <c r="H29" s="3">
        <v>3</v>
      </c>
      <c r="I29" s="3">
        <v>36518182</v>
      </c>
      <c r="J29" s="3">
        <v>10163616.63474015</v>
      </c>
      <c r="K29" s="3">
        <v>40584361.512079693</v>
      </c>
      <c r="L29" s="3">
        <v>299</v>
      </c>
      <c r="M29" s="3">
        <v>3018936026.8340321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5</v>
      </c>
      <c r="E30" s="3">
        <v>3958371</v>
      </c>
      <c r="F30" s="3">
        <v>2</v>
      </c>
      <c r="G30" s="3">
        <v>0</v>
      </c>
      <c r="H30" s="3">
        <v>0</v>
      </c>
      <c r="I30" s="3">
        <v>0</v>
      </c>
      <c r="J30" s="3">
        <v>565481.57142857148</v>
      </c>
      <c r="K30" s="3">
        <v>0</v>
      </c>
      <c r="L30" s="3">
        <v>7</v>
      </c>
      <c r="M30" s="3">
        <v>3958371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57</v>
      </c>
      <c r="E31" s="3">
        <v>954219128</v>
      </c>
      <c r="F31" s="3">
        <v>1</v>
      </c>
      <c r="G31" s="3">
        <v>25386790.3685425</v>
      </c>
      <c r="H31" s="3">
        <v>0</v>
      </c>
      <c r="I31" s="3">
        <v>0</v>
      </c>
      <c r="J31" s="3">
        <v>16903307.844827581</v>
      </c>
      <c r="K31" s="3">
        <v>0</v>
      </c>
      <c r="L31" s="3">
        <v>58</v>
      </c>
      <c r="M31" s="3">
        <v>979605918.36854255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21</v>
      </c>
      <c r="E33" s="3">
        <v>29806821</v>
      </c>
      <c r="F33" s="3">
        <v>0</v>
      </c>
      <c r="G33" s="3">
        <v>0</v>
      </c>
      <c r="H33" s="3">
        <v>0</v>
      </c>
      <c r="I33" s="3">
        <v>0</v>
      </c>
      <c r="J33" s="3">
        <v>1419372.4285714291</v>
      </c>
      <c r="K33" s="3">
        <v>0</v>
      </c>
      <c r="L33" s="3">
        <v>21</v>
      </c>
      <c r="M33" s="3">
        <v>29806821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89</v>
      </c>
      <c r="E34" s="3">
        <v>484670241</v>
      </c>
      <c r="F34" s="3">
        <v>0</v>
      </c>
      <c r="G34" s="3">
        <v>0</v>
      </c>
      <c r="H34" s="3">
        <v>0</v>
      </c>
      <c r="I34" s="3">
        <v>0</v>
      </c>
      <c r="J34" s="3">
        <v>5445733.0449438207</v>
      </c>
      <c r="K34" s="3">
        <v>0</v>
      </c>
      <c r="L34" s="3">
        <v>89</v>
      </c>
      <c r="M34" s="3">
        <v>484670241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5</v>
      </c>
      <c r="E35" s="3">
        <v>16780091</v>
      </c>
      <c r="F35" s="3">
        <v>3</v>
      </c>
      <c r="G35" s="3">
        <v>5687557.812735335</v>
      </c>
      <c r="H35" s="3">
        <v>0</v>
      </c>
      <c r="I35" s="3">
        <v>0</v>
      </c>
      <c r="J35" s="3">
        <v>2830465.875</v>
      </c>
      <c r="K35" s="3">
        <v>0</v>
      </c>
      <c r="L35" s="3">
        <v>8</v>
      </c>
      <c r="M35" s="3">
        <v>22467648.81273533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56</v>
      </c>
      <c r="E36" s="3">
        <v>495174427.98184443</v>
      </c>
      <c r="F36" s="3">
        <v>14</v>
      </c>
      <c r="G36" s="3">
        <v>112772373.8766897</v>
      </c>
      <c r="H36" s="3">
        <v>4</v>
      </c>
      <c r="I36" s="3">
        <v>61472726</v>
      </c>
      <c r="J36" s="3">
        <v>8873580.3670702185</v>
      </c>
      <c r="K36" s="3">
        <v>47244152.872737437</v>
      </c>
      <c r="L36" s="3">
        <v>66</v>
      </c>
      <c r="M36" s="3">
        <v>560702648.98579669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13</v>
      </c>
      <c r="E37" s="3">
        <v>192483555</v>
      </c>
      <c r="F37" s="3">
        <v>1</v>
      </c>
      <c r="G37" s="3">
        <v>20625113.676728971</v>
      </c>
      <c r="H37" s="3">
        <v>0</v>
      </c>
      <c r="I37" s="3">
        <v>0</v>
      </c>
      <c r="J37" s="3">
        <v>15267656.5</v>
      </c>
      <c r="K37" s="3">
        <v>0</v>
      </c>
      <c r="L37" s="3">
        <v>14</v>
      </c>
      <c r="M37" s="3">
        <v>213108668.67672899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139</v>
      </c>
      <c r="E38" s="3">
        <v>648666340.53448701</v>
      </c>
      <c r="F38" s="3">
        <v>0</v>
      </c>
      <c r="G38" s="3">
        <v>0</v>
      </c>
      <c r="H38" s="3">
        <v>5</v>
      </c>
      <c r="I38" s="3">
        <v>26372727</v>
      </c>
      <c r="J38" s="3">
        <v>4745780.1917808214</v>
      </c>
      <c r="K38" s="3">
        <v>31583976.76108072</v>
      </c>
      <c r="L38" s="3">
        <v>134</v>
      </c>
      <c r="M38" s="3">
        <v>617082363.77340627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1032</v>
      </c>
      <c r="E39" s="3">
        <v>2636923337.8699341</v>
      </c>
      <c r="F39" s="3">
        <v>0</v>
      </c>
      <c r="G39" s="3">
        <v>0</v>
      </c>
      <c r="H39" s="3">
        <v>8</v>
      </c>
      <c r="I39" s="3">
        <v>28054546</v>
      </c>
      <c r="J39" s="3">
        <v>2560908.502406159</v>
      </c>
      <c r="K39" s="3">
        <v>27269252.720075641</v>
      </c>
      <c r="L39" s="3">
        <v>1024</v>
      </c>
      <c r="M39" s="3">
        <v>2609654085.149858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314</v>
      </c>
      <c r="E40" s="3">
        <v>30786604.64627612</v>
      </c>
      <c r="F40" s="3">
        <v>38</v>
      </c>
      <c r="G40" s="3">
        <v>95949655.78392902</v>
      </c>
      <c r="H40" s="3">
        <v>9</v>
      </c>
      <c r="I40" s="3">
        <v>35618183</v>
      </c>
      <c r="J40" s="3">
        <v>372320.25019171782</v>
      </c>
      <c r="K40" s="3">
        <v>4460138.6027489491</v>
      </c>
      <c r="L40" s="3">
        <v>343</v>
      </c>
      <c r="M40" s="3">
        <v>122276121.82745621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9</v>
      </c>
      <c r="E41" s="3">
        <v>45876404</v>
      </c>
      <c r="F41" s="3">
        <v>0</v>
      </c>
      <c r="G41" s="3">
        <v>0</v>
      </c>
      <c r="H41" s="3">
        <v>0</v>
      </c>
      <c r="I41" s="3">
        <v>0</v>
      </c>
      <c r="J41" s="3">
        <v>5097378.222222222</v>
      </c>
      <c r="K41" s="3">
        <v>0</v>
      </c>
      <c r="L41" s="3">
        <v>9</v>
      </c>
      <c r="M41" s="3">
        <v>45876404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6</v>
      </c>
      <c r="E42" s="3">
        <v>27772290.340919949</v>
      </c>
      <c r="F42" s="3">
        <v>1</v>
      </c>
      <c r="G42" s="3">
        <v>5378931.4190755067</v>
      </c>
      <c r="H42" s="3">
        <v>1</v>
      </c>
      <c r="I42" s="3">
        <v>7090909</v>
      </c>
      <c r="J42" s="3">
        <v>4783077</v>
      </c>
      <c r="K42" s="3">
        <v>6366438.6764517305</v>
      </c>
      <c r="L42" s="3">
        <v>6</v>
      </c>
      <c r="M42" s="3">
        <v>26784783.083543722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68512935</v>
      </c>
      <c r="F43" s="3">
        <v>0</v>
      </c>
      <c r="G43" s="3">
        <v>0</v>
      </c>
      <c r="H43" s="3">
        <v>1</v>
      </c>
      <c r="I43" s="3">
        <v>254546</v>
      </c>
      <c r="J43" s="3">
        <v>7612548.333333333</v>
      </c>
      <c r="K43" s="3">
        <v>10132561.5572761</v>
      </c>
      <c r="L43" s="3">
        <v>8</v>
      </c>
      <c r="M43" s="3">
        <v>58380373.4427239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5</v>
      </c>
      <c r="E44" s="3">
        <v>6061946</v>
      </c>
      <c r="F44" s="3">
        <v>0</v>
      </c>
      <c r="G44" s="3">
        <v>0</v>
      </c>
      <c r="H44" s="3">
        <v>0</v>
      </c>
      <c r="I44" s="3">
        <v>0</v>
      </c>
      <c r="J44" s="3">
        <v>1212389.2</v>
      </c>
      <c r="K44" s="3">
        <v>0</v>
      </c>
      <c r="L44" s="3">
        <v>5</v>
      </c>
      <c r="M44" s="3">
        <v>6061946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109</v>
      </c>
      <c r="E45" s="3">
        <v>399288504.34217942</v>
      </c>
      <c r="F45" s="3">
        <v>0</v>
      </c>
      <c r="G45" s="3">
        <v>0</v>
      </c>
      <c r="H45" s="3">
        <v>0</v>
      </c>
      <c r="I45" s="3">
        <v>0</v>
      </c>
      <c r="J45" s="3">
        <v>3674356.3454545452</v>
      </c>
      <c r="K45" s="3">
        <v>0</v>
      </c>
      <c r="L45" s="3">
        <v>109</v>
      </c>
      <c r="M45" s="3">
        <v>399288504.34217942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177</v>
      </c>
      <c r="E46" s="3">
        <v>81639632.329305604</v>
      </c>
      <c r="F46" s="3">
        <v>0</v>
      </c>
      <c r="G46" s="3">
        <v>0</v>
      </c>
      <c r="H46" s="3">
        <v>7</v>
      </c>
      <c r="I46" s="3">
        <v>2227273</v>
      </c>
      <c r="J46" s="3">
        <v>462105.11235955049</v>
      </c>
      <c r="K46" s="3">
        <v>4305543.6948607368</v>
      </c>
      <c r="L46" s="3">
        <v>170</v>
      </c>
      <c r="M46" s="3">
        <v>77334088.634444863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60634607</v>
      </c>
      <c r="F47" s="3">
        <v>0</v>
      </c>
      <c r="G47" s="3">
        <v>0</v>
      </c>
      <c r="H47" s="3">
        <v>0</v>
      </c>
      <c r="I47" s="3">
        <v>0</v>
      </c>
      <c r="J47" s="3">
        <v>6737178.555555556</v>
      </c>
      <c r="K47" s="3">
        <v>0</v>
      </c>
      <c r="L47" s="3">
        <v>9</v>
      </c>
      <c r="M47" s="3">
        <v>60634607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2690</v>
      </c>
      <c r="E49" s="3">
        <v>999019816</v>
      </c>
      <c r="F49" s="3">
        <v>0</v>
      </c>
      <c r="G49" s="3">
        <v>0</v>
      </c>
      <c r="H49" s="3">
        <v>10</v>
      </c>
      <c r="I49" s="3">
        <v>3681820</v>
      </c>
      <c r="J49" s="3">
        <v>371382.83122676582</v>
      </c>
      <c r="K49" s="3">
        <v>4943232.192356986</v>
      </c>
      <c r="L49" s="3">
        <v>2680</v>
      </c>
      <c r="M49" s="3">
        <v>994076583.80764306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329</v>
      </c>
      <c r="E50" s="3">
        <v>258107938.15256169</v>
      </c>
      <c r="F50" s="3">
        <v>0</v>
      </c>
      <c r="G50" s="3">
        <v>0</v>
      </c>
      <c r="H50" s="3">
        <v>2</v>
      </c>
      <c r="I50" s="3">
        <v>1363636</v>
      </c>
      <c r="J50" s="3">
        <v>786897.89759036142</v>
      </c>
      <c r="K50" s="3">
        <v>2094775.898292179</v>
      </c>
      <c r="L50" s="3">
        <v>327</v>
      </c>
      <c r="M50" s="3">
        <v>256013162.25426951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142</v>
      </c>
      <c r="E51" s="3">
        <v>67355567</v>
      </c>
      <c r="F51" s="3">
        <v>0</v>
      </c>
      <c r="G51" s="3">
        <v>0</v>
      </c>
      <c r="H51" s="3">
        <v>0</v>
      </c>
      <c r="I51" s="3">
        <v>0</v>
      </c>
      <c r="J51" s="3">
        <v>474334.97887323942</v>
      </c>
      <c r="K51" s="3">
        <v>0</v>
      </c>
      <c r="L51" s="3">
        <v>142</v>
      </c>
      <c r="M51" s="3">
        <v>67355567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21</v>
      </c>
      <c r="E53" s="3">
        <v>61042753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21</v>
      </c>
      <c r="M53" s="3">
        <v>61042753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7</v>
      </c>
      <c r="E54" s="3">
        <v>721102.92833309365</v>
      </c>
      <c r="F54" s="3">
        <v>0</v>
      </c>
      <c r="G54" s="3">
        <v>0</v>
      </c>
      <c r="H54" s="3">
        <v>0</v>
      </c>
      <c r="I54" s="3">
        <v>0</v>
      </c>
      <c r="J54" s="3">
        <v>109540.375</v>
      </c>
      <c r="K54" s="3">
        <v>0</v>
      </c>
      <c r="L54" s="3">
        <v>7</v>
      </c>
      <c r="M54" s="3">
        <v>721102.92833309365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14431</v>
      </c>
      <c r="E55" s="3">
        <v>735153026.65887761</v>
      </c>
      <c r="F55" s="3">
        <v>122</v>
      </c>
      <c r="G55" s="3">
        <v>29897370.62616694</v>
      </c>
      <c r="H55" s="3">
        <v>112</v>
      </c>
      <c r="I55" s="3">
        <v>5836367</v>
      </c>
      <c r="J55" s="3">
        <v>52708.505836717173</v>
      </c>
      <c r="K55" s="3">
        <v>7857563.7932084501</v>
      </c>
      <c r="L55" s="3">
        <v>14441</v>
      </c>
      <c r="M55" s="3">
        <v>757192833.49183607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5</v>
      </c>
      <c r="E56" s="3">
        <v>277930</v>
      </c>
      <c r="F56" s="3">
        <v>0</v>
      </c>
      <c r="G56" s="3">
        <v>0</v>
      </c>
      <c r="H56" s="3">
        <v>0</v>
      </c>
      <c r="I56" s="3">
        <v>0</v>
      </c>
      <c r="J56" s="3">
        <v>55586</v>
      </c>
      <c r="K56" s="3">
        <v>0</v>
      </c>
      <c r="L56" s="3">
        <v>5</v>
      </c>
      <c r="M56" s="3">
        <v>277930</v>
      </c>
    </row>
    <row r="57" spans="1:13" ht="15.75" customHeight="1" x14ac:dyDescent="0.25">
      <c r="C57" s="4" t="s">
        <v>144</v>
      </c>
      <c r="D57" s="5">
        <f t="shared" ref="D57:M57" si="0">SUM(D2:D56)</f>
        <v>32663.186999999998</v>
      </c>
      <c r="E57" s="5">
        <f t="shared" si="0"/>
        <v>20072232359.666252</v>
      </c>
      <c r="F57" s="5">
        <f t="shared" si="0"/>
        <v>1095</v>
      </c>
      <c r="G57" s="5">
        <f t="shared" si="0"/>
        <v>1431476339.678441</v>
      </c>
      <c r="H57" s="5">
        <f t="shared" si="0"/>
        <v>409</v>
      </c>
      <c r="I57" s="5">
        <f t="shared" si="0"/>
        <v>690075261</v>
      </c>
      <c r="J57" s="5">
        <f t="shared" si="0"/>
        <v>230711404.88678533</v>
      </c>
      <c r="K57" s="5">
        <f t="shared" si="0"/>
        <v>505062457.30608034</v>
      </c>
      <c r="L57" s="5">
        <f t="shared" si="0"/>
        <v>33349.186999999998</v>
      </c>
      <c r="M57" s="5">
        <f t="shared" si="0"/>
        <v>20998646242.038612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33</v>
      </c>
      <c r="E2" s="3">
        <v>15581171.2701909</v>
      </c>
      <c r="F2" s="3">
        <v>22</v>
      </c>
      <c r="G2" s="3">
        <v>8006679.3186592264</v>
      </c>
      <c r="H2" s="3">
        <v>0</v>
      </c>
      <c r="I2" s="3">
        <v>0</v>
      </c>
      <c r="J2" s="3">
        <v>451306.56666666659</v>
      </c>
      <c r="K2" s="3">
        <v>0</v>
      </c>
      <c r="L2" s="3">
        <v>55</v>
      </c>
      <c r="M2" s="3">
        <v>23587850.588850129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42</v>
      </c>
      <c r="E3" s="3">
        <v>52149312.502197653</v>
      </c>
      <c r="F3" s="3">
        <v>5</v>
      </c>
      <c r="G3" s="3">
        <v>4805765.7609201511</v>
      </c>
      <c r="H3" s="3">
        <v>14</v>
      </c>
      <c r="I3" s="3">
        <v>14038182</v>
      </c>
      <c r="J3" s="3">
        <v>1282413.0908515509</v>
      </c>
      <c r="K3" s="3">
        <v>23897098.083721939</v>
      </c>
      <c r="L3" s="3">
        <v>33</v>
      </c>
      <c r="M3" s="3">
        <v>33057980.179395869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1868</v>
      </c>
      <c r="E4" s="3">
        <v>691091032.74688733</v>
      </c>
      <c r="F4" s="3">
        <v>0</v>
      </c>
      <c r="G4" s="3">
        <v>0</v>
      </c>
      <c r="H4" s="3">
        <v>171</v>
      </c>
      <c r="I4" s="3">
        <v>57681836</v>
      </c>
      <c r="J4" s="3">
        <v>370159.87119187601</v>
      </c>
      <c r="K4" s="3">
        <v>84250916.427418143</v>
      </c>
      <c r="L4" s="3">
        <v>1697</v>
      </c>
      <c r="M4" s="3">
        <v>606840116.31946921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2617</v>
      </c>
      <c r="E5" s="3">
        <v>344689623.14033723</v>
      </c>
      <c r="F5" s="3">
        <v>53</v>
      </c>
      <c r="G5" s="3">
        <v>5706957.2359353267</v>
      </c>
      <c r="H5" s="3">
        <v>374</v>
      </c>
      <c r="I5" s="3">
        <v>49290894</v>
      </c>
      <c r="J5" s="3">
        <v>132230.81390933241</v>
      </c>
      <c r="K5" s="3">
        <v>65825393.066274777</v>
      </c>
      <c r="L5" s="3">
        <v>2296</v>
      </c>
      <c r="M5" s="3">
        <v>284571187.3099978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116</v>
      </c>
      <c r="E6" s="3">
        <v>3042421.5791823561</v>
      </c>
      <c r="F6" s="3">
        <v>10</v>
      </c>
      <c r="G6" s="3">
        <v>687796.84984410682</v>
      </c>
      <c r="H6" s="3">
        <v>77</v>
      </c>
      <c r="I6" s="3">
        <v>12754526</v>
      </c>
      <c r="J6" s="3">
        <v>30747.42936507937</v>
      </c>
      <c r="K6" s="3">
        <v>3151292.5696932729</v>
      </c>
      <c r="L6" s="3">
        <v>49</v>
      </c>
      <c r="M6" s="3">
        <v>578925.85933318967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126</v>
      </c>
      <c r="E7" s="3">
        <v>3653840.2788932552</v>
      </c>
      <c r="F7" s="3">
        <v>0</v>
      </c>
      <c r="G7" s="3">
        <v>0</v>
      </c>
      <c r="H7" s="3">
        <v>34</v>
      </c>
      <c r="I7" s="3">
        <v>927272</v>
      </c>
      <c r="J7" s="3">
        <v>29059.396825396831</v>
      </c>
      <c r="K7" s="3">
        <v>1315087.6532744949</v>
      </c>
      <c r="L7" s="3">
        <v>92</v>
      </c>
      <c r="M7" s="3">
        <v>2338752.62561876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2476</v>
      </c>
      <c r="E8" s="3">
        <v>1114307091.501019</v>
      </c>
      <c r="F8" s="3">
        <v>61</v>
      </c>
      <c r="G8" s="3">
        <v>12010884.19226356</v>
      </c>
      <c r="H8" s="3">
        <v>242</v>
      </c>
      <c r="I8" s="3">
        <v>33200009</v>
      </c>
      <c r="J8" s="3">
        <v>445949.34820033348</v>
      </c>
      <c r="K8" s="3">
        <v>143644858.96950701</v>
      </c>
      <c r="L8" s="3">
        <v>2295</v>
      </c>
      <c r="M8" s="3">
        <v>982673116.72377586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208</v>
      </c>
      <c r="E9" s="3">
        <v>73881525.815774813</v>
      </c>
      <c r="F9" s="3">
        <v>2</v>
      </c>
      <c r="G9" s="3">
        <v>4843743.0417476147</v>
      </c>
      <c r="H9" s="3">
        <v>50</v>
      </c>
      <c r="I9" s="3">
        <v>10000000</v>
      </c>
      <c r="J9" s="3">
        <v>377444.24426303862</v>
      </c>
      <c r="K9" s="3">
        <v>25119558.339540672</v>
      </c>
      <c r="L9" s="3">
        <v>160</v>
      </c>
      <c r="M9" s="3">
        <v>53605710.51798176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1540</v>
      </c>
      <c r="E10" s="3">
        <v>1505469221.435672</v>
      </c>
      <c r="F10" s="3">
        <v>3</v>
      </c>
      <c r="G10" s="3">
        <v>1677853.202653805</v>
      </c>
      <c r="H10" s="3">
        <v>29</v>
      </c>
      <c r="I10" s="3">
        <v>47227273</v>
      </c>
      <c r="J10" s="3">
        <v>980071.0677641232</v>
      </c>
      <c r="K10" s="3">
        <v>37830732.851062387</v>
      </c>
      <c r="L10" s="3">
        <v>1514</v>
      </c>
      <c r="M10" s="3">
        <v>1469316341.7872641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690</v>
      </c>
      <c r="E11" s="3">
        <v>1621269241.1897421</v>
      </c>
      <c r="F11" s="3">
        <v>19</v>
      </c>
      <c r="G11" s="3">
        <v>42934450.356719457</v>
      </c>
      <c r="H11" s="3">
        <v>74</v>
      </c>
      <c r="I11" s="3">
        <v>154345454</v>
      </c>
      <c r="J11" s="3">
        <v>2371003.1757679991</v>
      </c>
      <c r="K11" s="3">
        <v>233535572.95748031</v>
      </c>
      <c r="L11" s="3">
        <v>635</v>
      </c>
      <c r="M11" s="3">
        <v>1430668118.5889821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74</v>
      </c>
      <c r="E12" s="3">
        <v>218786446.4306531</v>
      </c>
      <c r="F12" s="3">
        <v>2</v>
      </c>
      <c r="G12" s="3">
        <v>5819826.9599975189</v>
      </c>
      <c r="H12" s="3">
        <v>3</v>
      </c>
      <c r="I12" s="3">
        <v>9854546</v>
      </c>
      <c r="J12" s="3">
        <v>2994356.9747229922</v>
      </c>
      <c r="K12" s="3">
        <v>11956773.885291491</v>
      </c>
      <c r="L12" s="3">
        <v>73</v>
      </c>
      <c r="M12" s="3">
        <v>212649499.50535911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9</v>
      </c>
      <c r="E13" s="3">
        <v>14136215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9</v>
      </c>
      <c r="M13" s="3">
        <v>14136215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370</v>
      </c>
      <c r="E14" s="3">
        <v>55083485.472113997</v>
      </c>
      <c r="F14" s="3">
        <v>150</v>
      </c>
      <c r="G14" s="3">
        <v>24349796.141329259</v>
      </c>
      <c r="H14" s="3">
        <v>253</v>
      </c>
      <c r="I14" s="3">
        <v>19309090</v>
      </c>
      <c r="J14" s="3">
        <v>158359.98502835311</v>
      </c>
      <c r="K14" s="3">
        <v>53327983.382280163</v>
      </c>
      <c r="L14" s="3">
        <v>267</v>
      </c>
      <c r="M14" s="3">
        <v>26105298.231163088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2097</v>
      </c>
      <c r="E15" s="3">
        <v>252696943.7000384</v>
      </c>
      <c r="F15" s="3">
        <v>0</v>
      </c>
      <c r="G15" s="3">
        <v>0</v>
      </c>
      <c r="H15" s="3">
        <v>133</v>
      </c>
      <c r="I15" s="3">
        <v>11554546</v>
      </c>
      <c r="J15" s="3">
        <v>120656.4019002375</v>
      </c>
      <c r="K15" s="3">
        <v>21359505.736861531</v>
      </c>
      <c r="L15" s="3">
        <v>1964</v>
      </c>
      <c r="M15" s="3">
        <v>231337437.96317691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597.18700000000001</v>
      </c>
      <c r="E16" s="3">
        <v>261841265.72736719</v>
      </c>
      <c r="F16" s="3">
        <v>771.61</v>
      </c>
      <c r="G16" s="3">
        <v>307381048.65747613</v>
      </c>
      <c r="H16" s="3">
        <v>1082</v>
      </c>
      <c r="I16" s="3">
        <v>589269385</v>
      </c>
      <c r="J16" s="3">
        <v>463481.64733005338</v>
      </c>
      <c r="K16" s="3">
        <v>667496496.33267415</v>
      </c>
      <c r="L16" s="3">
        <v>286.79700000000003</v>
      </c>
      <c r="M16" s="3">
        <v>-98274181.947830796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13</v>
      </c>
      <c r="E17" s="3">
        <v>114558421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13</v>
      </c>
      <c r="M17" s="3">
        <v>114558421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7</v>
      </c>
      <c r="E18" s="3">
        <v>19773405.488243859</v>
      </c>
      <c r="F18" s="3">
        <v>0</v>
      </c>
      <c r="G18" s="3">
        <v>0</v>
      </c>
      <c r="H18" s="3">
        <v>0</v>
      </c>
      <c r="I18" s="3">
        <v>0</v>
      </c>
      <c r="J18" s="3">
        <v>2853974.2857142859</v>
      </c>
      <c r="K18" s="3">
        <v>0</v>
      </c>
      <c r="L18" s="3">
        <v>7</v>
      </c>
      <c r="M18" s="3">
        <v>19773405.488243859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35</v>
      </c>
      <c r="E19" s="3">
        <v>424755721.28742367</v>
      </c>
      <c r="F19" s="3">
        <v>25</v>
      </c>
      <c r="G19" s="3">
        <v>363827363.13805819</v>
      </c>
      <c r="H19" s="3">
        <v>10</v>
      </c>
      <c r="I19" s="3">
        <v>162781818</v>
      </c>
      <c r="J19" s="3">
        <v>13929821.89776304</v>
      </c>
      <c r="K19" s="3">
        <v>185410682.04840279</v>
      </c>
      <c r="L19" s="3">
        <v>50</v>
      </c>
      <c r="M19" s="3">
        <v>603172402.37707901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134807683</v>
      </c>
      <c r="F20" s="3">
        <v>1</v>
      </c>
      <c r="G20" s="3">
        <v>18341272.931807742</v>
      </c>
      <c r="H20" s="3">
        <v>1</v>
      </c>
      <c r="I20" s="3">
        <v>21990000</v>
      </c>
      <c r="J20" s="3">
        <v>15371677.4</v>
      </c>
      <c r="K20" s="3">
        <v>20460227.07167352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57</v>
      </c>
      <c r="E21" s="3">
        <v>603176461</v>
      </c>
      <c r="F21" s="3">
        <v>0</v>
      </c>
      <c r="G21" s="3">
        <v>0</v>
      </c>
      <c r="H21" s="3">
        <v>0</v>
      </c>
      <c r="I21" s="3">
        <v>0</v>
      </c>
      <c r="J21" s="3">
        <v>10582043.1754386</v>
      </c>
      <c r="K21" s="3">
        <v>0</v>
      </c>
      <c r="L21" s="3">
        <v>57</v>
      </c>
      <c r="M21" s="3">
        <v>603176461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9</v>
      </c>
      <c r="E22" s="3">
        <v>25591847</v>
      </c>
      <c r="F22" s="3">
        <v>0</v>
      </c>
      <c r="G22" s="3">
        <v>0</v>
      </c>
      <c r="H22" s="3">
        <v>0</v>
      </c>
      <c r="I22" s="3">
        <v>0</v>
      </c>
      <c r="J22" s="3">
        <v>2843538.555555556</v>
      </c>
      <c r="K22" s="3">
        <v>0</v>
      </c>
      <c r="L22" s="3">
        <v>9</v>
      </c>
      <c r="M22" s="3">
        <v>25591847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5</v>
      </c>
      <c r="E23" s="3">
        <v>54567066</v>
      </c>
      <c r="F23" s="3">
        <v>0</v>
      </c>
      <c r="G23" s="3">
        <v>0</v>
      </c>
      <c r="H23" s="3">
        <v>0</v>
      </c>
      <c r="I23" s="3">
        <v>0</v>
      </c>
      <c r="J23" s="3">
        <v>10913413.199999999</v>
      </c>
      <c r="K23" s="3">
        <v>0</v>
      </c>
      <c r="L23" s="3">
        <v>5</v>
      </c>
      <c r="M23" s="3">
        <v>54567066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30</v>
      </c>
      <c r="E24" s="3">
        <v>196609746.73807949</v>
      </c>
      <c r="F24" s="3">
        <v>0</v>
      </c>
      <c r="G24" s="3">
        <v>0</v>
      </c>
      <c r="H24" s="3">
        <v>0</v>
      </c>
      <c r="I24" s="3">
        <v>0</v>
      </c>
      <c r="J24" s="3">
        <v>6554847.3666666662</v>
      </c>
      <c r="K24" s="3">
        <v>0</v>
      </c>
      <c r="L24" s="3">
        <v>30</v>
      </c>
      <c r="M24" s="3">
        <v>196609746.73807949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39</v>
      </c>
      <c r="E25" s="3">
        <v>492554092.57030219</v>
      </c>
      <c r="F25" s="3">
        <v>0</v>
      </c>
      <c r="G25" s="3">
        <v>0</v>
      </c>
      <c r="H25" s="3">
        <v>0</v>
      </c>
      <c r="I25" s="3">
        <v>0</v>
      </c>
      <c r="J25" s="3">
        <v>12847696</v>
      </c>
      <c r="K25" s="3">
        <v>0</v>
      </c>
      <c r="L25" s="3">
        <v>39</v>
      </c>
      <c r="M25" s="3">
        <v>492554092.57030219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37</v>
      </c>
      <c r="E26" s="3">
        <v>344336166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37</v>
      </c>
      <c r="M26" s="3">
        <v>344336166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163</v>
      </c>
      <c r="E27" s="3">
        <v>548044021.01684248</v>
      </c>
      <c r="F27" s="3">
        <v>10</v>
      </c>
      <c r="G27" s="3">
        <v>0</v>
      </c>
      <c r="H27" s="3">
        <v>9</v>
      </c>
      <c r="I27" s="3">
        <v>39704545</v>
      </c>
      <c r="J27" s="3">
        <v>3287807.1558373719</v>
      </c>
      <c r="K27" s="3">
        <v>39385651.483080931</v>
      </c>
      <c r="L27" s="3">
        <v>164</v>
      </c>
      <c r="M27" s="3">
        <v>508658369.53376162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24</v>
      </c>
      <c r="E28" s="3">
        <v>221228314.13486609</v>
      </c>
      <c r="F28" s="3">
        <v>10</v>
      </c>
      <c r="G28" s="3">
        <v>112869370.99268959</v>
      </c>
      <c r="H28" s="3">
        <v>7</v>
      </c>
      <c r="I28" s="3">
        <v>83136363</v>
      </c>
      <c r="J28" s="3">
        <v>10605662.96573448</v>
      </c>
      <c r="K28" s="3">
        <v>98815494.766495794</v>
      </c>
      <c r="L28" s="3">
        <v>27</v>
      </c>
      <c r="M28" s="3">
        <v>235282190.3610599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299</v>
      </c>
      <c r="E29" s="3">
        <v>3018936026.8340321</v>
      </c>
      <c r="F29" s="3">
        <v>20</v>
      </c>
      <c r="G29" s="3">
        <v>156209445.82904011</v>
      </c>
      <c r="H29" s="3">
        <v>39</v>
      </c>
      <c r="I29" s="3">
        <v>388672727</v>
      </c>
      <c r="J29" s="3">
        <v>10031243.974254871</v>
      </c>
      <c r="K29" s="3">
        <v>520725191.08811432</v>
      </c>
      <c r="L29" s="3">
        <v>280</v>
      </c>
      <c r="M29" s="3">
        <v>2654420281.5749578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7</v>
      </c>
      <c r="E30" s="3">
        <v>3958371</v>
      </c>
      <c r="F30" s="3">
        <v>1</v>
      </c>
      <c r="G30" s="3">
        <v>0</v>
      </c>
      <c r="H30" s="3">
        <v>0</v>
      </c>
      <c r="I30" s="3">
        <v>0</v>
      </c>
      <c r="J30" s="3">
        <v>494796.375</v>
      </c>
      <c r="K30" s="3">
        <v>0</v>
      </c>
      <c r="L30" s="3">
        <v>8</v>
      </c>
      <c r="M30" s="3">
        <v>3958371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58</v>
      </c>
      <c r="E31" s="3">
        <v>979605918.36854255</v>
      </c>
      <c r="F31" s="3">
        <v>1</v>
      </c>
      <c r="G31" s="3">
        <v>25386790.3685425</v>
      </c>
      <c r="H31" s="3">
        <v>0</v>
      </c>
      <c r="I31" s="3">
        <v>0</v>
      </c>
      <c r="J31" s="3">
        <v>17060416.644067802</v>
      </c>
      <c r="K31" s="3">
        <v>0</v>
      </c>
      <c r="L31" s="3">
        <v>59</v>
      </c>
      <c r="M31" s="3">
        <v>1004992708.737085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21</v>
      </c>
      <c r="E33" s="3">
        <v>29806821</v>
      </c>
      <c r="F33" s="3">
        <v>1</v>
      </c>
      <c r="G33" s="3">
        <v>20898469.97906889</v>
      </c>
      <c r="H33" s="3">
        <v>1</v>
      </c>
      <c r="I33" s="3">
        <v>609091</v>
      </c>
      <c r="J33" s="3">
        <v>2334194.3636363642</v>
      </c>
      <c r="K33" s="3">
        <v>3106892.3362534582</v>
      </c>
      <c r="L33" s="3">
        <v>21</v>
      </c>
      <c r="M33" s="3">
        <v>47598398.642815433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89</v>
      </c>
      <c r="E34" s="3">
        <v>484670241</v>
      </c>
      <c r="F34" s="3">
        <v>0</v>
      </c>
      <c r="G34" s="3">
        <v>0</v>
      </c>
      <c r="H34" s="3">
        <v>20</v>
      </c>
      <c r="I34" s="3">
        <v>109090909</v>
      </c>
      <c r="J34" s="3">
        <v>5445733.0449438207</v>
      </c>
      <c r="K34" s="3">
        <v>144969129.61661121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8</v>
      </c>
      <c r="E35" s="3">
        <v>22467648.81273533</v>
      </c>
      <c r="F35" s="3">
        <v>7</v>
      </c>
      <c r="G35" s="3">
        <v>14029309.78873178</v>
      </c>
      <c r="H35" s="3">
        <v>0</v>
      </c>
      <c r="I35" s="3">
        <v>0</v>
      </c>
      <c r="J35" s="3">
        <v>2473824.2000000002</v>
      </c>
      <c r="K35" s="3">
        <v>0</v>
      </c>
      <c r="L35" s="3">
        <v>15</v>
      </c>
      <c r="M35" s="3">
        <v>36496958.601467118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66</v>
      </c>
      <c r="E36" s="3">
        <v>560702648.98579669</v>
      </c>
      <c r="F36" s="3">
        <v>10</v>
      </c>
      <c r="G36" s="3">
        <v>58110090.491790786</v>
      </c>
      <c r="H36" s="3">
        <v>8</v>
      </c>
      <c r="I36" s="3">
        <v>95209090</v>
      </c>
      <c r="J36" s="3">
        <v>8494281.5161399264</v>
      </c>
      <c r="K36" s="3">
        <v>90449428.053150341</v>
      </c>
      <c r="L36" s="3">
        <v>68</v>
      </c>
      <c r="M36" s="3">
        <v>528363311.42443711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14</v>
      </c>
      <c r="E37" s="3">
        <v>213108668.67672899</v>
      </c>
      <c r="F37" s="3">
        <v>2</v>
      </c>
      <c r="G37" s="3">
        <v>10846040.976364261</v>
      </c>
      <c r="H37" s="3">
        <v>2</v>
      </c>
      <c r="I37" s="3">
        <v>25363636</v>
      </c>
      <c r="J37" s="3">
        <v>14058063.0625</v>
      </c>
      <c r="K37" s="3">
        <v>37423523.140897572</v>
      </c>
      <c r="L37" s="3">
        <v>14</v>
      </c>
      <c r="M37" s="3">
        <v>186531186.51219559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134</v>
      </c>
      <c r="E38" s="3">
        <v>617082363.77340627</v>
      </c>
      <c r="F38" s="3">
        <v>0</v>
      </c>
      <c r="G38" s="3">
        <v>0</v>
      </c>
      <c r="H38" s="3">
        <v>3</v>
      </c>
      <c r="I38" s="3">
        <v>13018182</v>
      </c>
      <c r="J38" s="3">
        <v>4745780.1917808214</v>
      </c>
      <c r="K38" s="3">
        <v>18950386.056648429</v>
      </c>
      <c r="L38" s="3">
        <v>131</v>
      </c>
      <c r="M38" s="3">
        <v>598131977.71675777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1024</v>
      </c>
      <c r="E39" s="3">
        <v>2609654085.149858</v>
      </c>
      <c r="F39" s="3">
        <v>20</v>
      </c>
      <c r="G39" s="3">
        <v>705440.6252444993</v>
      </c>
      <c r="H39" s="3">
        <v>34</v>
      </c>
      <c r="I39" s="3">
        <v>99485459</v>
      </c>
      <c r="J39" s="3">
        <v>2512545.5809041262</v>
      </c>
      <c r="K39" s="3">
        <v>113705652.30895109</v>
      </c>
      <c r="L39" s="3">
        <v>1010</v>
      </c>
      <c r="M39" s="3">
        <v>2496653873.4661522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343</v>
      </c>
      <c r="E40" s="3">
        <v>122276121.82745621</v>
      </c>
      <c r="F40" s="3">
        <v>226</v>
      </c>
      <c r="G40" s="3">
        <v>29544439.426406641</v>
      </c>
      <c r="H40" s="3">
        <v>176</v>
      </c>
      <c r="I40" s="3">
        <v>47668191</v>
      </c>
      <c r="J40" s="3">
        <v>277970.01124758233</v>
      </c>
      <c r="K40" s="3">
        <v>65117812.104646914</v>
      </c>
      <c r="L40" s="3">
        <v>393</v>
      </c>
      <c r="M40" s="3">
        <v>86702749.149215922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9</v>
      </c>
      <c r="E41" s="3">
        <v>45876404</v>
      </c>
      <c r="F41" s="3">
        <v>0</v>
      </c>
      <c r="G41" s="3">
        <v>0</v>
      </c>
      <c r="H41" s="3">
        <v>0</v>
      </c>
      <c r="I41" s="3">
        <v>0</v>
      </c>
      <c r="J41" s="3">
        <v>5097378.222222222</v>
      </c>
      <c r="K41" s="3">
        <v>0</v>
      </c>
      <c r="L41" s="3">
        <v>9</v>
      </c>
      <c r="M41" s="3">
        <v>45876404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6</v>
      </c>
      <c r="E42" s="3">
        <v>26784783.083543722</v>
      </c>
      <c r="F42" s="3">
        <v>3</v>
      </c>
      <c r="G42" s="3">
        <v>15863437.388311761</v>
      </c>
      <c r="H42" s="3">
        <v>2</v>
      </c>
      <c r="I42" s="3">
        <v>12709090</v>
      </c>
      <c r="J42" s="3">
        <v>5005889.7128760954</v>
      </c>
      <c r="K42" s="3">
        <v>13326019.99846803</v>
      </c>
      <c r="L42" s="3">
        <v>7</v>
      </c>
      <c r="M42" s="3">
        <v>29322200.47338745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8</v>
      </c>
      <c r="E43" s="3">
        <v>58380373.4427239</v>
      </c>
      <c r="F43" s="3">
        <v>1</v>
      </c>
      <c r="G43" s="3">
        <v>7407052.8472590819</v>
      </c>
      <c r="H43" s="3">
        <v>0</v>
      </c>
      <c r="I43" s="3">
        <v>0</v>
      </c>
      <c r="J43" s="3">
        <v>7615194.5185185177</v>
      </c>
      <c r="K43" s="3">
        <v>0</v>
      </c>
      <c r="L43" s="3">
        <v>9</v>
      </c>
      <c r="M43" s="3">
        <v>65787426.289982982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5</v>
      </c>
      <c r="E44" s="3">
        <v>6061946</v>
      </c>
      <c r="F44" s="3">
        <v>2</v>
      </c>
      <c r="G44" s="3">
        <v>2327930.7839990081</v>
      </c>
      <c r="H44" s="3">
        <v>0</v>
      </c>
      <c r="I44" s="3">
        <v>0</v>
      </c>
      <c r="J44" s="3">
        <v>1208849.4285714291</v>
      </c>
      <c r="K44" s="3">
        <v>0</v>
      </c>
      <c r="L44" s="3">
        <v>7</v>
      </c>
      <c r="M44" s="3">
        <v>8389876.7839990072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109</v>
      </c>
      <c r="E45" s="3">
        <v>399288504.34217942</v>
      </c>
      <c r="F45" s="3">
        <v>0</v>
      </c>
      <c r="G45" s="3">
        <v>0</v>
      </c>
      <c r="H45" s="3">
        <v>15</v>
      </c>
      <c r="I45" s="3">
        <v>10336361</v>
      </c>
      <c r="J45" s="3">
        <v>3674356.3454545452</v>
      </c>
      <c r="K45" s="3">
        <v>73360404.867309228</v>
      </c>
      <c r="L45" s="3">
        <v>94</v>
      </c>
      <c r="M45" s="3">
        <v>325928099.47487009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170</v>
      </c>
      <c r="E46" s="3">
        <v>77334088.634444863</v>
      </c>
      <c r="F46" s="3">
        <v>0</v>
      </c>
      <c r="G46" s="3">
        <v>0</v>
      </c>
      <c r="H46" s="3">
        <v>32</v>
      </c>
      <c r="I46" s="3">
        <v>10954549</v>
      </c>
      <c r="J46" s="3">
        <v>462105.11235955049</v>
      </c>
      <c r="K46" s="3">
        <v>19682485.462220509</v>
      </c>
      <c r="L46" s="3">
        <v>138</v>
      </c>
      <c r="M46" s="3">
        <v>57651603.172224358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60634607</v>
      </c>
      <c r="F47" s="3">
        <v>5</v>
      </c>
      <c r="G47" s="3">
        <v>35324586.239616059</v>
      </c>
      <c r="H47" s="3">
        <v>1</v>
      </c>
      <c r="I47" s="3">
        <v>6318182</v>
      </c>
      <c r="J47" s="3">
        <v>6932342.0714285718</v>
      </c>
      <c r="K47" s="3">
        <v>9227183.815342376</v>
      </c>
      <c r="L47" s="3">
        <v>13</v>
      </c>
      <c r="M47" s="3">
        <v>86732009.424273685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2680</v>
      </c>
      <c r="E49" s="3">
        <v>994076583.80764306</v>
      </c>
      <c r="F49" s="3">
        <v>0</v>
      </c>
      <c r="G49" s="3">
        <v>0</v>
      </c>
      <c r="H49" s="3">
        <v>70</v>
      </c>
      <c r="I49" s="3">
        <v>28236343</v>
      </c>
      <c r="J49" s="3">
        <v>371382.83122676582</v>
      </c>
      <c r="K49" s="3">
        <v>34602625.346498907</v>
      </c>
      <c r="L49" s="3">
        <v>2610</v>
      </c>
      <c r="M49" s="3">
        <v>959473958.46114421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327</v>
      </c>
      <c r="E50" s="3">
        <v>256013162.25426951</v>
      </c>
      <c r="F50" s="3">
        <v>0</v>
      </c>
      <c r="G50" s="3">
        <v>0</v>
      </c>
      <c r="H50" s="3">
        <v>20</v>
      </c>
      <c r="I50" s="3">
        <v>12945461</v>
      </c>
      <c r="J50" s="3">
        <v>786897.89759036154</v>
      </c>
      <c r="K50" s="3">
        <v>20947758.98292179</v>
      </c>
      <c r="L50" s="3">
        <v>307</v>
      </c>
      <c r="M50" s="3">
        <v>235065403.27134779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142</v>
      </c>
      <c r="E51" s="3">
        <v>67355567</v>
      </c>
      <c r="F51" s="3">
        <v>0</v>
      </c>
      <c r="G51" s="3">
        <v>0</v>
      </c>
      <c r="H51" s="3">
        <v>1</v>
      </c>
      <c r="I51" s="3">
        <v>900000</v>
      </c>
      <c r="J51" s="3">
        <v>474334.97887323942</v>
      </c>
      <c r="K51" s="3">
        <v>631356.04028379766</v>
      </c>
      <c r="L51" s="3">
        <v>141</v>
      </c>
      <c r="M51" s="3">
        <v>66724210.959716201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21</v>
      </c>
      <c r="E53" s="3">
        <v>61042753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21</v>
      </c>
      <c r="M53" s="3">
        <v>61042753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7</v>
      </c>
      <c r="E54" s="3">
        <v>721102.92833309365</v>
      </c>
      <c r="F54" s="3">
        <v>32</v>
      </c>
      <c r="G54" s="3">
        <v>617243.08760805684</v>
      </c>
      <c r="H54" s="3">
        <v>1</v>
      </c>
      <c r="I54" s="3">
        <v>772727</v>
      </c>
      <c r="J54" s="3">
        <v>35977.810897435898</v>
      </c>
      <c r="K54" s="3">
        <v>47887.693798678643</v>
      </c>
      <c r="L54" s="3">
        <v>38</v>
      </c>
      <c r="M54" s="3">
        <v>1290458.322142472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14441</v>
      </c>
      <c r="E55" s="3">
        <v>757192833.49183607</v>
      </c>
      <c r="F55" s="3">
        <v>224</v>
      </c>
      <c r="G55" s="3">
        <v>9976603.4472139869</v>
      </c>
      <c r="H55" s="3">
        <v>3452</v>
      </c>
      <c r="I55" s="3">
        <v>85155482</v>
      </c>
      <c r="J55" s="3">
        <v>52604.773050667078</v>
      </c>
      <c r="K55" s="3">
        <v>241704717.07704249</v>
      </c>
      <c r="L55" s="3">
        <v>11213</v>
      </c>
      <c r="M55" s="3">
        <v>525464719.86200762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5</v>
      </c>
      <c r="E56" s="3">
        <v>277930</v>
      </c>
      <c r="F56" s="3">
        <v>0</v>
      </c>
      <c r="G56" s="3">
        <v>0</v>
      </c>
      <c r="H56" s="3">
        <v>0</v>
      </c>
      <c r="I56" s="3">
        <v>0</v>
      </c>
      <c r="J56" s="3">
        <v>55586</v>
      </c>
      <c r="K56" s="3">
        <v>0</v>
      </c>
      <c r="L56" s="3">
        <v>5</v>
      </c>
      <c r="M56" s="3">
        <v>277930</v>
      </c>
    </row>
    <row r="57" spans="1:13" ht="15.75" customHeight="1" x14ac:dyDescent="0.25">
      <c r="C57" s="4" t="s">
        <v>144</v>
      </c>
      <c r="D57" s="5">
        <f t="shared" ref="D57:M57" si="0">SUM(D2:D56)</f>
        <v>33349.186999999998</v>
      </c>
      <c r="E57" s="5">
        <f t="shared" si="0"/>
        <v>20998646242.038612</v>
      </c>
      <c r="F57" s="5">
        <f t="shared" si="0"/>
        <v>1699.6100000000001</v>
      </c>
      <c r="G57" s="5">
        <f t="shared" si="0"/>
        <v>1300509690.0592995</v>
      </c>
      <c r="H57" s="5">
        <f t="shared" si="0"/>
        <v>6440</v>
      </c>
      <c r="I57" s="5">
        <f t="shared" si="0"/>
        <v>2264511219</v>
      </c>
      <c r="J57" s="5">
        <f t="shared" si="0"/>
        <v>231088918.63914159</v>
      </c>
      <c r="K57" s="5">
        <f t="shared" si="0"/>
        <v>3124761779.6138916</v>
      </c>
      <c r="L57" s="5">
        <f t="shared" si="0"/>
        <v>28608.796999999999</v>
      </c>
      <c r="M57" s="5">
        <f t="shared" si="0"/>
        <v>19174394152.484024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55</v>
      </c>
      <c r="E2" s="3">
        <v>23587850.588850129</v>
      </c>
      <c r="F2" s="3">
        <v>18</v>
      </c>
      <c r="G2" s="3">
        <v>9399904.1841227524</v>
      </c>
      <c r="H2" s="3">
        <v>4</v>
      </c>
      <c r="I2" s="3">
        <v>1163636</v>
      </c>
      <c r="J2" s="3">
        <v>472777.70091324189</v>
      </c>
      <c r="K2" s="3">
        <v>2517133.0007507661</v>
      </c>
      <c r="L2" s="3">
        <v>69</v>
      </c>
      <c r="M2" s="3">
        <v>30470621.772222109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33</v>
      </c>
      <c r="E3" s="3">
        <v>33057980.179395869</v>
      </c>
      <c r="F3" s="3">
        <v>5</v>
      </c>
      <c r="G3" s="3">
        <v>4982125.9172312757</v>
      </c>
      <c r="H3" s="3">
        <v>2</v>
      </c>
      <c r="I3" s="3">
        <v>2027273</v>
      </c>
      <c r="J3" s="3">
        <v>1248842.02626582</v>
      </c>
      <c r="K3" s="3">
        <v>3324502.6901289979</v>
      </c>
      <c r="L3" s="3">
        <v>36</v>
      </c>
      <c r="M3" s="3">
        <v>34715603.406498142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1697</v>
      </c>
      <c r="E4" s="3">
        <v>606840116.31946921</v>
      </c>
      <c r="F4" s="3">
        <v>0</v>
      </c>
      <c r="G4" s="3">
        <v>0</v>
      </c>
      <c r="H4" s="3">
        <v>11</v>
      </c>
      <c r="I4" s="3">
        <v>4545456</v>
      </c>
      <c r="J4" s="3">
        <v>370159.87119187601</v>
      </c>
      <c r="K4" s="3">
        <v>5419649.5947461966</v>
      </c>
      <c r="L4" s="3">
        <v>1686</v>
      </c>
      <c r="M4" s="3">
        <v>601420466.72472298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2296</v>
      </c>
      <c r="E5" s="3">
        <v>284571187.3099978</v>
      </c>
      <c r="F5" s="3">
        <v>52</v>
      </c>
      <c r="G5" s="3">
        <v>5572926.6210465841</v>
      </c>
      <c r="H5" s="3">
        <v>33</v>
      </c>
      <c r="I5" s="3">
        <v>5254547</v>
      </c>
      <c r="J5" s="3">
        <v>131749.32058595709</v>
      </c>
      <c r="K5" s="3">
        <v>5786973.7442579912</v>
      </c>
      <c r="L5" s="3">
        <v>2315</v>
      </c>
      <c r="M5" s="3">
        <v>284357140.18678641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49</v>
      </c>
      <c r="E6" s="3">
        <v>578925.85933318967</v>
      </c>
      <c r="F6" s="3">
        <v>12</v>
      </c>
      <c r="G6" s="3">
        <v>802431.92141749791</v>
      </c>
      <c r="H6" s="3">
        <v>0</v>
      </c>
      <c r="I6" s="3">
        <v>0</v>
      </c>
      <c r="J6" s="3">
        <v>38260.623588342438</v>
      </c>
      <c r="K6" s="3">
        <v>0</v>
      </c>
      <c r="L6" s="3">
        <v>61</v>
      </c>
      <c r="M6" s="3">
        <v>1381357.7807506879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92</v>
      </c>
      <c r="E7" s="3">
        <v>2338752.62561876</v>
      </c>
      <c r="F7" s="3">
        <v>0</v>
      </c>
      <c r="G7" s="3">
        <v>0</v>
      </c>
      <c r="H7" s="3">
        <v>0</v>
      </c>
      <c r="I7" s="3">
        <v>0</v>
      </c>
      <c r="J7" s="3">
        <v>29059.396825396831</v>
      </c>
      <c r="K7" s="3">
        <v>0</v>
      </c>
      <c r="L7" s="3">
        <v>92</v>
      </c>
      <c r="M7" s="3">
        <v>2338752.62561876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2295</v>
      </c>
      <c r="E8" s="3">
        <v>982673116.72377586</v>
      </c>
      <c r="F8" s="3">
        <v>0</v>
      </c>
      <c r="G8" s="3">
        <v>0</v>
      </c>
      <c r="H8" s="3">
        <v>365</v>
      </c>
      <c r="I8" s="3">
        <v>39875458</v>
      </c>
      <c r="J8" s="3">
        <v>445949.34820033348</v>
      </c>
      <c r="K8" s="3">
        <v>216654436.04904971</v>
      </c>
      <c r="L8" s="3">
        <v>1930</v>
      </c>
      <c r="M8" s="3">
        <v>766018680.67472613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160</v>
      </c>
      <c r="E9" s="3">
        <v>53605710.51798176</v>
      </c>
      <c r="F9" s="3">
        <v>3</v>
      </c>
      <c r="G9" s="3">
        <v>10621051.315946549</v>
      </c>
      <c r="H9" s="3">
        <v>1</v>
      </c>
      <c r="I9" s="3">
        <v>13950000</v>
      </c>
      <c r="J9" s="3">
        <v>437674.49130114209</v>
      </c>
      <c r="K9" s="3">
        <v>582559.68053952046</v>
      </c>
      <c r="L9" s="3">
        <v>162</v>
      </c>
      <c r="M9" s="3">
        <v>63644202.153388798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1514</v>
      </c>
      <c r="E10" s="3">
        <v>1469316341.7872641</v>
      </c>
      <c r="F10" s="3">
        <v>56</v>
      </c>
      <c r="G10" s="3">
        <v>22410659.867364049</v>
      </c>
      <c r="H10" s="3">
        <v>205</v>
      </c>
      <c r="I10" s="3">
        <v>27354546</v>
      </c>
      <c r="J10" s="3">
        <v>959829.33541075315</v>
      </c>
      <c r="K10" s="3">
        <v>261900946.55995631</v>
      </c>
      <c r="L10" s="3">
        <v>1365</v>
      </c>
      <c r="M10" s="3">
        <v>1229826055.094671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635</v>
      </c>
      <c r="E11" s="3">
        <v>1430668118.5889821</v>
      </c>
      <c r="F11" s="3">
        <v>18</v>
      </c>
      <c r="G11" s="3">
        <v>68294786.701815292</v>
      </c>
      <c r="H11" s="3">
        <v>4</v>
      </c>
      <c r="I11" s="3">
        <v>9054545</v>
      </c>
      <c r="J11" s="3">
        <v>2413470.301091393</v>
      </c>
      <c r="K11" s="3">
        <v>12849645.254998701</v>
      </c>
      <c r="L11" s="3">
        <v>649</v>
      </c>
      <c r="M11" s="3">
        <v>1486113260.0357981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73</v>
      </c>
      <c r="E12" s="3">
        <v>212649499.50535911</v>
      </c>
      <c r="F12" s="3">
        <v>2</v>
      </c>
      <c r="G12" s="3">
        <v>7715679.2409189111</v>
      </c>
      <c r="H12" s="3">
        <v>1</v>
      </c>
      <c r="I12" s="3">
        <v>5027273</v>
      </c>
      <c r="J12" s="3">
        <v>3020568.0553970449</v>
      </c>
      <c r="K12" s="3">
        <v>4020479.1377463392</v>
      </c>
      <c r="L12" s="3">
        <v>74</v>
      </c>
      <c r="M12" s="3">
        <v>216344699.60853171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9</v>
      </c>
      <c r="E13" s="3">
        <v>14136215</v>
      </c>
      <c r="F13" s="3">
        <v>0</v>
      </c>
      <c r="G13" s="3">
        <v>0</v>
      </c>
      <c r="H13" s="3">
        <v>1</v>
      </c>
      <c r="I13" s="3">
        <v>1750000</v>
      </c>
      <c r="J13" s="3">
        <v>1570690.555555556</v>
      </c>
      <c r="K13" s="3">
        <v>2090642.718406236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267</v>
      </c>
      <c r="E14" s="3">
        <v>26105298.231163088</v>
      </c>
      <c r="F14" s="3">
        <v>64</v>
      </c>
      <c r="G14" s="3">
        <v>18517633.08811887</v>
      </c>
      <c r="H14" s="3">
        <v>90</v>
      </c>
      <c r="I14" s="3">
        <v>6303645</v>
      </c>
      <c r="J14" s="3">
        <v>185417.00000776511</v>
      </c>
      <c r="K14" s="3">
        <v>22211671.777581211</v>
      </c>
      <c r="L14" s="3">
        <v>241</v>
      </c>
      <c r="M14" s="3">
        <v>22411259.541700739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1964</v>
      </c>
      <c r="E15" s="3">
        <v>231337437.96317691</v>
      </c>
      <c r="F15" s="3">
        <v>15</v>
      </c>
      <c r="G15" s="3">
        <v>3998926.2905516149</v>
      </c>
      <c r="H15" s="3">
        <v>211</v>
      </c>
      <c r="I15" s="3">
        <v>8427271</v>
      </c>
      <c r="J15" s="3">
        <v>121825.1138615798</v>
      </c>
      <c r="K15" s="3">
        <v>34214363.810882829</v>
      </c>
      <c r="L15" s="3">
        <v>1768</v>
      </c>
      <c r="M15" s="3">
        <v>201122000.44284561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286.79700000000003</v>
      </c>
      <c r="E16" s="3">
        <v>-98274181.947830796</v>
      </c>
      <c r="F16" s="3">
        <v>531</v>
      </c>
      <c r="G16" s="3">
        <v>305049766.62311929</v>
      </c>
      <c r="H16" s="3">
        <v>322</v>
      </c>
      <c r="I16" s="3">
        <v>217048633</v>
      </c>
      <c r="J16" s="3">
        <v>547102.51078118081</v>
      </c>
      <c r="K16" s="3">
        <v>234484298.7574763</v>
      </c>
      <c r="L16" s="3">
        <v>495.79700000000003</v>
      </c>
      <c r="M16" s="3">
        <v>-27708714.082187772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13</v>
      </c>
      <c r="E17" s="3">
        <v>114558421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13</v>
      </c>
      <c r="M17" s="3">
        <v>114558421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7</v>
      </c>
      <c r="E18" s="3">
        <v>19773405.488243859</v>
      </c>
      <c r="F18" s="3">
        <v>2</v>
      </c>
      <c r="G18" s="3">
        <v>6049093.2232596613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50</v>
      </c>
      <c r="E19" s="3">
        <v>603172402.37707901</v>
      </c>
      <c r="F19" s="3">
        <v>12</v>
      </c>
      <c r="G19" s="3">
        <v>170362206.75721851</v>
      </c>
      <c r="H19" s="3">
        <v>1</v>
      </c>
      <c r="I19" s="3">
        <v>16045455</v>
      </c>
      <c r="J19" s="3">
        <v>14066571.9014218</v>
      </c>
      <c r="K19" s="3">
        <v>18723087.12535904</v>
      </c>
      <c r="L19" s="3">
        <v>61</v>
      </c>
      <c r="M19" s="3">
        <v>754811522.00893843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57</v>
      </c>
      <c r="E21" s="3">
        <v>603176461</v>
      </c>
      <c r="F21" s="3">
        <v>1</v>
      </c>
      <c r="G21" s="3">
        <v>19046706.767254122</v>
      </c>
      <c r="H21" s="3">
        <v>1</v>
      </c>
      <c r="I21" s="3">
        <v>22718182</v>
      </c>
      <c r="J21" s="3">
        <v>10738152.155172409</v>
      </c>
      <c r="K21" s="3">
        <v>14292846.883776519</v>
      </c>
      <c r="L21" s="3">
        <v>57</v>
      </c>
      <c r="M21" s="3">
        <v>607930320.88347757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9</v>
      </c>
      <c r="E22" s="3">
        <v>25591847</v>
      </c>
      <c r="F22" s="3">
        <v>0</v>
      </c>
      <c r="G22" s="3">
        <v>0</v>
      </c>
      <c r="H22" s="3">
        <v>0</v>
      </c>
      <c r="I22" s="3">
        <v>0</v>
      </c>
      <c r="J22" s="3">
        <v>2843538.555555556</v>
      </c>
      <c r="K22" s="3">
        <v>0</v>
      </c>
      <c r="L22" s="3">
        <v>9</v>
      </c>
      <c r="M22" s="3">
        <v>25591847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5</v>
      </c>
      <c r="E23" s="3">
        <v>54567066</v>
      </c>
      <c r="F23" s="3">
        <v>0</v>
      </c>
      <c r="G23" s="3">
        <v>0</v>
      </c>
      <c r="H23" s="3">
        <v>0</v>
      </c>
      <c r="I23" s="3">
        <v>0</v>
      </c>
      <c r="J23" s="3">
        <v>10913413.199999999</v>
      </c>
      <c r="K23" s="3">
        <v>0</v>
      </c>
      <c r="L23" s="3">
        <v>5</v>
      </c>
      <c r="M23" s="3">
        <v>54567066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30</v>
      </c>
      <c r="E24" s="3">
        <v>196609746.73807949</v>
      </c>
      <c r="F24" s="3">
        <v>0</v>
      </c>
      <c r="G24" s="3">
        <v>0</v>
      </c>
      <c r="H24" s="3">
        <v>0</v>
      </c>
      <c r="I24" s="3">
        <v>0</v>
      </c>
      <c r="J24" s="3">
        <v>6554847.3666666662</v>
      </c>
      <c r="K24" s="3">
        <v>0</v>
      </c>
      <c r="L24" s="3">
        <v>30</v>
      </c>
      <c r="M24" s="3">
        <v>196609746.73807949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39</v>
      </c>
      <c r="E25" s="3">
        <v>492554092.57030219</v>
      </c>
      <c r="F25" s="3">
        <v>0</v>
      </c>
      <c r="G25" s="3">
        <v>0</v>
      </c>
      <c r="H25" s="3">
        <v>0</v>
      </c>
      <c r="I25" s="3">
        <v>0</v>
      </c>
      <c r="J25" s="3">
        <v>12847696</v>
      </c>
      <c r="K25" s="3">
        <v>0</v>
      </c>
      <c r="L25" s="3">
        <v>39</v>
      </c>
      <c r="M25" s="3">
        <v>492554092.57030219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37</v>
      </c>
      <c r="E26" s="3">
        <v>344336166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37</v>
      </c>
      <c r="M26" s="3">
        <v>344336166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164</v>
      </c>
      <c r="E27" s="3">
        <v>508658369.53376162</v>
      </c>
      <c r="F27" s="3">
        <v>5</v>
      </c>
      <c r="G27" s="3">
        <v>0</v>
      </c>
      <c r="H27" s="3">
        <v>40</v>
      </c>
      <c r="I27" s="3">
        <v>275649092</v>
      </c>
      <c r="J27" s="3">
        <v>3190534.7547770939</v>
      </c>
      <c r="K27" s="3">
        <v>169868424.54241341</v>
      </c>
      <c r="L27" s="3">
        <v>129</v>
      </c>
      <c r="M27" s="3">
        <v>338789944.99134809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27</v>
      </c>
      <c r="E28" s="3">
        <v>235282190.3610599</v>
      </c>
      <c r="F28" s="3">
        <v>5</v>
      </c>
      <c r="G28" s="3">
        <v>63052533.918895319</v>
      </c>
      <c r="H28" s="3">
        <v>5</v>
      </c>
      <c r="I28" s="3">
        <v>53727273</v>
      </c>
      <c r="J28" s="3">
        <v>10979920.158588471</v>
      </c>
      <c r="K28" s="3">
        <v>73073241.724929005</v>
      </c>
      <c r="L28" s="3">
        <v>27</v>
      </c>
      <c r="M28" s="3">
        <v>225261482.55502629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280</v>
      </c>
      <c r="E29" s="3">
        <v>2654420281.5749578</v>
      </c>
      <c r="F29" s="3">
        <v>7</v>
      </c>
      <c r="G29" s="3">
        <v>75745930.558123305</v>
      </c>
      <c r="H29" s="3">
        <v>2</v>
      </c>
      <c r="I29" s="3">
        <v>27181818</v>
      </c>
      <c r="J29" s="3">
        <v>10058673.25014413</v>
      </c>
      <c r="K29" s="3">
        <v>26776874.55732283</v>
      </c>
      <c r="L29" s="3">
        <v>285</v>
      </c>
      <c r="M29" s="3">
        <v>2703389337.575758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3958371</v>
      </c>
      <c r="F30" s="3">
        <v>0</v>
      </c>
      <c r="G30" s="3">
        <v>0</v>
      </c>
      <c r="H30" s="3">
        <v>0</v>
      </c>
      <c r="I30" s="3">
        <v>0</v>
      </c>
      <c r="J30" s="3">
        <v>494796.375</v>
      </c>
      <c r="K30" s="3">
        <v>0</v>
      </c>
      <c r="L30" s="3">
        <v>8</v>
      </c>
      <c r="M30" s="3">
        <v>3958371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59</v>
      </c>
      <c r="E31" s="3">
        <v>1004992708.737085</v>
      </c>
      <c r="F31" s="3">
        <v>0</v>
      </c>
      <c r="G31" s="3">
        <v>0</v>
      </c>
      <c r="H31" s="3">
        <v>0</v>
      </c>
      <c r="I31" s="3">
        <v>0</v>
      </c>
      <c r="J31" s="3">
        <v>17060416.644067802</v>
      </c>
      <c r="K31" s="3">
        <v>0</v>
      </c>
      <c r="L31" s="3">
        <v>59</v>
      </c>
      <c r="M31" s="3">
        <v>1004992708.737085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21</v>
      </c>
      <c r="E33" s="3">
        <v>47598398.642815433</v>
      </c>
      <c r="F33" s="3">
        <v>0</v>
      </c>
      <c r="G33" s="3">
        <v>0</v>
      </c>
      <c r="H33" s="3">
        <v>0</v>
      </c>
      <c r="I33" s="3">
        <v>0</v>
      </c>
      <c r="J33" s="3">
        <v>2334194.3636363628</v>
      </c>
      <c r="K33" s="3">
        <v>0</v>
      </c>
      <c r="L33" s="3">
        <v>21</v>
      </c>
      <c r="M33" s="3">
        <v>47598398.642815433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15</v>
      </c>
      <c r="E35" s="3">
        <v>36496958.601467118</v>
      </c>
      <c r="F35" s="3">
        <v>4</v>
      </c>
      <c r="G35" s="3">
        <v>8041942.620181012</v>
      </c>
      <c r="H35" s="3">
        <v>1</v>
      </c>
      <c r="I35" s="3">
        <v>1954545</v>
      </c>
      <c r="J35" s="3">
        <v>2389382.7368421052</v>
      </c>
      <c r="K35" s="3">
        <v>3180349.9439121862</v>
      </c>
      <c r="L35" s="3">
        <v>18</v>
      </c>
      <c r="M35" s="3">
        <v>41358551.277735941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68</v>
      </c>
      <c r="E36" s="3">
        <v>528363311.42443711</v>
      </c>
      <c r="F36" s="3">
        <v>15</v>
      </c>
      <c r="G36" s="3">
        <v>82932532.240022331</v>
      </c>
      <c r="H36" s="3">
        <v>15</v>
      </c>
      <c r="I36" s="3">
        <v>185218181</v>
      </c>
      <c r="J36" s="3">
        <v>7989290.8565965658</v>
      </c>
      <c r="K36" s="3">
        <v>159510280.64212191</v>
      </c>
      <c r="L36" s="3">
        <v>68</v>
      </c>
      <c r="M36" s="3">
        <v>451785563.02233762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14</v>
      </c>
      <c r="E37" s="3">
        <v>186531186.51219559</v>
      </c>
      <c r="F37" s="3">
        <v>0</v>
      </c>
      <c r="G37" s="3">
        <v>0</v>
      </c>
      <c r="H37" s="3">
        <v>1</v>
      </c>
      <c r="I37" s="3">
        <v>21263636</v>
      </c>
      <c r="J37" s="3">
        <v>14058063.0625</v>
      </c>
      <c r="K37" s="3">
        <v>18711761.57044879</v>
      </c>
      <c r="L37" s="3">
        <v>13</v>
      </c>
      <c r="M37" s="3">
        <v>167819424.94174689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131</v>
      </c>
      <c r="E38" s="3">
        <v>598131977.71675777</v>
      </c>
      <c r="F38" s="3">
        <v>3</v>
      </c>
      <c r="G38" s="3">
        <v>7812676.3569188695</v>
      </c>
      <c r="H38" s="3">
        <v>1</v>
      </c>
      <c r="I38" s="3">
        <v>5263636</v>
      </c>
      <c r="J38" s="3">
        <v>4699639.9262931924</v>
      </c>
      <c r="K38" s="3">
        <v>6255381.0846343758</v>
      </c>
      <c r="L38" s="3">
        <v>133</v>
      </c>
      <c r="M38" s="3">
        <v>599689272.98904216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1010</v>
      </c>
      <c r="E39" s="3">
        <v>2496653873.4661522</v>
      </c>
      <c r="F39" s="3">
        <v>0</v>
      </c>
      <c r="G39" s="3">
        <v>0</v>
      </c>
      <c r="H39" s="3">
        <v>56</v>
      </c>
      <c r="I39" s="3">
        <v>151067266</v>
      </c>
      <c r="J39" s="3">
        <v>2512545.5809041262</v>
      </c>
      <c r="K39" s="3">
        <v>187279897.9206253</v>
      </c>
      <c r="L39" s="3">
        <v>954</v>
      </c>
      <c r="M39" s="3">
        <v>2309373975.545527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393</v>
      </c>
      <c r="E40" s="3">
        <v>86702749.149215922</v>
      </c>
      <c r="F40" s="3">
        <v>220</v>
      </c>
      <c r="G40" s="3">
        <v>21574363.342837479</v>
      </c>
      <c r="H40" s="3">
        <v>181</v>
      </c>
      <c r="I40" s="3">
        <v>151716373</v>
      </c>
      <c r="J40" s="3">
        <v>214493.45419298511</v>
      </c>
      <c r="K40" s="3">
        <v>51675157.120449983</v>
      </c>
      <c r="L40" s="3">
        <v>432</v>
      </c>
      <c r="M40" s="3">
        <v>56601955.371603429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9</v>
      </c>
      <c r="E41" s="3">
        <v>45876404</v>
      </c>
      <c r="F41" s="3">
        <v>0</v>
      </c>
      <c r="G41" s="3">
        <v>0</v>
      </c>
      <c r="H41" s="3">
        <v>1</v>
      </c>
      <c r="I41" s="3">
        <v>2727272</v>
      </c>
      <c r="J41" s="3">
        <v>5097378.222222222</v>
      </c>
      <c r="K41" s="3">
        <v>6784784.3265869068</v>
      </c>
      <c r="L41" s="3">
        <v>8</v>
      </c>
      <c r="M41" s="3">
        <v>39091619.67341309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7</v>
      </c>
      <c r="E42" s="3">
        <v>29322200.47338745</v>
      </c>
      <c r="F42" s="3">
        <v>0</v>
      </c>
      <c r="G42" s="3">
        <v>0</v>
      </c>
      <c r="H42" s="3">
        <v>0</v>
      </c>
      <c r="I42" s="3">
        <v>0</v>
      </c>
      <c r="J42" s="3">
        <v>5005889.7128760954</v>
      </c>
      <c r="K42" s="3">
        <v>0</v>
      </c>
      <c r="L42" s="3">
        <v>7</v>
      </c>
      <c r="M42" s="3">
        <v>29322200.47338745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65787426.289982982</v>
      </c>
      <c r="F43" s="3">
        <v>0</v>
      </c>
      <c r="G43" s="3">
        <v>0</v>
      </c>
      <c r="H43" s="3">
        <v>0</v>
      </c>
      <c r="I43" s="3">
        <v>0</v>
      </c>
      <c r="J43" s="3">
        <v>7615194.5185185177</v>
      </c>
      <c r="K43" s="3">
        <v>0</v>
      </c>
      <c r="L43" s="3">
        <v>9</v>
      </c>
      <c r="M43" s="3">
        <v>65787426.289982982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7</v>
      </c>
      <c r="E44" s="3">
        <v>8389876.7839990072</v>
      </c>
      <c r="F44" s="3">
        <v>0</v>
      </c>
      <c r="G44" s="3">
        <v>0</v>
      </c>
      <c r="H44" s="3">
        <v>0</v>
      </c>
      <c r="I44" s="3">
        <v>0</v>
      </c>
      <c r="J44" s="3">
        <v>1208849.4285714291</v>
      </c>
      <c r="K44" s="3">
        <v>0</v>
      </c>
      <c r="L44" s="3">
        <v>7</v>
      </c>
      <c r="M44" s="3">
        <v>8389876.7839990072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94</v>
      </c>
      <c r="E45" s="3">
        <v>325928099.47487009</v>
      </c>
      <c r="F45" s="3">
        <v>0</v>
      </c>
      <c r="G45" s="3">
        <v>0</v>
      </c>
      <c r="H45" s="3">
        <v>2</v>
      </c>
      <c r="I45" s="3">
        <v>1418182</v>
      </c>
      <c r="J45" s="3">
        <v>3674356.3454545452</v>
      </c>
      <c r="K45" s="3">
        <v>9781387.31564123</v>
      </c>
      <c r="L45" s="3">
        <v>92</v>
      </c>
      <c r="M45" s="3">
        <v>316146712.15922892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138</v>
      </c>
      <c r="E46" s="3">
        <v>57651603.172224358</v>
      </c>
      <c r="F46" s="3">
        <v>50</v>
      </c>
      <c r="G46" s="3">
        <v>12433266.863625821</v>
      </c>
      <c r="H46" s="3">
        <v>2</v>
      </c>
      <c r="I46" s="3">
        <v>818182</v>
      </c>
      <c r="J46" s="3">
        <v>407386.63566818071</v>
      </c>
      <c r="K46" s="3">
        <v>1084491.0226565271</v>
      </c>
      <c r="L46" s="3">
        <v>186</v>
      </c>
      <c r="M46" s="3">
        <v>69000379.013193652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13</v>
      </c>
      <c r="E47" s="3">
        <v>86732009.424273685</v>
      </c>
      <c r="F47" s="3">
        <v>1</v>
      </c>
      <c r="G47" s="3">
        <v>5872734.0369196963</v>
      </c>
      <c r="H47" s="3">
        <v>4</v>
      </c>
      <c r="I47" s="3">
        <v>34000000</v>
      </c>
      <c r="J47" s="3">
        <v>6869642.2806122452</v>
      </c>
      <c r="K47" s="3">
        <v>36574913.018274948</v>
      </c>
      <c r="L47" s="3">
        <v>10</v>
      </c>
      <c r="M47" s="3">
        <v>56029830.442918427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2610</v>
      </c>
      <c r="E49" s="3">
        <v>959473958.46114421</v>
      </c>
      <c r="F49" s="3">
        <v>0</v>
      </c>
      <c r="G49" s="3">
        <v>0</v>
      </c>
      <c r="H49" s="3">
        <v>3</v>
      </c>
      <c r="I49" s="3">
        <v>1172727</v>
      </c>
      <c r="J49" s="3">
        <v>371382.83122676582</v>
      </c>
      <c r="K49" s="3">
        <v>1482969.6577070961</v>
      </c>
      <c r="L49" s="3">
        <v>2607</v>
      </c>
      <c r="M49" s="3">
        <v>957990988.80343711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307</v>
      </c>
      <c r="E50" s="3">
        <v>235065403.27134779</v>
      </c>
      <c r="F50" s="3">
        <v>51</v>
      </c>
      <c r="G50" s="3">
        <v>31259525.375433359</v>
      </c>
      <c r="H50" s="3">
        <v>21</v>
      </c>
      <c r="I50" s="3">
        <v>15900000</v>
      </c>
      <c r="J50" s="3">
        <v>764818.23340849439</v>
      </c>
      <c r="K50" s="3">
        <v>21377982.41888513</v>
      </c>
      <c r="L50" s="3">
        <v>337</v>
      </c>
      <c r="M50" s="3">
        <v>244946946.227896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141</v>
      </c>
      <c r="E51" s="3">
        <v>66724210.959716201</v>
      </c>
      <c r="F51" s="3">
        <v>1</v>
      </c>
      <c r="G51" s="3">
        <v>2424927.8999989661</v>
      </c>
      <c r="H51" s="3">
        <v>6</v>
      </c>
      <c r="I51" s="3">
        <v>4840000</v>
      </c>
      <c r="J51" s="3">
        <v>488600.22550089267</v>
      </c>
      <c r="K51" s="3">
        <v>3902061.421489038</v>
      </c>
      <c r="L51" s="3">
        <v>136</v>
      </c>
      <c r="M51" s="3">
        <v>65247077.438226134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21</v>
      </c>
      <c r="E53" s="3">
        <v>61042753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21</v>
      </c>
      <c r="M53" s="3">
        <v>61042753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38</v>
      </c>
      <c r="E54" s="3">
        <v>1290458.322142472</v>
      </c>
      <c r="F54" s="3">
        <v>30</v>
      </c>
      <c r="G54" s="3">
        <v>396795.80213263078</v>
      </c>
      <c r="H54" s="3">
        <v>21</v>
      </c>
      <c r="I54" s="3">
        <v>1072727</v>
      </c>
      <c r="J54" s="3">
        <v>26121.129619155348</v>
      </c>
      <c r="K54" s="3">
        <v>730130.40924910665</v>
      </c>
      <c r="L54" s="3">
        <v>47</v>
      </c>
      <c r="M54" s="3">
        <v>957123.71502599609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11213</v>
      </c>
      <c r="E55" s="3">
        <v>525464719.86200762</v>
      </c>
      <c r="F55" s="3">
        <v>27</v>
      </c>
      <c r="G55" s="3">
        <v>3465891.249198922</v>
      </c>
      <c r="H55" s="3">
        <v>66</v>
      </c>
      <c r="I55" s="3">
        <v>9936373</v>
      </c>
      <c r="J55" s="3">
        <v>52796.308738178821</v>
      </c>
      <c r="K55" s="3">
        <v>4638063.4238222502</v>
      </c>
      <c r="L55" s="3">
        <v>11174</v>
      </c>
      <c r="M55" s="3">
        <v>524292547.68738431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5</v>
      </c>
      <c r="E56" s="3">
        <v>277930</v>
      </c>
      <c r="F56" s="3">
        <v>0</v>
      </c>
      <c r="G56" s="3">
        <v>0</v>
      </c>
      <c r="H56" s="3">
        <v>0</v>
      </c>
      <c r="I56" s="3">
        <v>0</v>
      </c>
      <c r="J56" s="3">
        <v>55586</v>
      </c>
      <c r="K56" s="3">
        <v>0</v>
      </c>
      <c r="L56" s="3">
        <v>5</v>
      </c>
      <c r="M56" s="3">
        <v>277930</v>
      </c>
    </row>
    <row r="57" spans="1:13" ht="15.75" customHeight="1" x14ac:dyDescent="0.25">
      <c r="C57" s="4" t="s">
        <v>144</v>
      </c>
      <c r="D57" s="5">
        <f t="shared" ref="D57:M57" si="0">SUM(D2:D56)</f>
        <v>28608.796999999999</v>
      </c>
      <c r="E57" s="5">
        <f t="shared" si="0"/>
        <v>19174394152.484024</v>
      </c>
      <c r="F57" s="5">
        <f t="shared" si="0"/>
        <v>1210</v>
      </c>
      <c r="G57" s="5">
        <f t="shared" si="0"/>
        <v>967837018.78367257</v>
      </c>
      <c r="H57" s="5">
        <f t="shared" si="0"/>
        <v>1680</v>
      </c>
      <c r="I57" s="5">
        <f t="shared" si="0"/>
        <v>1325473203</v>
      </c>
      <c r="J57" s="5">
        <f t="shared" si="0"/>
        <v>231126402.82135254</v>
      </c>
      <c r="K57" s="5">
        <f t="shared" si="0"/>
        <v>1621761388.906827</v>
      </c>
      <c r="L57" s="5">
        <f t="shared" si="0"/>
        <v>28138.796999999999</v>
      </c>
      <c r="M57" s="5">
        <f t="shared" si="0"/>
        <v>18520469782.36087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69</v>
      </c>
      <c r="E2" s="3">
        <v>30470621.772222109</v>
      </c>
      <c r="F2" s="3">
        <v>0</v>
      </c>
      <c r="G2" s="3">
        <v>0</v>
      </c>
      <c r="H2" s="3">
        <v>18</v>
      </c>
      <c r="I2" s="3">
        <v>8413637</v>
      </c>
      <c r="J2" s="3">
        <v>472777.70091324189</v>
      </c>
      <c r="K2" s="3">
        <v>11327098.503378451</v>
      </c>
      <c r="L2" s="3">
        <v>51</v>
      </c>
      <c r="M2" s="3">
        <v>19143523.268843669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36</v>
      </c>
      <c r="E3" s="3">
        <v>34715603.406498142</v>
      </c>
      <c r="F3" s="3">
        <v>2</v>
      </c>
      <c r="G3" s="3">
        <v>3077453.688552008</v>
      </c>
      <c r="H3" s="3">
        <v>12</v>
      </c>
      <c r="I3" s="3">
        <v>15018183</v>
      </c>
      <c r="J3" s="3">
        <v>1266606.3143570931</v>
      </c>
      <c r="K3" s="3">
        <v>20230754.62317076</v>
      </c>
      <c r="L3" s="3">
        <v>26</v>
      </c>
      <c r="M3" s="3">
        <v>17562302.471879389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1686</v>
      </c>
      <c r="E4" s="3">
        <v>601420466.72472298</v>
      </c>
      <c r="F4" s="3">
        <v>0</v>
      </c>
      <c r="G4" s="3">
        <v>0</v>
      </c>
      <c r="H4" s="3">
        <v>12</v>
      </c>
      <c r="I4" s="3">
        <v>4418180</v>
      </c>
      <c r="J4" s="3">
        <v>370159.87119187601</v>
      </c>
      <c r="K4" s="3">
        <v>5912345.0124503961</v>
      </c>
      <c r="L4" s="3">
        <v>1674</v>
      </c>
      <c r="M4" s="3">
        <v>595508121.71227264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2315</v>
      </c>
      <c r="E5" s="3">
        <v>284357140.18678641</v>
      </c>
      <c r="F5" s="3">
        <v>10</v>
      </c>
      <c r="G5" s="3">
        <v>678979.81199971051</v>
      </c>
      <c r="H5" s="3">
        <v>21</v>
      </c>
      <c r="I5" s="3">
        <v>3236369</v>
      </c>
      <c r="J5" s="3">
        <v>131483.73211031849</v>
      </c>
      <c r="K5" s="3">
        <v>3675196.0016655289</v>
      </c>
      <c r="L5" s="3">
        <v>2304</v>
      </c>
      <c r="M5" s="3">
        <v>281360923.99712062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61</v>
      </c>
      <c r="E6" s="3">
        <v>1381357.7807506879</v>
      </c>
      <c r="F6" s="3">
        <v>13</v>
      </c>
      <c r="G6" s="3">
        <v>899416.42779237661</v>
      </c>
      <c r="H6" s="3">
        <v>0</v>
      </c>
      <c r="I6" s="3">
        <v>0</v>
      </c>
      <c r="J6" s="3">
        <v>44069.716741741737</v>
      </c>
      <c r="K6" s="3">
        <v>0</v>
      </c>
      <c r="L6" s="3">
        <v>74</v>
      </c>
      <c r="M6" s="3">
        <v>2280774.2085430641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92</v>
      </c>
      <c r="E7" s="3">
        <v>2338752.62561876</v>
      </c>
      <c r="F7" s="3">
        <v>0</v>
      </c>
      <c r="G7" s="3">
        <v>0</v>
      </c>
      <c r="H7" s="3">
        <v>0</v>
      </c>
      <c r="I7" s="3">
        <v>0</v>
      </c>
      <c r="J7" s="3">
        <v>29059.396825396831</v>
      </c>
      <c r="K7" s="3">
        <v>0</v>
      </c>
      <c r="L7" s="3">
        <v>92</v>
      </c>
      <c r="M7" s="3">
        <v>2338752.62561876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1930</v>
      </c>
      <c r="E8" s="3">
        <v>766018680.67472613</v>
      </c>
      <c r="F8" s="3">
        <v>33</v>
      </c>
      <c r="G8" s="3">
        <v>7790630.8523943992</v>
      </c>
      <c r="H8" s="3">
        <v>26</v>
      </c>
      <c r="I8" s="3">
        <v>5552729</v>
      </c>
      <c r="J8" s="3">
        <v>442544.09527592652</v>
      </c>
      <c r="K8" s="3">
        <v>15315073.52886018</v>
      </c>
      <c r="L8" s="3">
        <v>1937</v>
      </c>
      <c r="M8" s="3">
        <v>758494237.99826026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162</v>
      </c>
      <c r="E9" s="3">
        <v>63644202.153388798</v>
      </c>
      <c r="F9" s="3">
        <v>4</v>
      </c>
      <c r="G9" s="3">
        <v>10605953.714841161</v>
      </c>
      <c r="H9" s="3">
        <v>4</v>
      </c>
      <c r="I9" s="3">
        <v>18040908</v>
      </c>
      <c r="J9" s="3">
        <v>492997.38307701808</v>
      </c>
      <c r="K9" s="3">
        <v>2624785.3480184558</v>
      </c>
      <c r="L9" s="3">
        <v>162</v>
      </c>
      <c r="M9" s="3">
        <v>71625370.520211503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1365</v>
      </c>
      <c r="E10" s="3">
        <v>1229826055.094671</v>
      </c>
      <c r="F10" s="3">
        <v>6</v>
      </c>
      <c r="G10" s="3">
        <v>22507568.71598845</v>
      </c>
      <c r="H10" s="3">
        <v>59</v>
      </c>
      <c r="I10" s="3">
        <v>105736363</v>
      </c>
      <c r="J10" s="3">
        <v>972553.910894003</v>
      </c>
      <c r="K10" s="3">
        <v>76375643.787827015</v>
      </c>
      <c r="L10" s="3">
        <v>1312</v>
      </c>
      <c r="M10" s="3">
        <v>1175957980.0228331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649</v>
      </c>
      <c r="E11" s="3">
        <v>1486113260.0357981</v>
      </c>
      <c r="F11" s="3">
        <v>44</v>
      </c>
      <c r="G11" s="3">
        <v>127529163.0053923</v>
      </c>
      <c r="H11" s="3">
        <v>59</v>
      </c>
      <c r="I11" s="3">
        <v>169718185</v>
      </c>
      <c r="J11" s="3">
        <v>2449955.9861591831</v>
      </c>
      <c r="K11" s="3">
        <v>192397525.31841069</v>
      </c>
      <c r="L11" s="3">
        <v>634</v>
      </c>
      <c r="M11" s="3">
        <v>1421244897.72278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74</v>
      </c>
      <c r="E12" s="3">
        <v>216344699.60853171</v>
      </c>
      <c r="F12" s="3">
        <v>0</v>
      </c>
      <c r="G12" s="3">
        <v>0</v>
      </c>
      <c r="H12" s="3">
        <v>11</v>
      </c>
      <c r="I12" s="3">
        <v>20081821</v>
      </c>
      <c r="J12" s="3">
        <v>3020568.0553970449</v>
      </c>
      <c r="K12" s="3">
        <v>44225270.51520972</v>
      </c>
      <c r="L12" s="3">
        <v>63</v>
      </c>
      <c r="M12" s="3">
        <v>172119429.09332201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241</v>
      </c>
      <c r="E14" s="3">
        <v>22411259.541700739</v>
      </c>
      <c r="F14" s="3">
        <v>85</v>
      </c>
      <c r="G14" s="3">
        <v>17975329.972332381</v>
      </c>
      <c r="H14" s="3">
        <v>36</v>
      </c>
      <c r="I14" s="3">
        <v>7268179</v>
      </c>
      <c r="J14" s="3">
        <v>193918.14724500431</v>
      </c>
      <c r="K14" s="3">
        <v>9292020.1235966831</v>
      </c>
      <c r="L14" s="3">
        <v>290</v>
      </c>
      <c r="M14" s="3">
        <v>31094569.390436441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1768</v>
      </c>
      <c r="E15" s="3">
        <v>201122000.44284561</v>
      </c>
      <c r="F15" s="3">
        <v>0</v>
      </c>
      <c r="G15" s="3">
        <v>0</v>
      </c>
      <c r="H15" s="3">
        <v>48</v>
      </c>
      <c r="I15" s="3">
        <v>8263642</v>
      </c>
      <c r="J15" s="3">
        <v>121825.1138615798</v>
      </c>
      <c r="K15" s="3">
        <v>7783362.3835183699</v>
      </c>
      <c r="L15" s="3">
        <v>1720</v>
      </c>
      <c r="M15" s="3">
        <v>193338638.0593273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495.79700000000003</v>
      </c>
      <c r="E16" s="3">
        <v>-27708714.082187772</v>
      </c>
      <c r="F16" s="3">
        <v>458.98</v>
      </c>
      <c r="G16" s="3">
        <v>348382247.5552581</v>
      </c>
      <c r="H16" s="3">
        <v>445</v>
      </c>
      <c r="I16" s="3">
        <v>412962781</v>
      </c>
      <c r="J16" s="3">
        <v>660279.22597399936</v>
      </c>
      <c r="K16" s="3">
        <v>391090108.87067562</v>
      </c>
      <c r="L16" s="3">
        <v>509.77699999999999</v>
      </c>
      <c r="M16" s="3">
        <v>-70416575.3976053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13</v>
      </c>
      <c r="E17" s="3">
        <v>114558421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13</v>
      </c>
      <c r="M17" s="3">
        <v>114558421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61</v>
      </c>
      <c r="E19" s="3">
        <v>754811522.00893843</v>
      </c>
      <c r="F19" s="3">
        <v>8</v>
      </c>
      <c r="G19" s="3">
        <v>105550498.2235861</v>
      </c>
      <c r="H19" s="3">
        <v>8</v>
      </c>
      <c r="I19" s="3">
        <v>122336364</v>
      </c>
      <c r="J19" s="3">
        <v>14012740.115749709</v>
      </c>
      <c r="K19" s="3">
        <v>149211481.4559342</v>
      </c>
      <c r="L19" s="3">
        <v>61</v>
      </c>
      <c r="M19" s="3">
        <v>711150538.77659035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57</v>
      </c>
      <c r="E21" s="3">
        <v>607930320.88347757</v>
      </c>
      <c r="F21" s="3">
        <v>0</v>
      </c>
      <c r="G21" s="3">
        <v>0</v>
      </c>
      <c r="H21" s="3">
        <v>0</v>
      </c>
      <c r="I21" s="3">
        <v>0</v>
      </c>
      <c r="J21" s="3">
        <v>10738152.155172409</v>
      </c>
      <c r="K21" s="3">
        <v>0</v>
      </c>
      <c r="L21" s="3">
        <v>57</v>
      </c>
      <c r="M21" s="3">
        <v>607930320.88347757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9</v>
      </c>
      <c r="E22" s="3">
        <v>25591847</v>
      </c>
      <c r="F22" s="3">
        <v>0</v>
      </c>
      <c r="G22" s="3">
        <v>0</v>
      </c>
      <c r="H22" s="3">
        <v>1</v>
      </c>
      <c r="I22" s="3">
        <v>9037273</v>
      </c>
      <c r="J22" s="3">
        <v>2843538.555555556</v>
      </c>
      <c r="K22" s="3">
        <v>3784846.8335489011</v>
      </c>
      <c r="L22" s="3">
        <v>8</v>
      </c>
      <c r="M22" s="3">
        <v>21807000.1664511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5</v>
      </c>
      <c r="E23" s="3">
        <v>54567066</v>
      </c>
      <c r="F23" s="3">
        <v>0</v>
      </c>
      <c r="G23" s="3">
        <v>0</v>
      </c>
      <c r="H23" s="3">
        <v>0</v>
      </c>
      <c r="I23" s="3">
        <v>0</v>
      </c>
      <c r="J23" s="3">
        <v>10913413.199999999</v>
      </c>
      <c r="K23" s="3">
        <v>0</v>
      </c>
      <c r="L23" s="3">
        <v>5</v>
      </c>
      <c r="M23" s="3">
        <v>54567066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30</v>
      </c>
      <c r="E24" s="3">
        <v>196609746.73807949</v>
      </c>
      <c r="F24" s="3">
        <v>0</v>
      </c>
      <c r="G24" s="3">
        <v>0</v>
      </c>
      <c r="H24" s="3">
        <v>3</v>
      </c>
      <c r="I24" s="3">
        <v>27964545</v>
      </c>
      <c r="J24" s="3">
        <v>6554847.3666666662</v>
      </c>
      <c r="K24" s="3">
        <v>26174176.451717861</v>
      </c>
      <c r="L24" s="3">
        <v>27</v>
      </c>
      <c r="M24" s="3">
        <v>170435570.28636169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39</v>
      </c>
      <c r="E25" s="3">
        <v>492554092.57030219</v>
      </c>
      <c r="F25" s="3">
        <v>0</v>
      </c>
      <c r="G25" s="3">
        <v>0</v>
      </c>
      <c r="H25" s="3">
        <v>0</v>
      </c>
      <c r="I25" s="3">
        <v>0</v>
      </c>
      <c r="J25" s="3">
        <v>12847696</v>
      </c>
      <c r="K25" s="3">
        <v>0</v>
      </c>
      <c r="L25" s="3">
        <v>39</v>
      </c>
      <c r="M25" s="3">
        <v>492554092.57030219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37</v>
      </c>
      <c r="E26" s="3">
        <v>344336166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37</v>
      </c>
      <c r="M26" s="3">
        <v>344336166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129</v>
      </c>
      <c r="E27" s="3">
        <v>338789944.99134809</v>
      </c>
      <c r="F27" s="3">
        <v>45</v>
      </c>
      <c r="G27" s="3">
        <v>231938625.9552013</v>
      </c>
      <c r="H27" s="3">
        <v>16</v>
      </c>
      <c r="I27" s="3">
        <v>130818182</v>
      </c>
      <c r="J27" s="3">
        <v>3739644.1285416391</v>
      </c>
      <c r="K27" s="3">
        <v>79641502.793663964</v>
      </c>
      <c r="L27" s="3">
        <v>158</v>
      </c>
      <c r="M27" s="3">
        <v>491087068.15288538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27</v>
      </c>
      <c r="E28" s="3">
        <v>225261482.55502629</v>
      </c>
      <c r="F28" s="3">
        <v>15</v>
      </c>
      <c r="G28" s="3">
        <v>189157601.756686</v>
      </c>
      <c r="H28" s="3">
        <v>5</v>
      </c>
      <c r="I28" s="3">
        <v>55572726</v>
      </c>
      <c r="J28" s="3">
        <v>11701701.88766402</v>
      </c>
      <c r="K28" s="3">
        <v>77876822.260996878</v>
      </c>
      <c r="L28" s="3">
        <v>37</v>
      </c>
      <c r="M28" s="3">
        <v>336542262.05071539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285</v>
      </c>
      <c r="E29" s="3">
        <v>2703389337.575758</v>
      </c>
      <c r="F29" s="3">
        <v>0</v>
      </c>
      <c r="G29" s="3">
        <v>0</v>
      </c>
      <c r="H29" s="3">
        <v>50</v>
      </c>
      <c r="I29" s="3">
        <v>395218186</v>
      </c>
      <c r="J29" s="3">
        <v>10058673.25014413</v>
      </c>
      <c r="K29" s="3">
        <v>669421863.93307078</v>
      </c>
      <c r="L29" s="3">
        <v>235</v>
      </c>
      <c r="M29" s="3">
        <v>2033967473.6426871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3958371</v>
      </c>
      <c r="F30" s="3">
        <v>0</v>
      </c>
      <c r="G30" s="3">
        <v>0</v>
      </c>
      <c r="H30" s="3">
        <v>0</v>
      </c>
      <c r="I30" s="3">
        <v>0</v>
      </c>
      <c r="J30" s="3">
        <v>494796.375</v>
      </c>
      <c r="K30" s="3">
        <v>0</v>
      </c>
      <c r="L30" s="3">
        <v>8</v>
      </c>
      <c r="M30" s="3">
        <v>3958371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59</v>
      </c>
      <c r="E31" s="3">
        <v>1004992708.737085</v>
      </c>
      <c r="F31" s="3">
        <v>1</v>
      </c>
      <c r="G31" s="3">
        <v>25386790.3685425</v>
      </c>
      <c r="H31" s="3">
        <v>1</v>
      </c>
      <c r="I31" s="3">
        <v>26718182</v>
      </c>
      <c r="J31" s="3">
        <v>17212288.483333331</v>
      </c>
      <c r="K31" s="3">
        <v>22910143.221724849</v>
      </c>
      <c r="L31" s="3">
        <v>59</v>
      </c>
      <c r="M31" s="3">
        <v>1007469355.883903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21</v>
      </c>
      <c r="E33" s="3">
        <v>47598398.642815433</v>
      </c>
      <c r="F33" s="3">
        <v>0</v>
      </c>
      <c r="G33" s="3">
        <v>0</v>
      </c>
      <c r="H33" s="3">
        <v>1</v>
      </c>
      <c r="I33" s="3">
        <v>727273</v>
      </c>
      <c r="J33" s="3">
        <v>2334194.3636363628</v>
      </c>
      <c r="K33" s="3">
        <v>3106892.3362534582</v>
      </c>
      <c r="L33" s="3">
        <v>20</v>
      </c>
      <c r="M33" s="3">
        <v>44491506.306561977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18</v>
      </c>
      <c r="E35" s="3">
        <v>41358551.277735941</v>
      </c>
      <c r="F35" s="3">
        <v>11</v>
      </c>
      <c r="G35" s="3">
        <v>29848657.704540599</v>
      </c>
      <c r="H35" s="3">
        <v>5</v>
      </c>
      <c r="I35" s="3">
        <v>30909089</v>
      </c>
      <c r="J35" s="3">
        <v>2544193.6642468241</v>
      </c>
      <c r="K35" s="3">
        <v>16932042.850705128</v>
      </c>
      <c r="L35" s="3">
        <v>24</v>
      </c>
      <c r="M35" s="3">
        <v>54275166.131571397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68</v>
      </c>
      <c r="E36" s="3">
        <v>451785563.02233762</v>
      </c>
      <c r="F36" s="3">
        <v>4</v>
      </c>
      <c r="G36" s="3">
        <v>59829583.586372212</v>
      </c>
      <c r="H36" s="3">
        <v>8</v>
      </c>
      <c r="I36" s="3">
        <v>81463637</v>
      </c>
      <c r="J36" s="3">
        <v>8402133.2673412021</v>
      </c>
      <c r="K36" s="3">
        <v>89468208.348563537</v>
      </c>
      <c r="L36" s="3">
        <v>64</v>
      </c>
      <c r="M36" s="3">
        <v>422146938.2601462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13</v>
      </c>
      <c r="E37" s="3">
        <v>167819424.94174689</v>
      </c>
      <c r="F37" s="3">
        <v>4</v>
      </c>
      <c r="G37" s="3">
        <v>38216863.703983709</v>
      </c>
      <c r="H37" s="3">
        <v>1</v>
      </c>
      <c r="I37" s="3">
        <v>18090909</v>
      </c>
      <c r="J37" s="3">
        <v>13067930.57720588</v>
      </c>
      <c r="K37" s="3">
        <v>17393861.451093029</v>
      </c>
      <c r="L37" s="3">
        <v>16</v>
      </c>
      <c r="M37" s="3">
        <v>188642427.19463751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133</v>
      </c>
      <c r="E38" s="3">
        <v>599689272.98904216</v>
      </c>
      <c r="F38" s="3">
        <v>2</v>
      </c>
      <c r="G38" s="3">
        <v>5603788.1934442911</v>
      </c>
      <c r="H38" s="3">
        <v>1</v>
      </c>
      <c r="I38" s="3">
        <v>5245455</v>
      </c>
      <c r="J38" s="3">
        <v>4672810.2459036633</v>
      </c>
      <c r="K38" s="3">
        <v>6219669.8646584628</v>
      </c>
      <c r="L38" s="3">
        <v>134</v>
      </c>
      <c r="M38" s="3">
        <v>599073391.31782794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954</v>
      </c>
      <c r="E39" s="3">
        <v>2309373975.545527</v>
      </c>
      <c r="F39" s="3">
        <v>1</v>
      </c>
      <c r="G39" s="3">
        <v>2469017.9390767468</v>
      </c>
      <c r="H39" s="3">
        <v>8</v>
      </c>
      <c r="I39" s="3">
        <v>24349093</v>
      </c>
      <c r="J39" s="3">
        <v>2512580.041028833</v>
      </c>
      <c r="K39" s="3">
        <v>26754638.072331499</v>
      </c>
      <c r="L39" s="3">
        <v>947</v>
      </c>
      <c r="M39" s="3">
        <v>2285088355.412272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432</v>
      </c>
      <c r="E40" s="3">
        <v>56601955.371603429</v>
      </c>
      <c r="F40" s="3">
        <v>56</v>
      </c>
      <c r="G40" s="3">
        <v>46504033.462864652</v>
      </c>
      <c r="H40" s="3">
        <v>73</v>
      </c>
      <c r="I40" s="3">
        <v>43481820</v>
      </c>
      <c r="J40" s="3">
        <v>288124.79551510152</v>
      </c>
      <c r="K40" s="3">
        <v>27995787.116176989</v>
      </c>
      <c r="L40" s="3">
        <v>415</v>
      </c>
      <c r="M40" s="3">
        <v>75110201.718291104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8</v>
      </c>
      <c r="E41" s="3">
        <v>39091619.67341309</v>
      </c>
      <c r="F41" s="3">
        <v>0</v>
      </c>
      <c r="G41" s="3">
        <v>0</v>
      </c>
      <c r="H41" s="3">
        <v>0</v>
      </c>
      <c r="I41" s="3">
        <v>0</v>
      </c>
      <c r="J41" s="3">
        <v>5097378.222222222</v>
      </c>
      <c r="K41" s="3">
        <v>0</v>
      </c>
      <c r="L41" s="3">
        <v>8</v>
      </c>
      <c r="M41" s="3">
        <v>39091619.67341309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7</v>
      </c>
      <c r="E42" s="3">
        <v>29322200.47338745</v>
      </c>
      <c r="F42" s="3">
        <v>0</v>
      </c>
      <c r="G42" s="3">
        <v>0</v>
      </c>
      <c r="H42" s="3">
        <v>2</v>
      </c>
      <c r="I42" s="3">
        <v>5454546</v>
      </c>
      <c r="J42" s="3">
        <v>5005889.7128760954</v>
      </c>
      <c r="K42" s="3">
        <v>13326019.99846803</v>
      </c>
      <c r="L42" s="3">
        <v>5</v>
      </c>
      <c r="M42" s="3">
        <v>15996180.47491942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65787426.289982982</v>
      </c>
      <c r="F43" s="3">
        <v>0</v>
      </c>
      <c r="G43" s="3">
        <v>0</v>
      </c>
      <c r="H43" s="3">
        <v>0</v>
      </c>
      <c r="I43" s="3">
        <v>0</v>
      </c>
      <c r="J43" s="3">
        <v>7615194.5185185177</v>
      </c>
      <c r="K43" s="3">
        <v>0</v>
      </c>
      <c r="L43" s="3">
        <v>9</v>
      </c>
      <c r="M43" s="3">
        <v>65787426.289982982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7</v>
      </c>
      <c r="E44" s="3">
        <v>8389876.7839990072</v>
      </c>
      <c r="F44" s="3">
        <v>0</v>
      </c>
      <c r="G44" s="3">
        <v>0</v>
      </c>
      <c r="H44" s="3">
        <v>0</v>
      </c>
      <c r="I44" s="3">
        <v>0</v>
      </c>
      <c r="J44" s="3">
        <v>1208849.4285714291</v>
      </c>
      <c r="K44" s="3">
        <v>0</v>
      </c>
      <c r="L44" s="3">
        <v>7</v>
      </c>
      <c r="M44" s="3">
        <v>8389876.7839990072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92</v>
      </c>
      <c r="E45" s="3">
        <v>316146712.15922892</v>
      </c>
      <c r="F45" s="3">
        <v>0</v>
      </c>
      <c r="G45" s="3">
        <v>0</v>
      </c>
      <c r="H45" s="3">
        <v>6</v>
      </c>
      <c r="I45" s="3">
        <v>4145455</v>
      </c>
      <c r="J45" s="3">
        <v>3674356.3454545452</v>
      </c>
      <c r="K45" s="3">
        <v>29344161.946923692</v>
      </c>
      <c r="L45" s="3">
        <v>86</v>
      </c>
      <c r="M45" s="3">
        <v>286802550.21230519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186</v>
      </c>
      <c r="E46" s="3">
        <v>69000379.013193652</v>
      </c>
      <c r="F46" s="3">
        <v>0</v>
      </c>
      <c r="G46" s="3">
        <v>0</v>
      </c>
      <c r="H46" s="3">
        <v>4</v>
      </c>
      <c r="I46" s="3">
        <v>1709090</v>
      </c>
      <c r="J46" s="3">
        <v>407386.63566818071</v>
      </c>
      <c r="K46" s="3">
        <v>2168982.0453130528</v>
      </c>
      <c r="L46" s="3">
        <v>182</v>
      </c>
      <c r="M46" s="3">
        <v>66831396.967880599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10</v>
      </c>
      <c r="E47" s="3">
        <v>56029830.442918427</v>
      </c>
      <c r="F47" s="3">
        <v>2</v>
      </c>
      <c r="G47" s="3">
        <v>13676593.355994171</v>
      </c>
      <c r="H47" s="3">
        <v>3</v>
      </c>
      <c r="I47" s="3">
        <v>22481818</v>
      </c>
      <c r="J47" s="3">
        <v>6899701.900510204</v>
      </c>
      <c r="K47" s="3">
        <v>27551215.902689219</v>
      </c>
      <c r="L47" s="3">
        <v>9</v>
      </c>
      <c r="M47" s="3">
        <v>42155207.896223381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2607</v>
      </c>
      <c r="E49" s="3">
        <v>957990988.80343711</v>
      </c>
      <c r="F49" s="3">
        <v>0</v>
      </c>
      <c r="G49" s="3">
        <v>0</v>
      </c>
      <c r="H49" s="3">
        <v>25</v>
      </c>
      <c r="I49" s="3">
        <v>9100001</v>
      </c>
      <c r="J49" s="3">
        <v>371382.83122676582</v>
      </c>
      <c r="K49" s="3">
        <v>12358080.480892461</v>
      </c>
      <c r="L49" s="3">
        <v>2582</v>
      </c>
      <c r="M49" s="3">
        <v>945632908.32254469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337</v>
      </c>
      <c r="E50" s="3">
        <v>244946946.227896</v>
      </c>
      <c r="F50" s="3">
        <v>0</v>
      </c>
      <c r="G50" s="3">
        <v>0</v>
      </c>
      <c r="H50" s="3">
        <v>3</v>
      </c>
      <c r="I50" s="3">
        <v>2318181</v>
      </c>
      <c r="J50" s="3">
        <v>764818.23340849439</v>
      </c>
      <c r="K50" s="3">
        <v>3053997.4884121618</v>
      </c>
      <c r="L50" s="3">
        <v>334</v>
      </c>
      <c r="M50" s="3">
        <v>241892948.7394838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136</v>
      </c>
      <c r="E51" s="3">
        <v>65247077.438226134</v>
      </c>
      <c r="F51" s="3">
        <v>0</v>
      </c>
      <c r="G51" s="3">
        <v>0</v>
      </c>
      <c r="H51" s="3">
        <v>0</v>
      </c>
      <c r="I51" s="3">
        <v>0</v>
      </c>
      <c r="J51" s="3">
        <v>488600.22550089267</v>
      </c>
      <c r="K51" s="3">
        <v>0</v>
      </c>
      <c r="L51" s="3">
        <v>136</v>
      </c>
      <c r="M51" s="3">
        <v>65247077.438226134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21</v>
      </c>
      <c r="E53" s="3">
        <v>61042753</v>
      </c>
      <c r="F53" s="3">
        <v>0</v>
      </c>
      <c r="G53" s="3">
        <v>0</v>
      </c>
      <c r="H53" s="3">
        <v>4</v>
      </c>
      <c r="I53" s="3">
        <v>12090910</v>
      </c>
      <c r="J53" s="3">
        <v>2906797.7619047621</v>
      </c>
      <c r="K53" s="3">
        <v>15476187.98193197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47</v>
      </c>
      <c r="E54" s="3">
        <v>957123.71502599609</v>
      </c>
      <c r="F54" s="3">
        <v>3</v>
      </c>
      <c r="G54" s="3">
        <v>330670.92821313901</v>
      </c>
      <c r="H54" s="3">
        <v>3</v>
      </c>
      <c r="I54" s="3">
        <v>1545454</v>
      </c>
      <c r="J54" s="3">
        <v>31372.02184200603</v>
      </c>
      <c r="K54" s="3">
        <v>125271.69427552749</v>
      </c>
      <c r="L54" s="3">
        <v>47</v>
      </c>
      <c r="M54" s="3">
        <v>1162522.9489636079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11174</v>
      </c>
      <c r="E55" s="3">
        <v>524292547.68738431</v>
      </c>
      <c r="F55" s="3">
        <v>143</v>
      </c>
      <c r="G55" s="3">
        <v>9004698.1647213604</v>
      </c>
      <c r="H55" s="3">
        <v>42</v>
      </c>
      <c r="I55" s="3">
        <v>6600000</v>
      </c>
      <c r="J55" s="3">
        <v>52949.494021420003</v>
      </c>
      <c r="K55" s="3">
        <v>2960058.4892808031</v>
      </c>
      <c r="L55" s="3">
        <v>11275</v>
      </c>
      <c r="M55" s="3">
        <v>530337187.36282492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5</v>
      </c>
      <c r="E56" s="3">
        <v>277930</v>
      </c>
      <c r="F56" s="3">
        <v>0</v>
      </c>
      <c r="G56" s="3">
        <v>0</v>
      </c>
      <c r="H56" s="3">
        <v>0</v>
      </c>
      <c r="I56" s="3">
        <v>0</v>
      </c>
      <c r="J56" s="3">
        <v>55586</v>
      </c>
      <c r="K56" s="3">
        <v>0</v>
      </c>
      <c r="L56" s="3">
        <v>5</v>
      </c>
      <c r="M56" s="3">
        <v>277930</v>
      </c>
    </row>
    <row r="57" spans="1:13" ht="15.75" customHeight="1" x14ac:dyDescent="0.25">
      <c r="C57" s="4" t="s">
        <v>144</v>
      </c>
      <c r="D57" s="5">
        <f t="shared" ref="D57:M57" si="0">SUM(D2:D56)</f>
        <v>28138.796999999999</v>
      </c>
      <c r="E57" s="5">
        <f t="shared" si="0"/>
        <v>18520469782.36087</v>
      </c>
      <c r="F57" s="5">
        <f t="shared" si="0"/>
        <v>950.98</v>
      </c>
      <c r="G57" s="5">
        <f t="shared" si="0"/>
        <v>1296964167.0877774</v>
      </c>
      <c r="H57" s="5">
        <f t="shared" si="0"/>
        <v>1024</v>
      </c>
      <c r="I57" s="5">
        <f t="shared" si="0"/>
        <v>1816089166</v>
      </c>
      <c r="J57" s="5">
        <f t="shared" si="0"/>
        <v>232401268.20370421</v>
      </c>
      <c r="K57" s="5">
        <f t="shared" si="0"/>
        <v>2103505097.0354075</v>
      </c>
      <c r="L57" s="5">
        <f t="shared" si="0"/>
        <v>28065.777000000002</v>
      </c>
      <c r="M57" s="5">
        <f t="shared" si="0"/>
        <v>17713928852.413235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51</v>
      </c>
      <c r="E2" s="3">
        <v>19143523.268843669</v>
      </c>
      <c r="F2" s="3">
        <v>18</v>
      </c>
      <c r="G2" s="3">
        <v>7971402.4375412017</v>
      </c>
      <c r="H2" s="3">
        <v>12</v>
      </c>
      <c r="I2" s="3">
        <v>10090908</v>
      </c>
      <c r="J2" s="3">
        <v>468548.51806630928</v>
      </c>
      <c r="K2" s="3">
        <v>7483848.7623213939</v>
      </c>
      <c r="L2" s="3">
        <v>57</v>
      </c>
      <c r="M2" s="3">
        <v>19631076.94406347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26</v>
      </c>
      <c r="E3" s="3">
        <v>17562302.471879389</v>
      </c>
      <c r="F3" s="3">
        <v>22</v>
      </c>
      <c r="G3" s="3">
        <v>29681117.495987348</v>
      </c>
      <c r="H3" s="3">
        <v>19</v>
      </c>
      <c r="I3" s="3">
        <v>22054544</v>
      </c>
      <c r="J3" s="3">
        <v>1323578.420276758</v>
      </c>
      <c r="K3" s="3">
        <v>33472832.671765469</v>
      </c>
      <c r="L3" s="3">
        <v>29</v>
      </c>
      <c r="M3" s="3">
        <v>13770587.29610128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1674</v>
      </c>
      <c r="E4" s="3">
        <v>595508121.71227264</v>
      </c>
      <c r="F4" s="3">
        <v>0</v>
      </c>
      <c r="G4" s="3">
        <v>0</v>
      </c>
      <c r="H4" s="3">
        <v>113</v>
      </c>
      <c r="I4" s="3">
        <v>46400002</v>
      </c>
      <c r="J4" s="3">
        <v>370159.87119187601</v>
      </c>
      <c r="K4" s="3">
        <v>55674582.200574562</v>
      </c>
      <c r="L4" s="3">
        <v>1561</v>
      </c>
      <c r="M4" s="3">
        <v>539833539.51169813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2304</v>
      </c>
      <c r="E5" s="3">
        <v>281360923.99712062</v>
      </c>
      <c r="F5" s="3">
        <v>62</v>
      </c>
      <c r="G5" s="3">
        <v>6410627.6638128273</v>
      </c>
      <c r="H5" s="3">
        <v>151</v>
      </c>
      <c r="I5" s="3">
        <v>20618216</v>
      </c>
      <c r="J5" s="3">
        <v>130831.6186737844</v>
      </c>
      <c r="K5" s="3">
        <v>26295343.575142611</v>
      </c>
      <c r="L5" s="3">
        <v>2215</v>
      </c>
      <c r="M5" s="3">
        <v>261476208.08579081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74</v>
      </c>
      <c r="E6" s="3">
        <v>2280774.2085430641</v>
      </c>
      <c r="F6" s="3">
        <v>0</v>
      </c>
      <c r="G6" s="3">
        <v>0</v>
      </c>
      <c r="H6" s="3">
        <v>10</v>
      </c>
      <c r="I6" s="3">
        <v>1045457</v>
      </c>
      <c r="J6" s="3">
        <v>44069.716741741737</v>
      </c>
      <c r="K6" s="3">
        <v>586582.96557821881</v>
      </c>
      <c r="L6" s="3">
        <v>64</v>
      </c>
      <c r="M6" s="3">
        <v>1694191.2429648449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92</v>
      </c>
      <c r="E7" s="3">
        <v>2338752.62561876</v>
      </c>
      <c r="F7" s="3">
        <v>0</v>
      </c>
      <c r="G7" s="3">
        <v>0</v>
      </c>
      <c r="H7" s="3">
        <v>0</v>
      </c>
      <c r="I7" s="3">
        <v>0</v>
      </c>
      <c r="J7" s="3">
        <v>29059.396825396831</v>
      </c>
      <c r="K7" s="3">
        <v>0</v>
      </c>
      <c r="L7" s="3">
        <v>92</v>
      </c>
      <c r="M7" s="3">
        <v>2338752.62561876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1937</v>
      </c>
      <c r="E8" s="3">
        <v>758494237.99826026</v>
      </c>
      <c r="F8" s="3">
        <v>28</v>
      </c>
      <c r="G8" s="3">
        <v>5405384.4725510152</v>
      </c>
      <c r="H8" s="3">
        <v>61</v>
      </c>
      <c r="I8" s="3">
        <v>11581818</v>
      </c>
      <c r="J8" s="3">
        <v>439074.11681906861</v>
      </c>
      <c r="K8" s="3">
        <v>35649780.42124223</v>
      </c>
      <c r="L8" s="3">
        <v>1904</v>
      </c>
      <c r="M8" s="3">
        <v>728249842.04956901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162</v>
      </c>
      <c r="E9" s="3">
        <v>71625370.520211503</v>
      </c>
      <c r="F9" s="3">
        <v>0</v>
      </c>
      <c r="G9" s="3">
        <v>0</v>
      </c>
      <c r="H9" s="3">
        <v>0</v>
      </c>
      <c r="I9" s="3">
        <v>0</v>
      </c>
      <c r="J9" s="3">
        <v>492997.38307701808</v>
      </c>
      <c r="K9" s="3">
        <v>0</v>
      </c>
      <c r="L9" s="3">
        <v>162</v>
      </c>
      <c r="M9" s="3">
        <v>71625370.520211503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1312</v>
      </c>
      <c r="E10" s="3">
        <v>1175957980.0228331</v>
      </c>
      <c r="F10" s="3">
        <v>23</v>
      </c>
      <c r="G10" s="3">
        <v>42185319.617961332</v>
      </c>
      <c r="H10" s="3">
        <v>39</v>
      </c>
      <c r="I10" s="3">
        <v>80004533</v>
      </c>
      <c r="J10" s="3">
        <v>988376.06322066416</v>
      </c>
      <c r="K10" s="3">
        <v>51306928.204358481</v>
      </c>
      <c r="L10" s="3">
        <v>1296</v>
      </c>
      <c r="M10" s="3">
        <v>1166836371.4364359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634</v>
      </c>
      <c r="E11" s="3">
        <v>1421244897.72278</v>
      </c>
      <c r="F11" s="3">
        <v>70</v>
      </c>
      <c r="G11" s="3">
        <v>195269947.9268868</v>
      </c>
      <c r="H11" s="3">
        <v>163</v>
      </c>
      <c r="I11" s="3">
        <v>332618170</v>
      </c>
      <c r="J11" s="3">
        <v>2492311.5133344149</v>
      </c>
      <c r="K11" s="3">
        <v>540728320.11654449</v>
      </c>
      <c r="L11" s="3">
        <v>541</v>
      </c>
      <c r="M11" s="3">
        <v>1075786525.5331221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63</v>
      </c>
      <c r="E12" s="3">
        <v>172119429.09332201</v>
      </c>
      <c r="F12" s="3">
        <v>8</v>
      </c>
      <c r="G12" s="3">
        <v>20951196.712378129</v>
      </c>
      <c r="H12" s="3">
        <v>5</v>
      </c>
      <c r="I12" s="3">
        <v>17700000</v>
      </c>
      <c r="J12" s="3">
        <v>2984445.092439936</v>
      </c>
      <c r="K12" s="3">
        <v>19861991.208019622</v>
      </c>
      <c r="L12" s="3">
        <v>66</v>
      </c>
      <c r="M12" s="3">
        <v>173208634.59768051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290</v>
      </c>
      <c r="E14" s="3">
        <v>31094569.390436441</v>
      </c>
      <c r="F14" s="3">
        <v>57</v>
      </c>
      <c r="G14" s="3">
        <v>8171566.6560898768</v>
      </c>
      <c r="H14" s="3">
        <v>74</v>
      </c>
      <c r="I14" s="3">
        <v>8818183</v>
      </c>
      <c r="J14" s="3">
        <v>186342.38818746759</v>
      </c>
      <c r="K14" s="3">
        <v>18354077.64796837</v>
      </c>
      <c r="L14" s="3">
        <v>273</v>
      </c>
      <c r="M14" s="3">
        <v>20912058.39855795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1720</v>
      </c>
      <c r="E15" s="3">
        <v>193338638.0593273</v>
      </c>
      <c r="F15" s="3">
        <v>0</v>
      </c>
      <c r="G15" s="3">
        <v>0</v>
      </c>
      <c r="H15" s="3">
        <v>88</v>
      </c>
      <c r="I15" s="3">
        <v>6400024</v>
      </c>
      <c r="J15" s="3">
        <v>121825.1138615798</v>
      </c>
      <c r="K15" s="3">
        <v>14269497.703117009</v>
      </c>
      <c r="L15" s="3">
        <v>1632</v>
      </c>
      <c r="M15" s="3">
        <v>179069140.35621029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509.77699999999999</v>
      </c>
      <c r="E16" s="3">
        <v>-70416575.3976053</v>
      </c>
      <c r="F16" s="3">
        <v>1742.835</v>
      </c>
      <c r="G16" s="3">
        <v>432137160.83291429</v>
      </c>
      <c r="H16" s="3">
        <v>884</v>
      </c>
      <c r="I16" s="3">
        <v>667141275</v>
      </c>
      <c r="J16" s="3">
        <v>347201.6648628473</v>
      </c>
      <c r="K16" s="3">
        <v>408529339.42245889</v>
      </c>
      <c r="L16" s="3">
        <v>1368.6120000000001</v>
      </c>
      <c r="M16" s="3">
        <v>-46808753.987149946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13</v>
      </c>
      <c r="E17" s="3">
        <v>114558421</v>
      </c>
      <c r="F17" s="3">
        <v>0</v>
      </c>
      <c r="G17" s="3">
        <v>0</v>
      </c>
      <c r="H17" s="3">
        <v>2</v>
      </c>
      <c r="I17" s="3">
        <v>18909091</v>
      </c>
      <c r="J17" s="3">
        <v>8812186.2307692301</v>
      </c>
      <c r="K17" s="3">
        <v>23458641.056234151</v>
      </c>
      <c r="L17" s="3">
        <v>11</v>
      </c>
      <c r="M17" s="3">
        <v>91099779.943765849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61</v>
      </c>
      <c r="E19" s="3">
        <v>711150538.77659035</v>
      </c>
      <c r="F19" s="3">
        <v>28</v>
      </c>
      <c r="G19" s="3">
        <v>132295247.2461569</v>
      </c>
      <c r="H19" s="3">
        <v>3</v>
      </c>
      <c r="I19" s="3">
        <v>74805454</v>
      </c>
      <c r="J19" s="3">
        <v>11136719.719783509</v>
      </c>
      <c r="K19" s="3">
        <v>44470061.731913842</v>
      </c>
      <c r="L19" s="3">
        <v>86</v>
      </c>
      <c r="M19" s="3">
        <v>798975724.29083347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57</v>
      </c>
      <c r="E21" s="3">
        <v>607930320.88347757</v>
      </c>
      <c r="F21" s="3">
        <v>0</v>
      </c>
      <c r="G21" s="3">
        <v>0</v>
      </c>
      <c r="H21" s="3">
        <v>10</v>
      </c>
      <c r="I21" s="3">
        <v>92727270</v>
      </c>
      <c r="J21" s="3">
        <v>10738152.155172409</v>
      </c>
      <c r="K21" s="3">
        <v>142928468.83776519</v>
      </c>
      <c r="L21" s="3">
        <v>47</v>
      </c>
      <c r="M21" s="3">
        <v>465001852.04571241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8</v>
      </c>
      <c r="E22" s="3">
        <v>21807000.1664511</v>
      </c>
      <c r="F22" s="3">
        <v>30</v>
      </c>
      <c r="G22" s="3">
        <v>105642603.9474166</v>
      </c>
      <c r="H22" s="3">
        <v>2</v>
      </c>
      <c r="I22" s="3">
        <v>30354545</v>
      </c>
      <c r="J22" s="3">
        <v>3464774.937425572</v>
      </c>
      <c r="K22" s="3">
        <v>9223467.3064334076</v>
      </c>
      <c r="L22" s="3">
        <v>36</v>
      </c>
      <c r="M22" s="3">
        <v>118226136.80743431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5</v>
      </c>
      <c r="E23" s="3">
        <v>54567066</v>
      </c>
      <c r="F23" s="3">
        <v>0</v>
      </c>
      <c r="G23" s="3">
        <v>0</v>
      </c>
      <c r="H23" s="3">
        <v>0</v>
      </c>
      <c r="I23" s="3">
        <v>0</v>
      </c>
      <c r="J23" s="3">
        <v>10913413.199999999</v>
      </c>
      <c r="K23" s="3">
        <v>0</v>
      </c>
      <c r="L23" s="3">
        <v>5</v>
      </c>
      <c r="M23" s="3">
        <v>54567066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27</v>
      </c>
      <c r="E24" s="3">
        <v>170435570.28636169</v>
      </c>
      <c r="F24" s="3">
        <v>0</v>
      </c>
      <c r="G24" s="3">
        <v>0</v>
      </c>
      <c r="H24" s="3">
        <v>3</v>
      </c>
      <c r="I24" s="3">
        <v>26181818</v>
      </c>
      <c r="J24" s="3">
        <v>6554847.3666666672</v>
      </c>
      <c r="K24" s="3">
        <v>26174176.451717868</v>
      </c>
      <c r="L24" s="3">
        <v>24</v>
      </c>
      <c r="M24" s="3">
        <v>144261393.83464381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39</v>
      </c>
      <c r="E25" s="3">
        <v>492554092.57030219</v>
      </c>
      <c r="F25" s="3">
        <v>0</v>
      </c>
      <c r="G25" s="3">
        <v>0</v>
      </c>
      <c r="H25" s="3">
        <v>1</v>
      </c>
      <c r="I25" s="3">
        <v>11636363</v>
      </c>
      <c r="J25" s="3">
        <v>12847696</v>
      </c>
      <c r="K25" s="3">
        <v>17100721.714848869</v>
      </c>
      <c r="L25" s="3">
        <v>38</v>
      </c>
      <c r="M25" s="3">
        <v>475453370.85545337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37</v>
      </c>
      <c r="E26" s="3">
        <v>344336166</v>
      </c>
      <c r="F26" s="3">
        <v>0</v>
      </c>
      <c r="G26" s="3">
        <v>0</v>
      </c>
      <c r="H26" s="3">
        <v>8</v>
      </c>
      <c r="I26" s="3">
        <v>75781816</v>
      </c>
      <c r="J26" s="3">
        <v>9306382.8648648653</v>
      </c>
      <c r="K26" s="3">
        <v>99096904.873148963</v>
      </c>
      <c r="L26" s="3">
        <v>29</v>
      </c>
      <c r="M26" s="3">
        <v>245239261.12685099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158</v>
      </c>
      <c r="E27" s="3">
        <v>491087068.15288538</v>
      </c>
      <c r="F27" s="3">
        <v>62</v>
      </c>
      <c r="G27" s="3">
        <v>175917496.39266279</v>
      </c>
      <c r="H27" s="3">
        <v>75</v>
      </c>
      <c r="I27" s="3">
        <v>109500000</v>
      </c>
      <c r="J27" s="3">
        <v>3510124.5832253592</v>
      </c>
      <c r="K27" s="3">
        <v>350407168.42646378</v>
      </c>
      <c r="L27" s="3">
        <v>145</v>
      </c>
      <c r="M27" s="3">
        <v>316597396.11908442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37</v>
      </c>
      <c r="E28" s="3">
        <v>336542262.05071539</v>
      </c>
      <c r="F28" s="3">
        <v>31</v>
      </c>
      <c r="G28" s="3">
        <v>367196640.96198201</v>
      </c>
      <c r="H28" s="3">
        <v>42</v>
      </c>
      <c r="I28" s="3">
        <v>394827275</v>
      </c>
      <c r="J28" s="3">
        <v>11934227.40312909</v>
      </c>
      <c r="K28" s="3">
        <v>667164281.55761385</v>
      </c>
      <c r="L28" s="3">
        <v>26</v>
      </c>
      <c r="M28" s="3">
        <v>36574621.455083609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235</v>
      </c>
      <c r="E29" s="3">
        <v>2033967473.6426871</v>
      </c>
      <c r="F29" s="3">
        <v>30</v>
      </c>
      <c r="G29" s="3">
        <v>343369790.6398536</v>
      </c>
      <c r="H29" s="3">
        <v>9</v>
      </c>
      <c r="I29" s="3">
        <v>96972724</v>
      </c>
      <c r="J29" s="3">
        <v>10255804.58031649</v>
      </c>
      <c r="K29" s="3">
        <v>122857432.24378771</v>
      </c>
      <c r="L29" s="3">
        <v>256</v>
      </c>
      <c r="M29" s="3">
        <v>2254479832.038753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3958371</v>
      </c>
      <c r="F30" s="3">
        <v>0</v>
      </c>
      <c r="G30" s="3">
        <v>0</v>
      </c>
      <c r="H30" s="3">
        <v>0</v>
      </c>
      <c r="I30" s="3">
        <v>0</v>
      </c>
      <c r="J30" s="3">
        <v>494796.375</v>
      </c>
      <c r="K30" s="3">
        <v>0</v>
      </c>
      <c r="L30" s="3">
        <v>8</v>
      </c>
      <c r="M30" s="3">
        <v>3958371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59</v>
      </c>
      <c r="E31" s="3">
        <v>1007469355.883903</v>
      </c>
      <c r="F31" s="3">
        <v>0</v>
      </c>
      <c r="G31" s="3">
        <v>0</v>
      </c>
      <c r="H31" s="3">
        <v>9</v>
      </c>
      <c r="I31" s="3">
        <v>105200000</v>
      </c>
      <c r="J31" s="3">
        <v>17212288.483333331</v>
      </c>
      <c r="K31" s="3">
        <v>206191288.99552369</v>
      </c>
      <c r="L31" s="3">
        <v>50</v>
      </c>
      <c r="M31" s="3">
        <v>801278066.8883791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20</v>
      </c>
      <c r="E33" s="3">
        <v>44491506.306561977</v>
      </c>
      <c r="F33" s="3">
        <v>0</v>
      </c>
      <c r="G33" s="3">
        <v>0</v>
      </c>
      <c r="H33" s="3">
        <v>3</v>
      </c>
      <c r="I33" s="3">
        <v>25745454</v>
      </c>
      <c r="J33" s="3">
        <v>2334194.3636363628</v>
      </c>
      <c r="K33" s="3">
        <v>9320677.0087603722</v>
      </c>
      <c r="L33" s="3">
        <v>17</v>
      </c>
      <c r="M33" s="3">
        <v>35170829.297801606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24</v>
      </c>
      <c r="E35" s="3">
        <v>54275166.131571397</v>
      </c>
      <c r="F35" s="3">
        <v>7</v>
      </c>
      <c r="G35" s="3">
        <v>15184460.082829211</v>
      </c>
      <c r="H35" s="3">
        <v>6</v>
      </c>
      <c r="I35" s="3">
        <v>38409090</v>
      </c>
      <c r="J35" s="3">
        <v>2474683.740062058</v>
      </c>
      <c r="K35" s="3">
        <v>19763330.9370315</v>
      </c>
      <c r="L35" s="3">
        <v>25</v>
      </c>
      <c r="M35" s="3">
        <v>49696295.277369097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64</v>
      </c>
      <c r="E36" s="3">
        <v>422146938.2601462</v>
      </c>
      <c r="F36" s="3">
        <v>10</v>
      </c>
      <c r="G36" s="3">
        <v>38199227.688352592</v>
      </c>
      <c r="H36" s="3">
        <v>29</v>
      </c>
      <c r="I36" s="3">
        <v>255599998</v>
      </c>
      <c r="J36" s="3">
        <v>7798896.5825653644</v>
      </c>
      <c r="K36" s="3">
        <v>301037325.61065799</v>
      </c>
      <c r="L36" s="3">
        <v>45</v>
      </c>
      <c r="M36" s="3">
        <v>159308840.33784071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16</v>
      </c>
      <c r="E37" s="3">
        <v>188642427.19463751</v>
      </c>
      <c r="F37" s="3">
        <v>0</v>
      </c>
      <c r="G37" s="3">
        <v>0</v>
      </c>
      <c r="H37" s="3">
        <v>5</v>
      </c>
      <c r="I37" s="3">
        <v>48172728</v>
      </c>
      <c r="J37" s="3">
        <v>13067930.57720588</v>
      </c>
      <c r="K37" s="3">
        <v>86969307.255465165</v>
      </c>
      <c r="L37" s="3">
        <v>11</v>
      </c>
      <c r="M37" s="3">
        <v>101673119.9391724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134</v>
      </c>
      <c r="E38" s="3">
        <v>599073391.31782794</v>
      </c>
      <c r="F38" s="3">
        <v>0</v>
      </c>
      <c r="G38" s="3">
        <v>0</v>
      </c>
      <c r="H38" s="3">
        <v>6</v>
      </c>
      <c r="I38" s="3">
        <v>30781820</v>
      </c>
      <c r="J38" s="3">
        <v>4672810.2459036633</v>
      </c>
      <c r="K38" s="3">
        <v>37318019.187950782</v>
      </c>
      <c r="L38" s="3">
        <v>128</v>
      </c>
      <c r="M38" s="3">
        <v>561755372.12987721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947</v>
      </c>
      <c r="E39" s="3">
        <v>2285088355.412272</v>
      </c>
      <c r="F39" s="3">
        <v>0</v>
      </c>
      <c r="G39" s="3">
        <v>0</v>
      </c>
      <c r="H39" s="3">
        <v>88</v>
      </c>
      <c r="I39" s="3">
        <v>260781819</v>
      </c>
      <c r="J39" s="3">
        <v>2512580.041028833</v>
      </c>
      <c r="K39" s="3">
        <v>294301018.79564649</v>
      </c>
      <c r="L39" s="3">
        <v>859</v>
      </c>
      <c r="M39" s="3">
        <v>1990787336.6166251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415</v>
      </c>
      <c r="E40" s="3">
        <v>75110201.718291104</v>
      </c>
      <c r="F40" s="3">
        <v>223</v>
      </c>
      <c r="G40" s="3">
        <v>62236877.410682388</v>
      </c>
      <c r="H40" s="3">
        <v>99</v>
      </c>
      <c r="I40" s="3">
        <v>111745469</v>
      </c>
      <c r="J40" s="3">
        <v>287986.56291342812</v>
      </c>
      <c r="K40" s="3">
        <v>37948674.138136268</v>
      </c>
      <c r="L40" s="3">
        <v>539</v>
      </c>
      <c r="M40" s="3">
        <v>99398404.990837216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8</v>
      </c>
      <c r="E41" s="3">
        <v>39091619.67341309</v>
      </c>
      <c r="F41" s="3">
        <v>0</v>
      </c>
      <c r="G41" s="3">
        <v>0</v>
      </c>
      <c r="H41" s="3">
        <v>0</v>
      </c>
      <c r="I41" s="3">
        <v>0</v>
      </c>
      <c r="J41" s="3">
        <v>5097378.222222222</v>
      </c>
      <c r="K41" s="3">
        <v>0</v>
      </c>
      <c r="L41" s="3">
        <v>8</v>
      </c>
      <c r="M41" s="3">
        <v>39091619.67341309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5</v>
      </c>
      <c r="E42" s="3">
        <v>15996180.47491942</v>
      </c>
      <c r="F42" s="3">
        <v>1</v>
      </c>
      <c r="G42" s="3">
        <v>5290751.3409199445</v>
      </c>
      <c r="H42" s="3">
        <v>1</v>
      </c>
      <c r="I42" s="3">
        <v>6354545</v>
      </c>
      <c r="J42" s="3">
        <v>5080665.5940634124</v>
      </c>
      <c r="K42" s="3">
        <v>6762539.2483045775</v>
      </c>
      <c r="L42" s="3">
        <v>5</v>
      </c>
      <c r="M42" s="3">
        <v>14524392.567534789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65787426.289982982</v>
      </c>
      <c r="F43" s="3">
        <v>0</v>
      </c>
      <c r="G43" s="3">
        <v>0</v>
      </c>
      <c r="H43" s="3">
        <v>0</v>
      </c>
      <c r="I43" s="3">
        <v>0</v>
      </c>
      <c r="J43" s="3">
        <v>7615194.5185185177</v>
      </c>
      <c r="K43" s="3">
        <v>0</v>
      </c>
      <c r="L43" s="3">
        <v>9</v>
      </c>
      <c r="M43" s="3">
        <v>65787426.289982982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7</v>
      </c>
      <c r="E44" s="3">
        <v>8389876.7839990072</v>
      </c>
      <c r="F44" s="3">
        <v>0</v>
      </c>
      <c r="G44" s="3">
        <v>0</v>
      </c>
      <c r="H44" s="3">
        <v>1</v>
      </c>
      <c r="I44" s="3">
        <v>1409090</v>
      </c>
      <c r="J44" s="3">
        <v>1208849.4285714291</v>
      </c>
      <c r="K44" s="3">
        <v>1609019.833062215</v>
      </c>
      <c r="L44" s="3">
        <v>6</v>
      </c>
      <c r="M44" s="3">
        <v>6780856.9509367924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86</v>
      </c>
      <c r="E45" s="3">
        <v>286802550.21230519</v>
      </c>
      <c r="F45" s="3">
        <v>12</v>
      </c>
      <c r="G45" s="3">
        <v>207988270.72735801</v>
      </c>
      <c r="H45" s="3">
        <v>5</v>
      </c>
      <c r="I45" s="3">
        <v>61688181</v>
      </c>
      <c r="J45" s="3">
        <v>5412468.5582560292</v>
      </c>
      <c r="K45" s="3">
        <v>36020901.570641793</v>
      </c>
      <c r="L45" s="3">
        <v>93</v>
      </c>
      <c r="M45" s="3">
        <v>458769919.36902148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182</v>
      </c>
      <c r="E46" s="3">
        <v>66831396.967880599</v>
      </c>
      <c r="F46" s="3">
        <v>0</v>
      </c>
      <c r="G46" s="3">
        <v>0</v>
      </c>
      <c r="H46" s="3">
        <v>18</v>
      </c>
      <c r="I46" s="3">
        <v>6736364</v>
      </c>
      <c r="J46" s="3">
        <v>407386.63566818071</v>
      </c>
      <c r="K46" s="3">
        <v>9760419.2039087415</v>
      </c>
      <c r="L46" s="3">
        <v>164</v>
      </c>
      <c r="M46" s="3">
        <v>57070977.763971858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42155207.896223381</v>
      </c>
      <c r="F47" s="3">
        <v>2</v>
      </c>
      <c r="G47" s="3">
        <v>11763105.059441671</v>
      </c>
      <c r="H47" s="3">
        <v>2</v>
      </c>
      <c r="I47" s="3">
        <v>14127273</v>
      </c>
      <c r="J47" s="3">
        <v>6747690.0095083499</v>
      </c>
      <c r="K47" s="3">
        <v>17962811.24190177</v>
      </c>
      <c r="L47" s="3">
        <v>9</v>
      </c>
      <c r="M47" s="3">
        <v>35955501.713763267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2582</v>
      </c>
      <c r="E49" s="3">
        <v>945632908.32254469</v>
      </c>
      <c r="F49" s="3">
        <v>0</v>
      </c>
      <c r="G49" s="3">
        <v>0</v>
      </c>
      <c r="H49" s="3">
        <v>235</v>
      </c>
      <c r="I49" s="3">
        <v>71672744</v>
      </c>
      <c r="J49" s="3">
        <v>371382.83122676582</v>
      </c>
      <c r="K49" s="3">
        <v>116165956.5203892</v>
      </c>
      <c r="L49" s="3">
        <v>2347</v>
      </c>
      <c r="M49" s="3">
        <v>829466951.80215549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334</v>
      </c>
      <c r="E50" s="3">
        <v>241892948.7394838</v>
      </c>
      <c r="F50" s="3">
        <v>4</v>
      </c>
      <c r="G50" s="3">
        <v>2909913.479998759</v>
      </c>
      <c r="H50" s="3">
        <v>55</v>
      </c>
      <c r="I50" s="3">
        <v>31727272</v>
      </c>
      <c r="J50" s="3">
        <v>764642.8696995182</v>
      </c>
      <c r="K50" s="3">
        <v>55977116.124838263</v>
      </c>
      <c r="L50" s="3">
        <v>283</v>
      </c>
      <c r="M50" s="3">
        <v>188825746.09464431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136</v>
      </c>
      <c r="E51" s="3">
        <v>65247077.438226134</v>
      </c>
      <c r="F51" s="3">
        <v>2</v>
      </c>
      <c r="G51" s="3">
        <v>5305742.2451977395</v>
      </c>
      <c r="H51" s="3">
        <v>4</v>
      </c>
      <c r="I51" s="3">
        <v>7425000</v>
      </c>
      <c r="J51" s="3">
        <v>521156.7439718942</v>
      </c>
      <c r="K51" s="3">
        <v>2774709.628397218</v>
      </c>
      <c r="L51" s="3">
        <v>134</v>
      </c>
      <c r="M51" s="3">
        <v>67778110.05502665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17</v>
      </c>
      <c r="E53" s="3">
        <v>45566565.01806803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47</v>
      </c>
      <c r="E54" s="3">
        <v>1162522.9489636079</v>
      </c>
      <c r="F54" s="3">
        <v>0</v>
      </c>
      <c r="G54" s="3">
        <v>0</v>
      </c>
      <c r="H54" s="3">
        <v>15</v>
      </c>
      <c r="I54" s="3">
        <v>11790909</v>
      </c>
      <c r="J54" s="3">
        <v>31372.02184200603</v>
      </c>
      <c r="K54" s="3">
        <v>626358.47137763735</v>
      </c>
      <c r="L54" s="3">
        <v>32</v>
      </c>
      <c r="M54" s="3">
        <v>536164.47758597031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11275</v>
      </c>
      <c r="E55" s="3">
        <v>530337187.36282492</v>
      </c>
      <c r="F55" s="3">
        <v>15</v>
      </c>
      <c r="G55" s="3">
        <v>2019303.420368019</v>
      </c>
      <c r="H55" s="3">
        <v>81</v>
      </c>
      <c r="I55" s="3">
        <v>17421811</v>
      </c>
      <c r="J55" s="3">
        <v>53063.539689239187</v>
      </c>
      <c r="K55" s="3">
        <v>5720979.9219931662</v>
      </c>
      <c r="L55" s="3">
        <v>11209</v>
      </c>
      <c r="M55" s="3">
        <v>526635510.86119968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5</v>
      </c>
      <c r="E56" s="3">
        <v>277930</v>
      </c>
      <c r="F56" s="3">
        <v>3</v>
      </c>
      <c r="G56" s="3">
        <v>198403.7208932754</v>
      </c>
      <c r="H56" s="3">
        <v>0</v>
      </c>
      <c r="I56" s="3">
        <v>0</v>
      </c>
      <c r="J56" s="3">
        <v>60309.5</v>
      </c>
      <c r="K56" s="3">
        <v>0</v>
      </c>
      <c r="L56" s="3">
        <v>8</v>
      </c>
      <c r="M56" s="3">
        <v>476333.72089327552</v>
      </c>
    </row>
    <row r="57" spans="1:13" ht="15.75" customHeight="1" x14ac:dyDescent="0.25">
      <c r="C57" s="4" t="s">
        <v>144</v>
      </c>
      <c r="D57" s="5">
        <f t="shared" ref="D57:M57" si="0">SUM(D2:D56)</f>
        <v>28065.777000000002</v>
      </c>
      <c r="E57" s="5">
        <f t="shared" si="0"/>
        <v>17713928852.413235</v>
      </c>
      <c r="F57" s="5">
        <f t="shared" si="0"/>
        <v>2490.835</v>
      </c>
      <c r="G57" s="5">
        <f t="shared" si="0"/>
        <v>2223701558.1802363</v>
      </c>
      <c r="H57" s="5">
        <f t="shared" si="0"/>
        <v>2436</v>
      </c>
      <c r="I57" s="5">
        <f t="shared" si="0"/>
        <v>3262959053</v>
      </c>
      <c r="J57" s="5">
        <f t="shared" si="0"/>
        <v>231121853.77933913</v>
      </c>
      <c r="K57" s="5">
        <f t="shared" si="0"/>
        <v>3961324902.7930059</v>
      </c>
      <c r="L57" s="5">
        <f t="shared" si="0"/>
        <v>28120.612000000001</v>
      </c>
      <c r="M57" s="5">
        <f t="shared" si="0"/>
        <v>15976305507.800476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57</v>
      </c>
      <c r="E2" s="3">
        <v>19631076.94406347</v>
      </c>
      <c r="F2" s="3">
        <v>20</v>
      </c>
      <c r="G2" s="3">
        <v>10472095.7548189</v>
      </c>
      <c r="H2" s="3">
        <v>0</v>
      </c>
      <c r="I2" s="3">
        <v>0</v>
      </c>
      <c r="J2" s="3">
        <v>487059.24064648867</v>
      </c>
      <c r="K2" s="3">
        <v>0</v>
      </c>
      <c r="L2" s="3">
        <v>77</v>
      </c>
      <c r="M2" s="3">
        <v>30103172.698882371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29</v>
      </c>
      <c r="E3" s="3">
        <v>13770587.29610128</v>
      </c>
      <c r="F3" s="3">
        <v>5</v>
      </c>
      <c r="G3" s="3">
        <v>7023308.9770554062</v>
      </c>
      <c r="H3" s="3">
        <v>0</v>
      </c>
      <c r="I3" s="3">
        <v>0</v>
      </c>
      <c r="J3" s="3">
        <v>1341897.4761184121</v>
      </c>
      <c r="K3" s="3">
        <v>0</v>
      </c>
      <c r="L3" s="3">
        <v>34</v>
      </c>
      <c r="M3" s="3">
        <v>20793896.27315668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1561</v>
      </c>
      <c r="E4" s="3">
        <v>539833539.51169813</v>
      </c>
      <c r="F4" s="3">
        <v>0</v>
      </c>
      <c r="G4" s="3">
        <v>0</v>
      </c>
      <c r="H4" s="3">
        <v>10</v>
      </c>
      <c r="I4" s="3">
        <v>4120373</v>
      </c>
      <c r="J4" s="3">
        <v>370159.87119187601</v>
      </c>
      <c r="K4" s="3">
        <v>4926954.1770419963</v>
      </c>
      <c r="L4" s="3">
        <v>1551</v>
      </c>
      <c r="M4" s="3">
        <v>534906585.33465612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2215</v>
      </c>
      <c r="E5" s="3">
        <v>261476208.08579081</v>
      </c>
      <c r="F5" s="3">
        <v>42</v>
      </c>
      <c r="G5" s="3">
        <v>5029527.4378492963</v>
      </c>
      <c r="H5" s="3">
        <v>2</v>
      </c>
      <c r="I5" s="3">
        <v>259258</v>
      </c>
      <c r="J5" s="3">
        <v>130694.4037937228</v>
      </c>
      <c r="K5" s="3">
        <v>347917.42098576162</v>
      </c>
      <c r="L5" s="3">
        <v>2255</v>
      </c>
      <c r="M5" s="3">
        <v>266157818.10265431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64</v>
      </c>
      <c r="E6" s="3">
        <v>1694191.2429648449</v>
      </c>
      <c r="F6" s="3">
        <v>20</v>
      </c>
      <c r="G6" s="3">
        <v>1446013.605904184</v>
      </c>
      <c r="H6" s="3">
        <v>1</v>
      </c>
      <c r="I6" s="3">
        <v>231481</v>
      </c>
      <c r="J6" s="3">
        <v>51324.307993707997</v>
      </c>
      <c r="K6" s="3">
        <v>68314.405026986467</v>
      </c>
      <c r="L6" s="3">
        <v>83</v>
      </c>
      <c r="M6" s="3">
        <v>3071890.4438420418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92</v>
      </c>
      <c r="E7" s="3">
        <v>2338752.62561876</v>
      </c>
      <c r="F7" s="3">
        <v>0</v>
      </c>
      <c r="G7" s="3">
        <v>0</v>
      </c>
      <c r="H7" s="3">
        <v>0</v>
      </c>
      <c r="I7" s="3">
        <v>0</v>
      </c>
      <c r="J7" s="3">
        <v>29059.396825396831</v>
      </c>
      <c r="K7" s="3">
        <v>0</v>
      </c>
      <c r="L7" s="3">
        <v>92</v>
      </c>
      <c r="M7" s="3">
        <v>2338752.62561876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1904</v>
      </c>
      <c r="E8" s="3">
        <v>728249842.04956901</v>
      </c>
      <c r="F8" s="3">
        <v>50</v>
      </c>
      <c r="G8" s="3">
        <v>6789794.2401124658</v>
      </c>
      <c r="H8" s="3">
        <v>18</v>
      </c>
      <c r="I8" s="3">
        <v>3287039</v>
      </c>
      <c r="J8" s="3">
        <v>431421.24586668698</v>
      </c>
      <c r="K8" s="3">
        <v>10336255.15531446</v>
      </c>
      <c r="L8" s="3">
        <v>1936</v>
      </c>
      <c r="M8" s="3">
        <v>724703381.13436699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162</v>
      </c>
      <c r="E9" s="3">
        <v>71625370.520211503</v>
      </c>
      <c r="F9" s="3">
        <v>0</v>
      </c>
      <c r="G9" s="3">
        <v>0</v>
      </c>
      <c r="H9" s="3">
        <v>0</v>
      </c>
      <c r="I9" s="3">
        <v>0</v>
      </c>
      <c r="J9" s="3">
        <v>492997.38307701808</v>
      </c>
      <c r="K9" s="3">
        <v>0</v>
      </c>
      <c r="L9" s="3">
        <v>162</v>
      </c>
      <c r="M9" s="3">
        <v>71625370.520211503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1296</v>
      </c>
      <c r="E10" s="3">
        <v>1166836371.4364359</v>
      </c>
      <c r="F10" s="3">
        <v>5</v>
      </c>
      <c r="G10" s="3">
        <v>21968050.387402311</v>
      </c>
      <c r="H10" s="3">
        <v>3</v>
      </c>
      <c r="I10" s="3">
        <v>4481481</v>
      </c>
      <c r="J10" s="3">
        <v>1001985.800102983</v>
      </c>
      <c r="K10" s="3">
        <v>4001031.8573364359</v>
      </c>
      <c r="L10" s="3">
        <v>1298</v>
      </c>
      <c r="M10" s="3">
        <v>1184803389.966501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541</v>
      </c>
      <c r="E11" s="3">
        <v>1075786525.5331221</v>
      </c>
      <c r="F11" s="3">
        <v>15</v>
      </c>
      <c r="G11" s="3">
        <v>54190630.709766082</v>
      </c>
      <c r="H11" s="3">
        <v>17</v>
      </c>
      <c r="I11" s="3">
        <v>38175928</v>
      </c>
      <c r="J11" s="3">
        <v>2525555.4305491969</v>
      </c>
      <c r="K11" s="3">
        <v>57147207.568205349</v>
      </c>
      <c r="L11" s="3">
        <v>539</v>
      </c>
      <c r="M11" s="3">
        <v>1072829948.674683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66</v>
      </c>
      <c r="E12" s="3">
        <v>173208634.59768051</v>
      </c>
      <c r="F12" s="3">
        <v>0</v>
      </c>
      <c r="G12" s="3">
        <v>0</v>
      </c>
      <c r="H12" s="3">
        <v>6</v>
      </c>
      <c r="I12" s="3">
        <v>18018519</v>
      </c>
      <c r="J12" s="3">
        <v>2984445.092439936</v>
      </c>
      <c r="K12" s="3">
        <v>23834389.44962354</v>
      </c>
      <c r="L12" s="3">
        <v>60</v>
      </c>
      <c r="M12" s="3">
        <v>149374245.14805701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273</v>
      </c>
      <c r="E14" s="3">
        <v>20912058.39855795</v>
      </c>
      <c r="F14" s="3">
        <v>15</v>
      </c>
      <c r="G14" s="3">
        <v>1751337.247764213</v>
      </c>
      <c r="H14" s="3">
        <v>38</v>
      </c>
      <c r="I14" s="3">
        <v>5291668</v>
      </c>
      <c r="J14" s="3">
        <v>182906.34713603699</v>
      </c>
      <c r="K14" s="3">
        <v>9251274.3612248208</v>
      </c>
      <c r="L14" s="3">
        <v>250</v>
      </c>
      <c r="M14" s="3">
        <v>13412121.285097349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1632</v>
      </c>
      <c r="E15" s="3">
        <v>179069140.35621029</v>
      </c>
      <c r="F15" s="3">
        <v>382</v>
      </c>
      <c r="G15" s="3">
        <v>56760376.592622533</v>
      </c>
      <c r="H15" s="3">
        <v>20</v>
      </c>
      <c r="I15" s="3">
        <v>1851847</v>
      </c>
      <c r="J15" s="3">
        <v>127773.67319865849</v>
      </c>
      <c r="K15" s="3">
        <v>3401422.368422017</v>
      </c>
      <c r="L15" s="3">
        <v>1994</v>
      </c>
      <c r="M15" s="3">
        <v>232428094.58041081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1368.6120000000001</v>
      </c>
      <c r="E16" s="3">
        <v>-46808753.987149946</v>
      </c>
      <c r="F16" s="3">
        <v>551</v>
      </c>
      <c r="G16" s="3">
        <v>303821801.88271022</v>
      </c>
      <c r="H16" s="3">
        <v>151</v>
      </c>
      <c r="I16" s="3">
        <v>298583331</v>
      </c>
      <c r="J16" s="3">
        <v>410714.26427832083</v>
      </c>
      <c r="K16" s="3">
        <v>82547879.479644537</v>
      </c>
      <c r="L16" s="3">
        <v>1768.6120000000001</v>
      </c>
      <c r="M16" s="3">
        <v>174465168.4159157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11</v>
      </c>
      <c r="E17" s="3">
        <v>91099779.943765849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11</v>
      </c>
      <c r="M17" s="3">
        <v>91099779.943765849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86</v>
      </c>
      <c r="E19" s="3">
        <v>798975724.29083347</v>
      </c>
      <c r="F19" s="3">
        <v>15</v>
      </c>
      <c r="G19" s="3">
        <v>217614826.13249561</v>
      </c>
      <c r="H19" s="3">
        <v>1</v>
      </c>
      <c r="I19" s="3">
        <v>13888889</v>
      </c>
      <c r="J19" s="3">
        <v>11704056.909914671</v>
      </c>
      <c r="K19" s="3">
        <v>15578499.06716386</v>
      </c>
      <c r="L19" s="3">
        <v>100</v>
      </c>
      <c r="M19" s="3">
        <v>1001012051.3561651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47</v>
      </c>
      <c r="E21" s="3">
        <v>465001852.04571241</v>
      </c>
      <c r="F21" s="3">
        <v>0</v>
      </c>
      <c r="G21" s="3">
        <v>0</v>
      </c>
      <c r="H21" s="3">
        <v>0</v>
      </c>
      <c r="I21" s="3">
        <v>0</v>
      </c>
      <c r="J21" s="3">
        <v>10738152.155172409</v>
      </c>
      <c r="K21" s="3">
        <v>0</v>
      </c>
      <c r="L21" s="3">
        <v>47</v>
      </c>
      <c r="M21" s="3">
        <v>465001852.04571241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36</v>
      </c>
      <c r="E22" s="3">
        <v>118226136.80743431</v>
      </c>
      <c r="F22" s="3">
        <v>30</v>
      </c>
      <c r="G22" s="3">
        <v>2290218.3052982241</v>
      </c>
      <c r="H22" s="3">
        <v>0</v>
      </c>
      <c r="I22" s="3">
        <v>0</v>
      </c>
      <c r="J22" s="3">
        <v>1925651.7840503119</v>
      </c>
      <c r="K22" s="3">
        <v>0</v>
      </c>
      <c r="L22" s="3">
        <v>66</v>
      </c>
      <c r="M22" s="3">
        <v>120516355.1127325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5</v>
      </c>
      <c r="E23" s="3">
        <v>54567066</v>
      </c>
      <c r="F23" s="3">
        <v>5</v>
      </c>
      <c r="G23" s="3">
        <v>65832301.518501133</v>
      </c>
      <c r="H23" s="3">
        <v>1</v>
      </c>
      <c r="I23" s="3">
        <v>14898148</v>
      </c>
      <c r="J23" s="3">
        <v>12243743.6</v>
      </c>
      <c r="K23" s="3">
        <v>16296840.464746511</v>
      </c>
      <c r="L23" s="3">
        <v>9</v>
      </c>
      <c r="M23" s="3">
        <v>104102527.0537546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24</v>
      </c>
      <c r="E24" s="3">
        <v>144261393.83464381</v>
      </c>
      <c r="F24" s="3">
        <v>2</v>
      </c>
      <c r="G24" s="3">
        <v>0</v>
      </c>
      <c r="H24" s="3">
        <v>0</v>
      </c>
      <c r="I24" s="3">
        <v>0</v>
      </c>
      <c r="J24" s="3">
        <v>6050628.3384615388</v>
      </c>
      <c r="K24" s="3">
        <v>0</v>
      </c>
      <c r="L24" s="3">
        <v>26</v>
      </c>
      <c r="M24" s="3">
        <v>144261393.83464381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38</v>
      </c>
      <c r="E25" s="3">
        <v>475453370.85545337</v>
      </c>
      <c r="F25" s="3">
        <v>0</v>
      </c>
      <c r="G25" s="3">
        <v>0</v>
      </c>
      <c r="H25" s="3">
        <v>0</v>
      </c>
      <c r="I25" s="3">
        <v>0</v>
      </c>
      <c r="J25" s="3">
        <v>12847696</v>
      </c>
      <c r="K25" s="3">
        <v>0</v>
      </c>
      <c r="L25" s="3">
        <v>38</v>
      </c>
      <c r="M25" s="3">
        <v>475453370.85545337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29</v>
      </c>
      <c r="E26" s="3">
        <v>245239261.12685099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29</v>
      </c>
      <c r="M26" s="3">
        <v>245239261.12685099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145</v>
      </c>
      <c r="E27" s="3">
        <v>316597396.11908442</v>
      </c>
      <c r="F27" s="3">
        <v>6</v>
      </c>
      <c r="G27" s="3">
        <v>23868475.11237194</v>
      </c>
      <c r="H27" s="3">
        <v>37</v>
      </c>
      <c r="I27" s="3">
        <v>244342591</v>
      </c>
      <c r="J27" s="3">
        <v>3533612.3944879272</v>
      </c>
      <c r="K27" s="3">
        <v>174024270.31526241</v>
      </c>
      <c r="L27" s="3">
        <v>114</v>
      </c>
      <c r="M27" s="3">
        <v>166441600.9161939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26</v>
      </c>
      <c r="E28" s="3">
        <v>36574621.455083609</v>
      </c>
      <c r="F28" s="3">
        <v>15</v>
      </c>
      <c r="G28" s="3">
        <v>173211698.79371849</v>
      </c>
      <c r="H28" s="3">
        <v>3</v>
      </c>
      <c r="I28" s="3">
        <v>37685185</v>
      </c>
      <c r="J28" s="3">
        <v>11923511.7922282</v>
      </c>
      <c r="K28" s="3">
        <v>47611803.008713797</v>
      </c>
      <c r="L28" s="3">
        <v>38</v>
      </c>
      <c r="M28" s="3">
        <v>162174517.24008831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256</v>
      </c>
      <c r="E29" s="3">
        <v>2254479832.038753</v>
      </c>
      <c r="F29" s="3">
        <v>0</v>
      </c>
      <c r="G29" s="3">
        <v>0</v>
      </c>
      <c r="H29" s="3">
        <v>0</v>
      </c>
      <c r="I29" s="3">
        <v>0</v>
      </c>
      <c r="J29" s="3">
        <v>10255804.58031649</v>
      </c>
      <c r="K29" s="3">
        <v>0</v>
      </c>
      <c r="L29" s="3">
        <v>256</v>
      </c>
      <c r="M29" s="3">
        <v>2254479832.038753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3958371</v>
      </c>
      <c r="F30" s="3">
        <v>4</v>
      </c>
      <c r="G30" s="3">
        <v>4778006.1562921228</v>
      </c>
      <c r="H30" s="3">
        <v>4</v>
      </c>
      <c r="I30" s="3">
        <v>5370372</v>
      </c>
      <c r="J30" s="3">
        <v>740358.08333333337</v>
      </c>
      <c r="K30" s="3">
        <v>3941767.474081649</v>
      </c>
      <c r="L30" s="3">
        <v>8</v>
      </c>
      <c r="M30" s="3">
        <v>4794609.6822104733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50</v>
      </c>
      <c r="E31" s="3">
        <v>801278066.8883791</v>
      </c>
      <c r="F31" s="3">
        <v>0</v>
      </c>
      <c r="G31" s="3">
        <v>0</v>
      </c>
      <c r="H31" s="3">
        <v>1</v>
      </c>
      <c r="I31" s="3">
        <v>14444444</v>
      </c>
      <c r="J31" s="3">
        <v>17212288.483333331</v>
      </c>
      <c r="K31" s="3">
        <v>22910143.221724849</v>
      </c>
      <c r="L31" s="3">
        <v>49</v>
      </c>
      <c r="M31" s="3">
        <v>778367923.66665423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17</v>
      </c>
      <c r="E33" s="3">
        <v>35170829.297801606</v>
      </c>
      <c r="F33" s="3">
        <v>0</v>
      </c>
      <c r="G33" s="3">
        <v>0</v>
      </c>
      <c r="H33" s="3">
        <v>0</v>
      </c>
      <c r="I33" s="3">
        <v>0</v>
      </c>
      <c r="J33" s="3">
        <v>2334194.3636363628</v>
      </c>
      <c r="K33" s="3">
        <v>0</v>
      </c>
      <c r="L33" s="3">
        <v>17</v>
      </c>
      <c r="M33" s="3">
        <v>35170829.297801606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25</v>
      </c>
      <c r="E35" s="3">
        <v>49696295.277369097</v>
      </c>
      <c r="F35" s="3">
        <v>3</v>
      </c>
      <c r="G35" s="3">
        <v>6673041.7214967953</v>
      </c>
      <c r="H35" s="3">
        <v>0</v>
      </c>
      <c r="I35" s="3">
        <v>0</v>
      </c>
      <c r="J35" s="3">
        <v>2455240.0893411231</v>
      </c>
      <c r="K35" s="3">
        <v>0</v>
      </c>
      <c r="L35" s="3">
        <v>28</v>
      </c>
      <c r="M35" s="3">
        <v>56369336.998865902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45</v>
      </c>
      <c r="E36" s="3">
        <v>159308840.33784071</v>
      </c>
      <c r="F36" s="3">
        <v>19</v>
      </c>
      <c r="G36" s="3">
        <v>58665293.254034109</v>
      </c>
      <c r="H36" s="3">
        <v>5</v>
      </c>
      <c r="I36" s="3">
        <v>37416666</v>
      </c>
      <c r="J36" s="3">
        <v>6428622.315866271</v>
      </c>
      <c r="K36" s="3">
        <v>42783578.173664913</v>
      </c>
      <c r="L36" s="3">
        <v>59</v>
      </c>
      <c r="M36" s="3">
        <v>175190555.41820991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11</v>
      </c>
      <c r="E37" s="3">
        <v>101673119.9391724</v>
      </c>
      <c r="F37" s="3">
        <v>1</v>
      </c>
      <c r="G37" s="3">
        <v>8316604.503702295</v>
      </c>
      <c r="H37" s="3">
        <v>0</v>
      </c>
      <c r="I37" s="3">
        <v>0</v>
      </c>
      <c r="J37" s="3">
        <v>12693442.529105389</v>
      </c>
      <c r="K37" s="3">
        <v>0</v>
      </c>
      <c r="L37" s="3">
        <v>12</v>
      </c>
      <c r="M37" s="3">
        <v>109989724.4428747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128</v>
      </c>
      <c r="E38" s="3">
        <v>561755372.12987721</v>
      </c>
      <c r="F38" s="3">
        <v>0</v>
      </c>
      <c r="G38" s="3">
        <v>0</v>
      </c>
      <c r="H38" s="3">
        <v>2</v>
      </c>
      <c r="I38" s="3">
        <v>10907407</v>
      </c>
      <c r="J38" s="3">
        <v>4672810.2459036633</v>
      </c>
      <c r="K38" s="3">
        <v>12439339.729316929</v>
      </c>
      <c r="L38" s="3">
        <v>126</v>
      </c>
      <c r="M38" s="3">
        <v>549316032.40056026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859</v>
      </c>
      <c r="E39" s="3">
        <v>1990787336.6166251</v>
      </c>
      <c r="F39" s="3">
        <v>10</v>
      </c>
      <c r="G39" s="3">
        <v>359248.21852904692</v>
      </c>
      <c r="H39" s="3">
        <v>17</v>
      </c>
      <c r="I39" s="3">
        <v>55703703</v>
      </c>
      <c r="J39" s="3">
        <v>2484092.7793369018</v>
      </c>
      <c r="K39" s="3">
        <v>56209008.110574789</v>
      </c>
      <c r="L39" s="3">
        <v>852</v>
      </c>
      <c r="M39" s="3">
        <v>1934937576.72458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539</v>
      </c>
      <c r="E40" s="3">
        <v>99398404.990837216</v>
      </c>
      <c r="F40" s="3">
        <v>274</v>
      </c>
      <c r="G40" s="3">
        <v>84165892.278721675</v>
      </c>
      <c r="H40" s="3">
        <v>36</v>
      </c>
      <c r="I40" s="3">
        <v>51175926</v>
      </c>
      <c r="J40" s="3">
        <v>297658.42362895171</v>
      </c>
      <c r="K40" s="3">
        <v>14262966.62593315</v>
      </c>
      <c r="L40" s="3">
        <v>777</v>
      </c>
      <c r="M40" s="3">
        <v>169301330.6436258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8</v>
      </c>
      <c r="E41" s="3">
        <v>39091619.67341309</v>
      </c>
      <c r="F41" s="3">
        <v>1</v>
      </c>
      <c r="G41" s="3">
        <v>7184971.1603790568</v>
      </c>
      <c r="H41" s="3">
        <v>1</v>
      </c>
      <c r="I41" s="3">
        <v>8148148</v>
      </c>
      <c r="J41" s="3">
        <v>5354048.0864197528</v>
      </c>
      <c r="K41" s="3">
        <v>7126420.6729193563</v>
      </c>
      <c r="L41" s="3">
        <v>8</v>
      </c>
      <c r="M41" s="3">
        <v>39150170.160872787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5</v>
      </c>
      <c r="E42" s="3">
        <v>14524392.567534789</v>
      </c>
      <c r="F42" s="3">
        <v>4</v>
      </c>
      <c r="G42" s="3">
        <v>19258664.865137231</v>
      </c>
      <c r="H42" s="3">
        <v>0</v>
      </c>
      <c r="I42" s="3">
        <v>0</v>
      </c>
      <c r="J42" s="3">
        <v>5028690.2189241182</v>
      </c>
      <c r="K42" s="3">
        <v>0</v>
      </c>
      <c r="L42" s="3">
        <v>9</v>
      </c>
      <c r="M42" s="3">
        <v>33783057.432672016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65787426.289982982</v>
      </c>
      <c r="F43" s="3">
        <v>1</v>
      </c>
      <c r="G43" s="3">
        <v>5927601.4255562332</v>
      </c>
      <c r="H43" s="3">
        <v>1</v>
      </c>
      <c r="I43" s="3">
        <v>6759259</v>
      </c>
      <c r="J43" s="3">
        <v>7464786.166666666</v>
      </c>
      <c r="K43" s="3">
        <v>9935885.0720798597</v>
      </c>
      <c r="L43" s="3">
        <v>9</v>
      </c>
      <c r="M43" s="3">
        <v>61779142.643459357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6</v>
      </c>
      <c r="E44" s="3">
        <v>6780856.9509367924</v>
      </c>
      <c r="F44" s="3">
        <v>0</v>
      </c>
      <c r="G44" s="3">
        <v>0</v>
      </c>
      <c r="H44" s="3">
        <v>0</v>
      </c>
      <c r="I44" s="3">
        <v>0</v>
      </c>
      <c r="J44" s="3">
        <v>1208849.4285714279</v>
      </c>
      <c r="K44" s="3">
        <v>0</v>
      </c>
      <c r="L44" s="3">
        <v>6</v>
      </c>
      <c r="M44" s="3">
        <v>6780856.9509367924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93</v>
      </c>
      <c r="E45" s="3">
        <v>458769919.36902148</v>
      </c>
      <c r="F45" s="3">
        <v>5</v>
      </c>
      <c r="G45" s="3">
        <v>87252498.61513944</v>
      </c>
      <c r="H45" s="3">
        <v>6</v>
      </c>
      <c r="I45" s="3">
        <v>104953705</v>
      </c>
      <c r="J45" s="3">
        <v>6054217.1420184774</v>
      </c>
      <c r="K45" s="3">
        <v>48350217.446112819</v>
      </c>
      <c r="L45" s="3">
        <v>92</v>
      </c>
      <c r="M45" s="3">
        <v>497672200.53804809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164</v>
      </c>
      <c r="E46" s="3">
        <v>57070977.763971858</v>
      </c>
      <c r="F46" s="3">
        <v>0</v>
      </c>
      <c r="G46" s="3">
        <v>0</v>
      </c>
      <c r="H46" s="3">
        <v>6</v>
      </c>
      <c r="I46" s="3">
        <v>2175926</v>
      </c>
      <c r="J46" s="3">
        <v>407386.63566818071</v>
      </c>
      <c r="K46" s="3">
        <v>3253473.0679695802</v>
      </c>
      <c r="L46" s="3">
        <v>158</v>
      </c>
      <c r="M46" s="3">
        <v>53817504.696002267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35955501.713763267</v>
      </c>
      <c r="F47" s="3">
        <v>0</v>
      </c>
      <c r="G47" s="3">
        <v>0</v>
      </c>
      <c r="H47" s="3">
        <v>0</v>
      </c>
      <c r="I47" s="3">
        <v>0</v>
      </c>
      <c r="J47" s="3">
        <v>6747690.0095083499</v>
      </c>
      <c r="K47" s="3">
        <v>0</v>
      </c>
      <c r="L47" s="3">
        <v>9</v>
      </c>
      <c r="M47" s="3">
        <v>35955501.713763267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2347</v>
      </c>
      <c r="E49" s="3">
        <v>829466951.80215549</v>
      </c>
      <c r="F49" s="3">
        <v>0</v>
      </c>
      <c r="G49" s="3">
        <v>0</v>
      </c>
      <c r="H49" s="3">
        <v>14</v>
      </c>
      <c r="I49" s="3">
        <v>6500002</v>
      </c>
      <c r="J49" s="3">
        <v>371382.83122676582</v>
      </c>
      <c r="K49" s="3">
        <v>6920525.0692997808</v>
      </c>
      <c r="L49" s="3">
        <v>2333</v>
      </c>
      <c r="M49" s="3">
        <v>822546426.73285568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283</v>
      </c>
      <c r="E50" s="3">
        <v>188825746.09464431</v>
      </c>
      <c r="F50" s="3">
        <v>1</v>
      </c>
      <c r="G50" s="3">
        <v>1275332.630734856</v>
      </c>
      <c r="H50" s="3">
        <v>12</v>
      </c>
      <c r="I50" s="3">
        <v>9148148</v>
      </c>
      <c r="J50" s="3">
        <v>766580.09551043541</v>
      </c>
      <c r="K50" s="3">
        <v>12244131.13647729</v>
      </c>
      <c r="L50" s="3">
        <v>272</v>
      </c>
      <c r="M50" s="3">
        <v>177856947.58890191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134</v>
      </c>
      <c r="E51" s="3">
        <v>67778110.05502665</v>
      </c>
      <c r="F51" s="3">
        <v>16</v>
      </c>
      <c r="G51" s="3">
        <v>5760658.7192375446</v>
      </c>
      <c r="H51" s="3">
        <v>2</v>
      </c>
      <c r="I51" s="3">
        <v>1230000</v>
      </c>
      <c r="J51" s="3">
        <v>505160.02461489209</v>
      </c>
      <c r="K51" s="3">
        <v>1344770.455715247</v>
      </c>
      <c r="L51" s="3">
        <v>148</v>
      </c>
      <c r="M51" s="3">
        <v>72193998.318548948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17</v>
      </c>
      <c r="E53" s="3">
        <v>45566565.01806803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32</v>
      </c>
      <c r="E54" s="3">
        <v>536164.47758597031</v>
      </c>
      <c r="F54" s="3">
        <v>10</v>
      </c>
      <c r="G54" s="3">
        <v>161665.09323713111</v>
      </c>
      <c r="H54" s="3">
        <v>0</v>
      </c>
      <c r="I54" s="3">
        <v>0</v>
      </c>
      <c r="J54" s="3">
        <v>27870.82616533793</v>
      </c>
      <c r="K54" s="3">
        <v>0</v>
      </c>
      <c r="L54" s="3">
        <v>42</v>
      </c>
      <c r="M54" s="3">
        <v>697829.57082310133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11209</v>
      </c>
      <c r="E55" s="3">
        <v>526635510.86119968</v>
      </c>
      <c r="F55" s="3">
        <v>191</v>
      </c>
      <c r="G55" s="3">
        <v>13902319.224522309</v>
      </c>
      <c r="H55" s="3">
        <v>44</v>
      </c>
      <c r="I55" s="3">
        <v>6509262</v>
      </c>
      <c r="J55" s="3">
        <v>53431.74827865632</v>
      </c>
      <c r="K55" s="3">
        <v>3129257.1177159632</v>
      </c>
      <c r="L55" s="3">
        <v>11356</v>
      </c>
      <c r="M55" s="3">
        <v>537408572.96800613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8</v>
      </c>
      <c r="E56" s="3">
        <v>476333.72089327552</v>
      </c>
      <c r="F56" s="3">
        <v>0</v>
      </c>
      <c r="G56" s="3">
        <v>0</v>
      </c>
      <c r="H56" s="3">
        <v>0</v>
      </c>
      <c r="I56" s="3">
        <v>0</v>
      </c>
      <c r="J56" s="3">
        <v>60309.5</v>
      </c>
      <c r="K56" s="3">
        <v>0</v>
      </c>
      <c r="L56" s="3">
        <v>8</v>
      </c>
      <c r="M56" s="3">
        <v>476333.72089327552</v>
      </c>
    </row>
    <row r="57" spans="1:13" ht="15.75" customHeight="1" x14ac:dyDescent="0.25">
      <c r="C57" s="4" t="s">
        <v>144</v>
      </c>
      <c r="D57" s="5">
        <f t="shared" ref="D57:M57" si="0">SUM(D2:D56)</f>
        <v>28120.612000000001</v>
      </c>
      <c r="E57" s="5">
        <f t="shared" si="0"/>
        <v>15976305507.800476</v>
      </c>
      <c r="F57" s="5">
        <f t="shared" si="0"/>
        <v>1718</v>
      </c>
      <c r="G57" s="5">
        <f t="shared" si="0"/>
        <v>1255752254.5651112</v>
      </c>
      <c r="H57" s="5">
        <f t="shared" si="0"/>
        <v>459</v>
      </c>
      <c r="I57" s="5">
        <f t="shared" si="0"/>
        <v>1005558706</v>
      </c>
      <c r="J57" s="5">
        <f t="shared" si="0"/>
        <v>230279507.02606314</v>
      </c>
      <c r="K57" s="5">
        <f t="shared" si="0"/>
        <v>694225542.47229886</v>
      </c>
      <c r="L57" s="5">
        <f t="shared" si="0"/>
        <v>29379.612000000001</v>
      </c>
      <c r="M57" s="5">
        <f t="shared" si="0"/>
        <v>16537832219.893284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77</v>
      </c>
      <c r="E2" s="3">
        <v>30103172.698882371</v>
      </c>
      <c r="F2" s="3">
        <v>0</v>
      </c>
      <c r="G2" s="3">
        <v>0</v>
      </c>
      <c r="H2" s="3">
        <v>0</v>
      </c>
      <c r="I2" s="3">
        <v>0</v>
      </c>
      <c r="J2" s="3">
        <v>487059.24064648867</v>
      </c>
      <c r="K2" s="3">
        <v>0</v>
      </c>
      <c r="L2" s="3">
        <v>77</v>
      </c>
      <c r="M2" s="3">
        <v>30103172.698882371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34</v>
      </c>
      <c r="E3" s="3">
        <v>20793896.27315668</v>
      </c>
      <c r="F3" s="3">
        <v>6</v>
      </c>
      <c r="G3" s="3">
        <v>8999177.0888786428</v>
      </c>
      <c r="H3" s="3">
        <v>7</v>
      </c>
      <c r="I3" s="3">
        <v>11990741</v>
      </c>
      <c r="J3" s="3">
        <v>1372557.30470065</v>
      </c>
      <c r="K3" s="3">
        <v>12788444.21113185</v>
      </c>
      <c r="L3" s="3">
        <v>33</v>
      </c>
      <c r="M3" s="3">
        <v>17004629.150903471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1551</v>
      </c>
      <c r="E4" s="3">
        <v>534906585.33465612</v>
      </c>
      <c r="F4" s="3">
        <v>0</v>
      </c>
      <c r="G4" s="3">
        <v>0</v>
      </c>
      <c r="H4" s="3">
        <v>6</v>
      </c>
      <c r="I4" s="3">
        <v>2583333</v>
      </c>
      <c r="J4" s="3">
        <v>370159.87119187601</v>
      </c>
      <c r="K4" s="3">
        <v>2956172.506225198</v>
      </c>
      <c r="L4" s="3">
        <v>1545</v>
      </c>
      <c r="M4" s="3">
        <v>531950412.82843101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2255</v>
      </c>
      <c r="E5" s="3">
        <v>266157818.10265431</v>
      </c>
      <c r="F5" s="3">
        <v>58</v>
      </c>
      <c r="G5" s="3">
        <v>7184970.1904078973</v>
      </c>
      <c r="H5" s="3">
        <v>133</v>
      </c>
      <c r="I5" s="3">
        <v>20722222</v>
      </c>
      <c r="J5" s="3">
        <v>130619.6656095309</v>
      </c>
      <c r="K5" s="3">
        <v>23123277.778833039</v>
      </c>
      <c r="L5" s="3">
        <v>2180</v>
      </c>
      <c r="M5" s="3">
        <v>250219510.51422921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83</v>
      </c>
      <c r="E6" s="3">
        <v>3071890.4438420418</v>
      </c>
      <c r="F6" s="3">
        <v>15</v>
      </c>
      <c r="G6" s="3">
        <v>1302275.519646165</v>
      </c>
      <c r="H6" s="3">
        <v>4</v>
      </c>
      <c r="I6" s="3">
        <v>805556</v>
      </c>
      <c r="J6" s="3">
        <v>57168.464933446572</v>
      </c>
      <c r="K6" s="3">
        <v>304372.70922100462</v>
      </c>
      <c r="L6" s="3">
        <v>94</v>
      </c>
      <c r="M6" s="3">
        <v>4069793.2542672032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92</v>
      </c>
      <c r="E7" s="3">
        <v>2338752.62561876</v>
      </c>
      <c r="F7" s="3">
        <v>12</v>
      </c>
      <c r="G7" s="3">
        <v>377210.14446991921</v>
      </c>
      <c r="H7" s="3">
        <v>0</v>
      </c>
      <c r="I7" s="3">
        <v>0</v>
      </c>
      <c r="J7" s="3">
        <v>29445.697191697189</v>
      </c>
      <c r="K7" s="3">
        <v>0</v>
      </c>
      <c r="L7" s="3">
        <v>104</v>
      </c>
      <c r="M7" s="3">
        <v>2715962.7700886792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1936</v>
      </c>
      <c r="E8" s="3">
        <v>724703381.13436699</v>
      </c>
      <c r="F8" s="3">
        <v>44</v>
      </c>
      <c r="G8" s="3">
        <v>36939734.686660543</v>
      </c>
      <c r="H8" s="3">
        <v>26</v>
      </c>
      <c r="I8" s="3">
        <v>5777782</v>
      </c>
      <c r="J8" s="3">
        <v>441068.11363530607</v>
      </c>
      <c r="K8" s="3">
        <v>15263994.398905329</v>
      </c>
      <c r="L8" s="3">
        <v>1954</v>
      </c>
      <c r="M8" s="3">
        <v>746379121.42212224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162</v>
      </c>
      <c r="E9" s="3">
        <v>71625370.520211503</v>
      </c>
      <c r="F9" s="3">
        <v>2</v>
      </c>
      <c r="G9" s="3">
        <v>-50808982.744482659</v>
      </c>
      <c r="H9" s="3">
        <v>0</v>
      </c>
      <c r="I9" s="3">
        <v>0</v>
      </c>
      <c r="J9" s="3">
        <v>167583.0735272984</v>
      </c>
      <c r="K9" s="3">
        <v>0</v>
      </c>
      <c r="L9" s="3">
        <v>164</v>
      </c>
      <c r="M9" s="3">
        <v>20816387.77572884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1298</v>
      </c>
      <c r="E10" s="3">
        <v>1184803389.966501</v>
      </c>
      <c r="F10" s="3">
        <v>13</v>
      </c>
      <c r="G10" s="3">
        <v>20746547.671131618</v>
      </c>
      <c r="H10" s="3">
        <v>3</v>
      </c>
      <c r="I10" s="3">
        <v>5453704</v>
      </c>
      <c r="J10" s="3">
        <v>1008364.910710045</v>
      </c>
      <c r="K10" s="3">
        <v>4026504.2989196428</v>
      </c>
      <c r="L10" s="3">
        <v>1308</v>
      </c>
      <c r="M10" s="3">
        <v>1201523433.3387129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539</v>
      </c>
      <c r="E11" s="3">
        <v>1072829948.674683</v>
      </c>
      <c r="F11" s="3">
        <v>83</v>
      </c>
      <c r="G11" s="3">
        <v>173625379.13286701</v>
      </c>
      <c r="H11" s="3">
        <v>54</v>
      </c>
      <c r="I11" s="3">
        <v>105453705</v>
      </c>
      <c r="J11" s="3">
        <v>2476326.2625767859</v>
      </c>
      <c r="K11" s="3">
        <v>177988036.12265259</v>
      </c>
      <c r="L11" s="3">
        <v>568</v>
      </c>
      <c r="M11" s="3">
        <v>1068467291.684898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60</v>
      </c>
      <c r="E12" s="3">
        <v>149374245.14805701</v>
      </c>
      <c r="F12" s="3">
        <v>2</v>
      </c>
      <c r="G12" s="3">
        <v>5478540.6674093446</v>
      </c>
      <c r="H12" s="3">
        <v>1</v>
      </c>
      <c r="I12" s="3">
        <v>2546296</v>
      </c>
      <c r="J12" s="3">
        <v>2979271.8313934859</v>
      </c>
      <c r="K12" s="3">
        <v>3965512.4546493129</v>
      </c>
      <c r="L12" s="3">
        <v>61</v>
      </c>
      <c r="M12" s="3">
        <v>150887273.36081699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250</v>
      </c>
      <c r="E14" s="3">
        <v>13412121.285097349</v>
      </c>
      <c r="F14" s="3">
        <v>158</v>
      </c>
      <c r="G14" s="3">
        <v>31981204.287867401</v>
      </c>
      <c r="H14" s="3">
        <v>43</v>
      </c>
      <c r="I14" s="3">
        <v>4814816</v>
      </c>
      <c r="J14" s="3">
        <v>192886.962705905</v>
      </c>
      <c r="K14" s="3">
        <v>11039782.516741751</v>
      </c>
      <c r="L14" s="3">
        <v>365</v>
      </c>
      <c r="M14" s="3">
        <v>34353543.056222998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1994</v>
      </c>
      <c r="E15" s="3">
        <v>232428094.58041081</v>
      </c>
      <c r="F15" s="3">
        <v>302</v>
      </c>
      <c r="G15" s="3">
        <v>44181291.054600477</v>
      </c>
      <c r="H15" s="3">
        <v>95</v>
      </c>
      <c r="I15" s="3">
        <v>9111110</v>
      </c>
      <c r="J15" s="3">
        <v>130805.6539016224</v>
      </c>
      <c r="K15" s="3">
        <v>16540144.87730296</v>
      </c>
      <c r="L15" s="3">
        <v>2201</v>
      </c>
      <c r="M15" s="3">
        <v>260069240.75770831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1768.6120000000001</v>
      </c>
      <c r="E16" s="3">
        <v>174465168.4159157</v>
      </c>
      <c r="F16" s="3">
        <v>704.45499999999993</v>
      </c>
      <c r="G16" s="3">
        <v>327450930.12429881</v>
      </c>
      <c r="H16" s="3">
        <v>269</v>
      </c>
      <c r="I16" s="3">
        <v>465377776</v>
      </c>
      <c r="J16" s="3">
        <v>430227.92832320812</v>
      </c>
      <c r="K16" s="3">
        <v>154042325.76026031</v>
      </c>
      <c r="L16" s="3">
        <v>2204.067</v>
      </c>
      <c r="M16" s="3">
        <v>347873772.77995408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11</v>
      </c>
      <c r="E17" s="3">
        <v>91099779.943765849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11</v>
      </c>
      <c r="M17" s="3">
        <v>91099779.943765849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100</v>
      </c>
      <c r="E19" s="3">
        <v>1001012051.3561651</v>
      </c>
      <c r="F19" s="3">
        <v>20</v>
      </c>
      <c r="G19" s="3">
        <v>260136175.85177979</v>
      </c>
      <c r="H19" s="3">
        <v>7</v>
      </c>
      <c r="I19" s="3">
        <v>96962963</v>
      </c>
      <c r="J19" s="3">
        <v>11988294.078192711</v>
      </c>
      <c r="K19" s="3">
        <v>111697799.0503986</v>
      </c>
      <c r="L19" s="3">
        <v>113</v>
      </c>
      <c r="M19" s="3">
        <v>1149450428.157546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47</v>
      </c>
      <c r="E21" s="3">
        <v>465001852.04571241</v>
      </c>
      <c r="F21" s="3">
        <v>0</v>
      </c>
      <c r="G21" s="3">
        <v>0</v>
      </c>
      <c r="H21" s="3">
        <v>0</v>
      </c>
      <c r="I21" s="3">
        <v>0</v>
      </c>
      <c r="J21" s="3">
        <v>10738152.155172409</v>
      </c>
      <c r="K21" s="3">
        <v>0</v>
      </c>
      <c r="L21" s="3">
        <v>47</v>
      </c>
      <c r="M21" s="3">
        <v>465001852.04571241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66</v>
      </c>
      <c r="E22" s="3">
        <v>120516355.1127325</v>
      </c>
      <c r="F22" s="3">
        <v>0</v>
      </c>
      <c r="G22" s="3">
        <v>0</v>
      </c>
      <c r="H22" s="3">
        <v>0</v>
      </c>
      <c r="I22" s="3">
        <v>0</v>
      </c>
      <c r="J22" s="3">
        <v>1925651.7840503119</v>
      </c>
      <c r="K22" s="3">
        <v>0</v>
      </c>
      <c r="L22" s="3">
        <v>66</v>
      </c>
      <c r="M22" s="3">
        <v>120516355.1127325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9</v>
      </c>
      <c r="E23" s="3">
        <v>104102527.0537546</v>
      </c>
      <c r="F23" s="3">
        <v>8</v>
      </c>
      <c r="G23" s="3">
        <v>101363971.20050719</v>
      </c>
      <c r="H23" s="3">
        <v>1</v>
      </c>
      <c r="I23" s="3">
        <v>14620370</v>
      </c>
      <c r="J23" s="3">
        <v>12629161.10779682</v>
      </c>
      <c r="K23" s="3">
        <v>16809844.317333311</v>
      </c>
      <c r="L23" s="3">
        <v>16</v>
      </c>
      <c r="M23" s="3">
        <v>188656653.93692851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26</v>
      </c>
      <c r="E24" s="3">
        <v>144261393.83464381</v>
      </c>
      <c r="F24" s="3">
        <v>0</v>
      </c>
      <c r="G24" s="3">
        <v>0</v>
      </c>
      <c r="H24" s="3">
        <v>2</v>
      </c>
      <c r="I24" s="3">
        <v>16111112</v>
      </c>
      <c r="J24" s="3">
        <v>6050628.3384615388</v>
      </c>
      <c r="K24" s="3">
        <v>16107185.508749461</v>
      </c>
      <c r="L24" s="3">
        <v>24</v>
      </c>
      <c r="M24" s="3">
        <v>128154208.3258943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38</v>
      </c>
      <c r="E25" s="3">
        <v>475453370.85545337</v>
      </c>
      <c r="F25" s="3">
        <v>0</v>
      </c>
      <c r="G25" s="3">
        <v>0</v>
      </c>
      <c r="H25" s="3">
        <v>0</v>
      </c>
      <c r="I25" s="3">
        <v>0</v>
      </c>
      <c r="J25" s="3">
        <v>12847696</v>
      </c>
      <c r="K25" s="3">
        <v>0</v>
      </c>
      <c r="L25" s="3">
        <v>38</v>
      </c>
      <c r="M25" s="3">
        <v>475453370.85545337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29</v>
      </c>
      <c r="E26" s="3">
        <v>245239261.12685099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29</v>
      </c>
      <c r="M26" s="3">
        <v>245239261.12685099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114</v>
      </c>
      <c r="E27" s="3">
        <v>166441600.9161939</v>
      </c>
      <c r="F27" s="3">
        <v>50</v>
      </c>
      <c r="G27" s="3">
        <v>65139232.54795175</v>
      </c>
      <c r="H27" s="3">
        <v>11</v>
      </c>
      <c r="I27" s="3">
        <v>80925926</v>
      </c>
      <c r="J27" s="3">
        <v>2865778.400207534</v>
      </c>
      <c r="K27" s="3">
        <v>41958937.081178777</v>
      </c>
      <c r="L27" s="3">
        <v>153</v>
      </c>
      <c r="M27" s="3">
        <v>189621896.38296691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38</v>
      </c>
      <c r="E28" s="3">
        <v>162174517.24008831</v>
      </c>
      <c r="F28" s="3">
        <v>34</v>
      </c>
      <c r="G28" s="3">
        <v>363065130.90388912</v>
      </c>
      <c r="H28" s="3">
        <v>14</v>
      </c>
      <c r="I28" s="3">
        <v>157166668</v>
      </c>
      <c r="J28" s="3">
        <v>11491646.19879769</v>
      </c>
      <c r="K28" s="3">
        <v>214140824.2906715</v>
      </c>
      <c r="L28" s="3">
        <v>58</v>
      </c>
      <c r="M28" s="3">
        <v>311098823.85330588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256</v>
      </c>
      <c r="E29" s="3">
        <v>2254479832.038753</v>
      </c>
      <c r="F29" s="3">
        <v>0</v>
      </c>
      <c r="G29" s="3">
        <v>0</v>
      </c>
      <c r="H29" s="3">
        <v>1</v>
      </c>
      <c r="I29" s="3">
        <v>12490741</v>
      </c>
      <c r="J29" s="3">
        <v>10255804.58031649</v>
      </c>
      <c r="K29" s="3">
        <v>13650825.804865301</v>
      </c>
      <c r="L29" s="3">
        <v>255</v>
      </c>
      <c r="M29" s="3">
        <v>2240829006.2338881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4794609.6822104733</v>
      </c>
      <c r="F30" s="3">
        <v>0</v>
      </c>
      <c r="G30" s="3">
        <v>0</v>
      </c>
      <c r="H30" s="3">
        <v>0</v>
      </c>
      <c r="I30" s="3">
        <v>0</v>
      </c>
      <c r="J30" s="3">
        <v>740358.08333333326</v>
      </c>
      <c r="K30" s="3">
        <v>0</v>
      </c>
      <c r="L30" s="3">
        <v>8</v>
      </c>
      <c r="M30" s="3">
        <v>4794609.6822104733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49</v>
      </c>
      <c r="E31" s="3">
        <v>778367923.66665423</v>
      </c>
      <c r="F31" s="3">
        <v>3</v>
      </c>
      <c r="G31" s="3">
        <v>73286709.327762559</v>
      </c>
      <c r="H31" s="3">
        <v>0</v>
      </c>
      <c r="I31" s="3">
        <v>0</v>
      </c>
      <c r="J31" s="3">
        <v>17672263.282371789</v>
      </c>
      <c r="K31" s="3">
        <v>0</v>
      </c>
      <c r="L31" s="3">
        <v>52</v>
      </c>
      <c r="M31" s="3">
        <v>851654632.99441683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17</v>
      </c>
      <c r="E33" s="3">
        <v>35170829.297801606</v>
      </c>
      <c r="F33" s="3">
        <v>10</v>
      </c>
      <c r="G33" s="3">
        <v>10552926.361495139</v>
      </c>
      <c r="H33" s="3">
        <v>0</v>
      </c>
      <c r="I33" s="3">
        <v>0</v>
      </c>
      <c r="J33" s="3">
        <v>1872627.154882154</v>
      </c>
      <c r="K33" s="3">
        <v>0</v>
      </c>
      <c r="L33" s="3">
        <v>27</v>
      </c>
      <c r="M33" s="3">
        <v>45723755.659296751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28</v>
      </c>
      <c r="E35" s="3">
        <v>56369336.998865902</v>
      </c>
      <c r="F35" s="3">
        <v>17</v>
      </c>
      <c r="G35" s="3">
        <v>41313586.839600272</v>
      </c>
      <c r="H35" s="3">
        <v>0</v>
      </c>
      <c r="I35" s="3">
        <v>0</v>
      </c>
      <c r="J35" s="3">
        <v>2474207.011145588</v>
      </c>
      <c r="K35" s="3">
        <v>0</v>
      </c>
      <c r="L35" s="3">
        <v>45</v>
      </c>
      <c r="M35" s="3">
        <v>97682923.838466167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59</v>
      </c>
      <c r="E36" s="3">
        <v>175190555.41820991</v>
      </c>
      <c r="F36" s="3">
        <v>9</v>
      </c>
      <c r="G36" s="3">
        <v>28528827.646840759</v>
      </c>
      <c r="H36" s="3">
        <v>7</v>
      </c>
      <c r="I36" s="3">
        <v>50256902</v>
      </c>
      <c r="J36" s="3">
        <v>6010305.2005310291</v>
      </c>
      <c r="K36" s="3">
        <v>55999448.974285387</v>
      </c>
      <c r="L36" s="3">
        <v>61</v>
      </c>
      <c r="M36" s="3">
        <v>147719934.0907653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12</v>
      </c>
      <c r="E37" s="3">
        <v>109989724.4428747</v>
      </c>
      <c r="F37" s="3">
        <v>9</v>
      </c>
      <c r="G37" s="3">
        <v>137712553.63423541</v>
      </c>
      <c r="H37" s="3">
        <v>1</v>
      </c>
      <c r="I37" s="3">
        <v>13888889</v>
      </c>
      <c r="J37" s="3">
        <v>14014154.111869751</v>
      </c>
      <c r="K37" s="3">
        <v>18653317.259070389</v>
      </c>
      <c r="L37" s="3">
        <v>20</v>
      </c>
      <c r="M37" s="3">
        <v>229048960.81803969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126</v>
      </c>
      <c r="E38" s="3">
        <v>549316032.40056026</v>
      </c>
      <c r="F38" s="3">
        <v>0</v>
      </c>
      <c r="G38" s="3">
        <v>0</v>
      </c>
      <c r="H38" s="3">
        <v>2</v>
      </c>
      <c r="I38" s="3">
        <v>10731481</v>
      </c>
      <c r="J38" s="3">
        <v>4672810.2459036633</v>
      </c>
      <c r="K38" s="3">
        <v>12439339.729316929</v>
      </c>
      <c r="L38" s="3">
        <v>124</v>
      </c>
      <c r="M38" s="3">
        <v>536876692.67124331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852</v>
      </c>
      <c r="E39" s="3">
        <v>1934937576.72458</v>
      </c>
      <c r="F39" s="3">
        <v>0</v>
      </c>
      <c r="G39" s="3">
        <v>0</v>
      </c>
      <c r="H39" s="3">
        <v>5</v>
      </c>
      <c r="I39" s="3">
        <v>16074075</v>
      </c>
      <c r="J39" s="3">
        <v>2484092.7793369018</v>
      </c>
      <c r="K39" s="3">
        <v>16532061.208992589</v>
      </c>
      <c r="L39" s="3">
        <v>847</v>
      </c>
      <c r="M39" s="3">
        <v>1918405515.5155871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777</v>
      </c>
      <c r="E40" s="3">
        <v>169301330.6436258</v>
      </c>
      <c r="F40" s="3">
        <v>54</v>
      </c>
      <c r="G40" s="3">
        <v>46473294.106833108</v>
      </c>
      <c r="H40" s="3">
        <v>112</v>
      </c>
      <c r="I40" s="3">
        <v>26148147</v>
      </c>
      <c r="J40" s="3">
        <v>335971.87985522923</v>
      </c>
      <c r="K40" s="3">
        <v>50085283.898289509</v>
      </c>
      <c r="L40" s="3">
        <v>719</v>
      </c>
      <c r="M40" s="3">
        <v>165689340.85216939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8</v>
      </c>
      <c r="E41" s="3">
        <v>39150170.160872787</v>
      </c>
      <c r="F41" s="3">
        <v>0</v>
      </c>
      <c r="G41" s="3">
        <v>0</v>
      </c>
      <c r="H41" s="3">
        <v>0</v>
      </c>
      <c r="I41" s="3">
        <v>0</v>
      </c>
      <c r="J41" s="3">
        <v>5354048.0864197528</v>
      </c>
      <c r="K41" s="3">
        <v>0</v>
      </c>
      <c r="L41" s="3">
        <v>8</v>
      </c>
      <c r="M41" s="3">
        <v>39150170.160872787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9</v>
      </c>
      <c r="E42" s="3">
        <v>33783057.432672016</v>
      </c>
      <c r="F42" s="3">
        <v>4</v>
      </c>
      <c r="G42" s="3">
        <v>20926230.553668082</v>
      </c>
      <c r="H42" s="3">
        <v>2</v>
      </c>
      <c r="I42" s="3">
        <v>11407407</v>
      </c>
      <c r="J42" s="3">
        <v>5140945.1515628509</v>
      </c>
      <c r="K42" s="3">
        <v>13685546.791919401</v>
      </c>
      <c r="L42" s="3">
        <v>11</v>
      </c>
      <c r="M42" s="3">
        <v>41023741.194420703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61779142.643459357</v>
      </c>
      <c r="F43" s="3">
        <v>0</v>
      </c>
      <c r="G43" s="3">
        <v>0</v>
      </c>
      <c r="H43" s="3">
        <v>0</v>
      </c>
      <c r="I43" s="3">
        <v>0</v>
      </c>
      <c r="J43" s="3">
        <v>7464786.1666666651</v>
      </c>
      <c r="K43" s="3">
        <v>0</v>
      </c>
      <c r="L43" s="3">
        <v>9</v>
      </c>
      <c r="M43" s="3">
        <v>61779142.643459357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6</v>
      </c>
      <c r="E44" s="3">
        <v>6780856.9509367924</v>
      </c>
      <c r="F44" s="3">
        <v>0</v>
      </c>
      <c r="G44" s="3">
        <v>0</v>
      </c>
      <c r="H44" s="3">
        <v>0</v>
      </c>
      <c r="I44" s="3">
        <v>0</v>
      </c>
      <c r="J44" s="3">
        <v>1208849.4285714279</v>
      </c>
      <c r="K44" s="3">
        <v>0</v>
      </c>
      <c r="L44" s="3">
        <v>6</v>
      </c>
      <c r="M44" s="3">
        <v>6780856.9509367924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92</v>
      </c>
      <c r="E45" s="3">
        <v>497672200.53804809</v>
      </c>
      <c r="F45" s="3">
        <v>55</v>
      </c>
      <c r="G45" s="3">
        <v>39517343.807012707</v>
      </c>
      <c r="H45" s="3">
        <v>4</v>
      </c>
      <c r="I45" s="3">
        <v>22453703</v>
      </c>
      <c r="J45" s="3">
        <v>4066181.7555489782</v>
      </c>
      <c r="K45" s="3">
        <v>21648906.5879637</v>
      </c>
      <c r="L45" s="3">
        <v>143</v>
      </c>
      <c r="M45" s="3">
        <v>515540637.75709713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158</v>
      </c>
      <c r="E46" s="3">
        <v>53817504.696002267</v>
      </c>
      <c r="F46" s="3">
        <v>75</v>
      </c>
      <c r="G46" s="3">
        <v>30311598.749987081</v>
      </c>
      <c r="H46" s="3">
        <v>89</v>
      </c>
      <c r="I46" s="3">
        <v>31027776</v>
      </c>
      <c r="J46" s="3">
        <v>410373.77010975342</v>
      </c>
      <c r="K46" s="3">
        <v>48613712.537493341</v>
      </c>
      <c r="L46" s="3">
        <v>144</v>
      </c>
      <c r="M46" s="3">
        <v>35515390.908496007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35955501.713763267</v>
      </c>
      <c r="F47" s="3">
        <v>0</v>
      </c>
      <c r="G47" s="3">
        <v>0</v>
      </c>
      <c r="H47" s="3">
        <v>0</v>
      </c>
      <c r="I47" s="3">
        <v>0</v>
      </c>
      <c r="J47" s="3">
        <v>6747690.0095083499</v>
      </c>
      <c r="K47" s="3">
        <v>0</v>
      </c>
      <c r="L47" s="3">
        <v>9</v>
      </c>
      <c r="M47" s="3">
        <v>35955501.713763267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2333</v>
      </c>
      <c r="E49" s="3">
        <v>822546426.73285568</v>
      </c>
      <c r="F49" s="3">
        <v>185</v>
      </c>
      <c r="G49" s="3">
        <v>69559506.878088593</v>
      </c>
      <c r="H49" s="3">
        <v>433</v>
      </c>
      <c r="I49" s="3">
        <v>149712967</v>
      </c>
      <c r="J49" s="3">
        <v>372577.08866244822</v>
      </c>
      <c r="K49" s="3">
        <v>214730249.60008621</v>
      </c>
      <c r="L49" s="3">
        <v>2085</v>
      </c>
      <c r="M49" s="3">
        <v>677375684.01085806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272</v>
      </c>
      <c r="E50" s="3">
        <v>177856947.58890191</v>
      </c>
      <c r="F50" s="3">
        <v>55</v>
      </c>
      <c r="G50" s="3">
        <v>35430890.228896223</v>
      </c>
      <c r="H50" s="3">
        <v>69</v>
      </c>
      <c r="I50" s="3">
        <v>46666666</v>
      </c>
      <c r="J50" s="3">
        <v>749350.34550103487</v>
      </c>
      <c r="K50" s="3">
        <v>68821350.462245882</v>
      </c>
      <c r="L50" s="3">
        <v>258</v>
      </c>
      <c r="M50" s="3">
        <v>144466487.3555522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148</v>
      </c>
      <c r="E51" s="3">
        <v>72193998.318548948</v>
      </c>
      <c r="F51" s="3">
        <v>16</v>
      </c>
      <c r="G51" s="3">
        <v>0</v>
      </c>
      <c r="H51" s="3">
        <v>5</v>
      </c>
      <c r="I51" s="3">
        <v>3240000</v>
      </c>
      <c r="J51" s="3">
        <v>455876.11977441481</v>
      </c>
      <c r="K51" s="3">
        <v>3033933.345211227</v>
      </c>
      <c r="L51" s="3">
        <v>159</v>
      </c>
      <c r="M51" s="3">
        <v>69160064.973337725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17</v>
      </c>
      <c r="E53" s="3">
        <v>45566565.01806803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42</v>
      </c>
      <c r="E54" s="3">
        <v>697829.57082310133</v>
      </c>
      <c r="F54" s="3">
        <v>0</v>
      </c>
      <c r="G54" s="3">
        <v>0</v>
      </c>
      <c r="H54" s="3">
        <v>1</v>
      </c>
      <c r="I54" s="3">
        <v>555556</v>
      </c>
      <c r="J54" s="3">
        <v>27870.82616533793</v>
      </c>
      <c r="K54" s="3">
        <v>37097.020525421249</v>
      </c>
      <c r="L54" s="3">
        <v>41</v>
      </c>
      <c r="M54" s="3">
        <v>660732.55029768008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11356</v>
      </c>
      <c r="E55" s="3">
        <v>537408572.96800613</v>
      </c>
      <c r="F55" s="3">
        <v>11</v>
      </c>
      <c r="G55" s="3">
        <v>2087236.3205297501</v>
      </c>
      <c r="H55" s="3">
        <v>48</v>
      </c>
      <c r="I55" s="3">
        <v>5148148</v>
      </c>
      <c r="J55" s="3">
        <v>53569.348768577569</v>
      </c>
      <c r="K55" s="3">
        <v>3422526.2829523762</v>
      </c>
      <c r="L55" s="3">
        <v>11319</v>
      </c>
      <c r="M55" s="3">
        <v>536073283.00558352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8</v>
      </c>
      <c r="E56" s="3">
        <v>476333.72089327552</v>
      </c>
      <c r="F56" s="3">
        <v>0</v>
      </c>
      <c r="G56" s="3">
        <v>0</v>
      </c>
      <c r="H56" s="3">
        <v>0</v>
      </c>
      <c r="I56" s="3">
        <v>0</v>
      </c>
      <c r="J56" s="3">
        <v>60309.5</v>
      </c>
      <c r="K56" s="3">
        <v>0</v>
      </c>
      <c r="L56" s="3">
        <v>8</v>
      </c>
      <c r="M56" s="3">
        <v>476333.72089327552</v>
      </c>
    </row>
    <row r="57" spans="1:13" ht="15.75" customHeight="1" x14ac:dyDescent="0.25">
      <c r="C57" s="4" t="s">
        <v>144</v>
      </c>
      <c r="D57" s="5">
        <f t="shared" ref="D57:M57" si="0">SUM(D2:D56)</f>
        <v>29379.612000000001</v>
      </c>
      <c r="E57" s="5">
        <f t="shared" si="0"/>
        <v>16537832219.893284</v>
      </c>
      <c r="F57" s="5">
        <f t="shared" si="0"/>
        <v>2014.4549999999999</v>
      </c>
      <c r="G57" s="5">
        <f t="shared" si="0"/>
        <v>1932863492.7828329</v>
      </c>
      <c r="H57" s="5">
        <f t="shared" si="0"/>
        <v>1455</v>
      </c>
      <c r="I57" s="5">
        <f t="shared" si="0"/>
        <v>1400226538</v>
      </c>
      <c r="J57" s="5">
        <f t="shared" si="0"/>
        <v>228575120.48168662</v>
      </c>
      <c r="K57" s="5">
        <f t="shared" si="0"/>
        <v>1364106757.3863924</v>
      </c>
      <c r="L57" s="5">
        <f t="shared" si="0"/>
        <v>29939.066999999999</v>
      </c>
      <c r="M57" s="5">
        <f t="shared" si="0"/>
        <v>17106588955.289722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77</v>
      </c>
      <c r="E2" s="3">
        <v>30103172.698882371</v>
      </c>
      <c r="F2" s="3">
        <v>23</v>
      </c>
      <c r="G2" s="3">
        <v>9223712.8027934674</v>
      </c>
      <c r="H2" s="3">
        <v>30</v>
      </c>
      <c r="I2" s="3">
        <v>8611110</v>
      </c>
      <c r="J2" s="3">
        <v>470128.26529779629</v>
      </c>
      <c r="K2" s="3">
        <v>18772702.829695512</v>
      </c>
      <c r="L2" s="3">
        <v>70</v>
      </c>
      <c r="M2" s="3">
        <v>20554182.671980329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33</v>
      </c>
      <c r="E3" s="3">
        <v>17004629.150903471</v>
      </c>
      <c r="F3" s="3">
        <v>12</v>
      </c>
      <c r="G3" s="3">
        <v>18366580.44934329</v>
      </c>
      <c r="H3" s="3">
        <v>5</v>
      </c>
      <c r="I3" s="3">
        <v>8240740</v>
      </c>
      <c r="J3" s="3">
        <v>1427323.845669365</v>
      </c>
      <c r="K3" s="3">
        <v>9499083.6807470061</v>
      </c>
      <c r="L3" s="3">
        <v>40</v>
      </c>
      <c r="M3" s="3">
        <v>25872125.919499751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1545</v>
      </c>
      <c r="E4" s="3">
        <v>531950412.82843101</v>
      </c>
      <c r="F4" s="3">
        <v>0</v>
      </c>
      <c r="G4" s="3">
        <v>0</v>
      </c>
      <c r="H4" s="3">
        <v>7</v>
      </c>
      <c r="I4" s="3">
        <v>3277778</v>
      </c>
      <c r="J4" s="3">
        <v>370159.87119187601</v>
      </c>
      <c r="K4" s="3">
        <v>3448867.9239293979</v>
      </c>
      <c r="L4" s="3">
        <v>1538</v>
      </c>
      <c r="M4" s="3">
        <v>528501544.90450162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2180</v>
      </c>
      <c r="E5" s="3">
        <v>250219510.51422921</v>
      </c>
      <c r="F5" s="3">
        <v>78</v>
      </c>
      <c r="G5" s="3">
        <v>7943836.8271451732</v>
      </c>
      <c r="H5" s="3">
        <v>155</v>
      </c>
      <c r="I5" s="3">
        <v>23537041</v>
      </c>
      <c r="J5" s="3">
        <v>129734.5602430369</v>
      </c>
      <c r="K5" s="3">
        <v>26765574.526727822</v>
      </c>
      <c r="L5" s="3">
        <v>2103</v>
      </c>
      <c r="M5" s="3">
        <v>231397772.81464651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94</v>
      </c>
      <c r="E6" s="3">
        <v>4069793.2542672032</v>
      </c>
      <c r="F6" s="3">
        <v>30</v>
      </c>
      <c r="G6" s="3">
        <v>2433903.0431424431</v>
      </c>
      <c r="H6" s="3">
        <v>31</v>
      </c>
      <c r="I6" s="3">
        <v>4740740</v>
      </c>
      <c r="J6" s="3">
        <v>63573.295997935304</v>
      </c>
      <c r="K6" s="3">
        <v>2623165.0051533459</v>
      </c>
      <c r="L6" s="3">
        <v>93</v>
      </c>
      <c r="M6" s="3">
        <v>3880531.2922562989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104</v>
      </c>
      <c r="E7" s="3">
        <v>2715962.7700886792</v>
      </c>
      <c r="F7" s="3">
        <v>0</v>
      </c>
      <c r="G7" s="3">
        <v>0</v>
      </c>
      <c r="H7" s="3">
        <v>0</v>
      </c>
      <c r="I7" s="3">
        <v>0</v>
      </c>
      <c r="J7" s="3">
        <v>29445.697191697189</v>
      </c>
      <c r="K7" s="3">
        <v>0</v>
      </c>
      <c r="L7" s="3">
        <v>104</v>
      </c>
      <c r="M7" s="3">
        <v>2715962.7700886792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1954</v>
      </c>
      <c r="E8" s="3">
        <v>746379121.42212224</v>
      </c>
      <c r="F8" s="3">
        <v>23</v>
      </c>
      <c r="G8" s="3">
        <v>48547953.781302303</v>
      </c>
      <c r="H8" s="3">
        <v>65</v>
      </c>
      <c r="I8" s="3">
        <v>10287058</v>
      </c>
      <c r="J8" s="3">
        <v>461253.42389650393</v>
      </c>
      <c r="K8" s="3">
        <v>39906362.878985994</v>
      </c>
      <c r="L8" s="3">
        <v>1912</v>
      </c>
      <c r="M8" s="3">
        <v>755020712.32443857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164</v>
      </c>
      <c r="E9" s="3">
        <v>20816387.77572884</v>
      </c>
      <c r="F9" s="3">
        <v>0</v>
      </c>
      <c r="G9" s="3">
        <v>0</v>
      </c>
      <c r="H9" s="3">
        <v>0</v>
      </c>
      <c r="I9" s="3">
        <v>0</v>
      </c>
      <c r="J9" s="3">
        <v>167583.0735272984</v>
      </c>
      <c r="K9" s="3">
        <v>0</v>
      </c>
      <c r="L9" s="3">
        <v>164</v>
      </c>
      <c r="M9" s="3">
        <v>20816387.77572884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1308</v>
      </c>
      <c r="E10" s="3">
        <v>1201523433.3387129</v>
      </c>
      <c r="F10" s="3">
        <v>11</v>
      </c>
      <c r="G10" s="3">
        <v>14378609.01307271</v>
      </c>
      <c r="H10" s="3">
        <v>64</v>
      </c>
      <c r="I10" s="3">
        <v>93249999</v>
      </c>
      <c r="J10" s="3">
        <v>1011194.1260111741</v>
      </c>
      <c r="K10" s="3">
        <v>86139768.430918828</v>
      </c>
      <c r="L10" s="3">
        <v>1255</v>
      </c>
      <c r="M10" s="3">
        <v>1129762273.920867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568</v>
      </c>
      <c r="E11" s="3">
        <v>1068467291.684898</v>
      </c>
      <c r="F11" s="3">
        <v>23</v>
      </c>
      <c r="G11" s="3">
        <v>37900721.973776206</v>
      </c>
      <c r="H11" s="3">
        <v>89</v>
      </c>
      <c r="I11" s="3">
        <v>200657411</v>
      </c>
      <c r="J11" s="3">
        <v>2446070.0306998552</v>
      </c>
      <c r="K11" s="3">
        <v>289766437.28281522</v>
      </c>
      <c r="L11" s="3">
        <v>502</v>
      </c>
      <c r="M11" s="3">
        <v>816601576.37585855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61</v>
      </c>
      <c r="E12" s="3">
        <v>150887273.36081699</v>
      </c>
      <c r="F12" s="3">
        <v>0</v>
      </c>
      <c r="G12" s="3">
        <v>0</v>
      </c>
      <c r="H12" s="3">
        <v>7</v>
      </c>
      <c r="I12" s="3">
        <v>14953705</v>
      </c>
      <c r="J12" s="3">
        <v>2979271.8313934868</v>
      </c>
      <c r="K12" s="3">
        <v>27758587.182545189</v>
      </c>
      <c r="L12" s="3">
        <v>54</v>
      </c>
      <c r="M12" s="3">
        <v>123128686.1782718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365</v>
      </c>
      <c r="E14" s="3">
        <v>34353543.056222998</v>
      </c>
      <c r="F14" s="3">
        <v>61</v>
      </c>
      <c r="G14" s="3">
        <v>11513917.52849545</v>
      </c>
      <c r="H14" s="3">
        <v>136</v>
      </c>
      <c r="I14" s="3">
        <v>23219463</v>
      </c>
      <c r="J14" s="3">
        <v>193131.71921984819</v>
      </c>
      <c r="K14" s="3">
        <v>34960827.429112397</v>
      </c>
      <c r="L14" s="3">
        <v>290</v>
      </c>
      <c r="M14" s="3">
        <v>10906633.15560605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2201</v>
      </c>
      <c r="E15" s="3">
        <v>260069240.75770831</v>
      </c>
      <c r="F15" s="3">
        <v>1163</v>
      </c>
      <c r="G15" s="3">
        <v>151972928.98273119</v>
      </c>
      <c r="H15" s="3">
        <v>103</v>
      </c>
      <c r="I15" s="3">
        <v>16509261</v>
      </c>
      <c r="J15" s="3">
        <v>132158.4498327797</v>
      </c>
      <c r="K15" s="3">
        <v>18118462.789295971</v>
      </c>
      <c r="L15" s="3">
        <v>3261</v>
      </c>
      <c r="M15" s="3">
        <v>393923706.9511435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2204.067</v>
      </c>
      <c r="E16" s="3">
        <v>347873772.77995408</v>
      </c>
      <c r="F16" s="3">
        <v>620</v>
      </c>
      <c r="G16" s="3">
        <v>310559667.42810261</v>
      </c>
      <c r="H16" s="3">
        <v>395</v>
      </c>
      <c r="I16" s="3">
        <v>375684639</v>
      </c>
      <c r="J16" s="3">
        <v>449148.44594535063</v>
      </c>
      <c r="K16" s="3">
        <v>236143602.72794989</v>
      </c>
      <c r="L16" s="3">
        <v>2429.067</v>
      </c>
      <c r="M16" s="3">
        <v>422289837.48010671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11</v>
      </c>
      <c r="E17" s="3">
        <v>91099779.943765849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11</v>
      </c>
      <c r="M17" s="3">
        <v>91099779.943765849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113</v>
      </c>
      <c r="E19" s="3">
        <v>1149450428.157546</v>
      </c>
      <c r="F19" s="3">
        <v>9</v>
      </c>
      <c r="G19" s="3">
        <v>137628129.2844114</v>
      </c>
      <c r="H19" s="3">
        <v>5</v>
      </c>
      <c r="I19" s="3">
        <v>65712963</v>
      </c>
      <c r="J19" s="3">
        <v>12266935.40029325</v>
      </c>
      <c r="K19" s="3">
        <v>81638547.710983768</v>
      </c>
      <c r="L19" s="3">
        <v>117</v>
      </c>
      <c r="M19" s="3">
        <v>1205440009.730974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47</v>
      </c>
      <c r="E21" s="3">
        <v>465001852.04571241</v>
      </c>
      <c r="F21" s="3">
        <v>0</v>
      </c>
      <c r="G21" s="3">
        <v>0</v>
      </c>
      <c r="H21" s="3">
        <v>0</v>
      </c>
      <c r="I21" s="3">
        <v>0</v>
      </c>
      <c r="J21" s="3">
        <v>10738152.155172409</v>
      </c>
      <c r="K21" s="3">
        <v>0</v>
      </c>
      <c r="L21" s="3">
        <v>47</v>
      </c>
      <c r="M21" s="3">
        <v>465001852.04571241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66</v>
      </c>
      <c r="E22" s="3">
        <v>120516355.1127325</v>
      </c>
      <c r="F22" s="3">
        <v>0</v>
      </c>
      <c r="G22" s="3">
        <v>0</v>
      </c>
      <c r="H22" s="3">
        <v>0</v>
      </c>
      <c r="I22" s="3">
        <v>0</v>
      </c>
      <c r="J22" s="3">
        <v>1925651.7840503119</v>
      </c>
      <c r="K22" s="3">
        <v>0</v>
      </c>
      <c r="L22" s="3">
        <v>66</v>
      </c>
      <c r="M22" s="3">
        <v>120516355.1127325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16</v>
      </c>
      <c r="E23" s="3">
        <v>188656653.93692851</v>
      </c>
      <c r="F23" s="3">
        <v>3</v>
      </c>
      <c r="G23" s="3">
        <v>39068283.048865817</v>
      </c>
      <c r="H23" s="3">
        <v>1</v>
      </c>
      <c r="I23" s="3">
        <v>14620370</v>
      </c>
      <c r="J23" s="3">
        <v>12754966.09077627</v>
      </c>
      <c r="K23" s="3">
        <v>16977295.041904692</v>
      </c>
      <c r="L23" s="3">
        <v>18</v>
      </c>
      <c r="M23" s="3">
        <v>210747641.94388959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24</v>
      </c>
      <c r="E24" s="3">
        <v>128154208.3258943</v>
      </c>
      <c r="F24" s="3">
        <v>0</v>
      </c>
      <c r="G24" s="3">
        <v>0</v>
      </c>
      <c r="H24" s="3">
        <v>1</v>
      </c>
      <c r="I24" s="3">
        <v>11514815</v>
      </c>
      <c r="J24" s="3">
        <v>6050628.3384615397</v>
      </c>
      <c r="K24" s="3">
        <v>8053592.7543747304</v>
      </c>
      <c r="L24" s="3">
        <v>23</v>
      </c>
      <c r="M24" s="3">
        <v>120100615.5715196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38</v>
      </c>
      <c r="E25" s="3">
        <v>475453370.85545337</v>
      </c>
      <c r="F25" s="3">
        <v>0</v>
      </c>
      <c r="G25" s="3">
        <v>0</v>
      </c>
      <c r="H25" s="3">
        <v>4</v>
      </c>
      <c r="I25" s="3">
        <v>53027779</v>
      </c>
      <c r="J25" s="3">
        <v>12847696</v>
      </c>
      <c r="K25" s="3">
        <v>68402886.859395489</v>
      </c>
      <c r="L25" s="3">
        <v>34</v>
      </c>
      <c r="M25" s="3">
        <v>407050483.99605793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29</v>
      </c>
      <c r="E26" s="3">
        <v>245239261.12685099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29</v>
      </c>
      <c r="M26" s="3">
        <v>245239261.12685099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153</v>
      </c>
      <c r="E27" s="3">
        <v>189621896.38296691</v>
      </c>
      <c r="F27" s="3">
        <v>85</v>
      </c>
      <c r="G27" s="3">
        <v>417702810.76782119</v>
      </c>
      <c r="H27" s="3">
        <v>22</v>
      </c>
      <c r="I27" s="3">
        <v>115703703</v>
      </c>
      <c r="J27" s="3">
        <v>3651673.753074592</v>
      </c>
      <c r="K27" s="3">
        <v>106931051.7764757</v>
      </c>
      <c r="L27" s="3">
        <v>216</v>
      </c>
      <c r="M27" s="3">
        <v>500393655.3743124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58</v>
      </c>
      <c r="E28" s="3">
        <v>311098823.85330588</v>
      </c>
      <c r="F28" s="3">
        <v>34</v>
      </c>
      <c r="G28" s="3">
        <v>439734623.17939728</v>
      </c>
      <c r="H28" s="3">
        <v>30</v>
      </c>
      <c r="I28" s="3">
        <v>355361110</v>
      </c>
      <c r="J28" s="3">
        <v>12172430.66880724</v>
      </c>
      <c r="K28" s="3">
        <v>486057615.60803831</v>
      </c>
      <c r="L28" s="3">
        <v>62</v>
      </c>
      <c r="M28" s="3">
        <v>264775831.42466491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255</v>
      </c>
      <c r="E29" s="3">
        <v>2240829006.2338881</v>
      </c>
      <c r="F29" s="3">
        <v>0</v>
      </c>
      <c r="G29" s="3">
        <v>0</v>
      </c>
      <c r="H29" s="3">
        <v>17</v>
      </c>
      <c r="I29" s="3">
        <v>190416666</v>
      </c>
      <c r="J29" s="3">
        <v>10255804.58031649</v>
      </c>
      <c r="K29" s="3">
        <v>232064038.68271011</v>
      </c>
      <c r="L29" s="3">
        <v>238</v>
      </c>
      <c r="M29" s="3">
        <v>2008764967.551178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4794609.6822104733</v>
      </c>
      <c r="F30" s="3">
        <v>0</v>
      </c>
      <c r="G30" s="3">
        <v>0</v>
      </c>
      <c r="H30" s="3">
        <v>0</v>
      </c>
      <c r="I30" s="3">
        <v>0</v>
      </c>
      <c r="J30" s="3">
        <v>740358.08333333326</v>
      </c>
      <c r="K30" s="3">
        <v>0</v>
      </c>
      <c r="L30" s="3">
        <v>8</v>
      </c>
      <c r="M30" s="3">
        <v>4794609.6822104733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52</v>
      </c>
      <c r="E31" s="3">
        <v>851654632.99441683</v>
      </c>
      <c r="F31" s="3">
        <v>0</v>
      </c>
      <c r="G31" s="3">
        <v>0</v>
      </c>
      <c r="H31" s="3">
        <v>5</v>
      </c>
      <c r="I31" s="3">
        <v>70555556</v>
      </c>
      <c r="J31" s="3">
        <v>17672263.282371789</v>
      </c>
      <c r="K31" s="3">
        <v>117611926.8635332</v>
      </c>
      <c r="L31" s="3">
        <v>47</v>
      </c>
      <c r="M31" s="3">
        <v>734042706.13088357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27</v>
      </c>
      <c r="E33" s="3">
        <v>45723755.659296751</v>
      </c>
      <c r="F33" s="3">
        <v>70</v>
      </c>
      <c r="G33" s="3">
        <v>52225761.419624463</v>
      </c>
      <c r="H33" s="3">
        <v>1</v>
      </c>
      <c r="I33" s="3">
        <v>16138889</v>
      </c>
      <c r="J33" s="3">
        <v>1076325.001874414</v>
      </c>
      <c r="K33" s="3">
        <v>1432625.2996481659</v>
      </c>
      <c r="L33" s="3">
        <v>96</v>
      </c>
      <c r="M33" s="3">
        <v>96516891.779273033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45</v>
      </c>
      <c r="E35" s="3">
        <v>97682923.838466167</v>
      </c>
      <c r="F35" s="3">
        <v>0</v>
      </c>
      <c r="G35" s="3">
        <v>0</v>
      </c>
      <c r="H35" s="3">
        <v>36</v>
      </c>
      <c r="I35" s="3">
        <v>266768519</v>
      </c>
      <c r="J35" s="3">
        <v>2474207.011145588</v>
      </c>
      <c r="K35" s="3">
        <v>118557142.0938846</v>
      </c>
      <c r="L35" s="3">
        <v>9</v>
      </c>
      <c r="M35" s="3">
        <v>-20874218.25541839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61</v>
      </c>
      <c r="E36" s="3">
        <v>147719934.0907653</v>
      </c>
      <c r="F36" s="3">
        <v>30</v>
      </c>
      <c r="G36" s="3">
        <v>286027831.94932038</v>
      </c>
      <c r="H36" s="3">
        <v>14</v>
      </c>
      <c r="I36" s="3">
        <v>175814811</v>
      </c>
      <c r="J36" s="3">
        <v>7269356.4640922286</v>
      </c>
      <c r="K36" s="3">
        <v>135460660.58371139</v>
      </c>
      <c r="L36" s="3">
        <v>77</v>
      </c>
      <c r="M36" s="3">
        <v>298287105.45637441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20</v>
      </c>
      <c r="E37" s="3">
        <v>229048960.81803969</v>
      </c>
      <c r="F37" s="3">
        <v>2</v>
      </c>
      <c r="G37" s="3">
        <v>31973124.428104609</v>
      </c>
      <c r="H37" s="3">
        <v>1</v>
      </c>
      <c r="I37" s="3">
        <v>14722222</v>
      </c>
      <c r="J37" s="3">
        <v>14238456.647154311</v>
      </c>
      <c r="K37" s="3">
        <v>18951871.586308241</v>
      </c>
      <c r="L37" s="3">
        <v>21</v>
      </c>
      <c r="M37" s="3">
        <v>242070213.65983611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124</v>
      </c>
      <c r="E38" s="3">
        <v>536876692.67124331</v>
      </c>
      <c r="F38" s="3">
        <v>3</v>
      </c>
      <c r="G38" s="3">
        <v>8888710.9533509314</v>
      </c>
      <c r="H38" s="3">
        <v>5</v>
      </c>
      <c r="I38" s="3">
        <v>26027779</v>
      </c>
      <c r="J38" s="3">
        <v>4634585.5314334976</v>
      </c>
      <c r="K38" s="3">
        <v>30843957.32772211</v>
      </c>
      <c r="L38" s="3">
        <v>122</v>
      </c>
      <c r="M38" s="3">
        <v>514921446.29687208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847</v>
      </c>
      <c r="E39" s="3">
        <v>1918405515.5155871</v>
      </c>
      <c r="F39" s="3">
        <v>44</v>
      </c>
      <c r="G39" s="3">
        <v>67323141.371593535</v>
      </c>
      <c r="H39" s="3">
        <v>85</v>
      </c>
      <c r="I39" s="3">
        <v>266555554</v>
      </c>
      <c r="J39" s="3">
        <v>2439319.807068862</v>
      </c>
      <c r="K39" s="3">
        <v>275979520.49202389</v>
      </c>
      <c r="L39" s="3">
        <v>806</v>
      </c>
      <c r="M39" s="3">
        <v>1709749136.3951571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719</v>
      </c>
      <c r="E40" s="3">
        <v>165689340.85216939</v>
      </c>
      <c r="F40" s="3">
        <v>242</v>
      </c>
      <c r="G40" s="3">
        <v>56384185.887841761</v>
      </c>
      <c r="H40" s="3">
        <v>117</v>
      </c>
      <c r="I40" s="3">
        <v>81657415</v>
      </c>
      <c r="J40" s="3">
        <v>311855.91739428701</v>
      </c>
      <c r="K40" s="3">
        <v>48565631.319667444</v>
      </c>
      <c r="L40" s="3">
        <v>844</v>
      </c>
      <c r="M40" s="3">
        <v>173507895.4203437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8</v>
      </c>
      <c r="E41" s="3">
        <v>39150170.160872787</v>
      </c>
      <c r="F41" s="3">
        <v>0</v>
      </c>
      <c r="G41" s="3">
        <v>0</v>
      </c>
      <c r="H41" s="3">
        <v>0</v>
      </c>
      <c r="I41" s="3">
        <v>0</v>
      </c>
      <c r="J41" s="3">
        <v>5354048.0864197528</v>
      </c>
      <c r="K41" s="3">
        <v>0</v>
      </c>
      <c r="L41" s="3">
        <v>8</v>
      </c>
      <c r="M41" s="3">
        <v>39150170.160872787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11</v>
      </c>
      <c r="E42" s="3">
        <v>41023741.194420703</v>
      </c>
      <c r="F42" s="3">
        <v>4</v>
      </c>
      <c r="G42" s="3">
        <v>22093787.748873059</v>
      </c>
      <c r="H42" s="3">
        <v>2</v>
      </c>
      <c r="I42" s="3">
        <v>13333334</v>
      </c>
      <c r="J42" s="3">
        <v>5288544.9778127568</v>
      </c>
      <c r="K42" s="3">
        <v>14078467.601044981</v>
      </c>
      <c r="L42" s="3">
        <v>13</v>
      </c>
      <c r="M42" s="3">
        <v>49039061.34224879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9</v>
      </c>
      <c r="E43" s="3">
        <v>61779142.643459357</v>
      </c>
      <c r="F43" s="3">
        <v>1</v>
      </c>
      <c r="G43" s="3">
        <v>4176265.1477631801</v>
      </c>
      <c r="H43" s="3">
        <v>0</v>
      </c>
      <c r="I43" s="3">
        <v>0</v>
      </c>
      <c r="J43" s="3">
        <v>7148863.1499999994</v>
      </c>
      <c r="K43" s="3">
        <v>0</v>
      </c>
      <c r="L43" s="3">
        <v>10</v>
      </c>
      <c r="M43" s="3">
        <v>65955407.791222543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6</v>
      </c>
      <c r="E44" s="3">
        <v>6780856.9509367924</v>
      </c>
      <c r="F44" s="3">
        <v>0</v>
      </c>
      <c r="G44" s="3">
        <v>0</v>
      </c>
      <c r="H44" s="3">
        <v>0</v>
      </c>
      <c r="I44" s="3">
        <v>0</v>
      </c>
      <c r="J44" s="3">
        <v>1208849.4285714279</v>
      </c>
      <c r="K44" s="3">
        <v>0</v>
      </c>
      <c r="L44" s="3">
        <v>6</v>
      </c>
      <c r="M44" s="3">
        <v>6780856.9509367924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143</v>
      </c>
      <c r="E45" s="3">
        <v>515540637.75709713</v>
      </c>
      <c r="F45" s="3">
        <v>40</v>
      </c>
      <c r="G45" s="3">
        <v>28739886.58145855</v>
      </c>
      <c r="H45" s="3">
        <v>3</v>
      </c>
      <c r="I45" s="3">
        <v>51101852</v>
      </c>
      <c r="J45" s="3">
        <v>3339309.4046093109</v>
      </c>
      <c r="K45" s="3">
        <v>13334204.245181739</v>
      </c>
      <c r="L45" s="3">
        <v>180</v>
      </c>
      <c r="M45" s="3">
        <v>530946320.09337401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144</v>
      </c>
      <c r="E46" s="3">
        <v>35515390.908496007</v>
      </c>
      <c r="F46" s="3">
        <v>185</v>
      </c>
      <c r="G46" s="3">
        <v>74768609.9266444</v>
      </c>
      <c r="H46" s="3">
        <v>58</v>
      </c>
      <c r="I46" s="3">
        <v>22944444</v>
      </c>
      <c r="J46" s="3">
        <v>413912.32795077353</v>
      </c>
      <c r="K46" s="3">
        <v>31954022.96323197</v>
      </c>
      <c r="L46" s="3">
        <v>271</v>
      </c>
      <c r="M46" s="3">
        <v>78329977.871908441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35955501.713763267</v>
      </c>
      <c r="F47" s="3">
        <v>1</v>
      </c>
      <c r="G47" s="3">
        <v>6152132.2896152567</v>
      </c>
      <c r="H47" s="3">
        <v>2</v>
      </c>
      <c r="I47" s="3">
        <v>14388889</v>
      </c>
      <c r="J47" s="3">
        <v>6707180.308557515</v>
      </c>
      <c r="K47" s="3">
        <v>17854971.653743401</v>
      </c>
      <c r="L47" s="3">
        <v>8</v>
      </c>
      <c r="M47" s="3">
        <v>24252662.34963512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2085</v>
      </c>
      <c r="E49" s="3">
        <v>677375684.01085806</v>
      </c>
      <c r="F49" s="3">
        <v>300</v>
      </c>
      <c r="G49" s="3">
        <v>119090902.7788606</v>
      </c>
      <c r="H49" s="3">
        <v>160</v>
      </c>
      <c r="I49" s="3">
        <v>57074080</v>
      </c>
      <c r="J49" s="3">
        <v>377191.19784536882</v>
      </c>
      <c r="K49" s="3">
        <v>80328696.54006952</v>
      </c>
      <c r="L49" s="3">
        <v>2225</v>
      </c>
      <c r="M49" s="3">
        <v>716137890.24964905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258</v>
      </c>
      <c r="E50" s="3">
        <v>144466487.3555522</v>
      </c>
      <c r="F50" s="3">
        <v>145</v>
      </c>
      <c r="G50" s="3">
        <v>95694840.480312482</v>
      </c>
      <c r="H50" s="3">
        <v>8</v>
      </c>
      <c r="I50" s="3">
        <v>6564815</v>
      </c>
      <c r="J50" s="3">
        <v>724540.43955153099</v>
      </c>
      <c r="K50" s="3">
        <v>7715104.3598323073</v>
      </c>
      <c r="L50" s="3">
        <v>395</v>
      </c>
      <c r="M50" s="3">
        <v>232446223.47603229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159</v>
      </c>
      <c r="E51" s="3">
        <v>69160064.973337725</v>
      </c>
      <c r="F51" s="3">
        <v>0</v>
      </c>
      <c r="G51" s="3">
        <v>0</v>
      </c>
      <c r="H51" s="3">
        <v>8</v>
      </c>
      <c r="I51" s="3">
        <v>3710000</v>
      </c>
      <c r="J51" s="3">
        <v>455876.11977441481</v>
      </c>
      <c r="K51" s="3">
        <v>4854293.3523379629</v>
      </c>
      <c r="L51" s="3">
        <v>151</v>
      </c>
      <c r="M51" s="3">
        <v>64305771.620999761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17</v>
      </c>
      <c r="E53" s="3">
        <v>45566565.01806803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41</v>
      </c>
      <c r="E54" s="3">
        <v>660732.55029768008</v>
      </c>
      <c r="F54" s="3">
        <v>32</v>
      </c>
      <c r="G54" s="3">
        <v>1122625.221160321</v>
      </c>
      <c r="H54" s="3">
        <v>11</v>
      </c>
      <c r="I54" s="3">
        <v>953704</v>
      </c>
      <c r="J54" s="3">
        <v>31507.998257244592</v>
      </c>
      <c r="K54" s="3">
        <v>461320.4274042531</v>
      </c>
      <c r="L54" s="3">
        <v>62</v>
      </c>
      <c r="M54" s="3">
        <v>1322037.344053749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11319</v>
      </c>
      <c r="E55" s="3">
        <v>536073283.00558352</v>
      </c>
      <c r="F55" s="3">
        <v>181</v>
      </c>
      <c r="G55" s="3">
        <v>10530474.439054631</v>
      </c>
      <c r="H55" s="3">
        <v>27</v>
      </c>
      <c r="I55" s="3">
        <v>4101851</v>
      </c>
      <c r="J55" s="3">
        <v>53670.255714046041</v>
      </c>
      <c r="K55" s="3">
        <v>1928797.420014323</v>
      </c>
      <c r="L55" s="3">
        <v>11473</v>
      </c>
      <c r="M55" s="3">
        <v>544674960.02462375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8</v>
      </c>
      <c r="E56" s="3">
        <v>476333.72089327552</v>
      </c>
      <c r="F56" s="3">
        <v>3</v>
      </c>
      <c r="G56" s="3">
        <v>202076.03170503379</v>
      </c>
      <c r="H56" s="3">
        <v>0</v>
      </c>
      <c r="I56" s="3">
        <v>0</v>
      </c>
      <c r="J56" s="3">
        <v>62800.727272727272</v>
      </c>
      <c r="K56" s="3">
        <v>0</v>
      </c>
      <c r="L56" s="3">
        <v>11</v>
      </c>
      <c r="M56" s="3">
        <v>678409.75259830931</v>
      </c>
    </row>
    <row r="57" spans="1:13" ht="15.75" customHeight="1" x14ac:dyDescent="0.25">
      <c r="C57" s="4" t="s">
        <v>144</v>
      </c>
      <c r="D57" s="5">
        <f t="shared" ref="D57:M57" si="0">SUM(D2:D56)</f>
        <v>29939.066999999999</v>
      </c>
      <c r="E57" s="5">
        <f t="shared" si="0"/>
        <v>17106588955.289722</v>
      </c>
      <c r="F57" s="5">
        <f t="shared" si="0"/>
        <v>3458</v>
      </c>
      <c r="G57" s="5">
        <f t="shared" si="0"/>
        <v>2512370034.7656837</v>
      </c>
      <c r="H57" s="5">
        <f t="shared" si="0"/>
        <v>1710</v>
      </c>
      <c r="I57" s="5">
        <f t="shared" si="0"/>
        <v>2681740065</v>
      </c>
      <c r="J57" s="5">
        <f t="shared" si="0"/>
        <v>230136683.08643004</v>
      </c>
      <c r="K57" s="5">
        <f t="shared" si="0"/>
        <v>2713941685.2511191</v>
      </c>
      <c r="L57" s="5">
        <f t="shared" si="0"/>
        <v>31687.066999999999</v>
      </c>
      <c r="M57" s="5">
        <f t="shared" si="0"/>
        <v>16905017304.804287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70</v>
      </c>
      <c r="E2" s="3">
        <v>20554182.671980329</v>
      </c>
      <c r="F2" s="3">
        <v>15</v>
      </c>
      <c r="G2" s="3">
        <v>4917215.4472041037</v>
      </c>
      <c r="H2" s="3">
        <v>0</v>
      </c>
      <c r="I2" s="3">
        <v>0</v>
      </c>
      <c r="J2" s="3">
        <v>446804.98318642052</v>
      </c>
      <c r="K2" s="3">
        <v>0</v>
      </c>
      <c r="L2" s="3">
        <v>85</v>
      </c>
      <c r="M2" s="3">
        <v>25471398.119184431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40</v>
      </c>
      <c r="E3" s="3">
        <v>25872125.919499751</v>
      </c>
      <c r="F3" s="3">
        <v>9</v>
      </c>
      <c r="G3" s="3">
        <v>12654530.86481797</v>
      </c>
      <c r="H3" s="3">
        <v>9</v>
      </c>
      <c r="I3" s="3">
        <v>13629629</v>
      </c>
      <c r="J3" s="3">
        <v>1431413.261770911</v>
      </c>
      <c r="K3" s="3">
        <v>17147338.99653263</v>
      </c>
      <c r="L3" s="3">
        <v>40</v>
      </c>
      <c r="M3" s="3">
        <v>21379317.787785091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1538</v>
      </c>
      <c r="E4" s="3">
        <v>528501544.90450162</v>
      </c>
      <c r="F4" s="3">
        <v>0</v>
      </c>
      <c r="G4" s="3">
        <v>0</v>
      </c>
      <c r="H4" s="3">
        <v>73</v>
      </c>
      <c r="I4" s="3">
        <v>25833333</v>
      </c>
      <c r="J4" s="3">
        <v>370159.87119187601</v>
      </c>
      <c r="K4" s="3">
        <v>35966765.492406577</v>
      </c>
      <c r="L4" s="3">
        <v>1465</v>
      </c>
      <c r="M4" s="3">
        <v>492534779.41209501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2103</v>
      </c>
      <c r="E5" s="3">
        <v>231397772.81464651</v>
      </c>
      <c r="F5" s="3">
        <v>10</v>
      </c>
      <c r="G5" s="3">
        <v>718506.13676969369</v>
      </c>
      <c r="H5" s="3">
        <v>84</v>
      </c>
      <c r="I5" s="3">
        <v>12208334</v>
      </c>
      <c r="J5" s="3">
        <v>129471.1453814986</v>
      </c>
      <c r="K5" s="3">
        <v>14475762.99212146</v>
      </c>
      <c r="L5" s="3">
        <v>2029</v>
      </c>
      <c r="M5" s="3">
        <v>217640515.95929471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93</v>
      </c>
      <c r="E6" s="3">
        <v>3880531.2922562989</v>
      </c>
      <c r="F6" s="3">
        <v>10</v>
      </c>
      <c r="G6" s="3">
        <v>727478.36999968986</v>
      </c>
      <c r="H6" s="3">
        <v>25</v>
      </c>
      <c r="I6" s="3">
        <v>4342592</v>
      </c>
      <c r="J6" s="3">
        <v>64682.684735999828</v>
      </c>
      <c r="K6" s="3">
        <v>2152371.5058319331</v>
      </c>
      <c r="L6" s="3">
        <v>78</v>
      </c>
      <c r="M6" s="3">
        <v>2455638.1564240572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104</v>
      </c>
      <c r="E7" s="3">
        <v>2715962.7700886792</v>
      </c>
      <c r="F7" s="3">
        <v>0</v>
      </c>
      <c r="G7" s="3">
        <v>0</v>
      </c>
      <c r="H7" s="3">
        <v>0</v>
      </c>
      <c r="I7" s="3">
        <v>0</v>
      </c>
      <c r="J7" s="3">
        <v>29445.697191697189</v>
      </c>
      <c r="K7" s="3">
        <v>0</v>
      </c>
      <c r="L7" s="3">
        <v>104</v>
      </c>
      <c r="M7" s="3">
        <v>2715962.7700886792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1912</v>
      </c>
      <c r="E8" s="3">
        <v>755020712.32443857</v>
      </c>
      <c r="F8" s="3">
        <v>18</v>
      </c>
      <c r="G8" s="3">
        <v>80494131.44061096</v>
      </c>
      <c r="H8" s="3">
        <v>5</v>
      </c>
      <c r="I8" s="3">
        <v>3787037</v>
      </c>
      <c r="J8" s="3">
        <v>499949.5619119769</v>
      </c>
      <c r="K8" s="3">
        <v>3327249.6211450379</v>
      </c>
      <c r="L8" s="3">
        <v>1925</v>
      </c>
      <c r="M8" s="3">
        <v>832187594.14390457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164</v>
      </c>
      <c r="E9" s="3">
        <v>20816387.77572884</v>
      </c>
      <c r="F9" s="3">
        <v>3</v>
      </c>
      <c r="G9" s="3">
        <v>107774.4655587141</v>
      </c>
      <c r="H9" s="3">
        <v>0</v>
      </c>
      <c r="I9" s="3">
        <v>0</v>
      </c>
      <c r="J9" s="3">
        <v>165237.93448189789</v>
      </c>
      <c r="K9" s="3">
        <v>0</v>
      </c>
      <c r="L9" s="3">
        <v>167</v>
      </c>
      <c r="M9" s="3">
        <v>20924162.241287559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1255</v>
      </c>
      <c r="E10" s="3">
        <v>1129762273.920867</v>
      </c>
      <c r="F10" s="3">
        <v>12</v>
      </c>
      <c r="G10" s="3">
        <v>15100587.646595201</v>
      </c>
      <c r="H10" s="3">
        <v>9</v>
      </c>
      <c r="I10" s="3">
        <v>9009260</v>
      </c>
      <c r="J10" s="3">
        <v>1013904.267674841</v>
      </c>
      <c r="K10" s="3">
        <v>12145870.55477074</v>
      </c>
      <c r="L10" s="3">
        <v>1258</v>
      </c>
      <c r="M10" s="3">
        <v>1132716991.012692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502</v>
      </c>
      <c r="E11" s="3">
        <v>816601576.37585855</v>
      </c>
      <c r="F11" s="3">
        <v>26</v>
      </c>
      <c r="G11" s="3">
        <v>68939802.973647609</v>
      </c>
      <c r="H11" s="3">
        <v>15</v>
      </c>
      <c r="I11" s="3">
        <v>34250001</v>
      </c>
      <c r="J11" s="3">
        <v>2460229.603051756</v>
      </c>
      <c r="K11" s="3">
        <v>49119743.099954873</v>
      </c>
      <c r="L11" s="3">
        <v>513</v>
      </c>
      <c r="M11" s="3">
        <v>836421636.2495513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54</v>
      </c>
      <c r="E12" s="3">
        <v>123128686.1782718</v>
      </c>
      <c r="F12" s="3">
        <v>0</v>
      </c>
      <c r="G12" s="3">
        <v>0</v>
      </c>
      <c r="H12" s="3">
        <v>0</v>
      </c>
      <c r="I12" s="3">
        <v>0</v>
      </c>
      <c r="J12" s="3">
        <v>2979271.8313934868</v>
      </c>
      <c r="K12" s="3">
        <v>0</v>
      </c>
      <c r="L12" s="3">
        <v>54</v>
      </c>
      <c r="M12" s="3">
        <v>123128686.1782718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290</v>
      </c>
      <c r="E14" s="3">
        <v>10906633.15560605</v>
      </c>
      <c r="F14" s="3">
        <v>118</v>
      </c>
      <c r="G14" s="3">
        <v>30495714.795693561</v>
      </c>
      <c r="H14" s="3">
        <v>43</v>
      </c>
      <c r="I14" s="3">
        <v>9947229</v>
      </c>
      <c r="J14" s="3">
        <v>214333.36905332349</v>
      </c>
      <c r="K14" s="3">
        <v>12267256.15477173</v>
      </c>
      <c r="L14" s="3">
        <v>365</v>
      </c>
      <c r="M14" s="3">
        <v>29135091.796527881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3261</v>
      </c>
      <c r="E15" s="3">
        <v>393923706.9511435</v>
      </c>
      <c r="F15" s="3">
        <v>398</v>
      </c>
      <c r="G15" s="3">
        <v>26106388.1567901</v>
      </c>
      <c r="H15" s="3">
        <v>65</v>
      </c>
      <c r="I15" s="3">
        <v>7597223</v>
      </c>
      <c r="J15" s="3">
        <v>125138.9197463928</v>
      </c>
      <c r="K15" s="3">
        <v>10826671.159419671</v>
      </c>
      <c r="L15" s="3">
        <v>3594</v>
      </c>
      <c r="M15" s="3">
        <v>409203423.94851393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2429.067</v>
      </c>
      <c r="E16" s="3">
        <v>422289837.48010671</v>
      </c>
      <c r="F16" s="3">
        <v>709.62400000000002</v>
      </c>
      <c r="G16" s="3">
        <v>351397161.91934621</v>
      </c>
      <c r="H16" s="3">
        <v>266</v>
      </c>
      <c r="I16" s="3">
        <v>784680554</v>
      </c>
      <c r="J16" s="3">
        <v>463023.45617959171</v>
      </c>
      <c r="K16" s="3">
        <v>163935804.69516671</v>
      </c>
      <c r="L16" s="3">
        <v>2872.6909999999998</v>
      </c>
      <c r="M16" s="3">
        <v>609751194.70428622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11</v>
      </c>
      <c r="E17" s="3">
        <v>91099779.943765849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11</v>
      </c>
      <c r="M17" s="3">
        <v>91099779.943765849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117</v>
      </c>
      <c r="E19" s="3">
        <v>1205440009.730974</v>
      </c>
      <c r="F19" s="3">
        <v>6</v>
      </c>
      <c r="G19" s="3">
        <v>103822839.91177981</v>
      </c>
      <c r="H19" s="3">
        <v>4</v>
      </c>
      <c r="I19" s="3">
        <v>71574075</v>
      </c>
      <c r="J19" s="3">
        <v>12538768.128734229</v>
      </c>
      <c r="K19" s="3">
        <v>66758112.712660812</v>
      </c>
      <c r="L19" s="3">
        <v>119</v>
      </c>
      <c r="M19" s="3">
        <v>1242504736.9300931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47</v>
      </c>
      <c r="E21" s="3">
        <v>465001852.04571241</v>
      </c>
      <c r="F21" s="3">
        <v>0</v>
      </c>
      <c r="G21" s="3">
        <v>0</v>
      </c>
      <c r="H21" s="3">
        <v>0</v>
      </c>
      <c r="I21" s="3">
        <v>0</v>
      </c>
      <c r="J21" s="3">
        <v>10738152.155172409</v>
      </c>
      <c r="K21" s="3">
        <v>0</v>
      </c>
      <c r="L21" s="3">
        <v>47</v>
      </c>
      <c r="M21" s="3">
        <v>465001852.04571241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66</v>
      </c>
      <c r="E22" s="3">
        <v>120516355.1127325</v>
      </c>
      <c r="F22" s="3">
        <v>0</v>
      </c>
      <c r="G22" s="3">
        <v>0</v>
      </c>
      <c r="H22" s="3">
        <v>0</v>
      </c>
      <c r="I22" s="3">
        <v>0</v>
      </c>
      <c r="J22" s="3">
        <v>1925651.7840503119</v>
      </c>
      <c r="K22" s="3">
        <v>0</v>
      </c>
      <c r="L22" s="3">
        <v>66</v>
      </c>
      <c r="M22" s="3">
        <v>120516355.1127325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18</v>
      </c>
      <c r="E23" s="3">
        <v>210747641.94388959</v>
      </c>
      <c r="F23" s="3">
        <v>7</v>
      </c>
      <c r="G23" s="3">
        <v>91338951.223284781</v>
      </c>
      <c r="H23" s="3">
        <v>1</v>
      </c>
      <c r="I23" s="3">
        <v>14620370</v>
      </c>
      <c r="J23" s="3">
        <v>12950242.26535891</v>
      </c>
      <c r="K23" s="3">
        <v>17237214.2927243</v>
      </c>
      <c r="L23" s="3">
        <v>24</v>
      </c>
      <c r="M23" s="3">
        <v>284849378.87445009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23</v>
      </c>
      <c r="E24" s="3">
        <v>120100615.5715196</v>
      </c>
      <c r="F24" s="3">
        <v>0</v>
      </c>
      <c r="G24" s="3">
        <v>0</v>
      </c>
      <c r="H24" s="3">
        <v>0</v>
      </c>
      <c r="I24" s="3">
        <v>0</v>
      </c>
      <c r="J24" s="3">
        <v>6050628.3384615388</v>
      </c>
      <c r="K24" s="3">
        <v>0</v>
      </c>
      <c r="L24" s="3">
        <v>23</v>
      </c>
      <c r="M24" s="3">
        <v>120100615.5715196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34</v>
      </c>
      <c r="E25" s="3">
        <v>407050483.99605793</v>
      </c>
      <c r="F25" s="3">
        <v>0</v>
      </c>
      <c r="G25" s="3">
        <v>0</v>
      </c>
      <c r="H25" s="3">
        <v>1</v>
      </c>
      <c r="I25" s="3">
        <v>13000000</v>
      </c>
      <c r="J25" s="3">
        <v>12847696</v>
      </c>
      <c r="K25" s="3">
        <v>17100721.714848869</v>
      </c>
      <c r="L25" s="3">
        <v>33</v>
      </c>
      <c r="M25" s="3">
        <v>389949762.28120899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29</v>
      </c>
      <c r="E26" s="3">
        <v>245239261.12685099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29</v>
      </c>
      <c r="M26" s="3">
        <v>245239261.12685099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216</v>
      </c>
      <c r="E27" s="3">
        <v>500393655.3743124</v>
      </c>
      <c r="F27" s="3">
        <v>34</v>
      </c>
      <c r="G27" s="3">
        <v>110388109.1076602</v>
      </c>
      <c r="H27" s="3">
        <v>4</v>
      </c>
      <c r="I27" s="3">
        <v>0</v>
      </c>
      <c r="J27" s="3">
        <v>3610268.3546564472</v>
      </c>
      <c r="K27" s="3">
        <v>19221561.422034021</v>
      </c>
      <c r="L27" s="3">
        <v>246</v>
      </c>
      <c r="M27" s="3">
        <v>591560203.05993855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62</v>
      </c>
      <c r="E28" s="3">
        <v>264775831.42466491</v>
      </c>
      <c r="F28" s="3">
        <v>17</v>
      </c>
      <c r="G28" s="3">
        <v>217095706.2974042</v>
      </c>
      <c r="H28" s="3">
        <v>6</v>
      </c>
      <c r="I28" s="3">
        <v>77657407</v>
      </c>
      <c r="J28" s="3">
        <v>12386169.14513986</v>
      </c>
      <c r="K28" s="3">
        <v>98918482.347691432</v>
      </c>
      <c r="L28" s="3">
        <v>73</v>
      </c>
      <c r="M28" s="3">
        <v>382953055.37437761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238</v>
      </c>
      <c r="E29" s="3">
        <v>2008764967.551178</v>
      </c>
      <c r="F29" s="3">
        <v>0</v>
      </c>
      <c r="G29" s="3">
        <v>0</v>
      </c>
      <c r="H29" s="3">
        <v>0</v>
      </c>
      <c r="I29" s="3">
        <v>0</v>
      </c>
      <c r="J29" s="3">
        <v>10255804.58031649</v>
      </c>
      <c r="K29" s="3">
        <v>0</v>
      </c>
      <c r="L29" s="3">
        <v>238</v>
      </c>
      <c r="M29" s="3">
        <v>2008764967.551178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4794609.6822104733</v>
      </c>
      <c r="F30" s="3">
        <v>0</v>
      </c>
      <c r="G30" s="3">
        <v>0</v>
      </c>
      <c r="H30" s="3">
        <v>0</v>
      </c>
      <c r="I30" s="3">
        <v>0</v>
      </c>
      <c r="J30" s="3">
        <v>740358.08333333326</v>
      </c>
      <c r="K30" s="3">
        <v>0</v>
      </c>
      <c r="L30" s="3">
        <v>8</v>
      </c>
      <c r="M30" s="3">
        <v>4794609.6822104733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47</v>
      </c>
      <c r="E31" s="3">
        <v>734042706.13088357</v>
      </c>
      <c r="F31" s="3">
        <v>0</v>
      </c>
      <c r="G31" s="3">
        <v>0</v>
      </c>
      <c r="H31" s="3">
        <v>0</v>
      </c>
      <c r="I31" s="3">
        <v>0</v>
      </c>
      <c r="J31" s="3">
        <v>17672263.2823718</v>
      </c>
      <c r="K31" s="3">
        <v>0</v>
      </c>
      <c r="L31" s="3">
        <v>47</v>
      </c>
      <c r="M31" s="3">
        <v>734042706.13088357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96</v>
      </c>
      <c r="E33" s="3">
        <v>96516891.779273033</v>
      </c>
      <c r="F33" s="3">
        <v>0</v>
      </c>
      <c r="G33" s="3">
        <v>0</v>
      </c>
      <c r="H33" s="3">
        <v>0</v>
      </c>
      <c r="I33" s="3">
        <v>0</v>
      </c>
      <c r="J33" s="3">
        <v>1076325.001874414</v>
      </c>
      <c r="K33" s="3">
        <v>0</v>
      </c>
      <c r="L33" s="3">
        <v>96</v>
      </c>
      <c r="M33" s="3">
        <v>96516891.779273033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9</v>
      </c>
      <c r="E35" s="3">
        <v>-20874218.25541839</v>
      </c>
      <c r="F35" s="3">
        <v>58</v>
      </c>
      <c r="G35" s="3">
        <v>148800761.49028981</v>
      </c>
      <c r="H35" s="3">
        <v>0</v>
      </c>
      <c r="I35" s="3">
        <v>0</v>
      </c>
      <c r="J35" s="3">
        <v>2622018.9716464221</v>
      </c>
      <c r="K35" s="3">
        <v>0</v>
      </c>
      <c r="L35" s="3">
        <v>67</v>
      </c>
      <c r="M35" s="3">
        <v>127926543.2348714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77</v>
      </c>
      <c r="E36" s="3">
        <v>298287105.45637441</v>
      </c>
      <c r="F36" s="3">
        <v>23</v>
      </c>
      <c r="G36" s="3">
        <v>207445612.60212699</v>
      </c>
      <c r="H36" s="3">
        <v>10</v>
      </c>
      <c r="I36" s="3">
        <v>97972222</v>
      </c>
      <c r="J36" s="3">
        <v>7736082.6273510158</v>
      </c>
      <c r="K36" s="3">
        <v>102969899.173678</v>
      </c>
      <c r="L36" s="3">
        <v>90</v>
      </c>
      <c r="M36" s="3">
        <v>402762818.88482332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21</v>
      </c>
      <c r="E37" s="3">
        <v>242070213.65983611</v>
      </c>
      <c r="F37" s="3">
        <v>7</v>
      </c>
      <c r="G37" s="3">
        <v>99826198.873281166</v>
      </c>
      <c r="H37" s="3">
        <v>2</v>
      </c>
      <c r="I37" s="3">
        <v>37916667</v>
      </c>
      <c r="J37" s="3">
        <v>14354437.735365739</v>
      </c>
      <c r="K37" s="3">
        <v>38212492.743541703</v>
      </c>
      <c r="L37" s="3">
        <v>26</v>
      </c>
      <c r="M37" s="3">
        <v>303683919.78957552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122</v>
      </c>
      <c r="E38" s="3">
        <v>514921446.29687208</v>
      </c>
      <c r="F38" s="3">
        <v>0</v>
      </c>
      <c r="G38" s="3">
        <v>0</v>
      </c>
      <c r="H38" s="3">
        <v>2</v>
      </c>
      <c r="I38" s="3">
        <v>11092592</v>
      </c>
      <c r="J38" s="3">
        <v>4634585.5314334976</v>
      </c>
      <c r="K38" s="3">
        <v>12337582.93108885</v>
      </c>
      <c r="L38" s="3">
        <v>120</v>
      </c>
      <c r="M38" s="3">
        <v>502583863.36578321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806</v>
      </c>
      <c r="E39" s="3">
        <v>1709749136.3951571</v>
      </c>
      <c r="F39" s="3">
        <v>20</v>
      </c>
      <c r="G39" s="3">
        <v>718496.43705809372</v>
      </c>
      <c r="H39" s="3">
        <v>7</v>
      </c>
      <c r="I39" s="3">
        <v>25370371</v>
      </c>
      <c r="J39" s="3">
        <v>2381153.1531446772</v>
      </c>
      <c r="K39" s="3">
        <v>22185772.610632621</v>
      </c>
      <c r="L39" s="3">
        <v>819</v>
      </c>
      <c r="M39" s="3">
        <v>1688281860.2215819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844</v>
      </c>
      <c r="E40" s="3">
        <v>173507895.4203437</v>
      </c>
      <c r="F40" s="3">
        <v>55</v>
      </c>
      <c r="G40" s="3">
        <v>49217053.467066258</v>
      </c>
      <c r="H40" s="3">
        <v>30</v>
      </c>
      <c r="I40" s="3">
        <v>30333333</v>
      </c>
      <c r="J40" s="3">
        <v>349218.16827672772</v>
      </c>
      <c r="K40" s="3">
        <v>13944638.898996949</v>
      </c>
      <c r="L40" s="3">
        <v>869</v>
      </c>
      <c r="M40" s="3">
        <v>208780309.98841301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8</v>
      </c>
      <c r="E41" s="3">
        <v>39150170.160872787</v>
      </c>
      <c r="F41" s="3">
        <v>0</v>
      </c>
      <c r="G41" s="3">
        <v>0</v>
      </c>
      <c r="H41" s="3">
        <v>0</v>
      </c>
      <c r="I41" s="3">
        <v>0</v>
      </c>
      <c r="J41" s="3">
        <v>5354048.0864197528</v>
      </c>
      <c r="K41" s="3">
        <v>0</v>
      </c>
      <c r="L41" s="3">
        <v>8</v>
      </c>
      <c r="M41" s="3">
        <v>39150170.160872787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13</v>
      </c>
      <c r="E42" s="3">
        <v>49039061.34224879</v>
      </c>
      <c r="F42" s="3">
        <v>2</v>
      </c>
      <c r="G42" s="3">
        <v>10957081.334818689</v>
      </c>
      <c r="H42" s="3">
        <v>0</v>
      </c>
      <c r="I42" s="3">
        <v>0</v>
      </c>
      <c r="J42" s="3">
        <v>5336492.0474377228</v>
      </c>
      <c r="K42" s="3">
        <v>0</v>
      </c>
      <c r="L42" s="3">
        <v>15</v>
      </c>
      <c r="M42" s="3">
        <v>59996142.677067481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10</v>
      </c>
      <c r="E43" s="3">
        <v>65955407.791222543</v>
      </c>
      <c r="F43" s="3">
        <v>1</v>
      </c>
      <c r="G43" s="3">
        <v>5747977.3162917094</v>
      </c>
      <c r="H43" s="3">
        <v>1</v>
      </c>
      <c r="I43" s="3">
        <v>6759259</v>
      </c>
      <c r="J43" s="3">
        <v>7037687.045454544</v>
      </c>
      <c r="K43" s="3">
        <v>9367401.5699402541</v>
      </c>
      <c r="L43" s="3">
        <v>10</v>
      </c>
      <c r="M43" s="3">
        <v>62335983.537573993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6</v>
      </c>
      <c r="E44" s="3">
        <v>6780856.9509367924</v>
      </c>
      <c r="F44" s="3">
        <v>0</v>
      </c>
      <c r="G44" s="3">
        <v>0</v>
      </c>
      <c r="H44" s="3">
        <v>0</v>
      </c>
      <c r="I44" s="3">
        <v>0</v>
      </c>
      <c r="J44" s="3">
        <v>1208849.4285714279</v>
      </c>
      <c r="K44" s="3">
        <v>0</v>
      </c>
      <c r="L44" s="3">
        <v>6</v>
      </c>
      <c r="M44" s="3">
        <v>6780856.9509367924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180</v>
      </c>
      <c r="E45" s="3">
        <v>530946320.09337401</v>
      </c>
      <c r="F45" s="3">
        <v>0</v>
      </c>
      <c r="G45" s="3">
        <v>0</v>
      </c>
      <c r="H45" s="3">
        <v>21</v>
      </c>
      <c r="I45" s="3">
        <v>33287041</v>
      </c>
      <c r="J45" s="3">
        <v>3339309.40460931</v>
      </c>
      <c r="K45" s="3">
        <v>93339429.71627219</v>
      </c>
      <c r="L45" s="3">
        <v>159</v>
      </c>
      <c r="M45" s="3">
        <v>437606890.37710178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271</v>
      </c>
      <c r="E46" s="3">
        <v>78329977.871908441</v>
      </c>
      <c r="F46" s="3">
        <v>0</v>
      </c>
      <c r="G46" s="3">
        <v>0</v>
      </c>
      <c r="H46" s="3">
        <v>6</v>
      </c>
      <c r="I46" s="3">
        <v>3750000</v>
      </c>
      <c r="J46" s="3">
        <v>413912.32795077353</v>
      </c>
      <c r="K46" s="3">
        <v>3305588.5824033068</v>
      </c>
      <c r="L46" s="3">
        <v>265</v>
      </c>
      <c r="M46" s="3">
        <v>75024389.289505139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8</v>
      </c>
      <c r="E47" s="3">
        <v>24252662.34963512</v>
      </c>
      <c r="F47" s="3">
        <v>2</v>
      </c>
      <c r="G47" s="3">
        <v>12304263.60925935</v>
      </c>
      <c r="H47" s="3">
        <v>1</v>
      </c>
      <c r="I47" s="3">
        <v>7129629</v>
      </c>
      <c r="J47" s="3">
        <v>6634262.7468460118</v>
      </c>
      <c r="K47" s="3">
        <v>8830430.0644257553</v>
      </c>
      <c r="L47" s="3">
        <v>9</v>
      </c>
      <c r="M47" s="3">
        <v>27726495.894468721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2225</v>
      </c>
      <c r="E49" s="3">
        <v>716137890.24964905</v>
      </c>
      <c r="F49" s="3">
        <v>0</v>
      </c>
      <c r="G49" s="3">
        <v>0</v>
      </c>
      <c r="H49" s="3">
        <v>4</v>
      </c>
      <c r="I49" s="3">
        <v>2953704</v>
      </c>
      <c r="J49" s="3">
        <v>377191.19784536882</v>
      </c>
      <c r="K49" s="3">
        <v>2008217.4135017381</v>
      </c>
      <c r="L49" s="3">
        <v>2221</v>
      </c>
      <c r="M49" s="3">
        <v>714129672.83614731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395</v>
      </c>
      <c r="E50" s="3">
        <v>232446223.47603229</v>
      </c>
      <c r="F50" s="3">
        <v>0</v>
      </c>
      <c r="G50" s="3">
        <v>0</v>
      </c>
      <c r="H50" s="3">
        <v>27</v>
      </c>
      <c r="I50" s="3">
        <v>20899995</v>
      </c>
      <c r="J50" s="3">
        <v>724540.43955153087</v>
      </c>
      <c r="K50" s="3">
        <v>26038477.214434039</v>
      </c>
      <c r="L50" s="3">
        <v>368</v>
      </c>
      <c r="M50" s="3">
        <v>206407746.26159829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151</v>
      </c>
      <c r="E51" s="3">
        <v>64305771.620999761</v>
      </c>
      <c r="F51" s="3">
        <v>0</v>
      </c>
      <c r="G51" s="3">
        <v>0</v>
      </c>
      <c r="H51" s="3">
        <v>29</v>
      </c>
      <c r="I51" s="3">
        <v>6670000</v>
      </c>
      <c r="J51" s="3">
        <v>455876.11977441481</v>
      </c>
      <c r="K51" s="3">
        <v>17596813.402225122</v>
      </c>
      <c r="L51" s="3">
        <v>122</v>
      </c>
      <c r="M51" s="3">
        <v>46708958.218774647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0</v>
      </c>
      <c r="I52" s="3">
        <v>0</v>
      </c>
      <c r="J52" s="3">
        <v>1213135.0975609759</v>
      </c>
      <c r="K52" s="3">
        <v>0</v>
      </c>
      <c r="L52" s="3">
        <v>41</v>
      </c>
      <c r="M52" s="3">
        <v>49738539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17</v>
      </c>
      <c r="E53" s="3">
        <v>45566565.01806803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62</v>
      </c>
      <c r="E54" s="3">
        <v>1322037.344053749</v>
      </c>
      <c r="F54" s="3">
        <v>2</v>
      </c>
      <c r="G54" s="3">
        <v>242492.7899998966</v>
      </c>
      <c r="H54" s="3">
        <v>10</v>
      </c>
      <c r="I54" s="3">
        <v>5000000</v>
      </c>
      <c r="J54" s="3">
        <v>34429.623311705698</v>
      </c>
      <c r="K54" s="3">
        <v>458270.03300868312</v>
      </c>
      <c r="L54" s="3">
        <v>54</v>
      </c>
      <c r="M54" s="3">
        <v>1106260.1010449619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11473</v>
      </c>
      <c r="E55" s="3">
        <v>544674960.02462375</v>
      </c>
      <c r="F55" s="3">
        <v>143</v>
      </c>
      <c r="G55" s="3">
        <v>9331117.7093402222</v>
      </c>
      <c r="H55" s="3">
        <v>43</v>
      </c>
      <c r="I55" s="3">
        <v>11657409</v>
      </c>
      <c r="J55" s="3">
        <v>53837.709952414792</v>
      </c>
      <c r="K55" s="3">
        <v>3081372.6378194802</v>
      </c>
      <c r="L55" s="3">
        <v>11573</v>
      </c>
      <c r="M55" s="3">
        <v>550924705.09614444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11</v>
      </c>
      <c r="E56" s="3">
        <v>678409.75259830931</v>
      </c>
      <c r="F56" s="3">
        <v>0</v>
      </c>
      <c r="G56" s="3">
        <v>0</v>
      </c>
      <c r="H56" s="3">
        <v>0</v>
      </c>
      <c r="I56" s="3">
        <v>0</v>
      </c>
      <c r="J56" s="3">
        <v>62800.727272727272</v>
      </c>
      <c r="K56" s="3">
        <v>0</v>
      </c>
      <c r="L56" s="3">
        <v>11</v>
      </c>
      <c r="M56" s="3">
        <v>678409.75259830931</v>
      </c>
    </row>
    <row r="57" spans="1:13" ht="15.75" customHeight="1" x14ac:dyDescent="0.25">
      <c r="C57" s="4" t="s">
        <v>144</v>
      </c>
      <c r="D57" s="5">
        <f t="shared" ref="D57:M57" si="0">SUM(D2:D56)</f>
        <v>31687.066999999999</v>
      </c>
      <c r="E57" s="5">
        <f t="shared" si="0"/>
        <v>16905017304.804287</v>
      </c>
      <c r="F57" s="5">
        <f t="shared" si="0"/>
        <v>1705.624</v>
      </c>
      <c r="G57" s="5">
        <f t="shared" si="0"/>
        <v>1658895954.3866956</v>
      </c>
      <c r="H57" s="5">
        <f t="shared" si="0"/>
        <v>803</v>
      </c>
      <c r="I57" s="5">
        <f t="shared" si="0"/>
        <v>1382929266</v>
      </c>
      <c r="J57" s="5">
        <f t="shared" si="0"/>
        <v>231415672.30979198</v>
      </c>
      <c r="K57" s="5">
        <f t="shared" si="0"/>
        <v>894277313.75404954</v>
      </c>
      <c r="L57" s="5">
        <f t="shared" si="0"/>
        <v>32589.690999999999</v>
      </c>
      <c r="M57" s="5">
        <f t="shared" si="0"/>
        <v>17669635945.436932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85</v>
      </c>
      <c r="E2" s="3">
        <v>25471398.119184431</v>
      </c>
      <c r="F2" s="3">
        <v>7</v>
      </c>
      <c r="G2" s="3">
        <v>3484710.629645234</v>
      </c>
      <c r="H2" s="3">
        <v>0</v>
      </c>
      <c r="I2" s="3">
        <v>0</v>
      </c>
      <c r="J2" s="3">
        <v>451858.86490049708</v>
      </c>
      <c r="K2" s="3">
        <v>0</v>
      </c>
      <c r="L2" s="3">
        <v>92</v>
      </c>
      <c r="M2" s="3">
        <v>28956108.74882967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40</v>
      </c>
      <c r="E3" s="3">
        <v>21379317.787785091</v>
      </c>
      <c r="F3" s="3">
        <v>1</v>
      </c>
      <c r="G3" s="3">
        <v>2927876.375910792</v>
      </c>
      <c r="H3" s="3">
        <v>2</v>
      </c>
      <c r="I3" s="3">
        <v>4642592</v>
      </c>
      <c r="J3" s="3">
        <v>1470123.157825279</v>
      </c>
      <c r="K3" s="3">
        <v>3913568.1617194149</v>
      </c>
      <c r="L3" s="3">
        <v>39</v>
      </c>
      <c r="M3" s="3">
        <v>20393626.001976471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1465</v>
      </c>
      <c r="E4" s="3">
        <v>492534779.41209501</v>
      </c>
      <c r="F4" s="3">
        <v>0</v>
      </c>
      <c r="G4" s="3">
        <v>0</v>
      </c>
      <c r="H4" s="3">
        <v>11</v>
      </c>
      <c r="I4" s="3">
        <v>4037036</v>
      </c>
      <c r="J4" s="3">
        <v>370159.87119187601</v>
      </c>
      <c r="K4" s="3">
        <v>5419649.5947461966</v>
      </c>
      <c r="L4" s="3">
        <v>1454</v>
      </c>
      <c r="M4" s="3">
        <v>487115129.81734878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2029</v>
      </c>
      <c r="E5" s="3">
        <v>217640515.95929471</v>
      </c>
      <c r="F5" s="3">
        <v>52</v>
      </c>
      <c r="G5" s="3">
        <v>5765968.3413673816</v>
      </c>
      <c r="H5" s="3">
        <v>26</v>
      </c>
      <c r="I5" s="3">
        <v>3833336</v>
      </c>
      <c r="J5" s="3">
        <v>129092.4689952238</v>
      </c>
      <c r="K5" s="3">
        <v>4467488.4961491963</v>
      </c>
      <c r="L5" s="3">
        <v>2055</v>
      </c>
      <c r="M5" s="3">
        <v>218938995.80451289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78</v>
      </c>
      <c r="E6" s="3">
        <v>2455638.1564240572</v>
      </c>
      <c r="F6" s="3">
        <v>25</v>
      </c>
      <c r="G6" s="3">
        <v>1836708.289440417</v>
      </c>
      <c r="H6" s="3">
        <v>5</v>
      </c>
      <c r="I6" s="3">
        <v>1018517</v>
      </c>
      <c r="J6" s="3">
        <v>67367.178732116387</v>
      </c>
      <c r="K6" s="3">
        <v>448340.0666595815</v>
      </c>
      <c r="L6" s="3">
        <v>98</v>
      </c>
      <c r="M6" s="3">
        <v>3844006.3792048921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104</v>
      </c>
      <c r="E7" s="3">
        <v>2715962.7700886792</v>
      </c>
      <c r="F7" s="3">
        <v>0</v>
      </c>
      <c r="G7" s="3">
        <v>0</v>
      </c>
      <c r="H7" s="3">
        <v>0</v>
      </c>
      <c r="I7" s="3">
        <v>0</v>
      </c>
      <c r="J7" s="3">
        <v>29445.697191697189</v>
      </c>
      <c r="K7" s="3">
        <v>0</v>
      </c>
      <c r="L7" s="3">
        <v>104</v>
      </c>
      <c r="M7" s="3">
        <v>2715962.7700886792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1925</v>
      </c>
      <c r="E8" s="3">
        <v>832187594.14390457</v>
      </c>
      <c r="F8" s="3">
        <v>20</v>
      </c>
      <c r="G8" s="3">
        <v>2676401.6529692989</v>
      </c>
      <c r="H8" s="3">
        <v>5</v>
      </c>
      <c r="I8" s="3">
        <v>16666666</v>
      </c>
      <c r="J8" s="3">
        <v>496227.33454013133</v>
      </c>
      <c r="K8" s="3">
        <v>3302477.5630089631</v>
      </c>
      <c r="L8" s="3">
        <v>1940</v>
      </c>
      <c r="M8" s="3">
        <v>831561518.2338649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167</v>
      </c>
      <c r="E9" s="3">
        <v>20924162.241287559</v>
      </c>
      <c r="F9" s="3">
        <v>2</v>
      </c>
      <c r="G9" s="3">
        <v>591699.86708062771</v>
      </c>
      <c r="H9" s="3">
        <v>0</v>
      </c>
      <c r="I9" s="3">
        <v>0</v>
      </c>
      <c r="J9" s="3">
        <v>166892.02993181621</v>
      </c>
      <c r="K9" s="3">
        <v>0</v>
      </c>
      <c r="L9" s="3">
        <v>169</v>
      </c>
      <c r="M9" s="3">
        <v>21515862.108368188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1258</v>
      </c>
      <c r="E10" s="3">
        <v>1132716991.012692</v>
      </c>
      <c r="F10" s="3">
        <v>20</v>
      </c>
      <c r="G10" s="3">
        <v>37031756.07511989</v>
      </c>
      <c r="H10" s="3">
        <v>6</v>
      </c>
      <c r="I10" s="3">
        <v>11851852</v>
      </c>
      <c r="J10" s="3">
        <v>1027910.619692027</v>
      </c>
      <c r="K10" s="3">
        <v>8209104.63094295</v>
      </c>
      <c r="L10" s="3">
        <v>1272</v>
      </c>
      <c r="M10" s="3">
        <v>1161539642.4568689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513</v>
      </c>
      <c r="E11" s="3">
        <v>836421636.2495513</v>
      </c>
      <c r="F11" s="3">
        <v>50</v>
      </c>
      <c r="G11" s="3">
        <v>73785079.803256273</v>
      </c>
      <c r="H11" s="3">
        <v>15</v>
      </c>
      <c r="I11" s="3">
        <v>40583335</v>
      </c>
      <c r="J11" s="3">
        <v>2376851.0490891021</v>
      </c>
      <c r="K11" s="3">
        <v>47455047.599335313</v>
      </c>
      <c r="L11" s="3">
        <v>548</v>
      </c>
      <c r="M11" s="3">
        <v>862751668.45347226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54</v>
      </c>
      <c r="E12" s="3">
        <v>123128686.1782718</v>
      </c>
      <c r="F12" s="3">
        <v>6</v>
      </c>
      <c r="G12" s="3">
        <v>17208007.127022229</v>
      </c>
      <c r="H12" s="3">
        <v>0</v>
      </c>
      <c r="I12" s="3">
        <v>0</v>
      </c>
      <c r="J12" s="3">
        <v>2977023.664920805</v>
      </c>
      <c r="K12" s="3">
        <v>0</v>
      </c>
      <c r="L12" s="3">
        <v>60</v>
      </c>
      <c r="M12" s="3">
        <v>140336693.3052941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365</v>
      </c>
      <c r="E14" s="3">
        <v>29135091.796527881</v>
      </c>
      <c r="F14" s="3">
        <v>30</v>
      </c>
      <c r="G14" s="3">
        <v>2290209.5755577842</v>
      </c>
      <c r="H14" s="3">
        <v>17</v>
      </c>
      <c r="I14" s="3">
        <v>4064815</v>
      </c>
      <c r="J14" s="3">
        <v>204032.38153028619</v>
      </c>
      <c r="K14" s="3">
        <v>4616759.0372035606</v>
      </c>
      <c r="L14" s="3">
        <v>378</v>
      </c>
      <c r="M14" s="3">
        <v>26808542.334882099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3594</v>
      </c>
      <c r="E15" s="3">
        <v>409203423.94851393</v>
      </c>
      <c r="F15" s="3">
        <v>0</v>
      </c>
      <c r="G15" s="3">
        <v>0</v>
      </c>
      <c r="H15" s="3">
        <v>67</v>
      </c>
      <c r="I15" s="3">
        <v>11141664</v>
      </c>
      <c r="J15" s="3">
        <v>125138.9197463928</v>
      </c>
      <c r="K15" s="3">
        <v>11159799.50278643</v>
      </c>
      <c r="L15" s="3">
        <v>3527</v>
      </c>
      <c r="M15" s="3">
        <v>398043624.44572753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2872.6909999999998</v>
      </c>
      <c r="E16" s="3">
        <v>609751194.70428622</v>
      </c>
      <c r="F16" s="3">
        <v>437</v>
      </c>
      <c r="G16" s="3">
        <v>283428894.38839632</v>
      </c>
      <c r="H16" s="3">
        <v>157</v>
      </c>
      <c r="I16" s="3">
        <v>355118529</v>
      </c>
      <c r="J16" s="3">
        <v>490174.68386600888</v>
      </c>
      <c r="K16" s="3">
        <v>102432958.8037958</v>
      </c>
      <c r="L16" s="3">
        <v>3152.6909999999998</v>
      </c>
      <c r="M16" s="3">
        <v>790747130.28888667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11</v>
      </c>
      <c r="E17" s="3">
        <v>91099779.943765849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11</v>
      </c>
      <c r="M17" s="3">
        <v>91099779.943765849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119</v>
      </c>
      <c r="E19" s="3">
        <v>1242504736.9300931</v>
      </c>
      <c r="F19" s="3">
        <v>17</v>
      </c>
      <c r="G19" s="3">
        <v>257895573.13136089</v>
      </c>
      <c r="H19" s="3">
        <v>16</v>
      </c>
      <c r="I19" s="3">
        <v>193787037</v>
      </c>
      <c r="J19" s="3">
        <v>12926419.392054221</v>
      </c>
      <c r="K19" s="3">
        <v>275288083.76903689</v>
      </c>
      <c r="L19" s="3">
        <v>120</v>
      </c>
      <c r="M19" s="3">
        <v>1225112226.292417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0</v>
      </c>
      <c r="I20" s="3">
        <v>0</v>
      </c>
      <c r="J20" s="3">
        <v>15371677.4</v>
      </c>
      <c r="K20" s="3">
        <v>0</v>
      </c>
      <c r="L20" s="3">
        <v>9</v>
      </c>
      <c r="M20" s="3">
        <v>132688728.8601342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47</v>
      </c>
      <c r="E21" s="3">
        <v>465001852.04571241</v>
      </c>
      <c r="F21" s="3">
        <v>0</v>
      </c>
      <c r="G21" s="3">
        <v>0</v>
      </c>
      <c r="H21" s="3">
        <v>0</v>
      </c>
      <c r="I21" s="3">
        <v>0</v>
      </c>
      <c r="J21" s="3">
        <v>10738152.155172409</v>
      </c>
      <c r="K21" s="3">
        <v>0</v>
      </c>
      <c r="L21" s="3">
        <v>47</v>
      </c>
      <c r="M21" s="3">
        <v>465001852.04571241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66</v>
      </c>
      <c r="E22" s="3">
        <v>120516355.1127325</v>
      </c>
      <c r="F22" s="3">
        <v>0</v>
      </c>
      <c r="G22" s="3">
        <v>0</v>
      </c>
      <c r="H22" s="3">
        <v>5</v>
      </c>
      <c r="I22" s="3">
        <v>64768519</v>
      </c>
      <c r="J22" s="3">
        <v>1925651.7840503119</v>
      </c>
      <c r="K22" s="3">
        <v>12815541.120659551</v>
      </c>
      <c r="L22" s="3">
        <v>61</v>
      </c>
      <c r="M22" s="3">
        <v>107700813.9920729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24</v>
      </c>
      <c r="E23" s="3">
        <v>284849378.87445009</v>
      </c>
      <c r="F23" s="3">
        <v>2</v>
      </c>
      <c r="G23" s="3">
        <v>26045522.03257722</v>
      </c>
      <c r="H23" s="3">
        <v>2</v>
      </c>
      <c r="I23" s="3">
        <v>25148148</v>
      </c>
      <c r="J23" s="3">
        <v>12986833.321869761</v>
      </c>
      <c r="K23" s="3">
        <v>34571836.474714398</v>
      </c>
      <c r="L23" s="3">
        <v>24</v>
      </c>
      <c r="M23" s="3">
        <v>276323064.43231291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23</v>
      </c>
      <c r="E24" s="3">
        <v>120100615.5715196</v>
      </c>
      <c r="F24" s="3">
        <v>0</v>
      </c>
      <c r="G24" s="3">
        <v>0</v>
      </c>
      <c r="H24" s="3">
        <v>0</v>
      </c>
      <c r="I24" s="3">
        <v>0</v>
      </c>
      <c r="J24" s="3">
        <v>6050628.3384615388</v>
      </c>
      <c r="K24" s="3">
        <v>0</v>
      </c>
      <c r="L24" s="3">
        <v>23</v>
      </c>
      <c r="M24" s="3">
        <v>120100615.5715196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33</v>
      </c>
      <c r="E25" s="3">
        <v>389949762.28120899</v>
      </c>
      <c r="F25" s="3">
        <v>0</v>
      </c>
      <c r="G25" s="3">
        <v>0</v>
      </c>
      <c r="H25" s="3">
        <v>0</v>
      </c>
      <c r="I25" s="3">
        <v>0</v>
      </c>
      <c r="J25" s="3">
        <v>12847696</v>
      </c>
      <c r="K25" s="3">
        <v>0</v>
      </c>
      <c r="L25" s="3">
        <v>33</v>
      </c>
      <c r="M25" s="3">
        <v>389949762.28120899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29</v>
      </c>
      <c r="E26" s="3">
        <v>245239261.12685099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29</v>
      </c>
      <c r="M26" s="3">
        <v>245239261.12685099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246</v>
      </c>
      <c r="E27" s="3">
        <v>591560203.05993855</v>
      </c>
      <c r="F27" s="3">
        <v>53</v>
      </c>
      <c r="G27" s="3">
        <v>17243931.948875129</v>
      </c>
      <c r="H27" s="3">
        <v>21</v>
      </c>
      <c r="I27" s="3">
        <v>99648148</v>
      </c>
      <c r="J27" s="3">
        <v>3029778.572727378</v>
      </c>
      <c r="K27" s="3">
        <v>84687511.661723673</v>
      </c>
      <c r="L27" s="3">
        <v>278</v>
      </c>
      <c r="M27" s="3">
        <v>524116623.34708989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73</v>
      </c>
      <c r="E28" s="3">
        <v>382953055.37437761</v>
      </c>
      <c r="F28" s="3">
        <v>46</v>
      </c>
      <c r="G28" s="3">
        <v>497984013.39615649</v>
      </c>
      <c r="H28" s="3">
        <v>21</v>
      </c>
      <c r="I28" s="3">
        <v>272074075</v>
      </c>
      <c r="J28" s="3">
        <v>11912531.0321762</v>
      </c>
      <c r="K28" s="3">
        <v>332975689.96928942</v>
      </c>
      <c r="L28" s="3">
        <v>98</v>
      </c>
      <c r="M28" s="3">
        <v>547961378.80124474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238</v>
      </c>
      <c r="E29" s="3">
        <v>2008764967.551178</v>
      </c>
      <c r="F29" s="3">
        <v>0</v>
      </c>
      <c r="G29" s="3">
        <v>0</v>
      </c>
      <c r="H29" s="3">
        <v>5</v>
      </c>
      <c r="I29" s="3">
        <v>64787038</v>
      </c>
      <c r="J29" s="3">
        <v>10255804.58031649</v>
      </c>
      <c r="K29" s="3">
        <v>68254129.024326503</v>
      </c>
      <c r="L29" s="3">
        <v>233</v>
      </c>
      <c r="M29" s="3">
        <v>1940510838.5268509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8</v>
      </c>
      <c r="E30" s="3">
        <v>4794609.6822104733</v>
      </c>
      <c r="F30" s="3">
        <v>2</v>
      </c>
      <c r="G30" s="3">
        <v>2371040.1822340288</v>
      </c>
      <c r="H30" s="3">
        <v>0</v>
      </c>
      <c r="I30" s="3">
        <v>0</v>
      </c>
      <c r="J30" s="3">
        <v>836730.86666666658</v>
      </c>
      <c r="K30" s="3">
        <v>0</v>
      </c>
      <c r="L30" s="3">
        <v>10</v>
      </c>
      <c r="M30" s="3">
        <v>7165649.8644445026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47</v>
      </c>
      <c r="E31" s="3">
        <v>734042706.13088357</v>
      </c>
      <c r="F31" s="3">
        <v>0</v>
      </c>
      <c r="G31" s="3">
        <v>0</v>
      </c>
      <c r="H31" s="3">
        <v>2</v>
      </c>
      <c r="I31" s="3">
        <v>34018519</v>
      </c>
      <c r="J31" s="3">
        <v>17672263.2823718</v>
      </c>
      <c r="K31" s="3">
        <v>47044770.745413311</v>
      </c>
      <c r="L31" s="3">
        <v>45</v>
      </c>
      <c r="M31" s="3">
        <v>686997935.38547027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0</v>
      </c>
      <c r="I32" s="3">
        <v>0</v>
      </c>
      <c r="J32" s="3">
        <v>7479478.777777778</v>
      </c>
      <c r="K32" s="3">
        <v>0</v>
      </c>
      <c r="L32" s="3">
        <v>9</v>
      </c>
      <c r="M32" s="3">
        <v>67315309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96</v>
      </c>
      <c r="E33" s="3">
        <v>96516891.779273033</v>
      </c>
      <c r="F33" s="3">
        <v>0</v>
      </c>
      <c r="G33" s="3">
        <v>0</v>
      </c>
      <c r="H33" s="3">
        <v>0</v>
      </c>
      <c r="I33" s="3">
        <v>0</v>
      </c>
      <c r="J33" s="3">
        <v>1076325.001874414</v>
      </c>
      <c r="K33" s="3">
        <v>0</v>
      </c>
      <c r="L33" s="3">
        <v>96</v>
      </c>
      <c r="M33" s="3">
        <v>96516891.779273033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67</v>
      </c>
      <c r="E35" s="3">
        <v>127926543.2348714</v>
      </c>
      <c r="F35" s="3">
        <v>5</v>
      </c>
      <c r="G35" s="3">
        <v>44950978.689598717</v>
      </c>
      <c r="H35" s="3">
        <v>0</v>
      </c>
      <c r="I35" s="3">
        <v>0</v>
      </c>
      <c r="J35" s="3">
        <v>3083581.445837643</v>
      </c>
      <c r="K35" s="3">
        <v>0</v>
      </c>
      <c r="L35" s="3">
        <v>72</v>
      </c>
      <c r="M35" s="3">
        <v>172877521.92447019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90</v>
      </c>
      <c r="E36" s="3">
        <v>402762818.88482332</v>
      </c>
      <c r="F36" s="3">
        <v>12</v>
      </c>
      <c r="G36" s="3">
        <v>101750841.8381737</v>
      </c>
      <c r="H36" s="3">
        <v>7</v>
      </c>
      <c r="I36" s="3">
        <v>58157406</v>
      </c>
      <c r="J36" s="3">
        <v>7854395.3966822699</v>
      </c>
      <c r="K36" s="3">
        <v>73181277.749673918</v>
      </c>
      <c r="L36" s="3">
        <v>95</v>
      </c>
      <c r="M36" s="3">
        <v>431332382.97332299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26</v>
      </c>
      <c r="E37" s="3">
        <v>303683919.78957552</v>
      </c>
      <c r="F37" s="3">
        <v>3</v>
      </c>
      <c r="G37" s="3">
        <v>50172656.444272771</v>
      </c>
      <c r="H37" s="3">
        <v>1</v>
      </c>
      <c r="I37" s="3">
        <v>16101852</v>
      </c>
      <c r="J37" s="3">
        <v>14653148.521362379</v>
      </c>
      <c r="K37" s="3">
        <v>19503840.61937388</v>
      </c>
      <c r="L37" s="3">
        <v>28</v>
      </c>
      <c r="M37" s="3">
        <v>334352735.61447442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120</v>
      </c>
      <c r="E38" s="3">
        <v>502583863.36578321</v>
      </c>
      <c r="F38" s="3">
        <v>0</v>
      </c>
      <c r="G38" s="3">
        <v>0</v>
      </c>
      <c r="H38" s="3">
        <v>1</v>
      </c>
      <c r="I38" s="3">
        <v>5453704</v>
      </c>
      <c r="J38" s="3">
        <v>4634585.5314334976</v>
      </c>
      <c r="K38" s="3">
        <v>6168791.4655444222</v>
      </c>
      <c r="L38" s="3">
        <v>119</v>
      </c>
      <c r="M38" s="3">
        <v>496415071.90023881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819</v>
      </c>
      <c r="E39" s="3">
        <v>1688281860.2215819</v>
      </c>
      <c r="F39" s="3">
        <v>30</v>
      </c>
      <c r="G39" s="3">
        <v>84145007.829675734</v>
      </c>
      <c r="H39" s="3">
        <v>8</v>
      </c>
      <c r="I39" s="3">
        <v>25870371</v>
      </c>
      <c r="J39" s="3">
        <v>2399192.511690801</v>
      </c>
      <c r="K39" s="3">
        <v>25547256.711412661</v>
      </c>
      <c r="L39" s="3">
        <v>841</v>
      </c>
      <c r="M39" s="3">
        <v>1746879611.3398449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869</v>
      </c>
      <c r="E40" s="3">
        <v>208780309.98841301</v>
      </c>
      <c r="F40" s="3">
        <v>219</v>
      </c>
      <c r="G40" s="3">
        <v>42534957.064790867</v>
      </c>
      <c r="H40" s="3">
        <v>44</v>
      </c>
      <c r="I40" s="3">
        <v>46194446</v>
      </c>
      <c r="J40" s="3">
        <v>319230.11326514382</v>
      </c>
      <c r="K40" s="3">
        <v>18695871.580216721</v>
      </c>
      <c r="L40" s="3">
        <v>1044</v>
      </c>
      <c r="M40" s="3">
        <v>232619395.4729872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8</v>
      </c>
      <c r="E41" s="3">
        <v>39150170.160872787</v>
      </c>
      <c r="F41" s="3">
        <v>2</v>
      </c>
      <c r="G41" s="3">
        <v>9699711.5999958646</v>
      </c>
      <c r="H41" s="3">
        <v>0</v>
      </c>
      <c r="I41" s="3">
        <v>0</v>
      </c>
      <c r="J41" s="3">
        <v>5283238.4691358022</v>
      </c>
      <c r="K41" s="3">
        <v>0</v>
      </c>
      <c r="L41" s="3">
        <v>10</v>
      </c>
      <c r="M41" s="3">
        <v>48849881.760868661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15</v>
      </c>
      <c r="E42" s="3">
        <v>59996142.677067481</v>
      </c>
      <c r="F42" s="3">
        <v>0</v>
      </c>
      <c r="G42" s="3">
        <v>0</v>
      </c>
      <c r="H42" s="3">
        <v>0</v>
      </c>
      <c r="I42" s="3">
        <v>0</v>
      </c>
      <c r="J42" s="3">
        <v>5336492.0474377228</v>
      </c>
      <c r="K42" s="3">
        <v>0</v>
      </c>
      <c r="L42" s="3">
        <v>15</v>
      </c>
      <c r="M42" s="3">
        <v>59996142.677067481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10</v>
      </c>
      <c r="E43" s="3">
        <v>62335983.537573993</v>
      </c>
      <c r="F43" s="3">
        <v>0</v>
      </c>
      <c r="G43" s="3">
        <v>0</v>
      </c>
      <c r="H43" s="3">
        <v>0</v>
      </c>
      <c r="I43" s="3">
        <v>0</v>
      </c>
      <c r="J43" s="3">
        <v>7037687.045454544</v>
      </c>
      <c r="K43" s="3">
        <v>0</v>
      </c>
      <c r="L43" s="3">
        <v>10</v>
      </c>
      <c r="M43" s="3">
        <v>62335983.537573993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6</v>
      </c>
      <c r="E44" s="3">
        <v>6780856.9509367924</v>
      </c>
      <c r="F44" s="3">
        <v>1</v>
      </c>
      <c r="G44" s="3">
        <v>2128547.3922341331</v>
      </c>
      <c r="H44" s="3">
        <v>0</v>
      </c>
      <c r="I44" s="3">
        <v>0</v>
      </c>
      <c r="J44" s="3">
        <v>1349648.6530612239</v>
      </c>
      <c r="K44" s="3">
        <v>0</v>
      </c>
      <c r="L44" s="3">
        <v>7</v>
      </c>
      <c r="M44" s="3">
        <v>8909404.343170926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159</v>
      </c>
      <c r="E45" s="3">
        <v>437606890.37710178</v>
      </c>
      <c r="F45" s="3">
        <v>0</v>
      </c>
      <c r="G45" s="3">
        <v>0</v>
      </c>
      <c r="H45" s="3">
        <v>6</v>
      </c>
      <c r="I45" s="3">
        <v>6129628</v>
      </c>
      <c r="J45" s="3">
        <v>3339309.40460931</v>
      </c>
      <c r="K45" s="3">
        <v>26668408.490363479</v>
      </c>
      <c r="L45" s="3">
        <v>153</v>
      </c>
      <c r="M45" s="3">
        <v>410938481.8867383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265</v>
      </c>
      <c r="E46" s="3">
        <v>75024389.289505139</v>
      </c>
      <c r="F46" s="3">
        <v>0</v>
      </c>
      <c r="G46" s="3">
        <v>0</v>
      </c>
      <c r="H46" s="3">
        <v>64</v>
      </c>
      <c r="I46" s="3">
        <v>57462962</v>
      </c>
      <c r="J46" s="3">
        <v>413912.32795077353</v>
      </c>
      <c r="K46" s="3">
        <v>35259611.545635283</v>
      </c>
      <c r="L46" s="3">
        <v>201</v>
      </c>
      <c r="M46" s="3">
        <v>39764777.743869863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27726495.894468721</v>
      </c>
      <c r="F47" s="3">
        <v>0</v>
      </c>
      <c r="G47" s="3">
        <v>0</v>
      </c>
      <c r="H47" s="3">
        <v>0</v>
      </c>
      <c r="I47" s="3">
        <v>0</v>
      </c>
      <c r="J47" s="3">
        <v>6634262.7468460118</v>
      </c>
      <c r="K47" s="3">
        <v>0</v>
      </c>
      <c r="L47" s="3">
        <v>9</v>
      </c>
      <c r="M47" s="3">
        <v>27726495.894468721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2221</v>
      </c>
      <c r="E49" s="3">
        <v>714129672.83614731</v>
      </c>
      <c r="F49" s="3">
        <v>0</v>
      </c>
      <c r="G49" s="3">
        <v>0</v>
      </c>
      <c r="H49" s="3">
        <v>13</v>
      </c>
      <c r="I49" s="3">
        <v>8166670</v>
      </c>
      <c r="J49" s="3">
        <v>377191.19784536882</v>
      </c>
      <c r="K49" s="3">
        <v>6526706.5938806469</v>
      </c>
      <c r="L49" s="3">
        <v>2208</v>
      </c>
      <c r="M49" s="3">
        <v>707602966.24226665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368</v>
      </c>
      <c r="E50" s="3">
        <v>206407746.26159829</v>
      </c>
      <c r="F50" s="3">
        <v>0</v>
      </c>
      <c r="G50" s="3">
        <v>0</v>
      </c>
      <c r="H50" s="3">
        <v>6</v>
      </c>
      <c r="I50" s="3">
        <v>6629631</v>
      </c>
      <c r="J50" s="3">
        <v>724540.43955153087</v>
      </c>
      <c r="K50" s="3">
        <v>5786328.26987423</v>
      </c>
      <c r="L50" s="3">
        <v>362</v>
      </c>
      <c r="M50" s="3">
        <v>200621417.9917241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122</v>
      </c>
      <c r="E51" s="3">
        <v>46708958.218774647</v>
      </c>
      <c r="F51" s="3">
        <v>0</v>
      </c>
      <c r="G51" s="3">
        <v>0</v>
      </c>
      <c r="H51" s="3">
        <v>4</v>
      </c>
      <c r="I51" s="3">
        <v>2300000</v>
      </c>
      <c r="J51" s="3">
        <v>455876.11977441481</v>
      </c>
      <c r="K51" s="3">
        <v>2427146.6761689819</v>
      </c>
      <c r="L51" s="3">
        <v>118</v>
      </c>
      <c r="M51" s="3">
        <v>44281811.542605668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41</v>
      </c>
      <c r="E52" s="3">
        <v>49738539</v>
      </c>
      <c r="F52" s="3">
        <v>0</v>
      </c>
      <c r="G52" s="3">
        <v>0</v>
      </c>
      <c r="H52" s="3">
        <v>2</v>
      </c>
      <c r="I52" s="3">
        <v>2462964</v>
      </c>
      <c r="J52" s="3">
        <v>1213135.0975609759</v>
      </c>
      <c r="K52" s="3">
        <v>3229448.4094122839</v>
      </c>
      <c r="L52" s="3">
        <v>39</v>
      </c>
      <c r="M52" s="3">
        <v>46509090.590587713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17</v>
      </c>
      <c r="E53" s="3">
        <v>45566565.01806803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54</v>
      </c>
      <c r="E54" s="3">
        <v>1106260.1010449619</v>
      </c>
      <c r="F54" s="3">
        <v>27</v>
      </c>
      <c r="G54" s="3">
        <v>1127145.28676592</v>
      </c>
      <c r="H54" s="3">
        <v>1</v>
      </c>
      <c r="I54" s="3">
        <v>638889</v>
      </c>
      <c r="J54" s="3">
        <v>37299.255047309969</v>
      </c>
      <c r="K54" s="3">
        <v>49646.58104731152</v>
      </c>
      <c r="L54" s="3">
        <v>80</v>
      </c>
      <c r="M54" s="3">
        <v>2183758.8067635698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11573</v>
      </c>
      <c r="E55" s="3">
        <v>550924705.09614444</v>
      </c>
      <c r="F55" s="3">
        <v>178</v>
      </c>
      <c r="G55" s="3">
        <v>7809163.1213773508</v>
      </c>
      <c r="H55" s="3">
        <v>55</v>
      </c>
      <c r="I55" s="3">
        <v>5259255</v>
      </c>
      <c r="J55" s="3">
        <v>53707.32195381639</v>
      </c>
      <c r="K55" s="3">
        <v>3931745.2851476572</v>
      </c>
      <c r="L55" s="3">
        <v>11696</v>
      </c>
      <c r="M55" s="3">
        <v>554802122.93237412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11</v>
      </c>
      <c r="E56" s="3">
        <v>678409.75259830931</v>
      </c>
      <c r="F56" s="3">
        <v>0</v>
      </c>
      <c r="G56" s="3">
        <v>0</v>
      </c>
      <c r="H56" s="3">
        <v>0</v>
      </c>
      <c r="I56" s="3">
        <v>0</v>
      </c>
      <c r="J56" s="3">
        <v>62800.727272727272</v>
      </c>
      <c r="K56" s="3">
        <v>0</v>
      </c>
      <c r="L56" s="3">
        <v>11</v>
      </c>
      <c r="M56" s="3">
        <v>678409.75259830931</v>
      </c>
    </row>
    <row r="57" spans="1:13" ht="15.75" customHeight="1" x14ac:dyDescent="0.25">
      <c r="C57" s="4" t="s">
        <v>144</v>
      </c>
      <c r="D57" s="5">
        <f t="shared" ref="D57:M57" si="0">SUM(D2:D56)</f>
        <v>32589.690999999999</v>
      </c>
      <c r="E57" s="5">
        <f t="shared" si="0"/>
        <v>17669635945.436932</v>
      </c>
      <c r="F57" s="5">
        <f t="shared" si="0"/>
        <v>1247</v>
      </c>
      <c r="G57" s="5">
        <f t="shared" si="0"/>
        <v>1576886402.0838552</v>
      </c>
      <c r="H57" s="5">
        <f t="shared" si="0"/>
        <v>595</v>
      </c>
      <c r="I57" s="5">
        <f t="shared" si="0"/>
        <v>1448017604</v>
      </c>
      <c r="J57" s="5">
        <f t="shared" si="0"/>
        <v>231810757.03726149</v>
      </c>
      <c r="K57" s="5">
        <f t="shared" si="0"/>
        <v>1274038836.1992626</v>
      </c>
      <c r="L57" s="5">
        <f t="shared" si="0"/>
        <v>33241.690999999999</v>
      </c>
      <c r="M57" s="5">
        <f t="shared" si="0"/>
        <v>17972483511.321522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3" x14ac:dyDescent="0.25">
      <c r="A1" s="1" t="s">
        <v>0</v>
      </c>
      <c r="B1" s="1" t="s">
        <v>1</v>
      </c>
      <c r="C1" s="1" t="s">
        <v>151</v>
      </c>
      <c r="D1" s="1" t="s">
        <v>3</v>
      </c>
      <c r="E1" s="1" t="s">
        <v>4</v>
      </c>
      <c r="F1" s="1" t="s">
        <v>152</v>
      </c>
      <c r="G1" s="1" t="s">
        <v>153</v>
      </c>
      <c r="H1" s="1" t="s">
        <v>154</v>
      </c>
      <c r="I1" s="1" t="s">
        <v>155</v>
      </c>
      <c r="J1" s="1" t="s">
        <v>156</v>
      </c>
      <c r="K1" s="1" t="s">
        <v>157</v>
      </c>
      <c r="L1" s="1" t="s">
        <v>8</v>
      </c>
      <c r="M1" s="1" t="s">
        <v>9</v>
      </c>
    </row>
    <row r="2" spans="1:13" x14ac:dyDescent="0.25">
      <c r="A2" s="2">
        <v>1</v>
      </c>
      <c r="B2" s="2" t="s">
        <v>34</v>
      </c>
      <c r="C2" s="2" t="s">
        <v>35</v>
      </c>
      <c r="D2" s="3">
        <v>92</v>
      </c>
      <c r="E2" s="3">
        <v>28956108.74882967</v>
      </c>
      <c r="F2" s="3">
        <v>0</v>
      </c>
      <c r="G2" s="3">
        <v>0</v>
      </c>
      <c r="H2" s="3">
        <v>0</v>
      </c>
      <c r="I2" s="3">
        <v>0</v>
      </c>
      <c r="J2" s="3">
        <v>451858.86490049708</v>
      </c>
      <c r="K2" s="3">
        <v>0</v>
      </c>
      <c r="L2" s="3">
        <v>92</v>
      </c>
      <c r="M2" s="3">
        <v>28956108.74882967</v>
      </c>
    </row>
    <row r="3" spans="1:13" x14ac:dyDescent="0.25">
      <c r="A3" s="2">
        <v>2</v>
      </c>
      <c r="B3" s="2" t="s">
        <v>36</v>
      </c>
      <c r="C3" s="2" t="s">
        <v>37</v>
      </c>
      <c r="D3" s="3">
        <v>39</v>
      </c>
      <c r="E3" s="3">
        <v>20393626.001976471</v>
      </c>
      <c r="F3" s="3">
        <v>0</v>
      </c>
      <c r="G3" s="3">
        <v>0</v>
      </c>
      <c r="H3" s="3">
        <v>8</v>
      </c>
      <c r="I3" s="3">
        <v>15407410</v>
      </c>
      <c r="J3" s="3">
        <v>1470123.157825279</v>
      </c>
      <c r="K3" s="3">
        <v>15654272.646877659</v>
      </c>
      <c r="L3" s="3">
        <v>31</v>
      </c>
      <c r="M3" s="3">
        <v>4739353.3550988082</v>
      </c>
    </row>
    <row r="4" spans="1:13" x14ac:dyDescent="0.25">
      <c r="A4" s="2">
        <v>3</v>
      </c>
      <c r="B4" s="2" t="s">
        <v>38</v>
      </c>
      <c r="C4" s="2" t="s">
        <v>39</v>
      </c>
      <c r="D4" s="3">
        <v>1454</v>
      </c>
      <c r="E4" s="3">
        <v>487115129.81734878</v>
      </c>
      <c r="F4" s="3">
        <v>0</v>
      </c>
      <c r="G4" s="3">
        <v>0</v>
      </c>
      <c r="H4" s="3">
        <v>3</v>
      </c>
      <c r="I4" s="3">
        <v>1324074</v>
      </c>
      <c r="J4" s="3">
        <v>370159.87119187601</v>
      </c>
      <c r="K4" s="3">
        <v>1478086.253112599</v>
      </c>
      <c r="L4" s="3">
        <v>1451</v>
      </c>
      <c r="M4" s="3">
        <v>485637043.56423622</v>
      </c>
    </row>
    <row r="5" spans="1:13" x14ac:dyDescent="0.25">
      <c r="A5" s="2">
        <v>4</v>
      </c>
      <c r="B5" s="2" t="s">
        <v>40</v>
      </c>
      <c r="C5" s="2" t="s">
        <v>41</v>
      </c>
      <c r="D5" s="3">
        <v>2055</v>
      </c>
      <c r="E5" s="3">
        <v>218938995.80451289</v>
      </c>
      <c r="F5" s="3">
        <v>74</v>
      </c>
      <c r="G5" s="3">
        <v>9358454.4065424912</v>
      </c>
      <c r="H5" s="3">
        <v>33</v>
      </c>
      <c r="I5" s="3">
        <v>5638889</v>
      </c>
      <c r="J5" s="3">
        <v>129137.2483725622</v>
      </c>
      <c r="K5" s="3">
        <v>5672240.7555048577</v>
      </c>
      <c r="L5" s="3">
        <v>2096</v>
      </c>
      <c r="M5" s="3">
        <v>222625209.45555061</v>
      </c>
    </row>
    <row r="6" spans="1:13" x14ac:dyDescent="0.25">
      <c r="A6" s="2">
        <v>5</v>
      </c>
      <c r="B6" s="2" t="s">
        <v>42</v>
      </c>
      <c r="C6" s="2" t="s">
        <v>43</v>
      </c>
      <c r="D6" s="3">
        <v>98</v>
      </c>
      <c r="E6" s="3">
        <v>3844006.3792048921</v>
      </c>
      <c r="F6" s="3">
        <v>25</v>
      </c>
      <c r="G6" s="3">
        <v>1841213.805478615</v>
      </c>
      <c r="H6" s="3">
        <v>18</v>
      </c>
      <c r="I6" s="3">
        <v>2870370</v>
      </c>
      <c r="J6" s="3">
        <v>69107.305006076465</v>
      </c>
      <c r="K6" s="3">
        <v>1655715.2539021571</v>
      </c>
      <c r="L6" s="3">
        <v>105</v>
      </c>
      <c r="M6" s="3">
        <v>4029504.93078135</v>
      </c>
    </row>
    <row r="7" spans="1:13" x14ac:dyDescent="0.25">
      <c r="A7" s="2">
        <v>6</v>
      </c>
      <c r="B7" s="2" t="s">
        <v>44</v>
      </c>
      <c r="C7" s="2" t="s">
        <v>45</v>
      </c>
      <c r="D7" s="3">
        <v>104</v>
      </c>
      <c r="E7" s="3">
        <v>2715962.7700886792</v>
      </c>
      <c r="F7" s="3">
        <v>0</v>
      </c>
      <c r="G7" s="3">
        <v>0</v>
      </c>
      <c r="H7" s="3">
        <v>0</v>
      </c>
      <c r="I7" s="3">
        <v>0</v>
      </c>
      <c r="J7" s="3">
        <v>29445.697191697189</v>
      </c>
      <c r="K7" s="3">
        <v>0</v>
      </c>
      <c r="L7" s="3">
        <v>104</v>
      </c>
      <c r="M7" s="3">
        <v>2715962.7700886792</v>
      </c>
    </row>
    <row r="8" spans="1:13" x14ac:dyDescent="0.25">
      <c r="A8" s="2">
        <v>7</v>
      </c>
      <c r="B8" s="2" t="s">
        <v>46</v>
      </c>
      <c r="C8" s="2" t="s">
        <v>47</v>
      </c>
      <c r="D8" s="3">
        <v>1940</v>
      </c>
      <c r="E8" s="3">
        <v>831561518.2338649</v>
      </c>
      <c r="F8" s="3">
        <v>40</v>
      </c>
      <c r="G8" s="3">
        <v>155410931.6211378</v>
      </c>
      <c r="H8" s="3">
        <v>41</v>
      </c>
      <c r="I8" s="3">
        <v>65924072</v>
      </c>
      <c r="J8" s="3">
        <v>567122.8525292197</v>
      </c>
      <c r="K8" s="3">
        <v>30949254.500462338</v>
      </c>
      <c r="L8" s="3">
        <v>1939</v>
      </c>
      <c r="M8" s="3">
        <v>956023195.35454035</v>
      </c>
    </row>
    <row r="9" spans="1:13" x14ac:dyDescent="0.25">
      <c r="A9" s="2">
        <v>8</v>
      </c>
      <c r="B9" s="2" t="s">
        <v>48</v>
      </c>
      <c r="C9" s="2" t="s">
        <v>49</v>
      </c>
      <c r="D9" s="3">
        <v>169</v>
      </c>
      <c r="E9" s="3">
        <v>21515862.108368188</v>
      </c>
      <c r="F9" s="3">
        <v>1</v>
      </c>
      <c r="G9" s="3">
        <v>709947.11125385738</v>
      </c>
      <c r="H9" s="3">
        <v>0</v>
      </c>
      <c r="I9" s="3">
        <v>0</v>
      </c>
      <c r="J9" s="3">
        <v>170215.75916751139</v>
      </c>
      <c r="K9" s="3">
        <v>0</v>
      </c>
      <c r="L9" s="3">
        <v>170</v>
      </c>
      <c r="M9" s="3">
        <v>22225809.219622049</v>
      </c>
    </row>
    <row r="10" spans="1:13" x14ac:dyDescent="0.25">
      <c r="A10" s="2">
        <v>9</v>
      </c>
      <c r="B10" s="2" t="s">
        <v>50</v>
      </c>
      <c r="C10" s="2" t="s">
        <v>51</v>
      </c>
      <c r="D10" s="3">
        <v>1272</v>
      </c>
      <c r="E10" s="3">
        <v>1161539642.4568689</v>
      </c>
      <c r="F10" s="3">
        <v>12</v>
      </c>
      <c r="G10" s="3">
        <v>7941768.1032178206</v>
      </c>
      <c r="H10" s="3">
        <v>103</v>
      </c>
      <c r="I10" s="3">
        <v>50059259</v>
      </c>
      <c r="J10" s="3">
        <v>1024680.63978175</v>
      </c>
      <c r="K10" s="3">
        <v>140480143.84467101</v>
      </c>
      <c r="L10" s="3">
        <v>1181</v>
      </c>
      <c r="M10" s="3">
        <v>1029001266.715415</v>
      </c>
    </row>
    <row r="11" spans="1:13" x14ac:dyDescent="0.25">
      <c r="A11" s="2">
        <v>10</v>
      </c>
      <c r="B11" s="2" t="s">
        <v>52</v>
      </c>
      <c r="C11" s="2" t="s">
        <v>53</v>
      </c>
      <c r="D11" s="3">
        <v>548</v>
      </c>
      <c r="E11" s="3">
        <v>862751668.45347226</v>
      </c>
      <c r="F11" s="3">
        <v>68</v>
      </c>
      <c r="G11" s="3">
        <v>89493312.409374252</v>
      </c>
      <c r="H11" s="3">
        <v>54</v>
      </c>
      <c r="I11" s="3">
        <v>116092593</v>
      </c>
      <c r="J11" s="3">
        <v>2264250.4300338109</v>
      </c>
      <c r="K11" s="3">
        <v>162744907.01085201</v>
      </c>
      <c r="L11" s="3">
        <v>562</v>
      </c>
      <c r="M11" s="3">
        <v>789500073.85199451</v>
      </c>
    </row>
    <row r="12" spans="1:13" x14ac:dyDescent="0.25">
      <c r="A12" s="2">
        <v>11</v>
      </c>
      <c r="B12" s="2" t="s">
        <v>54</v>
      </c>
      <c r="C12" s="2" t="s">
        <v>55</v>
      </c>
      <c r="D12" s="3">
        <v>60</v>
      </c>
      <c r="E12" s="3">
        <v>140336693.3052941</v>
      </c>
      <c r="F12" s="3">
        <v>0</v>
      </c>
      <c r="G12" s="3">
        <v>0</v>
      </c>
      <c r="H12" s="3">
        <v>1</v>
      </c>
      <c r="I12" s="3">
        <v>3416667</v>
      </c>
      <c r="J12" s="3">
        <v>2977023.664920805</v>
      </c>
      <c r="K12" s="3">
        <v>3962520.0683710282</v>
      </c>
      <c r="L12" s="3">
        <v>59</v>
      </c>
      <c r="M12" s="3">
        <v>136374173.23692301</v>
      </c>
    </row>
    <row r="13" spans="1:13" x14ac:dyDescent="0.25">
      <c r="A13" s="2">
        <v>12</v>
      </c>
      <c r="B13" s="2" t="s">
        <v>56</v>
      </c>
      <c r="C13" s="2" t="s">
        <v>57</v>
      </c>
      <c r="D13" s="3">
        <v>8</v>
      </c>
      <c r="E13" s="3">
        <v>12045572.28159376</v>
      </c>
      <c r="F13" s="3">
        <v>0</v>
      </c>
      <c r="G13" s="3">
        <v>0</v>
      </c>
      <c r="H13" s="3">
        <v>0</v>
      </c>
      <c r="I13" s="3">
        <v>0</v>
      </c>
      <c r="J13" s="3">
        <v>1570690.555555556</v>
      </c>
      <c r="K13" s="3">
        <v>0</v>
      </c>
      <c r="L13" s="3">
        <v>8</v>
      </c>
      <c r="M13" s="3">
        <v>12045572.28159376</v>
      </c>
    </row>
    <row r="14" spans="1:13" x14ac:dyDescent="0.25">
      <c r="A14" s="2">
        <v>13</v>
      </c>
      <c r="B14" s="2" t="s">
        <v>58</v>
      </c>
      <c r="C14" s="2" t="s">
        <v>59</v>
      </c>
      <c r="D14" s="3">
        <v>378</v>
      </c>
      <c r="E14" s="3">
        <v>26808542.334882099</v>
      </c>
      <c r="F14" s="3">
        <v>73</v>
      </c>
      <c r="G14" s="3">
        <v>11142990.85720001</v>
      </c>
      <c r="H14" s="3">
        <v>46</v>
      </c>
      <c r="I14" s="3">
        <v>7740747</v>
      </c>
      <c r="J14" s="3">
        <v>196479.38185908689</v>
      </c>
      <c r="K14" s="3">
        <v>12029954.99476151</v>
      </c>
      <c r="L14" s="3">
        <v>405</v>
      </c>
      <c r="M14" s="3">
        <v>25921578.197320599</v>
      </c>
    </row>
    <row r="15" spans="1:13" x14ac:dyDescent="0.25">
      <c r="A15" s="2">
        <v>14</v>
      </c>
      <c r="B15" s="2" t="s">
        <v>60</v>
      </c>
      <c r="C15" s="2" t="s">
        <v>61</v>
      </c>
      <c r="D15" s="3">
        <v>3527</v>
      </c>
      <c r="E15" s="3">
        <v>398043624.44572753</v>
      </c>
      <c r="F15" s="3">
        <v>0</v>
      </c>
      <c r="G15" s="3">
        <v>0</v>
      </c>
      <c r="H15" s="3">
        <v>146</v>
      </c>
      <c r="I15" s="3">
        <v>17805551</v>
      </c>
      <c r="J15" s="3">
        <v>125138.9197463928</v>
      </c>
      <c r="K15" s="3">
        <v>24318369.06577342</v>
      </c>
      <c r="L15" s="3">
        <v>3381</v>
      </c>
      <c r="M15" s="3">
        <v>373725255.37995398</v>
      </c>
    </row>
    <row r="16" spans="1:13" x14ac:dyDescent="0.25">
      <c r="A16" s="2">
        <v>15</v>
      </c>
      <c r="B16" s="2" t="s">
        <v>62</v>
      </c>
      <c r="C16" s="2" t="s">
        <v>63</v>
      </c>
      <c r="D16" s="3">
        <v>3152.6909999999998</v>
      </c>
      <c r="E16" s="3">
        <v>790747130.28888667</v>
      </c>
      <c r="F16" s="3">
        <v>1372.069</v>
      </c>
      <c r="G16" s="3">
        <v>259423027.45580089</v>
      </c>
      <c r="H16" s="3">
        <v>482</v>
      </c>
      <c r="I16" s="3">
        <v>545212541</v>
      </c>
      <c r="J16" s="3">
        <v>400645.26875507459</v>
      </c>
      <c r="K16" s="3">
        <v>257037355.58681959</v>
      </c>
      <c r="L16" s="3">
        <v>4042.76</v>
      </c>
      <c r="M16" s="3">
        <v>793132802.15786803</v>
      </c>
    </row>
    <row r="17" spans="1:13" x14ac:dyDescent="0.25">
      <c r="A17" s="2">
        <v>16</v>
      </c>
      <c r="B17" s="2" t="s">
        <v>64</v>
      </c>
      <c r="C17" s="2" t="s">
        <v>65</v>
      </c>
      <c r="D17" s="3">
        <v>11</v>
      </c>
      <c r="E17" s="3">
        <v>91099779.943765849</v>
      </c>
      <c r="F17" s="3">
        <v>0</v>
      </c>
      <c r="G17" s="3">
        <v>0</v>
      </c>
      <c r="H17" s="3">
        <v>0</v>
      </c>
      <c r="I17" s="3">
        <v>0</v>
      </c>
      <c r="J17" s="3">
        <v>8812186.2307692301</v>
      </c>
      <c r="K17" s="3">
        <v>0</v>
      </c>
      <c r="L17" s="3">
        <v>11</v>
      </c>
      <c r="M17" s="3">
        <v>91099779.943765849</v>
      </c>
    </row>
    <row r="18" spans="1:13" x14ac:dyDescent="0.25">
      <c r="A18" s="2">
        <v>17</v>
      </c>
      <c r="B18" s="2" t="s">
        <v>66</v>
      </c>
      <c r="C18" s="2" t="s">
        <v>67</v>
      </c>
      <c r="D18" s="3">
        <v>9</v>
      </c>
      <c r="E18" s="3">
        <v>25822498.711503521</v>
      </c>
      <c r="F18" s="3">
        <v>0</v>
      </c>
      <c r="G18" s="3">
        <v>0</v>
      </c>
      <c r="H18" s="3">
        <v>0</v>
      </c>
      <c r="I18" s="3">
        <v>0</v>
      </c>
      <c r="J18" s="3">
        <v>2912687.111111111</v>
      </c>
      <c r="K18" s="3">
        <v>0</v>
      </c>
      <c r="L18" s="3">
        <v>9</v>
      </c>
      <c r="M18" s="3">
        <v>25822498.711503521</v>
      </c>
    </row>
    <row r="19" spans="1:13" x14ac:dyDescent="0.25">
      <c r="A19" s="2">
        <v>18</v>
      </c>
      <c r="B19" s="2" t="s">
        <v>68</v>
      </c>
      <c r="C19" s="2" t="s">
        <v>69</v>
      </c>
      <c r="D19" s="3">
        <v>120</v>
      </c>
      <c r="E19" s="3">
        <v>1225112226.292417</v>
      </c>
      <c r="F19" s="3">
        <v>27</v>
      </c>
      <c r="G19" s="3">
        <v>120615913.7459486</v>
      </c>
      <c r="H19" s="3">
        <v>3</v>
      </c>
      <c r="I19" s="3">
        <v>50814814</v>
      </c>
      <c r="J19" s="3">
        <v>11398097.4629014</v>
      </c>
      <c r="K19" s="3">
        <v>45513769.813311689</v>
      </c>
      <c r="L19" s="3">
        <v>144</v>
      </c>
      <c r="M19" s="3">
        <v>1300214370.225054</v>
      </c>
    </row>
    <row r="20" spans="1:13" x14ac:dyDescent="0.25">
      <c r="A20" s="2">
        <v>19</v>
      </c>
      <c r="B20" s="2" t="s">
        <v>70</v>
      </c>
      <c r="C20" s="2" t="s">
        <v>71</v>
      </c>
      <c r="D20" s="3">
        <v>9</v>
      </c>
      <c r="E20" s="3">
        <v>132688728.8601342</v>
      </c>
      <c r="F20" s="3">
        <v>0</v>
      </c>
      <c r="G20" s="3">
        <v>0</v>
      </c>
      <c r="H20" s="3">
        <v>1</v>
      </c>
      <c r="I20" s="3">
        <v>9166667</v>
      </c>
      <c r="J20" s="3">
        <v>15371677.4</v>
      </c>
      <c r="K20" s="3">
        <v>20460227.07167352</v>
      </c>
      <c r="L20" s="3">
        <v>8</v>
      </c>
      <c r="M20" s="3">
        <v>112228501.7884607</v>
      </c>
    </row>
    <row r="21" spans="1:13" ht="15.75" customHeight="1" x14ac:dyDescent="0.25">
      <c r="A21" s="2">
        <v>20</v>
      </c>
      <c r="B21" s="2" t="s">
        <v>72</v>
      </c>
      <c r="C21" s="2" t="s">
        <v>73</v>
      </c>
      <c r="D21" s="3">
        <v>47</v>
      </c>
      <c r="E21" s="3">
        <v>465001852.04571241</v>
      </c>
      <c r="F21" s="3">
        <v>0</v>
      </c>
      <c r="G21" s="3">
        <v>0</v>
      </c>
      <c r="H21" s="3">
        <v>2</v>
      </c>
      <c r="I21" s="3">
        <v>14259260</v>
      </c>
      <c r="J21" s="3">
        <v>10738152.155172409</v>
      </c>
      <c r="K21" s="3">
        <v>28585693.76755305</v>
      </c>
      <c r="L21" s="3">
        <v>45</v>
      </c>
      <c r="M21" s="3">
        <v>436416158.27815932</v>
      </c>
    </row>
    <row r="22" spans="1:13" ht="15.75" customHeight="1" x14ac:dyDescent="0.25">
      <c r="A22" s="2">
        <v>21</v>
      </c>
      <c r="B22" s="2" t="s">
        <v>74</v>
      </c>
      <c r="C22" s="2" t="s">
        <v>75</v>
      </c>
      <c r="D22" s="3">
        <v>61</v>
      </c>
      <c r="E22" s="3">
        <v>107700813.9920729</v>
      </c>
      <c r="F22" s="3">
        <v>0</v>
      </c>
      <c r="G22" s="3">
        <v>0</v>
      </c>
      <c r="H22" s="3">
        <v>0</v>
      </c>
      <c r="I22" s="3">
        <v>0</v>
      </c>
      <c r="J22" s="3">
        <v>1925651.7840503119</v>
      </c>
      <c r="K22" s="3">
        <v>0</v>
      </c>
      <c r="L22" s="3">
        <v>61</v>
      </c>
      <c r="M22" s="3">
        <v>107700813.9920729</v>
      </c>
    </row>
    <row r="23" spans="1:13" ht="15.75" customHeight="1" x14ac:dyDescent="0.25">
      <c r="A23" s="2">
        <v>22</v>
      </c>
      <c r="B23" s="2" t="s">
        <v>76</v>
      </c>
      <c r="C23" s="2" t="s">
        <v>77</v>
      </c>
      <c r="D23" s="3">
        <v>24</v>
      </c>
      <c r="E23" s="3">
        <v>276323064.43231291</v>
      </c>
      <c r="F23" s="3">
        <v>5</v>
      </c>
      <c r="G23" s="3">
        <v>65562865.839589931</v>
      </c>
      <c r="H23" s="3">
        <v>1</v>
      </c>
      <c r="I23" s="3">
        <v>14712963</v>
      </c>
      <c r="J23" s="3">
        <v>13078503.19740946</v>
      </c>
      <c r="K23" s="3">
        <v>17407933.9693016</v>
      </c>
      <c r="L23" s="3">
        <v>28</v>
      </c>
      <c r="M23" s="3">
        <v>324477996.30260128</v>
      </c>
    </row>
    <row r="24" spans="1:13" ht="15.75" customHeight="1" x14ac:dyDescent="0.25">
      <c r="A24" s="2">
        <v>23</v>
      </c>
      <c r="B24" s="2" t="s">
        <v>78</v>
      </c>
      <c r="C24" s="2" t="s">
        <v>79</v>
      </c>
      <c r="D24" s="3">
        <v>23</v>
      </c>
      <c r="E24" s="3">
        <v>120100615.5715196</v>
      </c>
      <c r="F24" s="3">
        <v>0</v>
      </c>
      <c r="G24" s="3">
        <v>0</v>
      </c>
      <c r="H24" s="3">
        <v>0</v>
      </c>
      <c r="I24" s="3">
        <v>0</v>
      </c>
      <c r="J24" s="3">
        <v>6050628.3384615388</v>
      </c>
      <c r="K24" s="3">
        <v>0</v>
      </c>
      <c r="L24" s="3">
        <v>23</v>
      </c>
      <c r="M24" s="3">
        <v>120100615.5715196</v>
      </c>
    </row>
    <row r="25" spans="1:13" ht="15.75" customHeight="1" x14ac:dyDescent="0.25">
      <c r="A25" s="2">
        <v>24</v>
      </c>
      <c r="B25" s="2" t="s">
        <v>80</v>
      </c>
      <c r="C25" s="2" t="s">
        <v>81</v>
      </c>
      <c r="D25" s="3">
        <v>33</v>
      </c>
      <c r="E25" s="3">
        <v>389949762.28120899</v>
      </c>
      <c r="F25" s="3">
        <v>0</v>
      </c>
      <c r="G25" s="3">
        <v>0</v>
      </c>
      <c r="H25" s="3">
        <v>1</v>
      </c>
      <c r="I25" s="3">
        <v>9259259</v>
      </c>
      <c r="J25" s="3">
        <v>12847696</v>
      </c>
      <c r="K25" s="3">
        <v>17100721.714848869</v>
      </c>
      <c r="L25" s="3">
        <v>32</v>
      </c>
      <c r="M25" s="3">
        <v>372849040.56636012</v>
      </c>
    </row>
    <row r="26" spans="1:13" ht="15.75" customHeight="1" x14ac:dyDescent="0.25">
      <c r="A26" s="2">
        <v>25</v>
      </c>
      <c r="B26" s="2" t="s">
        <v>82</v>
      </c>
      <c r="C26" s="2" t="s">
        <v>83</v>
      </c>
      <c r="D26" s="3">
        <v>29</v>
      </c>
      <c r="E26" s="3">
        <v>245239261.12685099</v>
      </c>
      <c r="F26" s="3">
        <v>0</v>
      </c>
      <c r="G26" s="3">
        <v>0</v>
      </c>
      <c r="H26" s="3">
        <v>0</v>
      </c>
      <c r="I26" s="3">
        <v>0</v>
      </c>
      <c r="J26" s="3">
        <v>9306382.8648648653</v>
      </c>
      <c r="K26" s="3">
        <v>0</v>
      </c>
      <c r="L26" s="3">
        <v>29</v>
      </c>
      <c r="M26" s="3">
        <v>245239261.12685099</v>
      </c>
    </row>
    <row r="27" spans="1:13" ht="15.75" customHeight="1" x14ac:dyDescent="0.25">
      <c r="A27" s="2">
        <v>26</v>
      </c>
      <c r="B27" s="2" t="s">
        <v>84</v>
      </c>
      <c r="C27" s="2" t="s">
        <v>85</v>
      </c>
      <c r="D27" s="3">
        <v>278</v>
      </c>
      <c r="E27" s="3">
        <v>524116623.34708989</v>
      </c>
      <c r="F27" s="3">
        <v>92</v>
      </c>
      <c r="G27" s="3">
        <v>107864384.7951595</v>
      </c>
      <c r="H27" s="3">
        <v>15</v>
      </c>
      <c r="I27" s="3">
        <v>89814816</v>
      </c>
      <c r="J27" s="3">
        <v>2576978.7735627322</v>
      </c>
      <c r="K27" s="3">
        <v>51450700.038087167</v>
      </c>
      <c r="L27" s="3">
        <v>355</v>
      </c>
      <c r="M27" s="3">
        <v>580530308.10416234</v>
      </c>
    </row>
    <row r="28" spans="1:13" ht="15.75" customHeight="1" x14ac:dyDescent="0.25">
      <c r="A28" s="2">
        <v>27</v>
      </c>
      <c r="B28" s="2" t="s">
        <v>86</v>
      </c>
      <c r="C28" s="2" t="s">
        <v>87</v>
      </c>
      <c r="D28" s="3">
        <v>98</v>
      </c>
      <c r="E28" s="3">
        <v>547961378.80124474</v>
      </c>
      <c r="F28" s="3">
        <v>65</v>
      </c>
      <c r="G28" s="3">
        <v>841988851.68749249</v>
      </c>
      <c r="H28" s="3">
        <v>16</v>
      </c>
      <c r="I28" s="3">
        <v>195083332</v>
      </c>
      <c r="J28" s="3">
        <v>12487629.41198324</v>
      </c>
      <c r="K28" s="3">
        <v>265943372.82262871</v>
      </c>
      <c r="L28" s="3">
        <v>147</v>
      </c>
      <c r="M28" s="3">
        <v>1124006857.6661079</v>
      </c>
    </row>
    <row r="29" spans="1:13" ht="15.75" customHeight="1" x14ac:dyDescent="0.25">
      <c r="A29" s="2">
        <v>28</v>
      </c>
      <c r="B29" s="2" t="s">
        <v>88</v>
      </c>
      <c r="C29" s="2" t="s">
        <v>89</v>
      </c>
      <c r="D29" s="3">
        <v>233</v>
      </c>
      <c r="E29" s="3">
        <v>1940510838.5268509</v>
      </c>
      <c r="F29" s="3">
        <v>5</v>
      </c>
      <c r="G29" s="3">
        <v>61521319.016267933</v>
      </c>
      <c r="H29" s="3">
        <v>9</v>
      </c>
      <c r="I29" s="3">
        <v>111638889</v>
      </c>
      <c r="J29" s="3">
        <v>10306841.988293029</v>
      </c>
      <c r="K29" s="3">
        <v>123468825.0256287</v>
      </c>
      <c r="L29" s="3">
        <v>229</v>
      </c>
      <c r="M29" s="3">
        <v>1878563332.5174899</v>
      </c>
    </row>
    <row r="30" spans="1:13" ht="15.75" customHeight="1" x14ac:dyDescent="0.25">
      <c r="A30" s="2">
        <v>29</v>
      </c>
      <c r="B30" s="2" t="s">
        <v>90</v>
      </c>
      <c r="C30" s="2" t="s">
        <v>91</v>
      </c>
      <c r="D30" s="3">
        <v>10</v>
      </c>
      <c r="E30" s="3">
        <v>7165649.8644445026</v>
      </c>
      <c r="F30" s="3">
        <v>0</v>
      </c>
      <c r="G30" s="3">
        <v>0</v>
      </c>
      <c r="H30" s="3">
        <v>0</v>
      </c>
      <c r="I30" s="3">
        <v>0</v>
      </c>
      <c r="J30" s="3">
        <v>836730.86666666658</v>
      </c>
      <c r="K30" s="3">
        <v>0</v>
      </c>
      <c r="L30" s="3">
        <v>10</v>
      </c>
      <c r="M30" s="3">
        <v>7165649.8644445026</v>
      </c>
    </row>
    <row r="31" spans="1:13" ht="15.75" customHeight="1" x14ac:dyDescent="0.25">
      <c r="A31" s="2">
        <v>30</v>
      </c>
      <c r="B31" s="2" t="s">
        <v>92</v>
      </c>
      <c r="C31" s="2" t="s">
        <v>93</v>
      </c>
      <c r="D31" s="3">
        <v>45</v>
      </c>
      <c r="E31" s="3">
        <v>686997935.38547027</v>
      </c>
      <c r="F31" s="3">
        <v>0</v>
      </c>
      <c r="G31" s="3">
        <v>0</v>
      </c>
      <c r="H31" s="3">
        <v>0</v>
      </c>
      <c r="I31" s="3">
        <v>0</v>
      </c>
      <c r="J31" s="3">
        <v>17672263.282371789</v>
      </c>
      <c r="K31" s="3">
        <v>0</v>
      </c>
      <c r="L31" s="3">
        <v>45</v>
      </c>
      <c r="M31" s="3">
        <v>686997935.38547027</v>
      </c>
    </row>
    <row r="32" spans="1:13" ht="15.75" customHeight="1" x14ac:dyDescent="0.25">
      <c r="A32" s="2">
        <v>31</v>
      </c>
      <c r="B32" s="2" t="s">
        <v>94</v>
      </c>
      <c r="C32" s="2" t="s">
        <v>95</v>
      </c>
      <c r="D32" s="3">
        <v>9</v>
      </c>
      <c r="E32" s="3">
        <v>67315309</v>
      </c>
      <c r="F32" s="3">
        <v>0</v>
      </c>
      <c r="G32" s="3">
        <v>0</v>
      </c>
      <c r="H32" s="3">
        <v>1</v>
      </c>
      <c r="I32" s="3">
        <v>8333333</v>
      </c>
      <c r="J32" s="3">
        <v>7479478.777777778</v>
      </c>
      <c r="K32" s="3">
        <v>9955441.4387525786</v>
      </c>
      <c r="L32" s="3">
        <v>8</v>
      </c>
      <c r="M32" s="3">
        <v>57359867.561247423</v>
      </c>
    </row>
    <row r="33" spans="1:13" ht="15.75" customHeight="1" x14ac:dyDescent="0.25">
      <c r="A33" s="2">
        <v>32</v>
      </c>
      <c r="B33" s="2" t="s">
        <v>96</v>
      </c>
      <c r="C33" s="2" t="s">
        <v>97</v>
      </c>
      <c r="D33" s="3">
        <v>96</v>
      </c>
      <c r="E33" s="3">
        <v>96516891.779273033</v>
      </c>
      <c r="F33" s="3">
        <v>0</v>
      </c>
      <c r="G33" s="3">
        <v>0</v>
      </c>
      <c r="H33" s="3">
        <v>6</v>
      </c>
      <c r="I33" s="3">
        <v>7777778</v>
      </c>
      <c r="J33" s="3">
        <v>1076325.001874414</v>
      </c>
      <c r="K33" s="3">
        <v>8595751.7978889961</v>
      </c>
      <c r="L33" s="3">
        <v>90</v>
      </c>
      <c r="M33" s="3">
        <v>87921139.981384039</v>
      </c>
    </row>
    <row r="34" spans="1:13" ht="15.75" customHeight="1" x14ac:dyDescent="0.25">
      <c r="A34" s="2">
        <v>33</v>
      </c>
      <c r="B34" s="2" t="s">
        <v>98</v>
      </c>
      <c r="C34" s="2" t="s">
        <v>99</v>
      </c>
      <c r="D34" s="3">
        <v>69</v>
      </c>
      <c r="E34" s="3">
        <v>339701111.38338882</v>
      </c>
      <c r="F34" s="3">
        <v>0</v>
      </c>
      <c r="G34" s="3">
        <v>0</v>
      </c>
      <c r="H34" s="3">
        <v>0</v>
      </c>
      <c r="I34" s="3">
        <v>0</v>
      </c>
      <c r="J34" s="3">
        <v>5445733.0449438198</v>
      </c>
      <c r="K34" s="3">
        <v>0</v>
      </c>
      <c r="L34" s="3">
        <v>69</v>
      </c>
      <c r="M34" s="3">
        <v>339701111.38338882</v>
      </c>
    </row>
    <row r="35" spans="1:13" ht="15.75" customHeight="1" x14ac:dyDescent="0.25">
      <c r="A35" s="2">
        <v>34</v>
      </c>
      <c r="B35" s="2" t="s">
        <v>100</v>
      </c>
      <c r="C35" s="2" t="s">
        <v>101</v>
      </c>
      <c r="D35" s="3">
        <v>72</v>
      </c>
      <c r="E35" s="3">
        <v>172877521.92447019</v>
      </c>
      <c r="F35" s="3">
        <v>0</v>
      </c>
      <c r="G35" s="3">
        <v>0</v>
      </c>
      <c r="H35" s="3">
        <v>4</v>
      </c>
      <c r="I35" s="3">
        <v>31509259</v>
      </c>
      <c r="J35" s="3">
        <v>3083581.445837643</v>
      </c>
      <c r="K35" s="3">
        <v>16417408.44127721</v>
      </c>
      <c r="L35" s="3">
        <v>68</v>
      </c>
      <c r="M35" s="3">
        <v>156460113.48319301</v>
      </c>
    </row>
    <row r="36" spans="1:13" ht="15.75" customHeight="1" x14ac:dyDescent="0.25">
      <c r="A36" s="2">
        <v>35</v>
      </c>
      <c r="B36" s="2" t="s">
        <v>102</v>
      </c>
      <c r="C36" s="2" t="s">
        <v>103</v>
      </c>
      <c r="D36" s="3">
        <v>95</v>
      </c>
      <c r="E36" s="3">
        <v>431332382.97332299</v>
      </c>
      <c r="F36" s="3">
        <v>9</v>
      </c>
      <c r="G36" s="3">
        <v>87101782.331799462</v>
      </c>
      <c r="H36" s="3">
        <v>12</v>
      </c>
      <c r="I36" s="3">
        <v>179703702</v>
      </c>
      <c r="J36" s="3">
        <v>8038133.5043587191</v>
      </c>
      <c r="K36" s="3">
        <v>128388359.2807689</v>
      </c>
      <c r="L36" s="3">
        <v>92</v>
      </c>
      <c r="M36" s="3">
        <v>390045806.02435362</v>
      </c>
    </row>
    <row r="37" spans="1:13" ht="15.75" customHeight="1" x14ac:dyDescent="0.25">
      <c r="A37" s="2">
        <v>36</v>
      </c>
      <c r="B37" s="2" t="s">
        <v>104</v>
      </c>
      <c r="C37" s="2" t="s">
        <v>105</v>
      </c>
      <c r="D37" s="3">
        <v>28</v>
      </c>
      <c r="E37" s="3">
        <v>334352735.61447442</v>
      </c>
      <c r="F37" s="3">
        <v>21</v>
      </c>
      <c r="G37" s="3">
        <v>333113243.81615222</v>
      </c>
      <c r="H37" s="3">
        <v>26</v>
      </c>
      <c r="I37" s="3">
        <v>480768521</v>
      </c>
      <c r="J37" s="3">
        <v>15381920.093839729</v>
      </c>
      <c r="K37" s="3">
        <v>532320371.61251909</v>
      </c>
      <c r="L37" s="3">
        <v>23</v>
      </c>
      <c r="M37" s="3">
        <v>135145607.81810749</v>
      </c>
    </row>
    <row r="38" spans="1:13" ht="15.75" customHeight="1" x14ac:dyDescent="0.25">
      <c r="A38" s="2">
        <v>37</v>
      </c>
      <c r="B38" s="2" t="s">
        <v>106</v>
      </c>
      <c r="C38" s="2" t="s">
        <v>107</v>
      </c>
      <c r="D38" s="3">
        <v>119</v>
      </c>
      <c r="E38" s="3">
        <v>496415071.90023881</v>
      </c>
      <c r="F38" s="3">
        <v>0</v>
      </c>
      <c r="G38" s="3">
        <v>0</v>
      </c>
      <c r="H38" s="3">
        <v>5</v>
      </c>
      <c r="I38" s="3">
        <v>24990741</v>
      </c>
      <c r="J38" s="3">
        <v>4634585.5314334976</v>
      </c>
      <c r="K38" s="3">
        <v>30843957.327722121</v>
      </c>
      <c r="L38" s="3">
        <v>114</v>
      </c>
      <c r="M38" s="3">
        <v>465571114.57251668</v>
      </c>
    </row>
    <row r="39" spans="1:13" ht="15.75" customHeight="1" x14ac:dyDescent="0.25">
      <c r="A39" s="2">
        <v>38</v>
      </c>
      <c r="B39" s="2" t="s">
        <v>108</v>
      </c>
      <c r="C39" s="2" t="s">
        <v>109</v>
      </c>
      <c r="D39" s="3">
        <v>841</v>
      </c>
      <c r="E39" s="3">
        <v>1746879611.3398449</v>
      </c>
      <c r="F39" s="3">
        <v>0</v>
      </c>
      <c r="G39" s="3">
        <v>0</v>
      </c>
      <c r="H39" s="3">
        <v>10</v>
      </c>
      <c r="I39" s="3">
        <v>36361110</v>
      </c>
      <c r="J39" s="3">
        <v>2399192.511690801</v>
      </c>
      <c r="K39" s="3">
        <v>31934070.88926582</v>
      </c>
      <c r="L39" s="3">
        <v>831</v>
      </c>
      <c r="M39" s="3">
        <v>1714945540.4505789</v>
      </c>
    </row>
    <row r="40" spans="1:13" ht="15.75" customHeight="1" x14ac:dyDescent="0.25">
      <c r="A40" s="2">
        <v>39</v>
      </c>
      <c r="B40" s="2" t="s">
        <v>110</v>
      </c>
      <c r="C40" s="2" t="s">
        <v>111</v>
      </c>
      <c r="D40" s="3">
        <v>1044</v>
      </c>
      <c r="E40" s="3">
        <v>232619395.4729872</v>
      </c>
      <c r="F40" s="3">
        <v>245</v>
      </c>
      <c r="G40" s="3">
        <v>133191335.70289931</v>
      </c>
      <c r="H40" s="3">
        <v>21</v>
      </c>
      <c r="I40" s="3">
        <v>113666669</v>
      </c>
      <c r="J40" s="3">
        <v>365082.2158640885</v>
      </c>
      <c r="K40" s="3">
        <v>10204674.58968327</v>
      </c>
      <c r="L40" s="3">
        <v>1268</v>
      </c>
      <c r="M40" s="3">
        <v>355606056.58620322</v>
      </c>
    </row>
    <row r="41" spans="1:13" ht="15.75" customHeight="1" x14ac:dyDescent="0.25">
      <c r="A41" s="2">
        <v>40</v>
      </c>
      <c r="B41" s="2" t="s">
        <v>112</v>
      </c>
      <c r="C41" s="2" t="s">
        <v>113</v>
      </c>
      <c r="D41" s="3">
        <v>10</v>
      </c>
      <c r="E41" s="3">
        <v>48849881.760868661</v>
      </c>
      <c r="F41" s="3">
        <v>0</v>
      </c>
      <c r="G41" s="3">
        <v>0</v>
      </c>
      <c r="H41" s="3">
        <v>2</v>
      </c>
      <c r="I41" s="3">
        <v>11472223</v>
      </c>
      <c r="J41" s="3">
        <v>5283238.4691358022</v>
      </c>
      <c r="K41" s="3">
        <v>14064341.31285104</v>
      </c>
      <c r="L41" s="3">
        <v>8</v>
      </c>
      <c r="M41" s="3">
        <v>34785540.44801762</v>
      </c>
    </row>
    <row r="42" spans="1:13" ht="15.75" customHeight="1" x14ac:dyDescent="0.25">
      <c r="A42" s="2">
        <v>41</v>
      </c>
      <c r="B42" s="2" t="s">
        <v>114</v>
      </c>
      <c r="C42" s="2" t="s">
        <v>115</v>
      </c>
      <c r="D42" s="3">
        <v>15</v>
      </c>
      <c r="E42" s="3">
        <v>59996142.677067481</v>
      </c>
      <c r="F42" s="3">
        <v>4</v>
      </c>
      <c r="G42" s="3">
        <v>21914162.735981021</v>
      </c>
      <c r="H42" s="3">
        <v>2</v>
      </c>
      <c r="I42" s="3">
        <v>13129629</v>
      </c>
      <c r="J42" s="3">
        <v>5402103.8305243878</v>
      </c>
      <c r="K42" s="3">
        <v>14380769.015785661</v>
      </c>
      <c r="L42" s="3">
        <v>17</v>
      </c>
      <c r="M42" s="3">
        <v>67529536.397262841</v>
      </c>
    </row>
    <row r="43" spans="1:13" ht="15.75" customHeight="1" x14ac:dyDescent="0.25">
      <c r="A43" s="2">
        <v>42</v>
      </c>
      <c r="B43" s="2" t="s">
        <v>116</v>
      </c>
      <c r="C43" s="2" t="s">
        <v>117</v>
      </c>
      <c r="D43" s="3">
        <v>10</v>
      </c>
      <c r="E43" s="3">
        <v>62335983.537573993</v>
      </c>
      <c r="F43" s="3">
        <v>6</v>
      </c>
      <c r="G43" s="3">
        <v>49495472.952517733</v>
      </c>
      <c r="H43" s="3">
        <v>5</v>
      </c>
      <c r="I43" s="3">
        <v>63888889</v>
      </c>
      <c r="J43" s="3">
        <v>7587790.5241342429</v>
      </c>
      <c r="K43" s="3">
        <v>50498040.342714727</v>
      </c>
      <c r="L43" s="3">
        <v>11</v>
      </c>
      <c r="M43" s="3">
        <v>61333416.147376992</v>
      </c>
    </row>
    <row r="44" spans="1:13" ht="15.75" customHeight="1" x14ac:dyDescent="0.25">
      <c r="A44" s="2">
        <v>43</v>
      </c>
      <c r="B44" s="2" t="s">
        <v>118</v>
      </c>
      <c r="C44" s="2" t="s">
        <v>119</v>
      </c>
      <c r="D44" s="3">
        <v>7</v>
      </c>
      <c r="E44" s="3">
        <v>8909404.343170926</v>
      </c>
      <c r="F44" s="3">
        <v>0</v>
      </c>
      <c r="G44" s="3">
        <v>0</v>
      </c>
      <c r="H44" s="3">
        <v>0</v>
      </c>
      <c r="I44" s="3">
        <v>0</v>
      </c>
      <c r="J44" s="3">
        <v>1349648.6530612239</v>
      </c>
      <c r="K44" s="3">
        <v>0</v>
      </c>
      <c r="L44" s="3">
        <v>7</v>
      </c>
      <c r="M44" s="3">
        <v>8909404.343170926</v>
      </c>
    </row>
    <row r="45" spans="1:13" ht="15.75" customHeight="1" x14ac:dyDescent="0.25">
      <c r="A45" s="2">
        <v>44</v>
      </c>
      <c r="B45" s="2" t="s">
        <v>120</v>
      </c>
      <c r="C45" s="2" t="s">
        <v>121</v>
      </c>
      <c r="D45" s="3">
        <v>153</v>
      </c>
      <c r="E45" s="3">
        <v>410938481.8867383</v>
      </c>
      <c r="F45" s="3">
        <v>0</v>
      </c>
      <c r="G45" s="3">
        <v>0</v>
      </c>
      <c r="H45" s="3">
        <v>0</v>
      </c>
      <c r="I45" s="3">
        <v>0</v>
      </c>
      <c r="J45" s="3">
        <v>3339309.40460931</v>
      </c>
      <c r="K45" s="3">
        <v>0</v>
      </c>
      <c r="L45" s="3">
        <v>153</v>
      </c>
      <c r="M45" s="3">
        <v>410938481.8867383</v>
      </c>
    </row>
    <row r="46" spans="1:13" ht="15.75" customHeight="1" x14ac:dyDescent="0.25">
      <c r="A46" s="2">
        <v>45</v>
      </c>
      <c r="B46" s="2" t="s">
        <v>122</v>
      </c>
      <c r="C46" s="2" t="s">
        <v>123</v>
      </c>
      <c r="D46" s="3">
        <v>201</v>
      </c>
      <c r="E46" s="3">
        <v>39764777.743869863</v>
      </c>
      <c r="F46" s="3">
        <v>15</v>
      </c>
      <c r="G46" s="3">
        <v>17917515.811311759</v>
      </c>
      <c r="H46" s="3">
        <v>6</v>
      </c>
      <c r="I46" s="3">
        <v>6203705</v>
      </c>
      <c r="J46" s="3">
        <v>470687.93017641432</v>
      </c>
      <c r="K46" s="3">
        <v>3759010.1642279248</v>
      </c>
      <c r="L46" s="3">
        <v>210</v>
      </c>
      <c r="M46" s="3">
        <v>53923283.390953697</v>
      </c>
    </row>
    <row r="47" spans="1:13" ht="15.75" customHeight="1" x14ac:dyDescent="0.25">
      <c r="A47" s="2">
        <v>46</v>
      </c>
      <c r="B47" s="2" t="s">
        <v>124</v>
      </c>
      <c r="C47" s="2" t="s">
        <v>125</v>
      </c>
      <c r="D47" s="3">
        <v>9</v>
      </c>
      <c r="E47" s="3">
        <v>27726495.894468721</v>
      </c>
      <c r="F47" s="3">
        <v>3</v>
      </c>
      <c r="G47" s="3">
        <v>24788153.26772555</v>
      </c>
      <c r="H47" s="3">
        <v>3</v>
      </c>
      <c r="I47" s="3">
        <v>28472222</v>
      </c>
      <c r="J47" s="3">
        <v>7105326.8101345086</v>
      </c>
      <c r="K47" s="3">
        <v>28372297.213406611</v>
      </c>
      <c r="L47" s="3">
        <v>9</v>
      </c>
      <c r="M47" s="3">
        <v>24142351.948787671</v>
      </c>
    </row>
    <row r="48" spans="1:13" ht="15.75" customHeight="1" x14ac:dyDescent="0.25">
      <c r="A48" s="2">
        <v>47</v>
      </c>
      <c r="B48" s="2" t="s">
        <v>126</v>
      </c>
      <c r="C48" s="2" t="s">
        <v>127</v>
      </c>
      <c r="D48" s="3">
        <v>6</v>
      </c>
      <c r="E48" s="3">
        <v>601056.59925763041</v>
      </c>
      <c r="F48" s="3">
        <v>0</v>
      </c>
      <c r="G48" s="3">
        <v>0</v>
      </c>
      <c r="H48" s="3">
        <v>0</v>
      </c>
      <c r="I48" s="3">
        <v>0</v>
      </c>
      <c r="J48" s="3">
        <v>100776.6666666667</v>
      </c>
      <c r="K48" s="3">
        <v>0</v>
      </c>
      <c r="L48" s="3">
        <v>6</v>
      </c>
      <c r="M48" s="3">
        <v>601056.59925763041</v>
      </c>
    </row>
    <row r="49" spans="1:13" ht="15.75" customHeight="1" x14ac:dyDescent="0.25">
      <c r="A49" s="2">
        <v>48</v>
      </c>
      <c r="B49" s="2" t="s">
        <v>128</v>
      </c>
      <c r="C49" s="2" t="s">
        <v>129</v>
      </c>
      <c r="D49" s="3">
        <v>2208</v>
      </c>
      <c r="E49" s="3">
        <v>707602966.24226665</v>
      </c>
      <c r="F49" s="3">
        <v>0</v>
      </c>
      <c r="G49" s="3">
        <v>0</v>
      </c>
      <c r="H49" s="3">
        <v>16</v>
      </c>
      <c r="I49" s="3">
        <v>12444444</v>
      </c>
      <c r="J49" s="3">
        <v>377191.19784536882</v>
      </c>
      <c r="K49" s="3">
        <v>8032869.6540069506</v>
      </c>
      <c r="L49" s="3">
        <v>2192</v>
      </c>
      <c r="M49" s="3">
        <v>699570096.5882597</v>
      </c>
    </row>
    <row r="50" spans="1:13" ht="15.75" customHeight="1" x14ac:dyDescent="0.25">
      <c r="A50" s="2">
        <v>49</v>
      </c>
      <c r="B50" s="2" t="s">
        <v>130</v>
      </c>
      <c r="C50" s="2" t="s">
        <v>131</v>
      </c>
      <c r="D50" s="3">
        <v>362</v>
      </c>
      <c r="E50" s="3">
        <v>200621417.9917241</v>
      </c>
      <c r="F50" s="3">
        <v>3</v>
      </c>
      <c r="G50" s="3">
        <v>52046137.310359932</v>
      </c>
      <c r="H50" s="3">
        <v>1</v>
      </c>
      <c r="I50" s="3">
        <v>1772222</v>
      </c>
      <c r="J50" s="3">
        <v>865591.90717165533</v>
      </c>
      <c r="K50" s="3">
        <v>1152132.360788096</v>
      </c>
      <c r="L50" s="3">
        <v>364</v>
      </c>
      <c r="M50" s="3">
        <v>251515422.94129589</v>
      </c>
    </row>
    <row r="51" spans="1:13" ht="15.75" customHeight="1" x14ac:dyDescent="0.25">
      <c r="A51" s="2">
        <v>50</v>
      </c>
      <c r="B51" s="2" t="s">
        <v>132</v>
      </c>
      <c r="C51" s="2" t="s">
        <v>133</v>
      </c>
      <c r="D51" s="3">
        <v>118</v>
      </c>
      <c r="E51" s="3">
        <v>44281811.542605668</v>
      </c>
      <c r="F51" s="3">
        <v>0</v>
      </c>
      <c r="G51" s="3">
        <v>0</v>
      </c>
      <c r="H51" s="3">
        <v>7</v>
      </c>
      <c r="I51" s="3">
        <v>3900000</v>
      </c>
      <c r="J51" s="3">
        <v>455876.11977441481</v>
      </c>
      <c r="K51" s="3">
        <v>4247506.6832957184</v>
      </c>
      <c r="L51" s="3">
        <v>111</v>
      </c>
      <c r="M51" s="3">
        <v>40034304.859309949</v>
      </c>
    </row>
    <row r="52" spans="1:13" ht="15.75" customHeight="1" x14ac:dyDescent="0.25">
      <c r="A52" s="2">
        <v>51</v>
      </c>
      <c r="B52" s="2" t="s">
        <v>134</v>
      </c>
      <c r="C52" s="2" t="s">
        <v>135</v>
      </c>
      <c r="D52" s="3">
        <v>39</v>
      </c>
      <c r="E52" s="3">
        <v>46509090.590587713</v>
      </c>
      <c r="F52" s="3">
        <v>0</v>
      </c>
      <c r="G52" s="3">
        <v>0</v>
      </c>
      <c r="H52" s="3">
        <v>7</v>
      </c>
      <c r="I52" s="3">
        <v>8620370</v>
      </c>
      <c r="J52" s="3">
        <v>1213135.0975609759</v>
      </c>
      <c r="K52" s="3">
        <v>11303069.43294299</v>
      </c>
      <c r="L52" s="3">
        <v>32</v>
      </c>
      <c r="M52" s="3">
        <v>35206021.157644719</v>
      </c>
    </row>
    <row r="53" spans="1:13" ht="15.75" customHeight="1" x14ac:dyDescent="0.25">
      <c r="A53" s="2">
        <v>52</v>
      </c>
      <c r="B53" s="2" t="s">
        <v>136</v>
      </c>
      <c r="C53" s="2" t="s">
        <v>137</v>
      </c>
      <c r="D53" s="3">
        <v>17</v>
      </c>
      <c r="E53" s="3">
        <v>45566565.01806803</v>
      </c>
      <c r="F53" s="3">
        <v>0</v>
      </c>
      <c r="G53" s="3">
        <v>0</v>
      </c>
      <c r="H53" s="3">
        <v>0</v>
      </c>
      <c r="I53" s="3">
        <v>0</v>
      </c>
      <c r="J53" s="3">
        <v>2906797.7619047621</v>
      </c>
      <c r="K53" s="3">
        <v>0</v>
      </c>
      <c r="L53" s="3">
        <v>17</v>
      </c>
      <c r="M53" s="3">
        <v>45566565.01806803</v>
      </c>
    </row>
    <row r="54" spans="1:13" ht="15.75" customHeight="1" x14ac:dyDescent="0.25">
      <c r="A54" s="2">
        <v>53</v>
      </c>
      <c r="B54" s="2" t="s">
        <v>138</v>
      </c>
      <c r="C54" s="2" t="s">
        <v>139</v>
      </c>
      <c r="D54" s="3">
        <v>80</v>
      </c>
      <c r="E54" s="3">
        <v>2183758.8067635698</v>
      </c>
      <c r="F54" s="3">
        <v>3</v>
      </c>
      <c r="G54" s="3">
        <v>369125.43485132261</v>
      </c>
      <c r="H54" s="3">
        <v>3</v>
      </c>
      <c r="I54" s="3">
        <v>1379630</v>
      </c>
      <c r="J54" s="3">
        <v>40536.065105840928</v>
      </c>
      <c r="K54" s="3">
        <v>161864.65700697969</v>
      </c>
      <c r="L54" s="3">
        <v>80</v>
      </c>
      <c r="M54" s="3">
        <v>2391019.5846079132</v>
      </c>
    </row>
    <row r="55" spans="1:13" ht="15.75" customHeight="1" x14ac:dyDescent="0.25">
      <c r="A55" s="2">
        <v>54</v>
      </c>
      <c r="B55" s="2" t="s">
        <v>140</v>
      </c>
      <c r="C55" s="2" t="s">
        <v>141</v>
      </c>
      <c r="D55" s="3">
        <v>11696</v>
      </c>
      <c r="E55" s="3">
        <v>554802122.93237412</v>
      </c>
      <c r="F55" s="3">
        <v>44</v>
      </c>
      <c r="G55" s="3">
        <v>3685875.8584310291</v>
      </c>
      <c r="H55" s="3">
        <v>38</v>
      </c>
      <c r="I55" s="3">
        <v>6388889</v>
      </c>
      <c r="J55" s="3">
        <v>53829.71231446648</v>
      </c>
      <c r="K55" s="3">
        <v>2722668.978985996</v>
      </c>
      <c r="L55" s="3">
        <v>11702</v>
      </c>
      <c r="M55" s="3">
        <v>555765329.81181908</v>
      </c>
    </row>
    <row r="56" spans="1:13" ht="15.75" customHeight="1" x14ac:dyDescent="0.25">
      <c r="A56" s="2">
        <v>55</v>
      </c>
      <c r="B56" s="2" t="s">
        <v>142</v>
      </c>
      <c r="C56" s="2" t="s">
        <v>143</v>
      </c>
      <c r="D56" s="3">
        <v>11</v>
      </c>
      <c r="E56" s="3">
        <v>678409.75259830931</v>
      </c>
      <c r="F56" s="3">
        <v>0</v>
      </c>
      <c r="G56" s="3">
        <v>0</v>
      </c>
      <c r="H56" s="3">
        <v>0</v>
      </c>
      <c r="I56" s="3">
        <v>0</v>
      </c>
      <c r="J56" s="3">
        <v>62800.727272727272</v>
      </c>
      <c r="K56" s="3">
        <v>0</v>
      </c>
      <c r="L56" s="3">
        <v>11</v>
      </c>
      <c r="M56" s="3">
        <v>678409.75259830931</v>
      </c>
    </row>
    <row r="57" spans="1:13" ht="15.75" customHeight="1" x14ac:dyDescent="0.25">
      <c r="C57" s="4" t="s">
        <v>144</v>
      </c>
      <c r="D57" s="5">
        <f t="shared" ref="D57:M57" si="0">SUM(D2:D56)</f>
        <v>33241.690999999999</v>
      </c>
      <c r="E57" s="5">
        <f t="shared" si="0"/>
        <v>17972483511.321522</v>
      </c>
      <c r="F57" s="5">
        <f t="shared" si="0"/>
        <v>2212.069</v>
      </c>
      <c r="G57" s="5">
        <f t="shared" si="0"/>
        <v>2456497786.0764933</v>
      </c>
      <c r="H57" s="5">
        <f t="shared" si="0"/>
        <v>1158</v>
      </c>
      <c r="I57" s="5">
        <f t="shared" si="0"/>
        <v>2367025509</v>
      </c>
      <c r="J57" s="5">
        <f t="shared" si="0"/>
        <v>232656859.48946822</v>
      </c>
      <c r="K57" s="5">
        <f t="shared" si="0"/>
        <v>2133268669.3980324</v>
      </c>
      <c r="L57" s="5">
        <f t="shared" si="0"/>
        <v>34295.760000000002</v>
      </c>
      <c r="M57" s="5">
        <f t="shared" si="0"/>
        <v>18295712627.999973</v>
      </c>
    </row>
    <row r="58" spans="1:13" ht="15.75" customHeight="1" x14ac:dyDescent="0.25"/>
    <row r="59" spans="1:13" ht="15.75" customHeight="1" x14ac:dyDescent="0.25"/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3" x14ac:dyDescent="0.25">
      <c r="A1" s="1" t="s">
        <v>158</v>
      </c>
      <c r="B1" s="1" t="s">
        <v>159</v>
      </c>
      <c r="C1" s="1" t="s">
        <v>160</v>
      </c>
    </row>
    <row r="2" spans="1:3" x14ac:dyDescent="0.25">
      <c r="A2" s="2" t="s">
        <v>161</v>
      </c>
      <c r="B2" s="3">
        <v>554885918</v>
      </c>
      <c r="C2" s="3">
        <v>373793472</v>
      </c>
    </row>
    <row r="3" spans="1:3" x14ac:dyDescent="0.25">
      <c r="A3" s="2" t="s">
        <v>162</v>
      </c>
      <c r="B3" s="3">
        <v>1475792682</v>
      </c>
      <c r="C3" s="3">
        <v>690075261</v>
      </c>
    </row>
    <row r="4" spans="1:3" x14ac:dyDescent="0.25">
      <c r="A4" s="2" t="s">
        <v>163</v>
      </c>
      <c r="B4" s="3">
        <v>1340771503</v>
      </c>
      <c r="C4" s="3">
        <v>2264511219</v>
      </c>
    </row>
    <row r="5" spans="1:3" x14ac:dyDescent="0.25">
      <c r="A5" s="2" t="s">
        <v>164</v>
      </c>
      <c r="B5" s="3">
        <v>997799789</v>
      </c>
      <c r="C5" s="3">
        <v>1325473203</v>
      </c>
    </row>
    <row r="6" spans="1:3" x14ac:dyDescent="0.25">
      <c r="A6" s="2" t="s">
        <v>165</v>
      </c>
      <c r="B6" s="3">
        <v>1337116216</v>
      </c>
      <c r="C6" s="3">
        <v>1816089166</v>
      </c>
    </row>
    <row r="7" spans="1:3" x14ac:dyDescent="0.25">
      <c r="A7" s="2" t="s">
        <v>166</v>
      </c>
      <c r="B7" s="3">
        <v>2292543995</v>
      </c>
      <c r="C7" s="3">
        <v>3262959053</v>
      </c>
    </row>
    <row r="8" spans="1:3" x14ac:dyDescent="0.25">
      <c r="A8" s="2" t="s">
        <v>167</v>
      </c>
      <c r="B8" s="3">
        <v>1294628445</v>
      </c>
      <c r="C8" s="3">
        <v>1005558706</v>
      </c>
    </row>
    <row r="9" spans="1:3" x14ac:dyDescent="0.25">
      <c r="A9" s="2" t="s">
        <v>168</v>
      </c>
      <c r="B9" s="3">
        <v>1992702023</v>
      </c>
      <c r="C9" s="3">
        <v>1400226538</v>
      </c>
    </row>
    <row r="10" spans="1:3" x14ac:dyDescent="0.25">
      <c r="A10" s="2" t="s">
        <v>169</v>
      </c>
      <c r="B10" s="3">
        <v>2590149211</v>
      </c>
      <c r="C10" s="3">
        <v>2681740065</v>
      </c>
    </row>
    <row r="11" spans="1:3" x14ac:dyDescent="0.25">
      <c r="A11" s="2" t="s">
        <v>170</v>
      </c>
      <c r="B11" s="3">
        <v>1710252864</v>
      </c>
      <c r="C11" s="3">
        <v>1382929266</v>
      </c>
    </row>
    <row r="12" spans="1:3" x14ac:dyDescent="0.25">
      <c r="A12" s="2" t="s">
        <v>171</v>
      </c>
      <c r="B12" s="3">
        <v>1625704420</v>
      </c>
      <c r="C12" s="3">
        <v>1448017604</v>
      </c>
    </row>
    <row r="13" spans="1:3" x14ac:dyDescent="0.25">
      <c r="A13" s="2" t="s">
        <v>172</v>
      </c>
      <c r="B13" s="3">
        <v>2532547242</v>
      </c>
      <c r="C13" s="3">
        <v>2367025509</v>
      </c>
    </row>
    <row r="14" spans="1:3" x14ac:dyDescent="0.25">
      <c r="A14" s="4" t="s">
        <v>144</v>
      </c>
      <c r="B14" s="5">
        <f t="shared" ref="B14:C14" si="0">SUM(B2:B13)</f>
        <v>19744894308</v>
      </c>
      <c r="C14" s="5">
        <f t="shared" si="0"/>
        <v>20018399062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xnt12thang</vt:lpstr>
      <vt:lpstr>Tháng 1</vt:lpstr>
      <vt:lpstr>Tháng 2</vt:lpstr>
      <vt:lpstr>Tháng 3</vt:lpstr>
      <vt:lpstr>Tháng 4</vt:lpstr>
      <vt:lpstr>Tháng 5</vt:lpstr>
      <vt:lpstr>Tháng 6</vt:lpstr>
      <vt:lpstr>Tháng 7</vt:lpstr>
      <vt:lpstr>Tháng 8</vt:lpstr>
      <vt:lpstr>Tháng 9</vt:lpstr>
      <vt:lpstr>Tháng 10</vt:lpstr>
      <vt:lpstr>Tháng 11</vt:lpstr>
      <vt:lpstr>Tháng 12</vt:lpstr>
      <vt:lpstr>Hoadon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2026-03-28T08:32:26Z</dcterms:created>
  <dcterms:modified xsi:type="dcterms:W3CDTF">2026-04-01T07:16:12Z</dcterms:modified>
</cp:coreProperties>
</file>