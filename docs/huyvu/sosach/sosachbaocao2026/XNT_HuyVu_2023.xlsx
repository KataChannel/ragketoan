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Rar$DIa2248.42944\"/>
    </mc:Choice>
  </mc:AlternateContent>
  <xr:revisionPtr revIDLastSave="0" documentId="13_ncr:1_{C3EC7696-1FC7-4E96-858D-8A719A7817C5}" xr6:coauthVersionLast="47" xr6:coauthVersionMax="47" xr10:uidLastSave="{00000000-0000-0000-0000-000000000000}"/>
  <bookViews>
    <workbookView xWindow="-120" yWindow="-120" windowWidth="20730" windowHeight="11160" firstSheet="6" activeTab="13" xr2:uid="{00000000-000D-0000-FFFF-FFFF00000000}"/>
  </bookViews>
  <sheets>
    <sheet name="xnt12thang" sheetId="1" r:id="rId1"/>
    <sheet name="Tháng 1" sheetId="2" r:id="rId2"/>
    <sheet name="Tháng 2" sheetId="3" r:id="rId3"/>
    <sheet name="Tháng 3" sheetId="4" r:id="rId4"/>
    <sheet name="Tháng 4" sheetId="5" r:id="rId5"/>
    <sheet name="Tháng 5" sheetId="6" r:id="rId6"/>
    <sheet name="Tháng 6" sheetId="7" r:id="rId7"/>
    <sheet name="Tháng 7" sheetId="8" r:id="rId8"/>
    <sheet name="Tháng 8" sheetId="9" r:id="rId9"/>
    <sheet name="Tháng 9" sheetId="10" r:id="rId10"/>
    <sheet name="Tháng 10" sheetId="11" r:id="rId11"/>
    <sheet name="Tháng 11" sheetId="12" r:id="rId12"/>
    <sheet name="Tháng 12" sheetId="13" r:id="rId13"/>
    <sheet name="Hoad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uSYA3nby+G0Az8jr9Rcg5mRIkgRQk9lOqVAv7Ms+g1g="/>
    </ext>
  </extLst>
</workbook>
</file>

<file path=xl/calcChain.xml><?xml version="1.0" encoding="utf-8"?>
<calcChain xmlns="http://schemas.openxmlformats.org/spreadsheetml/2006/main">
  <c r="C14" i="14" l="1"/>
  <c r="B14" i="14"/>
  <c r="E62" i="13"/>
  <c r="M59" i="13"/>
  <c r="L59" i="13"/>
  <c r="K59" i="13"/>
  <c r="J59" i="13"/>
  <c r="I59" i="13"/>
  <c r="H59" i="13"/>
  <c r="G59" i="13"/>
  <c r="F59" i="13"/>
  <c r="E59" i="13"/>
  <c r="D59" i="13"/>
  <c r="M59" i="12"/>
  <c r="L59" i="12"/>
  <c r="K59" i="12"/>
  <c r="J59" i="12"/>
  <c r="I59" i="12"/>
  <c r="H59" i="12"/>
  <c r="G59" i="12"/>
  <c r="F59" i="12"/>
  <c r="E59" i="12"/>
  <c r="D59" i="12"/>
  <c r="M59" i="11"/>
  <c r="L59" i="11"/>
  <c r="K59" i="11"/>
  <c r="J59" i="11"/>
  <c r="I59" i="11"/>
  <c r="H59" i="11"/>
  <c r="G59" i="11"/>
  <c r="F59" i="11"/>
  <c r="E59" i="11"/>
  <c r="D59" i="11"/>
  <c r="M59" i="10"/>
  <c r="L59" i="10"/>
  <c r="K59" i="10"/>
  <c r="J59" i="10"/>
  <c r="I59" i="10"/>
  <c r="H59" i="10"/>
  <c r="G59" i="10"/>
  <c r="F59" i="10"/>
  <c r="E59" i="10"/>
  <c r="D59" i="10"/>
  <c r="M59" i="9"/>
  <c r="L59" i="9"/>
  <c r="K59" i="9"/>
  <c r="J59" i="9"/>
  <c r="I59" i="9"/>
  <c r="H59" i="9"/>
  <c r="G59" i="9"/>
  <c r="F59" i="9"/>
  <c r="E59" i="9"/>
  <c r="D59" i="9"/>
  <c r="M59" i="8"/>
  <c r="L59" i="8"/>
  <c r="K59" i="8"/>
  <c r="J59" i="8"/>
  <c r="I59" i="8"/>
  <c r="H59" i="8"/>
  <c r="G59" i="8"/>
  <c r="F59" i="8"/>
  <c r="E59" i="8"/>
  <c r="D59" i="8"/>
  <c r="M59" i="7"/>
  <c r="L59" i="7"/>
  <c r="K59" i="7"/>
  <c r="J59" i="7"/>
  <c r="I59" i="7"/>
  <c r="H59" i="7"/>
  <c r="G59" i="7"/>
  <c r="F59" i="7"/>
  <c r="E59" i="7"/>
  <c r="D59" i="7"/>
  <c r="M59" i="6"/>
  <c r="L59" i="6"/>
  <c r="K59" i="6"/>
  <c r="J59" i="6"/>
  <c r="I59" i="6"/>
  <c r="H59" i="6"/>
  <c r="G59" i="6"/>
  <c r="F59" i="6"/>
  <c r="E59" i="6"/>
  <c r="D59" i="6"/>
  <c r="M59" i="5"/>
  <c r="L59" i="5"/>
  <c r="K59" i="5"/>
  <c r="J59" i="5"/>
  <c r="I59" i="5"/>
  <c r="H59" i="5"/>
  <c r="G59" i="5"/>
  <c r="F59" i="5"/>
  <c r="E59" i="5"/>
  <c r="D59" i="5"/>
  <c r="M59" i="4"/>
  <c r="L59" i="4"/>
  <c r="K59" i="4"/>
  <c r="J59" i="4"/>
  <c r="I59" i="4"/>
  <c r="H59" i="4"/>
  <c r="G59" i="4"/>
  <c r="F59" i="4"/>
  <c r="E59" i="4"/>
  <c r="D59" i="4"/>
  <c r="M59" i="3"/>
  <c r="L59" i="3"/>
  <c r="K59" i="3"/>
  <c r="J59" i="3"/>
  <c r="I59" i="3"/>
  <c r="H59" i="3"/>
  <c r="G59" i="3"/>
  <c r="F59" i="3"/>
  <c r="E59" i="3"/>
  <c r="D59" i="3"/>
  <c r="M59" i="2"/>
  <c r="L59" i="2"/>
  <c r="K59" i="2"/>
  <c r="J59" i="2"/>
  <c r="I59" i="2"/>
  <c r="H59" i="2"/>
  <c r="G59" i="2"/>
  <c r="F59" i="2"/>
  <c r="E59" i="2"/>
  <c r="D59" i="2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</calcChain>
</file>

<file path=xl/sharedStrings.xml><?xml version="1.0" encoding="utf-8"?>
<sst xmlns="http://schemas.openxmlformats.org/spreadsheetml/2006/main" count="1703" uniqueCount="173">
  <si>
    <t>STT</t>
  </si>
  <si>
    <t>Mã Nhóm</t>
  </si>
  <si>
    <t>Tên Nhóm Sản Phẩm</t>
  </si>
  <si>
    <t>Tồn Đầu SL</t>
  </si>
  <si>
    <t>Tồn Đầu VNĐ</t>
  </si>
  <si>
    <t>Tổng Tiền Nhập VNĐ</t>
  </si>
  <si>
    <t>Tổng Tiền Xuất HĐ VNĐ</t>
  </si>
  <si>
    <t>Tổng Tiền Giá Vốn VNĐ</t>
  </si>
  <si>
    <t>Tồn Cuối SL</t>
  </si>
  <si>
    <t>Tồn Cuối VNĐ</t>
  </si>
  <si>
    <t>Nhập T1 VNĐ</t>
  </si>
  <si>
    <t>Xuất T1 VNĐ</t>
  </si>
  <si>
    <t>Nhập T2 VNĐ</t>
  </si>
  <si>
    <t>Xuất T2 VNĐ</t>
  </si>
  <si>
    <t>Nhập T3 VNĐ</t>
  </si>
  <si>
    <t>Xuất T3 VNĐ</t>
  </si>
  <si>
    <t>Nhập T4 VNĐ</t>
  </si>
  <si>
    <t>Xuất T4 VNĐ</t>
  </si>
  <si>
    <t>Nhập T5 VNĐ</t>
  </si>
  <si>
    <t>Xuất T5 VNĐ</t>
  </si>
  <si>
    <t>Nhập T6 VNĐ</t>
  </si>
  <si>
    <t>Xuất T6 VNĐ</t>
  </si>
  <si>
    <t>Nhập T7 VNĐ</t>
  </si>
  <si>
    <t>Xuất T7 VNĐ</t>
  </si>
  <si>
    <t>Nhập T8 VNĐ</t>
  </si>
  <si>
    <t>Xuất T8 VNĐ</t>
  </si>
  <si>
    <t>Nhập T9 VNĐ</t>
  </si>
  <si>
    <t>Xuất T9 VNĐ</t>
  </si>
  <si>
    <t>Nhập T10 VNĐ</t>
  </si>
  <si>
    <t>Xuất T10 VNĐ</t>
  </si>
  <si>
    <t>Nhập T11 VNĐ</t>
  </si>
  <si>
    <t>Xuất T11 VNĐ</t>
  </si>
  <si>
    <t>Nhập T12 VNĐ</t>
  </si>
  <si>
    <t>Xuất T12 VNĐ</t>
  </si>
  <si>
    <t>CAM-WIFI-2M</t>
  </si>
  <si>
    <t>Camera WiFi 2MP</t>
  </si>
  <si>
    <t>HDD-1TB</t>
  </si>
  <si>
    <t>HDD 1TB+</t>
  </si>
  <si>
    <t>INK-BRO-2385</t>
  </si>
  <si>
    <t>Hộp mực Brother TN-2385</t>
  </si>
  <si>
    <t>INK-CAN-12A</t>
  </si>
  <si>
    <t>Hộp mực Canon 12A / 303</t>
  </si>
  <si>
    <t>INK-CAN-35A</t>
  </si>
  <si>
    <t>Hộp mực Canon 35A / 85A</t>
  </si>
  <si>
    <t>INK-EPS-003</t>
  </si>
  <si>
    <t>Mực nước Epson 003</t>
  </si>
  <si>
    <t>KB-OFF</t>
  </si>
  <si>
    <t>Bàn phím Văn phòng</t>
  </si>
  <si>
    <t>LCD-DELL-19</t>
  </si>
  <si>
    <t>Màn hình DELL 19 inch</t>
  </si>
  <si>
    <t>LCD-DELL-22</t>
  </si>
  <si>
    <t>Màn hình DELL 22 inch</t>
  </si>
  <si>
    <t>LCD-DELL-24</t>
  </si>
  <si>
    <t>Màn hình DELL 24 inch</t>
  </si>
  <si>
    <t>LCD-DELL-27</t>
  </si>
  <si>
    <t>Màn hình DELL 27 inch</t>
  </si>
  <si>
    <t>LCD-SAM-24</t>
  </si>
  <si>
    <t>Màn hình Samsung 24-27 inch</t>
  </si>
  <si>
    <t>MS-LOGI</t>
  </si>
  <si>
    <t>Chuột Logitech</t>
  </si>
  <si>
    <t>MS-RAPO</t>
  </si>
  <si>
    <t>Chuột Rapoo</t>
  </si>
  <si>
    <t>OTH-GEN-MID</t>
  </si>
  <si>
    <t>Hàng hóa khác</t>
  </si>
  <si>
    <t>PC-ASU-EXP</t>
  </si>
  <si>
    <t>Laptop ASUS ExpertBook</t>
  </si>
  <si>
    <t>PC-ASU-ROG</t>
  </si>
  <si>
    <t>Laptop ASUS Gaming (ROG/TUF)</t>
  </si>
  <si>
    <t>PC-DELL-INS</t>
  </si>
  <si>
    <t>Laptop DELL Inspiron Series</t>
  </si>
  <si>
    <t>PC-DELL-INS-DT</t>
  </si>
  <si>
    <t>PC Dell Inspiron Desktop</t>
  </si>
  <si>
    <t>PC-DELL-LAT</t>
  </si>
  <si>
    <t>Laptop DELL Latitude Series</t>
  </si>
  <si>
    <t>PC-DELL-OPT</t>
  </si>
  <si>
    <t>PC Dell OptiPlex</t>
  </si>
  <si>
    <t>PC-DELL-VOS</t>
  </si>
  <si>
    <t>Laptop DELL Vostro Series</t>
  </si>
  <si>
    <t>PC-DELL-VOS-DT</t>
  </si>
  <si>
    <t>PC Dell Vostro Desktop</t>
  </si>
  <si>
    <t>PC-DELL-XPS</t>
  </si>
  <si>
    <t>Laptop DELL XPS Premium</t>
  </si>
  <si>
    <t>PC-HP-PAV</t>
  </si>
  <si>
    <t>Laptop HP Pavilion</t>
  </si>
  <si>
    <t>PC-HP-PRO</t>
  </si>
  <si>
    <t>Laptop HP ProBook</t>
  </si>
  <si>
    <t>PC-LEN-IP</t>
  </si>
  <si>
    <t>Laptop LENOVO IdeaPad</t>
  </si>
  <si>
    <t>PC-LEN-TP</t>
  </si>
  <si>
    <t>Laptop LENOVO ThinkPad</t>
  </si>
  <si>
    <t>PC-LEN-V</t>
  </si>
  <si>
    <t>Laptop LENOVO V-Series</t>
  </si>
  <si>
    <t>PC-LEN-V-DT</t>
  </si>
  <si>
    <t>PC Lenovo Desktop</t>
  </si>
  <si>
    <t>PC-MAC-AIR</t>
  </si>
  <si>
    <t>Apple MacBook Air</t>
  </si>
  <si>
    <t>PC-MSI-DT</t>
  </si>
  <si>
    <t>PC MSI Desktop</t>
  </si>
  <si>
    <t>PC-MSI-GF</t>
  </si>
  <si>
    <t>Laptop MSI Gaming Series</t>
  </si>
  <si>
    <t>PC-MSI-MOD</t>
  </si>
  <si>
    <t>Laptop MSI Modern Series</t>
  </si>
  <si>
    <t>PC-SYS-AMD</t>
  </si>
  <si>
    <t>PC Lắp Ráp AMD Ryzen</t>
  </si>
  <si>
    <t>PC-SYS-G</t>
  </si>
  <si>
    <t>PC Văn phòng Entry (G/Celeron)</t>
  </si>
  <si>
    <t>PC-SYS-I3</t>
  </si>
  <si>
    <t>PC Văn phòng Core i3</t>
  </si>
  <si>
    <t>PC-SYS-I5</t>
  </si>
  <si>
    <t>PC Văn phòng Core i5</t>
  </si>
  <si>
    <t>PC-SYS-I7</t>
  </si>
  <si>
    <t>PC Đồ họa Core i7</t>
  </si>
  <si>
    <t>PRN-BRO-DCP</t>
  </si>
  <si>
    <t>Máy in Đa năng Brother (DCP)</t>
  </si>
  <si>
    <t>PRN-BRO-HL</t>
  </si>
  <si>
    <t>Máy in Laser Brother (HL)</t>
  </si>
  <si>
    <t>PRN-CAN-LBP</t>
  </si>
  <si>
    <t>Máy in Laser Canon (LBP)</t>
  </si>
  <si>
    <t>PRN-CAN-MF</t>
  </si>
  <si>
    <t>Máy in Đa năng Canon (MF)</t>
  </si>
  <si>
    <t>PRN-EPS-L</t>
  </si>
  <si>
    <t>Máy in Phun màu Epson (L-Series)</t>
  </si>
  <si>
    <t>PRN-HP-LJ</t>
  </si>
  <si>
    <t>Máy in Laser HP (LaserJet)</t>
  </si>
  <si>
    <t>RAM-16G-D4</t>
  </si>
  <si>
    <t>RAM 16GB DDR4</t>
  </si>
  <si>
    <t>RAM-8G-D4</t>
  </si>
  <si>
    <t>RAM 8GB DDR4</t>
  </si>
  <si>
    <t>SCN-HP-SJ</t>
  </si>
  <si>
    <t>Máy quét HP ScanJet</t>
  </si>
  <si>
    <t>SRV-INSTALL</t>
  </si>
  <si>
    <t>Phí lắp đặt / Sửa chữa</t>
  </si>
  <si>
    <t>SSD-128-256</t>
  </si>
  <si>
    <t>SSD 120-256GB</t>
  </si>
  <si>
    <t>SSD-480-512</t>
  </si>
  <si>
    <t>SSD 480-512GB</t>
  </si>
  <si>
    <t>SW-WIN-PRO</t>
  </si>
  <si>
    <t>Bản quyền Windows</t>
  </si>
  <si>
    <t>UPS-SAN-500</t>
  </si>
  <si>
    <t>Bộ lưu điện Santak 500VA+</t>
  </si>
  <si>
    <t>VGA-GTX-16</t>
  </si>
  <si>
    <t>Card đồ họa GTX 16-Series</t>
  </si>
  <si>
    <t>WST-DRUM</t>
  </si>
  <si>
    <t>Trống máy in (Drum)</t>
  </si>
  <si>
    <t>WST-INK-REFILL</t>
  </si>
  <si>
    <t>Mực nạp / Mực đổ lẻ</t>
  </si>
  <si>
    <t>WST-ROLL</t>
  </si>
  <si>
    <t>Trục sấy / Rulo</t>
  </si>
  <si>
    <t>TỔNG CỘNG</t>
  </si>
  <si>
    <t>TỒN CUỐI</t>
  </si>
  <si>
    <t>NĂM 2023 OKE VỀ HÀNG HOÁ</t>
  </si>
  <si>
    <t>Tên Nhóm</t>
  </si>
  <si>
    <t>Nhập SL</t>
  </si>
  <si>
    <t>Nhập VNĐ</t>
  </si>
  <si>
    <t>Xuất SL</t>
  </si>
  <si>
    <t>Xuất VNĐ</t>
  </si>
  <si>
    <t>Giá Vốn (Bình quân)</t>
  </si>
  <si>
    <t>Thành tiền Giá Vốn</t>
  </si>
  <si>
    <t>Tháng</t>
  </si>
  <si>
    <t>Tổng Tiền Hóa Đơn Mua (VNĐ)</t>
  </si>
  <si>
    <t>Tổng Tiền Hóa Đơn Bán (VNĐ)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</si>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</sst>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3" fontId="3" fillId="3" borderId="1" xfId="0" applyNumberFormat="1" applyFont="1" applyFill="1" applyBorder="1"/>
    <xf numFmtId="3" fontId="4" fillId="4" borderId="0" xfId="0" applyNumberFormat="1" applyFont="1" applyFill="1" applyAlignment="1">
      <alignment horizontal="left"/>
    </xf>
    <xf numFmtId="0" fontId="4" fillId="0" borderId="0" xfId="0" applyFont="1"/>
    <xf numFmtId="3" fontId="4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0" fillId="0" borderId="2" xfId="0" applyBorder="1"/>
    <xf numFmtId="0" fontId="3" fillId="0" borderId="2" xfId="0" applyFont="1" applyBorder="1"/>
    <xf numFmtId="3" fontId="3" fillId="3" borderId="2" xfId="0" applyNumberFormat="1" applyFont="1" applyFill="1" applyBorder="1"/>
    <xf numFmtId="165" fontId="1" fillId="2" borderId="2" xfId="1" applyNumberFormat="1" applyFont="1" applyFill="1" applyBorder="1" applyAlignment="1">
      <alignment horizontal="center"/>
    </xf>
    <xf numFmtId="165" fontId="2" fillId="0" borderId="2" xfId="1" applyNumberFormat="1" applyFont="1" applyBorder="1"/>
    <xf numFmtId="165" fontId="3" fillId="3" borderId="2" xfId="1" applyNumberFormat="1" applyFont="1" applyFill="1" applyBorder="1"/>
    <xf numFmtId="165" fontId="0" fillId="0" borderId="0" xfId="1" applyNumberFormat="1" applyFont="1"/>
    <xf numFmtId="0" fontId="6" fillId="0" borderId="2" xfId="0" applyFont="1" applyBorder="1"/>
    <xf numFmtId="3" fontId="6" fillId="0" borderId="2" xfId="0" applyNumberFormat="1" applyFont="1" applyBorder="1"/>
    <xf numFmtId="0" fontId="5" fillId="0" borderId="0" xfId="0" applyFont="1"/>
    <xf numFmtId="165" fontId="7" fillId="2" borderId="2" xfId="1" applyNumberFormat="1" applyFont="1" applyFill="1" applyBorder="1" applyAlignment="1">
      <alignment horizontal="center"/>
    </xf>
    <xf numFmtId="165" fontId="6" fillId="0" borderId="2" xfId="1" applyNumberFormat="1" applyFont="1" applyBorder="1"/>
    <xf numFmtId="165" fontId="7" fillId="3" borderId="2" xfId="1" applyNumberFormat="1" applyFont="1" applyFill="1" applyBorder="1"/>
    <xf numFmtId="165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workbookViewId="0">
      <pane ySplit="1" topLeftCell="A11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4.140625" customWidth="1"/>
    <col min="2" max="2" width="15.140625" customWidth="1"/>
    <col min="3" max="3" width="30" customWidth="1"/>
    <col min="4" max="4" width="10.5703125" customWidth="1"/>
    <col min="5" max="5" width="14.42578125" customWidth="1"/>
    <col min="6" max="6" width="19" customWidth="1"/>
    <col min="7" max="7" width="21.42578125" customWidth="1"/>
    <col min="8" max="8" width="21.140625" customWidth="1"/>
    <col min="9" max="9" width="11" customWidth="1"/>
    <col min="10" max="10" width="14.42578125" customWidth="1"/>
    <col min="11" max="11" width="13.42578125" customWidth="1"/>
    <col min="12" max="12" width="12.140625" customWidth="1"/>
    <col min="13" max="16" width="13.42578125" customWidth="1"/>
    <col min="17" max="17" width="12.85546875" customWidth="1"/>
    <col min="18" max="18" width="12.140625" customWidth="1"/>
    <col min="19" max="19" width="12.85546875" customWidth="1"/>
    <col min="20" max="20" width="12.140625" customWidth="1"/>
    <col min="21" max="21" width="12.85546875" customWidth="1"/>
    <col min="22" max="22" width="12.140625" customWidth="1"/>
    <col min="23" max="23" width="12.85546875" customWidth="1"/>
    <col min="24" max="28" width="13.42578125" customWidth="1"/>
    <col min="29" max="29" width="13.85546875" customWidth="1"/>
    <col min="30" max="30" width="13.42578125" customWidth="1"/>
    <col min="31" max="31" width="13.85546875" customWidth="1"/>
    <col min="32" max="32" width="13.42578125" customWidth="1"/>
    <col min="33" max="33" width="13.85546875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>
        <v>1</v>
      </c>
      <c r="B2" s="2" t="s">
        <v>34</v>
      </c>
      <c r="C2" s="2" t="s">
        <v>35</v>
      </c>
      <c r="D2" s="3">
        <v>534</v>
      </c>
      <c r="E2" s="3">
        <v>239133509</v>
      </c>
      <c r="F2" s="3">
        <v>177733633</v>
      </c>
      <c r="G2" s="3">
        <v>171010787</v>
      </c>
      <c r="H2" s="3">
        <v>244019700.62997469</v>
      </c>
      <c r="I2" s="3">
        <v>476</v>
      </c>
      <c r="J2" s="3">
        <v>172847441.37002519</v>
      </c>
      <c r="K2" s="3">
        <v>19700000</v>
      </c>
      <c r="L2" s="3">
        <v>579000</v>
      </c>
      <c r="M2" s="3">
        <v>41283636</v>
      </c>
      <c r="N2" s="3">
        <v>0</v>
      </c>
      <c r="O2" s="3">
        <v>4300000</v>
      </c>
      <c r="P2" s="3">
        <v>17272727</v>
      </c>
      <c r="Q2" s="3">
        <v>20281822</v>
      </c>
      <c r="R2" s="3">
        <v>4918181</v>
      </c>
      <c r="S2" s="3">
        <v>18122727</v>
      </c>
      <c r="T2" s="3">
        <v>19163637</v>
      </c>
      <c r="U2" s="3">
        <v>13240901</v>
      </c>
      <c r="V2" s="3">
        <v>7994546</v>
      </c>
      <c r="W2" s="3">
        <v>0</v>
      </c>
      <c r="X2" s="3">
        <v>25090918</v>
      </c>
      <c r="Y2" s="3">
        <v>14361820</v>
      </c>
      <c r="Z2" s="3">
        <v>395455</v>
      </c>
      <c r="AA2" s="3">
        <v>13227273</v>
      </c>
      <c r="AB2" s="3">
        <v>0</v>
      </c>
      <c r="AC2" s="3">
        <v>7601818</v>
      </c>
      <c r="AD2" s="3">
        <v>48245454</v>
      </c>
      <c r="AE2" s="3">
        <v>16345455</v>
      </c>
      <c r="AF2" s="3">
        <v>2563636</v>
      </c>
      <c r="AG2" s="3">
        <v>9268181</v>
      </c>
      <c r="AH2" s="3">
        <v>44787233</v>
      </c>
    </row>
    <row r="3" spans="1:34" x14ac:dyDescent="0.25">
      <c r="A3" s="2">
        <v>2</v>
      </c>
      <c r="B3" s="2" t="s">
        <v>36</v>
      </c>
      <c r="C3" s="2" t="s">
        <v>37</v>
      </c>
      <c r="D3" s="3">
        <v>176</v>
      </c>
      <c r="E3" s="3">
        <v>194884968</v>
      </c>
      <c r="F3" s="3">
        <v>120059082</v>
      </c>
      <c r="G3" s="3">
        <v>138985462</v>
      </c>
      <c r="H3" s="3">
        <v>176599875.1944997</v>
      </c>
      <c r="I3" s="3">
        <v>153</v>
      </c>
      <c r="J3" s="3">
        <v>138344174.8055003</v>
      </c>
      <c r="K3" s="3">
        <v>0</v>
      </c>
      <c r="L3" s="3">
        <v>17618182</v>
      </c>
      <c r="M3" s="3">
        <v>0</v>
      </c>
      <c r="N3" s="3">
        <v>8381819</v>
      </c>
      <c r="O3" s="3">
        <v>1954545</v>
      </c>
      <c r="P3" s="3">
        <v>5832727</v>
      </c>
      <c r="Q3" s="3">
        <v>809091</v>
      </c>
      <c r="R3" s="3">
        <v>9654545</v>
      </c>
      <c r="S3" s="3">
        <v>7727273</v>
      </c>
      <c r="T3" s="3">
        <v>0</v>
      </c>
      <c r="U3" s="3">
        <v>31754542</v>
      </c>
      <c r="V3" s="3">
        <v>1090909</v>
      </c>
      <c r="W3" s="3">
        <v>16000000</v>
      </c>
      <c r="X3" s="3">
        <v>5454546</v>
      </c>
      <c r="Y3" s="3">
        <v>7986364</v>
      </c>
      <c r="Z3" s="3">
        <v>11627273</v>
      </c>
      <c r="AA3" s="3">
        <v>5218180</v>
      </c>
      <c r="AB3" s="3">
        <v>13700001</v>
      </c>
      <c r="AC3" s="3">
        <v>11918183</v>
      </c>
      <c r="AD3" s="3">
        <v>18163637</v>
      </c>
      <c r="AE3" s="3">
        <v>6545455</v>
      </c>
      <c r="AF3" s="3">
        <v>23136369</v>
      </c>
      <c r="AG3" s="3">
        <v>30145449</v>
      </c>
      <c r="AH3" s="3">
        <v>24325454</v>
      </c>
    </row>
    <row r="4" spans="1:34" x14ac:dyDescent="0.25">
      <c r="A4" s="2">
        <v>3</v>
      </c>
      <c r="B4" s="2" t="s">
        <v>38</v>
      </c>
      <c r="C4" s="2" t="s">
        <v>39</v>
      </c>
      <c r="D4" s="3">
        <v>247</v>
      </c>
      <c r="E4" s="3">
        <v>107960081</v>
      </c>
      <c r="F4" s="3">
        <v>174163501</v>
      </c>
      <c r="G4" s="3">
        <v>23181821</v>
      </c>
      <c r="H4" s="3">
        <v>28346275.282282609</v>
      </c>
      <c r="I4" s="3">
        <v>594</v>
      </c>
      <c r="J4" s="3">
        <v>253777306.71771729</v>
      </c>
      <c r="K4" s="3">
        <v>74641500</v>
      </c>
      <c r="L4" s="3">
        <v>509091</v>
      </c>
      <c r="M4" s="3">
        <v>14404500</v>
      </c>
      <c r="N4" s="3">
        <v>2536363</v>
      </c>
      <c r="O4" s="3">
        <v>21825001</v>
      </c>
      <c r="P4" s="3">
        <v>1227273</v>
      </c>
      <c r="Q4" s="3">
        <v>63292500</v>
      </c>
      <c r="R4" s="3">
        <v>863635</v>
      </c>
      <c r="S4" s="3">
        <v>0</v>
      </c>
      <c r="T4" s="3">
        <v>2018182</v>
      </c>
      <c r="U4" s="3">
        <v>0</v>
      </c>
      <c r="V4" s="3">
        <v>409091</v>
      </c>
      <c r="W4" s="3">
        <v>0</v>
      </c>
      <c r="X4" s="3">
        <v>1409090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500000</v>
      </c>
      <c r="AE4" s="3">
        <v>0</v>
      </c>
      <c r="AF4" s="3">
        <v>872728</v>
      </c>
      <c r="AG4" s="3">
        <v>0</v>
      </c>
      <c r="AH4" s="3">
        <v>12836368</v>
      </c>
    </row>
    <row r="5" spans="1:34" x14ac:dyDescent="0.25">
      <c r="A5" s="2">
        <v>4</v>
      </c>
      <c r="B5" s="2" t="s">
        <v>40</v>
      </c>
      <c r="C5" s="2" t="s">
        <v>41</v>
      </c>
      <c r="D5" s="3">
        <v>1034</v>
      </c>
      <c r="E5" s="3">
        <v>152131893</v>
      </c>
      <c r="F5" s="3">
        <v>67740734</v>
      </c>
      <c r="G5" s="3">
        <v>108320918</v>
      </c>
      <c r="H5" s="3">
        <v>120498598.2512821</v>
      </c>
      <c r="I5" s="3">
        <v>870</v>
      </c>
      <c r="J5" s="3">
        <v>99374028.748717934</v>
      </c>
      <c r="K5" s="3">
        <v>0</v>
      </c>
      <c r="L5" s="3">
        <v>2018183</v>
      </c>
      <c r="M5" s="3">
        <v>6560000</v>
      </c>
      <c r="N5" s="3">
        <v>5009092</v>
      </c>
      <c r="O5" s="3">
        <v>6560000</v>
      </c>
      <c r="P5" s="3">
        <v>2209091</v>
      </c>
      <c r="Q5" s="3">
        <v>0</v>
      </c>
      <c r="R5" s="3">
        <v>1418182</v>
      </c>
      <c r="S5" s="3">
        <v>0</v>
      </c>
      <c r="T5" s="3">
        <v>2818182</v>
      </c>
      <c r="U5" s="3">
        <v>5360000</v>
      </c>
      <c r="V5" s="3">
        <v>972728</v>
      </c>
      <c r="W5" s="3">
        <v>0</v>
      </c>
      <c r="X5" s="3">
        <v>763637</v>
      </c>
      <c r="Y5" s="3">
        <v>3327280</v>
      </c>
      <c r="Z5" s="3">
        <v>1281818</v>
      </c>
      <c r="AA5" s="3">
        <v>6538182</v>
      </c>
      <c r="AB5" s="3">
        <v>781818</v>
      </c>
      <c r="AC5" s="3">
        <v>7195272</v>
      </c>
      <c r="AD5" s="3">
        <v>16668182</v>
      </c>
      <c r="AE5" s="3">
        <v>4790909</v>
      </c>
      <c r="AF5" s="3">
        <v>7327274</v>
      </c>
      <c r="AG5" s="3">
        <v>27409091</v>
      </c>
      <c r="AH5" s="3">
        <v>67052731</v>
      </c>
    </row>
    <row r="6" spans="1:34" x14ac:dyDescent="0.25">
      <c r="A6" s="2">
        <v>5</v>
      </c>
      <c r="B6" s="2" t="s">
        <v>42</v>
      </c>
      <c r="C6" s="2" t="s">
        <v>43</v>
      </c>
      <c r="D6" s="3">
        <v>51</v>
      </c>
      <c r="E6" s="3">
        <v>17081396</v>
      </c>
      <c r="F6" s="3">
        <v>22278956</v>
      </c>
      <c r="G6" s="3">
        <v>7391817</v>
      </c>
      <c r="H6" s="3">
        <v>7719309.3180432934</v>
      </c>
      <c r="I6" s="3">
        <v>101</v>
      </c>
      <c r="J6" s="3">
        <v>31641042.681956708</v>
      </c>
      <c r="K6" s="3">
        <v>0</v>
      </c>
      <c r="L6" s="3">
        <v>0</v>
      </c>
      <c r="M6" s="3">
        <v>520000</v>
      </c>
      <c r="N6" s="3">
        <v>0</v>
      </c>
      <c r="O6" s="3">
        <v>4363636</v>
      </c>
      <c r="P6" s="3">
        <v>0</v>
      </c>
      <c r="Q6" s="3">
        <v>0</v>
      </c>
      <c r="R6" s="3">
        <v>0</v>
      </c>
      <c r="S6" s="3">
        <v>59090</v>
      </c>
      <c r="T6" s="3">
        <v>227272</v>
      </c>
      <c r="U6" s="3">
        <v>0</v>
      </c>
      <c r="V6" s="3">
        <v>0</v>
      </c>
      <c r="W6" s="3">
        <v>250000</v>
      </c>
      <c r="X6" s="3">
        <v>0</v>
      </c>
      <c r="Y6" s="3">
        <v>1172727</v>
      </c>
      <c r="Z6" s="3">
        <v>363636</v>
      </c>
      <c r="AA6" s="3">
        <v>618182</v>
      </c>
      <c r="AB6" s="3">
        <v>0</v>
      </c>
      <c r="AC6" s="3">
        <v>1320056</v>
      </c>
      <c r="AD6" s="3">
        <v>300000</v>
      </c>
      <c r="AE6" s="3">
        <v>8739943</v>
      </c>
      <c r="AF6" s="3">
        <v>845454</v>
      </c>
      <c r="AG6" s="3">
        <v>5235322</v>
      </c>
      <c r="AH6" s="3">
        <v>5655455</v>
      </c>
    </row>
    <row r="7" spans="1:34" x14ac:dyDescent="0.25">
      <c r="A7" s="2">
        <v>6</v>
      </c>
      <c r="B7" s="2" t="s">
        <v>44</v>
      </c>
      <c r="C7" s="2" t="s">
        <v>45</v>
      </c>
      <c r="D7" s="3">
        <v>7</v>
      </c>
      <c r="E7" s="3">
        <v>206942</v>
      </c>
      <c r="F7" s="3">
        <v>381816</v>
      </c>
      <c r="G7" s="3">
        <v>0</v>
      </c>
      <c r="H7" s="3">
        <v>0</v>
      </c>
      <c r="I7" s="3">
        <v>19</v>
      </c>
      <c r="J7" s="3">
        <v>588758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254544</v>
      </c>
      <c r="AD7" s="3">
        <v>0</v>
      </c>
      <c r="AE7" s="3">
        <v>0</v>
      </c>
      <c r="AF7" s="3">
        <v>0</v>
      </c>
      <c r="AG7" s="3">
        <v>127272</v>
      </c>
      <c r="AH7" s="3">
        <v>0</v>
      </c>
    </row>
    <row r="8" spans="1:34" x14ac:dyDescent="0.25">
      <c r="A8" s="2">
        <v>7</v>
      </c>
      <c r="B8" s="2" t="s">
        <v>46</v>
      </c>
      <c r="C8" s="2" t="s">
        <v>47</v>
      </c>
      <c r="D8" s="3">
        <v>1307</v>
      </c>
      <c r="E8" s="3">
        <v>167102691</v>
      </c>
      <c r="F8" s="3">
        <v>146916764.0086939</v>
      </c>
      <c r="G8" s="3">
        <v>134668179</v>
      </c>
      <c r="H8" s="3">
        <v>171510139.51689219</v>
      </c>
      <c r="I8" s="3">
        <v>1408</v>
      </c>
      <c r="J8" s="3">
        <v>142509315.4918018</v>
      </c>
      <c r="K8" s="3">
        <v>0</v>
      </c>
      <c r="L8" s="3">
        <v>4990910</v>
      </c>
      <c r="M8" s="3">
        <v>8590910</v>
      </c>
      <c r="N8" s="3">
        <v>4018182</v>
      </c>
      <c r="O8" s="3">
        <v>7163636</v>
      </c>
      <c r="P8" s="3">
        <v>8945451</v>
      </c>
      <c r="Q8" s="3">
        <v>0</v>
      </c>
      <c r="R8" s="3">
        <v>3363638</v>
      </c>
      <c r="S8" s="3">
        <v>1431819</v>
      </c>
      <c r="T8" s="3">
        <v>1481818</v>
      </c>
      <c r="U8" s="3">
        <v>9091121.8803591505</v>
      </c>
      <c r="V8" s="3">
        <v>5004546</v>
      </c>
      <c r="W8" s="3">
        <v>6709999</v>
      </c>
      <c r="X8" s="3">
        <v>2668182</v>
      </c>
      <c r="Y8" s="3">
        <v>0</v>
      </c>
      <c r="Z8" s="3">
        <v>2509088</v>
      </c>
      <c r="AA8" s="3">
        <v>11454500</v>
      </c>
      <c r="AB8" s="3">
        <v>2918181</v>
      </c>
      <c r="AC8" s="3">
        <v>15056598.128334761</v>
      </c>
      <c r="AD8" s="3">
        <v>49749998</v>
      </c>
      <c r="AE8" s="3">
        <v>14300000</v>
      </c>
      <c r="AF8" s="3">
        <v>6554552</v>
      </c>
      <c r="AG8" s="3">
        <v>73118180</v>
      </c>
      <c r="AH8" s="3">
        <v>42463633</v>
      </c>
    </row>
    <row r="9" spans="1:34" x14ac:dyDescent="0.25">
      <c r="A9" s="2">
        <v>8</v>
      </c>
      <c r="B9" s="2" t="s">
        <v>48</v>
      </c>
      <c r="C9" s="2" t="s">
        <v>49</v>
      </c>
      <c r="D9" s="3">
        <v>57</v>
      </c>
      <c r="E9" s="3">
        <v>61350147</v>
      </c>
      <c r="F9" s="3">
        <v>56111901.48420158</v>
      </c>
      <c r="G9" s="3">
        <v>55236362</v>
      </c>
      <c r="H9" s="3">
        <v>50908380.450024128</v>
      </c>
      <c r="I9" s="3">
        <v>77</v>
      </c>
      <c r="J9" s="3">
        <v>66553668.034177452</v>
      </c>
      <c r="K9" s="3">
        <v>0</v>
      </c>
      <c r="L9" s="3">
        <v>8200000</v>
      </c>
      <c r="M9" s="3">
        <v>27584146.48420158</v>
      </c>
      <c r="N9" s="3">
        <v>0</v>
      </c>
      <c r="O9" s="3">
        <v>517950</v>
      </c>
      <c r="P9" s="3">
        <v>10090909</v>
      </c>
      <c r="Q9" s="3">
        <v>1071922</v>
      </c>
      <c r="R9" s="3">
        <v>4954545</v>
      </c>
      <c r="S9" s="3">
        <v>465881</v>
      </c>
      <c r="T9" s="3">
        <v>3236364</v>
      </c>
      <c r="U9" s="3">
        <v>1153820</v>
      </c>
      <c r="V9" s="3">
        <v>4381819</v>
      </c>
      <c r="W9" s="3">
        <v>0</v>
      </c>
      <c r="X9" s="3">
        <v>0</v>
      </c>
      <c r="Y9" s="3">
        <v>0</v>
      </c>
      <c r="Z9" s="3">
        <v>4590909</v>
      </c>
      <c r="AA9" s="3">
        <v>0</v>
      </c>
      <c r="AB9" s="3">
        <v>0</v>
      </c>
      <c r="AC9" s="3">
        <v>0</v>
      </c>
      <c r="AD9" s="3">
        <v>1500000</v>
      </c>
      <c r="AE9" s="3">
        <v>8545455</v>
      </c>
      <c r="AF9" s="3">
        <v>5081816</v>
      </c>
      <c r="AG9" s="3">
        <v>16772727</v>
      </c>
      <c r="AH9" s="3">
        <v>13200000</v>
      </c>
    </row>
    <row r="10" spans="1:34" x14ac:dyDescent="0.25">
      <c r="A10" s="2">
        <v>9</v>
      </c>
      <c r="B10" s="2" t="s">
        <v>50</v>
      </c>
      <c r="C10" s="2" t="s">
        <v>51</v>
      </c>
      <c r="D10" s="3">
        <v>1344</v>
      </c>
      <c r="E10" s="3">
        <v>594573864</v>
      </c>
      <c r="F10" s="3">
        <v>527980136.68393558</v>
      </c>
      <c r="G10" s="3">
        <v>567185688</v>
      </c>
      <c r="H10" s="3">
        <v>250681901.28189141</v>
      </c>
      <c r="I10" s="3">
        <v>2822</v>
      </c>
      <c r="J10" s="3">
        <v>871872099.4020443</v>
      </c>
      <c r="K10" s="3">
        <v>24079549</v>
      </c>
      <c r="L10" s="3">
        <v>71727273</v>
      </c>
      <c r="M10" s="3">
        <v>-74886617.48420158</v>
      </c>
      <c r="N10" s="3">
        <v>23118182</v>
      </c>
      <c r="O10" s="3">
        <v>155969106.99411729</v>
      </c>
      <c r="P10" s="3">
        <v>91554544</v>
      </c>
      <c r="Q10" s="3">
        <v>21598559</v>
      </c>
      <c r="R10" s="3">
        <v>25536363</v>
      </c>
      <c r="S10" s="3">
        <v>39042669.240274213</v>
      </c>
      <c r="T10" s="3">
        <v>24018181</v>
      </c>
      <c r="U10" s="3">
        <v>79169668</v>
      </c>
      <c r="V10" s="3">
        <v>38890910</v>
      </c>
      <c r="W10" s="3">
        <v>33774690</v>
      </c>
      <c r="X10" s="3">
        <v>65572725</v>
      </c>
      <c r="Y10" s="3">
        <v>-4385759</v>
      </c>
      <c r="Z10" s="3">
        <v>33081819</v>
      </c>
      <c r="AA10" s="3">
        <v>106792715.009471</v>
      </c>
      <c r="AB10" s="3">
        <v>41483669</v>
      </c>
      <c r="AC10" s="3">
        <v>59023078</v>
      </c>
      <c r="AD10" s="3">
        <v>15278788</v>
      </c>
      <c r="AE10" s="3">
        <v>42894832</v>
      </c>
      <c r="AF10" s="3">
        <v>58186869</v>
      </c>
      <c r="AG10" s="3">
        <v>44907645.924274802</v>
      </c>
      <c r="AH10" s="3">
        <v>78736365</v>
      </c>
    </row>
    <row r="11" spans="1:34" x14ac:dyDescent="0.25">
      <c r="A11" s="2">
        <v>10</v>
      </c>
      <c r="B11" s="2" t="s">
        <v>52</v>
      </c>
      <c r="C11" s="2" t="s">
        <v>53</v>
      </c>
      <c r="D11" s="3">
        <v>492</v>
      </c>
      <c r="E11" s="3">
        <v>890568470</v>
      </c>
      <c r="F11" s="3">
        <v>507240574.50649607</v>
      </c>
      <c r="G11" s="3">
        <v>676690005</v>
      </c>
      <c r="H11" s="3">
        <v>748394334.15017068</v>
      </c>
      <c r="I11" s="3">
        <v>466</v>
      </c>
      <c r="J11" s="3">
        <v>649414710.35632503</v>
      </c>
      <c r="K11" s="3">
        <v>0</v>
      </c>
      <c r="L11" s="3">
        <v>24536364</v>
      </c>
      <c r="M11" s="3">
        <v>109827272</v>
      </c>
      <c r="N11" s="3">
        <v>30845455</v>
      </c>
      <c r="O11" s="3">
        <v>101772728</v>
      </c>
      <c r="P11" s="3">
        <v>111672729</v>
      </c>
      <c r="Q11" s="3">
        <v>0</v>
      </c>
      <c r="R11" s="3">
        <v>56836364</v>
      </c>
      <c r="S11" s="3">
        <v>17999999</v>
      </c>
      <c r="T11" s="3">
        <v>28154546</v>
      </c>
      <c r="U11" s="3">
        <v>14818182</v>
      </c>
      <c r="V11" s="3">
        <v>39836364</v>
      </c>
      <c r="W11" s="3">
        <v>37278178</v>
      </c>
      <c r="X11" s="3">
        <v>47800001</v>
      </c>
      <c r="Y11" s="3">
        <v>83347411.515967101</v>
      </c>
      <c r="Z11" s="3">
        <v>65799999</v>
      </c>
      <c r="AA11" s="3">
        <v>28260439.990529031</v>
      </c>
      <c r="AB11" s="3">
        <v>60745453</v>
      </c>
      <c r="AC11" s="3">
        <v>4909091</v>
      </c>
      <c r="AD11" s="3">
        <v>52381819</v>
      </c>
      <c r="AE11" s="3">
        <v>48009091</v>
      </c>
      <c r="AF11" s="3">
        <v>30990909</v>
      </c>
      <c r="AG11" s="3">
        <v>61018182</v>
      </c>
      <c r="AH11" s="3">
        <v>127090002</v>
      </c>
    </row>
    <row r="12" spans="1:34" x14ac:dyDescent="0.25">
      <c r="A12" s="2">
        <v>11</v>
      </c>
      <c r="B12" s="2" t="s">
        <v>54</v>
      </c>
      <c r="C12" s="2" t="s">
        <v>55</v>
      </c>
      <c r="D12" s="3">
        <v>60</v>
      </c>
      <c r="E12" s="3">
        <v>189234201</v>
      </c>
      <c r="F12" s="3">
        <v>188639093</v>
      </c>
      <c r="G12" s="3">
        <v>158659999</v>
      </c>
      <c r="H12" s="3">
        <v>169339865.99175349</v>
      </c>
      <c r="I12" s="3">
        <v>81</v>
      </c>
      <c r="J12" s="3">
        <v>208533428.00824651</v>
      </c>
      <c r="K12" s="3">
        <v>0</v>
      </c>
      <c r="L12" s="3">
        <v>0</v>
      </c>
      <c r="M12" s="3">
        <v>40000000</v>
      </c>
      <c r="N12" s="3">
        <v>0</v>
      </c>
      <c r="O12" s="3">
        <v>0</v>
      </c>
      <c r="P12" s="3">
        <v>19363636</v>
      </c>
      <c r="Q12" s="3">
        <v>0</v>
      </c>
      <c r="R12" s="3">
        <v>0</v>
      </c>
      <c r="S12" s="3">
        <v>14318180</v>
      </c>
      <c r="T12" s="3">
        <v>4090909</v>
      </c>
      <c r="U12" s="3">
        <v>0</v>
      </c>
      <c r="V12" s="3">
        <v>12727273</v>
      </c>
      <c r="W12" s="3">
        <v>17066365</v>
      </c>
      <c r="X12" s="3">
        <v>12272727</v>
      </c>
      <c r="Y12" s="3">
        <v>40909095</v>
      </c>
      <c r="Z12" s="3">
        <v>11263637</v>
      </c>
      <c r="AA12" s="3">
        <v>48545453</v>
      </c>
      <c r="AB12" s="3">
        <v>20909091</v>
      </c>
      <c r="AC12" s="3">
        <v>17300000</v>
      </c>
      <c r="AD12" s="3">
        <v>37245454</v>
      </c>
      <c r="AE12" s="3">
        <v>0</v>
      </c>
      <c r="AF12" s="3">
        <v>14869091</v>
      </c>
      <c r="AG12" s="3">
        <v>10500000</v>
      </c>
      <c r="AH12" s="3">
        <v>25918181</v>
      </c>
    </row>
    <row r="13" spans="1:34" x14ac:dyDescent="0.25">
      <c r="A13" s="2">
        <v>12</v>
      </c>
      <c r="B13" s="2" t="s">
        <v>56</v>
      </c>
      <c r="C13" s="2" t="s">
        <v>57</v>
      </c>
      <c r="D13" s="3">
        <v>4</v>
      </c>
      <c r="E13" s="3">
        <v>11555238</v>
      </c>
      <c r="F13" s="3">
        <v>0</v>
      </c>
      <c r="G13" s="3">
        <v>6236364</v>
      </c>
      <c r="H13" s="3">
        <v>7211414.236292595</v>
      </c>
      <c r="I13" s="3">
        <v>2</v>
      </c>
      <c r="J13" s="3">
        <v>4343823.763707405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6236364</v>
      </c>
    </row>
    <row r="14" spans="1:34" x14ac:dyDescent="0.25">
      <c r="A14" s="2">
        <v>13</v>
      </c>
      <c r="B14" s="2" t="s">
        <v>58</v>
      </c>
      <c r="C14" s="2" t="s">
        <v>59</v>
      </c>
      <c r="D14" s="3">
        <v>1654</v>
      </c>
      <c r="E14" s="3">
        <v>189774100</v>
      </c>
      <c r="F14" s="3">
        <v>248267966.22328401</v>
      </c>
      <c r="G14" s="3">
        <v>100027259</v>
      </c>
      <c r="H14" s="3">
        <v>126884933.07297251</v>
      </c>
      <c r="I14" s="3">
        <v>3031</v>
      </c>
      <c r="J14" s="3">
        <v>311157133.15031153</v>
      </c>
      <c r="K14" s="3">
        <v>0</v>
      </c>
      <c r="L14" s="3">
        <v>2918181</v>
      </c>
      <c r="M14" s="3">
        <v>56216353</v>
      </c>
      <c r="N14" s="3">
        <v>2845455</v>
      </c>
      <c r="O14" s="3">
        <v>19718175</v>
      </c>
      <c r="P14" s="3">
        <v>8449999</v>
      </c>
      <c r="Q14" s="3">
        <v>5831819</v>
      </c>
      <c r="R14" s="3">
        <v>3245454</v>
      </c>
      <c r="S14" s="3">
        <v>4126087</v>
      </c>
      <c r="T14" s="3">
        <v>2927272</v>
      </c>
      <c r="U14" s="3">
        <v>25714809.734353852</v>
      </c>
      <c r="V14" s="3">
        <v>7540907</v>
      </c>
      <c r="W14" s="3">
        <v>4172730</v>
      </c>
      <c r="X14" s="3">
        <v>4131817</v>
      </c>
      <c r="Y14" s="3">
        <v>19699988</v>
      </c>
      <c r="Z14" s="3">
        <v>4218181</v>
      </c>
      <c r="AA14" s="3">
        <v>21649954</v>
      </c>
      <c r="AB14" s="3">
        <v>6895455</v>
      </c>
      <c r="AC14" s="3">
        <v>14124161.864745749</v>
      </c>
      <c r="AD14" s="3">
        <v>21659096</v>
      </c>
      <c r="AE14" s="3">
        <v>17080002</v>
      </c>
      <c r="AF14" s="3">
        <v>5949999</v>
      </c>
      <c r="AG14" s="3">
        <v>59933886.624184422</v>
      </c>
      <c r="AH14" s="3">
        <v>29245443</v>
      </c>
    </row>
    <row r="15" spans="1:34" x14ac:dyDescent="0.25">
      <c r="A15" s="2">
        <v>14</v>
      </c>
      <c r="B15" s="2" t="s">
        <v>60</v>
      </c>
      <c r="C15" s="2" t="s">
        <v>61</v>
      </c>
      <c r="D15" s="3">
        <v>2106</v>
      </c>
      <c r="E15" s="3">
        <v>237351699</v>
      </c>
      <c r="F15" s="3">
        <v>56440907</v>
      </c>
      <c r="G15" s="3">
        <v>117529088</v>
      </c>
      <c r="H15" s="3">
        <v>219228542.27183649</v>
      </c>
      <c r="I15" s="3">
        <v>873</v>
      </c>
      <c r="J15" s="3">
        <v>74564063.728163466</v>
      </c>
      <c r="K15" s="3">
        <v>0</v>
      </c>
      <c r="L15" s="3">
        <v>1318182</v>
      </c>
      <c r="M15" s="3">
        <v>17145455</v>
      </c>
      <c r="N15" s="3">
        <v>4045454</v>
      </c>
      <c r="O15" s="3">
        <v>0</v>
      </c>
      <c r="P15" s="3">
        <v>5922727</v>
      </c>
      <c r="Q15" s="3">
        <v>0</v>
      </c>
      <c r="R15" s="3">
        <v>6718182</v>
      </c>
      <c r="S15" s="3">
        <v>0</v>
      </c>
      <c r="T15" s="3">
        <v>5345456</v>
      </c>
      <c r="U15" s="3">
        <v>0</v>
      </c>
      <c r="V15" s="3">
        <v>4295454</v>
      </c>
      <c r="W15" s="3">
        <v>0</v>
      </c>
      <c r="X15" s="3">
        <v>6410909</v>
      </c>
      <c r="Y15" s="3">
        <v>3245454</v>
      </c>
      <c r="Z15" s="3">
        <v>3700002</v>
      </c>
      <c r="AA15" s="3">
        <v>0</v>
      </c>
      <c r="AB15" s="3">
        <v>7100000</v>
      </c>
      <c r="AC15" s="3">
        <v>0</v>
      </c>
      <c r="AD15" s="3">
        <v>40918179</v>
      </c>
      <c r="AE15" s="3">
        <v>0</v>
      </c>
      <c r="AF15" s="3">
        <v>1190908</v>
      </c>
      <c r="AG15" s="3">
        <v>36049998</v>
      </c>
      <c r="AH15" s="3">
        <v>30563635</v>
      </c>
    </row>
    <row r="16" spans="1:34" x14ac:dyDescent="0.25">
      <c r="A16" s="2">
        <v>15</v>
      </c>
      <c r="B16" s="2" t="s">
        <v>62</v>
      </c>
      <c r="C16" s="2" t="s">
        <v>63</v>
      </c>
      <c r="D16" s="3">
        <v>7628</v>
      </c>
      <c r="E16" s="3">
        <v>4817725010</v>
      </c>
      <c r="F16" s="3">
        <v>3666383846.1669979</v>
      </c>
      <c r="G16" s="3">
        <v>4554775022</v>
      </c>
      <c r="H16" s="3">
        <v>3820990716.4914131</v>
      </c>
      <c r="I16" s="3">
        <v>10028</v>
      </c>
      <c r="J16" s="3">
        <v>4663118139.6755829</v>
      </c>
      <c r="K16" s="3">
        <v>98319331</v>
      </c>
      <c r="L16" s="3">
        <v>429709664</v>
      </c>
      <c r="M16" s="3">
        <v>391323275.36194789</v>
      </c>
      <c r="N16" s="3">
        <v>136845457</v>
      </c>
      <c r="O16" s="3">
        <v>327673312</v>
      </c>
      <c r="P16" s="3">
        <v>667222727</v>
      </c>
      <c r="Q16" s="3">
        <v>208031808</v>
      </c>
      <c r="R16" s="3">
        <v>267968180</v>
      </c>
      <c r="S16" s="3">
        <v>271128654.020895</v>
      </c>
      <c r="T16" s="3">
        <v>197473634</v>
      </c>
      <c r="U16" s="3">
        <v>392546611.03040278</v>
      </c>
      <c r="V16" s="3">
        <v>292640906</v>
      </c>
      <c r="W16" s="3">
        <v>199199680</v>
      </c>
      <c r="X16" s="3">
        <v>156250909</v>
      </c>
      <c r="Y16" s="3">
        <v>379825920.48403293</v>
      </c>
      <c r="Z16" s="3">
        <v>255295723</v>
      </c>
      <c r="AA16" s="3">
        <v>318270024</v>
      </c>
      <c r="AB16" s="3">
        <v>402571956</v>
      </c>
      <c r="AC16" s="3">
        <v>292348584.05727118</v>
      </c>
      <c r="AD16" s="3">
        <v>326851685</v>
      </c>
      <c r="AE16" s="3">
        <v>433136706.66351372</v>
      </c>
      <c r="AF16" s="3">
        <v>475103876</v>
      </c>
      <c r="AG16" s="3">
        <v>354579939.54893428</v>
      </c>
      <c r="AH16" s="3">
        <v>946840305</v>
      </c>
    </row>
    <row r="17" spans="1:34" x14ac:dyDescent="0.25">
      <c r="A17" s="2">
        <v>16</v>
      </c>
      <c r="B17" s="2" t="s">
        <v>64</v>
      </c>
      <c r="C17" s="2" t="s">
        <v>65</v>
      </c>
      <c r="D17" s="3">
        <v>13</v>
      </c>
      <c r="E17" s="3">
        <v>164182075</v>
      </c>
      <c r="F17" s="3">
        <v>0</v>
      </c>
      <c r="G17" s="3">
        <v>88609092</v>
      </c>
      <c r="H17" s="3">
        <v>110344825.3176932</v>
      </c>
      <c r="I17" s="3">
        <v>6</v>
      </c>
      <c r="J17" s="3">
        <v>53837249.682306781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30345455</v>
      </c>
      <c r="Q17" s="3">
        <v>0</v>
      </c>
      <c r="R17" s="3">
        <v>13454545</v>
      </c>
      <c r="S17" s="3">
        <v>0</v>
      </c>
      <c r="T17" s="3">
        <v>13627273</v>
      </c>
      <c r="U17" s="3">
        <v>0</v>
      </c>
      <c r="V17" s="3">
        <v>16454546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14727273</v>
      </c>
    </row>
    <row r="18" spans="1:34" x14ac:dyDescent="0.25">
      <c r="A18" s="2">
        <v>17</v>
      </c>
      <c r="B18" s="2" t="s">
        <v>66</v>
      </c>
      <c r="C18" s="2" t="s">
        <v>67</v>
      </c>
      <c r="D18" s="3">
        <v>3</v>
      </c>
      <c r="E18" s="3">
        <v>8767993</v>
      </c>
      <c r="F18" s="3">
        <v>16177272</v>
      </c>
      <c r="G18" s="3">
        <v>0</v>
      </c>
      <c r="H18" s="3">
        <v>0</v>
      </c>
      <c r="I18" s="3">
        <v>8</v>
      </c>
      <c r="J18" s="3">
        <v>24945265</v>
      </c>
      <c r="K18" s="3">
        <v>0</v>
      </c>
      <c r="L18" s="3">
        <v>0</v>
      </c>
      <c r="M18" s="3">
        <v>2909091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3177273</v>
      </c>
      <c r="V18" s="3">
        <v>0</v>
      </c>
      <c r="W18" s="3">
        <v>0</v>
      </c>
      <c r="X18" s="3">
        <v>0</v>
      </c>
      <c r="Y18" s="3">
        <v>6727272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3363636</v>
      </c>
      <c r="AH18" s="3">
        <v>0</v>
      </c>
    </row>
    <row r="19" spans="1:34" x14ac:dyDescent="0.25">
      <c r="A19" s="2">
        <v>18</v>
      </c>
      <c r="B19" s="2" t="s">
        <v>68</v>
      </c>
      <c r="C19" s="2" t="s">
        <v>69</v>
      </c>
      <c r="D19" s="3">
        <v>213</v>
      </c>
      <c r="E19" s="3">
        <v>908383147</v>
      </c>
      <c r="F19" s="3">
        <v>424850908</v>
      </c>
      <c r="G19" s="3">
        <v>623336390</v>
      </c>
      <c r="H19" s="3">
        <v>760938745.2351855</v>
      </c>
      <c r="I19" s="3">
        <v>170</v>
      </c>
      <c r="J19" s="3">
        <v>572295309.76481438</v>
      </c>
      <c r="K19" s="3">
        <v>0</v>
      </c>
      <c r="L19" s="3">
        <v>0</v>
      </c>
      <c r="M19" s="3">
        <v>2890909</v>
      </c>
      <c r="N19" s="3">
        <v>0</v>
      </c>
      <c r="O19" s="3">
        <v>101454545</v>
      </c>
      <c r="P19" s="3">
        <v>0</v>
      </c>
      <c r="Q19" s="3">
        <v>0</v>
      </c>
      <c r="R19" s="3">
        <v>14090909</v>
      </c>
      <c r="S19" s="3">
        <v>2809092</v>
      </c>
      <c r="T19" s="3">
        <v>0</v>
      </c>
      <c r="U19" s="3">
        <v>4131818</v>
      </c>
      <c r="V19" s="3">
        <v>29954546</v>
      </c>
      <c r="W19" s="3">
        <v>48759090</v>
      </c>
      <c r="X19" s="3">
        <v>75400000</v>
      </c>
      <c r="Y19" s="3">
        <v>156428181</v>
      </c>
      <c r="Z19" s="3">
        <v>86463637</v>
      </c>
      <c r="AA19" s="3">
        <v>19727273</v>
      </c>
      <c r="AB19" s="3">
        <v>42900000</v>
      </c>
      <c r="AC19" s="3">
        <v>0</v>
      </c>
      <c r="AD19" s="3">
        <v>227681817</v>
      </c>
      <c r="AE19" s="3">
        <v>38036364</v>
      </c>
      <c r="AF19" s="3">
        <v>10454545</v>
      </c>
      <c r="AG19" s="3">
        <v>50613636</v>
      </c>
      <c r="AH19" s="3">
        <v>136390936</v>
      </c>
    </row>
    <row r="20" spans="1:34" x14ac:dyDescent="0.25">
      <c r="A20" s="2">
        <v>19</v>
      </c>
      <c r="B20" s="2" t="s">
        <v>70</v>
      </c>
      <c r="C20" s="2" t="s">
        <v>71</v>
      </c>
      <c r="D20" s="3">
        <v>26</v>
      </c>
      <c r="E20" s="3">
        <v>275885811</v>
      </c>
      <c r="F20" s="3">
        <v>147363636</v>
      </c>
      <c r="G20" s="3">
        <v>194981817</v>
      </c>
      <c r="H20" s="3">
        <v>237686467.60943729</v>
      </c>
      <c r="I20" s="3">
        <v>22</v>
      </c>
      <c r="J20" s="3">
        <v>185562979.39056271</v>
      </c>
      <c r="K20" s="3">
        <v>0</v>
      </c>
      <c r="L20" s="3">
        <v>16000000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123000000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11636363</v>
      </c>
      <c r="AE20" s="3">
        <v>24363636</v>
      </c>
      <c r="AF20" s="3">
        <v>16540909</v>
      </c>
      <c r="AG20" s="3">
        <v>0</v>
      </c>
      <c r="AH20" s="3">
        <v>150804545</v>
      </c>
    </row>
    <row r="21" spans="1:34" ht="15.75" customHeight="1" x14ac:dyDescent="0.25">
      <c r="A21" s="2">
        <v>20</v>
      </c>
      <c r="B21" s="2" t="s">
        <v>72</v>
      </c>
      <c r="C21" s="2" t="s">
        <v>73</v>
      </c>
      <c r="D21" s="3">
        <v>22</v>
      </c>
      <c r="E21" s="3">
        <v>229745893</v>
      </c>
      <c r="F21" s="3">
        <v>127654840.0058827</v>
      </c>
      <c r="G21" s="3">
        <v>169845455</v>
      </c>
      <c r="H21" s="3">
        <v>191107866.82820591</v>
      </c>
      <c r="I21" s="3">
        <v>20</v>
      </c>
      <c r="J21" s="3">
        <v>166292866.1776768</v>
      </c>
      <c r="K21" s="3">
        <v>0</v>
      </c>
      <c r="L21" s="3">
        <v>0</v>
      </c>
      <c r="M21" s="3">
        <v>0</v>
      </c>
      <c r="N21" s="3">
        <v>0</v>
      </c>
      <c r="O21" s="3">
        <v>45473022.005882747</v>
      </c>
      <c r="P21" s="3">
        <v>10454545</v>
      </c>
      <c r="Q21" s="3">
        <v>0</v>
      </c>
      <c r="R21" s="3">
        <v>26081819</v>
      </c>
      <c r="S21" s="3">
        <v>0</v>
      </c>
      <c r="T21" s="3">
        <v>15263636</v>
      </c>
      <c r="U21" s="3">
        <v>0</v>
      </c>
      <c r="V21" s="3">
        <v>9045454</v>
      </c>
      <c r="W21" s="3">
        <v>82181818</v>
      </c>
      <c r="X21" s="3">
        <v>94454546</v>
      </c>
      <c r="Y21" s="3">
        <v>0</v>
      </c>
      <c r="Z21" s="3">
        <v>14545455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5.75" customHeight="1" x14ac:dyDescent="0.25">
      <c r="A22" s="2">
        <v>21</v>
      </c>
      <c r="B22" s="2" t="s">
        <v>74</v>
      </c>
      <c r="C22" s="2" t="s">
        <v>75</v>
      </c>
      <c r="D22" s="3">
        <v>17</v>
      </c>
      <c r="E22" s="3">
        <v>226455706</v>
      </c>
      <c r="F22" s="3">
        <v>0</v>
      </c>
      <c r="G22" s="3">
        <v>122218181</v>
      </c>
      <c r="H22" s="3">
        <v>149640241.2710028</v>
      </c>
      <c r="I22" s="3">
        <v>8</v>
      </c>
      <c r="J22" s="3">
        <v>76815464.728997156</v>
      </c>
      <c r="K22" s="3">
        <v>0</v>
      </c>
      <c r="L22" s="3">
        <v>0</v>
      </c>
      <c r="M22" s="3">
        <v>0</v>
      </c>
      <c r="N22" s="3">
        <v>13254546</v>
      </c>
      <c r="O22" s="3">
        <v>0</v>
      </c>
      <c r="P22" s="3">
        <v>29036363</v>
      </c>
      <c r="Q22" s="3">
        <v>0</v>
      </c>
      <c r="R22" s="3">
        <v>0</v>
      </c>
      <c r="S22" s="3">
        <v>0</v>
      </c>
      <c r="T22" s="3">
        <v>15590909</v>
      </c>
      <c r="U22" s="3">
        <v>0</v>
      </c>
      <c r="V22" s="3">
        <v>0</v>
      </c>
      <c r="W22" s="3">
        <v>0</v>
      </c>
      <c r="X22" s="3">
        <v>12718182</v>
      </c>
      <c r="Y22" s="3">
        <v>0</v>
      </c>
      <c r="Z22" s="3">
        <v>0</v>
      </c>
      <c r="AA22" s="3">
        <v>0</v>
      </c>
      <c r="AB22" s="3">
        <v>12272727</v>
      </c>
      <c r="AC22" s="3">
        <v>0</v>
      </c>
      <c r="AD22" s="3">
        <v>22718181</v>
      </c>
      <c r="AE22" s="3">
        <v>0</v>
      </c>
      <c r="AF22" s="3">
        <v>16627273</v>
      </c>
      <c r="AG22" s="3">
        <v>0</v>
      </c>
      <c r="AH22" s="3">
        <v>0</v>
      </c>
    </row>
    <row r="23" spans="1:34" ht="15.75" customHeight="1" x14ac:dyDescent="0.25">
      <c r="A23" s="2">
        <v>22</v>
      </c>
      <c r="B23" s="2" t="s">
        <v>76</v>
      </c>
      <c r="C23" s="2" t="s">
        <v>77</v>
      </c>
      <c r="D23" s="3">
        <v>24</v>
      </c>
      <c r="E23" s="3">
        <v>311732602</v>
      </c>
      <c r="F23" s="3">
        <v>295218870.05827409</v>
      </c>
      <c r="G23" s="3">
        <v>272440908</v>
      </c>
      <c r="H23" s="3">
        <v>299225368.43811059</v>
      </c>
      <c r="I23" s="3">
        <v>29</v>
      </c>
      <c r="J23" s="3">
        <v>307726103.62016362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24676708.982548948</v>
      </c>
      <c r="T23" s="3">
        <v>0</v>
      </c>
      <c r="U23" s="3">
        <v>0</v>
      </c>
      <c r="V23" s="3">
        <v>115981817</v>
      </c>
      <c r="W23" s="3">
        <v>42727272</v>
      </c>
      <c r="X23" s="3">
        <v>51277273</v>
      </c>
      <c r="Y23" s="3">
        <v>71818182</v>
      </c>
      <c r="Z23" s="3">
        <v>18000000</v>
      </c>
      <c r="AA23" s="3">
        <v>10545455</v>
      </c>
      <c r="AB23" s="3">
        <v>0</v>
      </c>
      <c r="AC23" s="3">
        <v>14181818</v>
      </c>
      <c r="AD23" s="3">
        <v>71954546</v>
      </c>
      <c r="AE23" s="3">
        <v>14363636</v>
      </c>
      <c r="AF23" s="3">
        <v>15227272</v>
      </c>
      <c r="AG23" s="3">
        <v>116905798.0757252</v>
      </c>
      <c r="AH23" s="3">
        <v>0</v>
      </c>
    </row>
    <row r="24" spans="1:34" ht="15.75" customHeight="1" x14ac:dyDescent="0.25">
      <c r="A24" s="2">
        <v>23</v>
      </c>
      <c r="B24" s="2" t="s">
        <v>78</v>
      </c>
      <c r="C24" s="2" t="s">
        <v>79</v>
      </c>
      <c r="D24" s="3">
        <v>123</v>
      </c>
      <c r="E24" s="3">
        <v>993279169</v>
      </c>
      <c r="F24" s="3">
        <v>57298979.354884207</v>
      </c>
      <c r="G24" s="3">
        <v>691235052</v>
      </c>
      <c r="H24" s="3">
        <v>522444713.86647868</v>
      </c>
      <c r="I24" s="3">
        <v>93</v>
      </c>
      <c r="J24" s="3">
        <v>528133434.48840553</v>
      </c>
      <c r="K24" s="3">
        <v>1188000</v>
      </c>
      <c r="L24" s="3">
        <v>0</v>
      </c>
      <c r="M24" s="3">
        <v>0</v>
      </c>
      <c r="N24" s="3">
        <v>10445455</v>
      </c>
      <c r="O24" s="3">
        <v>0</v>
      </c>
      <c r="P24" s="3">
        <v>21354546</v>
      </c>
      <c r="Q24" s="3">
        <v>0</v>
      </c>
      <c r="R24" s="3">
        <v>24027273</v>
      </c>
      <c r="S24" s="3">
        <v>36000002</v>
      </c>
      <c r="T24" s="3">
        <v>26354546</v>
      </c>
      <c r="U24" s="3">
        <v>25960.354884204469</v>
      </c>
      <c r="V24" s="3">
        <v>23625454</v>
      </c>
      <c r="W24" s="3">
        <v>0</v>
      </c>
      <c r="X24" s="3">
        <v>0</v>
      </c>
      <c r="Y24" s="3">
        <v>0</v>
      </c>
      <c r="Z24" s="3">
        <v>46636364</v>
      </c>
      <c r="AA24" s="3">
        <v>0</v>
      </c>
      <c r="AB24" s="3">
        <v>14263636</v>
      </c>
      <c r="AC24" s="3">
        <v>0</v>
      </c>
      <c r="AD24" s="3">
        <v>34363636</v>
      </c>
      <c r="AE24" s="3">
        <v>20085017</v>
      </c>
      <c r="AF24" s="3">
        <v>15164142</v>
      </c>
      <c r="AG24" s="3">
        <v>0</v>
      </c>
      <c r="AH24" s="3">
        <v>475000000</v>
      </c>
    </row>
    <row r="25" spans="1:34" ht="15.75" customHeight="1" x14ac:dyDescent="0.25">
      <c r="A25" s="2">
        <v>24</v>
      </c>
      <c r="B25" s="2" t="s">
        <v>80</v>
      </c>
      <c r="C25" s="2" t="s">
        <v>81</v>
      </c>
      <c r="D25" s="3">
        <v>1</v>
      </c>
      <c r="E25" s="3">
        <v>15871570</v>
      </c>
      <c r="F25" s="3">
        <v>29283636</v>
      </c>
      <c r="G25" s="3">
        <v>0</v>
      </c>
      <c r="H25" s="3">
        <v>0</v>
      </c>
      <c r="I25" s="3">
        <v>2</v>
      </c>
      <c r="J25" s="3">
        <v>45155206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29283636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5.75" customHeight="1" x14ac:dyDescent="0.25">
      <c r="A26" s="2">
        <v>25</v>
      </c>
      <c r="B26" s="2" t="s">
        <v>82</v>
      </c>
      <c r="C26" s="2" t="s">
        <v>83</v>
      </c>
      <c r="D26" s="3">
        <v>23</v>
      </c>
      <c r="E26" s="3">
        <v>337550257</v>
      </c>
      <c r="F26" s="3">
        <v>331699088</v>
      </c>
      <c r="G26" s="3">
        <v>271409092</v>
      </c>
      <c r="H26" s="3">
        <v>354052784.67314529</v>
      </c>
      <c r="I26" s="3">
        <v>25</v>
      </c>
      <c r="J26" s="3">
        <v>315196560.32685471</v>
      </c>
      <c r="K26" s="3">
        <v>0</v>
      </c>
      <c r="L26" s="3">
        <v>0</v>
      </c>
      <c r="M26" s="3">
        <v>22216364</v>
      </c>
      <c r="N26" s="3">
        <v>23809091</v>
      </c>
      <c r="O26" s="3">
        <v>0</v>
      </c>
      <c r="P26" s="3">
        <v>30400000</v>
      </c>
      <c r="Q26" s="3">
        <v>0</v>
      </c>
      <c r="R26" s="3">
        <v>13590909</v>
      </c>
      <c r="S26" s="3">
        <v>13954545</v>
      </c>
      <c r="T26" s="3">
        <v>127727273</v>
      </c>
      <c r="U26" s="3">
        <v>0</v>
      </c>
      <c r="V26" s="3">
        <v>29081819</v>
      </c>
      <c r="W26" s="3">
        <v>14081818</v>
      </c>
      <c r="X26" s="3">
        <v>14990909</v>
      </c>
      <c r="Y26" s="3">
        <v>0</v>
      </c>
      <c r="Z26" s="3">
        <v>0</v>
      </c>
      <c r="AA26" s="3">
        <v>117490909</v>
      </c>
      <c r="AB26" s="3">
        <v>15627273</v>
      </c>
      <c r="AC26" s="3">
        <v>0</v>
      </c>
      <c r="AD26" s="3">
        <v>0</v>
      </c>
      <c r="AE26" s="3">
        <v>0</v>
      </c>
      <c r="AF26" s="3">
        <v>16181818</v>
      </c>
      <c r="AG26" s="3">
        <v>163955452</v>
      </c>
      <c r="AH26" s="3">
        <v>0</v>
      </c>
    </row>
    <row r="27" spans="1:34" ht="15.75" customHeight="1" x14ac:dyDescent="0.25">
      <c r="A27" s="2">
        <v>26</v>
      </c>
      <c r="B27" s="2" t="s">
        <v>84</v>
      </c>
      <c r="C27" s="2" t="s">
        <v>85</v>
      </c>
      <c r="D27" s="3">
        <v>2</v>
      </c>
      <c r="E27" s="3">
        <v>31612229</v>
      </c>
      <c r="F27" s="3">
        <v>17818182</v>
      </c>
      <c r="G27" s="3">
        <v>24950000</v>
      </c>
      <c r="H27" s="3">
        <v>20565748.02360592</v>
      </c>
      <c r="I27" s="3">
        <v>2</v>
      </c>
      <c r="J27" s="3">
        <v>28864662.97639408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17818182</v>
      </c>
      <c r="AD27" s="3">
        <v>24950000</v>
      </c>
      <c r="AE27" s="3">
        <v>0</v>
      </c>
      <c r="AF27" s="3">
        <v>0</v>
      </c>
      <c r="AG27" s="3">
        <v>0</v>
      </c>
      <c r="AH27" s="3">
        <v>0</v>
      </c>
    </row>
    <row r="28" spans="1:34" ht="15.75" customHeight="1" x14ac:dyDescent="0.25">
      <c r="A28" s="2">
        <v>27</v>
      </c>
      <c r="B28" s="2" t="s">
        <v>86</v>
      </c>
      <c r="C28" s="2" t="s">
        <v>87</v>
      </c>
      <c r="D28" s="3">
        <v>11</v>
      </c>
      <c r="E28" s="3">
        <v>91534934</v>
      </c>
      <c r="F28" s="3">
        <v>12272727</v>
      </c>
      <c r="G28" s="3">
        <v>56595453</v>
      </c>
      <c r="H28" s="3">
        <v>59801055.207501359</v>
      </c>
      <c r="I28" s="3">
        <v>7</v>
      </c>
      <c r="J28" s="3">
        <v>44006605.792498648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12272727</v>
      </c>
      <c r="Z28" s="3">
        <v>0</v>
      </c>
      <c r="AA28" s="3">
        <v>0</v>
      </c>
      <c r="AB28" s="3">
        <v>12322727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44272726</v>
      </c>
    </row>
    <row r="29" spans="1:34" ht="15.75" customHeight="1" x14ac:dyDescent="0.25">
      <c r="A29" s="2">
        <v>28</v>
      </c>
      <c r="B29" s="2" t="s">
        <v>88</v>
      </c>
      <c r="C29" s="2" t="s">
        <v>89</v>
      </c>
      <c r="D29" s="3">
        <v>46</v>
      </c>
      <c r="E29" s="3">
        <v>291977142</v>
      </c>
      <c r="F29" s="3">
        <v>287518181</v>
      </c>
      <c r="G29" s="3">
        <v>249345453</v>
      </c>
      <c r="H29" s="3">
        <v>165387166.9873206</v>
      </c>
      <c r="I29" s="3">
        <v>83</v>
      </c>
      <c r="J29" s="3">
        <v>414108156.0126794</v>
      </c>
      <c r="K29" s="3">
        <v>0</v>
      </c>
      <c r="L29" s="3">
        <v>0</v>
      </c>
      <c r="M29" s="3">
        <v>0</v>
      </c>
      <c r="N29" s="3">
        <v>0</v>
      </c>
      <c r="O29" s="3">
        <v>24545454</v>
      </c>
      <c r="P29" s="3">
        <v>17272727</v>
      </c>
      <c r="Q29" s="3">
        <v>15454545</v>
      </c>
      <c r="R29" s="3">
        <v>15545455</v>
      </c>
      <c r="S29" s="3">
        <v>23881818</v>
      </c>
      <c r="T29" s="3">
        <v>25454545</v>
      </c>
      <c r="U29" s="3">
        <v>0</v>
      </c>
      <c r="V29" s="3">
        <v>0</v>
      </c>
      <c r="W29" s="3">
        <v>17909091</v>
      </c>
      <c r="X29" s="3">
        <v>34181818</v>
      </c>
      <c r="Y29" s="3">
        <v>103454546</v>
      </c>
      <c r="Z29" s="3">
        <v>44718182</v>
      </c>
      <c r="AA29" s="3">
        <v>28909091</v>
      </c>
      <c r="AB29" s="3">
        <v>28909090</v>
      </c>
      <c r="AC29" s="3">
        <v>0</v>
      </c>
      <c r="AD29" s="3">
        <v>0</v>
      </c>
      <c r="AE29" s="3">
        <v>43363636</v>
      </c>
      <c r="AF29" s="3">
        <v>67681818</v>
      </c>
      <c r="AG29" s="3">
        <v>30000000</v>
      </c>
      <c r="AH29" s="3">
        <v>15581818</v>
      </c>
    </row>
    <row r="30" spans="1:34" ht="15.75" customHeight="1" x14ac:dyDescent="0.25">
      <c r="A30" s="2">
        <v>29</v>
      </c>
      <c r="B30" s="2" t="s">
        <v>90</v>
      </c>
      <c r="C30" s="2" t="s">
        <v>91</v>
      </c>
      <c r="D30" s="3">
        <v>94</v>
      </c>
      <c r="E30" s="3">
        <v>913210178</v>
      </c>
      <c r="F30" s="3">
        <v>990398021</v>
      </c>
      <c r="G30" s="3">
        <v>692663637</v>
      </c>
      <c r="H30" s="3">
        <v>924831931.81500053</v>
      </c>
      <c r="I30" s="3">
        <v>117</v>
      </c>
      <c r="J30" s="3">
        <v>978776267.18499947</v>
      </c>
      <c r="K30" s="3">
        <v>0</v>
      </c>
      <c r="L30" s="3">
        <v>0</v>
      </c>
      <c r="M30" s="3">
        <v>0</v>
      </c>
      <c r="N30" s="3">
        <v>21718181</v>
      </c>
      <c r="O30" s="3">
        <v>0</v>
      </c>
      <c r="P30" s="3">
        <v>25590909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34873636</v>
      </c>
      <c r="X30" s="3">
        <v>50627272</v>
      </c>
      <c r="Y30" s="3">
        <v>412194543</v>
      </c>
      <c r="Z30" s="3">
        <v>211454547</v>
      </c>
      <c r="AA30" s="3">
        <v>228130363</v>
      </c>
      <c r="AB30" s="3">
        <v>193454546</v>
      </c>
      <c r="AC30" s="3">
        <v>106300000</v>
      </c>
      <c r="AD30" s="3">
        <v>0</v>
      </c>
      <c r="AE30" s="3">
        <v>46808765</v>
      </c>
      <c r="AF30" s="3">
        <v>73781818</v>
      </c>
      <c r="AG30" s="3">
        <v>162090714</v>
      </c>
      <c r="AH30" s="3">
        <v>116036364</v>
      </c>
    </row>
    <row r="31" spans="1:34" ht="15.75" customHeight="1" x14ac:dyDescent="0.25">
      <c r="A31" s="2">
        <v>30</v>
      </c>
      <c r="B31" s="2" t="s">
        <v>92</v>
      </c>
      <c r="C31" s="2" t="s">
        <v>93</v>
      </c>
      <c r="D31" s="3">
        <v>180</v>
      </c>
      <c r="E31" s="3">
        <v>1593761637</v>
      </c>
      <c r="F31" s="3">
        <v>1268061818</v>
      </c>
      <c r="G31" s="3">
        <v>1232663638</v>
      </c>
      <c r="H31" s="3">
        <v>1540168849.2321219</v>
      </c>
      <c r="I31" s="3">
        <v>181</v>
      </c>
      <c r="J31" s="3">
        <v>1321654605.7678781</v>
      </c>
      <c r="K31" s="3">
        <v>275481818</v>
      </c>
      <c r="L31" s="3">
        <v>79054546</v>
      </c>
      <c r="M31" s="3">
        <v>429754545</v>
      </c>
      <c r="N31" s="3">
        <v>174345454</v>
      </c>
      <c r="O31" s="3">
        <v>94270000</v>
      </c>
      <c r="P31" s="3">
        <v>266354546</v>
      </c>
      <c r="Q31" s="3">
        <v>0</v>
      </c>
      <c r="R31" s="3">
        <v>103536364</v>
      </c>
      <c r="S31" s="3">
        <v>0</v>
      </c>
      <c r="T31" s="3">
        <v>69472728</v>
      </c>
      <c r="U31" s="3">
        <v>0</v>
      </c>
      <c r="V31" s="3">
        <v>65399999</v>
      </c>
      <c r="W31" s="3">
        <v>41227273</v>
      </c>
      <c r="X31" s="3">
        <v>39572727</v>
      </c>
      <c r="Y31" s="3">
        <v>19620000</v>
      </c>
      <c r="Z31" s="3">
        <v>31472727</v>
      </c>
      <c r="AA31" s="3">
        <v>123681818</v>
      </c>
      <c r="AB31" s="3">
        <v>58581817</v>
      </c>
      <c r="AC31" s="3">
        <v>68190000</v>
      </c>
      <c r="AD31" s="3">
        <v>68045456</v>
      </c>
      <c r="AE31" s="3">
        <v>215836364</v>
      </c>
      <c r="AF31" s="3">
        <v>260109092</v>
      </c>
      <c r="AG31" s="3">
        <v>0</v>
      </c>
      <c r="AH31" s="3">
        <v>16718182</v>
      </c>
    </row>
    <row r="32" spans="1:34" ht="15.75" customHeight="1" x14ac:dyDescent="0.25">
      <c r="A32" s="2">
        <v>31</v>
      </c>
      <c r="B32" s="2" t="s">
        <v>94</v>
      </c>
      <c r="C32" s="2" t="s">
        <v>95</v>
      </c>
      <c r="D32" s="3">
        <v>3</v>
      </c>
      <c r="E32" s="3">
        <v>53108133</v>
      </c>
      <c r="F32" s="3">
        <v>40181818</v>
      </c>
      <c r="G32" s="3">
        <v>41081818</v>
      </c>
      <c r="H32" s="3">
        <v>47007023.285684288</v>
      </c>
      <c r="I32" s="3">
        <v>3</v>
      </c>
      <c r="J32" s="3">
        <v>46282927.71431572</v>
      </c>
      <c r="K32" s="3">
        <v>0</v>
      </c>
      <c r="L32" s="3">
        <v>0</v>
      </c>
      <c r="M32" s="3">
        <v>0</v>
      </c>
      <c r="N32" s="3">
        <v>0</v>
      </c>
      <c r="O32" s="3">
        <v>23363636</v>
      </c>
      <c r="P32" s="3">
        <v>23363636</v>
      </c>
      <c r="Q32" s="3">
        <v>16818182</v>
      </c>
      <c r="R32" s="3">
        <v>17718182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5.75" customHeight="1" x14ac:dyDescent="0.25">
      <c r="A33" s="2">
        <v>32</v>
      </c>
      <c r="B33" s="2" t="s">
        <v>96</v>
      </c>
      <c r="C33" s="2" t="s">
        <v>97</v>
      </c>
      <c r="D33" s="3">
        <v>47</v>
      </c>
      <c r="E33" s="3">
        <v>101090592</v>
      </c>
      <c r="F33" s="3">
        <v>153681768</v>
      </c>
      <c r="G33" s="3">
        <v>30989092</v>
      </c>
      <c r="H33" s="3">
        <v>34965983.102650903</v>
      </c>
      <c r="I33" s="3">
        <v>106</v>
      </c>
      <c r="J33" s="3">
        <v>219806376.89734909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64590888</v>
      </c>
      <c r="AB33" s="3">
        <v>11136364</v>
      </c>
      <c r="AC33" s="3">
        <v>0</v>
      </c>
      <c r="AD33" s="3">
        <v>0</v>
      </c>
      <c r="AE33" s="3">
        <v>89090880</v>
      </c>
      <c r="AF33" s="3">
        <v>2354545</v>
      </c>
      <c r="AG33" s="3">
        <v>0</v>
      </c>
      <c r="AH33" s="3">
        <v>17498183</v>
      </c>
    </row>
    <row r="34" spans="1:34" ht="15.75" customHeight="1" x14ac:dyDescent="0.25">
      <c r="A34" s="2">
        <v>33</v>
      </c>
      <c r="B34" s="2" t="s">
        <v>98</v>
      </c>
      <c r="C34" s="2" t="s">
        <v>99</v>
      </c>
      <c r="D34" s="3">
        <v>21</v>
      </c>
      <c r="E34" s="3">
        <v>338546554</v>
      </c>
      <c r="F34" s="3">
        <v>407022294.63303632</v>
      </c>
      <c r="G34" s="3">
        <v>215763635</v>
      </c>
      <c r="H34" s="3">
        <v>271351500.00002128</v>
      </c>
      <c r="I34" s="3">
        <v>32</v>
      </c>
      <c r="J34" s="3">
        <v>474217348.63301492</v>
      </c>
      <c r="K34" s="3">
        <v>0</v>
      </c>
      <c r="L34" s="3">
        <v>0</v>
      </c>
      <c r="M34" s="3">
        <v>155322540.63805211</v>
      </c>
      <c r="N34" s="3">
        <v>17700000</v>
      </c>
      <c r="O34" s="3">
        <v>61881818</v>
      </c>
      <c r="P34" s="3">
        <v>14545455</v>
      </c>
      <c r="Q34" s="3">
        <v>0</v>
      </c>
      <c r="R34" s="3">
        <v>13727273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49318180</v>
      </c>
      <c r="Y34" s="3">
        <v>118354545</v>
      </c>
      <c r="Z34" s="3">
        <v>0</v>
      </c>
      <c r="AA34" s="3">
        <v>15127273</v>
      </c>
      <c r="AB34" s="3">
        <v>33818182</v>
      </c>
      <c r="AC34" s="3">
        <v>15127273</v>
      </c>
      <c r="AD34" s="3">
        <v>35954546</v>
      </c>
      <c r="AE34" s="3">
        <v>27425679.168102879</v>
      </c>
      <c r="AF34" s="3">
        <v>0</v>
      </c>
      <c r="AG34" s="3">
        <v>13783165.82688126</v>
      </c>
      <c r="AH34" s="3">
        <v>50699999</v>
      </c>
    </row>
    <row r="35" spans="1:34" ht="15.75" customHeight="1" x14ac:dyDescent="0.25">
      <c r="A35" s="2">
        <v>34</v>
      </c>
      <c r="B35" s="2" t="s">
        <v>100</v>
      </c>
      <c r="C35" s="2" t="s">
        <v>101</v>
      </c>
      <c r="D35" s="3">
        <v>8</v>
      </c>
      <c r="E35" s="3">
        <v>82338594</v>
      </c>
      <c r="F35" s="3">
        <v>121890909</v>
      </c>
      <c r="G35" s="3">
        <v>28181818</v>
      </c>
      <c r="H35" s="3">
        <v>42485308.261793233</v>
      </c>
      <c r="I35" s="3">
        <v>15</v>
      </c>
      <c r="J35" s="3">
        <v>161744194.7382068</v>
      </c>
      <c r="K35" s="3">
        <v>0</v>
      </c>
      <c r="L35" s="3">
        <v>0</v>
      </c>
      <c r="M35" s="3">
        <v>44545455</v>
      </c>
      <c r="N35" s="3">
        <v>0</v>
      </c>
      <c r="O35" s="3">
        <v>77345454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28181818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5.75" customHeight="1" x14ac:dyDescent="0.25">
      <c r="A36" s="2">
        <v>35</v>
      </c>
      <c r="B36" s="2" t="s">
        <v>102</v>
      </c>
      <c r="C36" s="2" t="s">
        <v>103</v>
      </c>
      <c r="D36" s="3">
        <v>37</v>
      </c>
      <c r="E36" s="3">
        <v>226208575</v>
      </c>
      <c r="F36" s="3">
        <v>219163639</v>
      </c>
      <c r="G36" s="3">
        <v>196354546</v>
      </c>
      <c r="H36" s="3">
        <v>220086011.3856644</v>
      </c>
      <c r="I36" s="3">
        <v>50</v>
      </c>
      <c r="J36" s="3">
        <v>225286202.6143356</v>
      </c>
      <c r="K36" s="3">
        <v>0</v>
      </c>
      <c r="L36" s="3">
        <v>0</v>
      </c>
      <c r="M36" s="3">
        <v>0</v>
      </c>
      <c r="N36" s="3">
        <v>0</v>
      </c>
      <c r="O36" s="3">
        <v>135000000</v>
      </c>
      <c r="P36" s="3">
        <v>35045455</v>
      </c>
      <c r="Q36" s="3">
        <v>0</v>
      </c>
      <c r="R36" s="3">
        <v>0</v>
      </c>
      <c r="S36" s="3">
        <v>0</v>
      </c>
      <c r="T36" s="3">
        <v>58909091</v>
      </c>
      <c r="U36" s="3">
        <v>15090909</v>
      </c>
      <c r="V36" s="3">
        <v>20636364</v>
      </c>
      <c r="W36" s="3">
        <v>23172727</v>
      </c>
      <c r="X36" s="3">
        <v>33081818</v>
      </c>
      <c r="Y36" s="3">
        <v>26718184</v>
      </c>
      <c r="Z36" s="3">
        <v>6954545</v>
      </c>
      <c r="AA36" s="3">
        <v>13090910</v>
      </c>
      <c r="AB36" s="3">
        <v>41727273</v>
      </c>
      <c r="AC36" s="3">
        <v>0</v>
      </c>
      <c r="AD36" s="3">
        <v>0</v>
      </c>
      <c r="AE36" s="3">
        <v>2727273</v>
      </c>
      <c r="AF36" s="3">
        <v>0</v>
      </c>
      <c r="AG36" s="3">
        <v>3363636</v>
      </c>
      <c r="AH36" s="3">
        <v>0</v>
      </c>
    </row>
    <row r="37" spans="1:34" ht="15.75" customHeight="1" x14ac:dyDescent="0.25">
      <c r="A37" s="2">
        <v>36</v>
      </c>
      <c r="B37" s="2" t="s">
        <v>104</v>
      </c>
      <c r="C37" s="2" t="s">
        <v>105</v>
      </c>
      <c r="D37" s="3">
        <v>108</v>
      </c>
      <c r="E37" s="3">
        <v>377858644</v>
      </c>
      <c r="F37" s="3">
        <v>66718181</v>
      </c>
      <c r="G37" s="3">
        <v>298590908</v>
      </c>
      <c r="H37" s="3">
        <v>198169257.08537599</v>
      </c>
      <c r="I37" s="3">
        <v>102</v>
      </c>
      <c r="J37" s="3">
        <v>246407567.91462389</v>
      </c>
      <c r="K37" s="3">
        <v>0</v>
      </c>
      <c r="L37" s="3">
        <v>0</v>
      </c>
      <c r="M37" s="3">
        <v>55909091</v>
      </c>
      <c r="N37" s="3">
        <v>279818181</v>
      </c>
      <c r="O37" s="3">
        <v>0</v>
      </c>
      <c r="P37" s="3">
        <v>1363636</v>
      </c>
      <c r="Q37" s="3">
        <v>6363636</v>
      </c>
      <c r="R37" s="3">
        <v>1445456</v>
      </c>
      <c r="S37" s="3">
        <v>0</v>
      </c>
      <c r="T37" s="3">
        <v>0</v>
      </c>
      <c r="U37" s="3">
        <v>0</v>
      </c>
      <c r="V37" s="3">
        <v>1172727</v>
      </c>
      <c r="W37" s="3">
        <v>0</v>
      </c>
      <c r="X37" s="3">
        <v>0</v>
      </c>
      <c r="Y37" s="3">
        <v>4445454</v>
      </c>
      <c r="Z37" s="3">
        <v>1481818</v>
      </c>
      <c r="AA37" s="3">
        <v>0</v>
      </c>
      <c r="AB37" s="3">
        <v>0</v>
      </c>
      <c r="AC37" s="3">
        <v>0</v>
      </c>
      <c r="AD37" s="3">
        <v>1454545</v>
      </c>
      <c r="AE37" s="3">
        <v>0</v>
      </c>
      <c r="AF37" s="3">
        <v>1445454</v>
      </c>
      <c r="AG37" s="3">
        <v>0</v>
      </c>
      <c r="AH37" s="3">
        <v>10409091</v>
      </c>
    </row>
    <row r="38" spans="1:34" ht="15.75" customHeight="1" x14ac:dyDescent="0.25">
      <c r="A38" s="2">
        <v>37</v>
      </c>
      <c r="B38" s="2" t="s">
        <v>106</v>
      </c>
      <c r="C38" s="2" t="s">
        <v>107</v>
      </c>
      <c r="D38" s="3">
        <v>131</v>
      </c>
      <c r="E38" s="3">
        <v>649849362</v>
      </c>
      <c r="F38" s="3">
        <v>812727536</v>
      </c>
      <c r="G38" s="3">
        <v>384423636</v>
      </c>
      <c r="H38" s="3">
        <v>343593778.9286176</v>
      </c>
      <c r="I38" s="3">
        <v>250</v>
      </c>
      <c r="J38" s="3">
        <v>1118983119.071382</v>
      </c>
      <c r="K38" s="3">
        <v>0</v>
      </c>
      <c r="L38" s="3">
        <v>0</v>
      </c>
      <c r="M38" s="3">
        <v>10854546</v>
      </c>
      <c r="N38" s="3">
        <v>13427273</v>
      </c>
      <c r="O38" s="3">
        <v>86645452</v>
      </c>
      <c r="P38" s="3">
        <v>20272728</v>
      </c>
      <c r="Q38" s="3">
        <v>0</v>
      </c>
      <c r="R38" s="3">
        <v>37036363</v>
      </c>
      <c r="S38" s="3">
        <v>26090909</v>
      </c>
      <c r="T38" s="3">
        <v>28154546</v>
      </c>
      <c r="U38" s="3">
        <v>43317935</v>
      </c>
      <c r="V38" s="3">
        <v>43218181</v>
      </c>
      <c r="W38" s="3">
        <v>13512740</v>
      </c>
      <c r="X38" s="3">
        <v>22509090</v>
      </c>
      <c r="Y38" s="3">
        <v>40120686</v>
      </c>
      <c r="Z38" s="3">
        <v>32163637</v>
      </c>
      <c r="AA38" s="3">
        <v>62331903</v>
      </c>
      <c r="AB38" s="3">
        <v>26654545</v>
      </c>
      <c r="AC38" s="3">
        <v>36540479</v>
      </c>
      <c r="AD38" s="3">
        <v>24232727</v>
      </c>
      <c r="AE38" s="3">
        <v>72030165</v>
      </c>
      <c r="AF38" s="3">
        <v>65209092</v>
      </c>
      <c r="AG38" s="3">
        <v>421282721</v>
      </c>
      <c r="AH38" s="3">
        <v>71545454</v>
      </c>
    </row>
    <row r="39" spans="1:34" ht="15.75" customHeight="1" x14ac:dyDescent="0.25">
      <c r="A39" s="2">
        <v>38</v>
      </c>
      <c r="B39" s="2" t="s">
        <v>108</v>
      </c>
      <c r="C39" s="2" t="s">
        <v>109</v>
      </c>
      <c r="D39" s="3">
        <v>124</v>
      </c>
      <c r="E39" s="3">
        <v>735085682</v>
      </c>
      <c r="F39" s="3">
        <v>888442625.31588054</v>
      </c>
      <c r="G39" s="3">
        <v>465972723</v>
      </c>
      <c r="H39" s="3">
        <v>360422836.74629879</v>
      </c>
      <c r="I39" s="3">
        <v>244</v>
      </c>
      <c r="J39" s="3">
        <v>1263105470.569582</v>
      </c>
      <c r="K39" s="3">
        <v>17822354</v>
      </c>
      <c r="L39" s="3">
        <v>27845454</v>
      </c>
      <c r="M39" s="3">
        <v>36673894</v>
      </c>
      <c r="N39" s="3">
        <v>18145455</v>
      </c>
      <c r="O39" s="3">
        <v>77834882</v>
      </c>
      <c r="P39" s="3">
        <v>3354545</v>
      </c>
      <c r="Q39" s="3">
        <v>17089043</v>
      </c>
      <c r="R39" s="3">
        <v>48481818</v>
      </c>
      <c r="S39" s="3">
        <v>16111677</v>
      </c>
      <c r="T39" s="3">
        <v>41709090</v>
      </c>
      <c r="U39" s="3">
        <v>39861680</v>
      </c>
      <c r="V39" s="3">
        <v>66909091</v>
      </c>
      <c r="W39" s="3">
        <v>91697544</v>
      </c>
      <c r="X39" s="3">
        <v>16545455</v>
      </c>
      <c r="Y39" s="3">
        <v>116019201</v>
      </c>
      <c r="Z39" s="3">
        <v>29254544</v>
      </c>
      <c r="AA39" s="3">
        <v>46884233</v>
      </c>
      <c r="AB39" s="3">
        <v>24763636</v>
      </c>
      <c r="AC39" s="3">
        <v>34770330.949648216</v>
      </c>
      <c r="AD39" s="3">
        <v>73054547</v>
      </c>
      <c r="AE39" s="3">
        <v>149805062.36623231</v>
      </c>
      <c r="AF39" s="3">
        <v>3809091</v>
      </c>
      <c r="AG39" s="3">
        <v>243872724</v>
      </c>
      <c r="AH39" s="3">
        <v>112099997</v>
      </c>
    </row>
    <row r="40" spans="1:34" ht="15.75" customHeight="1" x14ac:dyDescent="0.25">
      <c r="A40" s="2">
        <v>39</v>
      </c>
      <c r="B40" s="2" t="s">
        <v>110</v>
      </c>
      <c r="C40" s="2" t="s">
        <v>111</v>
      </c>
      <c r="D40" s="3">
        <v>19</v>
      </c>
      <c r="E40" s="3">
        <v>108913756</v>
      </c>
      <c r="F40" s="3">
        <v>131577614.8021511</v>
      </c>
      <c r="G40" s="3">
        <v>67527273</v>
      </c>
      <c r="H40" s="3">
        <v>30784203.349844191</v>
      </c>
      <c r="I40" s="3">
        <v>43</v>
      </c>
      <c r="J40" s="3">
        <v>209707167.4523069</v>
      </c>
      <c r="K40" s="3">
        <v>2751980</v>
      </c>
      <c r="L40" s="3">
        <v>0</v>
      </c>
      <c r="M40" s="3">
        <v>7585664</v>
      </c>
      <c r="N40" s="3">
        <v>16809091</v>
      </c>
      <c r="O40" s="3">
        <v>30264182</v>
      </c>
      <c r="P40" s="3">
        <v>0</v>
      </c>
      <c r="Q40" s="3">
        <v>233133</v>
      </c>
      <c r="R40" s="3">
        <v>0</v>
      </c>
      <c r="S40" s="3">
        <v>4719290</v>
      </c>
      <c r="T40" s="3">
        <v>0</v>
      </c>
      <c r="U40" s="3">
        <v>6016243</v>
      </c>
      <c r="V40" s="3">
        <v>0</v>
      </c>
      <c r="W40" s="3">
        <v>1037957</v>
      </c>
      <c r="X40" s="3">
        <v>0</v>
      </c>
      <c r="Y40" s="3">
        <v>5227273</v>
      </c>
      <c r="Z40" s="3">
        <v>0</v>
      </c>
      <c r="AA40" s="3">
        <v>15454545</v>
      </c>
      <c r="AB40" s="3">
        <v>0</v>
      </c>
      <c r="AC40" s="3">
        <v>0</v>
      </c>
      <c r="AD40" s="3">
        <v>0</v>
      </c>
      <c r="AE40" s="3">
        <v>58287347.802151129</v>
      </c>
      <c r="AF40" s="3">
        <v>15081818</v>
      </c>
      <c r="AG40" s="3">
        <v>0</v>
      </c>
      <c r="AH40" s="3">
        <v>35636364</v>
      </c>
    </row>
    <row r="41" spans="1:34" ht="15.75" customHeight="1" x14ac:dyDescent="0.25">
      <c r="A41" s="2">
        <v>40</v>
      </c>
      <c r="B41" s="2" t="s">
        <v>112</v>
      </c>
      <c r="C41" s="2" t="s">
        <v>113</v>
      </c>
      <c r="D41" s="3">
        <v>51</v>
      </c>
      <c r="E41" s="3">
        <v>204830418</v>
      </c>
      <c r="F41" s="3">
        <v>221811054</v>
      </c>
      <c r="G41" s="3">
        <v>154263638</v>
      </c>
      <c r="H41" s="3">
        <v>178049543.19693151</v>
      </c>
      <c r="I41" s="3">
        <v>72</v>
      </c>
      <c r="J41" s="3">
        <v>248591928.8030684</v>
      </c>
      <c r="K41" s="3">
        <v>104481308</v>
      </c>
      <c r="L41" s="3">
        <v>8518182</v>
      </c>
      <c r="M41" s="3">
        <v>29738182</v>
      </c>
      <c r="N41" s="3">
        <v>10145454</v>
      </c>
      <c r="O41" s="3">
        <v>4818182</v>
      </c>
      <c r="P41" s="3">
        <v>24827273</v>
      </c>
      <c r="Q41" s="3">
        <v>77965709</v>
      </c>
      <c r="R41" s="3">
        <v>0</v>
      </c>
      <c r="S41" s="3">
        <v>0</v>
      </c>
      <c r="T41" s="3">
        <v>18563636</v>
      </c>
      <c r="U41" s="3">
        <v>0</v>
      </c>
      <c r="V41" s="3">
        <v>5136364</v>
      </c>
      <c r="W41" s="3">
        <v>0</v>
      </c>
      <c r="X41" s="3">
        <v>21036363</v>
      </c>
      <c r="Y41" s="3">
        <v>0</v>
      </c>
      <c r="Z41" s="3">
        <v>8581819</v>
      </c>
      <c r="AA41" s="3">
        <v>0</v>
      </c>
      <c r="AB41" s="3">
        <v>13218181</v>
      </c>
      <c r="AC41" s="3">
        <v>0</v>
      </c>
      <c r="AD41" s="3">
        <v>3354545</v>
      </c>
      <c r="AE41" s="3">
        <v>4807673</v>
      </c>
      <c r="AF41" s="3">
        <v>10072728</v>
      </c>
      <c r="AG41" s="3">
        <v>0</v>
      </c>
      <c r="AH41" s="3">
        <v>30809093</v>
      </c>
    </row>
    <row r="42" spans="1:34" ht="15.75" customHeight="1" x14ac:dyDescent="0.25">
      <c r="A42" s="2">
        <v>41</v>
      </c>
      <c r="B42" s="2" t="s">
        <v>114</v>
      </c>
      <c r="C42" s="2" t="s">
        <v>115</v>
      </c>
      <c r="D42" s="3">
        <v>401</v>
      </c>
      <c r="E42" s="3">
        <v>1021086203</v>
      </c>
      <c r="F42" s="3">
        <v>794549605</v>
      </c>
      <c r="G42" s="3">
        <v>767154545</v>
      </c>
      <c r="H42" s="3">
        <v>1014987455.7398109</v>
      </c>
      <c r="I42" s="3">
        <v>386</v>
      </c>
      <c r="J42" s="3">
        <v>800648352.26018918</v>
      </c>
      <c r="K42" s="3">
        <v>432554548</v>
      </c>
      <c r="L42" s="3">
        <v>126936364</v>
      </c>
      <c r="M42" s="3">
        <v>185409018</v>
      </c>
      <c r="N42" s="3">
        <v>122768179</v>
      </c>
      <c r="O42" s="3">
        <v>0</v>
      </c>
      <c r="P42" s="3">
        <v>41240909</v>
      </c>
      <c r="Q42" s="3">
        <v>157036365</v>
      </c>
      <c r="R42" s="3">
        <v>157772726</v>
      </c>
      <c r="S42" s="3">
        <v>0</v>
      </c>
      <c r="T42" s="3">
        <v>5072727</v>
      </c>
      <c r="U42" s="3">
        <v>0</v>
      </c>
      <c r="V42" s="3">
        <v>11318181</v>
      </c>
      <c r="W42" s="3">
        <v>0</v>
      </c>
      <c r="X42" s="3">
        <v>138145454</v>
      </c>
      <c r="Y42" s="3">
        <v>3254545</v>
      </c>
      <c r="Z42" s="3">
        <v>52718182</v>
      </c>
      <c r="AA42" s="3">
        <v>0</v>
      </c>
      <c r="AB42" s="3">
        <v>20636365</v>
      </c>
      <c r="AC42" s="3">
        <v>0</v>
      </c>
      <c r="AD42" s="3">
        <v>18090909</v>
      </c>
      <c r="AE42" s="3">
        <v>12267856</v>
      </c>
      <c r="AF42" s="3">
        <v>48545455</v>
      </c>
      <c r="AG42" s="3">
        <v>4027273</v>
      </c>
      <c r="AH42" s="3">
        <v>23909094</v>
      </c>
    </row>
    <row r="43" spans="1:34" ht="15.75" customHeight="1" x14ac:dyDescent="0.25">
      <c r="A43" s="2">
        <v>42</v>
      </c>
      <c r="B43" s="2" t="s">
        <v>116</v>
      </c>
      <c r="C43" s="2" t="s">
        <v>117</v>
      </c>
      <c r="D43" s="3">
        <v>571</v>
      </c>
      <c r="E43" s="3">
        <v>1321552776</v>
      </c>
      <c r="F43" s="3">
        <v>959570141.69401765</v>
      </c>
      <c r="G43" s="3">
        <v>1166432596</v>
      </c>
      <c r="H43" s="3">
        <v>1096691185.3590729</v>
      </c>
      <c r="I43" s="3">
        <v>682</v>
      </c>
      <c r="J43" s="3">
        <v>1184431732.334945</v>
      </c>
      <c r="K43" s="3">
        <v>58829872</v>
      </c>
      <c r="L43" s="3">
        <v>47854546</v>
      </c>
      <c r="M43" s="3">
        <v>70292728</v>
      </c>
      <c r="N43" s="3">
        <v>70509091</v>
      </c>
      <c r="O43" s="3">
        <v>22534362</v>
      </c>
      <c r="P43" s="3">
        <v>85218183</v>
      </c>
      <c r="Q43" s="3">
        <v>85054290</v>
      </c>
      <c r="R43" s="3">
        <v>61949999</v>
      </c>
      <c r="S43" s="3">
        <v>10309090.75628183</v>
      </c>
      <c r="T43" s="3">
        <v>75127274</v>
      </c>
      <c r="U43" s="3">
        <v>18240909</v>
      </c>
      <c r="V43" s="3">
        <v>66681819</v>
      </c>
      <c r="W43" s="3">
        <v>3431815</v>
      </c>
      <c r="X43" s="3">
        <v>123563635</v>
      </c>
      <c r="Y43" s="3">
        <v>30179799</v>
      </c>
      <c r="Z43" s="3">
        <v>94754412</v>
      </c>
      <c r="AA43" s="3">
        <v>103062728</v>
      </c>
      <c r="AB43" s="3">
        <v>79117274</v>
      </c>
      <c r="AC43" s="3">
        <v>119708183</v>
      </c>
      <c r="AD43" s="3">
        <v>111836369</v>
      </c>
      <c r="AE43" s="3">
        <v>81949091</v>
      </c>
      <c r="AF43" s="3">
        <v>70909092</v>
      </c>
      <c r="AG43" s="3">
        <v>355977273.93773592</v>
      </c>
      <c r="AH43" s="3">
        <v>278910902</v>
      </c>
    </row>
    <row r="44" spans="1:34" ht="15.75" customHeight="1" x14ac:dyDescent="0.25">
      <c r="A44" s="2">
        <v>43</v>
      </c>
      <c r="B44" s="2" t="s">
        <v>118</v>
      </c>
      <c r="C44" s="2" t="s">
        <v>119</v>
      </c>
      <c r="D44" s="3">
        <v>6</v>
      </c>
      <c r="E44" s="3">
        <v>24352573</v>
      </c>
      <c r="F44" s="3">
        <v>29545455.062264148</v>
      </c>
      <c r="G44" s="3">
        <v>13540910</v>
      </c>
      <c r="H44" s="3">
        <v>15326686.592220221</v>
      </c>
      <c r="I44" s="3">
        <v>10</v>
      </c>
      <c r="J44" s="3">
        <v>38571341.470043927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9363637</v>
      </c>
      <c r="AG44" s="3">
        <v>29545455.062264148</v>
      </c>
      <c r="AH44" s="3">
        <v>4177273</v>
      </c>
    </row>
    <row r="45" spans="1:34" ht="15.75" customHeight="1" x14ac:dyDescent="0.25">
      <c r="A45" s="2">
        <v>44</v>
      </c>
      <c r="B45" s="2" t="s">
        <v>120</v>
      </c>
      <c r="C45" s="2" t="s">
        <v>121</v>
      </c>
      <c r="D45" s="3">
        <v>14</v>
      </c>
      <c r="E45" s="3">
        <v>84866751</v>
      </c>
      <c r="F45" s="3">
        <v>86600908</v>
      </c>
      <c r="G45" s="3">
        <v>68136363</v>
      </c>
      <c r="H45" s="3">
        <v>58491815.914348938</v>
      </c>
      <c r="I45" s="3">
        <v>22</v>
      </c>
      <c r="J45" s="3">
        <v>112975843.0856511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24036364</v>
      </c>
      <c r="R45" s="3">
        <v>18409091</v>
      </c>
      <c r="S45" s="3">
        <v>10400000</v>
      </c>
      <c r="T45" s="3">
        <v>0</v>
      </c>
      <c r="U45" s="3">
        <v>0</v>
      </c>
      <c r="V45" s="3">
        <v>8545454</v>
      </c>
      <c r="W45" s="3">
        <v>7181818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21664544</v>
      </c>
      <c r="AD45" s="3">
        <v>19363636</v>
      </c>
      <c r="AE45" s="3">
        <v>11863636</v>
      </c>
      <c r="AF45" s="3">
        <v>14818182</v>
      </c>
      <c r="AG45" s="3">
        <v>11454546</v>
      </c>
      <c r="AH45" s="3">
        <v>7000000</v>
      </c>
    </row>
    <row r="46" spans="1:34" ht="15.75" customHeight="1" x14ac:dyDescent="0.25">
      <c r="A46" s="2">
        <v>45</v>
      </c>
      <c r="B46" s="2" t="s">
        <v>122</v>
      </c>
      <c r="C46" s="2" t="s">
        <v>123</v>
      </c>
      <c r="D46" s="3">
        <v>14</v>
      </c>
      <c r="E46" s="3">
        <v>66381785</v>
      </c>
      <c r="F46" s="3">
        <v>70236365</v>
      </c>
      <c r="G46" s="3">
        <v>50395456</v>
      </c>
      <c r="H46" s="3">
        <v>51800501.805334479</v>
      </c>
      <c r="I46" s="3">
        <v>22</v>
      </c>
      <c r="J46" s="3">
        <v>84817648.194665506</v>
      </c>
      <c r="K46" s="3">
        <v>9818182</v>
      </c>
      <c r="L46" s="3">
        <v>0</v>
      </c>
      <c r="M46" s="3">
        <v>15090910</v>
      </c>
      <c r="N46" s="3">
        <v>0</v>
      </c>
      <c r="O46" s="3">
        <v>10000000</v>
      </c>
      <c r="P46" s="3">
        <v>16518182</v>
      </c>
      <c r="Q46" s="3">
        <v>5363636</v>
      </c>
      <c r="R46" s="3">
        <v>5909091</v>
      </c>
      <c r="S46" s="3">
        <v>15545455</v>
      </c>
      <c r="T46" s="3">
        <v>14772728</v>
      </c>
      <c r="U46" s="3">
        <v>13090909</v>
      </c>
      <c r="V46" s="3">
        <v>13195455</v>
      </c>
      <c r="W46" s="3">
        <v>0</v>
      </c>
      <c r="X46" s="3">
        <v>0</v>
      </c>
      <c r="Y46" s="3">
        <v>0</v>
      </c>
      <c r="Z46" s="3">
        <v>0</v>
      </c>
      <c r="AA46" s="3">
        <v>418182</v>
      </c>
      <c r="AB46" s="3">
        <v>0</v>
      </c>
      <c r="AC46" s="3">
        <v>0</v>
      </c>
      <c r="AD46" s="3">
        <v>0</v>
      </c>
      <c r="AE46" s="3">
        <v>454545</v>
      </c>
      <c r="AF46" s="3">
        <v>0</v>
      </c>
      <c r="AG46" s="3">
        <v>454546</v>
      </c>
      <c r="AH46" s="3">
        <v>0</v>
      </c>
    </row>
    <row r="47" spans="1:34" ht="15.75" customHeight="1" x14ac:dyDescent="0.25">
      <c r="A47" s="2">
        <v>46</v>
      </c>
      <c r="B47" s="2" t="s">
        <v>124</v>
      </c>
      <c r="C47" s="2" t="s">
        <v>125</v>
      </c>
      <c r="D47" s="3">
        <v>18</v>
      </c>
      <c r="E47" s="3">
        <v>15131275</v>
      </c>
      <c r="F47" s="3">
        <v>16409091</v>
      </c>
      <c r="G47" s="3">
        <v>9663637</v>
      </c>
      <c r="H47" s="3">
        <v>8493538.0510640796</v>
      </c>
      <c r="I47" s="3">
        <v>32</v>
      </c>
      <c r="J47" s="3">
        <v>23046827.948935919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2481818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1490910</v>
      </c>
      <c r="Y47" s="3">
        <v>0</v>
      </c>
      <c r="Z47" s="3">
        <v>0</v>
      </c>
      <c r="AA47" s="3">
        <v>590909</v>
      </c>
      <c r="AB47" s="3">
        <v>2427273</v>
      </c>
      <c r="AC47" s="3">
        <v>0</v>
      </c>
      <c r="AD47" s="3">
        <v>0</v>
      </c>
      <c r="AE47" s="3">
        <v>2727273</v>
      </c>
      <c r="AF47" s="3">
        <v>3263636</v>
      </c>
      <c r="AG47" s="3">
        <v>13090909</v>
      </c>
      <c r="AH47" s="3">
        <v>0</v>
      </c>
    </row>
    <row r="48" spans="1:34" ht="15.75" customHeight="1" x14ac:dyDescent="0.25">
      <c r="A48" s="2">
        <v>47</v>
      </c>
      <c r="B48" s="2" t="s">
        <v>126</v>
      </c>
      <c r="C48" s="2" t="s">
        <v>127</v>
      </c>
      <c r="D48" s="3">
        <v>86</v>
      </c>
      <c r="E48" s="3">
        <v>39338730</v>
      </c>
      <c r="F48" s="3">
        <v>35781835</v>
      </c>
      <c r="G48" s="3">
        <v>34954545</v>
      </c>
      <c r="H48" s="3">
        <v>29024941.496072371</v>
      </c>
      <c r="I48" s="3">
        <v>127</v>
      </c>
      <c r="J48" s="3">
        <v>46095623.503927633</v>
      </c>
      <c r="K48" s="3">
        <v>5500000</v>
      </c>
      <c r="L48" s="3">
        <v>9281818</v>
      </c>
      <c r="M48" s="3">
        <v>17454560</v>
      </c>
      <c r="N48" s="3">
        <v>954545</v>
      </c>
      <c r="O48" s="3">
        <v>0</v>
      </c>
      <c r="P48" s="3">
        <v>3354545</v>
      </c>
      <c r="Q48" s="3">
        <v>3090910</v>
      </c>
      <c r="R48" s="3">
        <v>7727273</v>
      </c>
      <c r="S48" s="3">
        <v>5590905</v>
      </c>
      <c r="T48" s="3">
        <v>0</v>
      </c>
      <c r="U48" s="3">
        <v>4145460</v>
      </c>
      <c r="V48" s="3">
        <v>5145455</v>
      </c>
      <c r="W48" s="3">
        <v>0</v>
      </c>
      <c r="X48" s="3">
        <v>418182</v>
      </c>
      <c r="Y48" s="3">
        <v>0</v>
      </c>
      <c r="Z48" s="3">
        <v>0</v>
      </c>
      <c r="AA48" s="3">
        <v>0</v>
      </c>
      <c r="AB48" s="3">
        <v>3072727</v>
      </c>
      <c r="AC48" s="3">
        <v>0</v>
      </c>
      <c r="AD48" s="3">
        <v>0</v>
      </c>
      <c r="AE48" s="3">
        <v>0</v>
      </c>
      <c r="AF48" s="3">
        <v>5000000</v>
      </c>
      <c r="AG48" s="3">
        <v>0</v>
      </c>
      <c r="AH48" s="3">
        <v>0</v>
      </c>
    </row>
    <row r="49" spans="1:34" ht="15.75" customHeight="1" x14ac:dyDescent="0.25">
      <c r="A49" s="2">
        <v>48</v>
      </c>
      <c r="B49" s="2" t="s">
        <v>128</v>
      </c>
      <c r="C49" s="2" t="s">
        <v>129</v>
      </c>
      <c r="D49" s="3">
        <v>25</v>
      </c>
      <c r="E49" s="3">
        <v>192358070</v>
      </c>
      <c r="F49" s="3">
        <v>126627275</v>
      </c>
      <c r="G49" s="3">
        <v>146072727</v>
      </c>
      <c r="H49" s="3">
        <v>169468420.31322351</v>
      </c>
      <c r="I49" s="3">
        <v>24</v>
      </c>
      <c r="J49" s="3">
        <v>149516924.68677649</v>
      </c>
      <c r="K49" s="3">
        <v>7590909</v>
      </c>
      <c r="L49" s="3">
        <v>8318182</v>
      </c>
      <c r="M49" s="3">
        <v>8818182</v>
      </c>
      <c r="N49" s="3">
        <v>20809091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13090910</v>
      </c>
      <c r="V49" s="3">
        <v>14627272</v>
      </c>
      <c r="W49" s="3">
        <v>24163637</v>
      </c>
      <c r="X49" s="3">
        <v>26045455</v>
      </c>
      <c r="Y49" s="3">
        <v>8000000</v>
      </c>
      <c r="Z49" s="3">
        <v>18172727</v>
      </c>
      <c r="AA49" s="3">
        <v>12681818</v>
      </c>
      <c r="AB49" s="3">
        <v>6681818</v>
      </c>
      <c r="AC49" s="3">
        <v>16000000</v>
      </c>
      <c r="AD49" s="3">
        <v>17800000</v>
      </c>
      <c r="AE49" s="3">
        <v>30172728</v>
      </c>
      <c r="AF49" s="3">
        <v>26354546</v>
      </c>
      <c r="AG49" s="3">
        <v>6109091</v>
      </c>
      <c r="AH49" s="3">
        <v>7263636</v>
      </c>
    </row>
    <row r="50" spans="1:34" ht="15.75" customHeight="1" x14ac:dyDescent="0.25">
      <c r="A50" s="2">
        <v>49</v>
      </c>
      <c r="B50" s="2" t="s">
        <v>130</v>
      </c>
      <c r="C50" s="2" t="s">
        <v>131</v>
      </c>
      <c r="D50" s="3">
        <v>2</v>
      </c>
      <c r="E50" s="3">
        <v>937651</v>
      </c>
      <c r="F50" s="3">
        <v>1730000</v>
      </c>
      <c r="G50" s="3">
        <v>0</v>
      </c>
      <c r="H50" s="3">
        <v>0</v>
      </c>
      <c r="I50" s="3">
        <v>5</v>
      </c>
      <c r="J50" s="3">
        <v>2667651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250000</v>
      </c>
      <c r="AD50" s="3">
        <v>0</v>
      </c>
      <c r="AE50" s="3">
        <v>80000</v>
      </c>
      <c r="AF50" s="3">
        <v>0</v>
      </c>
      <c r="AG50" s="3">
        <v>1400000</v>
      </c>
      <c r="AH50" s="3">
        <v>0</v>
      </c>
    </row>
    <row r="51" spans="1:34" ht="15.75" customHeight="1" x14ac:dyDescent="0.25">
      <c r="A51" s="2">
        <v>50</v>
      </c>
      <c r="B51" s="2" t="s">
        <v>132</v>
      </c>
      <c r="C51" s="2" t="s">
        <v>133</v>
      </c>
      <c r="D51" s="3">
        <v>621</v>
      </c>
      <c r="E51" s="3">
        <v>202038092</v>
      </c>
      <c r="F51" s="3">
        <v>192695473</v>
      </c>
      <c r="G51" s="3">
        <v>178227274</v>
      </c>
      <c r="H51" s="3">
        <v>179484082.37012619</v>
      </c>
      <c r="I51" s="3">
        <v>823</v>
      </c>
      <c r="J51" s="3">
        <v>215249482.62987381</v>
      </c>
      <c r="K51" s="3">
        <v>0</v>
      </c>
      <c r="L51" s="3">
        <v>0</v>
      </c>
      <c r="M51" s="3">
        <v>0</v>
      </c>
      <c r="N51" s="3">
        <v>5427273</v>
      </c>
      <c r="O51" s="3">
        <v>16818200</v>
      </c>
      <c r="P51" s="3">
        <v>8618182</v>
      </c>
      <c r="Q51" s="3">
        <v>0</v>
      </c>
      <c r="R51" s="3">
        <v>2918181</v>
      </c>
      <c r="S51" s="3">
        <v>0</v>
      </c>
      <c r="T51" s="3">
        <v>2600001</v>
      </c>
      <c r="U51" s="3">
        <v>0</v>
      </c>
      <c r="V51" s="3">
        <v>1309091</v>
      </c>
      <c r="W51" s="3">
        <v>0</v>
      </c>
      <c r="X51" s="3">
        <v>9627273</v>
      </c>
      <c r="Y51" s="3">
        <v>58727309</v>
      </c>
      <c r="Z51" s="3">
        <v>3818181</v>
      </c>
      <c r="AA51" s="3">
        <v>116363600</v>
      </c>
      <c r="AB51" s="3">
        <v>69418182</v>
      </c>
      <c r="AC51" s="3">
        <v>0</v>
      </c>
      <c r="AD51" s="3">
        <v>2163636</v>
      </c>
      <c r="AE51" s="3">
        <v>786364</v>
      </c>
      <c r="AF51" s="3">
        <v>20918182</v>
      </c>
      <c r="AG51" s="3">
        <v>0</v>
      </c>
      <c r="AH51" s="3">
        <v>51409092</v>
      </c>
    </row>
    <row r="52" spans="1:34" ht="15.75" customHeight="1" x14ac:dyDescent="0.25">
      <c r="A52" s="2">
        <v>51</v>
      </c>
      <c r="B52" s="2" t="s">
        <v>134</v>
      </c>
      <c r="C52" s="2" t="s">
        <v>135</v>
      </c>
      <c r="D52" s="3">
        <v>30</v>
      </c>
      <c r="E52" s="3">
        <v>21541596</v>
      </c>
      <c r="F52" s="3">
        <v>17418189</v>
      </c>
      <c r="G52" s="3">
        <v>20481818</v>
      </c>
      <c r="H52" s="3">
        <v>17291801.899607912</v>
      </c>
      <c r="I52" s="3">
        <v>40</v>
      </c>
      <c r="J52" s="3">
        <v>21667983.100392099</v>
      </c>
      <c r="K52" s="3">
        <v>0</v>
      </c>
      <c r="L52" s="3">
        <v>1636364</v>
      </c>
      <c r="M52" s="3">
        <v>0</v>
      </c>
      <c r="N52" s="3">
        <v>1363636</v>
      </c>
      <c r="O52" s="3">
        <v>3000000</v>
      </c>
      <c r="P52" s="3">
        <v>2236364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1118182</v>
      </c>
      <c r="W52" s="3">
        <v>0</v>
      </c>
      <c r="X52" s="3">
        <v>1281818</v>
      </c>
      <c r="Y52" s="3">
        <v>3690909</v>
      </c>
      <c r="Z52" s="3">
        <v>2636364</v>
      </c>
      <c r="AA52" s="3">
        <v>10727280</v>
      </c>
      <c r="AB52" s="3">
        <v>2027273</v>
      </c>
      <c r="AC52" s="3">
        <v>0</v>
      </c>
      <c r="AD52" s="3">
        <v>0</v>
      </c>
      <c r="AE52" s="3">
        <v>0</v>
      </c>
      <c r="AF52" s="3">
        <v>4681818</v>
      </c>
      <c r="AG52" s="3">
        <v>0</v>
      </c>
      <c r="AH52" s="3">
        <v>3499999</v>
      </c>
    </row>
    <row r="53" spans="1:34" ht="15.75" customHeight="1" x14ac:dyDescent="0.25">
      <c r="A53" s="2">
        <v>52</v>
      </c>
      <c r="B53" s="2" t="s">
        <v>136</v>
      </c>
      <c r="C53" s="2" t="s">
        <v>137</v>
      </c>
      <c r="D53" s="3">
        <v>127</v>
      </c>
      <c r="E53" s="3">
        <v>82728112</v>
      </c>
      <c r="F53" s="3">
        <v>23328000</v>
      </c>
      <c r="G53" s="3">
        <v>45350000</v>
      </c>
      <c r="H53" s="3">
        <v>72785897.242348433</v>
      </c>
      <c r="I53" s="3">
        <v>66</v>
      </c>
      <c r="J53" s="3">
        <v>33270214.75765156</v>
      </c>
      <c r="K53" s="3">
        <v>0</v>
      </c>
      <c r="L53" s="3">
        <v>650000</v>
      </c>
      <c r="M53" s="3">
        <v>0</v>
      </c>
      <c r="N53" s="3">
        <v>2100000</v>
      </c>
      <c r="O53" s="3">
        <v>5600000</v>
      </c>
      <c r="P53" s="3">
        <v>0</v>
      </c>
      <c r="Q53" s="3">
        <v>0</v>
      </c>
      <c r="R53" s="3">
        <v>0</v>
      </c>
      <c r="S53" s="3">
        <v>0</v>
      </c>
      <c r="T53" s="3">
        <v>1500000</v>
      </c>
      <c r="U53" s="3">
        <v>0</v>
      </c>
      <c r="V53" s="3">
        <v>0</v>
      </c>
      <c r="W53" s="3">
        <v>0</v>
      </c>
      <c r="X53" s="3">
        <v>900000</v>
      </c>
      <c r="Y53" s="3">
        <v>0</v>
      </c>
      <c r="Z53" s="3">
        <v>5860000</v>
      </c>
      <c r="AA53" s="3">
        <v>0</v>
      </c>
      <c r="AB53" s="3">
        <v>0</v>
      </c>
      <c r="AC53" s="3">
        <v>0</v>
      </c>
      <c r="AD53" s="3">
        <v>5250000</v>
      </c>
      <c r="AE53" s="3">
        <v>3350000</v>
      </c>
      <c r="AF53" s="3">
        <v>12590000</v>
      </c>
      <c r="AG53" s="3">
        <v>14378000</v>
      </c>
      <c r="AH53" s="3">
        <v>16500000</v>
      </c>
    </row>
    <row r="54" spans="1:34" ht="15.75" customHeight="1" x14ac:dyDescent="0.25">
      <c r="A54" s="2">
        <v>53</v>
      </c>
      <c r="B54" s="2" t="s">
        <v>138</v>
      </c>
      <c r="C54" s="2" t="s">
        <v>139</v>
      </c>
      <c r="D54" s="3">
        <v>86</v>
      </c>
      <c r="E54" s="3">
        <v>80015789</v>
      </c>
      <c r="F54" s="3">
        <v>49594567</v>
      </c>
      <c r="G54" s="3">
        <v>60218183</v>
      </c>
      <c r="H54" s="3">
        <v>69691253.055324122</v>
      </c>
      <c r="I54" s="3">
        <v>81</v>
      </c>
      <c r="J54" s="3">
        <v>59919102.944675893</v>
      </c>
      <c r="K54" s="3">
        <v>0</v>
      </c>
      <c r="L54" s="3">
        <v>0</v>
      </c>
      <c r="M54" s="3">
        <v>0</v>
      </c>
      <c r="N54" s="3">
        <v>2109091</v>
      </c>
      <c r="O54" s="3">
        <v>15894553</v>
      </c>
      <c r="P54" s="3">
        <v>13136364</v>
      </c>
      <c r="Q54" s="3">
        <v>0</v>
      </c>
      <c r="R54" s="3">
        <v>1018182</v>
      </c>
      <c r="S54" s="3">
        <v>17636378</v>
      </c>
      <c r="T54" s="3">
        <v>15272727</v>
      </c>
      <c r="U54" s="3">
        <v>0</v>
      </c>
      <c r="V54" s="3">
        <v>890909</v>
      </c>
      <c r="W54" s="3">
        <v>5290909</v>
      </c>
      <c r="X54" s="3">
        <v>1045455</v>
      </c>
      <c r="Y54" s="3">
        <v>0</v>
      </c>
      <c r="Z54" s="3">
        <v>4072727</v>
      </c>
      <c r="AA54" s="3">
        <v>0</v>
      </c>
      <c r="AB54" s="3">
        <v>0</v>
      </c>
      <c r="AC54" s="3">
        <v>5372727</v>
      </c>
      <c r="AD54" s="3">
        <v>2809091</v>
      </c>
      <c r="AE54" s="3">
        <v>5400000</v>
      </c>
      <c r="AF54" s="3">
        <v>3136364</v>
      </c>
      <c r="AG54" s="3">
        <v>0</v>
      </c>
      <c r="AH54" s="3">
        <v>16727273</v>
      </c>
    </row>
    <row r="55" spans="1:34" ht="15.75" customHeight="1" x14ac:dyDescent="0.25">
      <c r="A55" s="2">
        <v>54</v>
      </c>
      <c r="B55" s="2" t="s">
        <v>140</v>
      </c>
      <c r="C55" s="2" t="s">
        <v>141</v>
      </c>
      <c r="D55" s="3">
        <v>11</v>
      </c>
      <c r="E55" s="3">
        <v>36426361</v>
      </c>
      <c r="F55" s="3">
        <v>32735680</v>
      </c>
      <c r="G55" s="3">
        <v>32627272</v>
      </c>
      <c r="H55" s="3">
        <v>31486380.513916921</v>
      </c>
      <c r="I55" s="3">
        <v>14</v>
      </c>
      <c r="J55" s="3">
        <v>37675660.486083083</v>
      </c>
      <c r="K55" s="3">
        <v>0</v>
      </c>
      <c r="L55" s="3">
        <v>0</v>
      </c>
      <c r="M55" s="3">
        <v>0</v>
      </c>
      <c r="N55" s="3">
        <v>0</v>
      </c>
      <c r="O55" s="3">
        <v>8909091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279682</v>
      </c>
      <c r="X55" s="3">
        <v>4454545</v>
      </c>
      <c r="Y55" s="3">
        <v>23546907</v>
      </c>
      <c r="Z55" s="3">
        <v>4772727</v>
      </c>
      <c r="AA55" s="3">
        <v>0</v>
      </c>
      <c r="AB55" s="3">
        <v>4245455</v>
      </c>
      <c r="AC55" s="3">
        <v>0</v>
      </c>
      <c r="AD55" s="3">
        <v>0</v>
      </c>
      <c r="AE55" s="3">
        <v>0</v>
      </c>
      <c r="AF55" s="3">
        <v>3990909</v>
      </c>
      <c r="AG55" s="3">
        <v>0</v>
      </c>
      <c r="AH55" s="3">
        <v>15163636</v>
      </c>
    </row>
    <row r="56" spans="1:34" ht="15.75" customHeight="1" x14ac:dyDescent="0.25">
      <c r="A56" s="2">
        <v>55</v>
      </c>
      <c r="B56" s="2" t="s">
        <v>142</v>
      </c>
      <c r="C56" s="2" t="s">
        <v>143</v>
      </c>
      <c r="D56" s="3">
        <v>97</v>
      </c>
      <c r="E56" s="3">
        <v>26190431</v>
      </c>
      <c r="F56" s="3">
        <v>34259098</v>
      </c>
      <c r="G56" s="3">
        <v>12218182</v>
      </c>
      <c r="H56" s="3">
        <v>5637189.8465758162</v>
      </c>
      <c r="I56" s="3">
        <v>235</v>
      </c>
      <c r="J56" s="3">
        <v>54812339.153424188</v>
      </c>
      <c r="K56" s="3">
        <v>11110909</v>
      </c>
      <c r="L56" s="3">
        <v>0</v>
      </c>
      <c r="M56" s="3">
        <v>600000</v>
      </c>
      <c r="N56" s="3">
        <v>0</v>
      </c>
      <c r="O56" s="3">
        <v>2777727</v>
      </c>
      <c r="P56" s="3">
        <v>2090909</v>
      </c>
      <c r="Q56" s="3">
        <v>13888636</v>
      </c>
      <c r="R56" s="3">
        <v>1454546</v>
      </c>
      <c r="S56" s="3">
        <v>1754550</v>
      </c>
      <c r="T56" s="3">
        <v>1727272</v>
      </c>
      <c r="U56" s="3">
        <v>0</v>
      </c>
      <c r="V56" s="3">
        <v>0</v>
      </c>
      <c r="W56" s="3">
        <v>0</v>
      </c>
      <c r="X56" s="3">
        <v>0</v>
      </c>
      <c r="Y56" s="3">
        <v>2863639</v>
      </c>
      <c r="Z56" s="3">
        <v>3063637</v>
      </c>
      <c r="AA56" s="3">
        <v>0</v>
      </c>
      <c r="AB56" s="3">
        <v>2236364</v>
      </c>
      <c r="AC56" s="3">
        <v>0</v>
      </c>
      <c r="AD56" s="3">
        <v>0</v>
      </c>
      <c r="AE56" s="3">
        <v>854546</v>
      </c>
      <c r="AF56" s="3">
        <v>0</v>
      </c>
      <c r="AG56" s="3">
        <v>409091</v>
      </c>
      <c r="AH56" s="3">
        <v>1645454</v>
      </c>
    </row>
    <row r="57" spans="1:34" ht="15.75" customHeight="1" x14ac:dyDescent="0.25">
      <c r="A57" s="2">
        <v>56</v>
      </c>
      <c r="B57" s="2" t="s">
        <v>144</v>
      </c>
      <c r="C57" s="2" t="s">
        <v>145</v>
      </c>
      <c r="D57" s="3">
        <v>2161</v>
      </c>
      <c r="E57" s="3">
        <v>167916840</v>
      </c>
      <c r="F57" s="3">
        <v>138725030</v>
      </c>
      <c r="G57" s="3">
        <v>169242740</v>
      </c>
      <c r="H57" s="3">
        <v>127417120.3141409</v>
      </c>
      <c r="I57" s="3">
        <v>3168</v>
      </c>
      <c r="J57" s="3">
        <v>179224749.68585911</v>
      </c>
      <c r="K57" s="3">
        <v>11110908</v>
      </c>
      <c r="L57" s="3">
        <v>336364</v>
      </c>
      <c r="M57" s="3">
        <v>11069450</v>
      </c>
      <c r="N57" s="3">
        <v>19236365</v>
      </c>
      <c r="O57" s="3">
        <v>36189090</v>
      </c>
      <c r="P57" s="3">
        <v>24072731</v>
      </c>
      <c r="Q57" s="3">
        <v>14238635</v>
      </c>
      <c r="R57" s="3">
        <v>4745455</v>
      </c>
      <c r="S57" s="3">
        <v>16448182</v>
      </c>
      <c r="T57" s="3">
        <v>8481819</v>
      </c>
      <c r="U57" s="3">
        <v>14740000</v>
      </c>
      <c r="V57" s="3">
        <v>14763636</v>
      </c>
      <c r="W57" s="3">
        <v>6247273</v>
      </c>
      <c r="X57" s="3">
        <v>2863635</v>
      </c>
      <c r="Y57" s="3">
        <v>9759671</v>
      </c>
      <c r="Z57" s="3">
        <v>12843638</v>
      </c>
      <c r="AA57" s="3">
        <v>1672727</v>
      </c>
      <c r="AB57" s="3">
        <v>4495455</v>
      </c>
      <c r="AC57" s="3">
        <v>3310001</v>
      </c>
      <c r="AD57" s="3">
        <v>14281819</v>
      </c>
      <c r="AE57" s="3">
        <v>7318183</v>
      </c>
      <c r="AF57" s="3">
        <v>37327275</v>
      </c>
      <c r="AG57" s="3">
        <v>6620910</v>
      </c>
      <c r="AH57" s="3">
        <v>25794548</v>
      </c>
    </row>
    <row r="58" spans="1:34" ht="15.75" customHeight="1" x14ac:dyDescent="0.25">
      <c r="A58" s="2">
        <v>57</v>
      </c>
      <c r="B58" s="2" t="s">
        <v>146</v>
      </c>
      <c r="C58" s="2" t="s">
        <v>147</v>
      </c>
      <c r="D58" s="3">
        <v>14</v>
      </c>
      <c r="E58" s="3">
        <v>3404485</v>
      </c>
      <c r="F58" s="3">
        <v>1963638</v>
      </c>
      <c r="G58" s="3">
        <v>2472727</v>
      </c>
      <c r="H58" s="3">
        <v>1288518.499787706</v>
      </c>
      <c r="I58" s="3">
        <v>21</v>
      </c>
      <c r="J58" s="3">
        <v>4079604.500212294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1781818</v>
      </c>
      <c r="V58" s="3">
        <v>0</v>
      </c>
      <c r="W58" s="3">
        <v>181820</v>
      </c>
      <c r="X58" s="3">
        <v>272727</v>
      </c>
      <c r="Y58" s="3">
        <v>0</v>
      </c>
      <c r="Z58" s="3">
        <v>2200000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5.75" customHeight="1" x14ac:dyDescent="0.25">
      <c r="C59" s="4" t="s">
        <v>148</v>
      </c>
      <c r="D59" s="5">
        <f t="shared" ref="D59:AH59" si="0">SUM(D2:D58)</f>
        <v>22332</v>
      </c>
      <c r="E59" s="5">
        <f t="shared" si="0"/>
        <v>20528682382</v>
      </c>
      <c r="F59" s="5">
        <f t="shared" si="0"/>
        <v>15640942859.999996</v>
      </c>
      <c r="G59" s="5">
        <f t="shared" si="0"/>
        <v>16170531001</v>
      </c>
      <c r="H59" s="5">
        <f t="shared" si="0"/>
        <v>16154811984.999994</v>
      </c>
      <c r="I59" s="5">
        <f t="shared" si="0"/>
        <v>28449</v>
      </c>
      <c r="J59" s="5">
        <f t="shared" si="0"/>
        <v>20014813257.000004</v>
      </c>
      <c r="K59" s="5">
        <f t="shared" si="0"/>
        <v>1154981168</v>
      </c>
      <c r="L59" s="5">
        <f t="shared" si="0"/>
        <v>890556850</v>
      </c>
      <c r="M59" s="5">
        <f t="shared" si="0"/>
        <v>1745704060</v>
      </c>
      <c r="N59" s="5">
        <f t="shared" si="0"/>
        <v>1062540911</v>
      </c>
      <c r="O59" s="5">
        <f t="shared" si="0"/>
        <v>1536437740</v>
      </c>
      <c r="P59" s="5">
        <f t="shared" si="0"/>
        <v>1702314546</v>
      </c>
      <c r="Q59" s="5">
        <f t="shared" si="0"/>
        <v>757550605</v>
      </c>
      <c r="R59" s="5">
        <f t="shared" si="0"/>
        <v>976118179</v>
      </c>
      <c r="S59" s="5">
        <f t="shared" si="0"/>
        <v>600350982</v>
      </c>
      <c r="T59" s="5">
        <f t="shared" si="0"/>
        <v>856337274</v>
      </c>
      <c r="U59" s="5">
        <f t="shared" si="0"/>
        <v>749561479.99999988</v>
      </c>
      <c r="V59" s="5">
        <f t="shared" si="0"/>
        <v>979997269</v>
      </c>
      <c r="W59" s="5">
        <f t="shared" si="0"/>
        <v>895409562</v>
      </c>
      <c r="X59" s="5">
        <f t="shared" si="0"/>
        <v>1153648183</v>
      </c>
      <c r="Y59" s="5">
        <f t="shared" si="0"/>
        <v>1812197510</v>
      </c>
      <c r="Z59" s="5">
        <f t="shared" si="0"/>
        <v>1158949228</v>
      </c>
      <c r="AA59" s="5">
        <f t="shared" si="0"/>
        <v>1552056808</v>
      </c>
      <c r="AB59" s="5">
        <f t="shared" si="0"/>
        <v>1281113807</v>
      </c>
      <c r="AC59" s="5">
        <f t="shared" si="0"/>
        <v>890284923.99999988</v>
      </c>
      <c r="AD59" s="5">
        <f t="shared" si="0"/>
        <v>1420458661</v>
      </c>
      <c r="AE59" s="5">
        <f t="shared" si="0"/>
        <v>1564643569.0000002</v>
      </c>
      <c r="AF59" s="5">
        <f t="shared" si="0"/>
        <v>1483313992</v>
      </c>
      <c r="AG59" s="5">
        <f t="shared" si="0"/>
        <v>2381764451.9999995</v>
      </c>
      <c r="AH59" s="5">
        <f t="shared" si="0"/>
        <v>3205182101</v>
      </c>
    </row>
    <row r="60" spans="1:34" ht="15.75" customHeight="1" x14ac:dyDescent="0.25">
      <c r="E60" s="6">
        <v>20528673683</v>
      </c>
    </row>
    <row r="61" spans="1:34" ht="15.75" customHeight="1" x14ac:dyDescent="0.25">
      <c r="C61" s="7" t="s">
        <v>149</v>
      </c>
      <c r="E61" s="6">
        <v>20014804558</v>
      </c>
    </row>
    <row r="62" spans="1:34" ht="15.75" customHeight="1" x14ac:dyDescent="0.25">
      <c r="E62" s="5">
        <v>20014813257.000004</v>
      </c>
    </row>
    <row r="63" spans="1:34" ht="15.75" customHeight="1" x14ac:dyDescent="0.25">
      <c r="C63" s="7" t="s">
        <v>150</v>
      </c>
    </row>
    <row r="64" spans="1:3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43" workbookViewId="0">
      <selection activeCell="Q11" sqref="Q11"/>
    </sheetView>
  </sheetViews>
  <sheetFormatPr defaultColWidth="14.42578125" defaultRowHeight="15" customHeight="1" x14ac:dyDescent="0.25"/>
  <cols>
    <col min="1" max="1" width="8.7109375" customWidth="1"/>
    <col min="2" max="2" width="15.28515625" customWidth="1"/>
    <col min="3" max="3" width="17.85546875" customWidth="1"/>
    <col min="4" max="4" width="8.7109375" customWidth="1"/>
    <col min="5" max="5" width="15.28515625" style="18" bestFit="1" customWidth="1"/>
    <col min="6" max="6" width="8.7109375" style="18" customWidth="1"/>
    <col min="7" max="7" width="14.28515625" style="18" bestFit="1" customWidth="1"/>
    <col min="8" max="8" width="8.7109375" style="18" customWidth="1"/>
    <col min="9" max="9" width="12.5703125" style="18" bestFit="1" customWidth="1"/>
    <col min="10" max="10" width="20.42578125" style="18" bestFit="1" customWidth="1"/>
    <col min="11" max="11" width="19.5703125" style="18" bestFit="1" customWidth="1"/>
    <col min="12" max="12" width="8.7109375" style="18" customWidth="1"/>
    <col min="13" max="13" width="15.28515625" style="18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15" t="s">
        <v>4</v>
      </c>
      <c r="F1" s="15" t="s">
        <v>152</v>
      </c>
      <c r="G1" s="15" t="s">
        <v>153</v>
      </c>
      <c r="H1" s="15" t="s">
        <v>154</v>
      </c>
      <c r="I1" s="15" t="s">
        <v>155</v>
      </c>
      <c r="J1" s="15" t="s">
        <v>156</v>
      </c>
      <c r="K1" s="15" t="s">
        <v>157</v>
      </c>
      <c r="L1" s="15" t="s">
        <v>8</v>
      </c>
      <c r="M1" s="15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534</v>
      </c>
      <c r="E2" s="16">
        <v>239133509</v>
      </c>
      <c r="F2" s="16">
        <v>40</v>
      </c>
      <c r="G2" s="16">
        <v>19700000</v>
      </c>
      <c r="H2" s="16">
        <v>1</v>
      </c>
      <c r="I2" s="16">
        <v>579000</v>
      </c>
      <c r="J2" s="16">
        <v>450929.45818815328</v>
      </c>
      <c r="K2" s="16">
        <v>562833.77535655361</v>
      </c>
      <c r="L2" s="16">
        <v>573</v>
      </c>
      <c r="M2" s="16">
        <v>258270675.22464341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176</v>
      </c>
      <c r="E3" s="16">
        <v>194884968</v>
      </c>
      <c r="F3" s="16">
        <v>0</v>
      </c>
      <c r="G3" s="16">
        <v>0</v>
      </c>
      <c r="H3" s="16">
        <v>16</v>
      </c>
      <c r="I3" s="16">
        <v>17618182</v>
      </c>
      <c r="J3" s="16">
        <v>1107300.9545454551</v>
      </c>
      <c r="K3" s="16">
        <v>22113485.48242997</v>
      </c>
      <c r="L3" s="16">
        <v>160</v>
      </c>
      <c r="M3" s="16">
        <v>172771482.51756999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247</v>
      </c>
      <c r="E4" s="16">
        <v>107960081</v>
      </c>
      <c r="F4" s="16">
        <v>171</v>
      </c>
      <c r="G4" s="16">
        <v>74641500</v>
      </c>
      <c r="H4" s="16">
        <v>1</v>
      </c>
      <c r="I4" s="16">
        <v>509091</v>
      </c>
      <c r="J4" s="16">
        <v>436845.88755980862</v>
      </c>
      <c r="K4" s="16">
        <v>545255.17390722339</v>
      </c>
      <c r="L4" s="16">
        <v>417</v>
      </c>
      <c r="M4" s="16">
        <v>182056325.82609281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1034</v>
      </c>
      <c r="E5" s="16">
        <v>152131893</v>
      </c>
      <c r="F5" s="16">
        <v>0</v>
      </c>
      <c r="G5" s="16">
        <v>0</v>
      </c>
      <c r="H5" s="16">
        <v>12</v>
      </c>
      <c r="I5" s="16">
        <v>2018183</v>
      </c>
      <c r="J5" s="16">
        <v>147129.4903288201</v>
      </c>
      <c r="K5" s="16">
        <v>2203700.2463521259</v>
      </c>
      <c r="L5" s="16">
        <v>1022</v>
      </c>
      <c r="M5" s="16">
        <v>149928192.75364789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51</v>
      </c>
      <c r="E6" s="16">
        <v>17081396</v>
      </c>
      <c r="F6" s="16">
        <v>0</v>
      </c>
      <c r="G6" s="16">
        <v>0</v>
      </c>
      <c r="H6" s="16">
        <v>0</v>
      </c>
      <c r="I6" s="16">
        <v>0</v>
      </c>
      <c r="J6" s="16">
        <v>334929.33333333331</v>
      </c>
      <c r="K6" s="16">
        <v>0</v>
      </c>
      <c r="L6" s="16">
        <v>51</v>
      </c>
      <c r="M6" s="16">
        <v>17081396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6">
        <v>206942</v>
      </c>
      <c r="F7" s="16">
        <v>0</v>
      </c>
      <c r="G7" s="16">
        <v>0</v>
      </c>
      <c r="H7" s="16">
        <v>0</v>
      </c>
      <c r="I7" s="16">
        <v>0</v>
      </c>
      <c r="J7" s="16">
        <v>29563.142857142859</v>
      </c>
      <c r="K7" s="16">
        <v>0</v>
      </c>
      <c r="L7" s="16">
        <v>7</v>
      </c>
      <c r="M7" s="16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1307</v>
      </c>
      <c r="E8" s="16">
        <v>167102691</v>
      </c>
      <c r="F8" s="16">
        <v>0</v>
      </c>
      <c r="G8" s="16">
        <v>0</v>
      </c>
      <c r="H8" s="16">
        <v>37</v>
      </c>
      <c r="I8" s="16">
        <v>4990910</v>
      </c>
      <c r="J8" s="16">
        <v>127852.09716908949</v>
      </c>
      <c r="K8" s="16">
        <v>5904472.7673469558</v>
      </c>
      <c r="L8" s="16">
        <v>1270</v>
      </c>
      <c r="M8" s="16">
        <v>161198218.23265311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57</v>
      </c>
      <c r="E9" s="16">
        <v>61350147</v>
      </c>
      <c r="F9" s="16">
        <v>0</v>
      </c>
      <c r="G9" s="16">
        <v>0</v>
      </c>
      <c r="H9" s="16">
        <v>1</v>
      </c>
      <c r="I9" s="16">
        <v>8200000</v>
      </c>
      <c r="J9" s="16">
        <v>1076318.368421053</v>
      </c>
      <c r="K9" s="16">
        <v>1343421.503705038</v>
      </c>
      <c r="L9" s="16">
        <v>56</v>
      </c>
      <c r="M9" s="16">
        <v>60006725.49629496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1344</v>
      </c>
      <c r="E10" s="16">
        <v>594573864</v>
      </c>
      <c r="F10" s="16">
        <v>32</v>
      </c>
      <c r="G10" s="16">
        <v>24079549</v>
      </c>
      <c r="H10" s="16">
        <v>33</v>
      </c>
      <c r="I10" s="16">
        <v>71727273</v>
      </c>
      <c r="J10" s="16">
        <v>449602.77107558138</v>
      </c>
      <c r="K10" s="16">
        <v>18518869.138370771</v>
      </c>
      <c r="L10" s="16">
        <v>1343</v>
      </c>
      <c r="M10" s="16">
        <v>600134543.86162925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492</v>
      </c>
      <c r="E11" s="16">
        <v>890568470</v>
      </c>
      <c r="F11" s="16">
        <v>0</v>
      </c>
      <c r="G11" s="16">
        <v>0</v>
      </c>
      <c r="H11" s="16">
        <v>6</v>
      </c>
      <c r="I11" s="16">
        <v>24536364</v>
      </c>
      <c r="J11" s="16">
        <v>1810098.5162601629</v>
      </c>
      <c r="K11" s="16">
        <v>13555795.43329248</v>
      </c>
      <c r="L11" s="16">
        <v>486</v>
      </c>
      <c r="M11" s="16">
        <v>877012674.56670749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60</v>
      </c>
      <c r="E12" s="16">
        <v>189234201</v>
      </c>
      <c r="F12" s="16">
        <v>0</v>
      </c>
      <c r="G12" s="16">
        <v>0</v>
      </c>
      <c r="H12" s="16">
        <v>0</v>
      </c>
      <c r="I12" s="16">
        <v>0</v>
      </c>
      <c r="J12" s="16">
        <v>3153903.35</v>
      </c>
      <c r="K12" s="16">
        <v>0</v>
      </c>
      <c r="L12" s="16">
        <v>60</v>
      </c>
      <c r="M12" s="16">
        <v>189234201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6">
        <v>11555238</v>
      </c>
      <c r="F13" s="16">
        <v>0</v>
      </c>
      <c r="G13" s="16">
        <v>0</v>
      </c>
      <c r="H13" s="16">
        <v>0</v>
      </c>
      <c r="I13" s="16">
        <v>0</v>
      </c>
      <c r="J13" s="16">
        <v>2888809.5</v>
      </c>
      <c r="K13" s="16">
        <v>0</v>
      </c>
      <c r="L13" s="16">
        <v>4</v>
      </c>
      <c r="M13" s="16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1654</v>
      </c>
      <c r="E14" s="16">
        <v>189774100</v>
      </c>
      <c r="F14" s="16">
        <v>0</v>
      </c>
      <c r="G14" s="16">
        <v>0</v>
      </c>
      <c r="H14" s="16">
        <v>19</v>
      </c>
      <c r="I14" s="16">
        <v>2918181</v>
      </c>
      <c r="J14" s="16">
        <v>114736.4570737606</v>
      </c>
      <c r="K14" s="16">
        <v>2720987.7077921429</v>
      </c>
      <c r="L14" s="16">
        <v>1635</v>
      </c>
      <c r="M14" s="16">
        <v>187053112.2922079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2106</v>
      </c>
      <c r="E15" s="16">
        <v>237351699</v>
      </c>
      <c r="F15" s="16">
        <v>0</v>
      </c>
      <c r="G15" s="16">
        <v>0</v>
      </c>
      <c r="H15" s="16">
        <v>27</v>
      </c>
      <c r="I15" s="16">
        <v>1318182</v>
      </c>
      <c r="J15" s="16">
        <v>112702.61111111109</v>
      </c>
      <c r="K15" s="16">
        <v>3798125.2803825238</v>
      </c>
      <c r="L15" s="16">
        <v>2079</v>
      </c>
      <c r="M15" s="16">
        <v>233553573.71961749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7628</v>
      </c>
      <c r="E16" s="16">
        <v>4817725010</v>
      </c>
      <c r="F16" s="16">
        <v>304.89</v>
      </c>
      <c r="G16" s="16">
        <v>98319331</v>
      </c>
      <c r="H16" s="16">
        <v>574</v>
      </c>
      <c r="I16" s="16">
        <v>429709664</v>
      </c>
      <c r="J16" s="16">
        <v>619704.08527031133</v>
      </c>
      <c r="K16" s="16">
        <v>443984486.21330339</v>
      </c>
      <c r="L16" s="16">
        <v>7358.89</v>
      </c>
      <c r="M16" s="16">
        <v>4472059854.7866964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13</v>
      </c>
      <c r="E17" s="16">
        <v>164182075</v>
      </c>
      <c r="F17" s="16">
        <v>0</v>
      </c>
      <c r="G17" s="16">
        <v>0</v>
      </c>
      <c r="H17" s="16">
        <v>0</v>
      </c>
      <c r="I17" s="16">
        <v>0</v>
      </c>
      <c r="J17" s="16">
        <v>12629390.38461538</v>
      </c>
      <c r="K17" s="16">
        <v>0</v>
      </c>
      <c r="L17" s="16">
        <v>13</v>
      </c>
      <c r="M17" s="16">
        <v>164182075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3</v>
      </c>
      <c r="E18" s="16">
        <v>8767993</v>
      </c>
      <c r="F18" s="16">
        <v>0</v>
      </c>
      <c r="G18" s="16">
        <v>0</v>
      </c>
      <c r="H18" s="16">
        <v>0</v>
      </c>
      <c r="I18" s="16">
        <v>0</v>
      </c>
      <c r="J18" s="16">
        <v>2922664.333333333</v>
      </c>
      <c r="K18" s="16">
        <v>0</v>
      </c>
      <c r="L18" s="16">
        <v>3</v>
      </c>
      <c r="M18" s="16">
        <v>8767993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213</v>
      </c>
      <c r="E19" s="16">
        <v>908383147</v>
      </c>
      <c r="F19" s="16">
        <v>0</v>
      </c>
      <c r="G19" s="16">
        <v>0</v>
      </c>
      <c r="H19" s="16">
        <v>0</v>
      </c>
      <c r="I19" s="16">
        <v>0</v>
      </c>
      <c r="J19" s="16">
        <v>4264709.6103286389</v>
      </c>
      <c r="K19" s="16">
        <v>0</v>
      </c>
      <c r="L19" s="16">
        <v>213</v>
      </c>
      <c r="M19" s="16">
        <v>908383147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26</v>
      </c>
      <c r="E20" s="16">
        <v>275885811</v>
      </c>
      <c r="F20" s="16">
        <v>0</v>
      </c>
      <c r="G20" s="16">
        <v>0</v>
      </c>
      <c r="H20" s="16">
        <v>1</v>
      </c>
      <c r="I20" s="16">
        <v>16000000</v>
      </c>
      <c r="J20" s="16">
        <v>10610992.73076923</v>
      </c>
      <c r="K20" s="16">
        <v>13244255.815391511</v>
      </c>
      <c r="L20" s="16">
        <v>25</v>
      </c>
      <c r="M20" s="16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22</v>
      </c>
      <c r="E21" s="16">
        <v>229745893</v>
      </c>
      <c r="F21" s="16">
        <v>0</v>
      </c>
      <c r="G21" s="16">
        <v>0</v>
      </c>
      <c r="H21" s="16">
        <v>0</v>
      </c>
      <c r="I21" s="16">
        <v>0</v>
      </c>
      <c r="J21" s="16">
        <v>10442995.13636364</v>
      </c>
      <c r="K21" s="16">
        <v>0</v>
      </c>
      <c r="L21" s="16">
        <v>22</v>
      </c>
      <c r="M21" s="16">
        <v>229745893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17</v>
      </c>
      <c r="E22" s="16">
        <v>226455706</v>
      </c>
      <c r="F22" s="16">
        <v>0</v>
      </c>
      <c r="G22" s="16">
        <v>0</v>
      </c>
      <c r="H22" s="16">
        <v>0</v>
      </c>
      <c r="I22" s="16">
        <v>0</v>
      </c>
      <c r="J22" s="16">
        <v>13320923.882352941</v>
      </c>
      <c r="K22" s="16">
        <v>0</v>
      </c>
      <c r="L22" s="16">
        <v>17</v>
      </c>
      <c r="M22" s="16">
        <v>226455706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24</v>
      </c>
      <c r="E23" s="16">
        <v>311732602</v>
      </c>
      <c r="F23" s="16">
        <v>0</v>
      </c>
      <c r="G23" s="16">
        <v>0</v>
      </c>
      <c r="H23" s="16">
        <v>0</v>
      </c>
      <c r="I23" s="16">
        <v>0</v>
      </c>
      <c r="J23" s="16">
        <v>12988858.41666667</v>
      </c>
      <c r="K23" s="16">
        <v>0</v>
      </c>
      <c r="L23" s="16">
        <v>24</v>
      </c>
      <c r="M23" s="16">
        <v>311732602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123</v>
      </c>
      <c r="E24" s="16">
        <v>993279169</v>
      </c>
      <c r="F24" s="16">
        <v>12</v>
      </c>
      <c r="G24" s="16">
        <v>1188000</v>
      </c>
      <c r="H24" s="16">
        <v>0</v>
      </c>
      <c r="I24" s="16">
        <v>0</v>
      </c>
      <c r="J24" s="16">
        <v>7366423.4740740741</v>
      </c>
      <c r="K24" s="16">
        <v>0</v>
      </c>
      <c r="L24" s="16">
        <v>135</v>
      </c>
      <c r="M24" s="16">
        <v>994467169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6">
        <v>15871570</v>
      </c>
      <c r="F25" s="16">
        <v>0</v>
      </c>
      <c r="G25" s="16">
        <v>0</v>
      </c>
      <c r="H25" s="16">
        <v>0</v>
      </c>
      <c r="I25" s="16">
        <v>0</v>
      </c>
      <c r="J25" s="16">
        <v>15871570</v>
      </c>
      <c r="K25" s="16">
        <v>0</v>
      </c>
      <c r="L25" s="16">
        <v>1</v>
      </c>
      <c r="M25" s="16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23</v>
      </c>
      <c r="E26" s="16">
        <v>337550257</v>
      </c>
      <c r="F26" s="16">
        <v>0</v>
      </c>
      <c r="G26" s="16">
        <v>0</v>
      </c>
      <c r="H26" s="16">
        <v>0</v>
      </c>
      <c r="I26" s="16">
        <v>0</v>
      </c>
      <c r="J26" s="16">
        <v>14676098.130434779</v>
      </c>
      <c r="K26" s="16">
        <v>0</v>
      </c>
      <c r="L26" s="16">
        <v>23</v>
      </c>
      <c r="M26" s="16">
        <v>337550257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6">
        <v>31612229</v>
      </c>
      <c r="F27" s="16">
        <v>0</v>
      </c>
      <c r="G27" s="16">
        <v>0</v>
      </c>
      <c r="H27" s="16">
        <v>0</v>
      </c>
      <c r="I27" s="16">
        <v>0</v>
      </c>
      <c r="J27" s="16">
        <v>15806114.5</v>
      </c>
      <c r="K27" s="16">
        <v>0</v>
      </c>
      <c r="L27" s="16">
        <v>2</v>
      </c>
      <c r="M27" s="16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6">
        <v>91534934</v>
      </c>
      <c r="F28" s="16">
        <v>0</v>
      </c>
      <c r="G28" s="16">
        <v>0</v>
      </c>
      <c r="H28" s="16">
        <v>0</v>
      </c>
      <c r="I28" s="16">
        <v>0</v>
      </c>
      <c r="J28" s="16">
        <v>8321357.6363636367</v>
      </c>
      <c r="K28" s="16">
        <v>0</v>
      </c>
      <c r="L28" s="16">
        <v>11</v>
      </c>
      <c r="M28" s="16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46</v>
      </c>
      <c r="E29" s="16">
        <v>291977142</v>
      </c>
      <c r="F29" s="16">
        <v>0</v>
      </c>
      <c r="G29" s="16">
        <v>0</v>
      </c>
      <c r="H29" s="16">
        <v>0</v>
      </c>
      <c r="I29" s="16">
        <v>0</v>
      </c>
      <c r="J29" s="16">
        <v>6347329.1739130439</v>
      </c>
      <c r="K29" s="16">
        <v>0</v>
      </c>
      <c r="L29" s="16">
        <v>46</v>
      </c>
      <c r="M29" s="16">
        <v>291977142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94</v>
      </c>
      <c r="E30" s="16">
        <v>913210178</v>
      </c>
      <c r="F30" s="16">
        <v>0</v>
      </c>
      <c r="G30" s="16">
        <v>0</v>
      </c>
      <c r="H30" s="16">
        <v>0</v>
      </c>
      <c r="I30" s="16">
        <v>0</v>
      </c>
      <c r="J30" s="16">
        <v>9715001.8936170209</v>
      </c>
      <c r="K30" s="16">
        <v>0</v>
      </c>
      <c r="L30" s="16">
        <v>94</v>
      </c>
      <c r="M30" s="16">
        <v>913210178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180</v>
      </c>
      <c r="E31" s="16">
        <v>1593761637</v>
      </c>
      <c r="F31" s="16">
        <v>30</v>
      </c>
      <c r="G31" s="16">
        <v>275481818</v>
      </c>
      <c r="H31" s="16">
        <v>7</v>
      </c>
      <c r="I31" s="16">
        <v>79054546</v>
      </c>
      <c r="J31" s="16">
        <v>8901159.3095238097</v>
      </c>
      <c r="K31" s="16">
        <v>77770726.790648296</v>
      </c>
      <c r="L31" s="16">
        <v>203</v>
      </c>
      <c r="M31" s="16">
        <v>1791472728.209352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6">
        <v>53108133</v>
      </c>
      <c r="F32" s="16">
        <v>0</v>
      </c>
      <c r="G32" s="16">
        <v>0</v>
      </c>
      <c r="H32" s="16">
        <v>0</v>
      </c>
      <c r="I32" s="16">
        <v>0</v>
      </c>
      <c r="J32" s="16">
        <v>17702711</v>
      </c>
      <c r="K32" s="16">
        <v>0</v>
      </c>
      <c r="L32" s="16">
        <v>3</v>
      </c>
      <c r="M32" s="16">
        <v>53108133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6">
        <v>101090592</v>
      </c>
      <c r="F33" s="16">
        <v>0</v>
      </c>
      <c r="G33" s="16">
        <v>0</v>
      </c>
      <c r="H33" s="16">
        <v>0</v>
      </c>
      <c r="I33" s="16">
        <v>0</v>
      </c>
      <c r="J33" s="16">
        <v>2150863.6595744682</v>
      </c>
      <c r="K33" s="16">
        <v>0</v>
      </c>
      <c r="L33" s="16">
        <v>47</v>
      </c>
      <c r="M33" s="16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21</v>
      </c>
      <c r="E34" s="16">
        <v>338546554</v>
      </c>
      <c r="F34" s="16">
        <v>0</v>
      </c>
      <c r="G34" s="16">
        <v>0</v>
      </c>
      <c r="H34" s="16">
        <v>0</v>
      </c>
      <c r="I34" s="16">
        <v>0</v>
      </c>
      <c r="J34" s="16">
        <v>16121264.476190479</v>
      </c>
      <c r="K34" s="16">
        <v>0</v>
      </c>
      <c r="L34" s="16">
        <v>21</v>
      </c>
      <c r="M34" s="16">
        <v>338546554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8</v>
      </c>
      <c r="E35" s="16">
        <v>82338594</v>
      </c>
      <c r="F35" s="16">
        <v>0</v>
      </c>
      <c r="G35" s="16">
        <v>0</v>
      </c>
      <c r="H35" s="16">
        <v>0</v>
      </c>
      <c r="I35" s="16">
        <v>0</v>
      </c>
      <c r="J35" s="16">
        <v>10292324.25</v>
      </c>
      <c r="K35" s="16">
        <v>0</v>
      </c>
      <c r="L35" s="16">
        <v>8</v>
      </c>
      <c r="M35" s="16">
        <v>82338594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37</v>
      </c>
      <c r="E36" s="16">
        <v>226208575</v>
      </c>
      <c r="F36" s="16">
        <v>0</v>
      </c>
      <c r="G36" s="16">
        <v>0</v>
      </c>
      <c r="H36" s="16">
        <v>0</v>
      </c>
      <c r="I36" s="16">
        <v>0</v>
      </c>
      <c r="J36" s="16">
        <v>6113745.2702702703</v>
      </c>
      <c r="K36" s="16">
        <v>0</v>
      </c>
      <c r="L36" s="16">
        <v>37</v>
      </c>
      <c r="M36" s="16">
        <v>226208575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108</v>
      </c>
      <c r="E37" s="16">
        <v>377858644</v>
      </c>
      <c r="F37" s="16">
        <v>0</v>
      </c>
      <c r="G37" s="16">
        <v>0</v>
      </c>
      <c r="H37" s="16">
        <v>0</v>
      </c>
      <c r="I37" s="16">
        <v>0</v>
      </c>
      <c r="J37" s="16">
        <v>3498691.1481481479</v>
      </c>
      <c r="K37" s="16">
        <v>0</v>
      </c>
      <c r="L37" s="16">
        <v>108</v>
      </c>
      <c r="M37" s="16">
        <v>377858644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131</v>
      </c>
      <c r="E38" s="16">
        <v>649849362</v>
      </c>
      <c r="F38" s="16">
        <v>0</v>
      </c>
      <c r="G38" s="16">
        <v>0</v>
      </c>
      <c r="H38" s="16">
        <v>0</v>
      </c>
      <c r="I38" s="16">
        <v>0</v>
      </c>
      <c r="J38" s="16">
        <v>4960682.1526717553</v>
      </c>
      <c r="K38" s="16">
        <v>0</v>
      </c>
      <c r="L38" s="16">
        <v>131</v>
      </c>
      <c r="M38" s="16">
        <v>649849362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124</v>
      </c>
      <c r="E39" s="16">
        <v>735085682</v>
      </c>
      <c r="F39" s="16">
        <v>4</v>
      </c>
      <c r="G39" s="16">
        <v>17822354</v>
      </c>
      <c r="H39" s="16">
        <v>2</v>
      </c>
      <c r="I39" s="16">
        <v>27845454</v>
      </c>
      <c r="J39" s="16">
        <v>5882094.03125</v>
      </c>
      <c r="K39" s="16">
        <v>14683632.35310876</v>
      </c>
      <c r="L39" s="16">
        <v>126</v>
      </c>
      <c r="M39" s="16">
        <v>738224403.64689124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19</v>
      </c>
      <c r="E40" s="16">
        <v>108913756</v>
      </c>
      <c r="F40" s="16">
        <v>3</v>
      </c>
      <c r="G40" s="16">
        <v>2751980</v>
      </c>
      <c r="H40" s="16">
        <v>0</v>
      </c>
      <c r="I40" s="16">
        <v>0</v>
      </c>
      <c r="J40" s="16">
        <v>5075715.2727272715</v>
      </c>
      <c r="K40" s="16">
        <v>0</v>
      </c>
      <c r="L40" s="16">
        <v>22</v>
      </c>
      <c r="M40" s="16">
        <v>111665736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51</v>
      </c>
      <c r="E41" s="16">
        <v>204830418</v>
      </c>
      <c r="F41" s="16">
        <v>27</v>
      </c>
      <c r="G41" s="16">
        <v>104481308</v>
      </c>
      <c r="H41" s="16">
        <v>2</v>
      </c>
      <c r="I41" s="16">
        <v>8518182</v>
      </c>
      <c r="J41" s="16">
        <v>3965534.948717949</v>
      </c>
      <c r="K41" s="16">
        <v>9899273.4493916761</v>
      </c>
      <c r="L41" s="16">
        <v>76</v>
      </c>
      <c r="M41" s="16">
        <v>299412452.55060828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401</v>
      </c>
      <c r="E42" s="16">
        <v>1021086203</v>
      </c>
      <c r="F42" s="16">
        <v>165</v>
      </c>
      <c r="G42" s="16">
        <v>432554548</v>
      </c>
      <c r="H42" s="16">
        <v>52</v>
      </c>
      <c r="I42" s="16">
        <v>126936364</v>
      </c>
      <c r="J42" s="16">
        <v>2568269.8780918731</v>
      </c>
      <c r="K42" s="16">
        <v>166692302.48631579</v>
      </c>
      <c r="L42" s="16">
        <v>514</v>
      </c>
      <c r="M42" s="16">
        <v>1286948448.513684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571</v>
      </c>
      <c r="E43" s="16">
        <v>1321552776</v>
      </c>
      <c r="F43" s="16">
        <v>13</v>
      </c>
      <c r="G43" s="16">
        <v>58829872</v>
      </c>
      <c r="H43" s="16">
        <v>12</v>
      </c>
      <c r="I43" s="16">
        <v>47854546</v>
      </c>
      <c r="J43" s="16">
        <v>2363668.9178082189</v>
      </c>
      <c r="K43" s="16">
        <v>35402948.551154733</v>
      </c>
      <c r="L43" s="16">
        <v>572</v>
      </c>
      <c r="M43" s="16">
        <v>1344979699.4488449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6">
        <v>24352573</v>
      </c>
      <c r="F44" s="16">
        <v>0</v>
      </c>
      <c r="G44" s="16">
        <v>0</v>
      </c>
      <c r="H44" s="16">
        <v>0</v>
      </c>
      <c r="I44" s="16">
        <v>0</v>
      </c>
      <c r="J44" s="16">
        <v>4058762.166666667</v>
      </c>
      <c r="K44" s="16">
        <v>0</v>
      </c>
      <c r="L44" s="16">
        <v>6</v>
      </c>
      <c r="M44" s="16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14</v>
      </c>
      <c r="E45" s="16">
        <v>84866751</v>
      </c>
      <c r="F45" s="16">
        <v>0</v>
      </c>
      <c r="G45" s="16">
        <v>0</v>
      </c>
      <c r="H45" s="16">
        <v>0</v>
      </c>
      <c r="I45" s="16">
        <v>0</v>
      </c>
      <c r="J45" s="16">
        <v>6061910.7857142854</v>
      </c>
      <c r="K45" s="16">
        <v>0</v>
      </c>
      <c r="L45" s="16">
        <v>14</v>
      </c>
      <c r="M45" s="16">
        <v>84866751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14</v>
      </c>
      <c r="E46" s="16">
        <v>66381785</v>
      </c>
      <c r="F46" s="16">
        <v>2</v>
      </c>
      <c r="G46" s="16">
        <v>9818182</v>
      </c>
      <c r="H46" s="16">
        <v>0</v>
      </c>
      <c r="I46" s="16">
        <v>0</v>
      </c>
      <c r="J46" s="16">
        <v>4762497.9375</v>
      </c>
      <c r="K46" s="16">
        <v>0</v>
      </c>
      <c r="L46" s="16">
        <v>16</v>
      </c>
      <c r="M46" s="16">
        <v>76199967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18</v>
      </c>
      <c r="E47" s="16">
        <v>15131275</v>
      </c>
      <c r="F47" s="16">
        <v>0</v>
      </c>
      <c r="G47" s="16">
        <v>0</v>
      </c>
      <c r="H47" s="16">
        <v>0</v>
      </c>
      <c r="I47" s="16">
        <v>0</v>
      </c>
      <c r="J47" s="16">
        <v>840626.38888888888</v>
      </c>
      <c r="K47" s="16">
        <v>0</v>
      </c>
      <c r="L47" s="16">
        <v>18</v>
      </c>
      <c r="M47" s="16">
        <v>15131275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86</v>
      </c>
      <c r="E48" s="16">
        <v>39338730</v>
      </c>
      <c r="F48" s="16">
        <v>20</v>
      </c>
      <c r="G48" s="16">
        <v>5500000</v>
      </c>
      <c r="H48" s="16">
        <v>13</v>
      </c>
      <c r="I48" s="16">
        <v>9281818</v>
      </c>
      <c r="J48" s="16">
        <v>423006.88679245277</v>
      </c>
      <c r="K48" s="16">
        <v>6863763.8638068317</v>
      </c>
      <c r="L48" s="16">
        <v>93</v>
      </c>
      <c r="M48" s="16">
        <v>37974966.136193171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25</v>
      </c>
      <c r="E49" s="16">
        <v>192358070</v>
      </c>
      <c r="F49" s="16">
        <v>1</v>
      </c>
      <c r="G49" s="16">
        <v>7590909</v>
      </c>
      <c r="H49" s="16">
        <v>1</v>
      </c>
      <c r="I49" s="16">
        <v>8318182</v>
      </c>
      <c r="J49" s="16">
        <v>7690345.346153846</v>
      </c>
      <c r="K49" s="16">
        <v>9598809.8057799153</v>
      </c>
      <c r="L49" s="16">
        <v>25</v>
      </c>
      <c r="M49" s="16">
        <v>190350169.1942201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6">
        <v>937651</v>
      </c>
      <c r="F50" s="16">
        <v>0</v>
      </c>
      <c r="G50" s="16">
        <v>0</v>
      </c>
      <c r="H50" s="16">
        <v>0</v>
      </c>
      <c r="I50" s="16">
        <v>0</v>
      </c>
      <c r="J50" s="16">
        <v>468825.5</v>
      </c>
      <c r="K50" s="16">
        <v>0</v>
      </c>
      <c r="L50" s="16">
        <v>2</v>
      </c>
      <c r="M50" s="16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621</v>
      </c>
      <c r="E51" s="16">
        <v>202038092</v>
      </c>
      <c r="F51" s="16">
        <v>0</v>
      </c>
      <c r="G51" s="16">
        <v>0</v>
      </c>
      <c r="H51" s="16">
        <v>0</v>
      </c>
      <c r="I51" s="16">
        <v>0</v>
      </c>
      <c r="J51" s="16">
        <v>325343.14331723028</v>
      </c>
      <c r="K51" s="16">
        <v>0</v>
      </c>
      <c r="L51" s="16">
        <v>621</v>
      </c>
      <c r="M51" s="16">
        <v>202038092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30</v>
      </c>
      <c r="E52" s="16">
        <v>21541596</v>
      </c>
      <c r="F52" s="16">
        <v>0</v>
      </c>
      <c r="G52" s="16">
        <v>0</v>
      </c>
      <c r="H52" s="16">
        <v>2</v>
      </c>
      <c r="I52" s="16">
        <v>1636364</v>
      </c>
      <c r="J52" s="16">
        <v>718053.2</v>
      </c>
      <c r="K52" s="16">
        <v>1792495.859936577</v>
      </c>
      <c r="L52" s="16">
        <v>28</v>
      </c>
      <c r="M52" s="16">
        <v>19749100.14006342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127</v>
      </c>
      <c r="E53" s="16">
        <v>82728112</v>
      </c>
      <c r="F53" s="16">
        <v>0</v>
      </c>
      <c r="G53" s="16">
        <v>0</v>
      </c>
      <c r="H53" s="16">
        <v>1</v>
      </c>
      <c r="I53" s="16">
        <v>650000</v>
      </c>
      <c r="J53" s="16">
        <v>651402.45669291343</v>
      </c>
      <c r="K53" s="16">
        <v>813056.89242424024</v>
      </c>
      <c r="L53" s="16">
        <v>126</v>
      </c>
      <c r="M53" s="16">
        <v>81915055.107575759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86</v>
      </c>
      <c r="E54" s="16">
        <v>80015789</v>
      </c>
      <c r="F54" s="16">
        <v>0</v>
      </c>
      <c r="G54" s="16">
        <v>0</v>
      </c>
      <c r="H54" s="16">
        <v>0</v>
      </c>
      <c r="I54" s="16">
        <v>0</v>
      </c>
      <c r="J54" s="16">
        <v>930416.15116279072</v>
      </c>
      <c r="K54" s="16">
        <v>0</v>
      </c>
      <c r="L54" s="16">
        <v>86</v>
      </c>
      <c r="M54" s="16">
        <v>80015789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11</v>
      </c>
      <c r="E55" s="16">
        <v>36426361</v>
      </c>
      <c r="F55" s="16">
        <v>0</v>
      </c>
      <c r="G55" s="16">
        <v>0</v>
      </c>
      <c r="H55" s="16">
        <v>0</v>
      </c>
      <c r="I55" s="16">
        <v>0</v>
      </c>
      <c r="J55" s="16">
        <v>3311487.3636363642</v>
      </c>
      <c r="K55" s="16">
        <v>0</v>
      </c>
      <c r="L55" s="16">
        <v>11</v>
      </c>
      <c r="M55" s="16">
        <v>36426361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97</v>
      </c>
      <c r="E56" s="16">
        <v>26190431</v>
      </c>
      <c r="F56" s="16">
        <v>20</v>
      </c>
      <c r="G56" s="16">
        <v>11110909</v>
      </c>
      <c r="H56" s="16">
        <v>0</v>
      </c>
      <c r="I56" s="16">
        <v>0</v>
      </c>
      <c r="J56" s="16">
        <v>318814.87179487181</v>
      </c>
      <c r="K56" s="16">
        <v>0</v>
      </c>
      <c r="L56" s="16">
        <v>117</v>
      </c>
      <c r="M56" s="16">
        <v>37301340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2161</v>
      </c>
      <c r="E57" s="16">
        <v>167916840</v>
      </c>
      <c r="F57" s="16">
        <v>80</v>
      </c>
      <c r="G57" s="16">
        <v>11110908</v>
      </c>
      <c r="H57" s="16">
        <v>2</v>
      </c>
      <c r="I57" s="16">
        <v>336364</v>
      </c>
      <c r="J57" s="16">
        <v>79887.437751004021</v>
      </c>
      <c r="K57" s="16">
        <v>199425.19778425299</v>
      </c>
      <c r="L57" s="16">
        <v>2239</v>
      </c>
      <c r="M57" s="16">
        <v>178828322.80221581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14</v>
      </c>
      <c r="E58" s="16">
        <v>3404485</v>
      </c>
      <c r="F58" s="16">
        <v>0</v>
      </c>
      <c r="G58" s="16">
        <v>0</v>
      </c>
      <c r="H58" s="16">
        <v>0</v>
      </c>
      <c r="I58" s="16">
        <v>0</v>
      </c>
      <c r="J58" s="16">
        <v>243177.5</v>
      </c>
      <c r="K58" s="16">
        <v>0</v>
      </c>
      <c r="L58" s="16">
        <v>14</v>
      </c>
      <c r="M58" s="16">
        <v>3404485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22332</v>
      </c>
      <c r="E59" s="17">
        <f t="shared" si="0"/>
        <v>20528682382</v>
      </c>
      <c r="F59" s="17">
        <f t="shared" si="0"/>
        <v>924.89</v>
      </c>
      <c r="G59" s="17">
        <f t="shared" si="0"/>
        <v>1154981168</v>
      </c>
      <c r="H59" s="17">
        <f t="shared" si="0"/>
        <v>822</v>
      </c>
      <c r="I59" s="17">
        <f t="shared" si="0"/>
        <v>890556850</v>
      </c>
      <c r="J59" s="17">
        <f t="shared" si="0"/>
        <v>278626136.77707177</v>
      </c>
      <c r="K59" s="17">
        <f t="shared" si="0"/>
        <v>852212123.78798187</v>
      </c>
      <c r="L59" s="17">
        <f t="shared" si="0"/>
        <v>22434.89</v>
      </c>
      <c r="M59" s="17">
        <f t="shared" si="0"/>
        <v>20831451426.212017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B19" workbookViewId="0">
      <selection activeCell="F27" sqref="F27"/>
    </sheetView>
  </sheetViews>
  <sheetFormatPr defaultColWidth="14.42578125" defaultRowHeight="15" customHeight="1" x14ac:dyDescent="0.25"/>
  <cols>
    <col min="1" max="2" width="13.7109375" customWidth="1"/>
    <col min="3" max="3" width="29.140625" customWidth="1"/>
    <col min="4" max="4" width="10.28515625" customWidth="1"/>
    <col min="5" max="5" width="19.28515625" customWidth="1"/>
    <col min="6" max="13" width="13.7109375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573</v>
      </c>
      <c r="E2" s="11">
        <v>258270675.22464341</v>
      </c>
      <c r="F2" s="11">
        <v>79</v>
      </c>
      <c r="G2" s="11">
        <v>41283636</v>
      </c>
      <c r="H2" s="11">
        <v>0</v>
      </c>
      <c r="I2" s="11">
        <v>0</v>
      </c>
      <c r="J2" s="11">
        <v>459610.7600334537</v>
      </c>
      <c r="K2" s="11">
        <v>0</v>
      </c>
      <c r="L2" s="11">
        <v>652</v>
      </c>
      <c r="M2" s="11">
        <v>299554311.22464353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160</v>
      </c>
      <c r="E3" s="11">
        <v>172771482.51756999</v>
      </c>
      <c r="F3" s="11">
        <v>0</v>
      </c>
      <c r="G3" s="11">
        <v>0</v>
      </c>
      <c r="H3" s="11">
        <v>8</v>
      </c>
      <c r="I3" s="11">
        <v>8381819</v>
      </c>
      <c r="J3" s="11">
        <v>1107300.9545454551</v>
      </c>
      <c r="K3" s="11">
        <v>11056742.741214979</v>
      </c>
      <c r="L3" s="11">
        <v>152</v>
      </c>
      <c r="M3" s="11">
        <v>161714739.776355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417</v>
      </c>
      <c r="E4" s="11">
        <v>182056325.82609281</v>
      </c>
      <c r="F4" s="11">
        <v>33</v>
      </c>
      <c r="G4" s="11">
        <v>14404500</v>
      </c>
      <c r="H4" s="11">
        <v>5</v>
      </c>
      <c r="I4" s="11">
        <v>2536363</v>
      </c>
      <c r="J4" s="11">
        <v>436820.52247208927</v>
      </c>
      <c r="K4" s="11">
        <v>2726117.570629003</v>
      </c>
      <c r="L4" s="11">
        <v>445</v>
      </c>
      <c r="M4" s="11">
        <v>193734708.25546381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1022</v>
      </c>
      <c r="E5" s="11">
        <v>149928192.75364789</v>
      </c>
      <c r="F5" s="11">
        <v>48</v>
      </c>
      <c r="G5" s="11">
        <v>6560000</v>
      </c>
      <c r="H5" s="11">
        <v>21</v>
      </c>
      <c r="I5" s="11">
        <v>5009092</v>
      </c>
      <c r="J5" s="11">
        <v>146660.1300150039</v>
      </c>
      <c r="K5" s="11">
        <v>3844172.8226144989</v>
      </c>
      <c r="L5" s="11">
        <v>1049</v>
      </c>
      <c r="M5" s="11">
        <v>152644019.9310334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51</v>
      </c>
      <c r="E6" s="11">
        <v>17081396</v>
      </c>
      <c r="F6" s="11">
        <v>2</v>
      </c>
      <c r="G6" s="11">
        <v>520000</v>
      </c>
      <c r="H6" s="11">
        <v>0</v>
      </c>
      <c r="I6" s="11">
        <v>0</v>
      </c>
      <c r="J6" s="11">
        <v>332101.8113207547</v>
      </c>
      <c r="K6" s="11">
        <v>0</v>
      </c>
      <c r="L6" s="11">
        <v>53</v>
      </c>
      <c r="M6" s="11">
        <v>17601396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0</v>
      </c>
      <c r="G7" s="11">
        <v>0</v>
      </c>
      <c r="H7" s="11">
        <v>0</v>
      </c>
      <c r="I7" s="11">
        <v>0</v>
      </c>
      <c r="J7" s="11">
        <v>29563.142857142859</v>
      </c>
      <c r="K7" s="11">
        <v>0</v>
      </c>
      <c r="L7" s="11">
        <v>7</v>
      </c>
      <c r="M7" s="11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1270</v>
      </c>
      <c r="E8" s="11">
        <v>161198218.23265311</v>
      </c>
      <c r="F8" s="11">
        <v>54</v>
      </c>
      <c r="G8" s="11">
        <v>8590910</v>
      </c>
      <c r="H8" s="11">
        <v>28</v>
      </c>
      <c r="I8" s="11">
        <v>4018182</v>
      </c>
      <c r="J8" s="11">
        <v>129126.1883721629</v>
      </c>
      <c r="K8" s="11">
        <v>4512777.3442565221</v>
      </c>
      <c r="L8" s="11">
        <v>1296</v>
      </c>
      <c r="M8" s="11">
        <v>165276350.8883965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56</v>
      </c>
      <c r="E9" s="11">
        <v>60006725.49629496</v>
      </c>
      <c r="F9" s="11">
        <v>30</v>
      </c>
      <c r="G9" s="11">
        <v>27584146.48420158</v>
      </c>
      <c r="H9" s="11">
        <v>0</v>
      </c>
      <c r="I9" s="11">
        <v>0</v>
      </c>
      <c r="J9" s="11">
        <v>1021604.361811402</v>
      </c>
      <c r="K9" s="11">
        <v>0</v>
      </c>
      <c r="L9" s="11">
        <v>86</v>
      </c>
      <c r="M9" s="11">
        <v>87590871.980496541</v>
      </c>
    </row>
    <row r="10" spans="1:13" s="21" customFormat="1" x14ac:dyDescent="0.25">
      <c r="A10" s="19">
        <v>9</v>
      </c>
      <c r="B10" s="19" t="s">
        <v>50</v>
      </c>
      <c r="C10" s="19" t="s">
        <v>51</v>
      </c>
      <c r="D10" s="20">
        <v>1343</v>
      </c>
      <c r="E10" s="20">
        <v>600134543.86162925</v>
      </c>
      <c r="F10" s="20">
        <v>121</v>
      </c>
      <c r="G10" s="20">
        <v>-74886617.48420158</v>
      </c>
      <c r="H10" s="20">
        <v>10</v>
      </c>
      <c r="I10" s="20">
        <v>23118182</v>
      </c>
      <c r="J10" s="20">
        <v>361290.91808080889</v>
      </c>
      <c r="K10" s="20">
        <v>4509502.0458967052</v>
      </c>
      <c r="L10" s="20">
        <v>1454</v>
      </c>
      <c r="M10" s="20">
        <v>520738424.33153099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486</v>
      </c>
      <c r="E11" s="11">
        <v>877012674.56670749</v>
      </c>
      <c r="F11" s="11">
        <v>28</v>
      </c>
      <c r="G11" s="11">
        <v>109827272</v>
      </c>
      <c r="H11" s="11">
        <v>8</v>
      </c>
      <c r="I11" s="11">
        <v>30845455</v>
      </c>
      <c r="J11" s="11">
        <v>1925165.663234317</v>
      </c>
      <c r="K11" s="11">
        <v>19223374.986920569</v>
      </c>
      <c r="L11" s="11">
        <v>506</v>
      </c>
      <c r="M11" s="11">
        <v>967616571.5797869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60</v>
      </c>
      <c r="E12" s="11">
        <v>189234201</v>
      </c>
      <c r="F12" s="11">
        <v>10</v>
      </c>
      <c r="G12" s="11">
        <v>40000000</v>
      </c>
      <c r="H12" s="11">
        <v>0</v>
      </c>
      <c r="I12" s="11">
        <v>0</v>
      </c>
      <c r="J12" s="11">
        <v>3274774.3</v>
      </c>
      <c r="K12" s="11">
        <v>0</v>
      </c>
      <c r="L12" s="11">
        <v>70</v>
      </c>
      <c r="M12" s="11">
        <v>229234201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1635</v>
      </c>
      <c r="E14" s="11">
        <v>187053112.2922079</v>
      </c>
      <c r="F14" s="11">
        <v>310</v>
      </c>
      <c r="G14" s="11">
        <v>56216353</v>
      </c>
      <c r="H14" s="11">
        <v>12</v>
      </c>
      <c r="I14" s="11">
        <v>2845455</v>
      </c>
      <c r="J14" s="11">
        <v>125352.4217560918</v>
      </c>
      <c r="K14" s="11">
        <v>1877524.0917872239</v>
      </c>
      <c r="L14" s="11">
        <v>1933</v>
      </c>
      <c r="M14" s="11">
        <v>241391941.20042059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2079</v>
      </c>
      <c r="E15" s="11">
        <v>233553573.71961749</v>
      </c>
      <c r="F15" s="11">
        <v>37</v>
      </c>
      <c r="G15" s="11">
        <v>17145455</v>
      </c>
      <c r="H15" s="11">
        <v>30</v>
      </c>
      <c r="I15" s="11">
        <v>4045454</v>
      </c>
      <c r="J15" s="11">
        <v>118834.6802930057</v>
      </c>
      <c r="K15" s="11">
        <v>4449753.9828963811</v>
      </c>
      <c r="L15" s="11">
        <v>2086</v>
      </c>
      <c r="M15" s="11">
        <v>246249274.7367211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7358.89</v>
      </c>
      <c r="E16" s="11">
        <v>4472059854.7866964</v>
      </c>
      <c r="F16" s="11">
        <v>974</v>
      </c>
      <c r="G16" s="11">
        <v>391323275.36194789</v>
      </c>
      <c r="H16" s="11">
        <v>142</v>
      </c>
      <c r="I16" s="11">
        <v>136845457</v>
      </c>
      <c r="J16" s="11">
        <v>594230.50963312725</v>
      </c>
      <c r="K16" s="11">
        <v>105320966.0704001</v>
      </c>
      <c r="L16" s="11">
        <v>8190.8899999999994</v>
      </c>
      <c r="M16" s="11">
        <v>4758062164.0782442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13</v>
      </c>
      <c r="E17" s="11">
        <v>164182075</v>
      </c>
      <c r="F17" s="11">
        <v>0</v>
      </c>
      <c r="G17" s="11">
        <v>0</v>
      </c>
      <c r="H17" s="11">
        <v>0</v>
      </c>
      <c r="I17" s="11">
        <v>0</v>
      </c>
      <c r="J17" s="11">
        <v>12629390.38461538</v>
      </c>
      <c r="K17" s="11">
        <v>0</v>
      </c>
      <c r="L17" s="11">
        <v>13</v>
      </c>
      <c r="M17" s="11">
        <v>164182075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3</v>
      </c>
      <c r="E18" s="11">
        <v>8767993</v>
      </c>
      <c r="F18" s="11">
        <v>1</v>
      </c>
      <c r="G18" s="11">
        <v>2909091</v>
      </c>
      <c r="H18" s="11">
        <v>0</v>
      </c>
      <c r="I18" s="11">
        <v>0</v>
      </c>
      <c r="J18" s="11">
        <v>2919271</v>
      </c>
      <c r="K18" s="11">
        <v>0</v>
      </c>
      <c r="L18" s="11">
        <v>4</v>
      </c>
      <c r="M18" s="11">
        <v>11677084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213</v>
      </c>
      <c r="E19" s="11">
        <v>908383147</v>
      </c>
      <c r="F19" s="11">
        <v>9</v>
      </c>
      <c r="G19" s="11">
        <v>2890909</v>
      </c>
      <c r="H19" s="11">
        <v>0</v>
      </c>
      <c r="I19" s="11">
        <v>0</v>
      </c>
      <c r="J19" s="11">
        <v>4104838.0900900899</v>
      </c>
      <c r="K19" s="11">
        <v>0</v>
      </c>
      <c r="L19" s="11">
        <v>222</v>
      </c>
      <c r="M19" s="11">
        <v>911274056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25</v>
      </c>
      <c r="E20" s="11">
        <v>262641555.18460849</v>
      </c>
      <c r="F20" s="11">
        <v>0</v>
      </c>
      <c r="G20" s="11">
        <v>0</v>
      </c>
      <c r="H20" s="11">
        <v>0</v>
      </c>
      <c r="I20" s="11">
        <v>0</v>
      </c>
      <c r="J20" s="11">
        <v>10610992.73076923</v>
      </c>
      <c r="K20" s="11">
        <v>0</v>
      </c>
      <c r="L20" s="11">
        <v>25</v>
      </c>
      <c r="M20" s="11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22</v>
      </c>
      <c r="E21" s="11">
        <v>229745893</v>
      </c>
      <c r="F21" s="11">
        <v>0</v>
      </c>
      <c r="G21" s="11">
        <v>0</v>
      </c>
      <c r="H21" s="11">
        <v>0</v>
      </c>
      <c r="I21" s="11">
        <v>0</v>
      </c>
      <c r="J21" s="11">
        <v>10442995.13636364</v>
      </c>
      <c r="K21" s="11">
        <v>0</v>
      </c>
      <c r="L21" s="11">
        <v>22</v>
      </c>
      <c r="M21" s="11">
        <v>229745893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17</v>
      </c>
      <c r="E22" s="11">
        <v>226455706</v>
      </c>
      <c r="F22" s="11">
        <v>0</v>
      </c>
      <c r="G22" s="11">
        <v>0</v>
      </c>
      <c r="H22" s="11">
        <v>1</v>
      </c>
      <c r="I22" s="11">
        <v>13254546</v>
      </c>
      <c r="J22" s="11">
        <v>13320923.882352941</v>
      </c>
      <c r="K22" s="11">
        <v>16626693.474555871</v>
      </c>
      <c r="L22" s="11">
        <v>16</v>
      </c>
      <c r="M22" s="11">
        <v>209829012.52544409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24</v>
      </c>
      <c r="E23" s="11">
        <v>311732602</v>
      </c>
      <c r="F23" s="11">
        <v>0</v>
      </c>
      <c r="G23" s="11">
        <v>0</v>
      </c>
      <c r="H23" s="11">
        <v>0</v>
      </c>
      <c r="I23" s="11">
        <v>0</v>
      </c>
      <c r="J23" s="11">
        <v>12988858.41666667</v>
      </c>
      <c r="K23" s="11">
        <v>0</v>
      </c>
      <c r="L23" s="11">
        <v>24</v>
      </c>
      <c r="M23" s="11">
        <v>311732602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135</v>
      </c>
      <c r="E24" s="11">
        <v>994467169</v>
      </c>
      <c r="F24" s="11">
        <v>0</v>
      </c>
      <c r="G24" s="11">
        <v>0</v>
      </c>
      <c r="H24" s="11">
        <v>1</v>
      </c>
      <c r="I24" s="11">
        <v>10445455</v>
      </c>
      <c r="J24" s="11">
        <v>7366423.4740740741</v>
      </c>
      <c r="K24" s="11">
        <v>9194502.2874470837</v>
      </c>
      <c r="L24" s="11">
        <v>134</v>
      </c>
      <c r="M24" s="11">
        <v>985272666.71255291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1">
        <v>15871570</v>
      </c>
      <c r="F25" s="11">
        <v>0</v>
      </c>
      <c r="G25" s="11">
        <v>0</v>
      </c>
      <c r="H25" s="11">
        <v>0</v>
      </c>
      <c r="I25" s="11">
        <v>0</v>
      </c>
      <c r="J25" s="11">
        <v>15871570</v>
      </c>
      <c r="K25" s="11">
        <v>0</v>
      </c>
      <c r="L25" s="11">
        <v>1</v>
      </c>
      <c r="M25" s="11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23</v>
      </c>
      <c r="E26" s="11">
        <v>337550257</v>
      </c>
      <c r="F26" s="11">
        <v>1</v>
      </c>
      <c r="G26" s="11">
        <v>22216364</v>
      </c>
      <c r="H26" s="11">
        <v>1</v>
      </c>
      <c r="I26" s="11">
        <v>23809091</v>
      </c>
      <c r="J26" s="11">
        <v>14990275.875</v>
      </c>
      <c r="K26" s="11">
        <v>18710318.013515331</v>
      </c>
      <c r="L26" s="11">
        <v>23</v>
      </c>
      <c r="M26" s="11">
        <v>341056302.98648459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0</v>
      </c>
      <c r="G27" s="11">
        <v>0</v>
      </c>
      <c r="H27" s="11">
        <v>0</v>
      </c>
      <c r="I27" s="11">
        <v>0</v>
      </c>
      <c r="J27" s="11">
        <v>15806114.5</v>
      </c>
      <c r="K27" s="11">
        <v>0</v>
      </c>
      <c r="L27" s="11">
        <v>2</v>
      </c>
      <c r="M27" s="11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1">
        <v>91534934</v>
      </c>
      <c r="F28" s="11">
        <v>0</v>
      </c>
      <c r="G28" s="11">
        <v>0</v>
      </c>
      <c r="H28" s="11">
        <v>0</v>
      </c>
      <c r="I28" s="11">
        <v>0</v>
      </c>
      <c r="J28" s="11">
        <v>8321357.6363636367</v>
      </c>
      <c r="K28" s="11">
        <v>0</v>
      </c>
      <c r="L28" s="11">
        <v>11</v>
      </c>
      <c r="M28" s="11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46</v>
      </c>
      <c r="E29" s="11">
        <v>291977142</v>
      </c>
      <c r="F29" s="11">
        <v>0</v>
      </c>
      <c r="G29" s="11">
        <v>0</v>
      </c>
      <c r="H29" s="11">
        <v>0</v>
      </c>
      <c r="I29" s="11">
        <v>0</v>
      </c>
      <c r="J29" s="11">
        <v>6347329.1739130439</v>
      </c>
      <c r="K29" s="11">
        <v>0</v>
      </c>
      <c r="L29" s="11">
        <v>46</v>
      </c>
      <c r="M29" s="11">
        <v>291977142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94</v>
      </c>
      <c r="E30" s="11">
        <v>913210178</v>
      </c>
      <c r="F30" s="11">
        <v>0</v>
      </c>
      <c r="G30" s="11">
        <v>0</v>
      </c>
      <c r="H30" s="11">
        <v>2</v>
      </c>
      <c r="I30" s="11">
        <v>21718181</v>
      </c>
      <c r="J30" s="11">
        <v>9715001.8936170209</v>
      </c>
      <c r="K30" s="11">
        <v>24251825.176163159</v>
      </c>
      <c r="L30" s="11">
        <v>92</v>
      </c>
      <c r="M30" s="11">
        <v>888958352.8238368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203</v>
      </c>
      <c r="E31" s="11">
        <v>1791472728.209352</v>
      </c>
      <c r="F31" s="11">
        <v>52</v>
      </c>
      <c r="G31" s="11">
        <v>429754545</v>
      </c>
      <c r="H31" s="11">
        <v>22</v>
      </c>
      <c r="I31" s="11">
        <v>174345454</v>
      </c>
      <c r="J31" s="11">
        <v>8771332.881699346</v>
      </c>
      <c r="K31" s="11">
        <v>240857302.27549729</v>
      </c>
      <c r="L31" s="11">
        <v>233</v>
      </c>
      <c r="M31" s="11">
        <v>1980369970.9338541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53108133</v>
      </c>
      <c r="F32" s="11">
        <v>0</v>
      </c>
      <c r="G32" s="11">
        <v>0</v>
      </c>
      <c r="H32" s="11">
        <v>0</v>
      </c>
      <c r="I32" s="11">
        <v>0</v>
      </c>
      <c r="J32" s="11">
        <v>17702711</v>
      </c>
      <c r="K32" s="11">
        <v>0</v>
      </c>
      <c r="L32" s="11">
        <v>3</v>
      </c>
      <c r="M32" s="11">
        <v>53108133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1">
        <v>101090592</v>
      </c>
      <c r="F33" s="11">
        <v>0</v>
      </c>
      <c r="G33" s="11">
        <v>0</v>
      </c>
      <c r="H33" s="11">
        <v>0</v>
      </c>
      <c r="I33" s="11">
        <v>0</v>
      </c>
      <c r="J33" s="11">
        <v>2150863.6595744682</v>
      </c>
      <c r="K33" s="11">
        <v>0</v>
      </c>
      <c r="L33" s="11">
        <v>47</v>
      </c>
      <c r="M33" s="11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21</v>
      </c>
      <c r="E34" s="11">
        <v>338546554</v>
      </c>
      <c r="F34" s="11">
        <v>9</v>
      </c>
      <c r="G34" s="11">
        <v>155322540.63805211</v>
      </c>
      <c r="H34" s="11">
        <v>1</v>
      </c>
      <c r="I34" s="11">
        <v>17700000</v>
      </c>
      <c r="J34" s="11">
        <v>16462303.15460174</v>
      </c>
      <c r="K34" s="11">
        <v>20547649.010995612</v>
      </c>
      <c r="L34" s="11">
        <v>29</v>
      </c>
      <c r="M34" s="11">
        <v>473321445.62705648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8</v>
      </c>
      <c r="E35" s="11">
        <v>82338594</v>
      </c>
      <c r="F35" s="11">
        <v>4</v>
      </c>
      <c r="G35" s="11">
        <v>44545455</v>
      </c>
      <c r="H35" s="11">
        <v>0</v>
      </c>
      <c r="I35" s="11">
        <v>0</v>
      </c>
      <c r="J35" s="11">
        <v>10573670.75</v>
      </c>
      <c r="K35" s="11">
        <v>0</v>
      </c>
      <c r="L35" s="11">
        <v>12</v>
      </c>
      <c r="M35" s="11">
        <v>126884049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37</v>
      </c>
      <c r="E36" s="11">
        <v>226208575</v>
      </c>
      <c r="F36" s="11">
        <v>0</v>
      </c>
      <c r="G36" s="11">
        <v>0</v>
      </c>
      <c r="H36" s="11">
        <v>0</v>
      </c>
      <c r="I36" s="11">
        <v>0</v>
      </c>
      <c r="J36" s="11">
        <v>6113745.2702702703</v>
      </c>
      <c r="K36" s="11">
        <v>0</v>
      </c>
      <c r="L36" s="11">
        <v>37</v>
      </c>
      <c r="M36" s="11">
        <v>226208575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108</v>
      </c>
      <c r="E37" s="11">
        <v>377858644</v>
      </c>
      <c r="F37" s="11">
        <v>41</v>
      </c>
      <c r="G37" s="11">
        <v>55909091</v>
      </c>
      <c r="H37" s="11">
        <v>41</v>
      </c>
      <c r="I37" s="11">
        <v>279818181</v>
      </c>
      <c r="J37" s="11">
        <v>2911192.8523489931</v>
      </c>
      <c r="K37" s="11">
        <v>148979453.43591091</v>
      </c>
      <c r="L37" s="11">
        <v>108</v>
      </c>
      <c r="M37" s="11">
        <v>284788281.56408918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131</v>
      </c>
      <c r="E38" s="11">
        <v>649849362</v>
      </c>
      <c r="F38" s="11">
        <v>4</v>
      </c>
      <c r="G38" s="11">
        <v>10854546</v>
      </c>
      <c r="H38" s="11">
        <v>1</v>
      </c>
      <c r="I38" s="11">
        <v>13427273</v>
      </c>
      <c r="J38" s="11">
        <v>4894103.0222222218</v>
      </c>
      <c r="K38" s="11">
        <v>6108641.6754611107</v>
      </c>
      <c r="L38" s="11">
        <v>134</v>
      </c>
      <c r="M38" s="11">
        <v>654595266.32453895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126</v>
      </c>
      <c r="E39" s="11">
        <v>738224403.64689124</v>
      </c>
      <c r="F39" s="11">
        <v>8</v>
      </c>
      <c r="G39" s="11">
        <v>36673894</v>
      </c>
      <c r="H39" s="11">
        <v>1</v>
      </c>
      <c r="I39" s="11">
        <v>18145455</v>
      </c>
      <c r="J39" s="11">
        <v>5804610.0144589553</v>
      </c>
      <c r="K39" s="11">
        <v>7245103.4404303711</v>
      </c>
      <c r="L39" s="11">
        <v>133</v>
      </c>
      <c r="M39" s="11">
        <v>767653194.20646083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22</v>
      </c>
      <c r="E40" s="11">
        <v>111665736</v>
      </c>
      <c r="F40" s="11">
        <v>4</v>
      </c>
      <c r="G40" s="11">
        <v>7585664</v>
      </c>
      <c r="H40" s="11">
        <v>1</v>
      </c>
      <c r="I40" s="11">
        <v>16809091</v>
      </c>
      <c r="J40" s="11">
        <v>4586592.307692308</v>
      </c>
      <c r="K40" s="11">
        <v>5724817.9680526564</v>
      </c>
      <c r="L40" s="11">
        <v>25</v>
      </c>
      <c r="M40" s="11">
        <v>113526582.0319473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76</v>
      </c>
      <c r="E41" s="11">
        <v>299412452.55060828</v>
      </c>
      <c r="F41" s="11">
        <v>6</v>
      </c>
      <c r="G41" s="11">
        <v>29738182</v>
      </c>
      <c r="H41" s="11">
        <v>2</v>
      </c>
      <c r="I41" s="11">
        <v>10145454</v>
      </c>
      <c r="J41" s="11">
        <v>4038034.6110068788</v>
      </c>
      <c r="K41" s="11">
        <v>10080256.34104888</v>
      </c>
      <c r="L41" s="11">
        <v>80</v>
      </c>
      <c r="M41" s="11">
        <v>319070378.20955938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514</v>
      </c>
      <c r="E42" s="11">
        <v>1286948448.513684</v>
      </c>
      <c r="F42" s="11">
        <v>67</v>
      </c>
      <c r="G42" s="11">
        <v>185409018</v>
      </c>
      <c r="H42" s="11">
        <v>50</v>
      </c>
      <c r="I42" s="11">
        <v>122768179</v>
      </c>
      <c r="J42" s="11">
        <v>2591221.575454772</v>
      </c>
      <c r="K42" s="11">
        <v>161713433.84379509</v>
      </c>
      <c r="L42" s="11">
        <v>531</v>
      </c>
      <c r="M42" s="11">
        <v>1310644032.669889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572</v>
      </c>
      <c r="E43" s="11">
        <v>1344979699.4488449</v>
      </c>
      <c r="F43" s="11">
        <v>13</v>
      </c>
      <c r="G43" s="11">
        <v>70292728</v>
      </c>
      <c r="H43" s="11">
        <v>15</v>
      </c>
      <c r="I43" s="11">
        <v>70509091</v>
      </c>
      <c r="J43" s="11">
        <v>2431301.4512586351</v>
      </c>
      <c r="K43" s="11">
        <v>45519932.774189591</v>
      </c>
      <c r="L43" s="11">
        <v>570</v>
      </c>
      <c r="M43" s="11">
        <v>1369752494.6746559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14</v>
      </c>
      <c r="E45" s="11">
        <v>84866751</v>
      </c>
      <c r="F45" s="11">
        <v>0</v>
      </c>
      <c r="G45" s="11">
        <v>0</v>
      </c>
      <c r="H45" s="11">
        <v>0</v>
      </c>
      <c r="I45" s="11">
        <v>0</v>
      </c>
      <c r="J45" s="11">
        <v>6061910.7857142854</v>
      </c>
      <c r="K45" s="11">
        <v>0</v>
      </c>
      <c r="L45" s="11">
        <v>14</v>
      </c>
      <c r="M45" s="11">
        <v>84866751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16</v>
      </c>
      <c r="E46" s="11">
        <v>76199967</v>
      </c>
      <c r="F46" s="11">
        <v>2</v>
      </c>
      <c r="G46" s="11">
        <v>15090910</v>
      </c>
      <c r="H46" s="11">
        <v>0</v>
      </c>
      <c r="I46" s="11">
        <v>0</v>
      </c>
      <c r="J46" s="11">
        <v>5071715.388888889</v>
      </c>
      <c r="K46" s="11">
        <v>0</v>
      </c>
      <c r="L46" s="11">
        <v>18</v>
      </c>
      <c r="M46" s="11">
        <v>91290877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18</v>
      </c>
      <c r="E47" s="11">
        <v>15131275</v>
      </c>
      <c r="F47" s="11">
        <v>0</v>
      </c>
      <c r="G47" s="11">
        <v>0</v>
      </c>
      <c r="H47" s="11">
        <v>0</v>
      </c>
      <c r="I47" s="11">
        <v>0</v>
      </c>
      <c r="J47" s="11">
        <v>840626.38888888888</v>
      </c>
      <c r="K47" s="11">
        <v>0</v>
      </c>
      <c r="L47" s="11">
        <v>18</v>
      </c>
      <c r="M47" s="11">
        <v>15131275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93</v>
      </c>
      <c r="E48" s="11">
        <v>37974966.136193171</v>
      </c>
      <c r="F48" s="11">
        <v>40</v>
      </c>
      <c r="G48" s="11">
        <v>17454560</v>
      </c>
      <c r="H48" s="11">
        <v>1</v>
      </c>
      <c r="I48" s="11">
        <v>954545</v>
      </c>
      <c r="J48" s="11">
        <v>427024.06369697832</v>
      </c>
      <c r="K48" s="11">
        <v>532995.93001613731</v>
      </c>
      <c r="L48" s="11">
        <v>132</v>
      </c>
      <c r="M48" s="11">
        <v>54896530.206177033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25</v>
      </c>
      <c r="E49" s="11">
        <v>190350169.1942201</v>
      </c>
      <c r="F49" s="11">
        <v>1</v>
      </c>
      <c r="G49" s="11">
        <v>8818182</v>
      </c>
      <c r="H49" s="11">
        <v>3</v>
      </c>
      <c r="I49" s="11">
        <v>20809091</v>
      </c>
      <c r="J49" s="11">
        <v>7733723.6789940828</v>
      </c>
      <c r="K49" s="11">
        <v>28958859.19697253</v>
      </c>
      <c r="L49" s="11">
        <v>23</v>
      </c>
      <c r="M49" s="11">
        <v>170209491.99724761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0</v>
      </c>
      <c r="G50" s="11">
        <v>0</v>
      </c>
      <c r="H50" s="11">
        <v>0</v>
      </c>
      <c r="I50" s="11">
        <v>0</v>
      </c>
      <c r="J50" s="11">
        <v>468825.5</v>
      </c>
      <c r="K50" s="11">
        <v>0</v>
      </c>
      <c r="L50" s="11">
        <v>2</v>
      </c>
      <c r="M50" s="11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621</v>
      </c>
      <c r="E51" s="11">
        <v>202038092</v>
      </c>
      <c r="F51" s="11">
        <v>0</v>
      </c>
      <c r="G51" s="11">
        <v>0</v>
      </c>
      <c r="H51" s="11">
        <v>9</v>
      </c>
      <c r="I51" s="11">
        <v>5427273</v>
      </c>
      <c r="J51" s="11">
        <v>325343.14331723028</v>
      </c>
      <c r="K51" s="11">
        <v>3654733.4773342628</v>
      </c>
      <c r="L51" s="11">
        <v>612</v>
      </c>
      <c r="M51" s="11">
        <v>198383358.52266571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28</v>
      </c>
      <c r="E52" s="11">
        <v>19749100.14006342</v>
      </c>
      <c r="F52" s="11">
        <v>0</v>
      </c>
      <c r="G52" s="11">
        <v>0</v>
      </c>
      <c r="H52" s="11">
        <v>1</v>
      </c>
      <c r="I52" s="11">
        <v>1363636</v>
      </c>
      <c r="J52" s="11">
        <v>718053.20000000007</v>
      </c>
      <c r="K52" s="11">
        <v>896247.92996828875</v>
      </c>
      <c r="L52" s="11">
        <v>27</v>
      </c>
      <c r="M52" s="11">
        <v>18852852.21009513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126</v>
      </c>
      <c r="E53" s="11">
        <v>81915055.107575759</v>
      </c>
      <c r="F53" s="11">
        <v>0</v>
      </c>
      <c r="G53" s="11">
        <v>0</v>
      </c>
      <c r="H53" s="11">
        <v>3</v>
      </c>
      <c r="I53" s="11">
        <v>2100000</v>
      </c>
      <c r="J53" s="11">
        <v>651402.45669291331</v>
      </c>
      <c r="K53" s="11">
        <v>2439170.6772727198</v>
      </c>
      <c r="L53" s="11">
        <v>123</v>
      </c>
      <c r="M53" s="11">
        <v>79475884.430303037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86</v>
      </c>
      <c r="E54" s="11">
        <v>80015789</v>
      </c>
      <c r="F54" s="11">
        <v>0</v>
      </c>
      <c r="G54" s="11">
        <v>0</v>
      </c>
      <c r="H54" s="11">
        <v>2</v>
      </c>
      <c r="I54" s="11">
        <v>2109091</v>
      </c>
      <c r="J54" s="11">
        <v>930416.15116279072</v>
      </c>
      <c r="K54" s="11">
        <v>2322623.3083808101</v>
      </c>
      <c r="L54" s="11">
        <v>84</v>
      </c>
      <c r="M54" s="11">
        <v>77693165.691619188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11</v>
      </c>
      <c r="E55" s="11">
        <v>36426361</v>
      </c>
      <c r="F55" s="11">
        <v>0</v>
      </c>
      <c r="G55" s="11">
        <v>0</v>
      </c>
      <c r="H55" s="11">
        <v>0</v>
      </c>
      <c r="I55" s="11">
        <v>0</v>
      </c>
      <c r="J55" s="11">
        <v>3311487.3636363642</v>
      </c>
      <c r="K55" s="11">
        <v>0</v>
      </c>
      <c r="L55" s="11">
        <v>11</v>
      </c>
      <c r="M55" s="11">
        <v>36426361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117</v>
      </c>
      <c r="E56" s="11">
        <v>37301340</v>
      </c>
      <c r="F56" s="11">
        <v>20</v>
      </c>
      <c r="G56" s="11">
        <v>600000</v>
      </c>
      <c r="H56" s="11">
        <v>0</v>
      </c>
      <c r="I56" s="11">
        <v>0</v>
      </c>
      <c r="J56" s="11">
        <v>276652.11678832117</v>
      </c>
      <c r="K56" s="11">
        <v>0</v>
      </c>
      <c r="L56" s="11">
        <v>137</v>
      </c>
      <c r="M56" s="11">
        <v>37901340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2239</v>
      </c>
      <c r="E57" s="11">
        <v>178828322.80221581</v>
      </c>
      <c r="F57" s="11">
        <v>61</v>
      </c>
      <c r="G57" s="11">
        <v>11069450</v>
      </c>
      <c r="H57" s="11">
        <v>74</v>
      </c>
      <c r="I57" s="11">
        <v>19236365</v>
      </c>
      <c r="J57" s="11">
        <v>82581.488314999122</v>
      </c>
      <c r="K57" s="11">
        <v>7627565.9084109096</v>
      </c>
      <c r="L57" s="11">
        <v>2226</v>
      </c>
      <c r="M57" s="11">
        <v>182270206.89380479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14</v>
      </c>
      <c r="E58" s="11">
        <v>3404485</v>
      </c>
      <c r="F58" s="11">
        <v>0</v>
      </c>
      <c r="G58" s="11">
        <v>0</v>
      </c>
      <c r="H58" s="11">
        <v>0</v>
      </c>
      <c r="I58" s="11">
        <v>0</v>
      </c>
      <c r="J58" s="11">
        <v>243177.5</v>
      </c>
      <c r="K58" s="11">
        <v>0</v>
      </c>
      <c r="L58" s="11">
        <v>14</v>
      </c>
      <c r="M58" s="11">
        <v>3404485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22434.89</v>
      </c>
      <c r="E59" s="14">
        <f t="shared" si="0"/>
        <v>20831451426.212017</v>
      </c>
      <c r="F59" s="14">
        <f t="shared" si="0"/>
        <v>2069</v>
      </c>
      <c r="G59" s="14">
        <f t="shared" si="0"/>
        <v>1745704060</v>
      </c>
      <c r="H59" s="14">
        <f t="shared" si="0"/>
        <v>496</v>
      </c>
      <c r="I59" s="14">
        <f t="shared" si="0"/>
        <v>1062540911</v>
      </c>
      <c r="J59" s="14">
        <f t="shared" si="0"/>
        <v>278619972.00160158</v>
      </c>
      <c r="K59" s="14">
        <f t="shared" si="0"/>
        <v>919513057.80203438</v>
      </c>
      <c r="L59" s="14">
        <f t="shared" si="0"/>
        <v>24007.89</v>
      </c>
      <c r="M59" s="14">
        <f t="shared" si="0"/>
        <v>21657642428.409985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selection activeCell="O59" sqref="O59"/>
    </sheetView>
  </sheetViews>
  <sheetFormatPr defaultColWidth="14.42578125" defaultRowHeight="15" customHeight="1" x14ac:dyDescent="0.25"/>
  <cols>
    <col min="1" max="4" width="8.7109375" customWidth="1"/>
    <col min="5" max="5" width="19.42578125" style="18" customWidth="1"/>
    <col min="6" max="6" width="8.7109375" style="18" customWidth="1"/>
    <col min="7" max="7" width="16" style="18" customWidth="1"/>
    <col min="8" max="8" width="8.7109375" style="18" customWidth="1"/>
    <col min="9" max="9" width="16" style="18" customWidth="1"/>
    <col min="10" max="10" width="18.85546875" style="25" customWidth="1"/>
    <col min="11" max="11" width="19.42578125" style="18" customWidth="1"/>
    <col min="12" max="12" width="8.7109375" style="18" customWidth="1"/>
    <col min="13" max="13" width="15.5703125" style="18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15" t="s">
        <v>4</v>
      </c>
      <c r="F1" s="15" t="s">
        <v>152</v>
      </c>
      <c r="G1" s="15" t="s">
        <v>153</v>
      </c>
      <c r="H1" s="15" t="s">
        <v>154</v>
      </c>
      <c r="I1" s="15" t="s">
        <v>155</v>
      </c>
      <c r="J1" s="22" t="s">
        <v>156</v>
      </c>
      <c r="K1" s="15" t="s">
        <v>157</v>
      </c>
      <c r="L1" s="15" t="s">
        <v>8</v>
      </c>
      <c r="M1" s="15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652</v>
      </c>
      <c r="E2" s="16">
        <v>299554311.22464353</v>
      </c>
      <c r="F2" s="16">
        <v>5</v>
      </c>
      <c r="G2" s="16">
        <v>4300000</v>
      </c>
      <c r="H2" s="16">
        <v>31</v>
      </c>
      <c r="I2" s="16">
        <v>17272727</v>
      </c>
      <c r="J2" s="23">
        <v>462657.86231630412</v>
      </c>
      <c r="K2" s="16">
        <v>17901655.04856851</v>
      </c>
      <c r="L2" s="16">
        <v>626</v>
      </c>
      <c r="M2" s="16">
        <v>285952656.17607498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152</v>
      </c>
      <c r="E3" s="16">
        <v>161714739.776355</v>
      </c>
      <c r="F3" s="16">
        <v>1</v>
      </c>
      <c r="G3" s="16">
        <v>1954545</v>
      </c>
      <c r="H3" s="16">
        <v>6</v>
      </c>
      <c r="I3" s="16">
        <v>5832727</v>
      </c>
      <c r="J3" s="23">
        <v>1112838.4973262029</v>
      </c>
      <c r="K3" s="16">
        <v>8334027.6148143113</v>
      </c>
      <c r="L3" s="16">
        <v>147</v>
      </c>
      <c r="M3" s="16">
        <v>155335257.16154069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445</v>
      </c>
      <c r="E4" s="16">
        <v>193734708.25546381</v>
      </c>
      <c r="F4" s="16">
        <v>50</v>
      </c>
      <c r="G4" s="16">
        <v>21825001</v>
      </c>
      <c r="H4" s="16">
        <v>3</v>
      </c>
      <c r="I4" s="16">
        <v>1227273</v>
      </c>
      <c r="J4" s="23">
        <v>436788.14848500962</v>
      </c>
      <c r="K4" s="16">
        <v>1635549.3182721201</v>
      </c>
      <c r="L4" s="16">
        <v>492</v>
      </c>
      <c r="M4" s="16">
        <v>213924159.93719169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1049</v>
      </c>
      <c r="E5" s="16">
        <v>152644019.9310334</v>
      </c>
      <c r="F5" s="16">
        <v>48</v>
      </c>
      <c r="G5" s="16">
        <v>6560000</v>
      </c>
      <c r="H5" s="16">
        <v>12</v>
      </c>
      <c r="I5" s="16">
        <v>2209091</v>
      </c>
      <c r="J5" s="23">
        <v>146222.8590571915</v>
      </c>
      <c r="K5" s="16">
        <v>2190120.755577208</v>
      </c>
      <c r="L5" s="16">
        <v>1085</v>
      </c>
      <c r="M5" s="16">
        <v>157013899.1754562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53</v>
      </c>
      <c r="E6" s="16">
        <v>17601396</v>
      </c>
      <c r="F6" s="16">
        <v>1</v>
      </c>
      <c r="G6" s="16">
        <v>4363636</v>
      </c>
      <c r="H6" s="16">
        <v>0</v>
      </c>
      <c r="I6" s="16">
        <v>0</v>
      </c>
      <c r="J6" s="23">
        <v>406759.85185185191</v>
      </c>
      <c r="K6" s="16">
        <v>0</v>
      </c>
      <c r="L6" s="16">
        <v>54</v>
      </c>
      <c r="M6" s="16">
        <v>21965032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6">
        <v>206942</v>
      </c>
      <c r="F7" s="16">
        <v>0</v>
      </c>
      <c r="G7" s="16">
        <v>0</v>
      </c>
      <c r="H7" s="16">
        <v>0</v>
      </c>
      <c r="I7" s="16">
        <v>0</v>
      </c>
      <c r="J7" s="23">
        <v>29563.142857142859</v>
      </c>
      <c r="K7" s="16">
        <v>0</v>
      </c>
      <c r="L7" s="16">
        <v>7</v>
      </c>
      <c r="M7" s="16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1296</v>
      </c>
      <c r="E8" s="16">
        <v>165276350.8883965</v>
      </c>
      <c r="F8" s="16">
        <v>6</v>
      </c>
      <c r="G8" s="16">
        <v>7163636</v>
      </c>
      <c r="H8" s="16">
        <v>65</v>
      </c>
      <c r="I8" s="16">
        <v>8945451</v>
      </c>
      <c r="J8" s="23">
        <v>134033.1613904172</v>
      </c>
      <c r="K8" s="16">
        <v>10874196.123368509</v>
      </c>
      <c r="L8" s="16">
        <v>1237</v>
      </c>
      <c r="M8" s="16">
        <v>161565790.765028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86</v>
      </c>
      <c r="E9" s="16">
        <v>87590871.980496541</v>
      </c>
      <c r="F9" s="16">
        <v>1</v>
      </c>
      <c r="G9" s="16">
        <v>517950</v>
      </c>
      <c r="H9" s="16">
        <v>7</v>
      </c>
      <c r="I9" s="16">
        <v>10090909</v>
      </c>
      <c r="J9" s="23">
        <v>1015815.231215868</v>
      </c>
      <c r="K9" s="16">
        <v>8875325.7940391637</v>
      </c>
      <c r="L9" s="16">
        <v>80</v>
      </c>
      <c r="M9" s="16">
        <v>79233496.186457381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1454</v>
      </c>
      <c r="E10" s="16">
        <v>520738424.33153099</v>
      </c>
      <c r="F10" s="16">
        <v>93</v>
      </c>
      <c r="G10" s="16">
        <v>155969106.99411729</v>
      </c>
      <c r="H10" s="16">
        <v>45</v>
      </c>
      <c r="I10" s="16">
        <v>91554544</v>
      </c>
      <c r="J10" s="23">
        <v>440391.79177996988</v>
      </c>
      <c r="K10" s="16">
        <v>24735646.92574599</v>
      </c>
      <c r="L10" s="16">
        <v>1502</v>
      </c>
      <c r="M10" s="16">
        <v>651971884.39990234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506</v>
      </c>
      <c r="E11" s="16">
        <v>967616571.5797869</v>
      </c>
      <c r="F11" s="16">
        <v>53</v>
      </c>
      <c r="G11" s="16">
        <v>101772728</v>
      </c>
      <c r="H11" s="16">
        <v>45</v>
      </c>
      <c r="I11" s="16">
        <v>111672729</v>
      </c>
      <c r="J11" s="23">
        <v>1924698.6647523509</v>
      </c>
      <c r="K11" s="16">
        <v>108105254.2267984</v>
      </c>
      <c r="L11" s="16">
        <v>514</v>
      </c>
      <c r="M11" s="16">
        <v>961284045.35298848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70</v>
      </c>
      <c r="E12" s="16">
        <v>229234201</v>
      </c>
      <c r="F12" s="16">
        <v>0</v>
      </c>
      <c r="G12" s="16">
        <v>0</v>
      </c>
      <c r="H12" s="16">
        <v>5</v>
      </c>
      <c r="I12" s="16">
        <v>19363636</v>
      </c>
      <c r="J12" s="23">
        <v>3274774.3</v>
      </c>
      <c r="K12" s="16">
        <v>20437271.830891859</v>
      </c>
      <c r="L12" s="16">
        <v>65</v>
      </c>
      <c r="M12" s="16">
        <v>208796929.16910821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6">
        <v>11555238</v>
      </c>
      <c r="F13" s="16">
        <v>0</v>
      </c>
      <c r="G13" s="16">
        <v>0</v>
      </c>
      <c r="H13" s="16">
        <v>0</v>
      </c>
      <c r="I13" s="16">
        <v>0</v>
      </c>
      <c r="J13" s="23">
        <v>2888809.5</v>
      </c>
      <c r="K13" s="16">
        <v>0</v>
      </c>
      <c r="L13" s="16">
        <v>4</v>
      </c>
      <c r="M13" s="16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1933</v>
      </c>
      <c r="E14" s="16">
        <v>241391941.20042059</v>
      </c>
      <c r="F14" s="16">
        <v>105</v>
      </c>
      <c r="G14" s="16">
        <v>19718175</v>
      </c>
      <c r="H14" s="16">
        <v>72</v>
      </c>
      <c r="I14" s="16">
        <v>8449999</v>
      </c>
      <c r="J14" s="23">
        <v>128569.3848157632</v>
      </c>
      <c r="K14" s="16">
        <v>11554245.896942651</v>
      </c>
      <c r="L14" s="16">
        <v>1966</v>
      </c>
      <c r="M14" s="16">
        <v>249555870.303478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2086</v>
      </c>
      <c r="E15" s="16">
        <v>246249274.7367211</v>
      </c>
      <c r="F15" s="16">
        <v>0</v>
      </c>
      <c r="G15" s="16">
        <v>0</v>
      </c>
      <c r="H15" s="16">
        <v>41</v>
      </c>
      <c r="I15" s="16">
        <v>5922727</v>
      </c>
      <c r="J15" s="23">
        <v>118834.6802930057</v>
      </c>
      <c r="K15" s="16">
        <v>6081330.4432917209</v>
      </c>
      <c r="L15" s="16">
        <v>2045</v>
      </c>
      <c r="M15" s="16">
        <v>240167944.2934294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8190.8899999999994</v>
      </c>
      <c r="E16" s="16">
        <v>4758062164.0782442</v>
      </c>
      <c r="F16" s="16">
        <v>454.41</v>
      </c>
      <c r="G16" s="16">
        <v>327673312</v>
      </c>
      <c r="H16" s="16">
        <v>704</v>
      </c>
      <c r="I16" s="16">
        <v>667222727</v>
      </c>
      <c r="J16" s="23">
        <v>600898.76014121959</v>
      </c>
      <c r="K16" s="16">
        <v>528014088.66020489</v>
      </c>
      <c r="L16" s="16">
        <v>7941.2999999999993</v>
      </c>
      <c r="M16" s="16">
        <v>4557721387.4180393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13</v>
      </c>
      <c r="E17" s="16">
        <v>164182075</v>
      </c>
      <c r="F17" s="16">
        <v>0</v>
      </c>
      <c r="G17" s="16">
        <v>0</v>
      </c>
      <c r="H17" s="16">
        <v>2</v>
      </c>
      <c r="I17" s="16">
        <v>30345455</v>
      </c>
      <c r="J17" s="23">
        <v>12629390.38461538</v>
      </c>
      <c r="K17" s="16">
        <v>31527092.94791235</v>
      </c>
      <c r="L17" s="16">
        <v>11</v>
      </c>
      <c r="M17" s="16">
        <v>132654982.0520876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4</v>
      </c>
      <c r="E18" s="16">
        <v>11677084</v>
      </c>
      <c r="F18" s="16">
        <v>0</v>
      </c>
      <c r="G18" s="16">
        <v>0</v>
      </c>
      <c r="H18" s="16">
        <v>0</v>
      </c>
      <c r="I18" s="16">
        <v>0</v>
      </c>
      <c r="J18" s="23">
        <v>2919271</v>
      </c>
      <c r="K18" s="16">
        <v>0</v>
      </c>
      <c r="L18" s="16">
        <v>4</v>
      </c>
      <c r="M18" s="16">
        <v>11677084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222</v>
      </c>
      <c r="E19" s="16">
        <v>911274056</v>
      </c>
      <c r="F19" s="16">
        <v>11</v>
      </c>
      <c r="G19" s="16">
        <v>101454545</v>
      </c>
      <c r="H19" s="16">
        <v>0</v>
      </c>
      <c r="I19" s="16">
        <v>0</v>
      </c>
      <c r="J19" s="23">
        <v>4346474.6824034331</v>
      </c>
      <c r="K19" s="16">
        <v>0</v>
      </c>
      <c r="L19" s="16">
        <v>233</v>
      </c>
      <c r="M19" s="16">
        <v>1012728601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25</v>
      </c>
      <c r="E20" s="16">
        <v>262641555.18460849</v>
      </c>
      <c r="F20" s="16">
        <v>0</v>
      </c>
      <c r="G20" s="16">
        <v>0</v>
      </c>
      <c r="H20" s="16">
        <v>0</v>
      </c>
      <c r="I20" s="16">
        <v>0</v>
      </c>
      <c r="J20" s="23">
        <v>10610992.73076923</v>
      </c>
      <c r="K20" s="16">
        <v>0</v>
      </c>
      <c r="L20" s="16">
        <v>25</v>
      </c>
      <c r="M20" s="16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22</v>
      </c>
      <c r="E21" s="16">
        <v>229745893</v>
      </c>
      <c r="F21" s="16">
        <v>5</v>
      </c>
      <c r="G21" s="16">
        <v>45473022.005882747</v>
      </c>
      <c r="H21" s="16">
        <v>1</v>
      </c>
      <c r="I21" s="16">
        <v>10454545</v>
      </c>
      <c r="J21" s="23">
        <v>10193293.14836603</v>
      </c>
      <c r="K21" s="16">
        <v>12722898.364331489</v>
      </c>
      <c r="L21" s="16">
        <v>26</v>
      </c>
      <c r="M21" s="16">
        <v>262496016.64155129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16</v>
      </c>
      <c r="E22" s="16">
        <v>209829012.52544409</v>
      </c>
      <c r="F22" s="16">
        <v>0</v>
      </c>
      <c r="G22" s="16">
        <v>0</v>
      </c>
      <c r="H22" s="16">
        <v>2</v>
      </c>
      <c r="I22" s="16">
        <v>29036363</v>
      </c>
      <c r="J22" s="23">
        <v>13320923.882352941</v>
      </c>
      <c r="K22" s="16">
        <v>33253386.949111741</v>
      </c>
      <c r="L22" s="16">
        <v>14</v>
      </c>
      <c r="M22" s="16">
        <v>176575625.57633239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24</v>
      </c>
      <c r="E23" s="16">
        <v>311732602</v>
      </c>
      <c r="F23" s="16">
        <v>0</v>
      </c>
      <c r="G23" s="16">
        <v>0</v>
      </c>
      <c r="H23" s="16">
        <v>0</v>
      </c>
      <c r="I23" s="16">
        <v>0</v>
      </c>
      <c r="J23" s="23">
        <v>12988858.41666667</v>
      </c>
      <c r="K23" s="16">
        <v>0</v>
      </c>
      <c r="L23" s="16">
        <v>24</v>
      </c>
      <c r="M23" s="16">
        <v>311732602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134</v>
      </c>
      <c r="E24" s="16">
        <v>985272666.71255291</v>
      </c>
      <c r="F24" s="16">
        <v>0</v>
      </c>
      <c r="G24" s="16">
        <v>0</v>
      </c>
      <c r="H24" s="16">
        <v>2</v>
      </c>
      <c r="I24" s="16">
        <v>21354546</v>
      </c>
      <c r="J24" s="23">
        <v>7366423.4740740741</v>
      </c>
      <c r="K24" s="16">
        <v>18389004.574894171</v>
      </c>
      <c r="L24" s="16">
        <v>132</v>
      </c>
      <c r="M24" s="16">
        <v>966883662.13765872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6">
        <v>15871570</v>
      </c>
      <c r="F25" s="16">
        <v>0</v>
      </c>
      <c r="G25" s="16">
        <v>0</v>
      </c>
      <c r="H25" s="16">
        <v>0</v>
      </c>
      <c r="I25" s="16">
        <v>0</v>
      </c>
      <c r="J25" s="23">
        <v>15871570</v>
      </c>
      <c r="K25" s="16">
        <v>0</v>
      </c>
      <c r="L25" s="16">
        <v>1</v>
      </c>
      <c r="M25" s="16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23</v>
      </c>
      <c r="E26" s="16">
        <v>341056302.98648459</v>
      </c>
      <c r="F26" s="16">
        <v>0</v>
      </c>
      <c r="G26" s="16">
        <v>0</v>
      </c>
      <c r="H26" s="16">
        <v>2</v>
      </c>
      <c r="I26" s="16">
        <v>30400000</v>
      </c>
      <c r="J26" s="23">
        <v>14990275.875</v>
      </c>
      <c r="K26" s="16">
        <v>37420636.027030669</v>
      </c>
      <c r="L26" s="16">
        <v>21</v>
      </c>
      <c r="M26" s="16">
        <v>303635666.959454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6">
        <v>31612229</v>
      </c>
      <c r="F27" s="16">
        <v>0</v>
      </c>
      <c r="G27" s="16">
        <v>0</v>
      </c>
      <c r="H27" s="16">
        <v>0</v>
      </c>
      <c r="I27" s="16">
        <v>0</v>
      </c>
      <c r="J27" s="23">
        <v>15806114.5</v>
      </c>
      <c r="K27" s="16">
        <v>0</v>
      </c>
      <c r="L27" s="16">
        <v>2</v>
      </c>
      <c r="M27" s="16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6">
        <v>91534934</v>
      </c>
      <c r="F28" s="16">
        <v>0</v>
      </c>
      <c r="G28" s="16">
        <v>0</v>
      </c>
      <c r="H28" s="16">
        <v>0</v>
      </c>
      <c r="I28" s="16">
        <v>0</v>
      </c>
      <c r="J28" s="23">
        <v>8321357.6363636367</v>
      </c>
      <c r="K28" s="16">
        <v>0</v>
      </c>
      <c r="L28" s="16">
        <v>11</v>
      </c>
      <c r="M28" s="16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46</v>
      </c>
      <c r="E29" s="16">
        <v>291977142</v>
      </c>
      <c r="F29" s="16">
        <v>3</v>
      </c>
      <c r="G29" s="16">
        <v>24545454</v>
      </c>
      <c r="H29" s="16">
        <v>1</v>
      </c>
      <c r="I29" s="16">
        <v>17272727</v>
      </c>
      <c r="J29" s="23">
        <v>6459644.8163265307</v>
      </c>
      <c r="K29" s="16">
        <v>8062694.0942022679</v>
      </c>
      <c r="L29" s="16">
        <v>48</v>
      </c>
      <c r="M29" s="16">
        <v>308459901.90579772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92</v>
      </c>
      <c r="E30" s="16">
        <v>888958352.8238368</v>
      </c>
      <c r="F30" s="16">
        <v>0</v>
      </c>
      <c r="G30" s="16">
        <v>0</v>
      </c>
      <c r="H30" s="16">
        <v>2</v>
      </c>
      <c r="I30" s="16">
        <v>25590909</v>
      </c>
      <c r="J30" s="23">
        <v>9715001.8936170209</v>
      </c>
      <c r="K30" s="16">
        <v>24251825.176163159</v>
      </c>
      <c r="L30" s="16">
        <v>90</v>
      </c>
      <c r="M30" s="16">
        <v>864706527.64767361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233</v>
      </c>
      <c r="E31" s="16">
        <v>1980369970.9338541</v>
      </c>
      <c r="F31" s="16">
        <v>11</v>
      </c>
      <c r="G31" s="16">
        <v>94270000</v>
      </c>
      <c r="H31" s="16">
        <v>35</v>
      </c>
      <c r="I31" s="16">
        <v>266354546</v>
      </c>
      <c r="J31" s="23">
        <v>8762256.3993276525</v>
      </c>
      <c r="K31" s="16">
        <v>382785559.05218172</v>
      </c>
      <c r="L31" s="16">
        <v>209</v>
      </c>
      <c r="M31" s="16">
        <v>1691854411.8816731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6">
        <v>53108133</v>
      </c>
      <c r="F32" s="16">
        <v>1</v>
      </c>
      <c r="G32" s="16">
        <v>23363636</v>
      </c>
      <c r="H32" s="16">
        <v>1</v>
      </c>
      <c r="I32" s="16">
        <v>23363636</v>
      </c>
      <c r="J32" s="23">
        <v>19117942.25</v>
      </c>
      <c r="K32" s="16">
        <v>23862321.29710694</v>
      </c>
      <c r="L32" s="16">
        <v>3</v>
      </c>
      <c r="M32" s="16">
        <v>52609447.702893063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6">
        <v>101090592</v>
      </c>
      <c r="F33" s="16">
        <v>0</v>
      </c>
      <c r="G33" s="16">
        <v>0</v>
      </c>
      <c r="H33" s="16">
        <v>0</v>
      </c>
      <c r="I33" s="16">
        <v>0</v>
      </c>
      <c r="J33" s="23">
        <v>2150863.6595744682</v>
      </c>
      <c r="K33" s="16">
        <v>0</v>
      </c>
      <c r="L33" s="16">
        <v>47</v>
      </c>
      <c r="M33" s="16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29</v>
      </c>
      <c r="E34" s="16">
        <v>473321445.62705648</v>
      </c>
      <c r="F34" s="16">
        <v>3</v>
      </c>
      <c r="G34" s="16">
        <v>61881818</v>
      </c>
      <c r="H34" s="16">
        <v>1</v>
      </c>
      <c r="I34" s="16">
        <v>14545455</v>
      </c>
      <c r="J34" s="23">
        <v>16852769.046357829</v>
      </c>
      <c r="K34" s="16">
        <v>21035014.358311959</v>
      </c>
      <c r="L34" s="16">
        <v>31</v>
      </c>
      <c r="M34" s="16">
        <v>514168249.26874453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12</v>
      </c>
      <c r="E35" s="16">
        <v>126884049</v>
      </c>
      <c r="F35" s="16">
        <v>6</v>
      </c>
      <c r="G35" s="16">
        <v>77345454</v>
      </c>
      <c r="H35" s="16">
        <v>0</v>
      </c>
      <c r="I35" s="16">
        <v>0</v>
      </c>
      <c r="J35" s="23">
        <v>11346083.5</v>
      </c>
      <c r="K35" s="16">
        <v>0</v>
      </c>
      <c r="L35" s="16">
        <v>18</v>
      </c>
      <c r="M35" s="16">
        <v>204229503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37</v>
      </c>
      <c r="E36" s="16">
        <v>226208575</v>
      </c>
      <c r="F36" s="16">
        <v>20</v>
      </c>
      <c r="G36" s="16">
        <v>135000000</v>
      </c>
      <c r="H36" s="16">
        <v>5</v>
      </c>
      <c r="I36" s="16">
        <v>35045455</v>
      </c>
      <c r="J36" s="23">
        <v>6336992.5438596494</v>
      </c>
      <c r="K36" s="16">
        <v>39548019.90756876</v>
      </c>
      <c r="L36" s="16">
        <v>52</v>
      </c>
      <c r="M36" s="16">
        <v>321660555.09243119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108</v>
      </c>
      <c r="E37" s="16">
        <v>284788281.56408918</v>
      </c>
      <c r="F37" s="16">
        <v>0</v>
      </c>
      <c r="G37" s="16">
        <v>0</v>
      </c>
      <c r="H37" s="16">
        <v>1</v>
      </c>
      <c r="I37" s="16">
        <v>1363636</v>
      </c>
      <c r="J37" s="23">
        <v>2911192.8523489931</v>
      </c>
      <c r="K37" s="16">
        <v>3633645.2057539229</v>
      </c>
      <c r="L37" s="16">
        <v>107</v>
      </c>
      <c r="M37" s="16">
        <v>281154636.35833532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134</v>
      </c>
      <c r="E38" s="16">
        <v>654595266.32453895</v>
      </c>
      <c r="F38" s="16">
        <v>15</v>
      </c>
      <c r="G38" s="16">
        <v>86645452</v>
      </c>
      <c r="H38" s="16">
        <v>4</v>
      </c>
      <c r="I38" s="16">
        <v>20272728</v>
      </c>
      <c r="J38" s="23">
        <v>4982921.1877703201</v>
      </c>
      <c r="K38" s="16">
        <v>24878005.137971811</v>
      </c>
      <c r="L38" s="16">
        <v>145</v>
      </c>
      <c r="M38" s="16">
        <v>716362713.18656719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133</v>
      </c>
      <c r="E39" s="16">
        <v>767653194.20646083</v>
      </c>
      <c r="F39" s="16">
        <v>19</v>
      </c>
      <c r="G39" s="16">
        <v>77834882</v>
      </c>
      <c r="H39" s="16">
        <v>1</v>
      </c>
      <c r="I39" s="16">
        <v>3354545</v>
      </c>
      <c r="J39" s="23">
        <v>5591105.3547568489</v>
      </c>
      <c r="K39" s="16">
        <v>6978614.6770677166</v>
      </c>
      <c r="L39" s="16">
        <v>151</v>
      </c>
      <c r="M39" s="16">
        <v>838509461.52939308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25</v>
      </c>
      <c r="E40" s="16">
        <v>113526582.0319473</v>
      </c>
      <c r="F40" s="16">
        <v>6</v>
      </c>
      <c r="G40" s="16">
        <v>30264182</v>
      </c>
      <c r="H40" s="16">
        <v>0</v>
      </c>
      <c r="I40" s="16">
        <v>0</v>
      </c>
      <c r="J40" s="23">
        <v>4675128.6997518614</v>
      </c>
      <c r="K40" s="16">
        <v>0</v>
      </c>
      <c r="L40" s="16">
        <v>31</v>
      </c>
      <c r="M40" s="16">
        <v>143790764.03194731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80</v>
      </c>
      <c r="E41" s="16">
        <v>319070378.20955938</v>
      </c>
      <c r="F41" s="16">
        <v>1</v>
      </c>
      <c r="G41" s="16">
        <v>4818182</v>
      </c>
      <c r="H41" s="16">
        <v>6</v>
      </c>
      <c r="I41" s="16">
        <v>24827273</v>
      </c>
      <c r="J41" s="23">
        <v>4047666.0602537082</v>
      </c>
      <c r="K41" s="16">
        <v>30312898.774396811</v>
      </c>
      <c r="L41" s="16">
        <v>75</v>
      </c>
      <c r="M41" s="16">
        <v>293575661.43516272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531</v>
      </c>
      <c r="E42" s="16">
        <v>1310644032.669889</v>
      </c>
      <c r="F42" s="16">
        <v>0</v>
      </c>
      <c r="G42" s="16">
        <v>0</v>
      </c>
      <c r="H42" s="16">
        <v>17</v>
      </c>
      <c r="I42" s="16">
        <v>41240909</v>
      </c>
      <c r="J42" s="23">
        <v>2591221.575454772</v>
      </c>
      <c r="K42" s="16">
        <v>54982567.506890327</v>
      </c>
      <c r="L42" s="16">
        <v>514</v>
      </c>
      <c r="M42" s="16">
        <v>1255661465.1629989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570</v>
      </c>
      <c r="E43" s="16">
        <v>1369752494.6746559</v>
      </c>
      <c r="F43" s="16">
        <v>24</v>
      </c>
      <c r="G43" s="16">
        <v>22534362</v>
      </c>
      <c r="H43" s="16">
        <v>28</v>
      </c>
      <c r="I43" s="16">
        <v>85218183</v>
      </c>
      <c r="J43" s="23">
        <v>2371003.685551215</v>
      </c>
      <c r="K43" s="16">
        <v>82863219.693789944</v>
      </c>
      <c r="L43" s="16">
        <v>566</v>
      </c>
      <c r="M43" s="16">
        <v>1309423636.980866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6">
        <v>24352573</v>
      </c>
      <c r="F44" s="16">
        <v>0</v>
      </c>
      <c r="G44" s="16">
        <v>0</v>
      </c>
      <c r="H44" s="16">
        <v>0</v>
      </c>
      <c r="I44" s="16">
        <v>0</v>
      </c>
      <c r="J44" s="23">
        <v>4058762.166666667</v>
      </c>
      <c r="K44" s="16">
        <v>0</v>
      </c>
      <c r="L44" s="16">
        <v>6</v>
      </c>
      <c r="M44" s="16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14</v>
      </c>
      <c r="E45" s="16">
        <v>84866751</v>
      </c>
      <c r="F45" s="16">
        <v>0</v>
      </c>
      <c r="G45" s="16">
        <v>0</v>
      </c>
      <c r="H45" s="16">
        <v>0</v>
      </c>
      <c r="I45" s="16">
        <v>0</v>
      </c>
      <c r="J45" s="23">
        <v>6061910.7857142854</v>
      </c>
      <c r="K45" s="16">
        <v>0</v>
      </c>
      <c r="L45" s="16">
        <v>14</v>
      </c>
      <c r="M45" s="16">
        <v>84866751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18</v>
      </c>
      <c r="E46" s="16">
        <v>91290877</v>
      </c>
      <c r="F46" s="16">
        <v>2</v>
      </c>
      <c r="G46" s="16">
        <v>10000000</v>
      </c>
      <c r="H46" s="16">
        <v>3</v>
      </c>
      <c r="I46" s="16">
        <v>16518182</v>
      </c>
      <c r="J46" s="23">
        <v>5064543.8499999996</v>
      </c>
      <c r="K46" s="16">
        <v>18964139.182707328</v>
      </c>
      <c r="L46" s="16">
        <v>17</v>
      </c>
      <c r="M46" s="16">
        <v>82326737.817292675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18</v>
      </c>
      <c r="E47" s="16">
        <v>15131275</v>
      </c>
      <c r="F47" s="16">
        <v>0</v>
      </c>
      <c r="G47" s="16">
        <v>0</v>
      </c>
      <c r="H47" s="16">
        <v>2</v>
      </c>
      <c r="I47" s="16">
        <v>2481818</v>
      </c>
      <c r="J47" s="23">
        <v>840626.38888888888</v>
      </c>
      <c r="K47" s="16">
        <v>2098478.6668129452</v>
      </c>
      <c r="L47" s="16">
        <v>16</v>
      </c>
      <c r="M47" s="16">
        <v>13032796.333187049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132</v>
      </c>
      <c r="E48" s="16">
        <v>54896530.206177033</v>
      </c>
      <c r="F48" s="16">
        <v>0</v>
      </c>
      <c r="G48" s="16">
        <v>0</v>
      </c>
      <c r="H48" s="16">
        <v>4</v>
      </c>
      <c r="I48" s="16">
        <v>3354545</v>
      </c>
      <c r="J48" s="23">
        <v>427024.06369697832</v>
      </c>
      <c r="K48" s="16">
        <v>2131983.7200645488</v>
      </c>
      <c r="L48" s="16">
        <v>128</v>
      </c>
      <c r="M48" s="16">
        <v>52764546.486112483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6">
        <v>170209491.99724761</v>
      </c>
      <c r="F49" s="16">
        <v>0</v>
      </c>
      <c r="G49" s="16">
        <v>0</v>
      </c>
      <c r="H49" s="16">
        <v>0</v>
      </c>
      <c r="I49" s="16">
        <v>0</v>
      </c>
      <c r="J49" s="23">
        <v>7733723.6789940828</v>
      </c>
      <c r="K49" s="16">
        <v>0</v>
      </c>
      <c r="L49" s="16">
        <v>23</v>
      </c>
      <c r="M49" s="16">
        <v>170209491.99724761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6">
        <v>937651</v>
      </c>
      <c r="F50" s="16">
        <v>0</v>
      </c>
      <c r="G50" s="16">
        <v>0</v>
      </c>
      <c r="H50" s="16">
        <v>0</v>
      </c>
      <c r="I50" s="16">
        <v>0</v>
      </c>
      <c r="J50" s="23">
        <v>468825.5</v>
      </c>
      <c r="K50" s="16">
        <v>0</v>
      </c>
      <c r="L50" s="16">
        <v>2</v>
      </c>
      <c r="M50" s="16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612</v>
      </c>
      <c r="E51" s="16">
        <v>198383358.52266571</v>
      </c>
      <c r="F51" s="16">
        <v>50</v>
      </c>
      <c r="G51" s="16">
        <v>16818200</v>
      </c>
      <c r="H51" s="16">
        <v>16</v>
      </c>
      <c r="I51" s="16">
        <v>8618182</v>
      </c>
      <c r="J51" s="23">
        <v>326175.53430535487</v>
      </c>
      <c r="K51" s="16">
        <v>6513927.322988878</v>
      </c>
      <c r="L51" s="16">
        <v>646</v>
      </c>
      <c r="M51" s="16">
        <v>208687631.1996769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27</v>
      </c>
      <c r="E52" s="16">
        <v>18852852.21009513</v>
      </c>
      <c r="F52" s="16">
        <v>5</v>
      </c>
      <c r="G52" s="16">
        <v>3000000</v>
      </c>
      <c r="H52" s="16">
        <v>2</v>
      </c>
      <c r="I52" s="16">
        <v>2236364</v>
      </c>
      <c r="J52" s="23">
        <v>699607.38750000007</v>
      </c>
      <c r="K52" s="16">
        <v>1746449.073236906</v>
      </c>
      <c r="L52" s="16">
        <v>30</v>
      </c>
      <c r="M52" s="16">
        <v>20106403.136858229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123</v>
      </c>
      <c r="E53" s="16">
        <v>79475884.430303037</v>
      </c>
      <c r="F53" s="16">
        <v>2</v>
      </c>
      <c r="G53" s="16">
        <v>5600000</v>
      </c>
      <c r="H53" s="16">
        <v>0</v>
      </c>
      <c r="I53" s="16">
        <v>0</v>
      </c>
      <c r="J53" s="23">
        <v>685780.01738582668</v>
      </c>
      <c r="K53" s="16">
        <v>0</v>
      </c>
      <c r="L53" s="16">
        <v>125</v>
      </c>
      <c r="M53" s="16">
        <v>85075884.430303037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84</v>
      </c>
      <c r="E54" s="16">
        <v>77693165.691619188</v>
      </c>
      <c r="F54" s="16">
        <v>18</v>
      </c>
      <c r="G54" s="16">
        <v>15894553</v>
      </c>
      <c r="H54" s="16">
        <v>13</v>
      </c>
      <c r="I54" s="16">
        <v>13136364</v>
      </c>
      <c r="J54" s="23">
        <v>922054.0166438669</v>
      </c>
      <c r="K54" s="16">
        <v>14961366.4399353</v>
      </c>
      <c r="L54" s="16">
        <v>89</v>
      </c>
      <c r="M54" s="16">
        <v>78626352.251683891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11</v>
      </c>
      <c r="E55" s="16">
        <v>36426361</v>
      </c>
      <c r="F55" s="16">
        <v>2</v>
      </c>
      <c r="G55" s="16">
        <v>8909091</v>
      </c>
      <c r="H55" s="16">
        <v>0</v>
      </c>
      <c r="I55" s="16">
        <v>0</v>
      </c>
      <c r="J55" s="23">
        <v>3487342.461538462</v>
      </c>
      <c r="K55" s="16">
        <v>0</v>
      </c>
      <c r="L55" s="16">
        <v>13</v>
      </c>
      <c r="M55" s="16">
        <v>45335452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137</v>
      </c>
      <c r="E56" s="16">
        <v>37901340</v>
      </c>
      <c r="F56" s="16">
        <v>5</v>
      </c>
      <c r="G56" s="16">
        <v>2777727</v>
      </c>
      <c r="H56" s="16">
        <v>3</v>
      </c>
      <c r="I56" s="16">
        <v>2090909</v>
      </c>
      <c r="J56" s="23">
        <v>286472.30281690141</v>
      </c>
      <c r="K56" s="16">
        <v>1072692.9775937081</v>
      </c>
      <c r="L56" s="16">
        <v>139</v>
      </c>
      <c r="M56" s="16">
        <v>39606374.022406287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2226</v>
      </c>
      <c r="E57" s="16">
        <v>182270206.89380479</v>
      </c>
      <c r="F57" s="16">
        <v>495</v>
      </c>
      <c r="G57" s="16">
        <v>36189090</v>
      </c>
      <c r="H57" s="16">
        <v>47</v>
      </c>
      <c r="I57" s="16">
        <v>24072731</v>
      </c>
      <c r="J57" s="23">
        <v>80858.317893858155</v>
      </c>
      <c r="K57" s="16">
        <v>4743447.5628757672</v>
      </c>
      <c r="L57" s="16">
        <v>2674</v>
      </c>
      <c r="M57" s="16">
        <v>213715849.3309291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14</v>
      </c>
      <c r="E58" s="16">
        <v>3404485</v>
      </c>
      <c r="F58" s="16">
        <v>0</v>
      </c>
      <c r="G58" s="16">
        <v>0</v>
      </c>
      <c r="H58" s="16">
        <v>0</v>
      </c>
      <c r="I58" s="16">
        <v>0</v>
      </c>
      <c r="J58" s="23">
        <v>243177.5</v>
      </c>
      <c r="K58" s="16">
        <v>0</v>
      </c>
      <c r="L58" s="16">
        <v>14</v>
      </c>
      <c r="M58" s="16">
        <v>3404485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24007.89</v>
      </c>
      <c r="E59" s="17">
        <f t="shared" si="0"/>
        <v>21657642428.409985</v>
      </c>
      <c r="F59" s="17">
        <f t="shared" si="0"/>
        <v>1521.41</v>
      </c>
      <c r="G59" s="17">
        <f t="shared" si="0"/>
        <v>1536437740</v>
      </c>
      <c r="H59" s="17">
        <f t="shared" si="0"/>
        <v>1237</v>
      </c>
      <c r="I59" s="17">
        <f t="shared" si="0"/>
        <v>1702314546</v>
      </c>
      <c r="J59" s="24">
        <f t="shared" si="0"/>
        <v>281785279.0638898</v>
      </c>
      <c r="K59" s="17">
        <f t="shared" si="0"/>
        <v>1637478601.3294168</v>
      </c>
      <c r="L59" s="17">
        <f t="shared" si="0"/>
        <v>24292.3</v>
      </c>
      <c r="M59" s="17">
        <f t="shared" si="0"/>
        <v>21556601567.080563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opLeftCell="A43" workbookViewId="0">
      <selection activeCell="E5" sqref="E5"/>
    </sheetView>
  </sheetViews>
  <sheetFormatPr defaultColWidth="14.42578125" defaultRowHeight="15" customHeight="1" x14ac:dyDescent="0.25"/>
  <cols>
    <col min="1" max="2" width="8.7109375" customWidth="1"/>
    <col min="3" max="3" width="11.5703125" customWidth="1"/>
    <col min="4" max="4" width="8.7109375" customWidth="1"/>
    <col min="5" max="5" width="15.7109375" customWidth="1"/>
    <col min="6" max="6" width="8.7109375" customWidth="1"/>
    <col min="7" max="7" width="12.140625" customWidth="1"/>
    <col min="8" max="8" width="8.7109375" customWidth="1"/>
    <col min="9" max="9" width="14.28515625" customWidth="1"/>
    <col min="10" max="10" width="11.85546875" customWidth="1"/>
    <col min="11" max="11" width="14" customWidth="1"/>
    <col min="12" max="12" width="8.7109375" customWidth="1"/>
    <col min="13" max="13" width="13.5703125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626</v>
      </c>
      <c r="E2" s="11">
        <v>285952656.17607498</v>
      </c>
      <c r="F2" s="11">
        <v>45</v>
      </c>
      <c r="G2" s="11">
        <v>20281822</v>
      </c>
      <c r="H2" s="11">
        <v>6</v>
      </c>
      <c r="I2" s="11">
        <v>4918181</v>
      </c>
      <c r="J2" s="11">
        <v>461856.39912072488</v>
      </c>
      <c r="K2" s="11">
        <v>3458834.317467487</v>
      </c>
      <c r="L2" s="11">
        <v>665</v>
      </c>
      <c r="M2" s="11">
        <v>302775643.85860747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147</v>
      </c>
      <c r="E3" s="11">
        <v>155335257.16154069</v>
      </c>
      <c r="F3" s="11">
        <v>1</v>
      </c>
      <c r="G3" s="11">
        <v>809091</v>
      </c>
      <c r="H3" s="11">
        <v>8</v>
      </c>
      <c r="I3" s="11">
        <v>9654545</v>
      </c>
      <c r="J3" s="11">
        <v>1110786.1493712959</v>
      </c>
      <c r="K3" s="11">
        <v>11091543.49022018</v>
      </c>
      <c r="L3" s="11">
        <v>140</v>
      </c>
      <c r="M3" s="11">
        <v>145052804.6713205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492</v>
      </c>
      <c r="E4" s="11">
        <v>213924159.93719169</v>
      </c>
      <c r="F4" s="11">
        <v>145</v>
      </c>
      <c r="G4" s="11">
        <v>63292500</v>
      </c>
      <c r="H4" s="11">
        <v>2</v>
      </c>
      <c r="I4" s="11">
        <v>863635</v>
      </c>
      <c r="J4" s="11">
        <v>436722.55738559621</v>
      </c>
      <c r="K4" s="11">
        <v>1090202.4753243851</v>
      </c>
      <c r="L4" s="11">
        <v>635</v>
      </c>
      <c r="M4" s="11">
        <v>276126457.46186727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1085</v>
      </c>
      <c r="E5" s="11">
        <v>157013899.1754562</v>
      </c>
      <c r="F5" s="11">
        <v>0</v>
      </c>
      <c r="G5" s="11">
        <v>0</v>
      </c>
      <c r="H5" s="11">
        <v>7</v>
      </c>
      <c r="I5" s="11">
        <v>1418182</v>
      </c>
      <c r="J5" s="11">
        <v>146222.8590571915</v>
      </c>
      <c r="K5" s="11">
        <v>1277570.4407533719</v>
      </c>
      <c r="L5" s="11">
        <v>1078</v>
      </c>
      <c r="M5" s="11">
        <v>155736328.7347028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54</v>
      </c>
      <c r="E6" s="11">
        <v>21965032</v>
      </c>
      <c r="F6" s="11">
        <v>0</v>
      </c>
      <c r="G6" s="11">
        <v>0</v>
      </c>
      <c r="H6" s="11">
        <v>0</v>
      </c>
      <c r="I6" s="11">
        <v>0</v>
      </c>
      <c r="J6" s="11">
        <v>406759.85185185191</v>
      </c>
      <c r="K6" s="11">
        <v>0</v>
      </c>
      <c r="L6" s="11">
        <v>54</v>
      </c>
      <c r="M6" s="11">
        <v>21965032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0</v>
      </c>
      <c r="G7" s="11">
        <v>0</v>
      </c>
      <c r="H7" s="11">
        <v>0</v>
      </c>
      <c r="I7" s="11">
        <v>0</v>
      </c>
      <c r="J7" s="11">
        <v>29563.142857142859</v>
      </c>
      <c r="K7" s="11">
        <v>0</v>
      </c>
      <c r="L7" s="11">
        <v>7</v>
      </c>
      <c r="M7" s="11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1237</v>
      </c>
      <c r="E8" s="11">
        <v>161565790.765028</v>
      </c>
      <c r="F8" s="11">
        <v>0</v>
      </c>
      <c r="G8" s="11">
        <v>0</v>
      </c>
      <c r="H8" s="11">
        <v>23</v>
      </c>
      <c r="I8" s="11">
        <v>3363638</v>
      </c>
      <c r="J8" s="11">
        <v>134033.16139041711</v>
      </c>
      <c r="K8" s="11">
        <v>3847792.4744227021</v>
      </c>
      <c r="L8" s="11">
        <v>1214</v>
      </c>
      <c r="M8" s="11">
        <v>157717998.29060531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80</v>
      </c>
      <c r="E9" s="11">
        <v>79233496.186457381</v>
      </c>
      <c r="F9" s="11">
        <v>2</v>
      </c>
      <c r="G9" s="11">
        <v>1071922</v>
      </c>
      <c r="H9" s="11">
        <v>2</v>
      </c>
      <c r="I9" s="11">
        <v>4954545</v>
      </c>
      <c r="J9" s="11">
        <v>1004111.469478896</v>
      </c>
      <c r="K9" s="11">
        <v>2506590.9489098489</v>
      </c>
      <c r="L9" s="11">
        <v>80</v>
      </c>
      <c r="M9" s="11">
        <v>77798827.237547532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1502</v>
      </c>
      <c r="E10" s="11">
        <v>651971884.39990234</v>
      </c>
      <c r="F10" s="11">
        <v>47</v>
      </c>
      <c r="G10" s="11">
        <v>21598559</v>
      </c>
      <c r="H10" s="11">
        <v>15</v>
      </c>
      <c r="I10" s="11">
        <v>25536363</v>
      </c>
      <c r="J10" s="11">
        <v>440972.90526372811</v>
      </c>
      <c r="K10" s="11">
        <v>8256095.5131469062</v>
      </c>
      <c r="L10" s="11">
        <v>1534</v>
      </c>
      <c r="M10" s="11">
        <v>665314347.88675547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514</v>
      </c>
      <c r="E11" s="11">
        <v>961284045.35298848</v>
      </c>
      <c r="F11" s="11">
        <v>0</v>
      </c>
      <c r="G11" s="11">
        <v>0</v>
      </c>
      <c r="H11" s="11">
        <v>23</v>
      </c>
      <c r="I11" s="11">
        <v>56836364</v>
      </c>
      <c r="J11" s="11">
        <v>1924698.6647523509</v>
      </c>
      <c r="K11" s="11">
        <v>55253796.604808047</v>
      </c>
      <c r="L11" s="11">
        <v>491</v>
      </c>
      <c r="M11" s="11">
        <v>906030248.74818039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65</v>
      </c>
      <c r="E12" s="11">
        <v>208796929.16910821</v>
      </c>
      <c r="F12" s="11">
        <v>0</v>
      </c>
      <c r="G12" s="11">
        <v>0</v>
      </c>
      <c r="H12" s="11">
        <v>0</v>
      </c>
      <c r="I12" s="11">
        <v>0</v>
      </c>
      <c r="J12" s="11">
        <v>3274774.3</v>
      </c>
      <c r="K12" s="11">
        <v>0</v>
      </c>
      <c r="L12" s="11">
        <v>65</v>
      </c>
      <c r="M12" s="11">
        <v>208796929.16910821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1966</v>
      </c>
      <c r="E14" s="11">
        <v>249555870.303478</v>
      </c>
      <c r="F14" s="11">
        <v>13</v>
      </c>
      <c r="G14" s="11">
        <v>5831819</v>
      </c>
      <c r="H14" s="11">
        <v>19</v>
      </c>
      <c r="I14" s="11">
        <v>3245454</v>
      </c>
      <c r="J14" s="11">
        <v>130671.66728033881</v>
      </c>
      <c r="K14" s="11">
        <v>3098892.9717250252</v>
      </c>
      <c r="L14" s="11">
        <v>1960</v>
      </c>
      <c r="M14" s="11">
        <v>252288796.33175299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2045</v>
      </c>
      <c r="E15" s="11">
        <v>240167944.2934294</v>
      </c>
      <c r="F15" s="11">
        <v>0</v>
      </c>
      <c r="G15" s="11">
        <v>0</v>
      </c>
      <c r="H15" s="11">
        <v>34</v>
      </c>
      <c r="I15" s="11">
        <v>6718182</v>
      </c>
      <c r="J15" s="11">
        <v>118834.6802930057</v>
      </c>
      <c r="K15" s="11">
        <v>5043054.5139492322</v>
      </c>
      <c r="L15" s="11">
        <v>2011</v>
      </c>
      <c r="M15" s="11">
        <v>235124889.7794801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7941.2999999999993</v>
      </c>
      <c r="E16" s="11">
        <v>4557721387.4180393</v>
      </c>
      <c r="F16" s="11">
        <v>346.73</v>
      </c>
      <c r="G16" s="11">
        <v>208031808</v>
      </c>
      <c r="H16" s="11">
        <v>349</v>
      </c>
      <c r="I16" s="11">
        <v>267968180</v>
      </c>
      <c r="J16" s="11">
        <v>600860.41338043753</v>
      </c>
      <c r="K16" s="11">
        <v>261740280.09421241</v>
      </c>
      <c r="L16" s="11">
        <v>7939.0299999999988</v>
      </c>
      <c r="M16" s="11">
        <v>4504012915.3238268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11</v>
      </c>
      <c r="E17" s="11">
        <v>132654982.0520876</v>
      </c>
      <c r="F17" s="11">
        <v>0</v>
      </c>
      <c r="G17" s="11">
        <v>0</v>
      </c>
      <c r="H17" s="11">
        <v>1</v>
      </c>
      <c r="I17" s="11">
        <v>13454545</v>
      </c>
      <c r="J17" s="11">
        <v>12629390.38461538</v>
      </c>
      <c r="K17" s="11">
        <v>15763546.473956181</v>
      </c>
      <c r="L17" s="11">
        <v>10</v>
      </c>
      <c r="M17" s="11">
        <v>116891435.5781315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4</v>
      </c>
      <c r="E18" s="11">
        <v>11677084</v>
      </c>
      <c r="F18" s="11">
        <v>0</v>
      </c>
      <c r="G18" s="11">
        <v>0</v>
      </c>
      <c r="H18" s="11">
        <v>0</v>
      </c>
      <c r="I18" s="11">
        <v>0</v>
      </c>
      <c r="J18" s="11">
        <v>2919271</v>
      </c>
      <c r="K18" s="11">
        <v>0</v>
      </c>
      <c r="L18" s="11">
        <v>4</v>
      </c>
      <c r="M18" s="11">
        <v>11677084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233</v>
      </c>
      <c r="E19" s="11">
        <v>1012728601</v>
      </c>
      <c r="F19" s="11">
        <v>0</v>
      </c>
      <c r="G19" s="11">
        <v>0</v>
      </c>
      <c r="H19" s="11">
        <v>1</v>
      </c>
      <c r="I19" s="11">
        <v>14090909</v>
      </c>
      <c r="J19" s="11">
        <v>4346474.6824034331</v>
      </c>
      <c r="K19" s="11">
        <v>5425111.8674266087</v>
      </c>
      <c r="L19" s="11">
        <v>232</v>
      </c>
      <c r="M19" s="11">
        <v>1007303489.132573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25</v>
      </c>
      <c r="E20" s="11">
        <v>262641555.18460849</v>
      </c>
      <c r="F20" s="11">
        <v>0</v>
      </c>
      <c r="G20" s="11">
        <v>0</v>
      </c>
      <c r="H20" s="11">
        <v>0</v>
      </c>
      <c r="I20" s="11">
        <v>0</v>
      </c>
      <c r="J20" s="11">
        <v>10610992.73076923</v>
      </c>
      <c r="K20" s="11">
        <v>0</v>
      </c>
      <c r="L20" s="11">
        <v>25</v>
      </c>
      <c r="M20" s="11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26</v>
      </c>
      <c r="E21" s="11">
        <v>262496016.64155129</v>
      </c>
      <c r="F21" s="11">
        <v>0</v>
      </c>
      <c r="G21" s="11">
        <v>0</v>
      </c>
      <c r="H21" s="11">
        <v>2</v>
      </c>
      <c r="I21" s="11">
        <v>26081819</v>
      </c>
      <c r="J21" s="11">
        <v>10193293.14836603</v>
      </c>
      <c r="K21" s="11">
        <v>25445796.728662979</v>
      </c>
      <c r="L21" s="11">
        <v>24</v>
      </c>
      <c r="M21" s="11">
        <v>237050219.91288829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14</v>
      </c>
      <c r="E22" s="11">
        <v>176575625.57633239</v>
      </c>
      <c r="F22" s="11">
        <v>0</v>
      </c>
      <c r="G22" s="11">
        <v>0</v>
      </c>
      <c r="H22" s="11">
        <v>0</v>
      </c>
      <c r="I22" s="11">
        <v>0</v>
      </c>
      <c r="J22" s="11">
        <v>13320923.882352941</v>
      </c>
      <c r="K22" s="11">
        <v>0</v>
      </c>
      <c r="L22" s="11">
        <v>14</v>
      </c>
      <c r="M22" s="11">
        <v>176575625.57633239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24</v>
      </c>
      <c r="E23" s="11">
        <v>311732602</v>
      </c>
      <c r="F23" s="11">
        <v>0</v>
      </c>
      <c r="G23" s="11">
        <v>0</v>
      </c>
      <c r="H23" s="11">
        <v>0</v>
      </c>
      <c r="I23" s="11">
        <v>0</v>
      </c>
      <c r="J23" s="11">
        <v>12988858.41666667</v>
      </c>
      <c r="K23" s="11">
        <v>0</v>
      </c>
      <c r="L23" s="11">
        <v>24</v>
      </c>
      <c r="M23" s="11">
        <v>311732602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132</v>
      </c>
      <c r="E24" s="11">
        <v>966883662.13765872</v>
      </c>
      <c r="F24" s="11">
        <v>0</v>
      </c>
      <c r="G24" s="11">
        <v>0</v>
      </c>
      <c r="H24" s="11">
        <v>2</v>
      </c>
      <c r="I24" s="11">
        <v>24027273</v>
      </c>
      <c r="J24" s="11">
        <v>7366423.4740740741</v>
      </c>
      <c r="K24" s="11">
        <v>18389004.574894171</v>
      </c>
      <c r="L24" s="11">
        <v>130</v>
      </c>
      <c r="M24" s="11">
        <v>948494657.56276453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1">
        <v>15871570</v>
      </c>
      <c r="F25" s="11">
        <v>0</v>
      </c>
      <c r="G25" s="11">
        <v>0</v>
      </c>
      <c r="H25" s="11">
        <v>0</v>
      </c>
      <c r="I25" s="11">
        <v>0</v>
      </c>
      <c r="J25" s="11">
        <v>15871570</v>
      </c>
      <c r="K25" s="11">
        <v>0</v>
      </c>
      <c r="L25" s="11">
        <v>1</v>
      </c>
      <c r="M25" s="11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21</v>
      </c>
      <c r="E26" s="11">
        <v>303635666.959454</v>
      </c>
      <c r="F26" s="11">
        <v>0</v>
      </c>
      <c r="G26" s="11">
        <v>0</v>
      </c>
      <c r="H26" s="11">
        <v>1</v>
      </c>
      <c r="I26" s="11">
        <v>13590909</v>
      </c>
      <c r="J26" s="11">
        <v>14990275.875</v>
      </c>
      <c r="K26" s="11">
        <v>18710318.013515331</v>
      </c>
      <c r="L26" s="11">
        <v>20</v>
      </c>
      <c r="M26" s="11">
        <v>284925348.94593859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0</v>
      </c>
      <c r="G27" s="11">
        <v>0</v>
      </c>
      <c r="H27" s="11">
        <v>0</v>
      </c>
      <c r="I27" s="11">
        <v>0</v>
      </c>
      <c r="J27" s="11">
        <v>15806114.5</v>
      </c>
      <c r="K27" s="11">
        <v>0</v>
      </c>
      <c r="L27" s="11">
        <v>2</v>
      </c>
      <c r="M27" s="11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1">
        <v>91534934</v>
      </c>
      <c r="F28" s="11">
        <v>0</v>
      </c>
      <c r="G28" s="11">
        <v>0</v>
      </c>
      <c r="H28" s="11">
        <v>0</v>
      </c>
      <c r="I28" s="11">
        <v>0</v>
      </c>
      <c r="J28" s="11">
        <v>8321357.6363636367</v>
      </c>
      <c r="K28" s="11">
        <v>0</v>
      </c>
      <c r="L28" s="11">
        <v>11</v>
      </c>
      <c r="M28" s="11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48</v>
      </c>
      <c r="E29" s="11">
        <v>308459901.90579772</v>
      </c>
      <c r="F29" s="11">
        <v>2</v>
      </c>
      <c r="G29" s="11">
        <v>15454545</v>
      </c>
      <c r="H29" s="11">
        <v>2</v>
      </c>
      <c r="I29" s="11">
        <v>15545455</v>
      </c>
      <c r="J29" s="11">
        <v>6510349.9236734686</v>
      </c>
      <c r="K29" s="11">
        <v>16251964.73593197</v>
      </c>
      <c r="L29" s="11">
        <v>48</v>
      </c>
      <c r="M29" s="11">
        <v>307662482.16986573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90</v>
      </c>
      <c r="E30" s="11">
        <v>864706527.64767361</v>
      </c>
      <c r="F30" s="11">
        <v>0</v>
      </c>
      <c r="G30" s="11">
        <v>0</v>
      </c>
      <c r="H30" s="11">
        <v>0</v>
      </c>
      <c r="I30" s="11">
        <v>0</v>
      </c>
      <c r="J30" s="11">
        <v>9715001.8936170209</v>
      </c>
      <c r="K30" s="11">
        <v>0</v>
      </c>
      <c r="L30" s="11">
        <v>90</v>
      </c>
      <c r="M30" s="11">
        <v>864706527.64767361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209</v>
      </c>
      <c r="E31" s="11">
        <v>1691854411.8816731</v>
      </c>
      <c r="F31" s="11">
        <v>0</v>
      </c>
      <c r="G31" s="11">
        <v>0</v>
      </c>
      <c r="H31" s="11">
        <v>13</v>
      </c>
      <c r="I31" s="11">
        <v>103536364</v>
      </c>
      <c r="J31" s="11">
        <v>8762256.3993276525</v>
      </c>
      <c r="K31" s="11">
        <v>142177493.36223891</v>
      </c>
      <c r="L31" s="11">
        <v>196</v>
      </c>
      <c r="M31" s="11">
        <v>1549676918.519434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52609447.702893063</v>
      </c>
      <c r="F32" s="11">
        <v>1</v>
      </c>
      <c r="G32" s="11">
        <v>16818182</v>
      </c>
      <c r="H32" s="11">
        <v>1</v>
      </c>
      <c r="I32" s="11">
        <v>17718182</v>
      </c>
      <c r="J32" s="11">
        <v>18543002.1875</v>
      </c>
      <c r="K32" s="11">
        <v>23144701.98857734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1">
        <v>101090592</v>
      </c>
      <c r="F33" s="11">
        <v>0</v>
      </c>
      <c r="G33" s="11">
        <v>0</v>
      </c>
      <c r="H33" s="11">
        <v>0</v>
      </c>
      <c r="I33" s="11">
        <v>0</v>
      </c>
      <c r="J33" s="11">
        <v>2150863.6595744682</v>
      </c>
      <c r="K33" s="11">
        <v>0</v>
      </c>
      <c r="L33" s="11">
        <v>47</v>
      </c>
      <c r="M33" s="11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31</v>
      </c>
      <c r="E34" s="11">
        <v>514168249.26874453</v>
      </c>
      <c r="F34" s="11">
        <v>0</v>
      </c>
      <c r="G34" s="11">
        <v>0</v>
      </c>
      <c r="H34" s="11">
        <v>1</v>
      </c>
      <c r="I34" s="11">
        <v>13727273</v>
      </c>
      <c r="J34" s="11">
        <v>16852769.046357829</v>
      </c>
      <c r="K34" s="11">
        <v>21035014.358311959</v>
      </c>
      <c r="L34" s="11">
        <v>30</v>
      </c>
      <c r="M34" s="11">
        <v>493133234.91043258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18</v>
      </c>
      <c r="E35" s="11">
        <v>204229503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18</v>
      </c>
      <c r="M35" s="11">
        <v>204229503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52</v>
      </c>
      <c r="E36" s="11">
        <v>321660555.09243119</v>
      </c>
      <c r="F36" s="11">
        <v>0</v>
      </c>
      <c r="G36" s="11">
        <v>0</v>
      </c>
      <c r="H36" s="11">
        <v>0</v>
      </c>
      <c r="I36" s="11">
        <v>0</v>
      </c>
      <c r="J36" s="11">
        <v>6336992.5438596494</v>
      </c>
      <c r="K36" s="11">
        <v>0</v>
      </c>
      <c r="L36" s="11">
        <v>52</v>
      </c>
      <c r="M36" s="11">
        <v>321660555.09243119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107</v>
      </c>
      <c r="E37" s="11">
        <v>281154636.35833532</v>
      </c>
      <c r="F37" s="11">
        <v>5</v>
      </c>
      <c r="G37" s="11">
        <v>6363636</v>
      </c>
      <c r="H37" s="11">
        <v>1</v>
      </c>
      <c r="I37" s="11">
        <v>1445456</v>
      </c>
      <c r="J37" s="11">
        <v>2838047.0642976989</v>
      </c>
      <c r="K37" s="11">
        <v>3542347.2892111498</v>
      </c>
      <c r="L37" s="11">
        <v>111</v>
      </c>
      <c r="M37" s="11">
        <v>283975925.0691241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145</v>
      </c>
      <c r="E38" s="11">
        <v>716362713.18656719</v>
      </c>
      <c r="F38" s="11">
        <v>0</v>
      </c>
      <c r="G38" s="11">
        <v>0</v>
      </c>
      <c r="H38" s="11">
        <v>4</v>
      </c>
      <c r="I38" s="11">
        <v>37036363</v>
      </c>
      <c r="J38" s="11">
        <v>4982921.187770321</v>
      </c>
      <c r="K38" s="11">
        <v>24878005.137971818</v>
      </c>
      <c r="L38" s="11">
        <v>141</v>
      </c>
      <c r="M38" s="11">
        <v>691484708.04859543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151</v>
      </c>
      <c r="E39" s="11">
        <v>838509461.52939308</v>
      </c>
      <c r="F39" s="11">
        <v>5</v>
      </c>
      <c r="G39" s="11">
        <v>17089043</v>
      </c>
      <c r="H39" s="11">
        <v>4</v>
      </c>
      <c r="I39" s="11">
        <v>48481818</v>
      </c>
      <c r="J39" s="11">
        <v>5521448.4074890008</v>
      </c>
      <c r="K39" s="11">
        <v>27566685.619609918</v>
      </c>
      <c r="L39" s="11">
        <v>152</v>
      </c>
      <c r="M39" s="11">
        <v>828031818.90978312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31</v>
      </c>
      <c r="E40" s="11">
        <v>143790764.03194731</v>
      </c>
      <c r="F40" s="11">
        <v>1</v>
      </c>
      <c r="G40" s="11">
        <v>233133</v>
      </c>
      <c r="H40" s="11">
        <v>0</v>
      </c>
      <c r="I40" s="11">
        <v>0</v>
      </c>
      <c r="J40" s="11">
        <v>4536316.334134616</v>
      </c>
      <c r="K40" s="11">
        <v>0</v>
      </c>
      <c r="L40" s="11">
        <v>32</v>
      </c>
      <c r="M40" s="11">
        <v>144023897.03194731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75</v>
      </c>
      <c r="E41" s="11">
        <v>293575661.43516272</v>
      </c>
      <c r="F41" s="11">
        <v>22</v>
      </c>
      <c r="G41" s="11">
        <v>77965709</v>
      </c>
      <c r="H41" s="11">
        <v>0</v>
      </c>
      <c r="I41" s="11">
        <v>0</v>
      </c>
      <c r="J41" s="11">
        <v>3933408.9022580208</v>
      </c>
      <c r="K41" s="11">
        <v>0</v>
      </c>
      <c r="L41" s="11">
        <v>97</v>
      </c>
      <c r="M41" s="11">
        <v>371541370.43516272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514</v>
      </c>
      <c r="E42" s="11">
        <v>1255661465.1629989</v>
      </c>
      <c r="F42" s="11">
        <v>60</v>
      </c>
      <c r="G42" s="11">
        <v>157036365</v>
      </c>
      <c r="H42" s="11">
        <v>64</v>
      </c>
      <c r="I42" s="11">
        <v>157772726</v>
      </c>
      <c r="J42" s="11">
        <v>2593944.6947452142</v>
      </c>
      <c r="K42" s="11">
        <v>207210724.83143011</v>
      </c>
      <c r="L42" s="11">
        <v>510</v>
      </c>
      <c r="M42" s="11">
        <v>1205487105.331569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566</v>
      </c>
      <c r="E43" s="11">
        <v>1309423636.980866</v>
      </c>
      <c r="F43" s="11">
        <v>32</v>
      </c>
      <c r="G43" s="11">
        <v>85054290</v>
      </c>
      <c r="H43" s="11">
        <v>17</v>
      </c>
      <c r="I43" s="11">
        <v>61949999</v>
      </c>
      <c r="J43" s="11">
        <v>2386358.4883310841</v>
      </c>
      <c r="K43" s="11">
        <v>50635622.180352107</v>
      </c>
      <c r="L43" s="11">
        <v>581</v>
      </c>
      <c r="M43" s="11">
        <v>1343842304.800514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14</v>
      </c>
      <c r="E45" s="11">
        <v>84866751</v>
      </c>
      <c r="F45" s="11">
        <v>4</v>
      </c>
      <c r="G45" s="11">
        <v>24036364</v>
      </c>
      <c r="H45" s="11">
        <v>2</v>
      </c>
      <c r="I45" s="11">
        <v>18409091</v>
      </c>
      <c r="J45" s="11">
        <v>6050173.055555556</v>
      </c>
      <c r="K45" s="11">
        <v>15103212.622662449</v>
      </c>
      <c r="L45" s="11">
        <v>16</v>
      </c>
      <c r="M45" s="11">
        <v>93799902.377337545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17</v>
      </c>
      <c r="E46" s="11">
        <v>82326737.817292675</v>
      </c>
      <c r="F46" s="11">
        <v>1</v>
      </c>
      <c r="G46" s="11">
        <v>5363636</v>
      </c>
      <c r="H46" s="11">
        <v>1</v>
      </c>
      <c r="I46" s="11">
        <v>5909091</v>
      </c>
      <c r="J46" s="11">
        <v>5081160.0805555554</v>
      </c>
      <c r="K46" s="11">
        <v>6342119.5031724935</v>
      </c>
      <c r="L46" s="11">
        <v>17</v>
      </c>
      <c r="M46" s="11">
        <v>81348254.314120173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16</v>
      </c>
      <c r="E47" s="11">
        <v>13032796.333187049</v>
      </c>
      <c r="F47" s="11">
        <v>0</v>
      </c>
      <c r="G47" s="11">
        <v>0</v>
      </c>
      <c r="H47" s="11">
        <v>0</v>
      </c>
      <c r="I47" s="11">
        <v>0</v>
      </c>
      <c r="J47" s="11">
        <v>840626.38888888888</v>
      </c>
      <c r="K47" s="11">
        <v>0</v>
      </c>
      <c r="L47" s="11">
        <v>16</v>
      </c>
      <c r="M47" s="11">
        <v>13032796.333187049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128</v>
      </c>
      <c r="E48" s="11">
        <v>52764546.486112483</v>
      </c>
      <c r="F48" s="11">
        <v>10</v>
      </c>
      <c r="G48" s="11">
        <v>3090910</v>
      </c>
      <c r="H48" s="11">
        <v>10</v>
      </c>
      <c r="I48" s="11">
        <v>7727273</v>
      </c>
      <c r="J48" s="11">
        <v>418478.18951603782</v>
      </c>
      <c r="K48" s="11">
        <v>5223292.8018512568</v>
      </c>
      <c r="L48" s="11">
        <v>128</v>
      </c>
      <c r="M48" s="11">
        <v>50632163.684261233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1">
        <v>170209491.99724761</v>
      </c>
      <c r="F49" s="11">
        <v>0</v>
      </c>
      <c r="G49" s="11">
        <v>0</v>
      </c>
      <c r="H49" s="11">
        <v>0</v>
      </c>
      <c r="I49" s="11">
        <v>0</v>
      </c>
      <c r="J49" s="11">
        <v>7733723.6789940828</v>
      </c>
      <c r="K49" s="11">
        <v>0</v>
      </c>
      <c r="L49" s="11">
        <v>23</v>
      </c>
      <c r="M49" s="11">
        <v>170209491.99724761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0</v>
      </c>
      <c r="G50" s="11">
        <v>0</v>
      </c>
      <c r="H50" s="11">
        <v>0</v>
      </c>
      <c r="I50" s="11">
        <v>0</v>
      </c>
      <c r="J50" s="11">
        <v>468825.5</v>
      </c>
      <c r="K50" s="11">
        <v>0</v>
      </c>
      <c r="L50" s="11">
        <v>2</v>
      </c>
      <c r="M50" s="11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646</v>
      </c>
      <c r="E51" s="11">
        <v>208687631.1996769</v>
      </c>
      <c r="F51" s="11">
        <v>0</v>
      </c>
      <c r="G51" s="11">
        <v>0</v>
      </c>
      <c r="H51" s="11">
        <v>5</v>
      </c>
      <c r="I51" s="11">
        <v>2918181</v>
      </c>
      <c r="J51" s="11">
        <v>326175.53430535487</v>
      </c>
      <c r="K51" s="11">
        <v>2035602.288434024</v>
      </c>
      <c r="L51" s="11">
        <v>641</v>
      </c>
      <c r="M51" s="11">
        <v>206652028.91124281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30</v>
      </c>
      <c r="E52" s="11">
        <v>20106403.136858229</v>
      </c>
      <c r="F52" s="11">
        <v>0</v>
      </c>
      <c r="G52" s="11">
        <v>0</v>
      </c>
      <c r="H52" s="11">
        <v>0</v>
      </c>
      <c r="I52" s="11">
        <v>0</v>
      </c>
      <c r="J52" s="11">
        <v>699607.38750000007</v>
      </c>
      <c r="K52" s="11">
        <v>0</v>
      </c>
      <c r="L52" s="11">
        <v>30</v>
      </c>
      <c r="M52" s="11">
        <v>20106403.136858229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125</v>
      </c>
      <c r="E53" s="11">
        <v>85075884.430303037</v>
      </c>
      <c r="F53" s="11">
        <v>0</v>
      </c>
      <c r="G53" s="11">
        <v>0</v>
      </c>
      <c r="H53" s="11">
        <v>0</v>
      </c>
      <c r="I53" s="11">
        <v>0</v>
      </c>
      <c r="J53" s="11">
        <v>685780.01738582668</v>
      </c>
      <c r="K53" s="11">
        <v>0</v>
      </c>
      <c r="L53" s="11">
        <v>125</v>
      </c>
      <c r="M53" s="11">
        <v>85075884.430303037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89</v>
      </c>
      <c r="E54" s="11">
        <v>78626352.251683891</v>
      </c>
      <c r="F54" s="11">
        <v>0</v>
      </c>
      <c r="G54" s="11">
        <v>0</v>
      </c>
      <c r="H54" s="11">
        <v>1</v>
      </c>
      <c r="I54" s="11">
        <v>1018182</v>
      </c>
      <c r="J54" s="11">
        <v>922054.0166438669</v>
      </c>
      <c r="K54" s="11">
        <v>1150874.3415334851</v>
      </c>
      <c r="L54" s="11">
        <v>88</v>
      </c>
      <c r="M54" s="11">
        <v>77475477.910150409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13</v>
      </c>
      <c r="E55" s="11">
        <v>45335452</v>
      </c>
      <c r="F55" s="11">
        <v>0</v>
      </c>
      <c r="G55" s="11">
        <v>0</v>
      </c>
      <c r="H55" s="11">
        <v>0</v>
      </c>
      <c r="I55" s="11">
        <v>0</v>
      </c>
      <c r="J55" s="11">
        <v>3487342.461538462</v>
      </c>
      <c r="K55" s="11">
        <v>0</v>
      </c>
      <c r="L55" s="11">
        <v>13</v>
      </c>
      <c r="M55" s="11">
        <v>45335452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139</v>
      </c>
      <c r="E56" s="11">
        <v>39606374.022406287</v>
      </c>
      <c r="F56" s="11">
        <v>25</v>
      </c>
      <c r="G56" s="11">
        <v>13888636</v>
      </c>
      <c r="H56" s="11">
        <v>2</v>
      </c>
      <c r="I56" s="11">
        <v>1454546</v>
      </c>
      <c r="J56" s="11">
        <v>327489.54933871521</v>
      </c>
      <c r="K56" s="11">
        <v>817521.12707267725</v>
      </c>
      <c r="L56" s="11">
        <v>162</v>
      </c>
      <c r="M56" s="11">
        <v>52677488.895333618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2674</v>
      </c>
      <c r="E57" s="11">
        <v>213715849.3309291</v>
      </c>
      <c r="F57" s="11">
        <v>101</v>
      </c>
      <c r="G57" s="11">
        <v>14238635</v>
      </c>
      <c r="H57" s="11">
        <v>12</v>
      </c>
      <c r="I57" s="11">
        <v>4745455</v>
      </c>
      <c r="J57" s="11">
        <v>83046.406143487096</v>
      </c>
      <c r="K57" s="11">
        <v>1243866.102356863</v>
      </c>
      <c r="L57" s="11">
        <v>2763</v>
      </c>
      <c r="M57" s="11">
        <v>226710618.22857219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14</v>
      </c>
      <c r="E58" s="11">
        <v>3404485</v>
      </c>
      <c r="F58" s="11">
        <v>0</v>
      </c>
      <c r="G58" s="11">
        <v>0</v>
      </c>
      <c r="H58" s="11">
        <v>0</v>
      </c>
      <c r="I58" s="11">
        <v>0</v>
      </c>
      <c r="J58" s="11">
        <v>243177.5</v>
      </c>
      <c r="K58" s="11">
        <v>0</v>
      </c>
      <c r="L58" s="11">
        <v>14</v>
      </c>
      <c r="M58" s="11">
        <v>3404485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24292.3</v>
      </c>
      <c r="E59" s="14">
        <f t="shared" si="0"/>
        <v>21556601567.080563</v>
      </c>
      <c r="F59" s="14">
        <f t="shared" si="0"/>
        <v>868.73</v>
      </c>
      <c r="G59" s="14">
        <f t="shared" si="0"/>
        <v>757550605</v>
      </c>
      <c r="H59" s="14">
        <f t="shared" si="0"/>
        <v>635</v>
      </c>
      <c r="I59" s="14">
        <f t="shared" si="0"/>
        <v>976118179</v>
      </c>
      <c r="J59" s="14">
        <f t="shared" si="0"/>
        <v>280910809.61806291</v>
      </c>
      <c r="K59" s="14">
        <f t="shared" si="0"/>
        <v>988757479.79411376</v>
      </c>
      <c r="L59" s="14">
        <f t="shared" si="0"/>
        <v>24526.03</v>
      </c>
      <c r="M59" s="14">
        <f t="shared" si="0"/>
        <v>21325394692.286453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topLeftCell="A49" workbookViewId="0">
      <selection activeCell="H9" sqref="H9"/>
    </sheetView>
  </sheetViews>
  <sheetFormatPr defaultColWidth="14.42578125" defaultRowHeight="15" customHeight="1" x14ac:dyDescent="0.25"/>
  <cols>
    <col min="1" max="2" width="8.7109375" customWidth="1"/>
    <col min="3" max="3" width="16.28515625" customWidth="1"/>
    <col min="4" max="4" width="8.7109375" style="18" customWidth="1"/>
    <col min="5" max="5" width="15.28515625" style="18" customWidth="1"/>
    <col min="6" max="6" width="8.7109375" style="18" customWidth="1"/>
    <col min="7" max="7" width="14" style="18" customWidth="1"/>
    <col min="8" max="8" width="8.7109375" style="18" customWidth="1"/>
    <col min="9" max="9" width="14" style="18" customWidth="1"/>
    <col min="10" max="11" width="14.28515625" style="18" customWidth="1"/>
    <col min="12" max="12" width="8.7109375" style="18" customWidth="1"/>
    <col min="13" max="13" width="16.140625" style="18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15" t="s">
        <v>3</v>
      </c>
      <c r="E1" s="15" t="s">
        <v>4</v>
      </c>
      <c r="F1" s="15" t="s">
        <v>152</v>
      </c>
      <c r="G1" s="15" t="s">
        <v>153</v>
      </c>
      <c r="H1" s="15" t="s">
        <v>154</v>
      </c>
      <c r="I1" s="15" t="s">
        <v>155</v>
      </c>
      <c r="J1" s="15" t="s">
        <v>156</v>
      </c>
      <c r="K1" s="15" t="s">
        <v>157</v>
      </c>
      <c r="L1" s="15" t="s">
        <v>8</v>
      </c>
      <c r="M1" s="15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6">
        <v>665</v>
      </c>
      <c r="E2" s="16">
        <v>302775643.85860747</v>
      </c>
      <c r="F2" s="16">
        <v>23</v>
      </c>
      <c r="G2" s="16">
        <v>18122727</v>
      </c>
      <c r="H2" s="16">
        <v>44</v>
      </c>
      <c r="I2" s="16">
        <v>19163637</v>
      </c>
      <c r="J2" s="16">
        <v>472757.60525477037</v>
      </c>
      <c r="K2" s="16">
        <v>25963470.539229609</v>
      </c>
      <c r="L2" s="16">
        <v>644</v>
      </c>
      <c r="M2" s="16">
        <v>294934900.31937778</v>
      </c>
    </row>
    <row r="3" spans="1:13" x14ac:dyDescent="0.25">
      <c r="A3" s="10">
        <v>2</v>
      </c>
      <c r="B3" s="10" t="s">
        <v>36</v>
      </c>
      <c r="C3" s="10" t="s">
        <v>37</v>
      </c>
      <c r="D3" s="16">
        <v>140</v>
      </c>
      <c r="E3" s="16">
        <v>145052804.6713205</v>
      </c>
      <c r="F3" s="16">
        <v>10</v>
      </c>
      <c r="G3" s="16">
        <v>7727273</v>
      </c>
      <c r="H3" s="16">
        <v>0</v>
      </c>
      <c r="I3" s="16">
        <v>0</v>
      </c>
      <c r="J3" s="16">
        <v>1088248.892746543</v>
      </c>
      <c r="K3" s="16">
        <v>0</v>
      </c>
      <c r="L3" s="16">
        <v>150</v>
      </c>
      <c r="M3" s="16">
        <v>152780077.6713205</v>
      </c>
    </row>
    <row r="4" spans="1:13" x14ac:dyDescent="0.25">
      <c r="A4" s="10">
        <v>3</v>
      </c>
      <c r="B4" s="10" t="s">
        <v>38</v>
      </c>
      <c r="C4" s="10" t="s">
        <v>39</v>
      </c>
      <c r="D4" s="16">
        <v>635</v>
      </c>
      <c r="E4" s="16">
        <v>276126457.46186727</v>
      </c>
      <c r="F4" s="16">
        <v>0</v>
      </c>
      <c r="G4" s="16">
        <v>0</v>
      </c>
      <c r="H4" s="16">
        <v>5</v>
      </c>
      <c r="I4" s="16">
        <v>2018182</v>
      </c>
      <c r="J4" s="16">
        <v>436722.55738559621</v>
      </c>
      <c r="K4" s="16">
        <v>2725506.1883109622</v>
      </c>
      <c r="L4" s="16">
        <v>630</v>
      </c>
      <c r="M4" s="16">
        <v>273400951.27355629</v>
      </c>
    </row>
    <row r="5" spans="1:13" x14ac:dyDescent="0.25">
      <c r="A5" s="10">
        <v>4</v>
      </c>
      <c r="B5" s="10" t="s">
        <v>40</v>
      </c>
      <c r="C5" s="10" t="s">
        <v>41</v>
      </c>
      <c r="D5" s="16">
        <v>1078</v>
      </c>
      <c r="E5" s="16">
        <v>155736328.7347028</v>
      </c>
      <c r="F5" s="16">
        <v>0</v>
      </c>
      <c r="G5" s="16">
        <v>0</v>
      </c>
      <c r="H5" s="16">
        <v>15</v>
      </c>
      <c r="I5" s="16">
        <v>2818182</v>
      </c>
      <c r="J5" s="16">
        <v>146222.8590571915</v>
      </c>
      <c r="K5" s="16">
        <v>2737650.9444715111</v>
      </c>
      <c r="L5" s="16">
        <v>1063</v>
      </c>
      <c r="M5" s="16">
        <v>152998677.79023099</v>
      </c>
    </row>
    <row r="6" spans="1:13" x14ac:dyDescent="0.25">
      <c r="A6" s="10">
        <v>5</v>
      </c>
      <c r="B6" s="10" t="s">
        <v>42</v>
      </c>
      <c r="C6" s="10" t="s">
        <v>43</v>
      </c>
      <c r="D6" s="16">
        <v>54</v>
      </c>
      <c r="E6" s="16">
        <v>21965032</v>
      </c>
      <c r="F6" s="16">
        <v>10</v>
      </c>
      <c r="G6" s="16">
        <v>59090</v>
      </c>
      <c r="H6" s="16">
        <v>3</v>
      </c>
      <c r="I6" s="16">
        <v>227272</v>
      </c>
      <c r="J6" s="16">
        <v>344126.90625</v>
      </c>
      <c r="K6" s="16">
        <v>1288580.124869385</v>
      </c>
      <c r="L6" s="16">
        <v>61</v>
      </c>
      <c r="M6" s="16">
        <v>20735541.87513062</v>
      </c>
    </row>
    <row r="7" spans="1:13" x14ac:dyDescent="0.25">
      <c r="A7" s="10">
        <v>6</v>
      </c>
      <c r="B7" s="10" t="s">
        <v>44</v>
      </c>
      <c r="C7" s="10" t="s">
        <v>45</v>
      </c>
      <c r="D7" s="16">
        <v>7</v>
      </c>
      <c r="E7" s="16">
        <v>206942</v>
      </c>
      <c r="F7" s="16">
        <v>0</v>
      </c>
      <c r="G7" s="16">
        <v>0</v>
      </c>
      <c r="H7" s="16">
        <v>0</v>
      </c>
      <c r="I7" s="16">
        <v>0</v>
      </c>
      <c r="J7" s="16">
        <v>29563.142857142859</v>
      </c>
      <c r="K7" s="16">
        <v>0</v>
      </c>
      <c r="L7" s="16">
        <v>7</v>
      </c>
      <c r="M7" s="16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6">
        <v>1214</v>
      </c>
      <c r="E8" s="16">
        <v>157717998.29060531</v>
      </c>
      <c r="F8" s="16">
        <v>3</v>
      </c>
      <c r="G8" s="16">
        <v>1431819</v>
      </c>
      <c r="H8" s="16">
        <v>6</v>
      </c>
      <c r="I8" s="16">
        <v>1481818</v>
      </c>
      <c r="J8" s="16">
        <v>134879.27438616799</v>
      </c>
      <c r="K8" s="16">
        <v>1010108.474950557</v>
      </c>
      <c r="L8" s="16">
        <v>1211</v>
      </c>
      <c r="M8" s="16">
        <v>158139708.81565481</v>
      </c>
    </row>
    <row r="9" spans="1:13" x14ac:dyDescent="0.25">
      <c r="A9" s="10">
        <v>8</v>
      </c>
      <c r="B9" s="10" t="s">
        <v>48</v>
      </c>
      <c r="C9" s="10" t="s">
        <v>49</v>
      </c>
      <c r="D9" s="16">
        <v>80</v>
      </c>
      <c r="E9" s="16">
        <v>77798827.237547532</v>
      </c>
      <c r="F9" s="16">
        <v>1</v>
      </c>
      <c r="G9" s="16">
        <v>465881</v>
      </c>
      <c r="H9" s="16">
        <v>4</v>
      </c>
      <c r="I9" s="16">
        <v>3236364</v>
      </c>
      <c r="J9" s="16">
        <v>997466.64886804519</v>
      </c>
      <c r="K9" s="16">
        <v>4980006.6026327377</v>
      </c>
      <c r="L9" s="16">
        <v>77</v>
      </c>
      <c r="M9" s="16">
        <v>73284701.634914801</v>
      </c>
    </row>
    <row r="10" spans="1:13" x14ac:dyDescent="0.25">
      <c r="A10" s="10">
        <v>9</v>
      </c>
      <c r="B10" s="10" t="s">
        <v>50</v>
      </c>
      <c r="C10" s="10" t="s">
        <v>51</v>
      </c>
      <c r="D10" s="16">
        <v>1534</v>
      </c>
      <c r="E10" s="16">
        <v>665314347.88675547</v>
      </c>
      <c r="F10" s="16">
        <v>22</v>
      </c>
      <c r="G10" s="16">
        <v>39042669.240274213</v>
      </c>
      <c r="H10" s="16">
        <v>14</v>
      </c>
      <c r="I10" s="16">
        <v>24018181</v>
      </c>
      <c r="J10" s="16">
        <v>459829.75958536827</v>
      </c>
      <c r="K10" s="16">
        <v>8035199.3171631712</v>
      </c>
      <c r="L10" s="16">
        <v>1542</v>
      </c>
      <c r="M10" s="16">
        <v>696321817.80986643</v>
      </c>
    </row>
    <row r="11" spans="1:13" x14ac:dyDescent="0.25">
      <c r="A11" s="10">
        <v>10</v>
      </c>
      <c r="B11" s="10" t="s">
        <v>52</v>
      </c>
      <c r="C11" s="10" t="s">
        <v>53</v>
      </c>
      <c r="D11" s="16">
        <v>491</v>
      </c>
      <c r="E11" s="16">
        <v>906030248.74818039</v>
      </c>
      <c r="F11" s="16">
        <v>3</v>
      </c>
      <c r="G11" s="16">
        <v>17999999</v>
      </c>
      <c r="H11" s="16">
        <v>13</v>
      </c>
      <c r="I11" s="16">
        <v>28154546</v>
      </c>
      <c r="J11" s="16">
        <v>1949447.4562619519</v>
      </c>
      <c r="K11" s="16">
        <v>31631983.83397967</v>
      </c>
      <c r="L11" s="16">
        <v>481</v>
      </c>
      <c r="M11" s="16">
        <v>892398263.91420066</v>
      </c>
    </row>
    <row r="12" spans="1:13" x14ac:dyDescent="0.25">
      <c r="A12" s="10">
        <v>11</v>
      </c>
      <c r="B12" s="10" t="s">
        <v>54</v>
      </c>
      <c r="C12" s="10" t="s">
        <v>55</v>
      </c>
      <c r="D12" s="16">
        <v>65</v>
      </c>
      <c r="E12" s="16">
        <v>208796929.16910821</v>
      </c>
      <c r="F12" s="16">
        <v>5</v>
      </c>
      <c r="G12" s="16">
        <v>14318180</v>
      </c>
      <c r="H12" s="16">
        <v>1</v>
      </c>
      <c r="I12" s="16">
        <v>4090909</v>
      </c>
      <c r="J12" s="16">
        <v>3245407.2785714292</v>
      </c>
      <c r="K12" s="16">
        <v>4050799.516419759</v>
      </c>
      <c r="L12" s="16">
        <v>69</v>
      </c>
      <c r="M12" s="16">
        <v>219064309.65268841</v>
      </c>
    </row>
    <row r="13" spans="1:13" x14ac:dyDescent="0.25">
      <c r="A13" s="10">
        <v>12</v>
      </c>
      <c r="B13" s="10" t="s">
        <v>56</v>
      </c>
      <c r="C13" s="10" t="s">
        <v>57</v>
      </c>
      <c r="D13" s="16">
        <v>4</v>
      </c>
      <c r="E13" s="16">
        <v>11555238</v>
      </c>
      <c r="F13" s="16">
        <v>0</v>
      </c>
      <c r="G13" s="16">
        <v>0</v>
      </c>
      <c r="H13" s="16">
        <v>0</v>
      </c>
      <c r="I13" s="16">
        <v>0</v>
      </c>
      <c r="J13" s="16">
        <v>2888809.5</v>
      </c>
      <c r="K13" s="16">
        <v>0</v>
      </c>
      <c r="L13" s="16">
        <v>4</v>
      </c>
      <c r="M13" s="16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6">
        <v>1960</v>
      </c>
      <c r="E14" s="16">
        <v>252288796.33175299</v>
      </c>
      <c r="F14" s="16">
        <v>13</v>
      </c>
      <c r="G14" s="16">
        <v>4126087</v>
      </c>
      <c r="H14" s="16">
        <v>12</v>
      </c>
      <c r="I14" s="16">
        <v>2927272</v>
      </c>
      <c r="J14" s="16">
        <v>131901.95381118299</v>
      </c>
      <c r="K14" s="16">
        <v>1975622.748766453</v>
      </c>
      <c r="L14" s="16">
        <v>1961</v>
      </c>
      <c r="M14" s="16">
        <v>254439260.5829865</v>
      </c>
    </row>
    <row r="15" spans="1:13" x14ac:dyDescent="0.25">
      <c r="A15" s="10">
        <v>14</v>
      </c>
      <c r="B15" s="10" t="s">
        <v>60</v>
      </c>
      <c r="C15" s="10" t="s">
        <v>61</v>
      </c>
      <c r="D15" s="16">
        <v>2011</v>
      </c>
      <c r="E15" s="16">
        <v>235124889.7794801</v>
      </c>
      <c r="F15" s="16">
        <v>0</v>
      </c>
      <c r="G15" s="16">
        <v>0</v>
      </c>
      <c r="H15" s="16">
        <v>57</v>
      </c>
      <c r="I15" s="16">
        <v>5345456</v>
      </c>
      <c r="J15" s="16">
        <v>118834.6802930057</v>
      </c>
      <c r="K15" s="16">
        <v>8454532.5675031245</v>
      </c>
      <c r="L15" s="16">
        <v>1954</v>
      </c>
      <c r="M15" s="16">
        <v>226670357.21197701</v>
      </c>
    </row>
    <row r="16" spans="1:13" x14ac:dyDescent="0.25">
      <c r="A16" s="10">
        <v>15</v>
      </c>
      <c r="B16" s="10" t="s">
        <v>62</v>
      </c>
      <c r="C16" s="10" t="s">
        <v>63</v>
      </c>
      <c r="D16" s="16">
        <v>7939.0299999999988</v>
      </c>
      <c r="E16" s="16">
        <v>4504012915.3238268</v>
      </c>
      <c r="F16" s="16">
        <v>382</v>
      </c>
      <c r="G16" s="16">
        <v>271128654.020895</v>
      </c>
      <c r="H16" s="16">
        <v>406</v>
      </c>
      <c r="I16" s="16">
        <v>197473634</v>
      </c>
      <c r="J16" s="16">
        <v>605859.7915955825</v>
      </c>
      <c r="K16" s="16">
        <v>307022149.79591382</v>
      </c>
      <c r="L16" s="16">
        <v>7915.0299999999988</v>
      </c>
      <c r="M16" s="16">
        <v>4468119419.5488081</v>
      </c>
    </row>
    <row r="17" spans="1:13" x14ac:dyDescent="0.25">
      <c r="A17" s="10">
        <v>16</v>
      </c>
      <c r="B17" s="10" t="s">
        <v>64</v>
      </c>
      <c r="C17" s="10" t="s">
        <v>65</v>
      </c>
      <c r="D17" s="16">
        <v>10</v>
      </c>
      <c r="E17" s="16">
        <v>116891435.5781315</v>
      </c>
      <c r="F17" s="16">
        <v>0</v>
      </c>
      <c r="G17" s="16">
        <v>0</v>
      </c>
      <c r="H17" s="16">
        <v>1</v>
      </c>
      <c r="I17" s="16">
        <v>13627273</v>
      </c>
      <c r="J17" s="16">
        <v>12629390.38461538</v>
      </c>
      <c r="K17" s="16">
        <v>15763546.47395617</v>
      </c>
      <c r="L17" s="16">
        <v>9</v>
      </c>
      <c r="M17" s="16">
        <v>101127889.1041753</v>
      </c>
    </row>
    <row r="18" spans="1:13" x14ac:dyDescent="0.25">
      <c r="A18" s="10">
        <v>17</v>
      </c>
      <c r="B18" s="10" t="s">
        <v>66</v>
      </c>
      <c r="C18" s="10" t="s">
        <v>67</v>
      </c>
      <c r="D18" s="16">
        <v>4</v>
      </c>
      <c r="E18" s="16">
        <v>11677084</v>
      </c>
      <c r="F18" s="16">
        <v>0</v>
      </c>
      <c r="G18" s="16">
        <v>0</v>
      </c>
      <c r="H18" s="16">
        <v>0</v>
      </c>
      <c r="I18" s="16">
        <v>0</v>
      </c>
      <c r="J18" s="16">
        <v>2919271</v>
      </c>
      <c r="K18" s="16">
        <v>0</v>
      </c>
      <c r="L18" s="16">
        <v>4</v>
      </c>
      <c r="M18" s="16">
        <v>11677084</v>
      </c>
    </row>
    <row r="19" spans="1:13" x14ac:dyDescent="0.25">
      <c r="A19" s="10">
        <v>18</v>
      </c>
      <c r="B19" s="10" t="s">
        <v>68</v>
      </c>
      <c r="C19" s="10" t="s">
        <v>69</v>
      </c>
      <c r="D19" s="16">
        <v>232</v>
      </c>
      <c r="E19" s="16">
        <v>1007303489.132573</v>
      </c>
      <c r="F19" s="16">
        <v>11</v>
      </c>
      <c r="G19" s="16">
        <v>2809092</v>
      </c>
      <c r="H19" s="16">
        <v>0</v>
      </c>
      <c r="I19" s="16">
        <v>0</v>
      </c>
      <c r="J19" s="16">
        <v>4161280.73381727</v>
      </c>
      <c r="K19" s="16">
        <v>0</v>
      </c>
      <c r="L19" s="16">
        <v>243</v>
      </c>
      <c r="M19" s="16">
        <v>1010112581.132573</v>
      </c>
    </row>
    <row r="20" spans="1:13" x14ac:dyDescent="0.25">
      <c r="A20" s="10">
        <v>19</v>
      </c>
      <c r="B20" s="10" t="s">
        <v>70</v>
      </c>
      <c r="C20" s="10" t="s">
        <v>71</v>
      </c>
      <c r="D20" s="16">
        <v>25</v>
      </c>
      <c r="E20" s="16">
        <v>262641555.18460849</v>
      </c>
      <c r="F20" s="16">
        <v>0</v>
      </c>
      <c r="G20" s="16">
        <v>0</v>
      </c>
      <c r="H20" s="16">
        <v>0</v>
      </c>
      <c r="I20" s="16">
        <v>0</v>
      </c>
      <c r="J20" s="16">
        <v>10610992.73076923</v>
      </c>
      <c r="K20" s="16">
        <v>0</v>
      </c>
      <c r="L20" s="16">
        <v>25</v>
      </c>
      <c r="M20" s="16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6">
        <v>24</v>
      </c>
      <c r="E21" s="16">
        <v>237050219.91288829</v>
      </c>
      <c r="F21" s="16">
        <v>0</v>
      </c>
      <c r="G21" s="16">
        <v>0</v>
      </c>
      <c r="H21" s="16">
        <v>1</v>
      </c>
      <c r="I21" s="16">
        <v>15263636</v>
      </c>
      <c r="J21" s="16">
        <v>10193293.14836603</v>
      </c>
      <c r="K21" s="16">
        <v>12722898.364331489</v>
      </c>
      <c r="L21" s="16">
        <v>23</v>
      </c>
      <c r="M21" s="16">
        <v>224327321.5485568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6">
        <v>14</v>
      </c>
      <c r="E22" s="16">
        <v>176575625.57633239</v>
      </c>
      <c r="F22" s="16">
        <v>0</v>
      </c>
      <c r="G22" s="16">
        <v>0</v>
      </c>
      <c r="H22" s="16">
        <v>1</v>
      </c>
      <c r="I22" s="16">
        <v>15590909</v>
      </c>
      <c r="J22" s="16">
        <v>13320923.882352941</v>
      </c>
      <c r="K22" s="16">
        <v>16626693.474555871</v>
      </c>
      <c r="L22" s="16">
        <v>13</v>
      </c>
      <c r="M22" s="16">
        <v>159948932.10177651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6">
        <v>24</v>
      </c>
      <c r="E23" s="16">
        <v>311732602</v>
      </c>
      <c r="F23" s="16">
        <v>4</v>
      </c>
      <c r="G23" s="16">
        <v>24676708.982548948</v>
      </c>
      <c r="H23" s="16">
        <v>0</v>
      </c>
      <c r="I23" s="16">
        <v>0</v>
      </c>
      <c r="J23" s="16">
        <v>12014618.24937675</v>
      </c>
      <c r="K23" s="16">
        <v>0</v>
      </c>
      <c r="L23" s="16">
        <v>28</v>
      </c>
      <c r="M23" s="16">
        <v>336409310.98254901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6">
        <v>130</v>
      </c>
      <c r="E24" s="16">
        <v>948494657.56276453</v>
      </c>
      <c r="F24" s="16">
        <v>5</v>
      </c>
      <c r="G24" s="16">
        <v>36000002</v>
      </c>
      <c r="H24" s="16">
        <v>2</v>
      </c>
      <c r="I24" s="16">
        <v>26354546</v>
      </c>
      <c r="J24" s="16">
        <v>7360259.6565157752</v>
      </c>
      <c r="K24" s="16">
        <v>18373617.668388281</v>
      </c>
      <c r="L24" s="16">
        <v>133</v>
      </c>
      <c r="M24" s="16">
        <v>966121041.89437628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6">
        <v>1</v>
      </c>
      <c r="E25" s="16">
        <v>15871570</v>
      </c>
      <c r="F25" s="16">
        <v>0</v>
      </c>
      <c r="G25" s="16">
        <v>0</v>
      </c>
      <c r="H25" s="16">
        <v>0</v>
      </c>
      <c r="I25" s="16">
        <v>0</v>
      </c>
      <c r="J25" s="16">
        <v>15871570</v>
      </c>
      <c r="K25" s="16">
        <v>0</v>
      </c>
      <c r="L25" s="16">
        <v>1</v>
      </c>
      <c r="M25" s="16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6">
        <v>20</v>
      </c>
      <c r="E26" s="16">
        <v>284925348.94593859</v>
      </c>
      <c r="F26" s="16">
        <v>1</v>
      </c>
      <c r="G26" s="16">
        <v>13954545</v>
      </c>
      <c r="H26" s="16">
        <v>10</v>
      </c>
      <c r="I26" s="16">
        <v>127727273</v>
      </c>
      <c r="J26" s="16">
        <v>14940955.35714286</v>
      </c>
      <c r="K26" s="16">
        <v>186487579.34074941</v>
      </c>
      <c r="L26" s="16">
        <v>11</v>
      </c>
      <c r="M26" s="16">
        <v>112392314.60518929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6">
        <v>2</v>
      </c>
      <c r="E27" s="16">
        <v>31612229</v>
      </c>
      <c r="F27" s="16">
        <v>0</v>
      </c>
      <c r="G27" s="16">
        <v>0</v>
      </c>
      <c r="H27" s="16">
        <v>0</v>
      </c>
      <c r="I27" s="16">
        <v>0</v>
      </c>
      <c r="J27" s="16">
        <v>15806114.5</v>
      </c>
      <c r="K27" s="16">
        <v>0</v>
      </c>
      <c r="L27" s="16">
        <v>2</v>
      </c>
      <c r="M27" s="16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6">
        <v>11</v>
      </c>
      <c r="E28" s="16">
        <v>91534934</v>
      </c>
      <c r="F28" s="16">
        <v>0</v>
      </c>
      <c r="G28" s="16">
        <v>0</v>
      </c>
      <c r="H28" s="16">
        <v>0</v>
      </c>
      <c r="I28" s="16">
        <v>0</v>
      </c>
      <c r="J28" s="16">
        <v>8321357.6363636367</v>
      </c>
      <c r="K28" s="16">
        <v>0</v>
      </c>
      <c r="L28" s="16">
        <v>11</v>
      </c>
      <c r="M28" s="16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6">
        <v>48</v>
      </c>
      <c r="E29" s="16">
        <v>307662482.16986573</v>
      </c>
      <c r="F29" s="16">
        <v>2</v>
      </c>
      <c r="G29" s="16">
        <v>23881818</v>
      </c>
      <c r="H29" s="16">
        <v>1</v>
      </c>
      <c r="I29" s="16">
        <v>25454545</v>
      </c>
      <c r="J29" s="16">
        <v>6727572.2867265297</v>
      </c>
      <c r="K29" s="16">
        <v>8397111.4336523786</v>
      </c>
      <c r="L29" s="16">
        <v>49</v>
      </c>
      <c r="M29" s="16">
        <v>323147188.73621333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6">
        <v>90</v>
      </c>
      <c r="E30" s="16">
        <v>864706527.64767361</v>
      </c>
      <c r="F30" s="16">
        <v>0</v>
      </c>
      <c r="G30" s="16">
        <v>0</v>
      </c>
      <c r="H30" s="16">
        <v>0</v>
      </c>
      <c r="I30" s="16">
        <v>0</v>
      </c>
      <c r="J30" s="16">
        <v>9715001.8936170209</v>
      </c>
      <c r="K30" s="16">
        <v>0</v>
      </c>
      <c r="L30" s="16">
        <v>90</v>
      </c>
      <c r="M30" s="16">
        <v>864706527.64767361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6">
        <v>196</v>
      </c>
      <c r="E31" s="16">
        <v>1549676918.519434</v>
      </c>
      <c r="F31" s="16">
        <v>0</v>
      </c>
      <c r="G31" s="16">
        <v>0</v>
      </c>
      <c r="H31" s="16">
        <v>8</v>
      </c>
      <c r="I31" s="16">
        <v>69472728</v>
      </c>
      <c r="J31" s="16">
        <v>8762256.3993276544</v>
      </c>
      <c r="K31" s="16">
        <v>87493842.069070101</v>
      </c>
      <c r="L31" s="16">
        <v>188</v>
      </c>
      <c r="M31" s="16">
        <v>1462183076.4503641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6">
        <v>3</v>
      </c>
      <c r="E32" s="16">
        <v>46282927.71431572</v>
      </c>
      <c r="F32" s="16">
        <v>0</v>
      </c>
      <c r="G32" s="16">
        <v>0</v>
      </c>
      <c r="H32" s="16">
        <v>0</v>
      </c>
      <c r="I32" s="16">
        <v>0</v>
      </c>
      <c r="J32" s="16">
        <v>18543002.1875</v>
      </c>
      <c r="K32" s="16">
        <v>0</v>
      </c>
      <c r="L32" s="16">
        <v>3</v>
      </c>
      <c r="M32" s="16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6">
        <v>47</v>
      </c>
      <c r="E33" s="16">
        <v>101090592</v>
      </c>
      <c r="F33" s="16">
        <v>0</v>
      </c>
      <c r="G33" s="16">
        <v>0</v>
      </c>
      <c r="H33" s="16">
        <v>0</v>
      </c>
      <c r="I33" s="16">
        <v>0</v>
      </c>
      <c r="J33" s="16">
        <v>2150863.6595744682</v>
      </c>
      <c r="K33" s="16">
        <v>0</v>
      </c>
      <c r="L33" s="16">
        <v>47</v>
      </c>
      <c r="M33" s="16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6">
        <v>30</v>
      </c>
      <c r="E34" s="16">
        <v>493133234.91043258</v>
      </c>
      <c r="F34" s="16">
        <v>0</v>
      </c>
      <c r="G34" s="16">
        <v>0</v>
      </c>
      <c r="H34" s="16">
        <v>0</v>
      </c>
      <c r="I34" s="16">
        <v>0</v>
      </c>
      <c r="J34" s="16">
        <v>16852769.046357829</v>
      </c>
      <c r="K34" s="16">
        <v>0</v>
      </c>
      <c r="L34" s="16">
        <v>30</v>
      </c>
      <c r="M34" s="16">
        <v>493133234.91043258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6">
        <v>18</v>
      </c>
      <c r="E35" s="16">
        <v>204229503</v>
      </c>
      <c r="F35" s="16">
        <v>0</v>
      </c>
      <c r="G35" s="16">
        <v>0</v>
      </c>
      <c r="H35" s="16">
        <v>0</v>
      </c>
      <c r="I35" s="16">
        <v>0</v>
      </c>
      <c r="J35" s="16">
        <v>11346083.5</v>
      </c>
      <c r="K35" s="16">
        <v>0</v>
      </c>
      <c r="L35" s="16">
        <v>18</v>
      </c>
      <c r="M35" s="16">
        <v>204229503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6">
        <v>52</v>
      </c>
      <c r="E36" s="16">
        <v>321660555.09243119</v>
      </c>
      <c r="F36" s="16">
        <v>0</v>
      </c>
      <c r="G36" s="16">
        <v>0</v>
      </c>
      <c r="H36" s="16">
        <v>9</v>
      </c>
      <c r="I36" s="16">
        <v>58909091</v>
      </c>
      <c r="J36" s="16">
        <v>6336992.5438596494</v>
      </c>
      <c r="K36" s="16">
        <v>71186435.833623767</v>
      </c>
      <c r="L36" s="16">
        <v>43</v>
      </c>
      <c r="M36" s="16">
        <v>250474119.25880751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6">
        <v>111</v>
      </c>
      <c r="E37" s="16">
        <v>283975925.0691241</v>
      </c>
      <c r="F37" s="16">
        <v>0</v>
      </c>
      <c r="G37" s="16">
        <v>0</v>
      </c>
      <c r="H37" s="16">
        <v>0</v>
      </c>
      <c r="I37" s="16">
        <v>0</v>
      </c>
      <c r="J37" s="16">
        <v>2838047.0642976989</v>
      </c>
      <c r="K37" s="16">
        <v>0</v>
      </c>
      <c r="L37" s="16">
        <v>111</v>
      </c>
      <c r="M37" s="16">
        <v>283975925.0691241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6">
        <v>141</v>
      </c>
      <c r="E38" s="16">
        <v>691484708.04859543</v>
      </c>
      <c r="F38" s="16">
        <v>11</v>
      </c>
      <c r="G38" s="16">
        <v>26090909</v>
      </c>
      <c r="H38" s="16">
        <v>5</v>
      </c>
      <c r="I38" s="16">
        <v>28154546</v>
      </c>
      <c r="J38" s="16">
        <v>4793965.7662869422</v>
      </c>
      <c r="K38" s="16">
        <v>29918269.944159519</v>
      </c>
      <c r="L38" s="16">
        <v>147</v>
      </c>
      <c r="M38" s="16">
        <v>687657347.10443592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6">
        <v>152</v>
      </c>
      <c r="E39" s="16">
        <v>828031818.90978312</v>
      </c>
      <c r="F39" s="16">
        <v>12</v>
      </c>
      <c r="G39" s="16">
        <v>16111677</v>
      </c>
      <c r="H39" s="16">
        <v>5</v>
      </c>
      <c r="I39" s="16">
        <v>41709090</v>
      </c>
      <c r="J39" s="16">
        <v>5215681.920355659</v>
      </c>
      <c r="K39" s="16">
        <v>32550123.893966269</v>
      </c>
      <c r="L39" s="16">
        <v>159</v>
      </c>
      <c r="M39" s="16">
        <v>811593372.01581681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6">
        <v>32</v>
      </c>
      <c r="E40" s="16">
        <v>144023897.03194731</v>
      </c>
      <c r="F40" s="16">
        <v>3</v>
      </c>
      <c r="G40" s="16">
        <v>4719290</v>
      </c>
      <c r="H40" s="16">
        <v>0</v>
      </c>
      <c r="I40" s="16">
        <v>0</v>
      </c>
      <c r="J40" s="16">
        <v>4282326.076923077</v>
      </c>
      <c r="K40" s="16">
        <v>0</v>
      </c>
      <c r="L40" s="16">
        <v>35</v>
      </c>
      <c r="M40" s="16">
        <v>148743187.03194731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6">
        <v>97</v>
      </c>
      <c r="E41" s="16">
        <v>371541370.43516272</v>
      </c>
      <c r="F41" s="16">
        <v>0</v>
      </c>
      <c r="G41" s="16">
        <v>0</v>
      </c>
      <c r="H41" s="16">
        <v>4</v>
      </c>
      <c r="I41" s="16">
        <v>18563636</v>
      </c>
      <c r="J41" s="16">
        <v>3933408.9022580208</v>
      </c>
      <c r="K41" s="16">
        <v>19638152.640320189</v>
      </c>
      <c r="L41" s="16">
        <v>93</v>
      </c>
      <c r="M41" s="16">
        <v>351903217.79484248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6">
        <v>510</v>
      </c>
      <c r="E42" s="16">
        <v>1205487105.331569</v>
      </c>
      <c r="F42" s="16">
        <v>0</v>
      </c>
      <c r="G42" s="16">
        <v>0</v>
      </c>
      <c r="H42" s="16">
        <v>2</v>
      </c>
      <c r="I42" s="16">
        <v>5072727</v>
      </c>
      <c r="J42" s="16">
        <v>2593944.6947452142</v>
      </c>
      <c r="K42" s="16">
        <v>6475335.1509821909</v>
      </c>
      <c r="L42" s="16">
        <v>508</v>
      </c>
      <c r="M42" s="16">
        <v>1199011770.1805871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6">
        <v>581</v>
      </c>
      <c r="E43" s="16">
        <v>1343842304.800514</v>
      </c>
      <c r="F43" s="16">
        <v>3</v>
      </c>
      <c r="G43" s="16">
        <v>10309090.75628183</v>
      </c>
      <c r="H43" s="16">
        <v>18</v>
      </c>
      <c r="I43" s="16">
        <v>75127274</v>
      </c>
      <c r="J43" s="16">
        <v>2391752.3501312351</v>
      </c>
      <c r="K43" s="16">
        <v>53735371.794783957</v>
      </c>
      <c r="L43" s="16">
        <v>566</v>
      </c>
      <c r="M43" s="16">
        <v>1300416023.762012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6">
        <v>6</v>
      </c>
      <c r="E44" s="16">
        <v>24352573</v>
      </c>
      <c r="F44" s="16">
        <v>0</v>
      </c>
      <c r="G44" s="16">
        <v>0</v>
      </c>
      <c r="H44" s="16">
        <v>0</v>
      </c>
      <c r="I44" s="16">
        <v>0</v>
      </c>
      <c r="J44" s="16">
        <v>4058762.166666667</v>
      </c>
      <c r="K44" s="16">
        <v>0</v>
      </c>
      <c r="L44" s="16">
        <v>6</v>
      </c>
      <c r="M44" s="16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6">
        <v>16</v>
      </c>
      <c r="E45" s="16">
        <v>93799902.377337545</v>
      </c>
      <c r="F45" s="16">
        <v>2</v>
      </c>
      <c r="G45" s="16">
        <v>10400000</v>
      </c>
      <c r="H45" s="16">
        <v>0</v>
      </c>
      <c r="I45" s="16">
        <v>0</v>
      </c>
      <c r="J45" s="16">
        <v>5955709.3827160494</v>
      </c>
      <c r="K45" s="16">
        <v>0</v>
      </c>
      <c r="L45" s="16">
        <v>18</v>
      </c>
      <c r="M45" s="16">
        <v>104199902.3773375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6">
        <v>17</v>
      </c>
      <c r="E46" s="16">
        <v>81348254.314120173</v>
      </c>
      <c r="F46" s="16">
        <v>3</v>
      </c>
      <c r="G46" s="16">
        <v>15545455</v>
      </c>
      <c r="H46" s="16">
        <v>2</v>
      </c>
      <c r="I46" s="16">
        <v>14772728</v>
      </c>
      <c r="J46" s="16">
        <v>5096258.8184722224</v>
      </c>
      <c r="K46" s="16">
        <v>12721930.399135791</v>
      </c>
      <c r="L46" s="16">
        <v>18</v>
      </c>
      <c r="M46" s="16">
        <v>84171778.914984375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6">
        <v>16</v>
      </c>
      <c r="E47" s="16">
        <v>13032796.333187049</v>
      </c>
      <c r="F47" s="16">
        <v>0</v>
      </c>
      <c r="G47" s="16">
        <v>0</v>
      </c>
      <c r="H47" s="16">
        <v>0</v>
      </c>
      <c r="I47" s="16">
        <v>0</v>
      </c>
      <c r="J47" s="16">
        <v>840626.38888888888</v>
      </c>
      <c r="K47" s="16">
        <v>0</v>
      </c>
      <c r="L47" s="16">
        <v>16</v>
      </c>
      <c r="M47" s="16">
        <v>13032796.333187049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6">
        <v>128</v>
      </c>
      <c r="E48" s="16">
        <v>50632163.684261233</v>
      </c>
      <c r="F48" s="16">
        <v>15</v>
      </c>
      <c r="G48" s="16">
        <v>5590905</v>
      </c>
      <c r="H48" s="16">
        <v>0</v>
      </c>
      <c r="I48" s="16">
        <v>0</v>
      </c>
      <c r="J48" s="16">
        <v>413679.11369267717</v>
      </c>
      <c r="K48" s="16">
        <v>0</v>
      </c>
      <c r="L48" s="16">
        <v>143</v>
      </c>
      <c r="M48" s="16">
        <v>56223068.684261233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6">
        <v>23</v>
      </c>
      <c r="E49" s="16">
        <v>170209491.99724761</v>
      </c>
      <c r="F49" s="16">
        <v>0</v>
      </c>
      <c r="G49" s="16">
        <v>0</v>
      </c>
      <c r="H49" s="16">
        <v>0</v>
      </c>
      <c r="I49" s="16">
        <v>0</v>
      </c>
      <c r="J49" s="16">
        <v>7733723.6789940828</v>
      </c>
      <c r="K49" s="16">
        <v>0</v>
      </c>
      <c r="L49" s="16">
        <v>23</v>
      </c>
      <c r="M49" s="16">
        <v>170209491.99724761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6">
        <v>2</v>
      </c>
      <c r="E50" s="16">
        <v>937651</v>
      </c>
      <c r="F50" s="16">
        <v>0</v>
      </c>
      <c r="G50" s="16">
        <v>0</v>
      </c>
      <c r="H50" s="16">
        <v>0</v>
      </c>
      <c r="I50" s="16">
        <v>0</v>
      </c>
      <c r="J50" s="16">
        <v>468825.5</v>
      </c>
      <c r="K50" s="16">
        <v>0</v>
      </c>
      <c r="L50" s="16">
        <v>2</v>
      </c>
      <c r="M50" s="16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6">
        <v>641</v>
      </c>
      <c r="E51" s="16">
        <v>206652028.91124281</v>
      </c>
      <c r="F51" s="16">
        <v>0</v>
      </c>
      <c r="G51" s="16">
        <v>0</v>
      </c>
      <c r="H51" s="16">
        <v>7</v>
      </c>
      <c r="I51" s="16">
        <v>2600001</v>
      </c>
      <c r="J51" s="16">
        <v>326175.53430535487</v>
      </c>
      <c r="K51" s="16">
        <v>2849843.2038076352</v>
      </c>
      <c r="L51" s="16">
        <v>634</v>
      </c>
      <c r="M51" s="16">
        <v>203802185.70743519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6">
        <v>30</v>
      </c>
      <c r="E52" s="16">
        <v>20106403.136858229</v>
      </c>
      <c r="F52" s="16">
        <v>0</v>
      </c>
      <c r="G52" s="16">
        <v>0</v>
      </c>
      <c r="H52" s="16">
        <v>0</v>
      </c>
      <c r="I52" s="16">
        <v>0</v>
      </c>
      <c r="J52" s="16">
        <v>699607.38750000007</v>
      </c>
      <c r="K52" s="16">
        <v>0</v>
      </c>
      <c r="L52" s="16">
        <v>30</v>
      </c>
      <c r="M52" s="16">
        <v>20106403.136858229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6">
        <v>125</v>
      </c>
      <c r="E53" s="16">
        <v>85075884.430303037</v>
      </c>
      <c r="F53" s="16">
        <v>0</v>
      </c>
      <c r="G53" s="16">
        <v>0</v>
      </c>
      <c r="H53" s="16">
        <v>3</v>
      </c>
      <c r="I53" s="16">
        <v>1500000</v>
      </c>
      <c r="J53" s="16">
        <v>685780.01738582668</v>
      </c>
      <c r="K53" s="16">
        <v>2567897.146042929</v>
      </c>
      <c r="L53" s="16">
        <v>122</v>
      </c>
      <c r="M53" s="16">
        <v>82507987.284260109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6">
        <v>88</v>
      </c>
      <c r="E54" s="16">
        <v>77475477.910150409</v>
      </c>
      <c r="F54" s="16">
        <v>20</v>
      </c>
      <c r="G54" s="16">
        <v>17636378</v>
      </c>
      <c r="H54" s="16">
        <v>17</v>
      </c>
      <c r="I54" s="16">
        <v>15272727</v>
      </c>
      <c r="J54" s="16">
        <v>914603.06911722489</v>
      </c>
      <c r="K54" s="16">
        <v>19406763.769679271</v>
      </c>
      <c r="L54" s="16">
        <v>91</v>
      </c>
      <c r="M54" s="16">
        <v>75705092.140471146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6">
        <v>13</v>
      </c>
      <c r="E55" s="16">
        <v>45335452</v>
      </c>
      <c r="F55" s="16">
        <v>0</v>
      </c>
      <c r="G55" s="16">
        <v>0</v>
      </c>
      <c r="H55" s="16">
        <v>0</v>
      </c>
      <c r="I55" s="16">
        <v>0</v>
      </c>
      <c r="J55" s="16">
        <v>3487342.461538462</v>
      </c>
      <c r="K55" s="16">
        <v>0</v>
      </c>
      <c r="L55" s="16">
        <v>13</v>
      </c>
      <c r="M55" s="16">
        <v>45335452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6">
        <v>162</v>
      </c>
      <c r="E56" s="16">
        <v>52677488.895333618</v>
      </c>
      <c r="F56" s="16">
        <v>52</v>
      </c>
      <c r="G56" s="16">
        <v>1754550</v>
      </c>
      <c r="H56" s="16">
        <v>3</v>
      </c>
      <c r="I56" s="16">
        <v>1727272</v>
      </c>
      <c r="J56" s="16">
        <v>256111.48127510221</v>
      </c>
      <c r="K56" s="16">
        <v>959007.15267582866</v>
      </c>
      <c r="L56" s="16">
        <v>211</v>
      </c>
      <c r="M56" s="16">
        <v>53473031.742657788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6">
        <v>2763</v>
      </c>
      <c r="E57" s="16">
        <v>226710618.22857219</v>
      </c>
      <c r="F57" s="16">
        <v>236</v>
      </c>
      <c r="G57" s="16">
        <v>16448182</v>
      </c>
      <c r="H57" s="16">
        <v>39</v>
      </c>
      <c r="I57" s="16">
        <v>8481819</v>
      </c>
      <c r="J57" s="16">
        <v>81995.799324593158</v>
      </c>
      <c r="K57" s="16">
        <v>3991422.990691653</v>
      </c>
      <c r="L57" s="16">
        <v>2960</v>
      </c>
      <c r="M57" s="16">
        <v>239167377.23788059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6">
        <v>14</v>
      </c>
      <c r="E58" s="16">
        <v>3404485</v>
      </c>
      <c r="F58" s="16">
        <v>0</v>
      </c>
      <c r="G58" s="16">
        <v>0</v>
      </c>
      <c r="H58" s="16">
        <v>0</v>
      </c>
      <c r="I58" s="16">
        <v>0</v>
      </c>
      <c r="J58" s="16">
        <v>243177.5</v>
      </c>
      <c r="K58" s="16">
        <v>0</v>
      </c>
      <c r="L58" s="16">
        <v>14</v>
      </c>
      <c r="M58" s="16">
        <v>3404485</v>
      </c>
    </row>
    <row r="59" spans="1:13" ht="15.75" customHeight="1" x14ac:dyDescent="0.25">
      <c r="A59" s="12"/>
      <c r="B59" s="12"/>
      <c r="C59" s="13" t="s">
        <v>148</v>
      </c>
      <c r="D59" s="17">
        <f t="shared" ref="D59:M59" si="0">SUM(D2:D58)</f>
        <v>24526.03</v>
      </c>
      <c r="E59" s="17">
        <f t="shared" si="0"/>
        <v>21325394692.286453</v>
      </c>
      <c r="F59" s="17">
        <f t="shared" si="0"/>
        <v>852</v>
      </c>
      <c r="G59" s="17">
        <f t="shared" si="0"/>
        <v>600350982</v>
      </c>
      <c r="H59" s="17">
        <f t="shared" si="0"/>
        <v>718</v>
      </c>
      <c r="I59" s="17">
        <f t="shared" si="0"/>
        <v>856337274</v>
      </c>
      <c r="J59" s="17">
        <f t="shared" si="0"/>
        <v>278946152.17808199</v>
      </c>
      <c r="K59" s="17">
        <f t="shared" si="0"/>
        <v>1001741453.3987836</v>
      </c>
      <c r="L59" s="17">
        <f t="shared" si="0"/>
        <v>24660.03</v>
      </c>
      <c r="M59" s="17">
        <f t="shared" si="0"/>
        <v>20924004220.88768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topLeftCell="A46" workbookViewId="0">
      <selection activeCell="G20" sqref="G20"/>
    </sheetView>
  </sheetViews>
  <sheetFormatPr defaultColWidth="14.42578125" defaultRowHeight="15" customHeight="1" x14ac:dyDescent="0.25"/>
  <cols>
    <col min="1" max="4" width="8.7109375" customWidth="1"/>
    <col min="5" max="5" width="19.7109375" customWidth="1"/>
    <col min="6" max="6" width="8.7109375" customWidth="1"/>
    <col min="7" max="7" width="17.140625" customWidth="1"/>
    <col min="8" max="8" width="8.7109375" customWidth="1"/>
    <col min="9" max="9" width="18" customWidth="1"/>
    <col min="10" max="10" width="13.7109375" customWidth="1"/>
    <col min="11" max="11" width="16.5703125" customWidth="1"/>
    <col min="12" max="12" width="8.7109375" customWidth="1"/>
    <col min="13" max="13" width="13.5703125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644</v>
      </c>
      <c r="E2" s="11">
        <v>294934900.31937778</v>
      </c>
      <c r="F2" s="11">
        <v>28</v>
      </c>
      <c r="G2" s="11">
        <v>13240901</v>
      </c>
      <c r="H2" s="11">
        <v>18</v>
      </c>
      <c r="I2" s="11">
        <v>7994546</v>
      </c>
      <c r="J2" s="11">
        <v>472763.09342867869</v>
      </c>
      <c r="K2" s="11">
        <v>10621543.06855738</v>
      </c>
      <c r="L2" s="11">
        <v>654</v>
      </c>
      <c r="M2" s="11">
        <v>297554258.25082052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150</v>
      </c>
      <c r="E3" s="11">
        <v>152780077.6713205</v>
      </c>
      <c r="F3" s="11">
        <v>26</v>
      </c>
      <c r="G3" s="11">
        <v>31754542</v>
      </c>
      <c r="H3" s="11">
        <v>1</v>
      </c>
      <c r="I3" s="11">
        <v>1090909</v>
      </c>
      <c r="J3" s="11">
        <v>1107908.3858635309</v>
      </c>
      <c r="K3" s="11">
        <v>1382851.0163657761</v>
      </c>
      <c r="L3" s="11">
        <v>175</v>
      </c>
      <c r="M3" s="11">
        <v>183151768.65495479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630</v>
      </c>
      <c r="E4" s="11">
        <v>273400951.27355629</v>
      </c>
      <c r="F4" s="11">
        <v>0</v>
      </c>
      <c r="G4" s="11">
        <v>0</v>
      </c>
      <c r="H4" s="11">
        <v>1</v>
      </c>
      <c r="I4" s="11">
        <v>409091</v>
      </c>
      <c r="J4" s="11">
        <v>436722.5573855961</v>
      </c>
      <c r="K4" s="11">
        <v>545101.23766219232</v>
      </c>
      <c r="L4" s="11">
        <v>629</v>
      </c>
      <c r="M4" s="11">
        <v>272855850.0358941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1063</v>
      </c>
      <c r="E5" s="11">
        <v>152998677.79023129</v>
      </c>
      <c r="F5" s="11">
        <v>40</v>
      </c>
      <c r="G5" s="11">
        <v>5360000</v>
      </c>
      <c r="H5" s="11">
        <v>5</v>
      </c>
      <c r="I5" s="11">
        <v>972728</v>
      </c>
      <c r="J5" s="11">
        <v>145779.60034251539</v>
      </c>
      <c r="K5" s="11">
        <v>909784.01766459574</v>
      </c>
      <c r="L5" s="11">
        <v>1098</v>
      </c>
      <c r="M5" s="11">
        <v>157448893.77256671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61</v>
      </c>
      <c r="E6" s="11">
        <v>20735541.87513062</v>
      </c>
      <c r="F6" s="11">
        <v>0</v>
      </c>
      <c r="G6" s="11">
        <v>0</v>
      </c>
      <c r="H6" s="11">
        <v>0</v>
      </c>
      <c r="I6" s="11">
        <v>0</v>
      </c>
      <c r="J6" s="11">
        <v>344126.90625</v>
      </c>
      <c r="K6" s="11">
        <v>0</v>
      </c>
      <c r="L6" s="11">
        <v>61</v>
      </c>
      <c r="M6" s="11">
        <v>20735541.87513062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0</v>
      </c>
      <c r="G7" s="11">
        <v>0</v>
      </c>
      <c r="H7" s="11">
        <v>0</v>
      </c>
      <c r="I7" s="11">
        <v>0</v>
      </c>
      <c r="J7" s="11">
        <v>29563.142857142859</v>
      </c>
      <c r="K7" s="11">
        <v>0</v>
      </c>
      <c r="L7" s="11">
        <v>7</v>
      </c>
      <c r="M7" s="11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1211</v>
      </c>
      <c r="E8" s="11">
        <v>158139708.81565481</v>
      </c>
      <c r="F8" s="11">
        <v>72</v>
      </c>
      <c r="G8" s="11">
        <v>9091121.8803591505</v>
      </c>
      <c r="H8" s="11">
        <v>36</v>
      </c>
      <c r="I8" s="11">
        <v>5004546</v>
      </c>
      <c r="J8" s="11">
        <v>134395.88710990531</v>
      </c>
      <c r="K8" s="11">
        <v>6038930.3776741903</v>
      </c>
      <c r="L8" s="11">
        <v>1247</v>
      </c>
      <c r="M8" s="11">
        <v>161191900.31833971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77</v>
      </c>
      <c r="E9" s="11">
        <v>73284701.634914801</v>
      </c>
      <c r="F9" s="11">
        <v>2</v>
      </c>
      <c r="G9" s="11">
        <v>1153820</v>
      </c>
      <c r="H9" s="11">
        <v>5</v>
      </c>
      <c r="I9" s="11">
        <v>4381819</v>
      </c>
      <c r="J9" s="11">
        <v>986819.64509923384</v>
      </c>
      <c r="K9" s="11">
        <v>6158562.235863789</v>
      </c>
      <c r="L9" s="11">
        <v>74</v>
      </c>
      <c r="M9" s="11">
        <v>68279959.399051011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1542</v>
      </c>
      <c r="E10" s="11">
        <v>696321817.80986643</v>
      </c>
      <c r="F10" s="11">
        <v>388</v>
      </c>
      <c r="G10" s="11">
        <v>79169668</v>
      </c>
      <c r="H10" s="11">
        <v>41</v>
      </c>
      <c r="I10" s="11">
        <v>38890910</v>
      </c>
      <c r="J10" s="11">
        <v>408407.85351328389</v>
      </c>
      <c r="K10" s="11">
        <v>20900153.951067951</v>
      </c>
      <c r="L10" s="11">
        <v>1889</v>
      </c>
      <c r="M10" s="11">
        <v>754591331.8587985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481</v>
      </c>
      <c r="E11" s="11">
        <v>892398263.91420066</v>
      </c>
      <c r="F11" s="11">
        <v>45</v>
      </c>
      <c r="G11" s="11">
        <v>14818182</v>
      </c>
      <c r="H11" s="11">
        <v>44</v>
      </c>
      <c r="I11" s="11">
        <v>39836364</v>
      </c>
      <c r="J11" s="11">
        <v>1810841.080726234</v>
      </c>
      <c r="K11" s="11">
        <v>99449947.558908939</v>
      </c>
      <c r="L11" s="11">
        <v>482</v>
      </c>
      <c r="M11" s="11">
        <v>807766498.35529172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69</v>
      </c>
      <c r="E12" s="11">
        <v>219064309.65268841</v>
      </c>
      <c r="F12" s="11">
        <v>0</v>
      </c>
      <c r="G12" s="11">
        <v>0</v>
      </c>
      <c r="H12" s="11">
        <v>4</v>
      </c>
      <c r="I12" s="11">
        <v>12727273</v>
      </c>
      <c r="J12" s="11">
        <v>3245407.2785714292</v>
      </c>
      <c r="K12" s="11">
        <v>16203198.06567903</v>
      </c>
      <c r="L12" s="11">
        <v>65</v>
      </c>
      <c r="M12" s="11">
        <v>202861111.58700931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1961</v>
      </c>
      <c r="E14" s="11">
        <v>254439260.5829865</v>
      </c>
      <c r="F14" s="11">
        <v>224</v>
      </c>
      <c r="G14" s="11">
        <v>25714809.734353852</v>
      </c>
      <c r="H14" s="11">
        <v>59</v>
      </c>
      <c r="I14" s="11">
        <v>7540907</v>
      </c>
      <c r="J14" s="11">
        <v>130148.531422464</v>
      </c>
      <c r="K14" s="11">
        <v>9584353.5836508628</v>
      </c>
      <c r="L14" s="11">
        <v>2126</v>
      </c>
      <c r="M14" s="11">
        <v>270569716.73368949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1954</v>
      </c>
      <c r="E15" s="11">
        <v>226670357.21197701</v>
      </c>
      <c r="F15" s="11">
        <v>0</v>
      </c>
      <c r="G15" s="11">
        <v>0</v>
      </c>
      <c r="H15" s="11">
        <v>33</v>
      </c>
      <c r="I15" s="11">
        <v>4295454</v>
      </c>
      <c r="J15" s="11">
        <v>118834.6802930057</v>
      </c>
      <c r="K15" s="11">
        <v>4894729.3811860187</v>
      </c>
      <c r="L15" s="11">
        <v>1921</v>
      </c>
      <c r="M15" s="11">
        <v>221775627.830791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7915.0299999999988</v>
      </c>
      <c r="E16" s="11">
        <v>4468119419.5488081</v>
      </c>
      <c r="F16" s="11">
        <v>747.22</v>
      </c>
      <c r="G16" s="11">
        <v>392546611.03040278</v>
      </c>
      <c r="H16" s="11">
        <v>240</v>
      </c>
      <c r="I16" s="11">
        <v>292640906</v>
      </c>
      <c r="J16" s="11">
        <v>598914.25868604425</v>
      </c>
      <c r="K16" s="11">
        <v>179410327.11532551</v>
      </c>
      <c r="L16" s="11">
        <v>8422.2499999999982</v>
      </c>
      <c r="M16" s="11">
        <v>4681255703.4638853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9</v>
      </c>
      <c r="E17" s="11">
        <v>101127889.1041753</v>
      </c>
      <c r="F17" s="11">
        <v>0</v>
      </c>
      <c r="G17" s="11">
        <v>0</v>
      </c>
      <c r="H17" s="11">
        <v>2</v>
      </c>
      <c r="I17" s="11">
        <v>16454546</v>
      </c>
      <c r="J17" s="11">
        <v>12629390.38461538</v>
      </c>
      <c r="K17" s="11">
        <v>31527092.94791235</v>
      </c>
      <c r="L17" s="11">
        <v>7</v>
      </c>
      <c r="M17" s="11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4</v>
      </c>
      <c r="E18" s="11">
        <v>11677084</v>
      </c>
      <c r="F18" s="11">
        <v>1</v>
      </c>
      <c r="G18" s="11">
        <v>3177273</v>
      </c>
      <c r="H18" s="11">
        <v>0</v>
      </c>
      <c r="I18" s="11">
        <v>0</v>
      </c>
      <c r="J18" s="11">
        <v>2970871.4</v>
      </c>
      <c r="K18" s="11">
        <v>0</v>
      </c>
      <c r="L18" s="11">
        <v>5</v>
      </c>
      <c r="M18" s="11">
        <v>14854357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243</v>
      </c>
      <c r="E19" s="11">
        <v>1010112581.132573</v>
      </c>
      <c r="F19" s="11">
        <v>8</v>
      </c>
      <c r="G19" s="11">
        <v>4131818</v>
      </c>
      <c r="H19" s="11">
        <v>2</v>
      </c>
      <c r="I19" s="11">
        <v>29954546</v>
      </c>
      <c r="J19" s="11">
        <v>4045111.6984764799</v>
      </c>
      <c r="K19" s="11">
        <v>10097923.068235209</v>
      </c>
      <c r="L19" s="11">
        <v>249</v>
      </c>
      <c r="M19" s="11">
        <v>1004146476.064338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25</v>
      </c>
      <c r="E20" s="11">
        <v>262641555.18460849</v>
      </c>
      <c r="F20" s="11">
        <v>0</v>
      </c>
      <c r="G20" s="11">
        <v>0</v>
      </c>
      <c r="H20" s="11">
        <v>0</v>
      </c>
      <c r="I20" s="11">
        <v>0</v>
      </c>
      <c r="J20" s="11">
        <v>10610992.73076923</v>
      </c>
      <c r="K20" s="11">
        <v>0</v>
      </c>
      <c r="L20" s="11">
        <v>25</v>
      </c>
      <c r="M20" s="11">
        <v>262641555.18460849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23</v>
      </c>
      <c r="E21" s="11">
        <v>224327321.5485568</v>
      </c>
      <c r="F21" s="11">
        <v>0</v>
      </c>
      <c r="G21" s="11">
        <v>0</v>
      </c>
      <c r="H21" s="11">
        <v>1</v>
      </c>
      <c r="I21" s="11">
        <v>9045454</v>
      </c>
      <c r="J21" s="11">
        <v>10193293.14836603</v>
      </c>
      <c r="K21" s="11">
        <v>12722898.364331489</v>
      </c>
      <c r="L21" s="11">
        <v>22</v>
      </c>
      <c r="M21" s="11">
        <v>211604423.18422529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13</v>
      </c>
      <c r="E22" s="11">
        <v>159948932.10177651</v>
      </c>
      <c r="F22" s="11">
        <v>0</v>
      </c>
      <c r="G22" s="11">
        <v>0</v>
      </c>
      <c r="H22" s="11">
        <v>0</v>
      </c>
      <c r="I22" s="11">
        <v>0</v>
      </c>
      <c r="J22" s="11">
        <v>13320923.882352941</v>
      </c>
      <c r="K22" s="11">
        <v>0</v>
      </c>
      <c r="L22" s="11">
        <v>13</v>
      </c>
      <c r="M22" s="11">
        <v>159948932.10177651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28</v>
      </c>
      <c r="E23" s="11">
        <v>336409310.98254901</v>
      </c>
      <c r="F23" s="11">
        <v>0</v>
      </c>
      <c r="G23" s="11">
        <v>0</v>
      </c>
      <c r="H23" s="11">
        <v>8</v>
      </c>
      <c r="I23" s="11">
        <v>115981817</v>
      </c>
      <c r="J23" s="11">
        <v>12014618.24937675</v>
      </c>
      <c r="K23" s="11">
        <v>119969681.7490752</v>
      </c>
      <c r="L23" s="11">
        <v>20</v>
      </c>
      <c r="M23" s="11">
        <v>216439629.23347369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133</v>
      </c>
      <c r="E24" s="11">
        <v>966121041.89437628</v>
      </c>
      <c r="F24" s="11">
        <v>11</v>
      </c>
      <c r="G24" s="11">
        <v>25960.354884204469</v>
      </c>
      <c r="H24" s="11">
        <v>12</v>
      </c>
      <c r="I24" s="11">
        <v>23625454</v>
      </c>
      <c r="J24" s="11">
        <v>6798197.8796630707</v>
      </c>
      <c r="K24" s="11">
        <v>101823164.8100086</v>
      </c>
      <c r="L24" s="11">
        <v>132</v>
      </c>
      <c r="M24" s="11">
        <v>864323837.4392519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1">
        <v>15871570</v>
      </c>
      <c r="F25" s="11">
        <v>0</v>
      </c>
      <c r="G25" s="11">
        <v>0</v>
      </c>
      <c r="H25" s="11">
        <v>0</v>
      </c>
      <c r="I25" s="11">
        <v>0</v>
      </c>
      <c r="J25" s="11">
        <v>15871570</v>
      </c>
      <c r="K25" s="11">
        <v>0</v>
      </c>
      <c r="L25" s="11">
        <v>1</v>
      </c>
      <c r="M25" s="11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11</v>
      </c>
      <c r="E26" s="11">
        <v>112392314.60518929</v>
      </c>
      <c r="F26" s="11">
        <v>0</v>
      </c>
      <c r="G26" s="11">
        <v>0</v>
      </c>
      <c r="H26" s="11">
        <v>2</v>
      </c>
      <c r="I26" s="11">
        <v>29081819</v>
      </c>
      <c r="J26" s="11">
        <v>14940955.35714286</v>
      </c>
      <c r="K26" s="11">
        <v>37297515.868149877</v>
      </c>
      <c r="L26" s="11">
        <v>9</v>
      </c>
      <c r="M26" s="11">
        <v>75094798.737039387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0</v>
      </c>
      <c r="G27" s="11">
        <v>0</v>
      </c>
      <c r="H27" s="11">
        <v>0</v>
      </c>
      <c r="I27" s="11">
        <v>0</v>
      </c>
      <c r="J27" s="11">
        <v>15806114.5</v>
      </c>
      <c r="K27" s="11">
        <v>0</v>
      </c>
      <c r="L27" s="11">
        <v>2</v>
      </c>
      <c r="M27" s="11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1">
        <v>91534934</v>
      </c>
      <c r="F28" s="11">
        <v>0</v>
      </c>
      <c r="G28" s="11">
        <v>0</v>
      </c>
      <c r="H28" s="11">
        <v>0</v>
      </c>
      <c r="I28" s="11">
        <v>0</v>
      </c>
      <c r="J28" s="11">
        <v>8321357.6363636367</v>
      </c>
      <c r="K28" s="11">
        <v>0</v>
      </c>
      <c r="L28" s="11">
        <v>11</v>
      </c>
      <c r="M28" s="11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49</v>
      </c>
      <c r="E29" s="11">
        <v>323147188.73621333</v>
      </c>
      <c r="F29" s="11">
        <v>0</v>
      </c>
      <c r="G29" s="11">
        <v>0</v>
      </c>
      <c r="H29" s="11">
        <v>0</v>
      </c>
      <c r="I29" s="11">
        <v>0</v>
      </c>
      <c r="J29" s="11">
        <v>6727572.2867265297</v>
      </c>
      <c r="K29" s="11">
        <v>0</v>
      </c>
      <c r="L29" s="11">
        <v>49</v>
      </c>
      <c r="M29" s="11">
        <v>323147188.73621333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90</v>
      </c>
      <c r="E30" s="11">
        <v>864706527.64767361</v>
      </c>
      <c r="F30" s="11">
        <v>0</v>
      </c>
      <c r="G30" s="11">
        <v>0</v>
      </c>
      <c r="H30" s="11">
        <v>0</v>
      </c>
      <c r="I30" s="11">
        <v>0</v>
      </c>
      <c r="J30" s="11">
        <v>9715001.8936170209</v>
      </c>
      <c r="K30" s="11">
        <v>0</v>
      </c>
      <c r="L30" s="11">
        <v>90</v>
      </c>
      <c r="M30" s="11">
        <v>864706527.64767361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188</v>
      </c>
      <c r="E31" s="11">
        <v>1462183076.4503641</v>
      </c>
      <c r="F31" s="11">
        <v>0</v>
      </c>
      <c r="G31" s="11">
        <v>0</v>
      </c>
      <c r="H31" s="11">
        <v>7</v>
      </c>
      <c r="I31" s="11">
        <v>65399999</v>
      </c>
      <c r="J31" s="11">
        <v>8762256.3993276544</v>
      </c>
      <c r="K31" s="11">
        <v>76557111.810436353</v>
      </c>
      <c r="L31" s="11">
        <v>181</v>
      </c>
      <c r="M31" s="11">
        <v>1385625964.6399269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1">
        <v>101090592</v>
      </c>
      <c r="F33" s="11">
        <v>0</v>
      </c>
      <c r="G33" s="11">
        <v>0</v>
      </c>
      <c r="H33" s="11">
        <v>0</v>
      </c>
      <c r="I33" s="11">
        <v>0</v>
      </c>
      <c r="J33" s="11">
        <v>2150863.6595744682</v>
      </c>
      <c r="K33" s="11">
        <v>0</v>
      </c>
      <c r="L33" s="11">
        <v>47</v>
      </c>
      <c r="M33" s="11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30</v>
      </c>
      <c r="E34" s="11">
        <v>493133234.91043258</v>
      </c>
      <c r="F34" s="11">
        <v>0</v>
      </c>
      <c r="G34" s="11">
        <v>0</v>
      </c>
      <c r="H34" s="11">
        <v>0</v>
      </c>
      <c r="I34" s="11">
        <v>0</v>
      </c>
      <c r="J34" s="11">
        <v>16852769.046357829</v>
      </c>
      <c r="K34" s="11">
        <v>0</v>
      </c>
      <c r="L34" s="11">
        <v>30</v>
      </c>
      <c r="M34" s="11">
        <v>493133234.91043258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18</v>
      </c>
      <c r="E35" s="11">
        <v>204229503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18</v>
      </c>
      <c r="M35" s="11">
        <v>204229503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43</v>
      </c>
      <c r="E36" s="11">
        <v>250474119.25880751</v>
      </c>
      <c r="F36" s="11">
        <v>1</v>
      </c>
      <c r="G36" s="11">
        <v>15090909</v>
      </c>
      <c r="H36" s="11">
        <v>3</v>
      </c>
      <c r="I36" s="11">
        <v>20636364</v>
      </c>
      <c r="J36" s="11">
        <v>6535945.1905901115</v>
      </c>
      <c r="K36" s="11">
        <v>24473788.352113381</v>
      </c>
      <c r="L36" s="11">
        <v>41</v>
      </c>
      <c r="M36" s="11">
        <v>241091239.90669411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111</v>
      </c>
      <c r="E37" s="11">
        <v>283975925.0691241</v>
      </c>
      <c r="F37" s="11">
        <v>0</v>
      </c>
      <c r="G37" s="11">
        <v>0</v>
      </c>
      <c r="H37" s="11">
        <v>1</v>
      </c>
      <c r="I37" s="11">
        <v>1172727</v>
      </c>
      <c r="J37" s="11">
        <v>2838047.0642976989</v>
      </c>
      <c r="K37" s="11">
        <v>3542347.2892111498</v>
      </c>
      <c r="L37" s="11">
        <v>110</v>
      </c>
      <c r="M37" s="11">
        <v>280433577.77991289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147</v>
      </c>
      <c r="E38" s="11">
        <v>687657347.10443592</v>
      </c>
      <c r="F38" s="11">
        <v>20</v>
      </c>
      <c r="G38" s="11">
        <v>43317935</v>
      </c>
      <c r="H38" s="11">
        <v>15</v>
      </c>
      <c r="I38" s="11">
        <v>43218181</v>
      </c>
      <c r="J38" s="11">
        <v>4479226.9619412012</v>
      </c>
      <c r="K38" s="11">
        <v>83862126.632774889</v>
      </c>
      <c r="L38" s="11">
        <v>152</v>
      </c>
      <c r="M38" s="11">
        <v>647113155.47166109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159</v>
      </c>
      <c r="E39" s="11">
        <v>811593372.01581681</v>
      </c>
      <c r="F39" s="11">
        <v>17</v>
      </c>
      <c r="G39" s="11">
        <v>39861680</v>
      </c>
      <c r="H39" s="11">
        <v>4</v>
      </c>
      <c r="I39" s="11">
        <v>66909091</v>
      </c>
      <c r="J39" s="11">
        <v>4938381.2803213065</v>
      </c>
      <c r="K39" s="11">
        <v>24655632.75747323</v>
      </c>
      <c r="L39" s="11">
        <v>172</v>
      </c>
      <c r="M39" s="11">
        <v>826799419.25834358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35</v>
      </c>
      <c r="E40" s="11">
        <v>148743187.03194731</v>
      </c>
      <c r="F40" s="11">
        <v>5</v>
      </c>
      <c r="G40" s="11">
        <v>6016243</v>
      </c>
      <c r="H40" s="11">
        <v>0</v>
      </c>
      <c r="I40" s="11">
        <v>0</v>
      </c>
      <c r="J40" s="11">
        <v>3897441.3923076931</v>
      </c>
      <c r="K40" s="11">
        <v>0</v>
      </c>
      <c r="L40" s="11">
        <v>40</v>
      </c>
      <c r="M40" s="11">
        <v>154759430.03194731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93</v>
      </c>
      <c r="E41" s="11">
        <v>351903217.79484248</v>
      </c>
      <c r="F41" s="11">
        <v>0</v>
      </c>
      <c r="G41" s="11">
        <v>0</v>
      </c>
      <c r="H41" s="11">
        <v>1</v>
      </c>
      <c r="I41" s="11">
        <v>5136364</v>
      </c>
      <c r="J41" s="11">
        <v>3933408.9022580208</v>
      </c>
      <c r="K41" s="11">
        <v>4909538.1600800473</v>
      </c>
      <c r="L41" s="11">
        <v>92</v>
      </c>
      <c r="M41" s="11">
        <v>346993679.63476241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508</v>
      </c>
      <c r="E42" s="11">
        <v>1199011770.1805871</v>
      </c>
      <c r="F42" s="11">
        <v>0</v>
      </c>
      <c r="G42" s="11">
        <v>0</v>
      </c>
      <c r="H42" s="11">
        <v>4</v>
      </c>
      <c r="I42" s="11">
        <v>11318181</v>
      </c>
      <c r="J42" s="11">
        <v>2593944.6947452151</v>
      </c>
      <c r="K42" s="11">
        <v>12950670.301964389</v>
      </c>
      <c r="L42" s="11">
        <v>504</v>
      </c>
      <c r="M42" s="11">
        <v>1186061099.8786221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566</v>
      </c>
      <c r="E43" s="11">
        <v>1300416023.762012</v>
      </c>
      <c r="F43" s="11">
        <v>27</v>
      </c>
      <c r="G43" s="11">
        <v>18240909</v>
      </c>
      <c r="H43" s="11">
        <v>19</v>
      </c>
      <c r="I43" s="11">
        <v>66681819</v>
      </c>
      <c r="J43" s="11">
        <v>2313613.3881522422</v>
      </c>
      <c r="K43" s="11">
        <v>54867596.144253582</v>
      </c>
      <c r="L43" s="11">
        <v>574</v>
      </c>
      <c r="M43" s="11">
        <v>1263789336.617758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18</v>
      </c>
      <c r="E45" s="11">
        <v>104199902.3773375</v>
      </c>
      <c r="F45" s="11">
        <v>0</v>
      </c>
      <c r="G45" s="11">
        <v>0</v>
      </c>
      <c r="H45" s="11">
        <v>1</v>
      </c>
      <c r="I45" s="11">
        <v>8545454</v>
      </c>
      <c r="J45" s="11">
        <v>5955709.3827160494</v>
      </c>
      <c r="K45" s="11">
        <v>7433700.1851004548</v>
      </c>
      <c r="L45" s="11">
        <v>17</v>
      </c>
      <c r="M45" s="11">
        <v>96766202.192237094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18</v>
      </c>
      <c r="E46" s="11">
        <v>84171778.914984375</v>
      </c>
      <c r="F46" s="11">
        <v>1</v>
      </c>
      <c r="G46" s="11">
        <v>13090909</v>
      </c>
      <c r="H46" s="11">
        <v>2</v>
      </c>
      <c r="I46" s="11">
        <v>13195455</v>
      </c>
      <c r="J46" s="11">
        <v>5517029.8806578945</v>
      </c>
      <c r="K46" s="11">
        <v>13772312.720318871</v>
      </c>
      <c r="L46" s="11">
        <v>17</v>
      </c>
      <c r="M46" s="11">
        <v>83490375.194665506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16</v>
      </c>
      <c r="E47" s="11">
        <v>13032796.333187049</v>
      </c>
      <c r="F47" s="11">
        <v>0</v>
      </c>
      <c r="G47" s="11">
        <v>0</v>
      </c>
      <c r="H47" s="11">
        <v>0</v>
      </c>
      <c r="I47" s="11">
        <v>0</v>
      </c>
      <c r="J47" s="11">
        <v>840626.38888888888</v>
      </c>
      <c r="K47" s="11">
        <v>0</v>
      </c>
      <c r="L47" s="11">
        <v>16</v>
      </c>
      <c r="M47" s="11">
        <v>13032796.333187049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143</v>
      </c>
      <c r="E48" s="11">
        <v>56223068.684261233</v>
      </c>
      <c r="F48" s="11">
        <v>12</v>
      </c>
      <c r="G48" s="11">
        <v>4145460</v>
      </c>
      <c r="H48" s="11">
        <v>12</v>
      </c>
      <c r="I48" s="11">
        <v>5145455</v>
      </c>
      <c r="J48" s="11">
        <v>408397.24682614743</v>
      </c>
      <c r="K48" s="11">
        <v>6116959.3630001144</v>
      </c>
      <c r="L48" s="11">
        <v>143</v>
      </c>
      <c r="M48" s="11">
        <v>54251569.321261108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1">
        <v>170209491.99724761</v>
      </c>
      <c r="F49" s="11">
        <v>2</v>
      </c>
      <c r="G49" s="11">
        <v>13090910</v>
      </c>
      <c r="H49" s="11">
        <v>2</v>
      </c>
      <c r="I49" s="11">
        <v>14627272</v>
      </c>
      <c r="J49" s="11">
        <v>7638662.1846745564</v>
      </c>
      <c r="K49" s="11">
        <v>19068601.520727482</v>
      </c>
      <c r="L49" s="11">
        <v>23</v>
      </c>
      <c r="M49" s="11">
        <v>164231800.47652009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0</v>
      </c>
      <c r="G50" s="11">
        <v>0</v>
      </c>
      <c r="H50" s="11">
        <v>0</v>
      </c>
      <c r="I50" s="11">
        <v>0</v>
      </c>
      <c r="J50" s="11">
        <v>468825.5</v>
      </c>
      <c r="K50" s="11">
        <v>0</v>
      </c>
      <c r="L50" s="11">
        <v>2</v>
      </c>
      <c r="M50" s="11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634</v>
      </c>
      <c r="E51" s="11">
        <v>203802185.70743519</v>
      </c>
      <c r="F51" s="11">
        <v>0</v>
      </c>
      <c r="G51" s="11">
        <v>0</v>
      </c>
      <c r="H51" s="11">
        <v>2</v>
      </c>
      <c r="I51" s="11">
        <v>1309091</v>
      </c>
      <c r="J51" s="11">
        <v>326175.53430535487</v>
      </c>
      <c r="K51" s="11">
        <v>814240.91537360987</v>
      </c>
      <c r="L51" s="11">
        <v>632</v>
      </c>
      <c r="M51" s="11">
        <v>202987944.7920616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30</v>
      </c>
      <c r="E52" s="11">
        <v>20106403.136858229</v>
      </c>
      <c r="F52" s="11">
        <v>0</v>
      </c>
      <c r="G52" s="11">
        <v>0</v>
      </c>
      <c r="H52" s="11">
        <v>1</v>
      </c>
      <c r="I52" s="11">
        <v>1118182</v>
      </c>
      <c r="J52" s="11">
        <v>699607.38750000007</v>
      </c>
      <c r="K52" s="11">
        <v>873224.53661845322</v>
      </c>
      <c r="L52" s="11">
        <v>29</v>
      </c>
      <c r="M52" s="11">
        <v>19233178.60023978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122</v>
      </c>
      <c r="E53" s="11">
        <v>82507987.284260109</v>
      </c>
      <c r="F53" s="11">
        <v>0</v>
      </c>
      <c r="G53" s="11">
        <v>0</v>
      </c>
      <c r="H53" s="11">
        <v>0</v>
      </c>
      <c r="I53" s="11">
        <v>0</v>
      </c>
      <c r="J53" s="11">
        <v>685780.01738582668</v>
      </c>
      <c r="K53" s="11">
        <v>0</v>
      </c>
      <c r="L53" s="11">
        <v>122</v>
      </c>
      <c r="M53" s="11">
        <v>82507987.284260109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91</v>
      </c>
      <c r="E54" s="11">
        <v>75705092.140471146</v>
      </c>
      <c r="F54" s="11">
        <v>0</v>
      </c>
      <c r="G54" s="11">
        <v>0</v>
      </c>
      <c r="H54" s="11">
        <v>1</v>
      </c>
      <c r="I54" s="11">
        <v>890909</v>
      </c>
      <c r="J54" s="11">
        <v>914603.06911722478</v>
      </c>
      <c r="K54" s="11">
        <v>1141574.3393928979</v>
      </c>
      <c r="L54" s="11">
        <v>90</v>
      </c>
      <c r="M54" s="11">
        <v>74563517.801078245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13</v>
      </c>
      <c r="E55" s="11">
        <v>45335452</v>
      </c>
      <c r="F55" s="11">
        <v>0</v>
      </c>
      <c r="G55" s="11">
        <v>0</v>
      </c>
      <c r="H55" s="11">
        <v>0</v>
      </c>
      <c r="I55" s="11">
        <v>0</v>
      </c>
      <c r="J55" s="11">
        <v>3487342.461538462</v>
      </c>
      <c r="K55" s="11">
        <v>0</v>
      </c>
      <c r="L55" s="11">
        <v>13</v>
      </c>
      <c r="M55" s="11">
        <v>45335452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211</v>
      </c>
      <c r="E56" s="11">
        <v>53473031.742657788</v>
      </c>
      <c r="F56" s="11">
        <v>0</v>
      </c>
      <c r="G56" s="11">
        <v>0</v>
      </c>
      <c r="H56" s="11">
        <v>0</v>
      </c>
      <c r="I56" s="11">
        <v>0</v>
      </c>
      <c r="J56" s="11">
        <v>256111.48127510221</v>
      </c>
      <c r="K56" s="11">
        <v>0</v>
      </c>
      <c r="L56" s="11">
        <v>211</v>
      </c>
      <c r="M56" s="11">
        <v>53473031.742657788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2960</v>
      </c>
      <c r="E57" s="11">
        <v>239167377.23788059</v>
      </c>
      <c r="F57" s="11">
        <v>524</v>
      </c>
      <c r="G57" s="11">
        <v>14740000</v>
      </c>
      <c r="H57" s="11">
        <v>17</v>
      </c>
      <c r="I57" s="11">
        <v>14763636</v>
      </c>
      <c r="J57" s="11">
        <v>73894.249713201993</v>
      </c>
      <c r="K57" s="11">
        <v>1567946.0265817221</v>
      </c>
      <c r="L57" s="11">
        <v>3467</v>
      </c>
      <c r="M57" s="11">
        <v>252339431.21129879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14</v>
      </c>
      <c r="E58" s="11">
        <v>3404485</v>
      </c>
      <c r="F58" s="11">
        <v>2</v>
      </c>
      <c r="G58" s="11">
        <v>1781818</v>
      </c>
      <c r="H58" s="11">
        <v>0</v>
      </c>
      <c r="I58" s="11">
        <v>0</v>
      </c>
      <c r="J58" s="11">
        <v>324143.9375</v>
      </c>
      <c r="K58" s="11">
        <v>0</v>
      </c>
      <c r="L58" s="11">
        <v>16</v>
      </c>
      <c r="M58" s="11">
        <v>5186303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24660.03</v>
      </c>
      <c r="E59" s="14">
        <f t="shared" si="0"/>
        <v>20924004220.88768</v>
      </c>
      <c r="F59" s="14">
        <f t="shared" si="0"/>
        <v>2203.2200000000003</v>
      </c>
      <c r="G59" s="14">
        <f t="shared" si="0"/>
        <v>749561479.99999988</v>
      </c>
      <c r="H59" s="14">
        <f t="shared" si="0"/>
        <v>606</v>
      </c>
      <c r="I59" s="14">
        <f t="shared" si="0"/>
        <v>979997269</v>
      </c>
      <c r="J59" s="14">
        <f t="shared" si="0"/>
        <v>277666068.00515777</v>
      </c>
      <c r="K59" s="14">
        <f t="shared" si="0"/>
        <v>1006145129.4727399</v>
      </c>
      <c r="L59" s="14">
        <f t="shared" si="0"/>
        <v>26257.25</v>
      </c>
      <c r="M59" s="14">
        <f t="shared" si="0"/>
        <v>20667420571.414928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A58" workbookViewId="0">
      <selection activeCell="J3" sqref="J3"/>
    </sheetView>
  </sheetViews>
  <sheetFormatPr defaultColWidth="14.42578125" defaultRowHeight="15" customHeight="1" x14ac:dyDescent="0.25"/>
  <cols>
    <col min="1" max="4" width="8.7109375" customWidth="1"/>
    <col min="5" max="5" width="15.28515625" style="18" bestFit="1" customWidth="1"/>
    <col min="6" max="6" width="8.7109375" style="18" customWidth="1"/>
    <col min="7" max="7" width="12.5703125" style="18" bestFit="1" customWidth="1"/>
    <col min="8" max="8" width="8.7109375" style="18" customWidth="1"/>
    <col min="9" max="9" width="14.28515625" style="18" bestFit="1" customWidth="1"/>
    <col min="10" max="10" width="20.42578125" style="18" bestFit="1" customWidth="1"/>
    <col min="11" max="11" width="19.5703125" style="18" bestFit="1" customWidth="1"/>
    <col min="12" max="12" width="8.7109375" style="18" customWidth="1"/>
    <col min="13" max="13" width="15.28515625" style="18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15" t="s">
        <v>4</v>
      </c>
      <c r="F1" s="15" t="s">
        <v>152</v>
      </c>
      <c r="G1" s="15" t="s">
        <v>153</v>
      </c>
      <c r="H1" s="15" t="s">
        <v>154</v>
      </c>
      <c r="I1" s="15" t="s">
        <v>155</v>
      </c>
      <c r="J1" s="15" t="s">
        <v>156</v>
      </c>
      <c r="K1" s="15" t="s">
        <v>157</v>
      </c>
      <c r="L1" s="15" t="s">
        <v>8</v>
      </c>
      <c r="M1" s="15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654</v>
      </c>
      <c r="E2" s="16">
        <v>297554258.25082052</v>
      </c>
      <c r="F2" s="16">
        <v>0</v>
      </c>
      <c r="G2" s="16">
        <v>0</v>
      </c>
      <c r="H2" s="16">
        <v>70</v>
      </c>
      <c r="I2" s="16">
        <v>25090918</v>
      </c>
      <c r="J2" s="16">
        <v>472763.09342867881</v>
      </c>
      <c r="K2" s="16">
        <v>41306000.822167583</v>
      </c>
      <c r="L2" s="16">
        <v>584</v>
      </c>
      <c r="M2" s="16">
        <v>256248257.42865291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175</v>
      </c>
      <c r="E3" s="16">
        <v>183151768.65495479</v>
      </c>
      <c r="F3" s="16">
        <v>20</v>
      </c>
      <c r="G3" s="16">
        <v>16000000</v>
      </c>
      <c r="H3" s="16">
        <v>5</v>
      </c>
      <c r="I3" s="16">
        <v>5454546</v>
      </c>
      <c r="J3" s="16">
        <v>1076328.0385954769</v>
      </c>
      <c r="K3" s="16">
        <v>6717167.8683280321</v>
      </c>
      <c r="L3" s="16">
        <v>190</v>
      </c>
      <c r="M3" s="16">
        <v>192434600.7866267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629</v>
      </c>
      <c r="E4" s="16">
        <v>272855850.0358941</v>
      </c>
      <c r="F4" s="16">
        <v>0</v>
      </c>
      <c r="G4" s="16">
        <v>0</v>
      </c>
      <c r="H4" s="16">
        <v>3</v>
      </c>
      <c r="I4" s="16">
        <v>1409090</v>
      </c>
      <c r="J4" s="16">
        <v>436722.5573855961</v>
      </c>
      <c r="K4" s="16">
        <v>1635303.7129865771</v>
      </c>
      <c r="L4" s="16">
        <v>626</v>
      </c>
      <c r="M4" s="16">
        <v>271220546.32290751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1098</v>
      </c>
      <c r="E5" s="16">
        <v>157448893.77256671</v>
      </c>
      <c r="F5" s="16">
        <v>0</v>
      </c>
      <c r="G5" s="16">
        <v>0</v>
      </c>
      <c r="H5" s="16">
        <v>4</v>
      </c>
      <c r="I5" s="16">
        <v>763637</v>
      </c>
      <c r="J5" s="16">
        <v>145779.60034251539</v>
      </c>
      <c r="K5" s="16">
        <v>727827.21413167659</v>
      </c>
      <c r="L5" s="16">
        <v>1094</v>
      </c>
      <c r="M5" s="16">
        <v>156721066.55843499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61</v>
      </c>
      <c r="E6" s="16">
        <v>20735541.87513062</v>
      </c>
      <c r="F6" s="16">
        <v>1</v>
      </c>
      <c r="G6" s="16">
        <v>250000</v>
      </c>
      <c r="H6" s="16">
        <v>0</v>
      </c>
      <c r="I6" s="16">
        <v>0</v>
      </c>
      <c r="J6" s="16">
        <v>342608.73034274188</v>
      </c>
      <c r="K6" s="16">
        <v>0</v>
      </c>
      <c r="L6" s="16">
        <v>62</v>
      </c>
      <c r="M6" s="16">
        <v>20985541.87513062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6">
        <v>206942</v>
      </c>
      <c r="F7" s="16">
        <v>0</v>
      </c>
      <c r="G7" s="16">
        <v>0</v>
      </c>
      <c r="H7" s="16">
        <v>0</v>
      </c>
      <c r="I7" s="16">
        <v>0</v>
      </c>
      <c r="J7" s="16">
        <v>29563.142857142859</v>
      </c>
      <c r="K7" s="16">
        <v>0</v>
      </c>
      <c r="L7" s="16">
        <v>7</v>
      </c>
      <c r="M7" s="16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1247</v>
      </c>
      <c r="E8" s="16">
        <v>161191900.31833971</v>
      </c>
      <c r="F8" s="16">
        <v>17</v>
      </c>
      <c r="G8" s="16">
        <v>6709999</v>
      </c>
      <c r="H8" s="16">
        <v>18</v>
      </c>
      <c r="I8" s="16">
        <v>2668182</v>
      </c>
      <c r="J8" s="16">
        <v>137896.89100162339</v>
      </c>
      <c r="K8" s="16">
        <v>3098122.0555340732</v>
      </c>
      <c r="L8" s="16">
        <v>1246</v>
      </c>
      <c r="M8" s="16">
        <v>164803777.2628057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74</v>
      </c>
      <c r="E9" s="16">
        <v>68279959.399051011</v>
      </c>
      <c r="F9" s="16">
        <v>0</v>
      </c>
      <c r="G9" s="16">
        <v>0</v>
      </c>
      <c r="H9" s="16">
        <v>0</v>
      </c>
      <c r="I9" s="16">
        <v>0</v>
      </c>
      <c r="J9" s="16">
        <v>986819.64509923372</v>
      </c>
      <c r="K9" s="16">
        <v>0</v>
      </c>
      <c r="L9" s="16">
        <v>74</v>
      </c>
      <c r="M9" s="16">
        <v>68279959.399051011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1889</v>
      </c>
      <c r="E10" s="16">
        <v>754591331.8587985</v>
      </c>
      <c r="F10" s="16">
        <v>26</v>
      </c>
      <c r="G10" s="16">
        <v>33774690</v>
      </c>
      <c r="H10" s="16">
        <v>217</v>
      </c>
      <c r="I10" s="16">
        <v>65572725</v>
      </c>
      <c r="J10" s="16">
        <v>420499.80432720273</v>
      </c>
      <c r="K10" s="16">
        <v>113893011.2450313</v>
      </c>
      <c r="L10" s="16">
        <v>1698</v>
      </c>
      <c r="M10" s="16">
        <v>674473010.61376715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482</v>
      </c>
      <c r="E11" s="16">
        <v>807766498.35529172</v>
      </c>
      <c r="F11" s="16">
        <v>40</v>
      </c>
      <c r="G11" s="16">
        <v>37278178</v>
      </c>
      <c r="H11" s="16">
        <v>55</v>
      </c>
      <c r="I11" s="16">
        <v>47800001</v>
      </c>
      <c r="J11" s="16">
        <v>1743493.4461878249</v>
      </c>
      <c r="K11" s="16">
        <v>119689086.49561261</v>
      </c>
      <c r="L11" s="16">
        <v>467</v>
      </c>
      <c r="M11" s="16">
        <v>725355589.8596791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65</v>
      </c>
      <c r="E12" s="16">
        <v>202861111.58700931</v>
      </c>
      <c r="F12" s="16">
        <v>6</v>
      </c>
      <c r="G12" s="16">
        <v>17066365</v>
      </c>
      <c r="H12" s="16">
        <v>5</v>
      </c>
      <c r="I12" s="16">
        <v>12272727</v>
      </c>
      <c r="J12" s="16">
        <v>3211518.8465794772</v>
      </c>
      <c r="K12" s="16">
        <v>20042506.03089717</v>
      </c>
      <c r="L12" s="16">
        <v>66</v>
      </c>
      <c r="M12" s="16">
        <v>199884970.5561122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6">
        <v>11555238</v>
      </c>
      <c r="F13" s="16">
        <v>0</v>
      </c>
      <c r="G13" s="16">
        <v>0</v>
      </c>
      <c r="H13" s="16">
        <v>0</v>
      </c>
      <c r="I13" s="16">
        <v>0</v>
      </c>
      <c r="J13" s="16">
        <v>2888809.5</v>
      </c>
      <c r="K13" s="16">
        <v>0</v>
      </c>
      <c r="L13" s="16">
        <v>4</v>
      </c>
      <c r="M13" s="16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2126</v>
      </c>
      <c r="E14" s="16">
        <v>270569716.73368949</v>
      </c>
      <c r="F14" s="16">
        <v>20</v>
      </c>
      <c r="G14" s="16">
        <v>4172730</v>
      </c>
      <c r="H14" s="16">
        <v>40</v>
      </c>
      <c r="I14" s="16">
        <v>4131817</v>
      </c>
      <c r="J14" s="16">
        <v>130880.0129562714</v>
      </c>
      <c r="K14" s="16">
        <v>6534387.1839179071</v>
      </c>
      <c r="L14" s="16">
        <v>2106</v>
      </c>
      <c r="M14" s="16">
        <v>268208059.54977161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1921</v>
      </c>
      <c r="E15" s="16">
        <v>221775627.830791</v>
      </c>
      <c r="F15" s="16">
        <v>0</v>
      </c>
      <c r="G15" s="16">
        <v>0</v>
      </c>
      <c r="H15" s="16">
        <v>43</v>
      </c>
      <c r="I15" s="16">
        <v>6410909</v>
      </c>
      <c r="J15" s="16">
        <v>118834.6802930057</v>
      </c>
      <c r="K15" s="16">
        <v>6377980.708818147</v>
      </c>
      <c r="L15" s="16">
        <v>1878</v>
      </c>
      <c r="M15" s="16">
        <v>215397647.12197289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8422.2499999999982</v>
      </c>
      <c r="E16" s="16">
        <v>4681255703.4638853</v>
      </c>
      <c r="F16" s="16">
        <v>227</v>
      </c>
      <c r="G16" s="16">
        <v>199199680</v>
      </c>
      <c r="H16" s="16">
        <v>223</v>
      </c>
      <c r="I16" s="16">
        <v>156250909</v>
      </c>
      <c r="J16" s="16">
        <v>606226.5855673654</v>
      </c>
      <c r="K16" s="16">
        <v>168737412.34862319</v>
      </c>
      <c r="L16" s="16">
        <v>8426.2499999999982</v>
      </c>
      <c r="M16" s="16">
        <v>4711717971.115262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6">
        <v>69600796.156262949</v>
      </c>
      <c r="F17" s="16">
        <v>0</v>
      </c>
      <c r="G17" s="16">
        <v>0</v>
      </c>
      <c r="H17" s="16">
        <v>0</v>
      </c>
      <c r="I17" s="16">
        <v>0</v>
      </c>
      <c r="J17" s="16">
        <v>12629390.38461538</v>
      </c>
      <c r="K17" s="16">
        <v>0</v>
      </c>
      <c r="L17" s="16">
        <v>7</v>
      </c>
      <c r="M17" s="16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5</v>
      </c>
      <c r="E18" s="16">
        <v>14854357</v>
      </c>
      <c r="F18" s="16">
        <v>0</v>
      </c>
      <c r="G18" s="16">
        <v>0</v>
      </c>
      <c r="H18" s="16">
        <v>0</v>
      </c>
      <c r="I18" s="16">
        <v>0</v>
      </c>
      <c r="J18" s="16">
        <v>2970871.4</v>
      </c>
      <c r="K18" s="16">
        <v>0</v>
      </c>
      <c r="L18" s="16">
        <v>5</v>
      </c>
      <c r="M18" s="16">
        <v>14854357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249</v>
      </c>
      <c r="E19" s="16">
        <v>1004146476.064338</v>
      </c>
      <c r="F19" s="16">
        <v>22</v>
      </c>
      <c r="G19" s="16">
        <v>48759090</v>
      </c>
      <c r="H19" s="16">
        <v>22</v>
      </c>
      <c r="I19" s="16">
        <v>75400000</v>
      </c>
      <c r="J19" s="16">
        <v>3896649.088268057</v>
      </c>
      <c r="K19" s="16">
        <v>107000429.6921279</v>
      </c>
      <c r="L19" s="16">
        <v>249</v>
      </c>
      <c r="M19" s="16">
        <v>945905136.37221026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25</v>
      </c>
      <c r="E20" s="16">
        <v>262641555.18460849</v>
      </c>
      <c r="F20" s="16">
        <v>12</v>
      </c>
      <c r="G20" s="16">
        <v>123000000</v>
      </c>
      <c r="H20" s="16">
        <v>0</v>
      </c>
      <c r="I20" s="16">
        <v>0</v>
      </c>
      <c r="J20" s="16">
        <v>10493914.007276511</v>
      </c>
      <c r="K20" s="16">
        <v>0</v>
      </c>
      <c r="L20" s="16">
        <v>37</v>
      </c>
      <c r="M20" s="16">
        <v>385641555.18460852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22</v>
      </c>
      <c r="E21" s="16">
        <v>211604423.18422529</v>
      </c>
      <c r="F21" s="16">
        <v>8</v>
      </c>
      <c r="G21" s="16">
        <v>82181818</v>
      </c>
      <c r="H21" s="16">
        <v>9</v>
      </c>
      <c r="I21" s="16">
        <v>94454546</v>
      </c>
      <c r="J21" s="16">
        <v>10214475.575468419</v>
      </c>
      <c r="K21" s="16">
        <v>114744037.5058936</v>
      </c>
      <c r="L21" s="16">
        <v>21</v>
      </c>
      <c r="M21" s="16">
        <v>179042203.6783317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13</v>
      </c>
      <c r="E22" s="16">
        <v>159948932.10177651</v>
      </c>
      <c r="F22" s="16">
        <v>0</v>
      </c>
      <c r="G22" s="16">
        <v>0</v>
      </c>
      <c r="H22" s="16">
        <v>1</v>
      </c>
      <c r="I22" s="16">
        <v>12718182</v>
      </c>
      <c r="J22" s="16">
        <v>13320923.882352941</v>
      </c>
      <c r="K22" s="16">
        <v>16626693.474555871</v>
      </c>
      <c r="L22" s="16">
        <v>12</v>
      </c>
      <c r="M22" s="16">
        <v>143322238.6272206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20</v>
      </c>
      <c r="E23" s="16">
        <v>216439629.23347369</v>
      </c>
      <c r="F23" s="16">
        <v>2</v>
      </c>
      <c r="G23" s="16">
        <v>42727272</v>
      </c>
      <c r="H23" s="16">
        <v>3</v>
      </c>
      <c r="I23" s="16">
        <v>51277273</v>
      </c>
      <c r="J23" s="16">
        <v>12864528.953978861</v>
      </c>
      <c r="K23" s="16">
        <v>48171113.693333603</v>
      </c>
      <c r="L23" s="16">
        <v>19</v>
      </c>
      <c r="M23" s="16">
        <v>210995787.54014009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132</v>
      </c>
      <c r="E24" s="16">
        <v>864323837.4392519</v>
      </c>
      <c r="F24" s="16">
        <v>0</v>
      </c>
      <c r="G24" s="16">
        <v>0</v>
      </c>
      <c r="H24" s="16">
        <v>0</v>
      </c>
      <c r="I24" s="16">
        <v>0</v>
      </c>
      <c r="J24" s="16">
        <v>6798197.8796630707</v>
      </c>
      <c r="K24" s="16">
        <v>0</v>
      </c>
      <c r="L24" s="16">
        <v>132</v>
      </c>
      <c r="M24" s="16">
        <v>864323837.4392519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6">
        <v>15871570</v>
      </c>
      <c r="F25" s="16">
        <v>0</v>
      </c>
      <c r="G25" s="16">
        <v>0</v>
      </c>
      <c r="H25" s="16">
        <v>0</v>
      </c>
      <c r="I25" s="16">
        <v>0</v>
      </c>
      <c r="J25" s="16">
        <v>15871570</v>
      </c>
      <c r="K25" s="16">
        <v>0</v>
      </c>
      <c r="L25" s="16">
        <v>1</v>
      </c>
      <c r="M25" s="16">
        <v>15871570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9</v>
      </c>
      <c r="E26" s="16">
        <v>75094798.737039387</v>
      </c>
      <c r="F26" s="16">
        <v>1</v>
      </c>
      <c r="G26" s="16">
        <v>14081818</v>
      </c>
      <c r="H26" s="16">
        <v>1</v>
      </c>
      <c r="I26" s="16">
        <v>14990909</v>
      </c>
      <c r="J26" s="16">
        <v>14855041.62142857</v>
      </c>
      <c r="K26" s="16">
        <v>18541523.5288947</v>
      </c>
      <c r="L26" s="16">
        <v>9</v>
      </c>
      <c r="M26" s="16">
        <v>70635093.208144695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6">
        <v>31612229</v>
      </c>
      <c r="F27" s="16">
        <v>0</v>
      </c>
      <c r="G27" s="16">
        <v>0</v>
      </c>
      <c r="H27" s="16">
        <v>0</v>
      </c>
      <c r="I27" s="16">
        <v>0</v>
      </c>
      <c r="J27" s="16">
        <v>15806114.5</v>
      </c>
      <c r="K27" s="16">
        <v>0</v>
      </c>
      <c r="L27" s="16">
        <v>2</v>
      </c>
      <c r="M27" s="16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11</v>
      </c>
      <c r="E28" s="16">
        <v>91534934</v>
      </c>
      <c r="F28" s="16">
        <v>1</v>
      </c>
      <c r="G28" s="16">
        <v>0</v>
      </c>
      <c r="H28" s="16">
        <v>0</v>
      </c>
      <c r="I28" s="16">
        <v>0</v>
      </c>
      <c r="J28" s="16">
        <v>7627911.166666667</v>
      </c>
      <c r="K28" s="16">
        <v>0</v>
      </c>
      <c r="L28" s="16">
        <v>12</v>
      </c>
      <c r="M28" s="16">
        <v>91534934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49</v>
      </c>
      <c r="E29" s="16">
        <v>323147188.73621333</v>
      </c>
      <c r="F29" s="16">
        <v>4</v>
      </c>
      <c r="G29" s="16">
        <v>17909091</v>
      </c>
      <c r="H29" s="16">
        <v>2</v>
      </c>
      <c r="I29" s="16">
        <v>34181818</v>
      </c>
      <c r="J29" s="16">
        <v>6557738.3594264137</v>
      </c>
      <c r="K29" s="16">
        <v>16370261.78536511</v>
      </c>
      <c r="L29" s="16">
        <v>51</v>
      </c>
      <c r="M29" s="16">
        <v>324686017.95084822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90</v>
      </c>
      <c r="E30" s="16">
        <v>864706527.64767361</v>
      </c>
      <c r="F30" s="16">
        <v>3</v>
      </c>
      <c r="G30" s="16">
        <v>34873636</v>
      </c>
      <c r="H30" s="16">
        <v>5</v>
      </c>
      <c r="I30" s="16">
        <v>50627272</v>
      </c>
      <c r="J30" s="16">
        <v>9776600.069091741</v>
      </c>
      <c r="K30" s="16">
        <v>61013985.969641954</v>
      </c>
      <c r="L30" s="16">
        <v>88</v>
      </c>
      <c r="M30" s="16">
        <v>838566177.67803168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181</v>
      </c>
      <c r="E31" s="16">
        <v>1385625964.6399269</v>
      </c>
      <c r="F31" s="16">
        <v>5</v>
      </c>
      <c r="G31" s="16">
        <v>41227273</v>
      </c>
      <c r="H31" s="16">
        <v>4</v>
      </c>
      <c r="I31" s="16">
        <v>39572727</v>
      </c>
      <c r="J31" s="16">
        <v>8748363.8778403513</v>
      </c>
      <c r="K31" s="16">
        <v>43677560.471139267</v>
      </c>
      <c r="L31" s="16">
        <v>182</v>
      </c>
      <c r="M31" s="16">
        <v>1383175677.168788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6">
        <v>46282927.71431572</v>
      </c>
      <c r="F32" s="16">
        <v>0</v>
      </c>
      <c r="G32" s="16">
        <v>0</v>
      </c>
      <c r="H32" s="16">
        <v>0</v>
      </c>
      <c r="I32" s="16">
        <v>0</v>
      </c>
      <c r="J32" s="16">
        <v>18543002.1875</v>
      </c>
      <c r="K32" s="16">
        <v>0</v>
      </c>
      <c r="L32" s="16">
        <v>3</v>
      </c>
      <c r="M32" s="16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6">
        <v>101090592</v>
      </c>
      <c r="F33" s="16">
        <v>0</v>
      </c>
      <c r="G33" s="16">
        <v>0</v>
      </c>
      <c r="H33" s="16">
        <v>0</v>
      </c>
      <c r="I33" s="16">
        <v>0</v>
      </c>
      <c r="J33" s="16">
        <v>2150863.6595744682</v>
      </c>
      <c r="K33" s="16">
        <v>0</v>
      </c>
      <c r="L33" s="16">
        <v>47</v>
      </c>
      <c r="M33" s="16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30</v>
      </c>
      <c r="E34" s="16">
        <v>493133234.91043258</v>
      </c>
      <c r="F34" s="16">
        <v>0</v>
      </c>
      <c r="G34" s="16">
        <v>0</v>
      </c>
      <c r="H34" s="16">
        <v>3</v>
      </c>
      <c r="I34" s="16">
        <v>49318180</v>
      </c>
      <c r="J34" s="16">
        <v>16852769.046357829</v>
      </c>
      <c r="K34" s="16">
        <v>63105043.074935891</v>
      </c>
      <c r="L34" s="16">
        <v>27</v>
      </c>
      <c r="M34" s="16">
        <v>430028191.83549672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18</v>
      </c>
      <c r="E35" s="16">
        <v>204229503</v>
      </c>
      <c r="F35" s="16">
        <v>0</v>
      </c>
      <c r="G35" s="16">
        <v>0</v>
      </c>
      <c r="H35" s="16">
        <v>0</v>
      </c>
      <c r="I35" s="16">
        <v>0</v>
      </c>
      <c r="J35" s="16">
        <v>11346083.5</v>
      </c>
      <c r="K35" s="16">
        <v>0</v>
      </c>
      <c r="L35" s="16">
        <v>18</v>
      </c>
      <c r="M35" s="16">
        <v>204229503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41</v>
      </c>
      <c r="E36" s="16">
        <v>241091239.90669411</v>
      </c>
      <c r="F36" s="16">
        <v>1</v>
      </c>
      <c r="G36" s="16">
        <v>23172727</v>
      </c>
      <c r="H36" s="16">
        <v>3</v>
      </c>
      <c r="I36" s="16">
        <v>33081818</v>
      </c>
      <c r="J36" s="16">
        <v>6932059.0431951089</v>
      </c>
      <c r="K36" s="16">
        <v>25957033.132983349</v>
      </c>
      <c r="L36" s="16">
        <v>39</v>
      </c>
      <c r="M36" s="16">
        <v>238306933.77371079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110</v>
      </c>
      <c r="E37" s="16">
        <v>280433577.77991289</v>
      </c>
      <c r="F37" s="16">
        <v>0</v>
      </c>
      <c r="G37" s="16">
        <v>0</v>
      </c>
      <c r="H37" s="16">
        <v>0</v>
      </c>
      <c r="I37" s="16">
        <v>0</v>
      </c>
      <c r="J37" s="16">
        <v>2838047.0642976989</v>
      </c>
      <c r="K37" s="16">
        <v>0</v>
      </c>
      <c r="L37" s="16">
        <v>110</v>
      </c>
      <c r="M37" s="16">
        <v>280433577.77991289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152</v>
      </c>
      <c r="E38" s="16">
        <v>647113155.47166109</v>
      </c>
      <c r="F38" s="16">
        <v>4</v>
      </c>
      <c r="G38" s="16">
        <v>13512740</v>
      </c>
      <c r="H38" s="16">
        <v>4</v>
      </c>
      <c r="I38" s="16">
        <v>22509090</v>
      </c>
      <c r="J38" s="16">
        <v>4450995.1167632211</v>
      </c>
      <c r="K38" s="16">
        <v>22222281.912805341</v>
      </c>
      <c r="L38" s="16">
        <v>152</v>
      </c>
      <c r="M38" s="16">
        <v>638403613.55885577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172</v>
      </c>
      <c r="E39" s="16">
        <v>826799419.25834358</v>
      </c>
      <c r="F39" s="16">
        <v>9</v>
      </c>
      <c r="G39" s="16">
        <v>91697544</v>
      </c>
      <c r="H39" s="16">
        <v>2</v>
      </c>
      <c r="I39" s="16">
        <v>16545455</v>
      </c>
      <c r="J39" s="16">
        <v>5199442.6752224565</v>
      </c>
      <c r="K39" s="16">
        <v>12979511.08540957</v>
      </c>
      <c r="L39" s="16">
        <v>179</v>
      </c>
      <c r="M39" s="16">
        <v>905517452.17293406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40</v>
      </c>
      <c r="E40" s="16">
        <v>154759430.03194731</v>
      </c>
      <c r="F40" s="16">
        <v>2</v>
      </c>
      <c r="G40" s="16">
        <v>1037957</v>
      </c>
      <c r="H40" s="16">
        <v>0</v>
      </c>
      <c r="I40" s="16">
        <v>0</v>
      </c>
      <c r="J40" s="16">
        <v>3736562.2069597072</v>
      </c>
      <c r="K40" s="16">
        <v>0</v>
      </c>
      <c r="L40" s="16">
        <v>42</v>
      </c>
      <c r="M40" s="16">
        <v>155797387.03194731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92</v>
      </c>
      <c r="E41" s="16">
        <v>346993679.63476241</v>
      </c>
      <c r="F41" s="16">
        <v>0</v>
      </c>
      <c r="G41" s="16">
        <v>0</v>
      </c>
      <c r="H41" s="16">
        <v>7</v>
      </c>
      <c r="I41" s="16">
        <v>21036363</v>
      </c>
      <c r="J41" s="16">
        <v>3933408.9022580208</v>
      </c>
      <c r="K41" s="16">
        <v>34366767.120560333</v>
      </c>
      <c r="L41" s="16">
        <v>85</v>
      </c>
      <c r="M41" s="16">
        <v>312626912.51420212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504</v>
      </c>
      <c r="E42" s="16">
        <v>1186061099.8786221</v>
      </c>
      <c r="F42" s="16">
        <v>0</v>
      </c>
      <c r="G42" s="16">
        <v>0</v>
      </c>
      <c r="H42" s="16">
        <v>59</v>
      </c>
      <c r="I42" s="16">
        <v>138145454</v>
      </c>
      <c r="J42" s="16">
        <v>2593944.6947452142</v>
      </c>
      <c r="K42" s="16">
        <v>191022386.95397469</v>
      </c>
      <c r="L42" s="16">
        <v>445</v>
      </c>
      <c r="M42" s="16">
        <v>995038712.92464757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574</v>
      </c>
      <c r="E43" s="16">
        <v>1263789336.617758</v>
      </c>
      <c r="F43" s="16">
        <v>6</v>
      </c>
      <c r="G43" s="16">
        <v>3431815</v>
      </c>
      <c r="H43" s="16">
        <v>39</v>
      </c>
      <c r="I43" s="16">
        <v>123563635</v>
      </c>
      <c r="J43" s="16">
        <v>2295596.37896446</v>
      </c>
      <c r="K43" s="16">
        <v>111745921.61819521</v>
      </c>
      <c r="L43" s="16">
        <v>541</v>
      </c>
      <c r="M43" s="16">
        <v>1155475229.999563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6">
        <v>24352573</v>
      </c>
      <c r="F44" s="16">
        <v>0</v>
      </c>
      <c r="G44" s="16">
        <v>0</v>
      </c>
      <c r="H44" s="16">
        <v>0</v>
      </c>
      <c r="I44" s="16">
        <v>0</v>
      </c>
      <c r="J44" s="16">
        <v>4058762.166666667</v>
      </c>
      <c r="K44" s="16">
        <v>0</v>
      </c>
      <c r="L44" s="16">
        <v>6</v>
      </c>
      <c r="M44" s="16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17</v>
      </c>
      <c r="E45" s="16">
        <v>96766202.192237094</v>
      </c>
      <c r="F45" s="16">
        <v>1</v>
      </c>
      <c r="G45" s="16">
        <v>7181818</v>
      </c>
      <c r="H45" s="16">
        <v>0</v>
      </c>
      <c r="I45" s="16">
        <v>0</v>
      </c>
      <c r="J45" s="16">
        <v>6023826.5281207142</v>
      </c>
      <c r="K45" s="16">
        <v>0</v>
      </c>
      <c r="L45" s="16">
        <v>18</v>
      </c>
      <c r="M45" s="16">
        <v>103948020.19223709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17</v>
      </c>
      <c r="E46" s="16">
        <v>83490375.194665506</v>
      </c>
      <c r="F46" s="16">
        <v>0</v>
      </c>
      <c r="G46" s="16">
        <v>0</v>
      </c>
      <c r="H46" s="16">
        <v>0</v>
      </c>
      <c r="I46" s="16">
        <v>0</v>
      </c>
      <c r="J46" s="16">
        <v>5517029.8806578945</v>
      </c>
      <c r="K46" s="16">
        <v>0</v>
      </c>
      <c r="L46" s="16">
        <v>17</v>
      </c>
      <c r="M46" s="16">
        <v>83490375.194665506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16</v>
      </c>
      <c r="E47" s="16">
        <v>13032796.333187049</v>
      </c>
      <c r="F47" s="16">
        <v>0</v>
      </c>
      <c r="G47" s="16">
        <v>0</v>
      </c>
      <c r="H47" s="16">
        <v>2</v>
      </c>
      <c r="I47" s="16">
        <v>1490910</v>
      </c>
      <c r="J47" s="16">
        <v>840626.38888888888</v>
      </c>
      <c r="K47" s="16">
        <v>2098478.6668129452</v>
      </c>
      <c r="L47" s="16">
        <v>14</v>
      </c>
      <c r="M47" s="16">
        <v>10934317.66637411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143</v>
      </c>
      <c r="E48" s="16">
        <v>54251569.321261108</v>
      </c>
      <c r="F48" s="16">
        <v>0</v>
      </c>
      <c r="G48" s="16">
        <v>0</v>
      </c>
      <c r="H48" s="16">
        <v>1</v>
      </c>
      <c r="I48" s="16">
        <v>418182</v>
      </c>
      <c r="J48" s="16">
        <v>408397.24682614743</v>
      </c>
      <c r="K48" s="16">
        <v>509746.61358334293</v>
      </c>
      <c r="L48" s="16">
        <v>142</v>
      </c>
      <c r="M48" s="16">
        <v>53741822.707677767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6">
        <v>164231800.47652009</v>
      </c>
      <c r="F49" s="16">
        <v>4</v>
      </c>
      <c r="G49" s="16">
        <v>24163637</v>
      </c>
      <c r="H49" s="16">
        <v>4</v>
      </c>
      <c r="I49" s="16">
        <v>26045455</v>
      </c>
      <c r="J49" s="16">
        <v>7401958.0462042512</v>
      </c>
      <c r="K49" s="16">
        <v>36955421.000130244</v>
      </c>
      <c r="L49" s="16">
        <v>23</v>
      </c>
      <c r="M49" s="16">
        <v>151440016.47638991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6">
        <v>937651</v>
      </c>
      <c r="F50" s="16">
        <v>0</v>
      </c>
      <c r="G50" s="16">
        <v>0</v>
      </c>
      <c r="H50" s="16">
        <v>0</v>
      </c>
      <c r="I50" s="16">
        <v>0</v>
      </c>
      <c r="J50" s="16">
        <v>468825.5</v>
      </c>
      <c r="K50" s="16">
        <v>0</v>
      </c>
      <c r="L50" s="16">
        <v>2</v>
      </c>
      <c r="M50" s="16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632</v>
      </c>
      <c r="E51" s="16">
        <v>202987944.7920616</v>
      </c>
      <c r="F51" s="16">
        <v>0</v>
      </c>
      <c r="G51" s="16">
        <v>0</v>
      </c>
      <c r="H51" s="16">
        <v>3</v>
      </c>
      <c r="I51" s="16">
        <v>9627273</v>
      </c>
      <c r="J51" s="16">
        <v>326175.53430535487</v>
      </c>
      <c r="K51" s="16">
        <v>1221361.373060415</v>
      </c>
      <c r="L51" s="16">
        <v>629</v>
      </c>
      <c r="M51" s="16">
        <v>201766583.41900119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29</v>
      </c>
      <c r="E52" s="16">
        <v>19233178.60023978</v>
      </c>
      <c r="F52" s="16">
        <v>0</v>
      </c>
      <c r="G52" s="16">
        <v>0</v>
      </c>
      <c r="H52" s="16">
        <v>1</v>
      </c>
      <c r="I52" s="16">
        <v>1281818</v>
      </c>
      <c r="J52" s="16">
        <v>699607.38750000019</v>
      </c>
      <c r="K52" s="16">
        <v>873224.53661845333</v>
      </c>
      <c r="L52" s="16">
        <v>28</v>
      </c>
      <c r="M52" s="16">
        <v>18359954.06362132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122</v>
      </c>
      <c r="E53" s="16">
        <v>82507987.284260109</v>
      </c>
      <c r="F53" s="16">
        <v>0</v>
      </c>
      <c r="G53" s="16">
        <v>0</v>
      </c>
      <c r="H53" s="16">
        <v>1</v>
      </c>
      <c r="I53" s="16">
        <v>900000</v>
      </c>
      <c r="J53" s="16">
        <v>685780.01738582668</v>
      </c>
      <c r="K53" s="16">
        <v>855965.71534764301</v>
      </c>
      <c r="L53" s="16">
        <v>121</v>
      </c>
      <c r="M53" s="16">
        <v>81652021.568912461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90</v>
      </c>
      <c r="E54" s="16">
        <v>74563517.801078245</v>
      </c>
      <c r="F54" s="16">
        <v>6</v>
      </c>
      <c r="G54" s="16">
        <v>5290909</v>
      </c>
      <c r="H54" s="16">
        <v>1</v>
      </c>
      <c r="I54" s="16">
        <v>1045455</v>
      </c>
      <c r="J54" s="16">
        <v>912554.01271406503</v>
      </c>
      <c r="K54" s="16">
        <v>1139016.781596734</v>
      </c>
      <c r="L54" s="16">
        <v>95</v>
      </c>
      <c r="M54" s="16">
        <v>78715410.01948151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13</v>
      </c>
      <c r="E55" s="16">
        <v>45335452</v>
      </c>
      <c r="F55" s="16">
        <v>1</v>
      </c>
      <c r="G55" s="16">
        <v>279682</v>
      </c>
      <c r="H55" s="16">
        <v>1</v>
      </c>
      <c r="I55" s="16">
        <v>4454545</v>
      </c>
      <c r="J55" s="16">
        <v>3258223.8571428568</v>
      </c>
      <c r="K55" s="16">
        <v>4066796.7043912332</v>
      </c>
      <c r="L55" s="16">
        <v>13</v>
      </c>
      <c r="M55" s="16">
        <v>41548337.295608766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211</v>
      </c>
      <c r="E56" s="16">
        <v>53473031.742657788</v>
      </c>
      <c r="F56" s="16">
        <v>0</v>
      </c>
      <c r="G56" s="16">
        <v>0</v>
      </c>
      <c r="H56" s="16">
        <v>0</v>
      </c>
      <c r="I56" s="16">
        <v>0</v>
      </c>
      <c r="J56" s="16">
        <v>256111.48127510221</v>
      </c>
      <c r="K56" s="16">
        <v>0</v>
      </c>
      <c r="L56" s="16">
        <v>211</v>
      </c>
      <c r="M56" s="16">
        <v>53473031.742657788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3467</v>
      </c>
      <c r="E57" s="16">
        <v>252339431.21129879</v>
      </c>
      <c r="F57" s="16">
        <v>16</v>
      </c>
      <c r="G57" s="16">
        <v>6247273</v>
      </c>
      <c r="H57" s="16">
        <v>25</v>
      </c>
      <c r="I57" s="16">
        <v>2863635</v>
      </c>
      <c r="J57" s="16">
        <v>75348.445809839584</v>
      </c>
      <c r="K57" s="16">
        <v>2351179.8493271982</v>
      </c>
      <c r="L57" s="16">
        <v>3458</v>
      </c>
      <c r="M57" s="16">
        <v>256235524.36197159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16</v>
      </c>
      <c r="E58" s="16">
        <v>5186303</v>
      </c>
      <c r="F58" s="16">
        <v>10</v>
      </c>
      <c r="G58" s="16">
        <v>181820</v>
      </c>
      <c r="H58" s="16">
        <v>3</v>
      </c>
      <c r="I58" s="16">
        <v>272727</v>
      </c>
      <c r="J58" s="16">
        <v>206466.26923076919</v>
      </c>
      <c r="K58" s="16">
        <v>773111.09987262345</v>
      </c>
      <c r="L58" s="16">
        <v>23</v>
      </c>
      <c r="M58" s="16">
        <v>4595011.9001273764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26257.25</v>
      </c>
      <c r="E59" s="17">
        <f t="shared" si="0"/>
        <v>20667420571.414928</v>
      </c>
      <c r="F59" s="17">
        <f t="shared" si="0"/>
        <v>475</v>
      </c>
      <c r="G59" s="17">
        <f t="shared" si="0"/>
        <v>895409562</v>
      </c>
      <c r="H59" s="17">
        <f t="shared" si="0"/>
        <v>889</v>
      </c>
      <c r="I59" s="17">
        <f t="shared" si="0"/>
        <v>1153648183</v>
      </c>
      <c r="J59" s="17">
        <f t="shared" si="0"/>
        <v>277193502.57960767</v>
      </c>
      <c r="K59" s="17">
        <f t="shared" si="0"/>
        <v>1427147659.0466051</v>
      </c>
      <c r="L59" s="17">
        <f t="shared" si="0"/>
        <v>25843.25</v>
      </c>
      <c r="M59" s="17">
        <f t="shared" si="0"/>
        <v>20135682474.368324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topLeftCell="A52" workbookViewId="0">
      <selection activeCell="B13" sqref="B13"/>
    </sheetView>
  </sheetViews>
  <sheetFormatPr defaultColWidth="14.42578125" defaultRowHeight="15" customHeight="1" x14ac:dyDescent="0.25"/>
  <cols>
    <col min="1" max="2" width="8.7109375" customWidth="1"/>
    <col min="3" max="3" width="31.42578125" bestFit="1" customWidth="1"/>
    <col min="4" max="4" width="8.7109375" customWidth="1"/>
    <col min="5" max="5" width="13.85546875" bestFit="1" customWidth="1"/>
    <col min="6" max="6" width="8" bestFit="1" customWidth="1"/>
    <col min="7" max="7" width="12.7109375" bestFit="1" customWidth="1"/>
    <col min="8" max="8" width="7.28515625" bestFit="1" customWidth="1"/>
    <col min="9" max="9" width="12.7109375" bestFit="1" customWidth="1"/>
    <col min="10" max="10" width="19" bestFit="1" customWidth="1"/>
    <col min="11" max="11" width="18.140625" bestFit="1" customWidth="1"/>
    <col min="12" max="12" width="11" bestFit="1" customWidth="1"/>
    <col min="13" max="13" width="13.85546875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584</v>
      </c>
      <c r="E2" s="11">
        <v>256248257.42865291</v>
      </c>
      <c r="F2" s="11">
        <v>32</v>
      </c>
      <c r="G2" s="11">
        <v>14361820</v>
      </c>
      <c r="H2" s="11">
        <v>1</v>
      </c>
      <c r="I2" s="11">
        <v>395455</v>
      </c>
      <c r="J2" s="11">
        <v>471518.61454926681</v>
      </c>
      <c r="K2" s="11">
        <v>588532.41268376191</v>
      </c>
      <c r="L2" s="11">
        <v>615</v>
      </c>
      <c r="M2" s="11">
        <v>270021545.0159691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190</v>
      </c>
      <c r="E3" s="11">
        <v>192434600.7866267</v>
      </c>
      <c r="F3" s="11">
        <v>5</v>
      </c>
      <c r="G3" s="11">
        <v>7986364</v>
      </c>
      <c r="H3" s="11">
        <v>9</v>
      </c>
      <c r="I3" s="11">
        <v>11627273</v>
      </c>
      <c r="J3" s="11">
        <v>1089685.596580208</v>
      </c>
      <c r="K3" s="11">
        <v>12240953.93246829</v>
      </c>
      <c r="L3" s="11">
        <v>186</v>
      </c>
      <c r="M3" s="11">
        <v>188180010.8541584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626</v>
      </c>
      <c r="E4" s="11">
        <v>271220546.32290751</v>
      </c>
      <c r="F4" s="11">
        <v>0</v>
      </c>
      <c r="G4" s="11">
        <v>0</v>
      </c>
      <c r="H4" s="11">
        <v>0</v>
      </c>
      <c r="I4" s="11">
        <v>0</v>
      </c>
      <c r="J4" s="11">
        <v>436722.55738559598</v>
      </c>
      <c r="K4" s="11">
        <v>0</v>
      </c>
      <c r="L4" s="11">
        <v>626</v>
      </c>
      <c r="M4" s="11">
        <v>271220546.32290751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1094</v>
      </c>
      <c r="E5" s="11">
        <v>156721066.55843499</v>
      </c>
      <c r="F5" s="11">
        <v>49</v>
      </c>
      <c r="G5" s="11">
        <v>3327280</v>
      </c>
      <c r="H5" s="11">
        <v>5</v>
      </c>
      <c r="I5" s="11">
        <v>1281818</v>
      </c>
      <c r="J5" s="11">
        <v>142441.08729196139</v>
      </c>
      <c r="K5" s="11">
        <v>888948.96386404755</v>
      </c>
      <c r="L5" s="11">
        <v>1138</v>
      </c>
      <c r="M5" s="11">
        <v>159159397.59457099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62</v>
      </c>
      <c r="E6" s="11">
        <v>20985541.87513062</v>
      </c>
      <c r="F6" s="11">
        <v>6</v>
      </c>
      <c r="G6" s="11">
        <v>1172727</v>
      </c>
      <c r="H6" s="11">
        <v>1</v>
      </c>
      <c r="I6" s="11">
        <v>363636</v>
      </c>
      <c r="J6" s="11">
        <v>329624.5335477941</v>
      </c>
      <c r="K6" s="11">
        <v>411425.3732996012</v>
      </c>
      <c r="L6" s="11">
        <v>67</v>
      </c>
      <c r="M6" s="11">
        <v>21746843.50183101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0</v>
      </c>
      <c r="G7" s="11">
        <v>0</v>
      </c>
      <c r="H7" s="11">
        <v>0</v>
      </c>
      <c r="I7" s="11">
        <v>0</v>
      </c>
      <c r="J7" s="11">
        <v>29563.142857142859</v>
      </c>
      <c r="K7" s="11">
        <v>0</v>
      </c>
      <c r="L7" s="11">
        <v>7</v>
      </c>
      <c r="M7" s="11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1246</v>
      </c>
      <c r="E8" s="11">
        <v>164803777.2628057</v>
      </c>
      <c r="F8" s="11">
        <v>0</v>
      </c>
      <c r="G8" s="11">
        <v>0</v>
      </c>
      <c r="H8" s="11">
        <v>16</v>
      </c>
      <c r="I8" s="11">
        <v>2509088</v>
      </c>
      <c r="J8" s="11">
        <v>137896.89100162339</v>
      </c>
      <c r="K8" s="11">
        <v>2753886.2715858431</v>
      </c>
      <c r="L8" s="11">
        <v>1230</v>
      </c>
      <c r="M8" s="11">
        <v>162049890.99121979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74</v>
      </c>
      <c r="E9" s="11">
        <v>68279959.399051011</v>
      </c>
      <c r="F9" s="11">
        <v>0</v>
      </c>
      <c r="G9" s="11">
        <v>0</v>
      </c>
      <c r="H9" s="11">
        <v>3</v>
      </c>
      <c r="I9" s="11">
        <v>4590909</v>
      </c>
      <c r="J9" s="11">
        <v>986819.64509923372</v>
      </c>
      <c r="K9" s="11">
        <v>3695137.3415182731</v>
      </c>
      <c r="L9" s="11">
        <v>71</v>
      </c>
      <c r="M9" s="11">
        <v>64584822.057532743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1698</v>
      </c>
      <c r="E10" s="11">
        <v>674473010.61376715</v>
      </c>
      <c r="F10" s="11">
        <v>395</v>
      </c>
      <c r="G10" s="11">
        <v>-4385759</v>
      </c>
      <c r="H10" s="11">
        <v>21</v>
      </c>
      <c r="I10" s="11">
        <v>33081819</v>
      </c>
      <c r="J10" s="11">
        <v>339045.82357744401</v>
      </c>
      <c r="K10" s="11">
        <v>8886878.39349401</v>
      </c>
      <c r="L10" s="11">
        <v>2072</v>
      </c>
      <c r="M10" s="11">
        <v>661200373.22027314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467</v>
      </c>
      <c r="E11" s="11">
        <v>725355589.8596791</v>
      </c>
      <c r="F11" s="11">
        <v>85</v>
      </c>
      <c r="G11" s="11">
        <v>83347411.515967101</v>
      </c>
      <c r="H11" s="11">
        <v>42</v>
      </c>
      <c r="I11" s="11">
        <v>65799999</v>
      </c>
      <c r="J11" s="11">
        <v>1626012.4110247849</v>
      </c>
      <c r="K11" s="11">
        <v>85240245.171688989</v>
      </c>
      <c r="L11" s="11">
        <v>510</v>
      </c>
      <c r="M11" s="11">
        <v>723462756.2039572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66</v>
      </c>
      <c r="E12" s="11">
        <v>199884970.5561122</v>
      </c>
      <c r="F12" s="11">
        <v>15</v>
      </c>
      <c r="G12" s="11">
        <v>40909095</v>
      </c>
      <c r="H12" s="11">
        <v>4</v>
      </c>
      <c r="I12" s="11">
        <v>11263637</v>
      </c>
      <c r="J12" s="11">
        <v>3121843.6898055002</v>
      </c>
      <c r="K12" s="11">
        <v>15586287.727275601</v>
      </c>
      <c r="L12" s="11">
        <v>77</v>
      </c>
      <c r="M12" s="11">
        <v>225207777.82883659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2106</v>
      </c>
      <c r="E14" s="11">
        <v>268208059.54977161</v>
      </c>
      <c r="F14" s="11">
        <v>71</v>
      </c>
      <c r="G14" s="11">
        <v>19699988</v>
      </c>
      <c r="H14" s="11">
        <v>26</v>
      </c>
      <c r="I14" s="11">
        <v>4218181</v>
      </c>
      <c r="J14" s="11">
        <v>135660.67766922721</v>
      </c>
      <c r="K14" s="11">
        <v>4402495.0240701418</v>
      </c>
      <c r="L14" s="11">
        <v>2151</v>
      </c>
      <c r="M14" s="11">
        <v>283505552.5257014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1878</v>
      </c>
      <c r="E15" s="11">
        <v>215397647.12197289</v>
      </c>
      <c r="F15" s="11">
        <v>6</v>
      </c>
      <c r="G15" s="11">
        <v>3245454</v>
      </c>
      <c r="H15" s="11">
        <v>35</v>
      </c>
      <c r="I15" s="11">
        <v>3700002</v>
      </c>
      <c r="J15" s="11">
        <v>120178.8660245566</v>
      </c>
      <c r="K15" s="11">
        <v>5250101.3803929584</v>
      </c>
      <c r="L15" s="11">
        <v>1849</v>
      </c>
      <c r="M15" s="11">
        <v>213392999.74157989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8426.2499999999982</v>
      </c>
      <c r="E16" s="11">
        <v>4711717971.115262</v>
      </c>
      <c r="F16" s="11">
        <v>1473.49</v>
      </c>
      <c r="G16" s="11">
        <v>379825920.48403293</v>
      </c>
      <c r="H16" s="11">
        <v>547</v>
      </c>
      <c r="I16" s="11">
        <v>255295723</v>
      </c>
      <c r="J16" s="11">
        <v>554362.30518387805</v>
      </c>
      <c r="K16" s="11">
        <v>378488389.79480088</v>
      </c>
      <c r="L16" s="11">
        <v>9352.739999999998</v>
      </c>
      <c r="M16" s="11">
        <v>4713055501.8044939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1">
        <v>69600796.156262949</v>
      </c>
      <c r="F17" s="11">
        <v>0</v>
      </c>
      <c r="G17" s="11">
        <v>0</v>
      </c>
      <c r="H17" s="11">
        <v>0</v>
      </c>
      <c r="I17" s="11">
        <v>0</v>
      </c>
      <c r="J17" s="11">
        <v>12629390.38461538</v>
      </c>
      <c r="K17" s="11">
        <v>0</v>
      </c>
      <c r="L17" s="11">
        <v>7</v>
      </c>
      <c r="M17" s="11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5</v>
      </c>
      <c r="E18" s="11">
        <v>14854357</v>
      </c>
      <c r="F18" s="11">
        <v>2</v>
      </c>
      <c r="G18" s="11">
        <v>6727272</v>
      </c>
      <c r="H18" s="11">
        <v>0</v>
      </c>
      <c r="I18" s="11">
        <v>0</v>
      </c>
      <c r="J18" s="11">
        <v>3083089.8571428568</v>
      </c>
      <c r="K18" s="11">
        <v>0</v>
      </c>
      <c r="L18" s="11">
        <v>7</v>
      </c>
      <c r="M18" s="11">
        <v>21581629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249</v>
      </c>
      <c r="E19" s="11">
        <v>945905136.37221026</v>
      </c>
      <c r="F19" s="11">
        <v>11</v>
      </c>
      <c r="G19" s="11">
        <v>156428181</v>
      </c>
      <c r="H19" s="11">
        <v>13</v>
      </c>
      <c r="I19" s="11">
        <v>86463637</v>
      </c>
      <c r="J19" s="11">
        <v>4333437.7076105634</v>
      </c>
      <c r="K19" s="11">
        <v>70314914.655630559</v>
      </c>
      <c r="L19" s="11">
        <v>247</v>
      </c>
      <c r="M19" s="11">
        <v>1032018402.71658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37</v>
      </c>
      <c r="E20" s="11">
        <v>385641555.18460852</v>
      </c>
      <c r="F20" s="11">
        <v>0</v>
      </c>
      <c r="G20" s="11">
        <v>0</v>
      </c>
      <c r="H20" s="11">
        <v>0</v>
      </c>
      <c r="I20" s="11">
        <v>0</v>
      </c>
      <c r="J20" s="11">
        <v>10493914.007276511</v>
      </c>
      <c r="K20" s="11">
        <v>0</v>
      </c>
      <c r="L20" s="11">
        <v>37</v>
      </c>
      <c r="M20" s="11">
        <v>385641555.18460852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21</v>
      </c>
      <c r="E21" s="11">
        <v>179042203.6783317</v>
      </c>
      <c r="F21" s="11">
        <v>0</v>
      </c>
      <c r="G21" s="11">
        <v>0</v>
      </c>
      <c r="H21" s="11">
        <v>1</v>
      </c>
      <c r="I21" s="11">
        <v>14545455</v>
      </c>
      <c r="J21" s="11">
        <v>10214475.575468419</v>
      </c>
      <c r="K21" s="11">
        <v>12749337.500654841</v>
      </c>
      <c r="L21" s="11">
        <v>20</v>
      </c>
      <c r="M21" s="11">
        <v>166292866.1776768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12</v>
      </c>
      <c r="E22" s="11">
        <v>143322238.6272206</v>
      </c>
      <c r="F22" s="11">
        <v>0</v>
      </c>
      <c r="G22" s="11">
        <v>0</v>
      </c>
      <c r="H22" s="11">
        <v>0</v>
      </c>
      <c r="I22" s="11">
        <v>0</v>
      </c>
      <c r="J22" s="11">
        <v>13320923.882352941</v>
      </c>
      <c r="K22" s="11">
        <v>0</v>
      </c>
      <c r="L22" s="11">
        <v>12</v>
      </c>
      <c r="M22" s="11">
        <v>143322238.6272206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19</v>
      </c>
      <c r="E23" s="11">
        <v>210995787.54014009</v>
      </c>
      <c r="F23" s="11">
        <v>5</v>
      </c>
      <c r="G23" s="11">
        <v>71818182</v>
      </c>
      <c r="H23" s="11">
        <v>1</v>
      </c>
      <c r="I23" s="11">
        <v>18000000</v>
      </c>
      <c r="J23" s="11">
        <v>13176843.005233269</v>
      </c>
      <c r="K23" s="11">
        <v>16446856.955664899</v>
      </c>
      <c r="L23" s="11">
        <v>23</v>
      </c>
      <c r="M23" s="11">
        <v>266367112.58447519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132</v>
      </c>
      <c r="E24" s="11">
        <v>864323837.4392519</v>
      </c>
      <c r="F24" s="11">
        <v>0</v>
      </c>
      <c r="G24" s="11">
        <v>0</v>
      </c>
      <c r="H24" s="11">
        <v>3</v>
      </c>
      <c r="I24" s="11">
        <v>46636364</v>
      </c>
      <c r="J24" s="11">
        <v>6798197.8796630707</v>
      </c>
      <c r="K24" s="11">
        <v>25455791.202502139</v>
      </c>
      <c r="L24" s="11">
        <v>129</v>
      </c>
      <c r="M24" s="11">
        <v>838868046.23674977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1</v>
      </c>
      <c r="E25" s="11">
        <v>15871570</v>
      </c>
      <c r="F25" s="11">
        <v>1</v>
      </c>
      <c r="G25" s="11">
        <v>29283636</v>
      </c>
      <c r="H25" s="11">
        <v>0</v>
      </c>
      <c r="I25" s="11">
        <v>0</v>
      </c>
      <c r="J25" s="11">
        <v>22577603</v>
      </c>
      <c r="K25" s="11">
        <v>0</v>
      </c>
      <c r="L25" s="11">
        <v>2</v>
      </c>
      <c r="M25" s="11">
        <v>45155206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9</v>
      </c>
      <c r="E26" s="11">
        <v>70635093.208144695</v>
      </c>
      <c r="F26" s="11">
        <v>0</v>
      </c>
      <c r="G26" s="11">
        <v>0</v>
      </c>
      <c r="H26" s="11">
        <v>0</v>
      </c>
      <c r="I26" s="11">
        <v>0</v>
      </c>
      <c r="J26" s="11">
        <v>14855041.62142857</v>
      </c>
      <c r="K26" s="11">
        <v>0</v>
      </c>
      <c r="L26" s="11">
        <v>9</v>
      </c>
      <c r="M26" s="11">
        <v>70635093.208144695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0</v>
      </c>
      <c r="G27" s="11">
        <v>0</v>
      </c>
      <c r="H27" s="11">
        <v>0</v>
      </c>
      <c r="I27" s="11">
        <v>0</v>
      </c>
      <c r="J27" s="11">
        <v>15806114.5</v>
      </c>
      <c r="K27" s="11">
        <v>0</v>
      </c>
      <c r="L27" s="11">
        <v>2</v>
      </c>
      <c r="M27" s="11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12</v>
      </c>
      <c r="E28" s="11">
        <v>91534934</v>
      </c>
      <c r="F28" s="11">
        <v>1</v>
      </c>
      <c r="G28" s="11">
        <v>12272727</v>
      </c>
      <c r="H28" s="11">
        <v>0</v>
      </c>
      <c r="I28" s="11">
        <v>0</v>
      </c>
      <c r="J28" s="11">
        <v>7985204.692307692</v>
      </c>
      <c r="K28" s="11">
        <v>0</v>
      </c>
      <c r="L28" s="11">
        <v>13</v>
      </c>
      <c r="M28" s="11">
        <v>103807661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51</v>
      </c>
      <c r="E29" s="11">
        <v>324686017.95084822</v>
      </c>
      <c r="F29" s="11">
        <v>25</v>
      </c>
      <c r="G29" s="11">
        <v>103454546</v>
      </c>
      <c r="H29" s="11">
        <v>4</v>
      </c>
      <c r="I29" s="11">
        <v>44718182</v>
      </c>
      <c r="J29" s="11">
        <v>5761831.609615094</v>
      </c>
      <c r="K29" s="11">
        <v>28766835.95557199</v>
      </c>
      <c r="L29" s="11">
        <v>72</v>
      </c>
      <c r="M29" s="11">
        <v>399373727.99527621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88</v>
      </c>
      <c r="E30" s="11">
        <v>838566177.67803168</v>
      </c>
      <c r="F30" s="11">
        <v>42</v>
      </c>
      <c r="G30" s="11">
        <v>412194543</v>
      </c>
      <c r="H30" s="11">
        <v>25</v>
      </c>
      <c r="I30" s="11">
        <v>211454547</v>
      </c>
      <c r="J30" s="11">
        <v>9788733.4544621017</v>
      </c>
      <c r="K30" s="11">
        <v>305448541.12386781</v>
      </c>
      <c r="L30" s="11">
        <v>105</v>
      </c>
      <c r="M30" s="11">
        <v>945312179.55416393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182</v>
      </c>
      <c r="E31" s="11">
        <v>1383175677.168788</v>
      </c>
      <c r="F31" s="11">
        <v>2</v>
      </c>
      <c r="G31" s="11">
        <v>19620000</v>
      </c>
      <c r="H31" s="11">
        <v>3</v>
      </c>
      <c r="I31" s="11">
        <v>31472727</v>
      </c>
      <c r="J31" s="11">
        <v>8759903.4009073041</v>
      </c>
      <c r="K31" s="11">
        <v>32801379.99434587</v>
      </c>
      <c r="L31" s="11">
        <v>181</v>
      </c>
      <c r="M31" s="11">
        <v>1369994297.1744421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1">
        <v>101090592</v>
      </c>
      <c r="F33" s="11">
        <v>0</v>
      </c>
      <c r="G33" s="11">
        <v>0</v>
      </c>
      <c r="H33" s="11">
        <v>0</v>
      </c>
      <c r="I33" s="11">
        <v>0</v>
      </c>
      <c r="J33" s="11">
        <v>2150863.6595744682</v>
      </c>
      <c r="K33" s="11">
        <v>0</v>
      </c>
      <c r="L33" s="11">
        <v>47</v>
      </c>
      <c r="M33" s="11">
        <v>101090592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27</v>
      </c>
      <c r="E34" s="11">
        <v>430028191.83549672</v>
      </c>
      <c r="F34" s="11">
        <v>7</v>
      </c>
      <c r="G34" s="11">
        <v>118354545</v>
      </c>
      <c r="H34" s="11">
        <v>0</v>
      </c>
      <c r="I34" s="11">
        <v>0</v>
      </c>
      <c r="J34" s="11">
        <v>16864097.33093122</v>
      </c>
      <c r="K34" s="11">
        <v>0</v>
      </c>
      <c r="L34" s="11">
        <v>34</v>
      </c>
      <c r="M34" s="11">
        <v>548382736.83549666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18</v>
      </c>
      <c r="E35" s="11">
        <v>204229503</v>
      </c>
      <c r="F35" s="11">
        <v>0</v>
      </c>
      <c r="G35" s="11">
        <v>0</v>
      </c>
      <c r="H35" s="11">
        <v>3</v>
      </c>
      <c r="I35" s="11">
        <v>28181818</v>
      </c>
      <c r="J35" s="11">
        <v>11346083.5</v>
      </c>
      <c r="K35" s="11">
        <v>42485308.261793233</v>
      </c>
      <c r="L35" s="11">
        <v>15</v>
      </c>
      <c r="M35" s="11">
        <v>161744194.7382068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39</v>
      </c>
      <c r="E36" s="11">
        <v>238306933.77371079</v>
      </c>
      <c r="F36" s="11">
        <v>5</v>
      </c>
      <c r="G36" s="11">
        <v>26718184</v>
      </c>
      <c r="H36" s="11">
        <v>1</v>
      </c>
      <c r="I36" s="11">
        <v>6954545</v>
      </c>
      <c r="J36" s="11">
        <v>6751556.5155593008</v>
      </c>
      <c r="K36" s="11">
        <v>8427047.6771553084</v>
      </c>
      <c r="L36" s="11">
        <v>43</v>
      </c>
      <c r="M36" s="11">
        <v>256598070.09655541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110</v>
      </c>
      <c r="E37" s="11">
        <v>280433577.77991289</v>
      </c>
      <c r="F37" s="11">
        <v>3</v>
      </c>
      <c r="G37" s="11">
        <v>4445454</v>
      </c>
      <c r="H37" s="11">
        <v>1</v>
      </c>
      <c r="I37" s="11">
        <v>1481818</v>
      </c>
      <c r="J37" s="11">
        <v>2802040.9829446631</v>
      </c>
      <c r="K37" s="11">
        <v>3497405.8059353591</v>
      </c>
      <c r="L37" s="11">
        <v>112</v>
      </c>
      <c r="M37" s="11">
        <v>281381625.97397763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152</v>
      </c>
      <c r="E38" s="11">
        <v>638403613.55885577</v>
      </c>
      <c r="F38" s="11">
        <v>20</v>
      </c>
      <c r="G38" s="11">
        <v>40120686</v>
      </c>
      <c r="H38" s="11">
        <v>7</v>
      </c>
      <c r="I38" s="11">
        <v>32163637</v>
      </c>
      <c r="J38" s="11">
        <v>4166697.3473721491</v>
      </c>
      <c r="K38" s="11">
        <v>36405042.281973727</v>
      </c>
      <c r="L38" s="11">
        <v>165</v>
      </c>
      <c r="M38" s="11">
        <v>642119257.27688205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179</v>
      </c>
      <c r="E39" s="11">
        <v>905517452.17293406</v>
      </c>
      <c r="F39" s="11">
        <v>22</v>
      </c>
      <c r="G39" s="11">
        <v>116019201</v>
      </c>
      <c r="H39" s="11">
        <v>5</v>
      </c>
      <c r="I39" s="11">
        <v>29254544</v>
      </c>
      <c r="J39" s="11">
        <v>5207559.4023125358</v>
      </c>
      <c r="K39" s="11">
        <v>32499432.733601831</v>
      </c>
      <c r="L39" s="11">
        <v>196</v>
      </c>
      <c r="M39" s="11">
        <v>989037220.43933225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42</v>
      </c>
      <c r="E40" s="11">
        <v>155797387.03194731</v>
      </c>
      <c r="F40" s="11">
        <v>1</v>
      </c>
      <c r="G40" s="11">
        <v>5227273</v>
      </c>
      <c r="H40" s="11">
        <v>0</v>
      </c>
      <c r="I40" s="11">
        <v>0</v>
      </c>
      <c r="J40" s="11">
        <v>3771229.8998211101</v>
      </c>
      <c r="K40" s="11">
        <v>0</v>
      </c>
      <c r="L40" s="11">
        <v>43</v>
      </c>
      <c r="M40" s="11">
        <v>161024660.03194731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85</v>
      </c>
      <c r="E41" s="11">
        <v>312626912.51420212</v>
      </c>
      <c r="F41" s="11">
        <v>0</v>
      </c>
      <c r="G41" s="11">
        <v>0</v>
      </c>
      <c r="H41" s="11">
        <v>2</v>
      </c>
      <c r="I41" s="11">
        <v>8581819</v>
      </c>
      <c r="J41" s="11">
        <v>3933408.9022580208</v>
      </c>
      <c r="K41" s="11">
        <v>9819076.3201600946</v>
      </c>
      <c r="L41" s="11">
        <v>83</v>
      </c>
      <c r="M41" s="11">
        <v>302807836.19404203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445</v>
      </c>
      <c r="E42" s="11">
        <v>995038712.92464757</v>
      </c>
      <c r="F42" s="11">
        <v>1</v>
      </c>
      <c r="G42" s="11">
        <v>3254545</v>
      </c>
      <c r="H42" s="11">
        <v>22</v>
      </c>
      <c r="I42" s="11">
        <v>52718182</v>
      </c>
      <c r="J42" s="11">
        <v>2595425.8613489252</v>
      </c>
      <c r="K42" s="11">
        <v>71269358.904943258</v>
      </c>
      <c r="L42" s="11">
        <v>424</v>
      </c>
      <c r="M42" s="11">
        <v>927023899.01970434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541</v>
      </c>
      <c r="E43" s="11">
        <v>1155475229.999563</v>
      </c>
      <c r="F43" s="11">
        <v>44</v>
      </c>
      <c r="G43" s="11">
        <v>30179799</v>
      </c>
      <c r="H43" s="11">
        <v>38</v>
      </c>
      <c r="I43" s="11">
        <v>94754412</v>
      </c>
      <c r="J43" s="11">
        <v>2174525.5384953381</v>
      </c>
      <c r="K43" s="11">
        <v>103138224.96230879</v>
      </c>
      <c r="L43" s="11">
        <v>547</v>
      </c>
      <c r="M43" s="11">
        <v>1082516804.0372541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18</v>
      </c>
      <c r="E45" s="11">
        <v>103948020.19223709</v>
      </c>
      <c r="F45" s="11">
        <v>0</v>
      </c>
      <c r="G45" s="11">
        <v>0</v>
      </c>
      <c r="H45" s="11">
        <v>0</v>
      </c>
      <c r="I45" s="11">
        <v>0</v>
      </c>
      <c r="J45" s="11">
        <v>6023826.5281207142</v>
      </c>
      <c r="K45" s="11">
        <v>0</v>
      </c>
      <c r="L45" s="11">
        <v>18</v>
      </c>
      <c r="M45" s="11">
        <v>103948020.19223709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17</v>
      </c>
      <c r="E46" s="11">
        <v>83490375.194665506</v>
      </c>
      <c r="F46" s="11">
        <v>0</v>
      </c>
      <c r="G46" s="11">
        <v>0</v>
      </c>
      <c r="H46" s="11">
        <v>0</v>
      </c>
      <c r="I46" s="11">
        <v>0</v>
      </c>
      <c r="J46" s="11">
        <v>5517029.8806578945</v>
      </c>
      <c r="K46" s="11">
        <v>0</v>
      </c>
      <c r="L46" s="11">
        <v>17</v>
      </c>
      <c r="M46" s="11">
        <v>83490375.194665506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14</v>
      </c>
      <c r="E47" s="11">
        <v>10934317.66637411</v>
      </c>
      <c r="F47" s="11">
        <v>0</v>
      </c>
      <c r="G47" s="11">
        <v>0</v>
      </c>
      <c r="H47" s="11">
        <v>0</v>
      </c>
      <c r="I47" s="11">
        <v>0</v>
      </c>
      <c r="J47" s="11">
        <v>840626.38888888888</v>
      </c>
      <c r="K47" s="11">
        <v>0</v>
      </c>
      <c r="L47" s="11">
        <v>14</v>
      </c>
      <c r="M47" s="11">
        <v>10934317.66637411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142</v>
      </c>
      <c r="E48" s="11">
        <v>53741822.707677767</v>
      </c>
      <c r="F48" s="11">
        <v>0</v>
      </c>
      <c r="G48" s="11">
        <v>0</v>
      </c>
      <c r="H48" s="11">
        <v>0</v>
      </c>
      <c r="I48" s="11">
        <v>0</v>
      </c>
      <c r="J48" s="11">
        <v>408397.24682614743</v>
      </c>
      <c r="K48" s="11">
        <v>0</v>
      </c>
      <c r="L48" s="11">
        <v>142</v>
      </c>
      <c r="M48" s="11">
        <v>53741822.707677767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1">
        <v>151440016.47638991</v>
      </c>
      <c r="F49" s="11">
        <v>1</v>
      </c>
      <c r="G49" s="11">
        <v>8000000</v>
      </c>
      <c r="H49" s="11">
        <v>2</v>
      </c>
      <c r="I49" s="11">
        <v>18172727</v>
      </c>
      <c r="J49" s="11">
        <v>7426876.4609457403</v>
      </c>
      <c r="K49" s="11">
        <v>18539915.020928338</v>
      </c>
      <c r="L49" s="11">
        <v>22</v>
      </c>
      <c r="M49" s="11">
        <v>140900101.4554615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0</v>
      </c>
      <c r="G50" s="11">
        <v>0</v>
      </c>
      <c r="H50" s="11">
        <v>0</v>
      </c>
      <c r="I50" s="11">
        <v>0</v>
      </c>
      <c r="J50" s="11">
        <v>468825.5</v>
      </c>
      <c r="K50" s="11">
        <v>0</v>
      </c>
      <c r="L50" s="11">
        <v>2</v>
      </c>
      <c r="M50" s="11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629</v>
      </c>
      <c r="E51" s="11">
        <v>201766583.41900119</v>
      </c>
      <c r="F51" s="11">
        <v>220</v>
      </c>
      <c r="G51" s="11">
        <v>58727309</v>
      </c>
      <c r="H51" s="11">
        <v>6</v>
      </c>
      <c r="I51" s="11">
        <v>3818181</v>
      </c>
      <c r="J51" s="11">
        <v>310826.52541586373</v>
      </c>
      <c r="K51" s="11">
        <v>2327774.2929064599</v>
      </c>
      <c r="L51" s="11">
        <v>843</v>
      </c>
      <c r="M51" s="11">
        <v>258166118.1260947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28</v>
      </c>
      <c r="E52" s="11">
        <v>18359954.06362132</v>
      </c>
      <c r="F52" s="11">
        <v>6</v>
      </c>
      <c r="G52" s="11">
        <v>3690909</v>
      </c>
      <c r="H52" s="11">
        <v>2</v>
      </c>
      <c r="I52" s="11">
        <v>2636364</v>
      </c>
      <c r="J52" s="11">
        <v>684703.40735294134</v>
      </c>
      <c r="K52" s="11">
        <v>1709243.859597889</v>
      </c>
      <c r="L52" s="11">
        <v>32</v>
      </c>
      <c r="M52" s="11">
        <v>20341619.204023439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121</v>
      </c>
      <c r="E53" s="11">
        <v>81652021.568912461</v>
      </c>
      <c r="F53" s="11">
        <v>0</v>
      </c>
      <c r="G53" s="11">
        <v>0</v>
      </c>
      <c r="H53" s="11">
        <v>20</v>
      </c>
      <c r="I53" s="11">
        <v>5860000</v>
      </c>
      <c r="J53" s="11">
        <v>685780.0173858268</v>
      </c>
      <c r="K53" s="11">
        <v>17119314.30695286</v>
      </c>
      <c r="L53" s="11">
        <v>101</v>
      </c>
      <c r="M53" s="11">
        <v>64532707.261959597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95</v>
      </c>
      <c r="E54" s="11">
        <v>78715410.01948151</v>
      </c>
      <c r="F54" s="11">
        <v>0</v>
      </c>
      <c r="G54" s="11">
        <v>0</v>
      </c>
      <c r="H54" s="11">
        <v>4</v>
      </c>
      <c r="I54" s="11">
        <v>4072727</v>
      </c>
      <c r="J54" s="11">
        <v>912554.01271406503</v>
      </c>
      <c r="K54" s="11">
        <v>4556067.1263869377</v>
      </c>
      <c r="L54" s="11">
        <v>91</v>
      </c>
      <c r="M54" s="11">
        <v>74159342.893094569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13</v>
      </c>
      <c r="E55" s="11">
        <v>41548337.295608766</v>
      </c>
      <c r="F55" s="11">
        <v>8</v>
      </c>
      <c r="G55" s="11">
        <v>23546907</v>
      </c>
      <c r="H55" s="11">
        <v>1</v>
      </c>
      <c r="I55" s="11">
        <v>4772727</v>
      </c>
      <c r="J55" s="11">
        <v>3138277.0068027209</v>
      </c>
      <c r="K55" s="11">
        <v>3917083.4013608131</v>
      </c>
      <c r="L55" s="11">
        <v>20</v>
      </c>
      <c r="M55" s="11">
        <v>61178160.894247957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211</v>
      </c>
      <c r="E56" s="11">
        <v>53473031.742657788</v>
      </c>
      <c r="F56" s="11">
        <v>11</v>
      </c>
      <c r="G56" s="11">
        <v>2863639</v>
      </c>
      <c r="H56" s="11">
        <v>2</v>
      </c>
      <c r="I56" s="11">
        <v>3063637</v>
      </c>
      <c r="J56" s="11">
        <v>256320.54751822769</v>
      </c>
      <c r="K56" s="11">
        <v>639859.99956980895</v>
      </c>
      <c r="L56" s="11">
        <v>220</v>
      </c>
      <c r="M56" s="11">
        <v>55696810.743087977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3458</v>
      </c>
      <c r="E57" s="11">
        <v>256235524.36197159</v>
      </c>
      <c r="F57" s="11">
        <v>253</v>
      </c>
      <c r="G57" s="11">
        <v>9759671</v>
      </c>
      <c r="H57" s="11">
        <v>72</v>
      </c>
      <c r="I57" s="11">
        <v>12843638</v>
      </c>
      <c r="J57" s="11">
        <v>72841.443441235591</v>
      </c>
      <c r="K57" s="11">
        <v>6546099.2149438094</v>
      </c>
      <c r="L57" s="11">
        <v>3639</v>
      </c>
      <c r="M57" s="11">
        <v>259449096.14702779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23</v>
      </c>
      <c r="E58" s="11">
        <v>4595011.9001273764</v>
      </c>
      <c r="F58" s="11">
        <v>0</v>
      </c>
      <c r="G58" s="11">
        <v>0</v>
      </c>
      <c r="H58" s="11">
        <v>2</v>
      </c>
      <c r="I58" s="11">
        <v>2200000</v>
      </c>
      <c r="J58" s="11">
        <v>206466.26923076919</v>
      </c>
      <c r="K58" s="11">
        <v>515407.39991508232</v>
      </c>
      <c r="L58" s="11">
        <v>21</v>
      </c>
      <c r="M58" s="11">
        <v>4079604.500212294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25843.25</v>
      </c>
      <c r="E59" s="14">
        <f t="shared" si="0"/>
        <v>20135682474.368324</v>
      </c>
      <c r="F59" s="14">
        <f t="shared" si="0"/>
        <v>2828.49</v>
      </c>
      <c r="G59" s="14">
        <f t="shared" si="0"/>
        <v>1812197510</v>
      </c>
      <c r="H59" s="14">
        <f t="shared" si="0"/>
        <v>950</v>
      </c>
      <c r="I59" s="14">
        <f t="shared" si="0"/>
        <v>1158949228</v>
      </c>
      <c r="J59" s="14">
        <f t="shared" si="0"/>
        <v>283313494.44976741</v>
      </c>
      <c r="K59" s="14">
        <f t="shared" si="0"/>
        <v>1373828600.7458143</v>
      </c>
      <c r="L59" s="14">
        <f t="shared" si="0"/>
        <v>27721.739999999998</v>
      </c>
      <c r="M59" s="14">
        <f t="shared" si="0"/>
        <v>20574051383.622509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topLeftCell="A58" workbookViewId="0">
      <selection activeCell="D1" sqref="D1:M1048576"/>
    </sheetView>
  </sheetViews>
  <sheetFormatPr defaultColWidth="14.42578125" defaultRowHeight="15" customHeight="1" x14ac:dyDescent="0.25"/>
  <cols>
    <col min="1" max="3" width="8.7109375" customWidth="1"/>
    <col min="4" max="4" width="10.5703125" bestFit="1" customWidth="1"/>
    <col min="5" max="5" width="13.85546875" bestFit="1" customWidth="1"/>
    <col min="6" max="6" width="8" bestFit="1" customWidth="1"/>
    <col min="7" max="7" width="12.7109375" bestFit="1" customWidth="1"/>
    <col min="8" max="8" width="7.28515625" bestFit="1" customWidth="1"/>
    <col min="9" max="9" width="12.7109375" bestFit="1" customWidth="1"/>
    <col min="10" max="10" width="19" bestFit="1" customWidth="1"/>
    <col min="11" max="11" width="18.140625" bestFit="1" customWidth="1"/>
    <col min="12" max="12" width="11" bestFit="1" customWidth="1"/>
    <col min="13" max="13" width="13.85546875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615</v>
      </c>
      <c r="E2" s="11">
        <v>270021545.0159691</v>
      </c>
      <c r="F2" s="11">
        <v>35</v>
      </c>
      <c r="G2" s="11">
        <v>13227273</v>
      </c>
      <c r="H2" s="11">
        <v>0</v>
      </c>
      <c r="I2" s="11">
        <v>0</v>
      </c>
      <c r="J2" s="11">
        <v>466478.80145815242</v>
      </c>
      <c r="K2" s="11">
        <v>0</v>
      </c>
      <c r="L2" s="11">
        <v>650</v>
      </c>
      <c r="M2" s="11">
        <v>283248818.0159691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186</v>
      </c>
      <c r="E3" s="11">
        <v>188180010.8541584</v>
      </c>
      <c r="F3" s="11">
        <v>6</v>
      </c>
      <c r="G3" s="11">
        <v>5218180</v>
      </c>
      <c r="H3" s="11">
        <v>13</v>
      </c>
      <c r="I3" s="11">
        <v>13700001</v>
      </c>
      <c r="J3" s="11">
        <v>1082810.9425204101</v>
      </c>
      <c r="K3" s="11">
        <v>17569828.886149488</v>
      </c>
      <c r="L3" s="11">
        <v>179</v>
      </c>
      <c r="M3" s="11">
        <v>175828361.96800891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626</v>
      </c>
      <c r="E4" s="11">
        <v>271220546.32290751</v>
      </c>
      <c r="F4" s="11">
        <v>0</v>
      </c>
      <c r="G4" s="11">
        <v>0</v>
      </c>
      <c r="H4" s="11">
        <v>0</v>
      </c>
      <c r="I4" s="11">
        <v>0</v>
      </c>
      <c r="J4" s="11">
        <v>436722.55738559598</v>
      </c>
      <c r="K4" s="11">
        <v>0</v>
      </c>
      <c r="L4" s="11">
        <v>626</v>
      </c>
      <c r="M4" s="11">
        <v>271220546.32290751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1138</v>
      </c>
      <c r="E5" s="11">
        <v>159159397.59457099</v>
      </c>
      <c r="F5" s="11">
        <v>53</v>
      </c>
      <c r="G5" s="11">
        <v>6538182</v>
      </c>
      <c r="H5" s="11">
        <v>4</v>
      </c>
      <c r="I5" s="11">
        <v>781818</v>
      </c>
      <c r="J5" s="11">
        <v>141592.0565392545</v>
      </c>
      <c r="K5" s="11">
        <v>706920.2536706737</v>
      </c>
      <c r="L5" s="11">
        <v>1187</v>
      </c>
      <c r="M5" s="11">
        <v>164990659.3409003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67</v>
      </c>
      <c r="E6" s="11">
        <v>21746843.50183101</v>
      </c>
      <c r="F6" s="11">
        <v>4</v>
      </c>
      <c r="G6" s="11">
        <v>618182</v>
      </c>
      <c r="H6" s="11">
        <v>0</v>
      </c>
      <c r="I6" s="11">
        <v>0</v>
      </c>
      <c r="J6" s="11">
        <v>319760.92602397472</v>
      </c>
      <c r="K6" s="11">
        <v>0</v>
      </c>
      <c r="L6" s="11">
        <v>71</v>
      </c>
      <c r="M6" s="11">
        <v>22365025.50183101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0</v>
      </c>
      <c r="G7" s="11">
        <v>0</v>
      </c>
      <c r="H7" s="11">
        <v>0</v>
      </c>
      <c r="I7" s="11">
        <v>0</v>
      </c>
      <c r="J7" s="11">
        <v>29563.142857142859</v>
      </c>
      <c r="K7" s="11">
        <v>0</v>
      </c>
      <c r="L7" s="11">
        <v>7</v>
      </c>
      <c r="M7" s="11">
        <v>206942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1230</v>
      </c>
      <c r="E8" s="11">
        <v>162049890.99121979</v>
      </c>
      <c r="F8" s="11">
        <v>100</v>
      </c>
      <c r="G8" s="11">
        <v>11454500</v>
      </c>
      <c r="H8" s="11">
        <v>20</v>
      </c>
      <c r="I8" s="11">
        <v>2918181</v>
      </c>
      <c r="J8" s="11">
        <v>136141.1097233058</v>
      </c>
      <c r="K8" s="11">
        <v>3398527.79078482</v>
      </c>
      <c r="L8" s="11">
        <v>1310</v>
      </c>
      <c r="M8" s="11">
        <v>170105863.20043501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71</v>
      </c>
      <c r="E9" s="11">
        <v>64584822.057532743</v>
      </c>
      <c r="F9" s="11">
        <v>0</v>
      </c>
      <c r="G9" s="11">
        <v>0</v>
      </c>
      <c r="H9" s="11">
        <v>0</v>
      </c>
      <c r="I9" s="11">
        <v>0</v>
      </c>
      <c r="J9" s="11">
        <v>986819.64509923384</v>
      </c>
      <c r="K9" s="11">
        <v>0</v>
      </c>
      <c r="L9" s="11">
        <v>71</v>
      </c>
      <c r="M9" s="11">
        <v>64584822.057532743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2072</v>
      </c>
      <c r="E10" s="11">
        <v>661200373.22027314</v>
      </c>
      <c r="F10" s="11">
        <v>360</v>
      </c>
      <c r="G10" s="11">
        <v>106792715.009471</v>
      </c>
      <c r="H10" s="11">
        <v>23</v>
      </c>
      <c r="I10" s="11">
        <v>41483669</v>
      </c>
      <c r="J10" s="11">
        <v>332769.59764059819</v>
      </c>
      <c r="K10" s="11">
        <v>9553071.3461908232</v>
      </c>
      <c r="L10" s="11">
        <v>2409</v>
      </c>
      <c r="M10" s="11">
        <v>758440016.88355327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510</v>
      </c>
      <c r="E11" s="11">
        <v>723462756.2039572</v>
      </c>
      <c r="F11" s="11">
        <v>15</v>
      </c>
      <c r="G11" s="11">
        <v>28260439.990529031</v>
      </c>
      <c r="H11" s="11">
        <v>34</v>
      </c>
      <c r="I11" s="11">
        <v>60745453</v>
      </c>
      <c r="J11" s="11">
        <v>1633384.323072704</v>
      </c>
      <c r="K11" s="11">
        <v>69316853.995613739</v>
      </c>
      <c r="L11" s="11">
        <v>491</v>
      </c>
      <c r="M11" s="11">
        <v>682406342.19887257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77</v>
      </c>
      <c r="E12" s="11">
        <v>225207777.82883659</v>
      </c>
      <c r="F12" s="11">
        <v>22</v>
      </c>
      <c r="G12" s="11">
        <v>48545453</v>
      </c>
      <c r="H12" s="11">
        <v>10</v>
      </c>
      <c r="I12" s="11">
        <v>20909091</v>
      </c>
      <c r="J12" s="11">
        <v>2918458.7587376111</v>
      </c>
      <c r="K12" s="11">
        <v>36427142.462653257</v>
      </c>
      <c r="L12" s="11">
        <v>89</v>
      </c>
      <c r="M12" s="11">
        <v>237326088.36618331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2151</v>
      </c>
      <c r="E14" s="11">
        <v>283505552.5257014</v>
      </c>
      <c r="F14" s="11">
        <v>325</v>
      </c>
      <c r="G14" s="11">
        <v>21649954</v>
      </c>
      <c r="H14" s="11">
        <v>45</v>
      </c>
      <c r="I14" s="11">
        <v>6895455</v>
      </c>
      <c r="J14" s="11">
        <v>126597.7672320305</v>
      </c>
      <c r="K14" s="11">
        <v>7110663.1192704896</v>
      </c>
      <c r="L14" s="11">
        <v>2431</v>
      </c>
      <c r="M14" s="11">
        <v>298044843.4064309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1849</v>
      </c>
      <c r="E15" s="11">
        <v>213392999.74157989</v>
      </c>
      <c r="F15" s="11">
        <v>0</v>
      </c>
      <c r="G15" s="11">
        <v>0</v>
      </c>
      <c r="H15" s="11">
        <v>52</v>
      </c>
      <c r="I15" s="11">
        <v>7100000</v>
      </c>
      <c r="J15" s="11">
        <v>120178.8660245566</v>
      </c>
      <c r="K15" s="11">
        <v>7800150.6222981084</v>
      </c>
      <c r="L15" s="11">
        <v>1797</v>
      </c>
      <c r="M15" s="11">
        <v>205592849.1192818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9352.739999999998</v>
      </c>
      <c r="E16" s="11">
        <v>4713055501.8044939</v>
      </c>
      <c r="F16" s="11">
        <v>561.51</v>
      </c>
      <c r="G16" s="11">
        <v>318270024</v>
      </c>
      <c r="H16" s="11">
        <v>259</v>
      </c>
      <c r="I16" s="11">
        <v>402571956</v>
      </c>
      <c r="J16" s="11">
        <v>555067.35559275432</v>
      </c>
      <c r="K16" s="11">
        <v>179439063.60521939</v>
      </c>
      <c r="L16" s="11">
        <v>9655.2499999999982</v>
      </c>
      <c r="M16" s="11">
        <v>4851886462.1992741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1">
        <v>69600796.156262949</v>
      </c>
      <c r="F17" s="11">
        <v>0</v>
      </c>
      <c r="G17" s="11">
        <v>0</v>
      </c>
      <c r="H17" s="11">
        <v>0</v>
      </c>
      <c r="I17" s="11">
        <v>0</v>
      </c>
      <c r="J17" s="11">
        <v>12629390.38461538</v>
      </c>
      <c r="K17" s="11">
        <v>0</v>
      </c>
      <c r="L17" s="11">
        <v>7</v>
      </c>
      <c r="M17" s="11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7</v>
      </c>
      <c r="E18" s="11">
        <v>21581629</v>
      </c>
      <c r="F18" s="11">
        <v>0</v>
      </c>
      <c r="G18" s="11">
        <v>0</v>
      </c>
      <c r="H18" s="11">
        <v>0</v>
      </c>
      <c r="I18" s="11">
        <v>0</v>
      </c>
      <c r="J18" s="11">
        <v>3083089.8571428568</v>
      </c>
      <c r="K18" s="11">
        <v>0</v>
      </c>
      <c r="L18" s="11">
        <v>7</v>
      </c>
      <c r="M18" s="11">
        <v>21581629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247</v>
      </c>
      <c r="E19" s="11">
        <v>1032018402.71658</v>
      </c>
      <c r="F19" s="11">
        <v>1</v>
      </c>
      <c r="G19" s="11">
        <v>19727273</v>
      </c>
      <c r="H19" s="11">
        <v>10</v>
      </c>
      <c r="I19" s="11">
        <v>42900000</v>
      </c>
      <c r="J19" s="11">
        <v>4395509.6241121329</v>
      </c>
      <c r="K19" s="11">
        <v>54863155.010884851</v>
      </c>
      <c r="L19" s="11">
        <v>238</v>
      </c>
      <c r="M19" s="11">
        <v>996882520.70569479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37</v>
      </c>
      <c r="E20" s="11">
        <v>385641555.18460852</v>
      </c>
      <c r="F20" s="11">
        <v>0</v>
      </c>
      <c r="G20" s="11">
        <v>0</v>
      </c>
      <c r="H20" s="11">
        <v>0</v>
      </c>
      <c r="I20" s="11">
        <v>0</v>
      </c>
      <c r="J20" s="11">
        <v>10493914.007276511</v>
      </c>
      <c r="K20" s="11">
        <v>0</v>
      </c>
      <c r="L20" s="11">
        <v>37</v>
      </c>
      <c r="M20" s="11">
        <v>385641555.18460852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20</v>
      </c>
      <c r="E21" s="11">
        <v>166292866.1776768</v>
      </c>
      <c r="F21" s="11">
        <v>0</v>
      </c>
      <c r="G21" s="11">
        <v>0</v>
      </c>
      <c r="H21" s="11">
        <v>0</v>
      </c>
      <c r="I21" s="11">
        <v>0</v>
      </c>
      <c r="J21" s="11">
        <v>10214475.575468419</v>
      </c>
      <c r="K21" s="11">
        <v>0</v>
      </c>
      <c r="L21" s="11">
        <v>20</v>
      </c>
      <c r="M21" s="11">
        <v>166292866.1776768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12</v>
      </c>
      <c r="E22" s="11">
        <v>143322238.6272206</v>
      </c>
      <c r="F22" s="11">
        <v>0</v>
      </c>
      <c r="G22" s="11">
        <v>0</v>
      </c>
      <c r="H22" s="11">
        <v>1</v>
      </c>
      <c r="I22" s="11">
        <v>12272727</v>
      </c>
      <c r="J22" s="11">
        <v>13320923.882352941</v>
      </c>
      <c r="K22" s="11">
        <v>16626693.474555871</v>
      </c>
      <c r="L22" s="11">
        <v>11</v>
      </c>
      <c r="M22" s="11">
        <v>126695545.1526648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23</v>
      </c>
      <c r="E23" s="11">
        <v>266367112.58447519</v>
      </c>
      <c r="F23" s="11">
        <v>1</v>
      </c>
      <c r="G23" s="11">
        <v>10545455</v>
      </c>
      <c r="H23" s="11">
        <v>0</v>
      </c>
      <c r="I23" s="11">
        <v>0</v>
      </c>
      <c r="J23" s="11">
        <v>13067201.838348551</v>
      </c>
      <c r="K23" s="11">
        <v>0</v>
      </c>
      <c r="L23" s="11">
        <v>24</v>
      </c>
      <c r="M23" s="11">
        <v>276912567.58447528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129</v>
      </c>
      <c r="E24" s="11">
        <v>838868046.23674977</v>
      </c>
      <c r="F24" s="11">
        <v>0</v>
      </c>
      <c r="G24" s="11">
        <v>0</v>
      </c>
      <c r="H24" s="11">
        <v>1</v>
      </c>
      <c r="I24" s="11">
        <v>14263636</v>
      </c>
      <c r="J24" s="11">
        <v>6798197.8796630707</v>
      </c>
      <c r="K24" s="11">
        <v>8485263.7341673803</v>
      </c>
      <c r="L24" s="11">
        <v>128</v>
      </c>
      <c r="M24" s="11">
        <v>830382782.50258243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2</v>
      </c>
      <c r="E25" s="11">
        <v>45155206</v>
      </c>
      <c r="F25" s="11">
        <v>0</v>
      </c>
      <c r="G25" s="11">
        <v>0</v>
      </c>
      <c r="H25" s="11">
        <v>0</v>
      </c>
      <c r="I25" s="11">
        <v>0</v>
      </c>
      <c r="J25" s="11">
        <v>22577603</v>
      </c>
      <c r="K25" s="11">
        <v>0</v>
      </c>
      <c r="L25" s="11">
        <v>2</v>
      </c>
      <c r="M25" s="11">
        <v>45155206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9</v>
      </c>
      <c r="E26" s="11">
        <v>70635093.208144695</v>
      </c>
      <c r="F26" s="11">
        <v>8</v>
      </c>
      <c r="G26" s="11">
        <v>117490909</v>
      </c>
      <c r="H26" s="11">
        <v>1</v>
      </c>
      <c r="I26" s="11">
        <v>15627273</v>
      </c>
      <c r="J26" s="11">
        <v>14775663.740756299</v>
      </c>
      <c r="K26" s="11">
        <v>18442446.940644979</v>
      </c>
      <c r="L26" s="11">
        <v>16</v>
      </c>
      <c r="M26" s="11">
        <v>169683555.26749969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0</v>
      </c>
      <c r="G27" s="11">
        <v>0</v>
      </c>
      <c r="H27" s="11">
        <v>0</v>
      </c>
      <c r="I27" s="11">
        <v>0</v>
      </c>
      <c r="J27" s="11">
        <v>15806114.5</v>
      </c>
      <c r="K27" s="11">
        <v>0</v>
      </c>
      <c r="L27" s="11">
        <v>2</v>
      </c>
      <c r="M27" s="11">
        <v>31612229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13</v>
      </c>
      <c r="E28" s="11">
        <v>103807661</v>
      </c>
      <c r="F28" s="11">
        <v>0</v>
      </c>
      <c r="G28" s="11">
        <v>0</v>
      </c>
      <c r="H28" s="11">
        <v>1</v>
      </c>
      <c r="I28" s="11">
        <v>12322727</v>
      </c>
      <c r="J28" s="11">
        <v>7985204.692307692</v>
      </c>
      <c r="K28" s="11">
        <v>9966842.5345835593</v>
      </c>
      <c r="L28" s="11">
        <v>12</v>
      </c>
      <c r="M28" s="11">
        <v>93840818.465416446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72</v>
      </c>
      <c r="E29" s="11">
        <v>399373727.99527621</v>
      </c>
      <c r="F29" s="11">
        <v>9</v>
      </c>
      <c r="G29" s="11">
        <v>28909091</v>
      </c>
      <c r="H29" s="11">
        <v>7</v>
      </c>
      <c r="I29" s="11">
        <v>28909090</v>
      </c>
      <c r="J29" s="11">
        <v>5478530.4554603295</v>
      </c>
      <c r="K29" s="11">
        <v>47866719.429454289</v>
      </c>
      <c r="L29" s="11">
        <v>74</v>
      </c>
      <c r="M29" s="11">
        <v>380416099.56582189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105</v>
      </c>
      <c r="E30" s="11">
        <v>945312179.55416393</v>
      </c>
      <c r="F30" s="11">
        <v>21</v>
      </c>
      <c r="G30" s="11">
        <v>228130363</v>
      </c>
      <c r="H30" s="11">
        <v>21</v>
      </c>
      <c r="I30" s="11">
        <v>193454546</v>
      </c>
      <c r="J30" s="11">
        <v>9967836.3152263537</v>
      </c>
      <c r="K30" s="11">
        <v>261271317.97403231</v>
      </c>
      <c r="L30" s="11">
        <v>105</v>
      </c>
      <c r="M30" s="11">
        <v>912171224.58013153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181</v>
      </c>
      <c r="E31" s="11">
        <v>1369994297.1744421</v>
      </c>
      <c r="F31" s="11">
        <v>15</v>
      </c>
      <c r="G31" s="11">
        <v>123681818</v>
      </c>
      <c r="H31" s="11">
        <v>6</v>
      </c>
      <c r="I31" s="11">
        <v>58581817</v>
      </c>
      <c r="J31" s="11">
        <v>8720532.3141031731</v>
      </c>
      <c r="K31" s="11">
        <v>65307910.623362221</v>
      </c>
      <c r="L31" s="11">
        <v>190</v>
      </c>
      <c r="M31" s="11">
        <v>1428368204.55108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47</v>
      </c>
      <c r="E33" s="11">
        <v>101090592</v>
      </c>
      <c r="F33" s="11">
        <v>29</v>
      </c>
      <c r="G33" s="11">
        <v>64590888</v>
      </c>
      <c r="H33" s="11">
        <v>5</v>
      </c>
      <c r="I33" s="11">
        <v>11136364</v>
      </c>
      <c r="J33" s="11">
        <v>2180019.4736842099</v>
      </c>
      <c r="K33" s="11">
        <v>13605105.72601049</v>
      </c>
      <c r="L33" s="11">
        <v>71</v>
      </c>
      <c r="M33" s="11">
        <v>152076374.2739895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34</v>
      </c>
      <c r="E34" s="11">
        <v>548382736.83549666</v>
      </c>
      <c r="F34" s="11">
        <v>1</v>
      </c>
      <c r="G34" s="11">
        <v>15127273</v>
      </c>
      <c r="H34" s="11">
        <v>2</v>
      </c>
      <c r="I34" s="11">
        <v>33818182</v>
      </c>
      <c r="J34" s="11">
        <v>16814473.778618891</v>
      </c>
      <c r="K34" s="11">
        <v>41974431.191430531</v>
      </c>
      <c r="L34" s="11">
        <v>33</v>
      </c>
      <c r="M34" s="11">
        <v>521535578.64406621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15</v>
      </c>
      <c r="E35" s="11">
        <v>161744194.7382068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15</v>
      </c>
      <c r="M35" s="11">
        <v>161744194.7382068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43</v>
      </c>
      <c r="E36" s="11">
        <v>256598070.09655541</v>
      </c>
      <c r="F36" s="11">
        <v>2</v>
      </c>
      <c r="G36" s="11">
        <v>13090910</v>
      </c>
      <c r="H36" s="11">
        <v>6</v>
      </c>
      <c r="I36" s="11">
        <v>41727273</v>
      </c>
      <c r="J36" s="11">
        <v>6742396.4482011097</v>
      </c>
      <c r="K36" s="11">
        <v>50493686.482219867</v>
      </c>
      <c r="L36" s="11">
        <v>39</v>
      </c>
      <c r="M36" s="11">
        <v>219195293.6143356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112</v>
      </c>
      <c r="E37" s="11">
        <v>281381625.97397763</v>
      </c>
      <c r="F37" s="11">
        <v>0</v>
      </c>
      <c r="G37" s="11">
        <v>0</v>
      </c>
      <c r="H37" s="11">
        <v>0</v>
      </c>
      <c r="I37" s="11">
        <v>0</v>
      </c>
      <c r="J37" s="11">
        <v>2802040.9829446631</v>
      </c>
      <c r="K37" s="11">
        <v>0</v>
      </c>
      <c r="L37" s="11">
        <v>112</v>
      </c>
      <c r="M37" s="11">
        <v>281381625.97397763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165</v>
      </c>
      <c r="E38" s="11">
        <v>642119257.27688205</v>
      </c>
      <c r="F38" s="11">
        <v>15</v>
      </c>
      <c r="G38" s="11">
        <v>62331903</v>
      </c>
      <c r="H38" s="11">
        <v>4</v>
      </c>
      <c r="I38" s="11">
        <v>26654545</v>
      </c>
      <c r="J38" s="11">
        <v>4165760.9184244699</v>
      </c>
      <c r="K38" s="11">
        <v>20798206.037551131</v>
      </c>
      <c r="L38" s="11">
        <v>176</v>
      </c>
      <c r="M38" s="11">
        <v>683652954.23933089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196</v>
      </c>
      <c r="E39" s="11">
        <v>989037220.43933225</v>
      </c>
      <c r="F39" s="11">
        <v>8</v>
      </c>
      <c r="G39" s="11">
        <v>46884233</v>
      </c>
      <c r="H39" s="11">
        <v>4</v>
      </c>
      <c r="I39" s="11">
        <v>24763636</v>
      </c>
      <c r="J39" s="11">
        <v>5233166.0581042012</v>
      </c>
      <c r="K39" s="11">
        <v>26127391.378556348</v>
      </c>
      <c r="L39" s="11">
        <v>200</v>
      </c>
      <c r="M39" s="11">
        <v>1009794062.060776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43</v>
      </c>
      <c r="E40" s="11">
        <v>161024660.03194731</v>
      </c>
      <c r="F40" s="11">
        <v>1</v>
      </c>
      <c r="G40" s="11">
        <v>15454545</v>
      </c>
      <c r="H40" s="11">
        <v>0</v>
      </c>
      <c r="I40" s="11">
        <v>0</v>
      </c>
      <c r="J40" s="11">
        <v>4036759.788461539</v>
      </c>
      <c r="K40" s="11">
        <v>0</v>
      </c>
      <c r="L40" s="11">
        <v>44</v>
      </c>
      <c r="M40" s="11">
        <v>176479205.03194731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83</v>
      </c>
      <c r="E41" s="11">
        <v>302807836.19404203</v>
      </c>
      <c r="F41" s="11">
        <v>0</v>
      </c>
      <c r="G41" s="11">
        <v>0</v>
      </c>
      <c r="H41" s="11">
        <v>3</v>
      </c>
      <c r="I41" s="11">
        <v>13218181</v>
      </c>
      <c r="J41" s="11">
        <v>3933408.9022580208</v>
      </c>
      <c r="K41" s="11">
        <v>14728614.48024014</v>
      </c>
      <c r="L41" s="11">
        <v>80</v>
      </c>
      <c r="M41" s="11">
        <v>288079221.7138018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424</v>
      </c>
      <c r="E42" s="11">
        <v>927023899.01970434</v>
      </c>
      <c r="F42" s="11">
        <v>0</v>
      </c>
      <c r="G42" s="11">
        <v>0</v>
      </c>
      <c r="H42" s="11">
        <v>8</v>
      </c>
      <c r="I42" s="11">
        <v>20636365</v>
      </c>
      <c r="J42" s="11">
        <v>2595425.8613489252</v>
      </c>
      <c r="K42" s="11">
        <v>25916130.510888461</v>
      </c>
      <c r="L42" s="11">
        <v>416</v>
      </c>
      <c r="M42" s="11">
        <v>901107768.50881588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547</v>
      </c>
      <c r="E43" s="11">
        <v>1082516804.0372541</v>
      </c>
      <c r="F43" s="11">
        <v>45</v>
      </c>
      <c r="G43" s="11">
        <v>103062728</v>
      </c>
      <c r="H43" s="11">
        <v>22</v>
      </c>
      <c r="I43" s="11">
        <v>79117274</v>
      </c>
      <c r="J43" s="11">
        <v>2183324.6580353882</v>
      </c>
      <c r="K43" s="11">
        <v>59953224.238377653</v>
      </c>
      <c r="L43" s="11">
        <v>570</v>
      </c>
      <c r="M43" s="11">
        <v>1125626307.798876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18</v>
      </c>
      <c r="E45" s="11">
        <v>103948020.19223709</v>
      </c>
      <c r="F45" s="11">
        <v>0</v>
      </c>
      <c r="G45" s="11">
        <v>0</v>
      </c>
      <c r="H45" s="11">
        <v>0</v>
      </c>
      <c r="I45" s="11">
        <v>0</v>
      </c>
      <c r="J45" s="11">
        <v>6023826.5281207142</v>
      </c>
      <c r="K45" s="11">
        <v>0</v>
      </c>
      <c r="L45" s="11">
        <v>18</v>
      </c>
      <c r="M45" s="11">
        <v>103948020.19223709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17</v>
      </c>
      <c r="E46" s="11">
        <v>83490375.194665506</v>
      </c>
      <c r="F46" s="11">
        <v>2</v>
      </c>
      <c r="G46" s="11">
        <v>418182</v>
      </c>
      <c r="H46" s="11">
        <v>0</v>
      </c>
      <c r="I46" s="11">
        <v>0</v>
      </c>
      <c r="J46" s="11">
        <v>4958299.4721675897</v>
      </c>
      <c r="K46" s="11">
        <v>0</v>
      </c>
      <c r="L46" s="11">
        <v>19</v>
      </c>
      <c r="M46" s="11">
        <v>83908557.194665506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14</v>
      </c>
      <c r="E47" s="11">
        <v>10934317.66637411</v>
      </c>
      <c r="F47" s="11">
        <v>1</v>
      </c>
      <c r="G47" s="11">
        <v>590909</v>
      </c>
      <c r="H47" s="11">
        <v>3</v>
      </c>
      <c r="I47" s="11">
        <v>2427273</v>
      </c>
      <c r="J47" s="11">
        <v>823978.5629629629</v>
      </c>
      <c r="K47" s="11">
        <v>3085380.3648272888</v>
      </c>
      <c r="L47" s="11">
        <v>12</v>
      </c>
      <c r="M47" s="11">
        <v>8439846.3015468195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142</v>
      </c>
      <c r="E48" s="11">
        <v>53741822.707677767</v>
      </c>
      <c r="F48" s="11">
        <v>0</v>
      </c>
      <c r="G48" s="11">
        <v>0</v>
      </c>
      <c r="H48" s="11">
        <v>5</v>
      </c>
      <c r="I48" s="11">
        <v>3072727</v>
      </c>
      <c r="J48" s="11">
        <v>408397.24682614743</v>
      </c>
      <c r="K48" s="11">
        <v>2548733.0679167151</v>
      </c>
      <c r="L48" s="11">
        <v>137</v>
      </c>
      <c r="M48" s="11">
        <v>51193089.639761053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22</v>
      </c>
      <c r="E49" s="11">
        <v>140900101.4554615</v>
      </c>
      <c r="F49" s="11">
        <v>2</v>
      </c>
      <c r="G49" s="11">
        <v>12681818</v>
      </c>
      <c r="H49" s="11">
        <v>1</v>
      </c>
      <c r="I49" s="11">
        <v>6681818</v>
      </c>
      <c r="J49" s="11">
        <v>7336379.172533595</v>
      </c>
      <c r="K49" s="11">
        <v>9157002.0812464897</v>
      </c>
      <c r="L49" s="11">
        <v>23</v>
      </c>
      <c r="M49" s="11">
        <v>144424917.37421501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0</v>
      </c>
      <c r="G50" s="11">
        <v>0</v>
      </c>
      <c r="H50" s="11">
        <v>0</v>
      </c>
      <c r="I50" s="11">
        <v>0</v>
      </c>
      <c r="J50" s="11">
        <v>468825.5</v>
      </c>
      <c r="K50" s="11">
        <v>0</v>
      </c>
      <c r="L50" s="11">
        <v>2</v>
      </c>
      <c r="M50" s="11">
        <v>937651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843</v>
      </c>
      <c r="E51" s="11">
        <v>258166118.1260947</v>
      </c>
      <c r="F51" s="11">
        <v>400</v>
      </c>
      <c r="G51" s="11">
        <v>116363600</v>
      </c>
      <c r="H51" s="11">
        <v>249</v>
      </c>
      <c r="I51" s="11">
        <v>69418182</v>
      </c>
      <c r="J51" s="11">
        <v>304417.02407528012</v>
      </c>
      <c r="K51" s="11">
        <v>94610606.55529359</v>
      </c>
      <c r="L51" s="11">
        <v>994</v>
      </c>
      <c r="M51" s="11">
        <v>279919111.57080108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32</v>
      </c>
      <c r="E52" s="11">
        <v>20341619.204023439</v>
      </c>
      <c r="F52" s="11">
        <v>20</v>
      </c>
      <c r="G52" s="11">
        <v>10727280</v>
      </c>
      <c r="H52" s="11">
        <v>2</v>
      </c>
      <c r="I52" s="11">
        <v>2027273</v>
      </c>
      <c r="J52" s="11">
        <v>627649.7891402716</v>
      </c>
      <c r="K52" s="11">
        <v>1566819.350605224</v>
      </c>
      <c r="L52" s="11">
        <v>50</v>
      </c>
      <c r="M52" s="11">
        <v>29502079.853418209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101</v>
      </c>
      <c r="E53" s="11">
        <v>64532707.261959597</v>
      </c>
      <c r="F53" s="11">
        <v>0</v>
      </c>
      <c r="G53" s="11">
        <v>0</v>
      </c>
      <c r="H53" s="11">
        <v>0</v>
      </c>
      <c r="I53" s="11">
        <v>0</v>
      </c>
      <c r="J53" s="11">
        <v>685780.01738582668</v>
      </c>
      <c r="K53" s="11">
        <v>0</v>
      </c>
      <c r="L53" s="11">
        <v>101</v>
      </c>
      <c r="M53" s="11">
        <v>64532707.261959597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91</v>
      </c>
      <c r="E54" s="11">
        <v>74159342.893094569</v>
      </c>
      <c r="F54" s="11">
        <v>0</v>
      </c>
      <c r="G54" s="11">
        <v>0</v>
      </c>
      <c r="H54" s="11">
        <v>0</v>
      </c>
      <c r="I54" s="11">
        <v>0</v>
      </c>
      <c r="J54" s="11">
        <v>912554.01271406503</v>
      </c>
      <c r="K54" s="11">
        <v>0</v>
      </c>
      <c r="L54" s="11">
        <v>91</v>
      </c>
      <c r="M54" s="11">
        <v>74159342.893094569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20</v>
      </c>
      <c r="E55" s="11">
        <v>61178160.894247957</v>
      </c>
      <c r="F55" s="11">
        <v>0</v>
      </c>
      <c r="G55" s="11">
        <v>0</v>
      </c>
      <c r="H55" s="11">
        <v>1</v>
      </c>
      <c r="I55" s="11">
        <v>4245455</v>
      </c>
      <c r="J55" s="11">
        <v>3138277.0068027209</v>
      </c>
      <c r="K55" s="11">
        <v>3917083.4013608131</v>
      </c>
      <c r="L55" s="11">
        <v>19</v>
      </c>
      <c r="M55" s="11">
        <v>57261077.492887147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220</v>
      </c>
      <c r="E56" s="11">
        <v>55696810.743087977</v>
      </c>
      <c r="F56" s="11">
        <v>0</v>
      </c>
      <c r="G56" s="11">
        <v>0</v>
      </c>
      <c r="H56" s="11">
        <v>3</v>
      </c>
      <c r="I56" s="11">
        <v>2236364</v>
      </c>
      <c r="J56" s="11">
        <v>256320.54751822769</v>
      </c>
      <c r="K56" s="11">
        <v>959789.99935471348</v>
      </c>
      <c r="L56" s="11">
        <v>217</v>
      </c>
      <c r="M56" s="11">
        <v>54737020.743733257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3639</v>
      </c>
      <c r="E57" s="11">
        <v>259449096.14702779</v>
      </c>
      <c r="F57" s="11">
        <v>13</v>
      </c>
      <c r="G57" s="11">
        <v>1672727</v>
      </c>
      <c r="H57" s="11">
        <v>36</v>
      </c>
      <c r="I57" s="11">
        <v>4495455</v>
      </c>
      <c r="J57" s="11">
        <v>73040.180635995712</v>
      </c>
      <c r="K57" s="11">
        <v>3281979.643267042</v>
      </c>
      <c r="L57" s="11">
        <v>3616</v>
      </c>
      <c r="M57" s="11">
        <v>257839843.50376081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21</v>
      </c>
      <c r="E58" s="11">
        <v>4079604.500212294</v>
      </c>
      <c r="F58" s="11">
        <v>0</v>
      </c>
      <c r="G58" s="11">
        <v>0</v>
      </c>
      <c r="H58" s="11">
        <v>0</v>
      </c>
      <c r="I58" s="11">
        <v>0</v>
      </c>
      <c r="J58" s="11">
        <v>206466.26923076919</v>
      </c>
      <c r="K58" s="11">
        <v>0</v>
      </c>
      <c r="L58" s="11">
        <v>21</v>
      </c>
      <c r="M58" s="11">
        <v>4079604.500212294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27721.739999999998</v>
      </c>
      <c r="E59" s="14">
        <f t="shared" si="0"/>
        <v>20574051383.622509</v>
      </c>
      <c r="F59" s="14">
        <f t="shared" si="0"/>
        <v>2075.5100000000002</v>
      </c>
      <c r="G59" s="14">
        <f t="shared" si="0"/>
        <v>1552056808</v>
      </c>
      <c r="H59" s="14">
        <f t="shared" si="0"/>
        <v>862</v>
      </c>
      <c r="I59" s="14">
        <f t="shared" si="0"/>
        <v>1281113807</v>
      </c>
      <c r="J59" s="14">
        <f t="shared" si="0"/>
        <v>282348179.47110337</v>
      </c>
      <c r="K59" s="14">
        <f t="shared" si="0"/>
        <v>1186876756.3126826</v>
      </c>
      <c r="L59" s="14">
        <f t="shared" si="0"/>
        <v>28935.25</v>
      </c>
      <c r="M59" s="14">
        <f t="shared" si="0"/>
        <v>20939231435.309826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topLeftCell="A52" workbookViewId="0">
      <selection activeCell="E1" sqref="E1:M1048576"/>
    </sheetView>
  </sheetViews>
  <sheetFormatPr defaultColWidth="14.42578125" defaultRowHeight="15" customHeight="1" x14ac:dyDescent="0.25"/>
  <cols>
    <col min="1" max="4" width="8.7109375" customWidth="1"/>
    <col min="5" max="5" width="13.85546875" bestFit="1" customWidth="1"/>
    <col min="6" max="6" width="8" bestFit="1" customWidth="1"/>
    <col min="7" max="7" width="11.140625" bestFit="1" customWidth="1"/>
    <col min="8" max="8" width="7.28515625" bestFit="1" customWidth="1"/>
    <col min="9" max="9" width="12.7109375" bestFit="1" customWidth="1"/>
    <col min="10" max="10" width="19" bestFit="1" customWidth="1"/>
    <col min="11" max="11" width="18.140625" bestFit="1" customWidth="1"/>
    <col min="12" max="12" width="11" bestFit="1" customWidth="1"/>
    <col min="13" max="13" width="13.85546875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650</v>
      </c>
      <c r="E2" s="11">
        <v>283248818.0159691</v>
      </c>
      <c r="F2" s="11">
        <v>16</v>
      </c>
      <c r="G2" s="11">
        <v>7601818</v>
      </c>
      <c r="H2" s="11">
        <v>123</v>
      </c>
      <c r="I2" s="11">
        <v>48245454</v>
      </c>
      <c r="J2" s="11">
        <v>466686.24466636498</v>
      </c>
      <c r="K2" s="11">
        <v>71647601.36074762</v>
      </c>
      <c r="L2" s="11">
        <v>543</v>
      </c>
      <c r="M2" s="11">
        <v>219203034.65522149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179</v>
      </c>
      <c r="E3" s="11">
        <v>175828361.96800891</v>
      </c>
      <c r="F3" s="11">
        <v>8</v>
      </c>
      <c r="G3" s="11">
        <v>11918183</v>
      </c>
      <c r="H3" s="11">
        <v>14</v>
      </c>
      <c r="I3" s="11">
        <v>18163637</v>
      </c>
      <c r="J3" s="11">
        <v>1100221.0786692691</v>
      </c>
      <c r="K3" s="11">
        <v>19225583.981392112</v>
      </c>
      <c r="L3" s="11">
        <v>173</v>
      </c>
      <c r="M3" s="11">
        <v>168520960.98661679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626</v>
      </c>
      <c r="E4" s="11">
        <v>271220546.32290751</v>
      </c>
      <c r="F4" s="11">
        <v>0</v>
      </c>
      <c r="G4" s="11">
        <v>0</v>
      </c>
      <c r="H4" s="11">
        <v>1</v>
      </c>
      <c r="I4" s="11">
        <v>500000</v>
      </c>
      <c r="J4" s="11">
        <v>436722.55738559598</v>
      </c>
      <c r="K4" s="11">
        <v>545101.2376621922</v>
      </c>
      <c r="L4" s="11">
        <v>625</v>
      </c>
      <c r="M4" s="11">
        <v>270675445.08524531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1187</v>
      </c>
      <c r="E5" s="11">
        <v>164990659.3409003</v>
      </c>
      <c r="F5" s="11">
        <v>51</v>
      </c>
      <c r="G5" s="11">
        <v>7195272</v>
      </c>
      <c r="H5" s="11">
        <v>103</v>
      </c>
      <c r="I5" s="11">
        <v>16668182</v>
      </c>
      <c r="J5" s="11">
        <v>141571.1172149395</v>
      </c>
      <c r="K5" s="11">
        <v>18200504.554481909</v>
      </c>
      <c r="L5" s="11">
        <v>1135</v>
      </c>
      <c r="M5" s="11">
        <v>153985426.78641841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71</v>
      </c>
      <c r="E6" s="11">
        <v>22365025.50183101</v>
      </c>
      <c r="F6" s="11">
        <v>3</v>
      </c>
      <c r="G6" s="11">
        <v>1320056</v>
      </c>
      <c r="H6" s="11">
        <v>1</v>
      </c>
      <c r="I6" s="11">
        <v>300000</v>
      </c>
      <c r="J6" s="11">
        <v>324636.23983381363</v>
      </c>
      <c r="K6" s="11">
        <v>405199.16622298228</v>
      </c>
      <c r="L6" s="11">
        <v>73</v>
      </c>
      <c r="M6" s="11">
        <v>23279882.335608032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7</v>
      </c>
      <c r="E7" s="11">
        <v>206942</v>
      </c>
      <c r="F7" s="11">
        <v>8</v>
      </c>
      <c r="G7" s="11">
        <v>254544</v>
      </c>
      <c r="H7" s="11">
        <v>0</v>
      </c>
      <c r="I7" s="11">
        <v>0</v>
      </c>
      <c r="J7" s="11">
        <v>30765.73333333333</v>
      </c>
      <c r="K7" s="11">
        <v>0</v>
      </c>
      <c r="L7" s="11">
        <v>15</v>
      </c>
      <c r="M7" s="11">
        <v>461486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1310</v>
      </c>
      <c r="E8" s="11">
        <v>170105863.20043501</v>
      </c>
      <c r="F8" s="11">
        <v>135</v>
      </c>
      <c r="G8" s="11">
        <v>15056598.128334761</v>
      </c>
      <c r="H8" s="11">
        <v>418</v>
      </c>
      <c r="I8" s="11">
        <v>49749998</v>
      </c>
      <c r="J8" s="11">
        <v>133841.8352012909</v>
      </c>
      <c r="K8" s="11">
        <v>69829624.763579056</v>
      </c>
      <c r="L8" s="11">
        <v>1027</v>
      </c>
      <c r="M8" s="11">
        <v>115332836.5651907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71</v>
      </c>
      <c r="E9" s="11">
        <v>64584822.057532743</v>
      </c>
      <c r="F9" s="11">
        <v>0</v>
      </c>
      <c r="G9" s="11">
        <v>0</v>
      </c>
      <c r="H9" s="11">
        <v>1</v>
      </c>
      <c r="I9" s="11">
        <v>1500000</v>
      </c>
      <c r="J9" s="11">
        <v>986819.64509923384</v>
      </c>
      <c r="K9" s="11">
        <v>1231712.4471727579</v>
      </c>
      <c r="L9" s="11">
        <v>70</v>
      </c>
      <c r="M9" s="11">
        <v>63353109.610359967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2409</v>
      </c>
      <c r="E10" s="11">
        <v>758440016.88355327</v>
      </c>
      <c r="F10" s="11">
        <v>117</v>
      </c>
      <c r="G10" s="11">
        <v>59023078</v>
      </c>
      <c r="H10" s="11">
        <v>8</v>
      </c>
      <c r="I10" s="11">
        <v>15278788</v>
      </c>
      <c r="J10" s="11">
        <v>340722.50147118018</v>
      </c>
      <c r="K10" s="11">
        <v>3402219.630937234</v>
      </c>
      <c r="L10" s="11">
        <v>2518</v>
      </c>
      <c r="M10" s="11">
        <v>814060875.25261605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491</v>
      </c>
      <c r="E11" s="11">
        <v>682406342.19887257</v>
      </c>
      <c r="F11" s="11">
        <v>2</v>
      </c>
      <c r="G11" s="11">
        <v>4909091</v>
      </c>
      <c r="H11" s="11">
        <v>28</v>
      </c>
      <c r="I11" s="11">
        <v>52381819</v>
      </c>
      <c r="J11" s="11">
        <v>1636715.6057377229</v>
      </c>
      <c r="K11" s="11">
        <v>57200891.605940051</v>
      </c>
      <c r="L11" s="11">
        <v>465</v>
      </c>
      <c r="M11" s="11">
        <v>630114541.59293246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89</v>
      </c>
      <c r="E12" s="11">
        <v>237326088.36618331</v>
      </c>
      <c r="F12" s="11">
        <v>2</v>
      </c>
      <c r="G12" s="11">
        <v>17300000</v>
      </c>
      <c r="H12" s="11">
        <v>6</v>
      </c>
      <c r="I12" s="11">
        <v>37245454</v>
      </c>
      <c r="J12" s="11">
        <v>3044426.6981060151</v>
      </c>
      <c r="K12" s="11">
        <v>22799657.123881981</v>
      </c>
      <c r="L12" s="11">
        <v>85</v>
      </c>
      <c r="M12" s="11">
        <v>231826431.24230129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2431</v>
      </c>
      <c r="E14" s="11">
        <v>298044843.4064309</v>
      </c>
      <c r="F14" s="11">
        <v>184</v>
      </c>
      <c r="G14" s="11">
        <v>14124161.864745749</v>
      </c>
      <c r="H14" s="11">
        <v>324</v>
      </c>
      <c r="I14" s="11">
        <v>21659096</v>
      </c>
      <c r="J14" s="11">
        <v>123091.1411112092</v>
      </c>
      <c r="K14" s="11">
        <v>49778677.200445957</v>
      </c>
      <c r="L14" s="11">
        <v>2291</v>
      </c>
      <c r="M14" s="11">
        <v>262390328.07073069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1797</v>
      </c>
      <c r="E15" s="11">
        <v>205592849.1192818</v>
      </c>
      <c r="F15" s="11">
        <v>0</v>
      </c>
      <c r="G15" s="11">
        <v>0</v>
      </c>
      <c r="H15" s="11">
        <v>407</v>
      </c>
      <c r="I15" s="11">
        <v>40918179</v>
      </c>
      <c r="J15" s="11">
        <v>120178.8660245566</v>
      </c>
      <c r="K15" s="11">
        <v>61051178.909140967</v>
      </c>
      <c r="L15" s="11">
        <v>1390</v>
      </c>
      <c r="M15" s="11">
        <v>144541670.21014079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9655.2499999999982</v>
      </c>
      <c r="E16" s="11">
        <v>4851886462.1992741</v>
      </c>
      <c r="F16" s="11">
        <v>522.82999999999993</v>
      </c>
      <c r="G16" s="11">
        <v>292348584.05727118</v>
      </c>
      <c r="H16" s="11">
        <v>299</v>
      </c>
      <c r="I16" s="11">
        <v>326851685</v>
      </c>
      <c r="J16" s="11">
        <v>555277.87845489639</v>
      </c>
      <c r="K16" s="11">
        <v>207230227.63159159</v>
      </c>
      <c r="L16" s="11">
        <v>9879.0799999999981</v>
      </c>
      <c r="M16" s="11">
        <v>4937004818.6249533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1">
        <v>69600796.156262949</v>
      </c>
      <c r="F17" s="11">
        <v>0</v>
      </c>
      <c r="G17" s="11">
        <v>0</v>
      </c>
      <c r="H17" s="11">
        <v>0</v>
      </c>
      <c r="I17" s="11">
        <v>0</v>
      </c>
      <c r="J17" s="11">
        <v>12629390.38461538</v>
      </c>
      <c r="K17" s="11">
        <v>0</v>
      </c>
      <c r="L17" s="11">
        <v>7</v>
      </c>
      <c r="M17" s="11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7</v>
      </c>
      <c r="E18" s="11">
        <v>21581629</v>
      </c>
      <c r="F18" s="11">
        <v>0</v>
      </c>
      <c r="G18" s="11">
        <v>0</v>
      </c>
      <c r="H18" s="11">
        <v>0</v>
      </c>
      <c r="I18" s="11">
        <v>0</v>
      </c>
      <c r="J18" s="11">
        <v>3083089.8571428568</v>
      </c>
      <c r="K18" s="11">
        <v>0</v>
      </c>
      <c r="L18" s="11">
        <v>7</v>
      </c>
      <c r="M18" s="11">
        <v>21581629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238</v>
      </c>
      <c r="E19" s="11">
        <v>996882520.70569479</v>
      </c>
      <c r="F19" s="11">
        <v>0</v>
      </c>
      <c r="G19" s="11">
        <v>0</v>
      </c>
      <c r="H19" s="11">
        <v>18</v>
      </c>
      <c r="I19" s="11">
        <v>227681817</v>
      </c>
      <c r="J19" s="11">
        <v>4395509.6241121329</v>
      </c>
      <c r="K19" s="11">
        <v>98753679.019592717</v>
      </c>
      <c r="L19" s="11">
        <v>220</v>
      </c>
      <c r="M19" s="11">
        <v>898128841.68610203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37</v>
      </c>
      <c r="E20" s="11">
        <v>385641555.18460852</v>
      </c>
      <c r="F20" s="11">
        <v>0</v>
      </c>
      <c r="G20" s="11">
        <v>0</v>
      </c>
      <c r="H20" s="11">
        <v>1</v>
      </c>
      <c r="I20" s="11">
        <v>11636363</v>
      </c>
      <c r="J20" s="11">
        <v>10493914.007276511</v>
      </c>
      <c r="K20" s="11">
        <v>13098122.404143309</v>
      </c>
      <c r="L20" s="11">
        <v>36</v>
      </c>
      <c r="M20" s="11">
        <v>372543432.78046513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20</v>
      </c>
      <c r="E21" s="11">
        <v>166292866.1776768</v>
      </c>
      <c r="F21" s="11">
        <v>0</v>
      </c>
      <c r="G21" s="11">
        <v>0</v>
      </c>
      <c r="H21" s="11">
        <v>0</v>
      </c>
      <c r="I21" s="11">
        <v>0</v>
      </c>
      <c r="J21" s="11">
        <v>10214475.575468419</v>
      </c>
      <c r="K21" s="11">
        <v>0</v>
      </c>
      <c r="L21" s="11">
        <v>20</v>
      </c>
      <c r="M21" s="11">
        <v>166292866.1776768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11</v>
      </c>
      <c r="E22" s="11">
        <v>126695545.1526648</v>
      </c>
      <c r="F22" s="11">
        <v>0</v>
      </c>
      <c r="G22" s="11">
        <v>0</v>
      </c>
      <c r="H22" s="11">
        <v>2</v>
      </c>
      <c r="I22" s="11">
        <v>22718181</v>
      </c>
      <c r="J22" s="11">
        <v>13320923.882352941</v>
      </c>
      <c r="K22" s="11">
        <v>33253386.949111741</v>
      </c>
      <c r="L22" s="11">
        <v>9</v>
      </c>
      <c r="M22" s="11">
        <v>93442158.203553021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24</v>
      </c>
      <c r="E23" s="11">
        <v>276912567.58447528</v>
      </c>
      <c r="F23" s="11">
        <v>1</v>
      </c>
      <c r="G23" s="11">
        <v>14181818</v>
      </c>
      <c r="H23" s="11">
        <v>6</v>
      </c>
      <c r="I23" s="11">
        <v>71954546</v>
      </c>
      <c r="J23" s="11">
        <v>13111786.48481461</v>
      </c>
      <c r="K23" s="11">
        <v>98193934.615440264</v>
      </c>
      <c r="L23" s="11">
        <v>19</v>
      </c>
      <c r="M23" s="11">
        <v>192900450.969035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128</v>
      </c>
      <c r="E24" s="11">
        <v>830382782.50258243</v>
      </c>
      <c r="F24" s="11">
        <v>0</v>
      </c>
      <c r="G24" s="11">
        <v>0</v>
      </c>
      <c r="H24" s="11">
        <v>3</v>
      </c>
      <c r="I24" s="11">
        <v>34363636</v>
      </c>
      <c r="J24" s="11">
        <v>6798197.8796630707</v>
      </c>
      <c r="K24" s="11">
        <v>25455791.202502139</v>
      </c>
      <c r="L24" s="11">
        <v>125</v>
      </c>
      <c r="M24" s="11">
        <v>804926991.3000803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2</v>
      </c>
      <c r="E25" s="11">
        <v>45155206</v>
      </c>
      <c r="F25" s="11">
        <v>0</v>
      </c>
      <c r="G25" s="11">
        <v>0</v>
      </c>
      <c r="H25" s="11">
        <v>0</v>
      </c>
      <c r="I25" s="11">
        <v>0</v>
      </c>
      <c r="J25" s="11">
        <v>22577603</v>
      </c>
      <c r="K25" s="11">
        <v>0</v>
      </c>
      <c r="L25" s="11">
        <v>2</v>
      </c>
      <c r="M25" s="11">
        <v>45155206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16</v>
      </c>
      <c r="E26" s="11">
        <v>169683555.26749969</v>
      </c>
      <c r="F26" s="11">
        <v>0</v>
      </c>
      <c r="G26" s="11">
        <v>0</v>
      </c>
      <c r="H26" s="11">
        <v>0</v>
      </c>
      <c r="I26" s="11">
        <v>0</v>
      </c>
      <c r="J26" s="11">
        <v>14775663.740756299</v>
      </c>
      <c r="K26" s="11">
        <v>0</v>
      </c>
      <c r="L26" s="11">
        <v>16</v>
      </c>
      <c r="M26" s="11">
        <v>169683555.26749969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31612229</v>
      </c>
      <c r="F27" s="11">
        <v>1</v>
      </c>
      <c r="G27" s="11">
        <v>17818182</v>
      </c>
      <c r="H27" s="11">
        <v>1</v>
      </c>
      <c r="I27" s="11">
        <v>24950000</v>
      </c>
      <c r="J27" s="11">
        <v>16476803.66666667</v>
      </c>
      <c r="K27" s="11">
        <v>20565748.02360592</v>
      </c>
      <c r="L27" s="11">
        <v>2</v>
      </c>
      <c r="M27" s="11">
        <v>28864662.97639408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12</v>
      </c>
      <c r="E28" s="11">
        <v>93840818.465416446</v>
      </c>
      <c r="F28" s="11">
        <v>0</v>
      </c>
      <c r="G28" s="11">
        <v>0</v>
      </c>
      <c r="H28" s="11">
        <v>0</v>
      </c>
      <c r="I28" s="11">
        <v>0</v>
      </c>
      <c r="J28" s="11">
        <v>7985204.692307692</v>
      </c>
      <c r="K28" s="11">
        <v>0</v>
      </c>
      <c r="L28" s="11">
        <v>12</v>
      </c>
      <c r="M28" s="11">
        <v>93840818.465416446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74</v>
      </c>
      <c r="E29" s="11">
        <v>380416099.56582189</v>
      </c>
      <c r="F29" s="11">
        <v>0</v>
      </c>
      <c r="G29" s="11">
        <v>0</v>
      </c>
      <c r="H29" s="11">
        <v>0</v>
      </c>
      <c r="I29" s="11">
        <v>0</v>
      </c>
      <c r="J29" s="11">
        <v>5478530.4554603295</v>
      </c>
      <c r="K29" s="11">
        <v>0</v>
      </c>
      <c r="L29" s="11">
        <v>74</v>
      </c>
      <c r="M29" s="11">
        <v>380416099.56582189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105</v>
      </c>
      <c r="E30" s="11">
        <v>912171224.58013153</v>
      </c>
      <c r="F30" s="11">
        <v>10</v>
      </c>
      <c r="G30" s="11">
        <v>106300000</v>
      </c>
      <c r="H30" s="11">
        <v>0</v>
      </c>
      <c r="I30" s="11">
        <v>0</v>
      </c>
      <c r="J30" s="11">
        <v>10025415.766076241</v>
      </c>
      <c r="K30" s="11">
        <v>0</v>
      </c>
      <c r="L30" s="11">
        <v>115</v>
      </c>
      <c r="M30" s="11">
        <v>1018471224.580132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190</v>
      </c>
      <c r="E31" s="11">
        <v>1428368204.55108</v>
      </c>
      <c r="F31" s="11">
        <v>6</v>
      </c>
      <c r="G31" s="11">
        <v>68190000</v>
      </c>
      <c r="H31" s="11">
        <v>9</v>
      </c>
      <c r="I31" s="11">
        <v>68045456</v>
      </c>
      <c r="J31" s="11">
        <v>8801485.4065285865</v>
      </c>
      <c r="K31" s="11">
        <v>98871250.328285053</v>
      </c>
      <c r="L31" s="11">
        <v>187</v>
      </c>
      <c r="M31" s="11">
        <v>1397686954.222795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71</v>
      </c>
      <c r="E33" s="11">
        <v>152076374.2739895</v>
      </c>
      <c r="F33" s="11">
        <v>0</v>
      </c>
      <c r="G33" s="11">
        <v>0</v>
      </c>
      <c r="H33" s="11">
        <v>0</v>
      </c>
      <c r="I33" s="11">
        <v>0</v>
      </c>
      <c r="J33" s="11">
        <v>2180019.4736842108</v>
      </c>
      <c r="K33" s="11">
        <v>0</v>
      </c>
      <c r="L33" s="11">
        <v>71</v>
      </c>
      <c r="M33" s="11">
        <v>152076374.2739895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33</v>
      </c>
      <c r="E34" s="11">
        <v>521535578.64406621</v>
      </c>
      <c r="F34" s="11">
        <v>1</v>
      </c>
      <c r="G34" s="11">
        <v>15127273</v>
      </c>
      <c r="H34" s="11">
        <v>2</v>
      </c>
      <c r="I34" s="11">
        <v>35954546</v>
      </c>
      <c r="J34" s="11">
        <v>16764850.226306571</v>
      </c>
      <c r="K34" s="11">
        <v>41850554.559343703</v>
      </c>
      <c r="L34" s="11">
        <v>32</v>
      </c>
      <c r="M34" s="11">
        <v>494812297.08472252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15</v>
      </c>
      <c r="E35" s="11">
        <v>161744194.7382068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15</v>
      </c>
      <c r="M35" s="11">
        <v>161744194.7382068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39</v>
      </c>
      <c r="E36" s="11">
        <v>219195293.6143356</v>
      </c>
      <c r="F36" s="11">
        <v>0</v>
      </c>
      <c r="G36" s="11">
        <v>0</v>
      </c>
      <c r="H36" s="11">
        <v>0</v>
      </c>
      <c r="I36" s="11">
        <v>0</v>
      </c>
      <c r="J36" s="11">
        <v>6742396.4482011097</v>
      </c>
      <c r="K36" s="11">
        <v>0</v>
      </c>
      <c r="L36" s="11">
        <v>39</v>
      </c>
      <c r="M36" s="11">
        <v>219195293.6143356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112</v>
      </c>
      <c r="E37" s="11">
        <v>281381625.97397763</v>
      </c>
      <c r="F37" s="11">
        <v>0</v>
      </c>
      <c r="G37" s="11">
        <v>0</v>
      </c>
      <c r="H37" s="11">
        <v>1</v>
      </c>
      <c r="I37" s="11">
        <v>1454545</v>
      </c>
      <c r="J37" s="11">
        <v>2802040.9829446631</v>
      </c>
      <c r="K37" s="11">
        <v>3497405.8059353591</v>
      </c>
      <c r="L37" s="11">
        <v>111</v>
      </c>
      <c r="M37" s="11">
        <v>277884220.16804218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176</v>
      </c>
      <c r="E38" s="11">
        <v>683652954.23933089</v>
      </c>
      <c r="F38" s="11">
        <v>14</v>
      </c>
      <c r="G38" s="11">
        <v>36540479</v>
      </c>
      <c r="H38" s="11">
        <v>2</v>
      </c>
      <c r="I38" s="11">
        <v>24232727</v>
      </c>
      <c r="J38" s="11">
        <v>4051128.4244352989</v>
      </c>
      <c r="K38" s="11">
        <v>10112942.785954669</v>
      </c>
      <c r="L38" s="11">
        <v>188</v>
      </c>
      <c r="M38" s="11">
        <v>710080490.45337617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200</v>
      </c>
      <c r="E39" s="11">
        <v>1009794062.060776</v>
      </c>
      <c r="F39" s="11">
        <v>8</v>
      </c>
      <c r="G39" s="11">
        <v>34770330.949648216</v>
      </c>
      <c r="H39" s="11">
        <v>7</v>
      </c>
      <c r="I39" s="11">
        <v>73054547</v>
      </c>
      <c r="J39" s="11">
        <v>5199055.4931273479</v>
      </c>
      <c r="K39" s="11">
        <v>45424905.932512417</v>
      </c>
      <c r="L39" s="11">
        <v>201</v>
      </c>
      <c r="M39" s="11">
        <v>999139487.07791173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44</v>
      </c>
      <c r="E40" s="11">
        <v>176479205.03194731</v>
      </c>
      <c r="F40" s="11">
        <v>0</v>
      </c>
      <c r="G40" s="11">
        <v>0</v>
      </c>
      <c r="H40" s="11">
        <v>0</v>
      </c>
      <c r="I40" s="11">
        <v>0</v>
      </c>
      <c r="J40" s="11">
        <v>4036759.788461539</v>
      </c>
      <c r="K40" s="11">
        <v>0</v>
      </c>
      <c r="L40" s="11">
        <v>44</v>
      </c>
      <c r="M40" s="11">
        <v>176479205.03194731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80</v>
      </c>
      <c r="E41" s="11">
        <v>288079221.7138018</v>
      </c>
      <c r="F41" s="11">
        <v>0</v>
      </c>
      <c r="G41" s="11">
        <v>0</v>
      </c>
      <c r="H41" s="11">
        <v>1</v>
      </c>
      <c r="I41" s="11">
        <v>3354545</v>
      </c>
      <c r="J41" s="11">
        <v>3933408.9022580208</v>
      </c>
      <c r="K41" s="11">
        <v>4909538.1600800473</v>
      </c>
      <c r="L41" s="11">
        <v>79</v>
      </c>
      <c r="M41" s="11">
        <v>283169683.55372173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416</v>
      </c>
      <c r="E42" s="11">
        <v>901107768.50881588</v>
      </c>
      <c r="F42" s="11">
        <v>0</v>
      </c>
      <c r="G42" s="11">
        <v>0</v>
      </c>
      <c r="H42" s="11">
        <v>7</v>
      </c>
      <c r="I42" s="11">
        <v>18090909</v>
      </c>
      <c r="J42" s="11">
        <v>2595425.8613489252</v>
      </c>
      <c r="K42" s="11">
        <v>22676614.1970274</v>
      </c>
      <c r="L42" s="11">
        <v>409</v>
      </c>
      <c r="M42" s="11">
        <v>878431154.31178844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570</v>
      </c>
      <c r="E43" s="11">
        <v>1125626307.798876</v>
      </c>
      <c r="F43" s="11">
        <v>83</v>
      </c>
      <c r="G43" s="11">
        <v>119708183</v>
      </c>
      <c r="H43" s="11">
        <v>58</v>
      </c>
      <c r="I43" s="11">
        <v>111836369</v>
      </c>
      <c r="J43" s="11">
        <v>2089132.064441303</v>
      </c>
      <c r="K43" s="11">
        <v>151239569.317123</v>
      </c>
      <c r="L43" s="11">
        <v>595</v>
      </c>
      <c r="M43" s="11">
        <v>1094094921.4817531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0</v>
      </c>
      <c r="I44" s="11">
        <v>0</v>
      </c>
      <c r="J44" s="11">
        <v>4058762.166666667</v>
      </c>
      <c r="K44" s="11">
        <v>0</v>
      </c>
      <c r="L44" s="11">
        <v>6</v>
      </c>
      <c r="M44" s="11">
        <v>24352573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18</v>
      </c>
      <c r="E45" s="11">
        <v>103948020.19223709</v>
      </c>
      <c r="F45" s="11">
        <v>4</v>
      </c>
      <c r="G45" s="11">
        <v>21664544</v>
      </c>
      <c r="H45" s="11">
        <v>2</v>
      </c>
      <c r="I45" s="11">
        <v>19363636</v>
      </c>
      <c r="J45" s="11">
        <v>5913337.341189675</v>
      </c>
      <c r="K45" s="11">
        <v>14761625.882999839</v>
      </c>
      <c r="L45" s="11">
        <v>20</v>
      </c>
      <c r="M45" s="11">
        <v>110850938.3092373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19</v>
      </c>
      <c r="E46" s="11">
        <v>83908557.194665506</v>
      </c>
      <c r="F46" s="11">
        <v>0</v>
      </c>
      <c r="G46" s="11">
        <v>0</v>
      </c>
      <c r="H46" s="11">
        <v>0</v>
      </c>
      <c r="I46" s="11">
        <v>0</v>
      </c>
      <c r="J46" s="11">
        <v>4958299.4721675897</v>
      </c>
      <c r="K46" s="11">
        <v>0</v>
      </c>
      <c r="L46" s="11">
        <v>19</v>
      </c>
      <c r="M46" s="11">
        <v>83908557.194665506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12</v>
      </c>
      <c r="E47" s="11">
        <v>8439846.3015468195</v>
      </c>
      <c r="F47" s="11">
        <v>0</v>
      </c>
      <c r="G47" s="11">
        <v>0</v>
      </c>
      <c r="H47" s="11">
        <v>0</v>
      </c>
      <c r="I47" s="11">
        <v>0</v>
      </c>
      <c r="J47" s="11">
        <v>823978.5629629629</v>
      </c>
      <c r="K47" s="11">
        <v>0</v>
      </c>
      <c r="L47" s="11">
        <v>12</v>
      </c>
      <c r="M47" s="11">
        <v>8439846.3015468195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137</v>
      </c>
      <c r="E48" s="11">
        <v>51193089.639761053</v>
      </c>
      <c r="F48" s="11">
        <v>0</v>
      </c>
      <c r="G48" s="11">
        <v>0</v>
      </c>
      <c r="H48" s="11">
        <v>0</v>
      </c>
      <c r="I48" s="11">
        <v>0</v>
      </c>
      <c r="J48" s="11">
        <v>408397.24682614743</v>
      </c>
      <c r="K48" s="11">
        <v>0</v>
      </c>
      <c r="L48" s="11">
        <v>137</v>
      </c>
      <c r="M48" s="11">
        <v>51193089.639761053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1">
        <v>144424917.37421501</v>
      </c>
      <c r="F49" s="11">
        <v>2</v>
      </c>
      <c r="G49" s="11">
        <v>16000000</v>
      </c>
      <c r="H49" s="11">
        <v>2</v>
      </c>
      <c r="I49" s="11">
        <v>17800000</v>
      </c>
      <c r="J49" s="11">
        <v>7389468.8387309071</v>
      </c>
      <c r="K49" s="11">
        <v>18446533.349556129</v>
      </c>
      <c r="L49" s="11">
        <v>23</v>
      </c>
      <c r="M49" s="11">
        <v>141978384.02465889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2</v>
      </c>
      <c r="E50" s="11">
        <v>937651</v>
      </c>
      <c r="F50" s="11">
        <v>1</v>
      </c>
      <c r="G50" s="11">
        <v>250000</v>
      </c>
      <c r="H50" s="11">
        <v>0</v>
      </c>
      <c r="I50" s="11">
        <v>0</v>
      </c>
      <c r="J50" s="11">
        <v>395883.66666666669</v>
      </c>
      <c r="K50" s="11">
        <v>0</v>
      </c>
      <c r="L50" s="11">
        <v>3</v>
      </c>
      <c r="M50" s="11">
        <v>1187651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994</v>
      </c>
      <c r="E51" s="11">
        <v>279919111.57080108</v>
      </c>
      <c r="F51" s="11">
        <v>0</v>
      </c>
      <c r="G51" s="11">
        <v>0</v>
      </c>
      <c r="H51" s="11">
        <v>3</v>
      </c>
      <c r="I51" s="11">
        <v>2163636</v>
      </c>
      <c r="J51" s="11">
        <v>304417.02407528012</v>
      </c>
      <c r="K51" s="11">
        <v>1139886.8259673929</v>
      </c>
      <c r="L51" s="11">
        <v>991</v>
      </c>
      <c r="M51" s="11">
        <v>278779224.74483383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50</v>
      </c>
      <c r="E52" s="11">
        <v>29502079.853418209</v>
      </c>
      <c r="F52" s="11">
        <v>0</v>
      </c>
      <c r="G52" s="11">
        <v>0</v>
      </c>
      <c r="H52" s="11">
        <v>0</v>
      </c>
      <c r="I52" s="11">
        <v>0</v>
      </c>
      <c r="J52" s="11">
        <v>627649.7891402716</v>
      </c>
      <c r="K52" s="11">
        <v>0</v>
      </c>
      <c r="L52" s="11">
        <v>50</v>
      </c>
      <c r="M52" s="11">
        <v>29502079.853418209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101</v>
      </c>
      <c r="E53" s="11">
        <v>64532707.261959597</v>
      </c>
      <c r="F53" s="11">
        <v>0</v>
      </c>
      <c r="G53" s="11">
        <v>0</v>
      </c>
      <c r="H53" s="11">
        <v>9</v>
      </c>
      <c r="I53" s="11">
        <v>5250000</v>
      </c>
      <c r="J53" s="11">
        <v>685780.01738582668</v>
      </c>
      <c r="K53" s="11">
        <v>7703691.4381287871</v>
      </c>
      <c r="L53" s="11">
        <v>92</v>
      </c>
      <c r="M53" s="11">
        <v>56829015.823830813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91</v>
      </c>
      <c r="E54" s="11">
        <v>74159342.893094569</v>
      </c>
      <c r="F54" s="11">
        <v>6</v>
      </c>
      <c r="G54" s="11">
        <v>5372727</v>
      </c>
      <c r="H54" s="11">
        <v>3</v>
      </c>
      <c r="I54" s="11">
        <v>2809091</v>
      </c>
      <c r="J54" s="11">
        <v>911496.31089670025</v>
      </c>
      <c r="K54" s="11">
        <v>3413089.7897881349</v>
      </c>
      <c r="L54" s="11">
        <v>94</v>
      </c>
      <c r="M54" s="11">
        <v>76118980.103306428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19</v>
      </c>
      <c r="E55" s="11">
        <v>57261077.492887147</v>
      </c>
      <c r="F55" s="11">
        <v>0</v>
      </c>
      <c r="G55" s="11">
        <v>0</v>
      </c>
      <c r="H55" s="11">
        <v>0</v>
      </c>
      <c r="I55" s="11">
        <v>0</v>
      </c>
      <c r="J55" s="11">
        <v>3138277.0068027209</v>
      </c>
      <c r="K55" s="11">
        <v>0</v>
      </c>
      <c r="L55" s="11">
        <v>19</v>
      </c>
      <c r="M55" s="11">
        <v>57261077.492887147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217</v>
      </c>
      <c r="E56" s="11">
        <v>54737020.743733257</v>
      </c>
      <c r="F56" s="11">
        <v>0</v>
      </c>
      <c r="G56" s="11">
        <v>0</v>
      </c>
      <c r="H56" s="11">
        <v>0</v>
      </c>
      <c r="I56" s="11">
        <v>0</v>
      </c>
      <c r="J56" s="11">
        <v>256320.54751822769</v>
      </c>
      <c r="K56" s="11">
        <v>0</v>
      </c>
      <c r="L56" s="11">
        <v>217</v>
      </c>
      <c r="M56" s="11">
        <v>54737020.743733257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3616</v>
      </c>
      <c r="E57" s="11">
        <v>257839843.50376081</v>
      </c>
      <c r="F57" s="11">
        <v>104</v>
      </c>
      <c r="G57" s="11">
        <v>3310001</v>
      </c>
      <c r="H57" s="11">
        <v>232</v>
      </c>
      <c r="I57" s="11">
        <v>14281819</v>
      </c>
      <c r="J57" s="11">
        <v>71887.982306387232</v>
      </c>
      <c r="K57" s="11">
        <v>20816888.827949788</v>
      </c>
      <c r="L57" s="11">
        <v>3488</v>
      </c>
      <c r="M57" s="11">
        <v>240332955.67581099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21</v>
      </c>
      <c r="E58" s="11">
        <v>4079604.500212294</v>
      </c>
      <c r="F58" s="11">
        <v>0</v>
      </c>
      <c r="G58" s="11">
        <v>0</v>
      </c>
      <c r="H58" s="11">
        <v>0</v>
      </c>
      <c r="I58" s="11">
        <v>0</v>
      </c>
      <c r="J58" s="11">
        <v>206466.26923076919</v>
      </c>
      <c r="K58" s="11">
        <v>0</v>
      </c>
      <c r="L58" s="11">
        <v>21</v>
      </c>
      <c r="M58" s="11">
        <v>4079604.500212294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28935.25</v>
      </c>
      <c r="E59" s="14">
        <f t="shared" si="0"/>
        <v>20939231435.309826</v>
      </c>
      <c r="F59" s="14">
        <f t="shared" si="0"/>
        <v>1289.83</v>
      </c>
      <c r="G59" s="14">
        <f t="shared" si="0"/>
        <v>890284923.99999988</v>
      </c>
      <c r="H59" s="14">
        <f t="shared" si="0"/>
        <v>2102</v>
      </c>
      <c r="I59" s="14">
        <f t="shared" si="0"/>
        <v>1420458661</v>
      </c>
      <c r="J59" s="14">
        <f t="shared" si="0"/>
        <v>282932206.66082704</v>
      </c>
      <c r="K59" s="14">
        <f t="shared" si="0"/>
        <v>1316733339.0282443</v>
      </c>
      <c r="L59" s="14">
        <f t="shared" si="0"/>
        <v>28123.079999999998</v>
      </c>
      <c r="M59" s="14">
        <f t="shared" si="0"/>
        <v>20512783020.281586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topLeftCell="A52" workbookViewId="0">
      <selection activeCell="E1" sqref="E1:M1048576"/>
    </sheetView>
  </sheetViews>
  <sheetFormatPr defaultColWidth="14.42578125" defaultRowHeight="15" customHeight="1" x14ac:dyDescent="0.25"/>
  <cols>
    <col min="1" max="4" width="8.7109375" customWidth="1"/>
    <col min="5" max="5" width="13.85546875" bestFit="1" customWidth="1"/>
    <col min="6" max="6" width="8" bestFit="1" customWidth="1"/>
    <col min="7" max="7" width="12.7109375" bestFit="1" customWidth="1"/>
    <col min="8" max="8" width="7.28515625" bestFit="1" customWidth="1"/>
    <col min="9" max="9" width="12.7109375" bestFit="1" customWidth="1"/>
    <col min="10" max="10" width="19" bestFit="1" customWidth="1"/>
    <col min="11" max="11" width="18.140625" bestFit="1" customWidth="1"/>
    <col min="12" max="12" width="11" bestFit="1" customWidth="1"/>
    <col min="13" max="13" width="13.85546875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543</v>
      </c>
      <c r="E2" s="11">
        <v>219203034.65522149</v>
      </c>
      <c r="F2" s="11">
        <v>39</v>
      </c>
      <c r="G2" s="11">
        <v>16345455</v>
      </c>
      <c r="H2" s="11">
        <v>4</v>
      </c>
      <c r="I2" s="11">
        <v>2563636</v>
      </c>
      <c r="J2" s="11">
        <v>463498.42930212402</v>
      </c>
      <c r="K2" s="11">
        <v>2314087.6347634508</v>
      </c>
      <c r="L2" s="11">
        <v>578</v>
      </c>
      <c r="M2" s="11">
        <v>233234402.02045801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173</v>
      </c>
      <c r="E3" s="11">
        <v>168520960.98661679</v>
      </c>
      <c r="F3" s="11">
        <v>6</v>
      </c>
      <c r="G3" s="11">
        <v>6545455</v>
      </c>
      <c r="H3" s="11">
        <v>25</v>
      </c>
      <c r="I3" s="11">
        <v>23136369</v>
      </c>
      <c r="J3" s="11">
        <v>1099908.94754069</v>
      </c>
      <c r="K3" s="11">
        <v>34321660.198260479</v>
      </c>
      <c r="L3" s="11">
        <v>154</v>
      </c>
      <c r="M3" s="11">
        <v>140744755.7883563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625</v>
      </c>
      <c r="E4" s="11">
        <v>270675445.08524531</v>
      </c>
      <c r="F4" s="11">
        <v>0</v>
      </c>
      <c r="G4" s="11">
        <v>0</v>
      </c>
      <c r="H4" s="11">
        <v>2</v>
      </c>
      <c r="I4" s="11">
        <v>872728</v>
      </c>
      <c r="J4" s="11">
        <v>436722.55738559598</v>
      </c>
      <c r="K4" s="11">
        <v>1090202.4753243839</v>
      </c>
      <c r="L4" s="11">
        <v>623</v>
      </c>
      <c r="M4" s="11">
        <v>269585242.60992092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1135</v>
      </c>
      <c r="E5" s="11">
        <v>153985426.78641841</v>
      </c>
      <c r="F5" s="11">
        <v>64</v>
      </c>
      <c r="G5" s="11">
        <v>4790909</v>
      </c>
      <c r="H5" s="11">
        <v>52</v>
      </c>
      <c r="I5" s="11">
        <v>7327274</v>
      </c>
      <c r="J5" s="11">
        <v>138010.11429437561</v>
      </c>
      <c r="K5" s="11">
        <v>8957479.0851890836</v>
      </c>
      <c r="L5" s="11">
        <v>1147</v>
      </c>
      <c r="M5" s="11">
        <v>149818856.7012293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73</v>
      </c>
      <c r="E6" s="11">
        <v>23279882.335608032</v>
      </c>
      <c r="F6" s="11">
        <v>37</v>
      </c>
      <c r="G6" s="11">
        <v>8739943</v>
      </c>
      <c r="H6" s="11">
        <v>3</v>
      </c>
      <c r="I6" s="11">
        <v>845454</v>
      </c>
      <c r="J6" s="11">
        <v>294894.44098062179</v>
      </c>
      <c r="K6" s="11">
        <v>1104229.5986761339</v>
      </c>
      <c r="L6" s="11">
        <v>107</v>
      </c>
      <c r="M6" s="11">
        <v>30915595.736931901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15</v>
      </c>
      <c r="E7" s="11">
        <v>461486</v>
      </c>
      <c r="F7" s="11">
        <v>0</v>
      </c>
      <c r="G7" s="11">
        <v>0</v>
      </c>
      <c r="H7" s="11">
        <v>0</v>
      </c>
      <c r="I7" s="11">
        <v>0</v>
      </c>
      <c r="J7" s="11">
        <v>30765.73333333333</v>
      </c>
      <c r="K7" s="11">
        <v>0</v>
      </c>
      <c r="L7" s="11">
        <v>15</v>
      </c>
      <c r="M7" s="11">
        <v>461486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1027</v>
      </c>
      <c r="E8" s="11">
        <v>115332836.5651907</v>
      </c>
      <c r="F8" s="11">
        <v>130</v>
      </c>
      <c r="G8" s="11">
        <v>14300000</v>
      </c>
      <c r="H8" s="11">
        <v>39</v>
      </c>
      <c r="I8" s="11">
        <v>6554552</v>
      </c>
      <c r="J8" s="11">
        <v>131162.9773135054</v>
      </c>
      <c r="K8" s="11">
        <v>6384801.751907195</v>
      </c>
      <c r="L8" s="11">
        <v>1118</v>
      </c>
      <c r="M8" s="11">
        <v>123248034.8132835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70</v>
      </c>
      <c r="E9" s="11">
        <v>63353109.610359967</v>
      </c>
      <c r="F9" s="11">
        <v>10</v>
      </c>
      <c r="G9" s="11">
        <v>8545455</v>
      </c>
      <c r="H9" s="11">
        <v>8</v>
      </c>
      <c r="I9" s="11">
        <v>5081816</v>
      </c>
      <c r="J9" s="11">
        <v>970285.37696182949</v>
      </c>
      <c r="K9" s="11">
        <v>9688599.7926676236</v>
      </c>
      <c r="L9" s="11">
        <v>72</v>
      </c>
      <c r="M9" s="11">
        <v>62209964.817692339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2518</v>
      </c>
      <c r="E10" s="11">
        <v>814060875.25261605</v>
      </c>
      <c r="F10" s="11">
        <v>41</v>
      </c>
      <c r="G10" s="11">
        <v>42894832</v>
      </c>
      <c r="H10" s="11">
        <v>33</v>
      </c>
      <c r="I10" s="11">
        <v>58186869</v>
      </c>
      <c r="J10" s="11">
        <v>352025.82677000063</v>
      </c>
      <c r="K10" s="11">
        <v>14499733.183771931</v>
      </c>
      <c r="L10" s="11">
        <v>2526</v>
      </c>
      <c r="M10" s="11">
        <v>842455974.06884408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465</v>
      </c>
      <c r="E11" s="11">
        <v>630114541.59293246</v>
      </c>
      <c r="F11" s="11">
        <v>15</v>
      </c>
      <c r="G11" s="11">
        <v>48009091</v>
      </c>
      <c r="H11" s="11">
        <v>2</v>
      </c>
      <c r="I11" s="11">
        <v>30990909</v>
      </c>
      <c r="J11" s="11">
        <v>1685587.182641753</v>
      </c>
      <c r="K11" s="11">
        <v>4207777.4271425866</v>
      </c>
      <c r="L11" s="11">
        <v>478</v>
      </c>
      <c r="M11" s="11">
        <v>673915855.16578984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85</v>
      </c>
      <c r="E12" s="11">
        <v>231826431.24230129</v>
      </c>
      <c r="F12" s="11">
        <v>0</v>
      </c>
      <c r="G12" s="11">
        <v>0</v>
      </c>
      <c r="H12" s="11">
        <v>3</v>
      </c>
      <c r="I12" s="11">
        <v>14869091</v>
      </c>
      <c r="J12" s="11">
        <v>3044426.6981060151</v>
      </c>
      <c r="K12" s="11">
        <v>11399828.56194099</v>
      </c>
      <c r="L12" s="11">
        <v>82</v>
      </c>
      <c r="M12" s="11">
        <v>220426602.68036029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0</v>
      </c>
      <c r="I13" s="11">
        <v>0</v>
      </c>
      <c r="J13" s="11">
        <v>2888809.5</v>
      </c>
      <c r="K13" s="11">
        <v>0</v>
      </c>
      <c r="L13" s="11">
        <v>4</v>
      </c>
      <c r="M13" s="11">
        <v>11555238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2291</v>
      </c>
      <c r="E14" s="11">
        <v>262390328.07073069</v>
      </c>
      <c r="F14" s="11">
        <v>207</v>
      </c>
      <c r="G14" s="11">
        <v>17080002</v>
      </c>
      <c r="H14" s="11">
        <v>37</v>
      </c>
      <c r="I14" s="11">
        <v>5949999</v>
      </c>
      <c r="J14" s="11">
        <v>119728.50531856689</v>
      </c>
      <c r="K14" s="11">
        <v>5529308.5900162077</v>
      </c>
      <c r="L14" s="11">
        <v>2461</v>
      </c>
      <c r="M14" s="11">
        <v>273941021.4807145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1390</v>
      </c>
      <c r="E15" s="11">
        <v>144541670.21014079</v>
      </c>
      <c r="F15" s="11">
        <v>0</v>
      </c>
      <c r="G15" s="11">
        <v>0</v>
      </c>
      <c r="H15" s="11">
        <v>12</v>
      </c>
      <c r="I15" s="11">
        <v>1190908</v>
      </c>
      <c r="J15" s="11">
        <v>120178.8660245566</v>
      </c>
      <c r="K15" s="11">
        <v>1800034.758991871</v>
      </c>
      <c r="L15" s="11">
        <v>1378</v>
      </c>
      <c r="M15" s="11">
        <v>142741635.4511489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9879.0799999999981</v>
      </c>
      <c r="E16" s="11">
        <v>4937004818.6249533</v>
      </c>
      <c r="F16" s="11">
        <v>669.3</v>
      </c>
      <c r="G16" s="11">
        <v>433136706.66351372</v>
      </c>
      <c r="H16" s="11">
        <v>208</v>
      </c>
      <c r="I16" s="11">
        <v>475103876</v>
      </c>
      <c r="J16" s="11">
        <v>561107.13589666958</v>
      </c>
      <c r="K16" s="11">
        <v>145673538.7849642</v>
      </c>
      <c r="L16" s="11">
        <v>10340.379999999999</v>
      </c>
      <c r="M16" s="11">
        <v>5224467986.5035028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1">
        <v>69600796.156262949</v>
      </c>
      <c r="F17" s="11">
        <v>0</v>
      </c>
      <c r="G17" s="11">
        <v>0</v>
      </c>
      <c r="H17" s="11">
        <v>0</v>
      </c>
      <c r="I17" s="11">
        <v>0</v>
      </c>
      <c r="J17" s="11">
        <v>12629390.38461538</v>
      </c>
      <c r="K17" s="11">
        <v>0</v>
      </c>
      <c r="L17" s="11">
        <v>7</v>
      </c>
      <c r="M17" s="11">
        <v>69600796.156262949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7</v>
      </c>
      <c r="E18" s="11">
        <v>21581629</v>
      </c>
      <c r="F18" s="11">
        <v>0</v>
      </c>
      <c r="G18" s="11">
        <v>0</v>
      </c>
      <c r="H18" s="11">
        <v>0</v>
      </c>
      <c r="I18" s="11">
        <v>0</v>
      </c>
      <c r="J18" s="11">
        <v>3083089.8571428568</v>
      </c>
      <c r="K18" s="11">
        <v>0</v>
      </c>
      <c r="L18" s="11">
        <v>7</v>
      </c>
      <c r="M18" s="11">
        <v>21581629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220</v>
      </c>
      <c r="E19" s="11">
        <v>898128841.68610203</v>
      </c>
      <c r="F19" s="11">
        <v>12</v>
      </c>
      <c r="G19" s="11">
        <v>38036364</v>
      </c>
      <c r="H19" s="11">
        <v>1</v>
      </c>
      <c r="I19" s="11">
        <v>10454545</v>
      </c>
      <c r="J19" s="11">
        <v>4332105.5228649545</v>
      </c>
      <c r="K19" s="11">
        <v>5407176.8042700831</v>
      </c>
      <c r="L19" s="11">
        <v>231</v>
      </c>
      <c r="M19" s="11">
        <v>930758028.881832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36</v>
      </c>
      <c r="E20" s="11">
        <v>372543432.78046513</v>
      </c>
      <c r="F20" s="11">
        <v>2</v>
      </c>
      <c r="G20" s="11">
        <v>24363636</v>
      </c>
      <c r="H20" s="11">
        <v>1</v>
      </c>
      <c r="I20" s="11">
        <v>16540909</v>
      </c>
      <c r="J20" s="11">
        <v>10582751.05952511</v>
      </c>
      <c r="K20" s="11">
        <v>13209005.58686891</v>
      </c>
      <c r="L20" s="11">
        <v>37</v>
      </c>
      <c r="M20" s="11">
        <v>383698063.19359618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20</v>
      </c>
      <c r="E21" s="11">
        <v>166292866.1776768</v>
      </c>
      <c r="F21" s="11">
        <v>0</v>
      </c>
      <c r="G21" s="11">
        <v>0</v>
      </c>
      <c r="H21" s="11">
        <v>0</v>
      </c>
      <c r="I21" s="11">
        <v>0</v>
      </c>
      <c r="J21" s="11">
        <v>10214475.575468419</v>
      </c>
      <c r="K21" s="11">
        <v>0</v>
      </c>
      <c r="L21" s="11">
        <v>20</v>
      </c>
      <c r="M21" s="11">
        <v>166292866.1776768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9</v>
      </c>
      <c r="E22" s="11">
        <v>93442158.203553021</v>
      </c>
      <c r="F22" s="11">
        <v>0</v>
      </c>
      <c r="G22" s="11">
        <v>0</v>
      </c>
      <c r="H22" s="11">
        <v>1</v>
      </c>
      <c r="I22" s="11">
        <v>16627273</v>
      </c>
      <c r="J22" s="11">
        <v>13320923.882352941</v>
      </c>
      <c r="K22" s="11">
        <v>16626693.474555871</v>
      </c>
      <c r="L22" s="11">
        <v>8</v>
      </c>
      <c r="M22" s="11">
        <v>76815464.728997156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19</v>
      </c>
      <c r="E23" s="11">
        <v>192900450.969035</v>
      </c>
      <c r="F23" s="11">
        <v>1</v>
      </c>
      <c r="G23" s="11">
        <v>14363636</v>
      </c>
      <c r="H23" s="11">
        <v>1</v>
      </c>
      <c r="I23" s="11">
        <v>15227272</v>
      </c>
      <c r="J23" s="11">
        <v>13174378.96057388</v>
      </c>
      <c r="K23" s="11">
        <v>16443781.42459655</v>
      </c>
      <c r="L23" s="11">
        <v>19</v>
      </c>
      <c r="M23" s="11">
        <v>190820305.54443851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125</v>
      </c>
      <c r="E24" s="11">
        <v>804926991.3000803</v>
      </c>
      <c r="F24" s="11">
        <v>3</v>
      </c>
      <c r="G24" s="11">
        <v>20085017</v>
      </c>
      <c r="H24" s="11">
        <v>3</v>
      </c>
      <c r="I24" s="11">
        <v>15164142</v>
      </c>
      <c r="J24" s="11">
        <v>6795779.3121709675</v>
      </c>
      <c r="K24" s="11">
        <v>25446734.898143549</v>
      </c>
      <c r="L24" s="11">
        <v>125</v>
      </c>
      <c r="M24" s="11">
        <v>799565273.40193677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2</v>
      </c>
      <c r="E25" s="11">
        <v>45155206</v>
      </c>
      <c r="F25" s="11">
        <v>0</v>
      </c>
      <c r="G25" s="11">
        <v>0</v>
      </c>
      <c r="H25" s="11">
        <v>0</v>
      </c>
      <c r="I25" s="11">
        <v>0</v>
      </c>
      <c r="J25" s="11">
        <v>22577603</v>
      </c>
      <c r="K25" s="11">
        <v>0</v>
      </c>
      <c r="L25" s="11">
        <v>2</v>
      </c>
      <c r="M25" s="11">
        <v>45155206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16</v>
      </c>
      <c r="E26" s="11">
        <v>169683555.26749969</v>
      </c>
      <c r="F26" s="11">
        <v>0</v>
      </c>
      <c r="G26" s="11">
        <v>0</v>
      </c>
      <c r="H26" s="11">
        <v>1</v>
      </c>
      <c r="I26" s="11">
        <v>16181818</v>
      </c>
      <c r="J26" s="11">
        <v>14775663.740756299</v>
      </c>
      <c r="K26" s="11">
        <v>18442446.940644979</v>
      </c>
      <c r="L26" s="11">
        <v>15</v>
      </c>
      <c r="M26" s="11">
        <v>151241108.32685471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28864662.97639408</v>
      </c>
      <c r="F27" s="11">
        <v>0</v>
      </c>
      <c r="G27" s="11">
        <v>0</v>
      </c>
      <c r="H27" s="11">
        <v>0</v>
      </c>
      <c r="I27" s="11">
        <v>0</v>
      </c>
      <c r="J27" s="11">
        <v>16476803.66666667</v>
      </c>
      <c r="K27" s="11">
        <v>0</v>
      </c>
      <c r="L27" s="11">
        <v>2</v>
      </c>
      <c r="M27" s="11">
        <v>28864662.97639408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12</v>
      </c>
      <c r="E28" s="11">
        <v>93840818.465416446</v>
      </c>
      <c r="F28" s="11">
        <v>0</v>
      </c>
      <c r="G28" s="11">
        <v>0</v>
      </c>
      <c r="H28" s="11">
        <v>0</v>
      </c>
      <c r="I28" s="11">
        <v>0</v>
      </c>
      <c r="J28" s="11">
        <v>7985204.692307692</v>
      </c>
      <c r="K28" s="11">
        <v>0</v>
      </c>
      <c r="L28" s="11">
        <v>12</v>
      </c>
      <c r="M28" s="11">
        <v>93840818.465416446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74</v>
      </c>
      <c r="E29" s="11">
        <v>380416099.56582189</v>
      </c>
      <c r="F29" s="11">
        <v>11</v>
      </c>
      <c r="G29" s="11">
        <v>43363636</v>
      </c>
      <c r="H29" s="11">
        <v>5</v>
      </c>
      <c r="I29" s="11">
        <v>67681818</v>
      </c>
      <c r="J29" s="11">
        <v>5279704.5847536996</v>
      </c>
      <c r="K29" s="11">
        <v>32949677.718375091</v>
      </c>
      <c r="L29" s="11">
        <v>80</v>
      </c>
      <c r="M29" s="11">
        <v>390830057.84744692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115</v>
      </c>
      <c r="E30" s="11">
        <v>1018471224.580132</v>
      </c>
      <c r="F30" s="11">
        <v>5</v>
      </c>
      <c r="G30" s="11">
        <v>46808765</v>
      </c>
      <c r="H30" s="11">
        <v>7</v>
      </c>
      <c r="I30" s="11">
        <v>73781818</v>
      </c>
      <c r="J30" s="11">
        <v>9997763.1508230604</v>
      </c>
      <c r="K30" s="11">
        <v>87351914.451002836</v>
      </c>
      <c r="L30" s="11">
        <v>113</v>
      </c>
      <c r="M30" s="11">
        <v>977928075.12912869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187</v>
      </c>
      <c r="E31" s="11">
        <v>1397686954.222795</v>
      </c>
      <c r="F31" s="11">
        <v>20</v>
      </c>
      <c r="G31" s="11">
        <v>215836364</v>
      </c>
      <c r="H31" s="11">
        <v>24</v>
      </c>
      <c r="I31" s="11">
        <v>260109092</v>
      </c>
      <c r="J31" s="11">
        <v>8993788.0918881446</v>
      </c>
      <c r="K31" s="11">
        <v>269417273.03530812</v>
      </c>
      <c r="L31" s="11">
        <v>183</v>
      </c>
      <c r="M31" s="11">
        <v>1344106045.1874869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71</v>
      </c>
      <c r="E33" s="11">
        <v>152076374.2739895</v>
      </c>
      <c r="F33" s="11">
        <v>43</v>
      </c>
      <c r="G33" s="11">
        <v>89090880</v>
      </c>
      <c r="H33" s="11">
        <v>1</v>
      </c>
      <c r="I33" s="11">
        <v>2354545</v>
      </c>
      <c r="J33" s="11">
        <v>2139230.3739612191</v>
      </c>
      <c r="K33" s="11">
        <v>2670109.6720800502</v>
      </c>
      <c r="L33" s="11">
        <v>113</v>
      </c>
      <c r="M33" s="11">
        <v>238497144.60190949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32</v>
      </c>
      <c r="E34" s="11">
        <v>494812297.08472252</v>
      </c>
      <c r="F34" s="11">
        <v>2</v>
      </c>
      <c r="G34" s="11">
        <v>27425679.168102879</v>
      </c>
      <c r="H34" s="11">
        <v>0</v>
      </c>
      <c r="I34" s="11">
        <v>0</v>
      </c>
      <c r="J34" s="11">
        <v>16585320.18852686</v>
      </c>
      <c r="K34" s="11">
        <v>0</v>
      </c>
      <c r="L34" s="11">
        <v>34</v>
      </c>
      <c r="M34" s="11">
        <v>522237976.25282532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15</v>
      </c>
      <c r="E35" s="11">
        <v>161744194.7382068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15</v>
      </c>
      <c r="M35" s="11">
        <v>161744194.7382068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39</v>
      </c>
      <c r="E36" s="11">
        <v>219195293.6143356</v>
      </c>
      <c r="F36" s="11">
        <v>5</v>
      </c>
      <c r="G36" s="11">
        <v>2727273</v>
      </c>
      <c r="H36" s="11">
        <v>0</v>
      </c>
      <c r="I36" s="11">
        <v>0</v>
      </c>
      <c r="J36" s="11">
        <v>6038198.5109055284</v>
      </c>
      <c r="K36" s="11">
        <v>0</v>
      </c>
      <c r="L36" s="11">
        <v>44</v>
      </c>
      <c r="M36" s="11">
        <v>221922566.6143356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111</v>
      </c>
      <c r="E37" s="11">
        <v>277884220.16804218</v>
      </c>
      <c r="F37" s="11">
        <v>0</v>
      </c>
      <c r="G37" s="11">
        <v>0</v>
      </c>
      <c r="H37" s="11">
        <v>1</v>
      </c>
      <c r="I37" s="11">
        <v>1445454</v>
      </c>
      <c r="J37" s="11">
        <v>2802040.9829446631</v>
      </c>
      <c r="K37" s="11">
        <v>3497405.8059353591</v>
      </c>
      <c r="L37" s="11">
        <v>110</v>
      </c>
      <c r="M37" s="11">
        <v>274386814.3621068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188</v>
      </c>
      <c r="E38" s="11">
        <v>710080490.45337617</v>
      </c>
      <c r="F38" s="11">
        <v>13</v>
      </c>
      <c r="G38" s="11">
        <v>72030165</v>
      </c>
      <c r="H38" s="11">
        <v>6</v>
      </c>
      <c r="I38" s="11">
        <v>65209092</v>
      </c>
      <c r="J38" s="11">
        <v>4147474.1731036622</v>
      </c>
      <c r="K38" s="11">
        <v>31060359.947489381</v>
      </c>
      <c r="L38" s="11">
        <v>195</v>
      </c>
      <c r="M38" s="11">
        <v>751050295.50588679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201</v>
      </c>
      <c r="E39" s="11">
        <v>999139487.07791173</v>
      </c>
      <c r="F39" s="11">
        <v>18</v>
      </c>
      <c r="G39" s="11">
        <v>149805062.36623231</v>
      </c>
      <c r="H39" s="11">
        <v>1</v>
      </c>
      <c r="I39" s="11">
        <v>3809091</v>
      </c>
      <c r="J39" s="11">
        <v>5455777.2442229651</v>
      </c>
      <c r="K39" s="11">
        <v>6809703.0435947189</v>
      </c>
      <c r="L39" s="11">
        <v>218</v>
      </c>
      <c r="M39" s="11">
        <v>1142134846.4005489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44</v>
      </c>
      <c r="E40" s="11">
        <v>176479205.03194731</v>
      </c>
      <c r="F40" s="11">
        <v>3</v>
      </c>
      <c r="G40" s="11">
        <v>58287347.802151129</v>
      </c>
      <c r="H40" s="11">
        <v>1</v>
      </c>
      <c r="I40" s="11">
        <v>15081818</v>
      </c>
      <c r="J40" s="11">
        <v>5019250.606265082</v>
      </c>
      <c r="K40" s="11">
        <v>6264846.345447883</v>
      </c>
      <c r="L40" s="11">
        <v>46</v>
      </c>
      <c r="M40" s="11">
        <v>228501706.48865059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79</v>
      </c>
      <c r="E41" s="11">
        <v>283169683.55372173</v>
      </c>
      <c r="F41" s="11">
        <v>1</v>
      </c>
      <c r="G41" s="11">
        <v>4807673</v>
      </c>
      <c r="H41" s="11">
        <v>2</v>
      </c>
      <c r="I41" s="11">
        <v>10072728</v>
      </c>
      <c r="J41" s="11">
        <v>3944337.2034797962</v>
      </c>
      <c r="K41" s="11">
        <v>9846356.937663326</v>
      </c>
      <c r="L41" s="11">
        <v>78</v>
      </c>
      <c r="M41" s="11">
        <v>278130999.61605841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409</v>
      </c>
      <c r="E42" s="11">
        <v>878431154.31178844</v>
      </c>
      <c r="F42" s="11">
        <v>4</v>
      </c>
      <c r="G42" s="11">
        <v>12267856</v>
      </c>
      <c r="H42" s="11">
        <v>20</v>
      </c>
      <c r="I42" s="11">
        <v>48545455</v>
      </c>
      <c r="J42" s="11">
        <v>2599992.8166869502</v>
      </c>
      <c r="K42" s="11">
        <v>64904332.433532767</v>
      </c>
      <c r="L42" s="11">
        <v>393</v>
      </c>
      <c r="M42" s="11">
        <v>825794677.87825572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595</v>
      </c>
      <c r="E43" s="11">
        <v>1094094921.4817531</v>
      </c>
      <c r="F43" s="11">
        <v>91</v>
      </c>
      <c r="G43" s="11">
        <v>81949091</v>
      </c>
      <c r="H43" s="11">
        <v>26</v>
      </c>
      <c r="I43" s="11">
        <v>70909092</v>
      </c>
      <c r="J43" s="11">
        <v>1931461.6171174571</v>
      </c>
      <c r="K43" s="11">
        <v>62680286.613892719</v>
      </c>
      <c r="L43" s="11">
        <v>660</v>
      </c>
      <c r="M43" s="11">
        <v>1113363725.867861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6</v>
      </c>
      <c r="E44" s="11">
        <v>24352573</v>
      </c>
      <c r="F44" s="11">
        <v>0</v>
      </c>
      <c r="G44" s="11">
        <v>0</v>
      </c>
      <c r="H44" s="11">
        <v>2</v>
      </c>
      <c r="I44" s="11">
        <v>9363637</v>
      </c>
      <c r="J44" s="11">
        <v>4058762.166666667</v>
      </c>
      <c r="K44" s="11">
        <v>10131999.105661269</v>
      </c>
      <c r="L44" s="11">
        <v>4</v>
      </c>
      <c r="M44" s="11">
        <v>14220573.894338731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20</v>
      </c>
      <c r="E45" s="11">
        <v>110850938.3092373</v>
      </c>
      <c r="F45" s="11">
        <v>3</v>
      </c>
      <c r="G45" s="11">
        <v>11863636</v>
      </c>
      <c r="H45" s="11">
        <v>2</v>
      </c>
      <c r="I45" s="11">
        <v>14818182</v>
      </c>
      <c r="J45" s="11">
        <v>5657842.7314692829</v>
      </c>
      <c r="K45" s="11">
        <v>14123827.694564899</v>
      </c>
      <c r="L45" s="11">
        <v>21</v>
      </c>
      <c r="M45" s="11">
        <v>108590746.61467239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19</v>
      </c>
      <c r="E46" s="11">
        <v>83908557.194665506</v>
      </c>
      <c r="F46" s="11">
        <v>1</v>
      </c>
      <c r="G46" s="11">
        <v>454545</v>
      </c>
      <c r="H46" s="11">
        <v>0</v>
      </c>
      <c r="I46" s="11">
        <v>0</v>
      </c>
      <c r="J46" s="11">
        <v>4733111.7485592104</v>
      </c>
      <c r="K46" s="11">
        <v>0</v>
      </c>
      <c r="L46" s="11">
        <v>20</v>
      </c>
      <c r="M46" s="11">
        <v>84363102.194665506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12</v>
      </c>
      <c r="E47" s="11">
        <v>8439846.3015468195</v>
      </c>
      <c r="F47" s="11">
        <v>1</v>
      </c>
      <c r="G47" s="11">
        <v>2727273</v>
      </c>
      <c r="H47" s="11">
        <v>1</v>
      </c>
      <c r="I47" s="11">
        <v>3263636</v>
      </c>
      <c r="J47" s="11">
        <v>970385.82735042728</v>
      </c>
      <c r="K47" s="11">
        <v>1211200.352610901</v>
      </c>
      <c r="L47" s="11">
        <v>12</v>
      </c>
      <c r="M47" s="11">
        <v>9955918.9489359185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137</v>
      </c>
      <c r="E48" s="11">
        <v>51193089.639761053</v>
      </c>
      <c r="F48" s="11">
        <v>0</v>
      </c>
      <c r="G48" s="11">
        <v>0</v>
      </c>
      <c r="H48" s="11">
        <v>10</v>
      </c>
      <c r="I48" s="11">
        <v>5000000</v>
      </c>
      <c r="J48" s="11">
        <v>408397.24682614743</v>
      </c>
      <c r="K48" s="11">
        <v>5097466.1358334292</v>
      </c>
      <c r="L48" s="11">
        <v>127</v>
      </c>
      <c r="M48" s="11">
        <v>46095623.503927633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23</v>
      </c>
      <c r="E49" s="11">
        <v>141978384.02465889</v>
      </c>
      <c r="F49" s="11">
        <v>3</v>
      </c>
      <c r="G49" s="11">
        <v>30172728</v>
      </c>
      <c r="H49" s="11">
        <v>2</v>
      </c>
      <c r="I49" s="11">
        <v>26354546</v>
      </c>
      <c r="J49" s="11">
        <v>7697327.3573388802</v>
      </c>
      <c r="K49" s="11">
        <v>19215048.997214269</v>
      </c>
      <c r="L49" s="11">
        <v>24</v>
      </c>
      <c r="M49" s="11">
        <v>152936063.0274446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3</v>
      </c>
      <c r="E50" s="11">
        <v>1187651</v>
      </c>
      <c r="F50" s="11">
        <v>1</v>
      </c>
      <c r="G50" s="11">
        <v>80000</v>
      </c>
      <c r="H50" s="11">
        <v>0</v>
      </c>
      <c r="I50" s="11">
        <v>0</v>
      </c>
      <c r="J50" s="11">
        <v>316912.75</v>
      </c>
      <c r="K50" s="11">
        <v>0</v>
      </c>
      <c r="L50" s="11">
        <v>4</v>
      </c>
      <c r="M50" s="11">
        <v>1267651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991</v>
      </c>
      <c r="E51" s="11">
        <v>278779224.74483383</v>
      </c>
      <c r="F51" s="11">
        <v>1</v>
      </c>
      <c r="G51" s="11">
        <v>786364</v>
      </c>
      <c r="H51" s="11">
        <v>57</v>
      </c>
      <c r="I51" s="11">
        <v>20918182</v>
      </c>
      <c r="J51" s="11">
        <v>304902.85772036551</v>
      </c>
      <c r="K51" s="11">
        <v>21692414.48847761</v>
      </c>
      <c r="L51" s="11">
        <v>935</v>
      </c>
      <c r="M51" s="11">
        <v>257873174.25635609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50</v>
      </c>
      <c r="E52" s="11">
        <v>29502079.853418209</v>
      </c>
      <c r="F52" s="11">
        <v>0</v>
      </c>
      <c r="G52" s="11">
        <v>0</v>
      </c>
      <c r="H52" s="11">
        <v>6</v>
      </c>
      <c r="I52" s="11">
        <v>4681818</v>
      </c>
      <c r="J52" s="11">
        <v>627649.7891402716</v>
      </c>
      <c r="K52" s="11">
        <v>4700458.0518156709</v>
      </c>
      <c r="L52" s="11">
        <v>44</v>
      </c>
      <c r="M52" s="11">
        <v>24801621.801602539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92</v>
      </c>
      <c r="E53" s="11">
        <v>56829015.823830813</v>
      </c>
      <c r="F53" s="11">
        <v>1</v>
      </c>
      <c r="G53" s="11">
        <v>3350000</v>
      </c>
      <c r="H53" s="11">
        <v>22</v>
      </c>
      <c r="I53" s="11">
        <v>12590000</v>
      </c>
      <c r="J53" s="11">
        <v>714427.54408060282</v>
      </c>
      <c r="K53" s="11">
        <v>19617895.393935312</v>
      </c>
      <c r="L53" s="11">
        <v>71</v>
      </c>
      <c r="M53" s="11">
        <v>40561120.429895513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94</v>
      </c>
      <c r="E54" s="11">
        <v>76118980.103306428</v>
      </c>
      <c r="F54" s="11">
        <v>6</v>
      </c>
      <c r="G54" s="11">
        <v>5400000</v>
      </c>
      <c r="H54" s="11">
        <v>3</v>
      </c>
      <c r="I54" s="11">
        <v>3136364</v>
      </c>
      <c r="J54" s="11">
        <v>910806.53224289825</v>
      </c>
      <c r="K54" s="11">
        <v>3410506.9197837692</v>
      </c>
      <c r="L54" s="11">
        <v>97</v>
      </c>
      <c r="M54" s="11">
        <v>78108473.183522657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19</v>
      </c>
      <c r="E55" s="11">
        <v>57261077.492887147</v>
      </c>
      <c r="F55" s="11">
        <v>0</v>
      </c>
      <c r="G55" s="11">
        <v>0</v>
      </c>
      <c r="H55" s="11">
        <v>1</v>
      </c>
      <c r="I55" s="11">
        <v>3990909</v>
      </c>
      <c r="J55" s="11">
        <v>3138277.0068027209</v>
      </c>
      <c r="K55" s="11">
        <v>3917083.4013608131</v>
      </c>
      <c r="L55" s="11">
        <v>18</v>
      </c>
      <c r="M55" s="11">
        <v>53343994.091526337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217</v>
      </c>
      <c r="E56" s="11">
        <v>54737020.743733257</v>
      </c>
      <c r="F56" s="11">
        <v>12</v>
      </c>
      <c r="G56" s="11">
        <v>854546</v>
      </c>
      <c r="H56" s="11">
        <v>0</v>
      </c>
      <c r="I56" s="11">
        <v>0</v>
      </c>
      <c r="J56" s="11">
        <v>246620.5450281896</v>
      </c>
      <c r="K56" s="11">
        <v>0</v>
      </c>
      <c r="L56" s="11">
        <v>229</v>
      </c>
      <c r="M56" s="11">
        <v>55591566.743733257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3488</v>
      </c>
      <c r="E57" s="11">
        <v>240332955.67581099</v>
      </c>
      <c r="F57" s="11">
        <v>350</v>
      </c>
      <c r="G57" s="11">
        <v>7318183</v>
      </c>
      <c r="H57" s="11">
        <v>222</v>
      </c>
      <c r="I57" s="11">
        <v>37327275</v>
      </c>
      <c r="J57" s="11">
        <v>67239.04775525759</v>
      </c>
      <c r="K57" s="11">
        <v>18631424.990152329</v>
      </c>
      <c r="L57" s="11">
        <v>3616</v>
      </c>
      <c r="M57" s="11">
        <v>229019713.68565869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21</v>
      </c>
      <c r="E58" s="11">
        <v>4079604.500212294</v>
      </c>
      <c r="F58" s="11">
        <v>0</v>
      </c>
      <c r="G58" s="11">
        <v>0</v>
      </c>
      <c r="H58" s="11">
        <v>0</v>
      </c>
      <c r="I58" s="11">
        <v>0</v>
      </c>
      <c r="J58" s="11">
        <v>206466.26923076919</v>
      </c>
      <c r="K58" s="11">
        <v>0</v>
      </c>
      <c r="L58" s="11">
        <v>21</v>
      </c>
      <c r="M58" s="11">
        <v>4079604.500212294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28123.079999999998</v>
      </c>
      <c r="E59" s="14">
        <f t="shared" si="0"/>
        <v>20512783020.281586</v>
      </c>
      <c r="F59" s="14">
        <f t="shared" si="0"/>
        <v>1831.3</v>
      </c>
      <c r="G59" s="14">
        <f t="shared" si="0"/>
        <v>1564643569.0000002</v>
      </c>
      <c r="H59" s="14">
        <f t="shared" si="0"/>
        <v>858</v>
      </c>
      <c r="I59" s="14">
        <f t="shared" si="0"/>
        <v>1483313992</v>
      </c>
      <c r="J59" s="14">
        <f t="shared" si="0"/>
        <v>283167836.59870565</v>
      </c>
      <c r="K59" s="14">
        <f t="shared" si="0"/>
        <v>1041748712.5084286</v>
      </c>
      <c r="L59" s="14">
        <f t="shared" si="0"/>
        <v>29096.379999999997</v>
      </c>
      <c r="M59" s="14">
        <f t="shared" si="0"/>
        <v>21035677876.773155</v>
      </c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topLeftCell="A58" workbookViewId="0">
      <selection activeCell="E60" sqref="E60"/>
    </sheetView>
  </sheetViews>
  <sheetFormatPr defaultColWidth="14.42578125" defaultRowHeight="15" customHeight="1" x14ac:dyDescent="0.25"/>
  <cols>
    <col min="1" max="3" width="8.7109375" customWidth="1"/>
    <col min="4" max="4" width="10.5703125" bestFit="1" customWidth="1"/>
    <col min="5" max="5" width="13.85546875" bestFit="1" customWidth="1"/>
    <col min="6" max="6" width="8" bestFit="1" customWidth="1"/>
    <col min="7" max="7" width="12.7109375" bestFit="1" customWidth="1"/>
    <col min="8" max="8" width="7.28515625" bestFit="1" customWidth="1"/>
    <col min="9" max="9" width="12.7109375" bestFit="1" customWidth="1"/>
    <col min="10" max="10" width="19" bestFit="1" customWidth="1"/>
    <col min="11" max="11" width="18.140625" bestFit="1" customWidth="1"/>
    <col min="12" max="12" width="11" bestFit="1" customWidth="1"/>
    <col min="13" max="13" width="13.85546875" bestFit="1" customWidth="1"/>
    <col min="14" max="26" width="8.7109375" customWidth="1"/>
  </cols>
  <sheetData>
    <row r="1" spans="1:13" x14ac:dyDescent="0.25">
      <c r="A1" s="9" t="s">
        <v>0</v>
      </c>
      <c r="B1" s="9" t="s">
        <v>1</v>
      </c>
      <c r="C1" s="9" t="s">
        <v>151</v>
      </c>
      <c r="D1" s="9" t="s">
        <v>3</v>
      </c>
      <c r="E1" s="9" t="s">
        <v>4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8</v>
      </c>
      <c r="M1" s="9" t="s">
        <v>9</v>
      </c>
    </row>
    <row r="2" spans="1:13" x14ac:dyDescent="0.25">
      <c r="A2" s="10">
        <v>1</v>
      </c>
      <c r="B2" s="10" t="s">
        <v>34</v>
      </c>
      <c r="C2" s="10" t="s">
        <v>35</v>
      </c>
      <c r="D2" s="11">
        <v>578</v>
      </c>
      <c r="E2" s="11">
        <v>233234402.02045801</v>
      </c>
      <c r="F2" s="11">
        <v>18</v>
      </c>
      <c r="G2" s="11">
        <v>9268181</v>
      </c>
      <c r="H2" s="11">
        <v>120</v>
      </c>
      <c r="I2" s="11">
        <v>44787233</v>
      </c>
      <c r="J2" s="11">
        <v>465050.79385340208</v>
      </c>
      <c r="K2" s="11">
        <v>69655141.650432765</v>
      </c>
      <c r="L2" s="11">
        <v>476</v>
      </c>
      <c r="M2" s="11">
        <v>172847441.37002519</v>
      </c>
    </row>
    <row r="3" spans="1:13" x14ac:dyDescent="0.25">
      <c r="A3" s="10">
        <v>2</v>
      </c>
      <c r="B3" s="10" t="s">
        <v>36</v>
      </c>
      <c r="C3" s="10" t="s">
        <v>37</v>
      </c>
      <c r="D3" s="11">
        <v>154</v>
      </c>
      <c r="E3" s="11">
        <v>140744755.7883563</v>
      </c>
      <c r="F3" s="11">
        <v>22</v>
      </c>
      <c r="G3" s="11">
        <v>30145449</v>
      </c>
      <c r="H3" s="11">
        <v>23</v>
      </c>
      <c r="I3" s="11">
        <v>24325454</v>
      </c>
      <c r="J3" s="11">
        <v>1133701.289325377</v>
      </c>
      <c r="K3" s="11">
        <v>32546029.982856039</v>
      </c>
      <c r="L3" s="11">
        <v>153</v>
      </c>
      <c r="M3" s="11">
        <v>138344174.8055003</v>
      </c>
    </row>
    <row r="4" spans="1:13" x14ac:dyDescent="0.25">
      <c r="A4" s="10">
        <v>3</v>
      </c>
      <c r="B4" s="10" t="s">
        <v>38</v>
      </c>
      <c r="C4" s="10" t="s">
        <v>39</v>
      </c>
      <c r="D4" s="11">
        <v>623</v>
      </c>
      <c r="E4" s="11">
        <v>269585242.60992092</v>
      </c>
      <c r="F4" s="11">
        <v>0</v>
      </c>
      <c r="G4" s="11">
        <v>0</v>
      </c>
      <c r="H4" s="11">
        <v>29</v>
      </c>
      <c r="I4" s="11">
        <v>12836368</v>
      </c>
      <c r="J4" s="11">
        <v>436722.55738559598</v>
      </c>
      <c r="K4" s="11">
        <v>15807935.892203569</v>
      </c>
      <c r="L4" s="11">
        <v>594</v>
      </c>
      <c r="M4" s="11">
        <v>253777306.71771729</v>
      </c>
    </row>
    <row r="5" spans="1:13" x14ac:dyDescent="0.25">
      <c r="A5" s="10">
        <v>4</v>
      </c>
      <c r="B5" s="10" t="s">
        <v>40</v>
      </c>
      <c r="C5" s="10" t="s">
        <v>41</v>
      </c>
      <c r="D5" s="11">
        <v>1147</v>
      </c>
      <c r="E5" s="11">
        <v>149818856.7012293</v>
      </c>
      <c r="F5" s="11">
        <v>163</v>
      </c>
      <c r="G5" s="11">
        <v>27409091</v>
      </c>
      <c r="H5" s="11">
        <v>440</v>
      </c>
      <c r="I5" s="11">
        <v>67052731</v>
      </c>
      <c r="J5" s="11">
        <v>141760.83366080059</v>
      </c>
      <c r="K5" s="11">
        <v>77853918.95251137</v>
      </c>
      <c r="L5" s="11">
        <v>870</v>
      </c>
      <c r="M5" s="11">
        <v>99374028.748717934</v>
      </c>
    </row>
    <row r="6" spans="1:13" x14ac:dyDescent="0.25">
      <c r="A6" s="10">
        <v>5</v>
      </c>
      <c r="B6" s="10" t="s">
        <v>42</v>
      </c>
      <c r="C6" s="10" t="s">
        <v>43</v>
      </c>
      <c r="D6" s="11">
        <v>107</v>
      </c>
      <c r="E6" s="11">
        <v>30915595.736931901</v>
      </c>
      <c r="F6" s="11">
        <v>5</v>
      </c>
      <c r="G6" s="11">
        <v>5235322</v>
      </c>
      <c r="H6" s="11">
        <v>11</v>
      </c>
      <c r="I6" s="11">
        <v>5655455</v>
      </c>
      <c r="J6" s="11">
        <v>328473.45700827253</v>
      </c>
      <c r="K6" s="11">
        <v>4509875.0549751902</v>
      </c>
      <c r="L6" s="11">
        <v>101</v>
      </c>
      <c r="M6" s="11">
        <v>31641042.681956708</v>
      </c>
    </row>
    <row r="7" spans="1:13" x14ac:dyDescent="0.25">
      <c r="A7" s="10">
        <v>6</v>
      </c>
      <c r="B7" s="10" t="s">
        <v>44</v>
      </c>
      <c r="C7" s="10" t="s">
        <v>45</v>
      </c>
      <c r="D7" s="11">
        <v>15</v>
      </c>
      <c r="E7" s="11">
        <v>461486</v>
      </c>
      <c r="F7" s="11">
        <v>4</v>
      </c>
      <c r="G7" s="11">
        <v>127272</v>
      </c>
      <c r="H7" s="11">
        <v>0</v>
      </c>
      <c r="I7" s="11">
        <v>0</v>
      </c>
      <c r="J7" s="11">
        <v>30987.26315789474</v>
      </c>
      <c r="K7" s="11">
        <v>0</v>
      </c>
      <c r="L7" s="11">
        <v>19</v>
      </c>
      <c r="M7" s="11">
        <v>588758</v>
      </c>
    </row>
    <row r="8" spans="1:13" x14ac:dyDescent="0.25">
      <c r="A8" s="10">
        <v>7</v>
      </c>
      <c r="B8" s="10" t="s">
        <v>46</v>
      </c>
      <c r="C8" s="10" t="s">
        <v>47</v>
      </c>
      <c r="D8" s="11">
        <v>1118</v>
      </c>
      <c r="E8" s="11">
        <v>123248034.8132835</v>
      </c>
      <c r="F8" s="11">
        <v>634</v>
      </c>
      <c r="G8" s="11">
        <v>73118180</v>
      </c>
      <c r="H8" s="11">
        <v>344</v>
      </c>
      <c r="I8" s="11">
        <v>42463633</v>
      </c>
      <c r="J8" s="11">
        <v>125432.8702263123</v>
      </c>
      <c r="K8" s="11">
        <v>53856899.321481742</v>
      </c>
      <c r="L8" s="11">
        <v>1408</v>
      </c>
      <c r="M8" s="11">
        <v>142509315.4918018</v>
      </c>
    </row>
    <row r="9" spans="1:13" x14ac:dyDescent="0.25">
      <c r="A9" s="10">
        <v>8</v>
      </c>
      <c r="B9" s="10" t="s">
        <v>48</v>
      </c>
      <c r="C9" s="10" t="s">
        <v>49</v>
      </c>
      <c r="D9" s="11">
        <v>72</v>
      </c>
      <c r="E9" s="11">
        <v>62209964.817692339</v>
      </c>
      <c r="F9" s="11">
        <v>15</v>
      </c>
      <c r="G9" s="11">
        <v>16772727</v>
      </c>
      <c r="H9" s="11">
        <v>10</v>
      </c>
      <c r="I9" s="11">
        <v>13200000</v>
      </c>
      <c r="J9" s="11">
        <v>995784.76024427277</v>
      </c>
      <c r="K9" s="11">
        <v>12429023.7835149</v>
      </c>
      <c r="L9" s="11">
        <v>77</v>
      </c>
      <c r="M9" s="11">
        <v>66553668.034177437</v>
      </c>
    </row>
    <row r="10" spans="1:13" x14ac:dyDescent="0.25">
      <c r="A10" s="10">
        <v>9</v>
      </c>
      <c r="B10" s="10" t="s">
        <v>50</v>
      </c>
      <c r="C10" s="10" t="s">
        <v>51</v>
      </c>
      <c r="D10" s="11">
        <v>2526</v>
      </c>
      <c r="E10" s="11">
        <v>842455974.06884408</v>
      </c>
      <c r="F10" s="11">
        <v>334</v>
      </c>
      <c r="G10" s="11">
        <v>44907645.924274802</v>
      </c>
      <c r="H10" s="11">
        <v>38</v>
      </c>
      <c r="I10" s="11">
        <v>78736365</v>
      </c>
      <c r="J10" s="11">
        <v>326617.09242842533</v>
      </c>
      <c r="K10" s="11">
        <v>15491520.591074619</v>
      </c>
      <c r="L10" s="11">
        <v>2822</v>
      </c>
      <c r="M10" s="11">
        <v>871872099.4020443</v>
      </c>
    </row>
    <row r="11" spans="1:13" x14ac:dyDescent="0.25">
      <c r="A11" s="10">
        <v>10</v>
      </c>
      <c r="B11" s="10" t="s">
        <v>52</v>
      </c>
      <c r="C11" s="10" t="s">
        <v>53</v>
      </c>
      <c r="D11" s="11">
        <v>478</v>
      </c>
      <c r="E11" s="11">
        <v>673915855.16578984</v>
      </c>
      <c r="F11" s="11">
        <v>28</v>
      </c>
      <c r="G11" s="11">
        <v>61018182</v>
      </c>
      <c r="H11" s="11">
        <v>40</v>
      </c>
      <c r="I11" s="11">
        <v>127090002</v>
      </c>
      <c r="J11" s="11">
        <v>1712902.8760924069</v>
      </c>
      <c r="K11" s="11">
        <v>85519326.809464708</v>
      </c>
      <c r="L11" s="11">
        <v>466</v>
      </c>
      <c r="M11" s="11">
        <v>649414710.35632515</v>
      </c>
    </row>
    <row r="12" spans="1:13" x14ac:dyDescent="0.25">
      <c r="A12" s="10">
        <v>11</v>
      </c>
      <c r="B12" s="10" t="s">
        <v>54</v>
      </c>
      <c r="C12" s="10" t="s">
        <v>55</v>
      </c>
      <c r="D12" s="11">
        <v>82</v>
      </c>
      <c r="E12" s="11">
        <v>220426602.68036029</v>
      </c>
      <c r="F12" s="11">
        <v>5</v>
      </c>
      <c r="G12" s="11">
        <v>10500000</v>
      </c>
      <c r="H12" s="11">
        <v>6</v>
      </c>
      <c r="I12" s="11">
        <v>25918181</v>
      </c>
      <c r="J12" s="11">
        <v>2990149.3016631412</v>
      </c>
      <c r="K12" s="11">
        <v>22393174.672113821</v>
      </c>
      <c r="L12" s="11">
        <v>81</v>
      </c>
      <c r="M12" s="11">
        <v>208533428.00824651</v>
      </c>
    </row>
    <row r="13" spans="1:13" x14ac:dyDescent="0.25">
      <c r="A13" s="10">
        <v>12</v>
      </c>
      <c r="B13" s="10" t="s">
        <v>56</v>
      </c>
      <c r="C13" s="10" t="s">
        <v>57</v>
      </c>
      <c r="D13" s="11">
        <v>4</v>
      </c>
      <c r="E13" s="11">
        <v>11555238</v>
      </c>
      <c r="F13" s="11">
        <v>0</v>
      </c>
      <c r="G13" s="11">
        <v>0</v>
      </c>
      <c r="H13" s="11">
        <v>2</v>
      </c>
      <c r="I13" s="11">
        <v>6236364</v>
      </c>
      <c r="J13" s="11">
        <v>2888809.5</v>
      </c>
      <c r="K13" s="11">
        <v>7211414.236292595</v>
      </c>
      <c r="L13" s="11">
        <v>2</v>
      </c>
      <c r="M13" s="11">
        <v>4343823.763707405</v>
      </c>
    </row>
    <row r="14" spans="1:13" x14ac:dyDescent="0.25">
      <c r="A14" s="10">
        <v>13</v>
      </c>
      <c r="B14" s="10" t="s">
        <v>58</v>
      </c>
      <c r="C14" s="10" t="s">
        <v>59</v>
      </c>
      <c r="D14" s="11">
        <v>2461</v>
      </c>
      <c r="E14" s="11">
        <v>273941021.4807145</v>
      </c>
      <c r="F14" s="11">
        <v>734</v>
      </c>
      <c r="G14" s="11">
        <v>59933886.624184422</v>
      </c>
      <c r="H14" s="11">
        <v>164</v>
      </c>
      <c r="I14" s="11">
        <v>29245443</v>
      </c>
      <c r="J14" s="11">
        <v>110981.45170991471</v>
      </c>
      <c r="K14" s="11">
        <v>22717774.954587512</v>
      </c>
      <c r="L14" s="11">
        <v>3031</v>
      </c>
      <c r="M14" s="11">
        <v>311157133.15031141</v>
      </c>
    </row>
    <row r="15" spans="1:13" x14ac:dyDescent="0.25">
      <c r="A15" s="10">
        <v>14</v>
      </c>
      <c r="B15" s="10" t="s">
        <v>60</v>
      </c>
      <c r="C15" s="10" t="s">
        <v>61</v>
      </c>
      <c r="D15" s="11">
        <v>1378</v>
      </c>
      <c r="E15" s="11">
        <v>142741635.4511489</v>
      </c>
      <c r="F15" s="11">
        <v>112</v>
      </c>
      <c r="G15" s="11">
        <v>36049998</v>
      </c>
      <c r="H15" s="11">
        <v>617</v>
      </c>
      <c r="I15" s="11">
        <v>30563635</v>
      </c>
      <c r="J15" s="11">
        <v>135339.91636365041</v>
      </c>
      <c r="K15" s="11">
        <v>104227569.72298551</v>
      </c>
      <c r="L15" s="11">
        <v>873</v>
      </c>
      <c r="M15" s="11">
        <v>74564063.728163466</v>
      </c>
    </row>
    <row r="16" spans="1:13" x14ac:dyDescent="0.25">
      <c r="A16" s="10">
        <v>15</v>
      </c>
      <c r="B16" s="10" t="s">
        <v>62</v>
      </c>
      <c r="C16" s="10" t="s">
        <v>63</v>
      </c>
      <c r="D16" s="11">
        <v>10340.379999999999</v>
      </c>
      <c r="E16" s="11">
        <v>5224467986.5035028</v>
      </c>
      <c r="F16" s="11">
        <v>1044.6199999999999</v>
      </c>
      <c r="G16" s="11">
        <v>354579939.54893428</v>
      </c>
      <c r="H16" s="11">
        <v>1357</v>
      </c>
      <c r="I16" s="11">
        <v>946840305</v>
      </c>
      <c r="J16" s="11">
        <v>540767.75980958622</v>
      </c>
      <c r="K16" s="11">
        <v>915929786.3768543</v>
      </c>
      <c r="L16" s="11">
        <v>10028</v>
      </c>
      <c r="M16" s="11">
        <v>4663118139.6755829</v>
      </c>
    </row>
    <row r="17" spans="1:13" x14ac:dyDescent="0.25">
      <c r="A17" s="10">
        <v>16</v>
      </c>
      <c r="B17" s="10" t="s">
        <v>64</v>
      </c>
      <c r="C17" s="10" t="s">
        <v>65</v>
      </c>
      <c r="D17" s="11">
        <v>7</v>
      </c>
      <c r="E17" s="11">
        <v>69600796.156262949</v>
      </c>
      <c r="F17" s="11">
        <v>0</v>
      </c>
      <c r="G17" s="11">
        <v>0</v>
      </c>
      <c r="H17" s="11">
        <v>1</v>
      </c>
      <c r="I17" s="11">
        <v>14727273</v>
      </c>
      <c r="J17" s="11">
        <v>12629390.38461538</v>
      </c>
      <c r="K17" s="11">
        <v>15763546.47395617</v>
      </c>
      <c r="L17" s="11">
        <v>6</v>
      </c>
      <c r="M17" s="11">
        <v>53837249.682306781</v>
      </c>
    </row>
    <row r="18" spans="1:13" x14ac:dyDescent="0.25">
      <c r="A18" s="10">
        <v>17</v>
      </c>
      <c r="B18" s="10" t="s">
        <v>66</v>
      </c>
      <c r="C18" s="10" t="s">
        <v>67</v>
      </c>
      <c r="D18" s="11">
        <v>7</v>
      </c>
      <c r="E18" s="11">
        <v>21581629</v>
      </c>
      <c r="F18" s="11">
        <v>1</v>
      </c>
      <c r="G18" s="11">
        <v>3363636</v>
      </c>
      <c r="H18" s="11">
        <v>0</v>
      </c>
      <c r="I18" s="11">
        <v>0</v>
      </c>
      <c r="J18" s="11">
        <v>3118158.125</v>
      </c>
      <c r="K18" s="11">
        <v>0</v>
      </c>
      <c r="L18" s="11">
        <v>8</v>
      </c>
      <c r="M18" s="11">
        <v>24945265</v>
      </c>
    </row>
    <row r="19" spans="1:13" x14ac:dyDescent="0.25">
      <c r="A19" s="10">
        <v>18</v>
      </c>
      <c r="B19" s="10" t="s">
        <v>68</v>
      </c>
      <c r="C19" s="10" t="s">
        <v>69</v>
      </c>
      <c r="D19" s="11">
        <v>231</v>
      </c>
      <c r="E19" s="11">
        <v>930758028.881832</v>
      </c>
      <c r="F19" s="11">
        <v>16</v>
      </c>
      <c r="G19" s="11">
        <v>50613636</v>
      </c>
      <c r="H19" s="11">
        <v>77</v>
      </c>
      <c r="I19" s="11">
        <v>136390936</v>
      </c>
      <c r="J19" s="11">
        <v>4256396.8088332163</v>
      </c>
      <c r="K19" s="11">
        <v>409076355.11701763</v>
      </c>
      <c r="L19" s="11">
        <v>170</v>
      </c>
      <c r="M19" s="11">
        <v>572295309.76481438</v>
      </c>
    </row>
    <row r="20" spans="1:13" x14ac:dyDescent="0.25">
      <c r="A20" s="10">
        <v>19</v>
      </c>
      <c r="B20" s="10" t="s">
        <v>70</v>
      </c>
      <c r="C20" s="10" t="s">
        <v>71</v>
      </c>
      <c r="D20" s="11">
        <v>37</v>
      </c>
      <c r="E20" s="11">
        <v>383698063.19359618</v>
      </c>
      <c r="F20" s="11">
        <v>0</v>
      </c>
      <c r="G20" s="11">
        <v>0</v>
      </c>
      <c r="H20" s="11">
        <v>15</v>
      </c>
      <c r="I20" s="11">
        <v>150804545</v>
      </c>
      <c r="J20" s="11">
        <v>10582751.05952511</v>
      </c>
      <c r="K20" s="11">
        <v>198135083.80303359</v>
      </c>
      <c r="L20" s="11">
        <v>22</v>
      </c>
      <c r="M20" s="11">
        <v>185562979.39056271</v>
      </c>
    </row>
    <row r="21" spans="1:13" ht="15.75" customHeight="1" x14ac:dyDescent="0.25">
      <c r="A21" s="10">
        <v>20</v>
      </c>
      <c r="B21" s="10" t="s">
        <v>72</v>
      </c>
      <c r="C21" s="10" t="s">
        <v>73</v>
      </c>
      <c r="D21" s="11">
        <v>20</v>
      </c>
      <c r="E21" s="11">
        <v>166292866.1776768</v>
      </c>
      <c r="F21" s="11">
        <v>0</v>
      </c>
      <c r="G21" s="11">
        <v>0</v>
      </c>
      <c r="H21" s="11">
        <v>0</v>
      </c>
      <c r="I21" s="11">
        <v>0</v>
      </c>
      <c r="J21" s="11">
        <v>10214475.575468419</v>
      </c>
      <c r="K21" s="11">
        <v>0</v>
      </c>
      <c r="L21" s="11">
        <v>20</v>
      </c>
      <c r="M21" s="11">
        <v>166292866.1776768</v>
      </c>
    </row>
    <row r="22" spans="1:13" ht="15.75" customHeight="1" x14ac:dyDescent="0.25">
      <c r="A22" s="10">
        <v>21</v>
      </c>
      <c r="B22" s="10" t="s">
        <v>74</v>
      </c>
      <c r="C22" s="10" t="s">
        <v>75</v>
      </c>
      <c r="D22" s="11">
        <v>8</v>
      </c>
      <c r="E22" s="11">
        <v>76815464.728997156</v>
      </c>
      <c r="F22" s="11">
        <v>0</v>
      </c>
      <c r="G22" s="11">
        <v>0</v>
      </c>
      <c r="H22" s="11">
        <v>0</v>
      </c>
      <c r="I22" s="11">
        <v>0</v>
      </c>
      <c r="J22" s="11">
        <v>13320923.882352941</v>
      </c>
      <c r="K22" s="11">
        <v>0</v>
      </c>
      <c r="L22" s="11">
        <v>8</v>
      </c>
      <c r="M22" s="11">
        <v>76815464.728997156</v>
      </c>
    </row>
    <row r="23" spans="1:13" ht="15.75" customHeight="1" x14ac:dyDescent="0.25">
      <c r="A23" s="10">
        <v>22</v>
      </c>
      <c r="B23" s="10" t="s">
        <v>76</v>
      </c>
      <c r="C23" s="10" t="s">
        <v>77</v>
      </c>
      <c r="D23" s="11">
        <v>19</v>
      </c>
      <c r="E23" s="11">
        <v>190820305.54443851</v>
      </c>
      <c r="F23" s="11">
        <v>10</v>
      </c>
      <c r="G23" s="11">
        <v>116905798.0757252</v>
      </c>
      <c r="H23" s="11">
        <v>0</v>
      </c>
      <c r="I23" s="11">
        <v>0</v>
      </c>
      <c r="J23" s="11">
        <v>12662724.08022858</v>
      </c>
      <c r="K23" s="11">
        <v>0</v>
      </c>
      <c r="L23" s="11">
        <v>29</v>
      </c>
      <c r="M23" s="11">
        <v>307726103.62016368</v>
      </c>
    </row>
    <row r="24" spans="1:13" ht="15.75" customHeight="1" x14ac:dyDescent="0.25">
      <c r="A24" s="10">
        <v>23</v>
      </c>
      <c r="B24" s="10" t="s">
        <v>78</v>
      </c>
      <c r="C24" s="10" t="s">
        <v>79</v>
      </c>
      <c r="D24" s="11">
        <v>125</v>
      </c>
      <c r="E24" s="11">
        <v>799565273.40193677</v>
      </c>
      <c r="F24" s="11">
        <v>0</v>
      </c>
      <c r="G24" s="11">
        <v>0</v>
      </c>
      <c r="H24" s="11">
        <v>32</v>
      </c>
      <c r="I24" s="11">
        <v>475000000</v>
      </c>
      <c r="J24" s="11">
        <v>6795779.3121709675</v>
      </c>
      <c r="K24" s="11">
        <v>271431838.91353118</v>
      </c>
      <c r="L24" s="11">
        <v>93</v>
      </c>
      <c r="M24" s="11">
        <v>528133434.48840553</v>
      </c>
    </row>
    <row r="25" spans="1:13" ht="15.75" customHeight="1" x14ac:dyDescent="0.25">
      <c r="A25" s="10">
        <v>24</v>
      </c>
      <c r="B25" s="10" t="s">
        <v>80</v>
      </c>
      <c r="C25" s="10" t="s">
        <v>81</v>
      </c>
      <c r="D25" s="11">
        <v>2</v>
      </c>
      <c r="E25" s="11">
        <v>45155206</v>
      </c>
      <c r="F25" s="11">
        <v>0</v>
      </c>
      <c r="G25" s="11">
        <v>0</v>
      </c>
      <c r="H25" s="11">
        <v>0</v>
      </c>
      <c r="I25" s="11">
        <v>0</v>
      </c>
      <c r="J25" s="11">
        <v>22577603</v>
      </c>
      <c r="K25" s="11">
        <v>0</v>
      </c>
      <c r="L25" s="11">
        <v>2</v>
      </c>
      <c r="M25" s="11">
        <v>45155206</v>
      </c>
    </row>
    <row r="26" spans="1:13" ht="15.75" customHeight="1" x14ac:dyDescent="0.25">
      <c r="A26" s="10">
        <v>25</v>
      </c>
      <c r="B26" s="10" t="s">
        <v>82</v>
      </c>
      <c r="C26" s="10" t="s">
        <v>83</v>
      </c>
      <c r="D26" s="11">
        <v>15</v>
      </c>
      <c r="E26" s="11">
        <v>151241108.32685471</v>
      </c>
      <c r="F26" s="11">
        <v>10</v>
      </c>
      <c r="G26" s="11">
        <v>163955452</v>
      </c>
      <c r="H26" s="11">
        <v>0</v>
      </c>
      <c r="I26" s="11">
        <v>0</v>
      </c>
      <c r="J26" s="11">
        <v>15423616.32445378</v>
      </c>
      <c r="K26" s="11">
        <v>0</v>
      </c>
      <c r="L26" s="11">
        <v>25</v>
      </c>
      <c r="M26" s="11">
        <v>315196560.32685471</v>
      </c>
    </row>
    <row r="27" spans="1:13" ht="15.75" customHeight="1" x14ac:dyDescent="0.25">
      <c r="A27" s="10">
        <v>26</v>
      </c>
      <c r="B27" s="10" t="s">
        <v>84</v>
      </c>
      <c r="C27" s="10" t="s">
        <v>85</v>
      </c>
      <c r="D27" s="11">
        <v>2</v>
      </c>
      <c r="E27" s="11">
        <v>28864662.97639408</v>
      </c>
      <c r="F27" s="11">
        <v>0</v>
      </c>
      <c r="G27" s="11">
        <v>0</v>
      </c>
      <c r="H27" s="11">
        <v>0</v>
      </c>
      <c r="I27" s="11">
        <v>0</v>
      </c>
      <c r="J27" s="11">
        <v>16476803.66666667</v>
      </c>
      <c r="K27" s="11">
        <v>0</v>
      </c>
      <c r="L27" s="11">
        <v>2</v>
      </c>
      <c r="M27" s="11">
        <v>28864662.97639408</v>
      </c>
    </row>
    <row r="28" spans="1:13" ht="15.75" customHeight="1" x14ac:dyDescent="0.25">
      <c r="A28" s="10">
        <v>27</v>
      </c>
      <c r="B28" s="10" t="s">
        <v>86</v>
      </c>
      <c r="C28" s="10" t="s">
        <v>87</v>
      </c>
      <c r="D28" s="11">
        <v>12</v>
      </c>
      <c r="E28" s="11">
        <v>93840818.465416446</v>
      </c>
      <c r="F28" s="11">
        <v>0</v>
      </c>
      <c r="G28" s="11">
        <v>0</v>
      </c>
      <c r="H28" s="11">
        <v>5</v>
      </c>
      <c r="I28" s="11">
        <v>44272726</v>
      </c>
      <c r="J28" s="11">
        <v>7985204.692307692</v>
      </c>
      <c r="K28" s="11">
        <v>49834212.672917798</v>
      </c>
      <c r="L28" s="11">
        <v>7</v>
      </c>
      <c r="M28" s="11">
        <v>44006605.792498648</v>
      </c>
    </row>
    <row r="29" spans="1:13" ht="15.75" customHeight="1" x14ac:dyDescent="0.25">
      <c r="A29" s="10">
        <v>28</v>
      </c>
      <c r="B29" s="10" t="s">
        <v>88</v>
      </c>
      <c r="C29" s="10" t="s">
        <v>89</v>
      </c>
      <c r="D29" s="11">
        <v>80</v>
      </c>
      <c r="E29" s="11">
        <v>390830057.84744692</v>
      </c>
      <c r="F29" s="11">
        <v>4</v>
      </c>
      <c r="G29" s="11">
        <v>30000000</v>
      </c>
      <c r="H29" s="11">
        <v>1</v>
      </c>
      <c r="I29" s="11">
        <v>15581818</v>
      </c>
      <c r="J29" s="11">
        <v>5385432.9378606658</v>
      </c>
      <c r="K29" s="11">
        <v>6721901.8347674813</v>
      </c>
      <c r="L29" s="11">
        <v>83</v>
      </c>
      <c r="M29" s="11">
        <v>414108156.0126794</v>
      </c>
    </row>
    <row r="30" spans="1:13" ht="15.75" customHeight="1" x14ac:dyDescent="0.25">
      <c r="A30" s="10">
        <v>29</v>
      </c>
      <c r="B30" s="10" t="s">
        <v>90</v>
      </c>
      <c r="C30" s="10" t="s">
        <v>91</v>
      </c>
      <c r="D30" s="11">
        <v>113</v>
      </c>
      <c r="E30" s="11">
        <v>977928075.12912869</v>
      </c>
      <c r="F30" s="11">
        <v>17</v>
      </c>
      <c r="G30" s="11">
        <v>162090714</v>
      </c>
      <c r="H30" s="11">
        <v>13</v>
      </c>
      <c r="I30" s="11">
        <v>116036364</v>
      </c>
      <c r="J30" s="11">
        <v>9937215.0003308151</v>
      </c>
      <c r="K30" s="11">
        <v>161242521.9441292</v>
      </c>
      <c r="L30" s="11">
        <v>117</v>
      </c>
      <c r="M30" s="11">
        <v>978776267.18499947</v>
      </c>
    </row>
    <row r="31" spans="1:13" ht="15.75" customHeight="1" x14ac:dyDescent="0.25">
      <c r="A31" s="10">
        <v>30</v>
      </c>
      <c r="B31" s="10" t="s">
        <v>92</v>
      </c>
      <c r="C31" s="10" t="s">
        <v>93</v>
      </c>
      <c r="D31" s="11">
        <v>183</v>
      </c>
      <c r="E31" s="11">
        <v>1344106045.1874869</v>
      </c>
      <c r="F31" s="11">
        <v>0</v>
      </c>
      <c r="G31" s="11">
        <v>0</v>
      </c>
      <c r="H31" s="11">
        <v>2</v>
      </c>
      <c r="I31" s="11">
        <v>16718182</v>
      </c>
      <c r="J31" s="11">
        <v>8993788.0918881446</v>
      </c>
      <c r="K31" s="11">
        <v>22451439.41960901</v>
      </c>
      <c r="L31" s="11">
        <v>181</v>
      </c>
      <c r="M31" s="11">
        <v>1321654605.7678781</v>
      </c>
    </row>
    <row r="32" spans="1:13" ht="15.75" customHeight="1" x14ac:dyDescent="0.25">
      <c r="A32" s="10">
        <v>31</v>
      </c>
      <c r="B32" s="10" t="s">
        <v>94</v>
      </c>
      <c r="C32" s="10" t="s">
        <v>95</v>
      </c>
      <c r="D32" s="11">
        <v>3</v>
      </c>
      <c r="E32" s="11">
        <v>46282927.71431572</v>
      </c>
      <c r="F32" s="11">
        <v>0</v>
      </c>
      <c r="G32" s="11">
        <v>0</v>
      </c>
      <c r="H32" s="11">
        <v>0</v>
      </c>
      <c r="I32" s="11">
        <v>0</v>
      </c>
      <c r="J32" s="11">
        <v>18543002.1875</v>
      </c>
      <c r="K32" s="11">
        <v>0</v>
      </c>
      <c r="L32" s="11">
        <v>3</v>
      </c>
      <c r="M32" s="11">
        <v>46282927.71431572</v>
      </c>
    </row>
    <row r="33" spans="1:13" ht="15.75" customHeight="1" x14ac:dyDescent="0.25">
      <c r="A33" s="10">
        <v>32</v>
      </c>
      <c r="B33" s="10" t="s">
        <v>96</v>
      </c>
      <c r="C33" s="10" t="s">
        <v>97</v>
      </c>
      <c r="D33" s="11">
        <v>113</v>
      </c>
      <c r="E33" s="11">
        <v>238497144.60190949</v>
      </c>
      <c r="F33" s="11">
        <v>0</v>
      </c>
      <c r="G33" s="11">
        <v>0</v>
      </c>
      <c r="H33" s="11">
        <v>7</v>
      </c>
      <c r="I33" s="11">
        <v>17498183</v>
      </c>
      <c r="J33" s="11">
        <v>2139230.3739612191</v>
      </c>
      <c r="K33" s="11">
        <v>18690767.704560351</v>
      </c>
      <c r="L33" s="11">
        <v>106</v>
      </c>
      <c r="M33" s="11">
        <v>219806376.89734909</v>
      </c>
    </row>
    <row r="34" spans="1:13" ht="15.75" customHeight="1" x14ac:dyDescent="0.25">
      <c r="A34" s="10">
        <v>33</v>
      </c>
      <c r="B34" s="10" t="s">
        <v>98</v>
      </c>
      <c r="C34" s="10" t="s">
        <v>99</v>
      </c>
      <c r="D34" s="11">
        <v>34</v>
      </c>
      <c r="E34" s="11">
        <v>522237976.25282532</v>
      </c>
      <c r="F34" s="11">
        <v>1</v>
      </c>
      <c r="G34" s="11">
        <v>13783165.82688126</v>
      </c>
      <c r="H34" s="11">
        <v>3</v>
      </c>
      <c r="I34" s="11">
        <v>50699999</v>
      </c>
      <c r="J34" s="11">
        <v>16505258.63533699</v>
      </c>
      <c r="K34" s="11">
        <v>61803793.446691677</v>
      </c>
      <c r="L34" s="11">
        <v>32</v>
      </c>
      <c r="M34" s="11">
        <v>474217348.63301492</v>
      </c>
    </row>
    <row r="35" spans="1:13" ht="15.75" customHeight="1" x14ac:dyDescent="0.25">
      <c r="A35" s="10">
        <v>34</v>
      </c>
      <c r="B35" s="10" t="s">
        <v>100</v>
      </c>
      <c r="C35" s="10" t="s">
        <v>101</v>
      </c>
      <c r="D35" s="11">
        <v>15</v>
      </c>
      <c r="E35" s="11">
        <v>161744194.7382068</v>
      </c>
      <c r="F35" s="11">
        <v>0</v>
      </c>
      <c r="G35" s="11">
        <v>0</v>
      </c>
      <c r="H35" s="11">
        <v>0</v>
      </c>
      <c r="I35" s="11">
        <v>0</v>
      </c>
      <c r="J35" s="11">
        <v>11346083.5</v>
      </c>
      <c r="K35" s="11">
        <v>0</v>
      </c>
      <c r="L35" s="11">
        <v>15</v>
      </c>
      <c r="M35" s="11">
        <v>161744194.7382068</v>
      </c>
    </row>
    <row r="36" spans="1:13" ht="15.75" customHeight="1" x14ac:dyDescent="0.25">
      <c r="A36" s="10">
        <v>35</v>
      </c>
      <c r="B36" s="10" t="s">
        <v>102</v>
      </c>
      <c r="C36" s="10" t="s">
        <v>103</v>
      </c>
      <c r="D36" s="11">
        <v>44</v>
      </c>
      <c r="E36" s="11">
        <v>221922566.6143356</v>
      </c>
      <c r="F36" s="11">
        <v>6</v>
      </c>
      <c r="G36" s="11">
        <v>3363636</v>
      </c>
      <c r="H36" s="11">
        <v>0</v>
      </c>
      <c r="I36" s="11">
        <v>0</v>
      </c>
      <c r="J36" s="11">
        <v>5380887.4095968651</v>
      </c>
      <c r="K36" s="11">
        <v>0</v>
      </c>
      <c r="L36" s="11">
        <v>50</v>
      </c>
      <c r="M36" s="11">
        <v>225286202.6143356</v>
      </c>
    </row>
    <row r="37" spans="1:13" ht="15.75" customHeight="1" x14ac:dyDescent="0.25">
      <c r="A37" s="10">
        <v>36</v>
      </c>
      <c r="B37" s="10" t="s">
        <v>104</v>
      </c>
      <c r="C37" s="10" t="s">
        <v>105</v>
      </c>
      <c r="D37" s="11">
        <v>110</v>
      </c>
      <c r="E37" s="11">
        <v>274386814.3621068</v>
      </c>
      <c r="F37" s="11">
        <v>0</v>
      </c>
      <c r="G37" s="11">
        <v>0</v>
      </c>
      <c r="H37" s="11">
        <v>8</v>
      </c>
      <c r="I37" s="11">
        <v>10409091</v>
      </c>
      <c r="J37" s="11">
        <v>2802040.9829446631</v>
      </c>
      <c r="K37" s="11">
        <v>27979246.447482869</v>
      </c>
      <c r="L37" s="11">
        <v>102</v>
      </c>
      <c r="M37" s="11">
        <v>246407567.91462389</v>
      </c>
    </row>
    <row r="38" spans="1:13" ht="15.75" customHeight="1" x14ac:dyDescent="0.25">
      <c r="A38" s="10">
        <v>37</v>
      </c>
      <c r="B38" s="10" t="s">
        <v>106</v>
      </c>
      <c r="C38" s="10" t="s">
        <v>107</v>
      </c>
      <c r="D38" s="11">
        <v>195</v>
      </c>
      <c r="E38" s="11">
        <v>751050295.50588679</v>
      </c>
      <c r="F38" s="11">
        <v>64</v>
      </c>
      <c r="G38" s="11">
        <v>421282721</v>
      </c>
      <c r="H38" s="11">
        <v>9</v>
      </c>
      <c r="I38" s="11">
        <v>71545454</v>
      </c>
      <c r="J38" s="11">
        <v>4749189.9025297835</v>
      </c>
      <c r="K38" s="11">
        <v>53349897.434504241</v>
      </c>
      <c r="L38" s="11">
        <v>250</v>
      </c>
      <c r="M38" s="11">
        <v>1118983119.071383</v>
      </c>
    </row>
    <row r="39" spans="1:13" ht="15.75" customHeight="1" x14ac:dyDescent="0.25">
      <c r="A39" s="10">
        <v>38</v>
      </c>
      <c r="B39" s="10" t="s">
        <v>108</v>
      </c>
      <c r="C39" s="10" t="s">
        <v>109</v>
      </c>
      <c r="D39" s="11">
        <v>218</v>
      </c>
      <c r="E39" s="11">
        <v>1142134846.4005489</v>
      </c>
      <c r="F39" s="11">
        <v>44</v>
      </c>
      <c r="G39" s="11">
        <v>243872724</v>
      </c>
      <c r="H39" s="11">
        <v>18</v>
      </c>
      <c r="I39" s="11">
        <v>112099997</v>
      </c>
      <c r="J39" s="11">
        <v>5470351.7680939185</v>
      </c>
      <c r="K39" s="11">
        <v>122902099.83096761</v>
      </c>
      <c r="L39" s="11">
        <v>244</v>
      </c>
      <c r="M39" s="11">
        <v>1263105470.569582</v>
      </c>
    </row>
    <row r="40" spans="1:13" ht="15.75" customHeight="1" x14ac:dyDescent="0.25">
      <c r="A40" s="10">
        <v>39</v>
      </c>
      <c r="B40" s="10" t="s">
        <v>110</v>
      </c>
      <c r="C40" s="10" t="s">
        <v>111</v>
      </c>
      <c r="D40" s="11">
        <v>46</v>
      </c>
      <c r="E40" s="11">
        <v>228501706.48865059</v>
      </c>
      <c r="F40" s="11">
        <v>0</v>
      </c>
      <c r="G40" s="11">
        <v>0</v>
      </c>
      <c r="H40" s="11">
        <v>3</v>
      </c>
      <c r="I40" s="11">
        <v>35636364</v>
      </c>
      <c r="J40" s="11">
        <v>5019250.606265082</v>
      </c>
      <c r="K40" s="11">
        <v>18794539.036343649</v>
      </c>
      <c r="L40" s="11">
        <v>43</v>
      </c>
      <c r="M40" s="11">
        <v>209707167.4523069</v>
      </c>
    </row>
    <row r="41" spans="1:13" ht="15.75" customHeight="1" x14ac:dyDescent="0.25">
      <c r="A41" s="10">
        <v>40</v>
      </c>
      <c r="B41" s="10" t="s">
        <v>112</v>
      </c>
      <c r="C41" s="10" t="s">
        <v>113</v>
      </c>
      <c r="D41" s="11">
        <v>78</v>
      </c>
      <c r="E41" s="11">
        <v>278130999.61605841</v>
      </c>
      <c r="F41" s="11">
        <v>0</v>
      </c>
      <c r="G41" s="11">
        <v>0</v>
      </c>
      <c r="H41" s="11">
        <v>6</v>
      </c>
      <c r="I41" s="11">
        <v>30809093</v>
      </c>
      <c r="J41" s="11">
        <v>3944337.2034797962</v>
      </c>
      <c r="K41" s="11">
        <v>29539070.81298998</v>
      </c>
      <c r="L41" s="11">
        <v>72</v>
      </c>
      <c r="M41" s="11">
        <v>248591928.8030684</v>
      </c>
    </row>
    <row r="42" spans="1:13" ht="15.75" customHeight="1" x14ac:dyDescent="0.25">
      <c r="A42" s="10">
        <v>41</v>
      </c>
      <c r="B42" s="10" t="s">
        <v>114</v>
      </c>
      <c r="C42" s="10" t="s">
        <v>115</v>
      </c>
      <c r="D42" s="11">
        <v>393</v>
      </c>
      <c r="E42" s="11">
        <v>825794677.87825572</v>
      </c>
      <c r="F42" s="11">
        <v>2</v>
      </c>
      <c r="G42" s="11">
        <v>4027273</v>
      </c>
      <c r="H42" s="11">
        <v>9</v>
      </c>
      <c r="I42" s="11">
        <v>23909094</v>
      </c>
      <c r="J42" s="11">
        <v>2597023.9239442311</v>
      </c>
      <c r="K42" s="11">
        <v>29173598.618066542</v>
      </c>
      <c r="L42" s="11">
        <v>386</v>
      </c>
      <c r="M42" s="11">
        <v>800648352.26018918</v>
      </c>
    </row>
    <row r="43" spans="1:13" ht="15.75" customHeight="1" x14ac:dyDescent="0.25">
      <c r="A43" s="10">
        <v>42</v>
      </c>
      <c r="B43" s="10" t="s">
        <v>116</v>
      </c>
      <c r="C43" s="10" t="s">
        <v>117</v>
      </c>
      <c r="D43" s="11">
        <v>660</v>
      </c>
      <c r="E43" s="11">
        <v>1113363725.867861</v>
      </c>
      <c r="F43" s="11">
        <v>133</v>
      </c>
      <c r="G43" s="11">
        <v>355977273.93773592</v>
      </c>
      <c r="H43" s="11">
        <v>111</v>
      </c>
      <c r="I43" s="11">
        <v>278910902</v>
      </c>
      <c r="J43" s="11">
        <v>2056421.111267664</v>
      </c>
      <c r="K43" s="11">
        <v>284909267.47065151</v>
      </c>
      <c r="L43" s="11">
        <v>682</v>
      </c>
      <c r="M43" s="11">
        <v>1184431732.334945</v>
      </c>
    </row>
    <row r="44" spans="1:13" ht="15.75" customHeight="1" x14ac:dyDescent="0.25">
      <c r="A44" s="10">
        <v>43</v>
      </c>
      <c r="B44" s="10" t="s">
        <v>118</v>
      </c>
      <c r="C44" s="10" t="s">
        <v>119</v>
      </c>
      <c r="D44" s="11">
        <v>4</v>
      </c>
      <c r="E44" s="11">
        <v>14220573.894338731</v>
      </c>
      <c r="F44" s="11">
        <v>7</v>
      </c>
      <c r="G44" s="11">
        <v>29545455.062264148</v>
      </c>
      <c r="H44" s="11">
        <v>1</v>
      </c>
      <c r="I44" s="11">
        <v>4177273</v>
      </c>
      <c r="J44" s="11">
        <v>4161863.9753573472</v>
      </c>
      <c r="K44" s="11">
        <v>5194687.4865589552</v>
      </c>
      <c r="L44" s="11">
        <v>10</v>
      </c>
      <c r="M44" s="11">
        <v>38571341.470043927</v>
      </c>
    </row>
    <row r="45" spans="1:13" ht="15.75" customHeight="1" x14ac:dyDescent="0.25">
      <c r="A45" s="10">
        <v>44</v>
      </c>
      <c r="B45" s="10" t="s">
        <v>120</v>
      </c>
      <c r="C45" s="10" t="s">
        <v>121</v>
      </c>
      <c r="D45" s="11">
        <v>21</v>
      </c>
      <c r="E45" s="11">
        <v>108590746.61467239</v>
      </c>
      <c r="F45" s="11">
        <v>2</v>
      </c>
      <c r="G45" s="11">
        <v>11454546</v>
      </c>
      <c r="H45" s="11">
        <v>1</v>
      </c>
      <c r="I45" s="11">
        <v>7000000</v>
      </c>
      <c r="J45" s="11">
        <v>5663880.1461241273</v>
      </c>
      <c r="K45" s="11">
        <v>7069449.5290213004</v>
      </c>
      <c r="L45" s="11">
        <v>22</v>
      </c>
      <c r="M45" s="11">
        <v>112975843.0856511</v>
      </c>
    </row>
    <row r="46" spans="1:13" ht="15.75" customHeight="1" x14ac:dyDescent="0.25">
      <c r="A46" s="10">
        <v>45</v>
      </c>
      <c r="B46" s="10" t="s">
        <v>122</v>
      </c>
      <c r="C46" s="10" t="s">
        <v>123</v>
      </c>
      <c r="D46" s="11">
        <v>20</v>
      </c>
      <c r="E46" s="11">
        <v>84363102.194665506</v>
      </c>
      <c r="F46" s="11">
        <v>2</v>
      </c>
      <c r="G46" s="11">
        <v>454546</v>
      </c>
      <c r="H46" s="11">
        <v>0</v>
      </c>
      <c r="I46" s="11">
        <v>0</v>
      </c>
      <c r="J46" s="11">
        <v>4323490.0441447366</v>
      </c>
      <c r="K46" s="11">
        <v>0</v>
      </c>
      <c r="L46" s="11">
        <v>22</v>
      </c>
      <c r="M46" s="11">
        <v>84817648.194665506</v>
      </c>
    </row>
    <row r="47" spans="1:13" ht="15.75" customHeight="1" x14ac:dyDescent="0.25">
      <c r="A47" s="10">
        <v>46</v>
      </c>
      <c r="B47" s="10" t="s">
        <v>124</v>
      </c>
      <c r="C47" s="10" t="s">
        <v>125</v>
      </c>
      <c r="D47" s="11">
        <v>12</v>
      </c>
      <c r="E47" s="11">
        <v>9955918.9489359185</v>
      </c>
      <c r="F47" s="11">
        <v>20</v>
      </c>
      <c r="G47" s="11">
        <v>13090909</v>
      </c>
      <c r="H47" s="11">
        <v>0</v>
      </c>
      <c r="I47" s="11">
        <v>0</v>
      </c>
      <c r="J47" s="11">
        <v>772985.59150641027</v>
      </c>
      <c r="K47" s="11">
        <v>0</v>
      </c>
      <c r="L47" s="11">
        <v>32</v>
      </c>
      <c r="M47" s="11">
        <v>23046827.948935919</v>
      </c>
    </row>
    <row r="48" spans="1:13" ht="15.75" customHeight="1" x14ac:dyDescent="0.25">
      <c r="A48" s="10">
        <v>47</v>
      </c>
      <c r="B48" s="10" t="s">
        <v>126</v>
      </c>
      <c r="C48" s="10" t="s">
        <v>127</v>
      </c>
      <c r="D48" s="11">
        <v>127</v>
      </c>
      <c r="E48" s="11">
        <v>46095623.503927633</v>
      </c>
      <c r="F48" s="11">
        <v>0</v>
      </c>
      <c r="G48" s="11">
        <v>0</v>
      </c>
      <c r="H48" s="11">
        <v>0</v>
      </c>
      <c r="I48" s="11">
        <v>0</v>
      </c>
      <c r="J48" s="11">
        <v>408397.24682614743</v>
      </c>
      <c r="K48" s="11">
        <v>0</v>
      </c>
      <c r="L48" s="11">
        <v>127</v>
      </c>
      <c r="M48" s="11">
        <v>46095623.503927633</v>
      </c>
    </row>
    <row r="49" spans="1:13" ht="15.75" customHeight="1" x14ac:dyDescent="0.25">
      <c r="A49" s="10">
        <v>48</v>
      </c>
      <c r="B49" s="10" t="s">
        <v>128</v>
      </c>
      <c r="C49" s="10" t="s">
        <v>129</v>
      </c>
      <c r="D49" s="11">
        <v>24</v>
      </c>
      <c r="E49" s="11">
        <v>152936063.0274446</v>
      </c>
      <c r="F49" s="11">
        <v>1</v>
      </c>
      <c r="G49" s="11">
        <v>6109091</v>
      </c>
      <c r="H49" s="11">
        <v>1</v>
      </c>
      <c r="I49" s="11">
        <v>7263636</v>
      </c>
      <c r="J49" s="11">
        <v>7633797.9030453255</v>
      </c>
      <c r="K49" s="11">
        <v>9528229.3406681232</v>
      </c>
      <c r="L49" s="11">
        <v>24</v>
      </c>
      <c r="M49" s="11">
        <v>149516924.68677649</v>
      </c>
    </row>
    <row r="50" spans="1:13" ht="15.75" customHeight="1" x14ac:dyDescent="0.25">
      <c r="A50" s="10">
        <v>49</v>
      </c>
      <c r="B50" s="10" t="s">
        <v>130</v>
      </c>
      <c r="C50" s="10" t="s">
        <v>131</v>
      </c>
      <c r="D50" s="11">
        <v>4</v>
      </c>
      <c r="E50" s="11">
        <v>1267651</v>
      </c>
      <c r="F50" s="11">
        <v>1</v>
      </c>
      <c r="G50" s="11">
        <v>1400000</v>
      </c>
      <c r="H50" s="11">
        <v>0</v>
      </c>
      <c r="I50" s="11">
        <v>0</v>
      </c>
      <c r="J50" s="11">
        <v>533530.19999999995</v>
      </c>
      <c r="K50" s="11">
        <v>0</v>
      </c>
      <c r="L50" s="11">
        <v>5</v>
      </c>
      <c r="M50" s="11">
        <v>2667651</v>
      </c>
    </row>
    <row r="51" spans="1:13" ht="15.75" customHeight="1" x14ac:dyDescent="0.25">
      <c r="A51" s="10">
        <v>50</v>
      </c>
      <c r="B51" s="10" t="s">
        <v>132</v>
      </c>
      <c r="C51" s="10" t="s">
        <v>133</v>
      </c>
      <c r="D51" s="11">
        <v>935</v>
      </c>
      <c r="E51" s="11">
        <v>257873174.25635609</v>
      </c>
      <c r="F51" s="11">
        <v>0</v>
      </c>
      <c r="G51" s="11">
        <v>0</v>
      </c>
      <c r="H51" s="11">
        <v>112</v>
      </c>
      <c r="I51" s="11">
        <v>51409092</v>
      </c>
      <c r="J51" s="11">
        <v>304902.85772036551</v>
      </c>
      <c r="K51" s="11">
        <v>42623691.62648233</v>
      </c>
      <c r="L51" s="11">
        <v>823</v>
      </c>
      <c r="M51" s="11">
        <v>215249482.62987381</v>
      </c>
    </row>
    <row r="52" spans="1:13" ht="15.75" customHeight="1" x14ac:dyDescent="0.25">
      <c r="A52" s="10">
        <v>51</v>
      </c>
      <c r="B52" s="10" t="s">
        <v>134</v>
      </c>
      <c r="C52" s="10" t="s">
        <v>135</v>
      </c>
      <c r="D52" s="11">
        <v>44</v>
      </c>
      <c r="E52" s="11">
        <v>24801621.801602539</v>
      </c>
      <c r="F52" s="11">
        <v>0</v>
      </c>
      <c r="G52" s="11">
        <v>0</v>
      </c>
      <c r="H52" s="11">
        <v>4</v>
      </c>
      <c r="I52" s="11">
        <v>3499999</v>
      </c>
      <c r="J52" s="11">
        <v>627649.7891402716</v>
      </c>
      <c r="K52" s="11">
        <v>3133638.7012104471</v>
      </c>
      <c r="L52" s="11">
        <v>40</v>
      </c>
      <c r="M52" s="11">
        <v>21667983.100392099</v>
      </c>
    </row>
    <row r="53" spans="1:13" ht="15.75" customHeight="1" x14ac:dyDescent="0.25">
      <c r="A53" s="10">
        <v>52</v>
      </c>
      <c r="B53" s="10" t="s">
        <v>136</v>
      </c>
      <c r="C53" s="10" t="s">
        <v>137</v>
      </c>
      <c r="D53" s="11">
        <v>71</v>
      </c>
      <c r="E53" s="11">
        <v>40561120.429895513</v>
      </c>
      <c r="F53" s="11">
        <v>19</v>
      </c>
      <c r="G53" s="11">
        <v>14378000</v>
      </c>
      <c r="H53" s="11">
        <v>24</v>
      </c>
      <c r="I53" s="11">
        <v>16500000</v>
      </c>
      <c r="J53" s="11">
        <v>723359.50699691998</v>
      </c>
      <c r="K53" s="11">
        <v>21668905.672243942</v>
      </c>
      <c r="L53" s="11">
        <v>66</v>
      </c>
      <c r="M53" s="11">
        <v>33270214.75765156</v>
      </c>
    </row>
    <row r="54" spans="1:13" ht="15.75" customHeight="1" x14ac:dyDescent="0.25">
      <c r="A54" s="10">
        <v>53</v>
      </c>
      <c r="B54" s="10" t="s">
        <v>138</v>
      </c>
      <c r="C54" s="10" t="s">
        <v>139</v>
      </c>
      <c r="D54" s="11">
        <v>97</v>
      </c>
      <c r="E54" s="11">
        <v>78108473.183522657</v>
      </c>
      <c r="F54" s="11">
        <v>0</v>
      </c>
      <c r="G54" s="11">
        <v>0</v>
      </c>
      <c r="H54" s="11">
        <v>16</v>
      </c>
      <c r="I54" s="11">
        <v>16727273</v>
      </c>
      <c r="J54" s="11">
        <v>910806.53224289813</v>
      </c>
      <c r="K54" s="11">
        <v>18189370.238846771</v>
      </c>
      <c r="L54" s="11">
        <v>81</v>
      </c>
      <c r="M54" s="11">
        <v>59919102.944675893</v>
      </c>
    </row>
    <row r="55" spans="1:13" ht="15.75" customHeight="1" x14ac:dyDescent="0.25">
      <c r="A55" s="10">
        <v>54</v>
      </c>
      <c r="B55" s="10" t="s">
        <v>140</v>
      </c>
      <c r="C55" s="10" t="s">
        <v>141</v>
      </c>
      <c r="D55" s="11">
        <v>18</v>
      </c>
      <c r="E55" s="11">
        <v>53343994.091526337</v>
      </c>
      <c r="F55" s="11">
        <v>0</v>
      </c>
      <c r="G55" s="11">
        <v>0</v>
      </c>
      <c r="H55" s="11">
        <v>4</v>
      </c>
      <c r="I55" s="11">
        <v>15163636</v>
      </c>
      <c r="J55" s="11">
        <v>3138277.0068027209</v>
      </c>
      <c r="K55" s="11">
        <v>15668333.60544325</v>
      </c>
      <c r="L55" s="11">
        <v>14</v>
      </c>
      <c r="M55" s="11">
        <v>37675660.48608309</v>
      </c>
    </row>
    <row r="56" spans="1:13" ht="15.75" customHeight="1" x14ac:dyDescent="0.25">
      <c r="A56" s="10">
        <v>55</v>
      </c>
      <c r="B56" s="10" t="s">
        <v>142</v>
      </c>
      <c r="C56" s="10" t="s">
        <v>143</v>
      </c>
      <c r="D56" s="11">
        <v>229</v>
      </c>
      <c r="E56" s="11">
        <v>55591566.743733257</v>
      </c>
      <c r="F56" s="11">
        <v>10</v>
      </c>
      <c r="G56" s="11">
        <v>409091</v>
      </c>
      <c r="H56" s="11">
        <v>4</v>
      </c>
      <c r="I56" s="11">
        <v>1645454</v>
      </c>
      <c r="J56" s="11">
        <v>238013.37159604771</v>
      </c>
      <c r="K56" s="11">
        <v>1188318.59030908</v>
      </c>
      <c r="L56" s="11">
        <v>235</v>
      </c>
      <c r="M56" s="11">
        <v>54812339.153424188</v>
      </c>
    </row>
    <row r="57" spans="1:13" ht="15.75" customHeight="1" x14ac:dyDescent="0.25">
      <c r="A57" s="10">
        <v>56</v>
      </c>
      <c r="B57" s="10" t="s">
        <v>144</v>
      </c>
      <c r="C57" s="10" t="s">
        <v>145</v>
      </c>
      <c r="D57" s="11">
        <v>3616</v>
      </c>
      <c r="E57" s="11">
        <v>229019713.68565869</v>
      </c>
      <c r="F57" s="11">
        <v>252</v>
      </c>
      <c r="G57" s="11">
        <v>6620910</v>
      </c>
      <c r="H57" s="11">
        <v>700</v>
      </c>
      <c r="I57" s="11">
        <v>25794548</v>
      </c>
      <c r="J57" s="11">
        <v>64570.141334801301</v>
      </c>
      <c r="K57" s="11">
        <v>56415873.999799527</v>
      </c>
      <c r="L57" s="11">
        <v>3168</v>
      </c>
      <c r="M57" s="11">
        <v>179224749.68585911</v>
      </c>
    </row>
    <row r="58" spans="1:13" ht="15.75" customHeight="1" x14ac:dyDescent="0.25">
      <c r="A58" s="10">
        <v>57</v>
      </c>
      <c r="B58" s="10" t="s">
        <v>146</v>
      </c>
      <c r="C58" s="10" t="s">
        <v>147</v>
      </c>
      <c r="D58" s="11">
        <v>21</v>
      </c>
      <c r="E58" s="11">
        <v>4079604.500212294</v>
      </c>
      <c r="F58" s="11">
        <v>0</v>
      </c>
      <c r="G58" s="11">
        <v>0</v>
      </c>
      <c r="H58" s="11">
        <v>0</v>
      </c>
      <c r="I58" s="11">
        <v>0</v>
      </c>
      <c r="J58" s="11">
        <v>206466.26923076919</v>
      </c>
      <c r="K58" s="11">
        <v>0</v>
      </c>
      <c r="L58" s="11">
        <v>21</v>
      </c>
      <c r="M58" s="11">
        <v>4079604.500212294</v>
      </c>
    </row>
    <row r="59" spans="1:13" ht="15.75" customHeight="1" x14ac:dyDescent="0.25">
      <c r="A59" s="12"/>
      <c r="B59" s="12"/>
      <c r="C59" s="13" t="s">
        <v>148</v>
      </c>
      <c r="D59" s="14">
        <f t="shared" ref="D59:M59" si="0">SUM(D2:D58)</f>
        <v>29096.379999999997</v>
      </c>
      <c r="E59" s="14">
        <f t="shared" si="0"/>
        <v>21035677876.773155</v>
      </c>
      <c r="F59" s="14">
        <f t="shared" si="0"/>
        <v>3740.62</v>
      </c>
      <c r="G59" s="14">
        <f t="shared" si="0"/>
        <v>2381764451.9999995</v>
      </c>
      <c r="H59" s="14">
        <f t="shared" si="0"/>
        <v>4388</v>
      </c>
      <c r="I59" s="14">
        <f t="shared" si="0"/>
        <v>3205182101</v>
      </c>
      <c r="J59" s="14">
        <f t="shared" si="0"/>
        <v>282988812.8516205</v>
      </c>
      <c r="K59" s="14">
        <f t="shared" si="0"/>
        <v>3402629071.7731528</v>
      </c>
      <c r="L59" s="14">
        <f t="shared" si="0"/>
        <v>28449</v>
      </c>
      <c r="M59" s="14">
        <f t="shared" si="0"/>
        <v>20014813257.000004</v>
      </c>
    </row>
    <row r="60" spans="1:13" ht="15.75" customHeight="1" x14ac:dyDescent="0.25">
      <c r="E60" s="6">
        <v>20528673683</v>
      </c>
    </row>
    <row r="61" spans="1:13" ht="15.75" customHeight="1" x14ac:dyDescent="0.25">
      <c r="E61" s="6">
        <v>20014804558</v>
      </c>
    </row>
    <row r="62" spans="1:13" ht="15.75" customHeight="1" x14ac:dyDescent="0.25">
      <c r="E62" s="8">
        <f>E59-E60</f>
        <v>507004193.77315521</v>
      </c>
    </row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tabSelected="1" workbookViewId="0">
      <selection activeCell="I13" sqref="I13"/>
    </sheetView>
  </sheetViews>
  <sheetFormatPr defaultColWidth="14.42578125" defaultRowHeight="15" customHeight="1" x14ac:dyDescent="0.25"/>
  <cols>
    <col min="1" max="1" width="12.140625" bestFit="1" customWidth="1"/>
    <col min="2" max="2" width="28.85546875" bestFit="1" customWidth="1"/>
    <col min="3" max="3" width="28.140625" bestFit="1" customWidth="1"/>
    <col min="4" max="26" width="8.7109375" customWidth="1"/>
  </cols>
  <sheetData>
    <row r="1" spans="1:3" x14ac:dyDescent="0.25">
      <c r="A1" s="1" t="s">
        <v>158</v>
      </c>
      <c r="B1" s="1" t="s">
        <v>159</v>
      </c>
      <c r="C1" s="1" t="s">
        <v>160</v>
      </c>
    </row>
    <row r="2" spans="1:3" x14ac:dyDescent="0.25">
      <c r="A2" s="2" t="s">
        <v>161</v>
      </c>
      <c r="B2" s="3">
        <v>1154981168</v>
      </c>
      <c r="C2" s="3">
        <v>890556850</v>
      </c>
    </row>
    <row r="3" spans="1:3" x14ac:dyDescent="0.25">
      <c r="A3" s="2" t="s">
        <v>162</v>
      </c>
      <c r="B3" s="3">
        <v>1745704060</v>
      </c>
      <c r="C3" s="3">
        <v>1062540911</v>
      </c>
    </row>
    <row r="4" spans="1:3" x14ac:dyDescent="0.25">
      <c r="A4" s="2" t="s">
        <v>163</v>
      </c>
      <c r="B4" s="3">
        <v>1536437740</v>
      </c>
      <c r="C4" s="3">
        <v>1702314546</v>
      </c>
    </row>
    <row r="5" spans="1:3" x14ac:dyDescent="0.25">
      <c r="A5" s="2" t="s">
        <v>164</v>
      </c>
      <c r="B5" s="3">
        <v>757550605</v>
      </c>
      <c r="C5" s="3">
        <v>976118179</v>
      </c>
    </row>
    <row r="6" spans="1:3" x14ac:dyDescent="0.25">
      <c r="A6" s="2" t="s">
        <v>165</v>
      </c>
      <c r="B6" s="3">
        <v>600350982</v>
      </c>
      <c r="C6" s="3">
        <v>856337274</v>
      </c>
    </row>
    <row r="7" spans="1:3" x14ac:dyDescent="0.25">
      <c r="A7" s="2" t="s">
        <v>166</v>
      </c>
      <c r="B7" s="3">
        <v>749561480</v>
      </c>
      <c r="C7" s="3">
        <v>979997269</v>
      </c>
    </row>
    <row r="8" spans="1:3" x14ac:dyDescent="0.25">
      <c r="A8" s="2" t="s">
        <v>167</v>
      </c>
      <c r="B8" s="3">
        <v>895409562</v>
      </c>
      <c r="C8" s="3">
        <v>1153648183</v>
      </c>
    </row>
    <row r="9" spans="1:3" x14ac:dyDescent="0.25">
      <c r="A9" s="2" t="s">
        <v>168</v>
      </c>
      <c r="B9" s="3">
        <v>1812197510</v>
      </c>
      <c r="C9" s="3">
        <v>1158949228</v>
      </c>
    </row>
    <row r="10" spans="1:3" x14ac:dyDescent="0.25">
      <c r="A10" s="2" t="s">
        <v>169</v>
      </c>
      <c r="B10" s="3">
        <v>1552056808</v>
      </c>
      <c r="C10" s="3">
        <v>1281113807</v>
      </c>
    </row>
    <row r="11" spans="1:3" x14ac:dyDescent="0.25">
      <c r="A11" s="2" t="s">
        <v>170</v>
      </c>
      <c r="B11" s="3">
        <v>890284924</v>
      </c>
      <c r="C11" s="3">
        <v>1420458661</v>
      </c>
    </row>
    <row r="12" spans="1:3" x14ac:dyDescent="0.25">
      <c r="A12" s="2" t="s">
        <v>171</v>
      </c>
      <c r="B12" s="3">
        <v>1564643569</v>
      </c>
      <c r="C12" s="3">
        <v>1483313992</v>
      </c>
    </row>
    <row r="13" spans="1:3" x14ac:dyDescent="0.25">
      <c r="A13" s="2" t="s">
        <v>172</v>
      </c>
      <c r="B13" s="3">
        <v>2381764452</v>
      </c>
      <c r="C13" s="3">
        <v>3205182101</v>
      </c>
    </row>
    <row r="14" spans="1:3" x14ac:dyDescent="0.25">
      <c r="A14" s="4" t="s">
        <v>148</v>
      </c>
      <c r="B14" s="5">
        <f t="shared" ref="B14:C14" si="0">SUM(B2:B13)</f>
        <v>15640942860</v>
      </c>
      <c r="C14" s="5">
        <f t="shared" si="0"/>
        <v>16170531001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xnt12thang</vt:lpstr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2026-03-29T17:15:34Z</dcterms:created>
  <dcterms:modified xsi:type="dcterms:W3CDTF">2026-04-01T06:40:17Z</dcterms:modified>
</cp:coreProperties>
</file>