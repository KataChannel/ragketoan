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Rar$DIa2916.4531\"/>
    </mc:Choice>
  </mc:AlternateContent>
  <xr:revisionPtr revIDLastSave="0" documentId="13_ncr:1_{D977B508-8889-458E-B5DA-6A752D32D0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xnt12thang" sheetId="1" r:id="rId1"/>
    <sheet name="Tháng 1" sheetId="2" r:id="rId2"/>
    <sheet name="Tháng 2" sheetId="3" r:id="rId3"/>
    <sheet name="Tháng 3" sheetId="4" r:id="rId4"/>
    <sheet name="Tháng 4" sheetId="5" r:id="rId5"/>
    <sheet name="Tháng 5" sheetId="6" r:id="rId6"/>
    <sheet name="Tháng 6" sheetId="7" r:id="rId7"/>
    <sheet name="Tháng 7" sheetId="8" r:id="rId8"/>
    <sheet name="Tháng 8" sheetId="9" r:id="rId9"/>
    <sheet name="Tháng 9" sheetId="10" r:id="rId10"/>
    <sheet name="Tháng 10" sheetId="11" r:id="rId11"/>
    <sheet name="Tháng 11" sheetId="12" r:id="rId12"/>
    <sheet name="Tháng 12" sheetId="13" r:id="rId13"/>
    <sheet name="Hoado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XXGMjxrXsKcIxJR3W0PmTi3HpXXZtlK+ZaZMQ2NuIUA="/>
    </ext>
  </extLst>
</workbook>
</file>

<file path=xl/calcChain.xml><?xml version="1.0" encoding="utf-8"?>
<calcChain xmlns="http://schemas.openxmlformats.org/spreadsheetml/2006/main">
  <c r="C14" i="14" l="1"/>
  <c r="B14" i="14"/>
  <c r="M54" i="13"/>
  <c r="L54" i="13"/>
  <c r="K54" i="13"/>
  <c r="J54" i="13"/>
  <c r="I54" i="13"/>
  <c r="H54" i="13"/>
  <c r="G54" i="13"/>
  <c r="F54" i="13"/>
  <c r="E54" i="13"/>
  <c r="D54" i="13"/>
  <c r="M54" i="12"/>
  <c r="L54" i="12"/>
  <c r="K54" i="12"/>
  <c r="J54" i="12"/>
  <c r="I54" i="12"/>
  <c r="H54" i="12"/>
  <c r="G54" i="12"/>
  <c r="F54" i="12"/>
  <c r="E54" i="12"/>
  <c r="D54" i="12"/>
  <c r="M54" i="11"/>
  <c r="L54" i="11"/>
  <c r="K54" i="11"/>
  <c r="J54" i="11"/>
  <c r="I54" i="11"/>
  <c r="H54" i="11"/>
  <c r="G54" i="11"/>
  <c r="F54" i="11"/>
  <c r="E54" i="11"/>
  <c r="D54" i="11"/>
  <c r="M54" i="10"/>
  <c r="L54" i="10"/>
  <c r="K54" i="10"/>
  <c r="J54" i="10"/>
  <c r="I54" i="10"/>
  <c r="H54" i="10"/>
  <c r="G54" i="10"/>
  <c r="F54" i="10"/>
  <c r="E54" i="10"/>
  <c r="D54" i="10"/>
  <c r="M54" i="9"/>
  <c r="L54" i="9"/>
  <c r="K54" i="9"/>
  <c r="J54" i="9"/>
  <c r="I54" i="9"/>
  <c r="H54" i="9"/>
  <c r="G54" i="9"/>
  <c r="F54" i="9"/>
  <c r="E54" i="9"/>
  <c r="D54" i="9"/>
  <c r="M54" i="8"/>
  <c r="L54" i="8"/>
  <c r="K54" i="8"/>
  <c r="J54" i="8"/>
  <c r="I54" i="8"/>
  <c r="H54" i="8"/>
  <c r="G54" i="8"/>
  <c r="F54" i="8"/>
  <c r="E54" i="8"/>
  <c r="D54" i="8"/>
  <c r="M54" i="7"/>
  <c r="L54" i="7"/>
  <c r="K54" i="7"/>
  <c r="J54" i="7"/>
  <c r="I54" i="7"/>
  <c r="H54" i="7"/>
  <c r="G54" i="7"/>
  <c r="F54" i="7"/>
  <c r="E54" i="7"/>
  <c r="D54" i="7"/>
  <c r="M54" i="6"/>
  <c r="L54" i="6"/>
  <c r="K54" i="6"/>
  <c r="J54" i="6"/>
  <c r="I54" i="6"/>
  <c r="H54" i="6"/>
  <c r="G54" i="6"/>
  <c r="F54" i="6"/>
  <c r="E54" i="6"/>
  <c r="D54" i="6"/>
  <c r="M54" i="5"/>
  <c r="L54" i="5"/>
  <c r="K54" i="5"/>
  <c r="J54" i="5"/>
  <c r="I54" i="5"/>
  <c r="H54" i="5"/>
  <c r="G54" i="5"/>
  <c r="F54" i="5"/>
  <c r="E54" i="5"/>
  <c r="D54" i="5"/>
  <c r="M54" i="4"/>
  <c r="L54" i="4"/>
  <c r="K54" i="4"/>
  <c r="J54" i="4"/>
  <c r="I54" i="4"/>
  <c r="H54" i="4"/>
  <c r="G54" i="4"/>
  <c r="F54" i="4"/>
  <c r="E54" i="4"/>
  <c r="D54" i="4"/>
  <c r="M54" i="3"/>
  <c r="L54" i="3"/>
  <c r="K54" i="3"/>
  <c r="J54" i="3"/>
  <c r="I54" i="3"/>
  <c r="H54" i="3"/>
  <c r="G54" i="3"/>
  <c r="F54" i="3"/>
  <c r="E54" i="3"/>
  <c r="D54" i="3"/>
  <c r="M54" i="2"/>
  <c r="L54" i="2"/>
  <c r="K54" i="2"/>
  <c r="J54" i="2"/>
  <c r="I54" i="2"/>
  <c r="H54" i="2"/>
  <c r="G54" i="2"/>
  <c r="F54" i="2"/>
  <c r="E54" i="2"/>
  <c r="D54" i="2"/>
  <c r="F59" i="1"/>
  <c r="E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</calcChain>
</file>

<file path=xl/sharedStrings.xml><?xml version="1.0" encoding="utf-8"?>
<sst xmlns="http://schemas.openxmlformats.org/spreadsheetml/2006/main" count="1578" uniqueCount="168">
  <si>
    <t>STT</t>
  </si>
  <si>
    <t>Mã Nhóm</t>
  </si>
  <si>
    <t>Tên Nhóm Sản Phẩm</t>
  </si>
  <si>
    <t>Tồn Đầu SL</t>
  </si>
  <si>
    <t>Tồn Đầu VNĐ</t>
  </si>
  <si>
    <t>Tổng Tiền Nhập VNĐ</t>
  </si>
  <si>
    <t>Tổng Tiền Xuất HĐ VNĐ</t>
  </si>
  <si>
    <t>Tổng Tiền Giá Vốn VNĐ</t>
  </si>
  <si>
    <t>Tồn Cuối SL</t>
  </si>
  <si>
    <t>Tồn Cuối VNĐ</t>
  </si>
  <si>
    <t>Nhập T1 VNĐ</t>
  </si>
  <si>
    <t>Xuất T1 VNĐ</t>
  </si>
  <si>
    <t>Nhập T2 VNĐ</t>
  </si>
  <si>
    <t>Xuất T2 VNĐ</t>
  </si>
  <si>
    <t>Nhập T3 VNĐ</t>
  </si>
  <si>
    <t>Xuất T3 VNĐ</t>
  </si>
  <si>
    <t>Nhập T4 VNĐ</t>
  </si>
  <si>
    <t>Xuất T4 VNĐ</t>
  </si>
  <si>
    <t>Nhập T5 VNĐ</t>
  </si>
  <si>
    <t>Xuất T5 VNĐ</t>
  </si>
  <si>
    <t>Nhập T6 VNĐ</t>
  </si>
  <si>
    <t>Xuất T6 VNĐ</t>
  </si>
  <si>
    <t>Nhập T7 VNĐ</t>
  </si>
  <si>
    <t>Xuất T7 VNĐ</t>
  </si>
  <si>
    <t>Nhập T8 VNĐ</t>
  </si>
  <si>
    <t>Xuất T8 VNĐ</t>
  </si>
  <si>
    <t>Nhập T9 VNĐ</t>
  </si>
  <si>
    <t>Xuất T9 VNĐ</t>
  </si>
  <si>
    <t>Nhập T10 VNĐ</t>
  </si>
  <si>
    <t>Xuất T10 VNĐ</t>
  </si>
  <si>
    <t>Nhập T11 VNĐ</t>
  </si>
  <si>
    <t>Xuất T11 VNĐ</t>
  </si>
  <si>
    <t>Nhập T12 VNĐ</t>
  </si>
  <si>
    <t>Xuất T12 VNĐ</t>
  </si>
  <si>
    <t>CAM-WIFI-2M</t>
  </si>
  <si>
    <t>Camera WiFi 2MP</t>
  </si>
  <si>
    <t>HDD-1TB</t>
  </si>
  <si>
    <t>HDD 1TB+</t>
  </si>
  <si>
    <t>INK-BRO-2385</t>
  </si>
  <si>
    <t>Hộp mực Brother TN-2385</t>
  </si>
  <si>
    <t>INK-CAN-12A</t>
  </si>
  <si>
    <t>Hộp mực Canon 12A / 303</t>
  </si>
  <si>
    <t>INK-CAN-35A</t>
  </si>
  <si>
    <t>Hộp mực Canon 35A / 85A</t>
  </si>
  <si>
    <t>INK-EPS-003</t>
  </si>
  <si>
    <t>Mực nước Epson 003</t>
  </si>
  <si>
    <t>KB-OFF</t>
  </si>
  <si>
    <t>Bàn phím Văn phòng</t>
  </si>
  <si>
    <t>LCD-DELL-19</t>
  </si>
  <si>
    <t>Màn hình DELL 19 inch</t>
  </si>
  <si>
    <t>LCD-DELL-22</t>
  </si>
  <si>
    <t>Màn hình DELL 22 inch</t>
  </si>
  <si>
    <t>LCD-DELL-24</t>
  </si>
  <si>
    <t>Màn hình DELL 24 inch</t>
  </si>
  <si>
    <t>LCD-DELL-27</t>
  </si>
  <si>
    <t>Màn hình DELL 27 inch</t>
  </si>
  <si>
    <t>LCD-SAM-19</t>
  </si>
  <si>
    <t>Màn hình Samsung 19-20 inch</t>
  </si>
  <si>
    <t>LCD-SAM-24</t>
  </si>
  <si>
    <t>Màn hình Samsung 24-27 inch</t>
  </si>
  <si>
    <t>MS-LOGI</t>
  </si>
  <si>
    <t>Chuột Logitech</t>
  </si>
  <si>
    <t>MS-RAPO</t>
  </si>
  <si>
    <t>Chuột Rapoo</t>
  </si>
  <si>
    <t>OTH-GEN-MID</t>
  </si>
  <si>
    <t>Hàng hóa khác</t>
  </si>
  <si>
    <t>PC-ASU-EXP</t>
  </si>
  <si>
    <t>Laptop ASUS ExpertBook</t>
  </si>
  <si>
    <t>PC-ASU-ROG</t>
  </si>
  <si>
    <t>Laptop ASUS Gaming (ROG/TUF)</t>
  </si>
  <si>
    <t>PC-DELL-INS</t>
  </si>
  <si>
    <t>Laptop DELL Inspiron Series</t>
  </si>
  <si>
    <t>PC-DELL-INS-DT</t>
  </si>
  <si>
    <t>PC Dell Inspiron Desktop</t>
  </si>
  <si>
    <t>PC-DELL-LAT</t>
  </si>
  <si>
    <t>Laptop DELL Latitude Series</t>
  </si>
  <si>
    <t>PC-DELL-OPT</t>
  </si>
  <si>
    <t>PC Dell OptiPlex</t>
  </si>
  <si>
    <t>PC-DELL-VOS</t>
  </si>
  <si>
    <t>Laptop DELL Vostro Series</t>
  </si>
  <si>
    <t>PC-DELL-VOS-DT</t>
  </si>
  <si>
    <t>PC Dell Vostro Desktop</t>
  </si>
  <si>
    <t>PC-HP-PAV</t>
  </si>
  <si>
    <t>Laptop HP Pavilion</t>
  </si>
  <si>
    <t>PC-LEN-TP</t>
  </si>
  <si>
    <t>Laptop LENOVO ThinkPad</t>
  </si>
  <si>
    <t>PC-LEN-V</t>
  </si>
  <si>
    <t>Laptop LENOVO V-Series</t>
  </si>
  <si>
    <t>PC-LEN-V-DT</t>
  </si>
  <si>
    <t>PC Lenovo Desktop</t>
  </si>
  <si>
    <t>PC-MSI-DT</t>
  </si>
  <si>
    <t>PC MSI Desktop</t>
  </si>
  <si>
    <t>PC-MSI-GF</t>
  </si>
  <si>
    <t>Laptop MSI Gaming Series</t>
  </si>
  <si>
    <t>PC-SYS-AMD</t>
  </si>
  <si>
    <t>PC Lắp Ráp AMD Ryzen</t>
  </si>
  <si>
    <t>PC-SYS-G</t>
  </si>
  <si>
    <t>PC Văn phòng Entry (G/Celeron)</t>
  </si>
  <si>
    <t>PC-SYS-I3</t>
  </si>
  <si>
    <t>PC Văn phòng Core i3</t>
  </si>
  <si>
    <t>PC-SYS-I5</t>
  </si>
  <si>
    <t>PC Văn phòng Core i5</t>
  </si>
  <si>
    <t>PC-SYS-I7</t>
  </si>
  <si>
    <t>PC Đồ họa Core i7</t>
  </si>
  <si>
    <t>PRN-BRO-DCP</t>
  </si>
  <si>
    <t>Máy in Đa năng Brother (DCP)</t>
  </si>
  <si>
    <t>PRN-BRO-HL</t>
  </si>
  <si>
    <t>Máy in Laser Brother (HL)</t>
  </si>
  <si>
    <t>PRN-CAN-LBP</t>
  </si>
  <si>
    <t>Máy in Laser Canon (LBP)</t>
  </si>
  <si>
    <t>PRN-CAN-MF</t>
  </si>
  <si>
    <t>Máy in Đa năng Canon (MF)</t>
  </si>
  <si>
    <t>PRN-EPS-L</t>
  </si>
  <si>
    <t>Máy in Phun màu Epson (L-Series)</t>
  </si>
  <si>
    <t>PRN-HP-LJ</t>
  </si>
  <si>
    <t>Máy in Laser HP (LaserJet)</t>
  </si>
  <si>
    <t>RAM-16G-D4</t>
  </si>
  <si>
    <t>RAM 16GB DDR4</t>
  </si>
  <si>
    <t>RAM-8G-D4</t>
  </si>
  <si>
    <t>RAM 8GB DDR4</t>
  </si>
  <si>
    <t>SCN-HP-SJ</t>
  </si>
  <si>
    <t>Máy quét HP ScanJet</t>
  </si>
  <si>
    <t>SSD-128-256</t>
  </si>
  <si>
    <t>SSD 120-256GB</t>
  </si>
  <si>
    <t>SSD-480-512</t>
  </si>
  <si>
    <t>SSD 480-512GB</t>
  </si>
  <si>
    <t>SW-WIN-PRO</t>
  </si>
  <si>
    <t>Bản quyền Windows</t>
  </si>
  <si>
    <t>UPS-SAN-500</t>
  </si>
  <si>
    <t>Bộ lưu điện Santak 500VA+</t>
  </si>
  <si>
    <t>VGA-GTX-16</t>
  </si>
  <si>
    <t>Card đồ họa GTX 16-Series</t>
  </si>
  <si>
    <t>WST-DRUM</t>
  </si>
  <si>
    <t>Trống máy in (Drum)</t>
  </si>
  <si>
    <t>WST-INK-REFILL</t>
  </si>
  <si>
    <t>Mực nạp / Mực đổ lẻ</t>
  </si>
  <si>
    <t>WST-PAPER-A4</t>
  </si>
  <si>
    <t>Giấy in A4</t>
  </si>
  <si>
    <t>TỔNG CỘNG</t>
  </si>
  <si>
    <t>TỒN CK</t>
  </si>
  <si>
    <t>ĐK</t>
  </si>
  <si>
    <t>CKY</t>
  </si>
  <si>
    <t>DK</t>
  </si>
  <si>
    <t>ĐIỀU CHỈNH TĂNG ĐK 2024</t>
  </si>
  <si>
    <t>THEO BC</t>
  </si>
  <si>
    <t>CK</t>
  </si>
  <si>
    <t>Tên Nhóm</t>
  </si>
  <si>
    <t>Nhập SL</t>
  </si>
  <si>
    <t>Nhập VNĐ</t>
  </si>
  <si>
    <t>Xuất SL</t>
  </si>
  <si>
    <t>Xuất VNĐ</t>
  </si>
  <si>
    <t>Giá Vốn (Bình quân)</t>
  </si>
  <si>
    <t>Thành tiền Giá Vốn</t>
  </si>
  <si>
    <t>Tháng</t>
  </si>
  <si>
    <t>Tổng Tiền Hóa Đơn Mua (VNĐ)</t>
  </si>
  <si>
    <t>Tổng Tiền Hóa Đơn Bán (VNĐ)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</si>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</sst>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/>
    <xf numFmtId="3" fontId="3" fillId="3" borderId="1" xfId="0" applyNumberFormat="1" applyFont="1" applyFill="1" applyBorder="1"/>
    <xf numFmtId="0" fontId="4" fillId="0" borderId="0" xfId="0" applyFont="1"/>
    <xf numFmtId="3" fontId="4" fillId="0" borderId="0" xfId="0" applyNumberFormat="1" applyFont="1"/>
    <xf numFmtId="3" fontId="4" fillId="4" borderId="0" xfId="0" applyNumberFormat="1" applyFont="1" applyFill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  <xf numFmtId="0" fontId="0" fillId="0" borderId="2" xfId="0" applyBorder="1"/>
    <xf numFmtId="0" fontId="3" fillId="0" borderId="2" xfId="0" applyFont="1" applyBorder="1"/>
    <xf numFmtId="3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topLeftCell="A46" workbookViewId="0">
      <selection activeCell="L46" sqref="L1:AH1048576"/>
    </sheetView>
  </sheetViews>
  <sheetFormatPr defaultColWidth="14.42578125" defaultRowHeight="15" customHeight="1" x14ac:dyDescent="0.25"/>
  <cols>
    <col min="1" max="4" width="8.7109375" customWidth="1"/>
    <col min="5" max="5" width="18.5703125" customWidth="1"/>
    <col min="6" max="6" width="20.7109375" customWidth="1"/>
    <col min="7" max="7" width="23.85546875" customWidth="1"/>
    <col min="8" max="8" width="18.42578125" customWidth="1"/>
    <col min="9" max="9" width="19.28515625" customWidth="1"/>
    <col min="10" max="10" width="19.7109375" customWidth="1"/>
    <col min="11" max="11" width="22.28515625" customWidth="1"/>
    <col min="12" max="34" width="15.42578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>
        <v>1</v>
      </c>
      <c r="B2" s="2" t="s">
        <v>34</v>
      </c>
      <c r="C2" s="2" t="s">
        <v>35</v>
      </c>
      <c r="D2" s="3">
        <v>1360</v>
      </c>
      <c r="E2" s="3">
        <v>557747686</v>
      </c>
      <c r="F2" s="3">
        <v>77685089.721434861</v>
      </c>
      <c r="G2" s="3">
        <v>86268175</v>
      </c>
      <c r="H2" s="3">
        <v>134351303.53273621</v>
      </c>
      <c r="I2" s="3">
        <v>1274</v>
      </c>
      <c r="J2" s="3">
        <v>501081472.18869871</v>
      </c>
      <c r="K2" s="3">
        <v>19914290.22117221</v>
      </c>
      <c r="L2" s="3">
        <v>5959091</v>
      </c>
      <c r="M2" s="3">
        <v>16957509.144872122</v>
      </c>
      <c r="N2" s="3">
        <v>1272728</v>
      </c>
      <c r="O2" s="3">
        <v>0</v>
      </c>
      <c r="P2" s="3">
        <v>26390908</v>
      </c>
      <c r="Q2" s="3">
        <v>2148947.9733584351</v>
      </c>
      <c r="R2" s="3">
        <v>0</v>
      </c>
      <c r="S2" s="3">
        <v>7027640.6696316386</v>
      </c>
      <c r="T2" s="3">
        <v>10909091</v>
      </c>
      <c r="U2" s="3">
        <v>0</v>
      </c>
      <c r="V2" s="3">
        <v>727273</v>
      </c>
      <c r="W2" s="3">
        <v>3581579.9555973909</v>
      </c>
      <c r="X2" s="3">
        <v>1563636</v>
      </c>
      <c r="Y2" s="3">
        <v>4539894.5923653422</v>
      </c>
      <c r="Z2" s="3">
        <v>5636364</v>
      </c>
      <c r="AA2" s="3">
        <v>3581579.9555973909</v>
      </c>
      <c r="AB2" s="3">
        <v>0</v>
      </c>
      <c r="AC2" s="3">
        <v>4628773.9189499477</v>
      </c>
      <c r="AD2" s="3">
        <v>3700000</v>
      </c>
      <c r="AE2" s="3">
        <v>9045467.0008156523</v>
      </c>
      <c r="AF2" s="3">
        <v>6190908</v>
      </c>
      <c r="AG2" s="3">
        <v>6259406.2890747366</v>
      </c>
      <c r="AH2" s="3">
        <v>23918176</v>
      </c>
    </row>
    <row r="3" spans="1:34" x14ac:dyDescent="0.25">
      <c r="A3" s="2">
        <v>2</v>
      </c>
      <c r="B3" s="2" t="s">
        <v>36</v>
      </c>
      <c r="C3" s="2" t="s">
        <v>37</v>
      </c>
      <c r="D3" s="3">
        <v>129</v>
      </c>
      <c r="E3" s="3">
        <v>159257499</v>
      </c>
      <c r="F3" s="3">
        <v>126521292.44839381</v>
      </c>
      <c r="G3" s="3">
        <v>107881821</v>
      </c>
      <c r="H3" s="3">
        <v>152246446.52364051</v>
      </c>
      <c r="I3" s="3">
        <v>138</v>
      </c>
      <c r="J3" s="3">
        <v>133532344.9247534</v>
      </c>
      <c r="K3" s="3">
        <v>3326381.7358206692</v>
      </c>
      <c r="L3" s="3">
        <v>7181818</v>
      </c>
      <c r="M3" s="3">
        <v>0</v>
      </c>
      <c r="N3" s="3">
        <v>2045455</v>
      </c>
      <c r="O3" s="3">
        <v>11153938.280702921</v>
      </c>
      <c r="P3" s="3">
        <v>8954547</v>
      </c>
      <c r="Q3" s="3">
        <v>0</v>
      </c>
      <c r="R3" s="3">
        <v>3727274</v>
      </c>
      <c r="S3" s="3">
        <v>29735032.795138549</v>
      </c>
      <c r="T3" s="3">
        <v>3536364</v>
      </c>
      <c r="U3" s="3">
        <v>14528721.68164245</v>
      </c>
      <c r="V3" s="3">
        <v>5818182</v>
      </c>
      <c r="W3" s="3">
        <v>4347174.6149275592</v>
      </c>
      <c r="X3" s="3">
        <v>24100000</v>
      </c>
      <c r="Y3" s="3">
        <v>0</v>
      </c>
      <c r="Z3" s="3">
        <v>5590909</v>
      </c>
      <c r="AA3" s="3">
        <v>40528168.519082092</v>
      </c>
      <c r="AB3" s="3">
        <v>11009090</v>
      </c>
      <c r="AC3" s="3">
        <v>6885961.110544866</v>
      </c>
      <c r="AD3" s="3">
        <v>6300000</v>
      </c>
      <c r="AE3" s="3">
        <v>12108735.22515773</v>
      </c>
      <c r="AF3" s="3">
        <v>12213638</v>
      </c>
      <c r="AG3" s="3">
        <v>3907178.485377003</v>
      </c>
      <c r="AH3" s="3">
        <v>17404544</v>
      </c>
    </row>
    <row r="4" spans="1:34" x14ac:dyDescent="0.25">
      <c r="A4" s="2">
        <v>3</v>
      </c>
      <c r="B4" s="2" t="s">
        <v>38</v>
      </c>
      <c r="C4" s="2" t="s">
        <v>39</v>
      </c>
      <c r="D4" s="3">
        <v>874</v>
      </c>
      <c r="E4" s="3">
        <v>355127652</v>
      </c>
      <c r="F4" s="3">
        <v>0</v>
      </c>
      <c r="G4" s="3">
        <v>22369088</v>
      </c>
      <c r="H4" s="3">
        <v>29330154.628801029</v>
      </c>
      <c r="I4" s="3">
        <v>819</v>
      </c>
      <c r="J4" s="3">
        <v>325797497.37119907</v>
      </c>
      <c r="K4" s="3">
        <v>0</v>
      </c>
      <c r="L4" s="3">
        <v>1636364</v>
      </c>
      <c r="M4" s="3">
        <v>0</v>
      </c>
      <c r="N4" s="3">
        <v>0</v>
      </c>
      <c r="O4" s="3">
        <v>0</v>
      </c>
      <c r="P4" s="3">
        <v>1190909</v>
      </c>
      <c r="Q4" s="3">
        <v>0</v>
      </c>
      <c r="R4" s="3">
        <v>1000000</v>
      </c>
      <c r="S4" s="3">
        <v>0</v>
      </c>
      <c r="T4" s="3">
        <v>0</v>
      </c>
      <c r="U4" s="3">
        <v>0</v>
      </c>
      <c r="V4" s="3">
        <v>1318182</v>
      </c>
      <c r="W4" s="3">
        <v>0</v>
      </c>
      <c r="X4" s="3">
        <v>1363636</v>
      </c>
      <c r="Y4" s="3">
        <v>0</v>
      </c>
      <c r="Z4" s="3">
        <v>0</v>
      </c>
      <c r="AA4" s="3">
        <v>0</v>
      </c>
      <c r="AB4" s="3">
        <v>9580001</v>
      </c>
      <c r="AC4" s="3">
        <v>0</v>
      </c>
      <c r="AD4" s="3">
        <v>1670909</v>
      </c>
      <c r="AE4" s="3">
        <v>0</v>
      </c>
      <c r="AF4" s="3">
        <v>409091</v>
      </c>
      <c r="AG4" s="3">
        <v>0</v>
      </c>
      <c r="AH4" s="3">
        <v>4199996</v>
      </c>
    </row>
    <row r="5" spans="1:34" x14ac:dyDescent="0.25">
      <c r="A5" s="2">
        <v>4</v>
      </c>
      <c r="B5" s="2" t="s">
        <v>40</v>
      </c>
      <c r="C5" s="2" t="s">
        <v>41</v>
      </c>
      <c r="D5" s="3">
        <v>1217</v>
      </c>
      <c r="E5" s="3">
        <v>177122827</v>
      </c>
      <c r="F5" s="3">
        <v>57141591.40564163</v>
      </c>
      <c r="G5" s="3">
        <v>82904641</v>
      </c>
      <c r="H5" s="3">
        <v>98548016.421267509</v>
      </c>
      <c r="I5" s="3">
        <v>1140</v>
      </c>
      <c r="J5" s="3">
        <v>135716401.98437411</v>
      </c>
      <c r="K5" s="3">
        <v>3115182.7418011688</v>
      </c>
      <c r="L5" s="3">
        <v>4800002</v>
      </c>
      <c r="M5" s="3">
        <v>7391958.9827150051</v>
      </c>
      <c r="N5" s="3">
        <v>5545455</v>
      </c>
      <c r="O5" s="3">
        <v>0</v>
      </c>
      <c r="P5" s="3">
        <v>3109092</v>
      </c>
      <c r="Q5" s="3">
        <v>3959977.7498845858</v>
      </c>
      <c r="R5" s="3">
        <v>3600002</v>
      </c>
      <c r="S5" s="3">
        <v>4223976.9764062529</v>
      </c>
      <c r="T5" s="3">
        <v>1700000</v>
      </c>
      <c r="U5" s="3">
        <v>4223976.0084116701</v>
      </c>
      <c r="V5" s="3">
        <v>3200000</v>
      </c>
      <c r="W5" s="3">
        <v>4223976.0084116701</v>
      </c>
      <c r="X5" s="3">
        <v>9450002</v>
      </c>
      <c r="Y5" s="3">
        <v>9635945.6321870908</v>
      </c>
      <c r="Z5" s="3">
        <v>6172731</v>
      </c>
      <c r="AA5" s="3">
        <v>5807967.4955633376</v>
      </c>
      <c r="AB5" s="3">
        <v>8036372</v>
      </c>
      <c r="AC5" s="3">
        <v>5411969.6237754207</v>
      </c>
      <c r="AD5" s="3">
        <v>1972729</v>
      </c>
      <c r="AE5" s="3">
        <v>4223976.0084116701</v>
      </c>
      <c r="AF5" s="3">
        <v>1136365</v>
      </c>
      <c r="AG5" s="3">
        <v>4922684.1780737657</v>
      </c>
      <c r="AH5" s="3">
        <v>34181891</v>
      </c>
    </row>
    <row r="6" spans="1:34" x14ac:dyDescent="0.25">
      <c r="A6" s="2">
        <v>5</v>
      </c>
      <c r="B6" s="2" t="s">
        <v>42</v>
      </c>
      <c r="C6" s="2" t="s">
        <v>43</v>
      </c>
      <c r="D6" s="3">
        <v>15</v>
      </c>
      <c r="E6" s="3">
        <v>4198257</v>
      </c>
      <c r="F6" s="3">
        <v>26685858.571919039</v>
      </c>
      <c r="G6" s="3">
        <v>8799998</v>
      </c>
      <c r="H6" s="3">
        <v>8160566.7899650633</v>
      </c>
      <c r="I6" s="3">
        <v>103</v>
      </c>
      <c r="J6" s="3">
        <v>22723548.781953979</v>
      </c>
      <c r="K6" s="3">
        <v>8421552.868566839</v>
      </c>
      <c r="L6" s="3">
        <v>4354546</v>
      </c>
      <c r="M6" s="3">
        <v>923994.38884208433</v>
      </c>
      <c r="N6" s="3">
        <v>0</v>
      </c>
      <c r="O6" s="3">
        <v>0</v>
      </c>
      <c r="P6" s="3">
        <v>345455</v>
      </c>
      <c r="Q6" s="3">
        <v>1108794.2346050839</v>
      </c>
      <c r="R6" s="3">
        <v>1063635</v>
      </c>
      <c r="S6" s="3">
        <v>2032788.6234471679</v>
      </c>
      <c r="T6" s="3">
        <v>609090</v>
      </c>
      <c r="U6" s="3">
        <v>923994.38884208433</v>
      </c>
      <c r="V6" s="3">
        <v>0</v>
      </c>
      <c r="W6" s="3">
        <v>1108793.2666105011</v>
      </c>
      <c r="X6" s="3">
        <v>290909</v>
      </c>
      <c r="Y6" s="3">
        <v>2595985.29550278</v>
      </c>
      <c r="Z6" s="3">
        <v>318182</v>
      </c>
      <c r="AA6" s="3">
        <v>1671990.906660696</v>
      </c>
      <c r="AB6" s="3">
        <v>227273</v>
      </c>
      <c r="AC6" s="3">
        <v>2010789.0105685571</v>
      </c>
      <c r="AD6" s="3">
        <v>290909</v>
      </c>
      <c r="AE6" s="3">
        <v>5200770.6297559207</v>
      </c>
      <c r="AF6" s="3">
        <v>1145454</v>
      </c>
      <c r="AG6" s="3">
        <v>686404.95851732709</v>
      </c>
      <c r="AH6" s="3">
        <v>154545</v>
      </c>
    </row>
    <row r="7" spans="1:34" x14ac:dyDescent="0.25">
      <c r="A7" s="2">
        <v>6</v>
      </c>
      <c r="B7" s="2" t="s">
        <v>44</v>
      </c>
      <c r="C7" s="2" t="s">
        <v>45</v>
      </c>
      <c r="D7" s="3">
        <v>15</v>
      </c>
      <c r="E7" s="3">
        <v>455453</v>
      </c>
      <c r="F7" s="3">
        <v>1293591.1763843349</v>
      </c>
      <c r="G7" s="3">
        <v>0</v>
      </c>
      <c r="H7" s="3">
        <v>0</v>
      </c>
      <c r="I7" s="3">
        <v>57</v>
      </c>
      <c r="J7" s="3">
        <v>1749044.1763843349</v>
      </c>
      <c r="K7" s="3">
        <v>369596.78754225117</v>
      </c>
      <c r="L7" s="3">
        <v>0</v>
      </c>
      <c r="M7" s="3">
        <v>153999.22613944451</v>
      </c>
      <c r="N7" s="3">
        <v>0</v>
      </c>
      <c r="O7" s="3">
        <v>92398.954886917141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677596.20781572268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x14ac:dyDescent="0.25">
      <c r="A8" s="2">
        <v>7</v>
      </c>
      <c r="B8" s="2" t="s">
        <v>46</v>
      </c>
      <c r="C8" s="2" t="s">
        <v>47</v>
      </c>
      <c r="D8" s="3">
        <v>16276</v>
      </c>
      <c r="E8" s="3">
        <v>2305863180</v>
      </c>
      <c r="F8" s="3">
        <v>54755757.152098857</v>
      </c>
      <c r="G8" s="3">
        <v>164877341</v>
      </c>
      <c r="H8" s="3">
        <v>241847401.25734711</v>
      </c>
      <c r="I8" s="3">
        <v>15243</v>
      </c>
      <c r="J8" s="3">
        <v>2118771535.8947511</v>
      </c>
      <c r="K8" s="3">
        <v>3722379.6076085861</v>
      </c>
      <c r="L8" s="3">
        <v>4763643</v>
      </c>
      <c r="M8" s="3">
        <v>3146963.2182367882</v>
      </c>
      <c r="N8" s="3">
        <v>5354546</v>
      </c>
      <c r="O8" s="3">
        <v>3722379.6076085861</v>
      </c>
      <c r="P8" s="3">
        <v>8072732</v>
      </c>
      <c r="Q8" s="3">
        <v>1755588.854802669</v>
      </c>
      <c r="R8" s="3">
        <v>4154545</v>
      </c>
      <c r="S8" s="3">
        <v>7286359.4857052565</v>
      </c>
      <c r="T8" s="3">
        <v>36745460</v>
      </c>
      <c r="U8" s="3">
        <v>675850.91246885236</v>
      </c>
      <c r="V8" s="3">
        <v>2499998</v>
      </c>
      <c r="W8" s="3">
        <v>0</v>
      </c>
      <c r="X8" s="3">
        <v>10490914</v>
      </c>
      <c r="Y8" s="3">
        <v>5236507.1946495557</v>
      </c>
      <c r="Z8" s="3">
        <v>16368187</v>
      </c>
      <c r="AA8" s="3">
        <v>3898378.4466266409</v>
      </c>
      <c r="AB8" s="3">
        <v>27072768</v>
      </c>
      <c r="AC8" s="3">
        <v>0</v>
      </c>
      <c r="AD8" s="3">
        <v>26200013</v>
      </c>
      <c r="AE8" s="3">
        <v>25311349.824391939</v>
      </c>
      <c r="AF8" s="3">
        <v>8390914</v>
      </c>
      <c r="AG8" s="3">
        <v>0</v>
      </c>
      <c r="AH8" s="3">
        <v>14763621</v>
      </c>
    </row>
    <row r="9" spans="1:34" x14ac:dyDescent="0.25">
      <c r="A9" s="2">
        <v>8</v>
      </c>
      <c r="B9" s="2" t="s">
        <v>48</v>
      </c>
      <c r="C9" s="2" t="s">
        <v>49</v>
      </c>
      <c r="D9" s="3">
        <v>43</v>
      </c>
      <c r="E9" s="3">
        <v>106943376</v>
      </c>
      <c r="F9" s="3">
        <v>186127157.46757659</v>
      </c>
      <c r="G9" s="3">
        <v>61736362</v>
      </c>
      <c r="H9" s="3">
        <v>128948773.1107592</v>
      </c>
      <c r="I9" s="3">
        <v>71</v>
      </c>
      <c r="J9" s="3">
        <v>164121760.35681739</v>
      </c>
      <c r="K9" s="3">
        <v>17445118.991951309</v>
      </c>
      <c r="L9" s="3">
        <v>2672726</v>
      </c>
      <c r="M9" s="3">
        <v>0</v>
      </c>
      <c r="N9" s="3">
        <v>1227273</v>
      </c>
      <c r="O9" s="3">
        <v>46515629.751014806</v>
      </c>
      <c r="P9" s="3">
        <v>8699999</v>
      </c>
      <c r="Q9" s="3">
        <v>9776155.775497485</v>
      </c>
      <c r="R9" s="3">
        <v>8136363</v>
      </c>
      <c r="S9" s="3">
        <v>19139892.619107932</v>
      </c>
      <c r="T9" s="3">
        <v>10181818</v>
      </c>
      <c r="U9" s="3">
        <v>4768368.4177058116</v>
      </c>
      <c r="V9" s="3">
        <v>6500001</v>
      </c>
      <c r="W9" s="3">
        <v>8340135.8122194503</v>
      </c>
      <c r="X9" s="3">
        <v>8027272</v>
      </c>
      <c r="Y9" s="3">
        <v>37872096.895853959</v>
      </c>
      <c r="Z9" s="3">
        <v>16290910</v>
      </c>
      <c r="AA9" s="3">
        <v>22838193.361474499</v>
      </c>
      <c r="AB9" s="3">
        <v>0</v>
      </c>
      <c r="AC9" s="3">
        <v>1303623.472238339</v>
      </c>
      <c r="AD9" s="3">
        <v>0</v>
      </c>
      <c r="AE9" s="3">
        <v>7569589.8605993139</v>
      </c>
      <c r="AF9" s="3">
        <v>0</v>
      </c>
      <c r="AG9" s="3">
        <v>10558352.50991372</v>
      </c>
      <c r="AH9" s="3">
        <v>0</v>
      </c>
    </row>
    <row r="10" spans="1:34" x14ac:dyDescent="0.25">
      <c r="A10" s="2">
        <v>9</v>
      </c>
      <c r="B10" s="2" t="s">
        <v>50</v>
      </c>
      <c r="C10" s="2" t="s">
        <v>51</v>
      </c>
      <c r="D10" s="3">
        <v>1260</v>
      </c>
      <c r="E10" s="3">
        <v>1580014496</v>
      </c>
      <c r="F10" s="3">
        <v>540586779.147686</v>
      </c>
      <c r="G10" s="3">
        <v>384790238</v>
      </c>
      <c r="H10" s="3">
        <v>646993455.27071798</v>
      </c>
      <c r="I10" s="3">
        <v>1252</v>
      </c>
      <c r="J10" s="3">
        <v>1473607819.8769679</v>
      </c>
      <c r="K10" s="3">
        <v>27116425.466240551</v>
      </c>
      <c r="L10" s="3">
        <v>29309088</v>
      </c>
      <c r="M10" s="3">
        <v>74927437.714703918</v>
      </c>
      <c r="N10" s="3">
        <v>15218182</v>
      </c>
      <c r="O10" s="3">
        <v>7317119.046872871</v>
      </c>
      <c r="P10" s="3">
        <v>42681821</v>
      </c>
      <c r="Q10" s="3">
        <v>9019949.6956238952</v>
      </c>
      <c r="R10" s="3">
        <v>28090908</v>
      </c>
      <c r="S10" s="3">
        <v>83832730.388008729</v>
      </c>
      <c r="T10" s="3">
        <v>9309091</v>
      </c>
      <c r="U10" s="3">
        <v>298239128.9611882</v>
      </c>
      <c r="V10" s="3">
        <v>37887880</v>
      </c>
      <c r="W10" s="3">
        <v>0</v>
      </c>
      <c r="X10" s="3">
        <v>13663636</v>
      </c>
      <c r="Y10" s="3">
        <v>6350131.5813283492</v>
      </c>
      <c r="Z10" s="3">
        <v>22759092</v>
      </c>
      <c r="AA10" s="3">
        <v>6723064.0782022187</v>
      </c>
      <c r="AB10" s="3">
        <v>29936363</v>
      </c>
      <c r="AC10" s="3">
        <v>6030359.4109413708</v>
      </c>
      <c r="AD10" s="3">
        <v>71031818</v>
      </c>
      <c r="AE10" s="3">
        <v>17173361.590772271</v>
      </c>
      <c r="AF10" s="3">
        <v>58538722</v>
      </c>
      <c r="AG10" s="3">
        <v>3857071.2138036131</v>
      </c>
      <c r="AH10" s="3">
        <v>26363637</v>
      </c>
    </row>
    <row r="11" spans="1:34" x14ac:dyDescent="0.25">
      <c r="A11" s="2">
        <v>10</v>
      </c>
      <c r="B11" s="2" t="s">
        <v>52</v>
      </c>
      <c r="C11" s="2" t="s">
        <v>53</v>
      </c>
      <c r="D11" s="3">
        <v>15</v>
      </c>
      <c r="E11" s="3">
        <v>35432080</v>
      </c>
      <c r="F11" s="3">
        <v>770176078.51999772</v>
      </c>
      <c r="G11" s="3">
        <v>498940240</v>
      </c>
      <c r="H11" s="3">
        <v>629632401.5373342</v>
      </c>
      <c r="I11" s="3">
        <v>142</v>
      </c>
      <c r="J11" s="3">
        <v>175975756.98266351</v>
      </c>
      <c r="K11" s="3">
        <v>49249804.548225947</v>
      </c>
      <c r="L11" s="3">
        <v>49936364</v>
      </c>
      <c r="M11" s="3">
        <v>588716.88123111695</v>
      </c>
      <c r="N11" s="3">
        <v>4636364</v>
      </c>
      <c r="O11" s="3">
        <v>234093359.1043832</v>
      </c>
      <c r="P11" s="3">
        <v>81963471</v>
      </c>
      <c r="Q11" s="3">
        <v>59052266.544500001</v>
      </c>
      <c r="R11" s="3">
        <v>59999999</v>
      </c>
      <c r="S11" s="3">
        <v>47041929.103567772</v>
      </c>
      <c r="T11" s="3">
        <v>35140404</v>
      </c>
      <c r="U11" s="3">
        <v>160494438.7066026</v>
      </c>
      <c r="V11" s="3">
        <v>7318182</v>
      </c>
      <c r="W11" s="3">
        <v>12677209.40367764</v>
      </c>
      <c r="X11" s="3">
        <v>114563635</v>
      </c>
      <c r="Y11" s="3">
        <v>11536735.61036801</v>
      </c>
      <c r="Z11" s="3">
        <v>2527273</v>
      </c>
      <c r="AA11" s="3">
        <v>34438474.614589222</v>
      </c>
      <c r="AB11" s="3">
        <v>46718184</v>
      </c>
      <c r="AC11" s="3">
        <v>56383924.621942922</v>
      </c>
      <c r="AD11" s="3">
        <v>23818182</v>
      </c>
      <c r="AE11" s="3">
        <v>32647817.54966516</v>
      </c>
      <c r="AF11" s="3">
        <v>50972728</v>
      </c>
      <c r="AG11" s="3">
        <v>71971401.831244245</v>
      </c>
      <c r="AH11" s="3">
        <v>21345454</v>
      </c>
    </row>
    <row r="12" spans="1:34" x14ac:dyDescent="0.25">
      <c r="A12" s="2">
        <v>11</v>
      </c>
      <c r="B12" s="2" t="s">
        <v>54</v>
      </c>
      <c r="C12" s="2" t="s">
        <v>55</v>
      </c>
      <c r="D12" s="3">
        <v>43</v>
      </c>
      <c r="E12" s="3">
        <v>116738634</v>
      </c>
      <c r="F12" s="3">
        <v>155309688.09358129</v>
      </c>
      <c r="G12" s="3">
        <v>48877274</v>
      </c>
      <c r="H12" s="3">
        <v>60655072.532575347</v>
      </c>
      <c r="I12" s="3">
        <v>86</v>
      </c>
      <c r="J12" s="3">
        <v>211393249.56100589</v>
      </c>
      <c r="K12" s="3">
        <v>0</v>
      </c>
      <c r="L12" s="3">
        <v>6354546</v>
      </c>
      <c r="M12" s="3">
        <v>6283164.7481099209</v>
      </c>
      <c r="N12" s="3">
        <v>4627273</v>
      </c>
      <c r="O12" s="3">
        <v>32260619.716627609</v>
      </c>
      <c r="P12" s="3">
        <v>10745455</v>
      </c>
      <c r="Q12" s="3">
        <v>5807967.4955633376</v>
      </c>
      <c r="R12" s="3">
        <v>11372727</v>
      </c>
      <c r="S12" s="3">
        <v>3854378.2528748359</v>
      </c>
      <c r="T12" s="3">
        <v>5640909</v>
      </c>
      <c r="U12" s="3">
        <v>15267914.28873237</v>
      </c>
      <c r="V12" s="3">
        <v>0</v>
      </c>
      <c r="W12" s="3">
        <v>5895966.9150723657</v>
      </c>
      <c r="X12" s="3">
        <v>7763637</v>
      </c>
      <c r="Y12" s="3">
        <v>0</v>
      </c>
      <c r="Z12" s="3">
        <v>0</v>
      </c>
      <c r="AA12" s="3">
        <v>22343074.780418132</v>
      </c>
      <c r="AB12" s="3">
        <v>2372727</v>
      </c>
      <c r="AC12" s="3">
        <v>6371164.167618949</v>
      </c>
      <c r="AD12" s="3">
        <v>0</v>
      </c>
      <c r="AE12" s="3">
        <v>0</v>
      </c>
      <c r="AF12" s="3">
        <v>0</v>
      </c>
      <c r="AG12" s="3">
        <v>57225437.728563778</v>
      </c>
      <c r="AH12" s="3">
        <v>0</v>
      </c>
    </row>
    <row r="13" spans="1:34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27912818</v>
      </c>
      <c r="F13" s="3">
        <v>1759990.3261697229</v>
      </c>
      <c r="G13" s="3">
        <v>2081818</v>
      </c>
      <c r="H13" s="3">
        <v>2438754.8160524932</v>
      </c>
      <c r="I13" s="3">
        <v>15</v>
      </c>
      <c r="J13" s="3">
        <v>27234053.510117229</v>
      </c>
      <c r="K13" s="3">
        <v>0</v>
      </c>
      <c r="L13" s="3">
        <v>0</v>
      </c>
      <c r="M13" s="3">
        <v>0</v>
      </c>
      <c r="N13" s="3">
        <v>0</v>
      </c>
      <c r="O13" s="3">
        <v>1759990.3261697229</v>
      </c>
      <c r="P13" s="3">
        <v>2081818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5">
      <c r="A14" s="2">
        <v>13</v>
      </c>
      <c r="B14" s="2" t="s">
        <v>58</v>
      </c>
      <c r="C14" s="2" t="s">
        <v>59</v>
      </c>
      <c r="D14" s="3">
        <v>15</v>
      </c>
      <c r="E14" s="3">
        <v>36008745</v>
      </c>
      <c r="F14" s="3">
        <v>9415947.567411812</v>
      </c>
      <c r="G14" s="3">
        <v>7881819</v>
      </c>
      <c r="H14" s="3">
        <v>9457428.0156005304</v>
      </c>
      <c r="I14" s="3">
        <v>16</v>
      </c>
      <c r="J14" s="3">
        <v>35967264.551811278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6995961.1109270882</v>
      </c>
      <c r="Z14" s="3">
        <v>7881819</v>
      </c>
      <c r="AA14" s="3">
        <v>0</v>
      </c>
      <c r="AB14" s="3">
        <v>0</v>
      </c>
      <c r="AC14" s="3">
        <v>0</v>
      </c>
      <c r="AD14" s="3">
        <v>0</v>
      </c>
      <c r="AE14" s="3">
        <v>2419986.4564847238</v>
      </c>
      <c r="AF14" s="3">
        <v>0</v>
      </c>
      <c r="AG14" s="3">
        <v>0</v>
      </c>
      <c r="AH14" s="3">
        <v>0</v>
      </c>
    </row>
    <row r="15" spans="1:34" x14ac:dyDescent="0.25">
      <c r="A15" s="2">
        <v>14</v>
      </c>
      <c r="B15" s="2" t="s">
        <v>60</v>
      </c>
      <c r="C15" s="2" t="s">
        <v>61</v>
      </c>
      <c r="D15" s="3">
        <v>144</v>
      </c>
      <c r="E15" s="3">
        <v>17150484</v>
      </c>
      <c r="F15" s="3">
        <v>107409092.0037891</v>
      </c>
      <c r="G15" s="3">
        <v>81939998</v>
      </c>
      <c r="H15" s="3">
        <v>90813003.636522844</v>
      </c>
      <c r="I15" s="3">
        <v>642</v>
      </c>
      <c r="J15" s="3">
        <v>33746572.367266208</v>
      </c>
      <c r="K15" s="3">
        <v>3079982.586799724</v>
      </c>
      <c r="L15" s="3">
        <v>6060000</v>
      </c>
      <c r="M15" s="3">
        <v>10195421.007980259</v>
      </c>
      <c r="N15" s="3">
        <v>3514546</v>
      </c>
      <c r="O15" s="3">
        <v>4866390.4531230181</v>
      </c>
      <c r="P15" s="3">
        <v>5272729</v>
      </c>
      <c r="Q15" s="3">
        <v>13389120.051451741</v>
      </c>
      <c r="R15" s="3">
        <v>9369999</v>
      </c>
      <c r="S15" s="3">
        <v>10603940.214780981</v>
      </c>
      <c r="T15" s="3">
        <v>4963634</v>
      </c>
      <c r="U15" s="3">
        <v>4678921.7866499797</v>
      </c>
      <c r="V15" s="3">
        <v>7445453</v>
      </c>
      <c r="W15" s="3">
        <v>3727659.0500620529</v>
      </c>
      <c r="X15" s="3">
        <v>7454545</v>
      </c>
      <c r="Y15" s="3">
        <v>22893732.220867891</v>
      </c>
      <c r="Z15" s="3">
        <v>4636364</v>
      </c>
      <c r="AA15" s="3">
        <v>7622519.8043755479</v>
      </c>
      <c r="AB15" s="3">
        <v>2283634</v>
      </c>
      <c r="AC15" s="3">
        <v>4480934.0423395475</v>
      </c>
      <c r="AD15" s="3">
        <v>14736366</v>
      </c>
      <c r="AE15" s="3">
        <v>15853061.20594288</v>
      </c>
      <c r="AF15" s="3">
        <v>2993637</v>
      </c>
      <c r="AG15" s="3">
        <v>6017409.5794154294</v>
      </c>
      <c r="AH15" s="3">
        <v>13209091</v>
      </c>
    </row>
    <row r="16" spans="1:34" x14ac:dyDescent="0.25">
      <c r="A16" s="2">
        <v>15</v>
      </c>
      <c r="B16" s="2" t="s">
        <v>62</v>
      </c>
      <c r="C16" s="2" t="s">
        <v>63</v>
      </c>
      <c r="D16" s="3">
        <v>12368</v>
      </c>
      <c r="E16" s="3">
        <v>1138626260</v>
      </c>
      <c r="F16" s="3">
        <v>138272746.68108371</v>
      </c>
      <c r="G16" s="3">
        <v>106930001</v>
      </c>
      <c r="H16" s="3">
        <v>183869221.62640181</v>
      </c>
      <c r="I16" s="3">
        <v>12081</v>
      </c>
      <c r="J16" s="3">
        <v>1093029785.054682</v>
      </c>
      <c r="K16" s="3">
        <v>0</v>
      </c>
      <c r="L16" s="3">
        <v>3404546</v>
      </c>
      <c r="M16" s="3">
        <v>0</v>
      </c>
      <c r="N16" s="3">
        <v>1290910</v>
      </c>
      <c r="O16" s="3">
        <v>0</v>
      </c>
      <c r="P16" s="3">
        <v>3840911</v>
      </c>
      <c r="Q16" s="3">
        <v>17269906.164534319</v>
      </c>
      <c r="R16" s="3">
        <v>3368181</v>
      </c>
      <c r="S16" s="3">
        <v>0</v>
      </c>
      <c r="T16" s="3">
        <v>34951817</v>
      </c>
      <c r="U16" s="3">
        <v>116866862.9596521</v>
      </c>
      <c r="V16" s="3">
        <v>2227279</v>
      </c>
      <c r="W16" s="3">
        <v>0</v>
      </c>
      <c r="X16" s="3">
        <v>9086364</v>
      </c>
      <c r="Y16" s="3">
        <v>0</v>
      </c>
      <c r="Z16" s="3">
        <v>15077277</v>
      </c>
      <c r="AA16" s="3">
        <v>4135977.5568972249</v>
      </c>
      <c r="AB16" s="3">
        <v>9518180</v>
      </c>
      <c r="AC16" s="3">
        <v>0</v>
      </c>
      <c r="AD16" s="3">
        <v>4040910</v>
      </c>
      <c r="AE16" s="3">
        <v>0</v>
      </c>
      <c r="AF16" s="3">
        <v>4309994</v>
      </c>
      <c r="AG16" s="3">
        <v>0</v>
      </c>
      <c r="AH16" s="3">
        <v>15813632</v>
      </c>
    </row>
    <row r="17" spans="1:34" x14ac:dyDescent="0.25">
      <c r="A17" s="2">
        <v>16</v>
      </c>
      <c r="B17" s="2" t="s">
        <v>64</v>
      </c>
      <c r="C17" s="2" t="s">
        <v>65</v>
      </c>
      <c r="D17" s="3">
        <v>15</v>
      </c>
      <c r="E17" s="3">
        <v>9450935</v>
      </c>
      <c r="F17" s="3">
        <v>2833612949.9125962</v>
      </c>
      <c r="G17" s="3">
        <v>4740955353</v>
      </c>
      <c r="H17" s="3">
        <v>2565389466.454793</v>
      </c>
      <c r="I17" s="3">
        <v>2405.2449999999999</v>
      </c>
      <c r="J17" s="3">
        <v>277674418.45780307</v>
      </c>
      <c r="K17" s="3">
        <v>256745000.58412489</v>
      </c>
      <c r="L17" s="3">
        <v>286377374</v>
      </c>
      <c r="M17" s="3">
        <v>141808546.3796843</v>
      </c>
      <c r="N17" s="3">
        <v>75377438</v>
      </c>
      <c r="O17" s="3">
        <v>198442421.64397931</v>
      </c>
      <c r="P17" s="3">
        <v>384933627</v>
      </c>
      <c r="Q17" s="3">
        <v>291293298.35370451</v>
      </c>
      <c r="R17" s="3">
        <v>395837153</v>
      </c>
      <c r="S17" s="3">
        <v>148183068.4417178</v>
      </c>
      <c r="T17" s="3">
        <v>229219596</v>
      </c>
      <c r="U17" s="3">
        <v>207484341.70633951</v>
      </c>
      <c r="V17" s="3">
        <v>188482083</v>
      </c>
      <c r="W17" s="3">
        <v>222110682.9439576</v>
      </c>
      <c r="X17" s="3">
        <v>1033183894</v>
      </c>
      <c r="Y17" s="3">
        <v>177776379.74289209</v>
      </c>
      <c r="Z17" s="3">
        <v>465525420</v>
      </c>
      <c r="AA17" s="3">
        <v>322155324.94721228</v>
      </c>
      <c r="AB17" s="3">
        <v>431022654</v>
      </c>
      <c r="AC17" s="3">
        <v>265047053.55347589</v>
      </c>
      <c r="AD17" s="3">
        <v>325461975</v>
      </c>
      <c r="AE17" s="3">
        <v>325585123.72071463</v>
      </c>
      <c r="AF17" s="3">
        <v>310354916</v>
      </c>
      <c r="AG17" s="3">
        <v>276981707.89479369</v>
      </c>
      <c r="AH17" s="3">
        <v>615179223</v>
      </c>
    </row>
    <row r="18" spans="1:34" x14ac:dyDescent="0.25">
      <c r="A18" s="2">
        <v>17</v>
      </c>
      <c r="B18" s="2" t="s">
        <v>66</v>
      </c>
      <c r="C18" s="2" t="s">
        <v>67</v>
      </c>
      <c r="D18" s="3">
        <v>43</v>
      </c>
      <c r="E18" s="3">
        <v>380629316</v>
      </c>
      <c r="F18" s="3">
        <v>0</v>
      </c>
      <c r="G18" s="3">
        <v>17727272</v>
      </c>
      <c r="H18" s="3">
        <v>23234984.141385991</v>
      </c>
      <c r="I18" s="3">
        <v>41</v>
      </c>
      <c r="J18" s="3">
        <v>357394331.85861403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17727272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x14ac:dyDescent="0.25">
      <c r="A19" s="2">
        <v>18</v>
      </c>
      <c r="B19" s="2" t="s">
        <v>68</v>
      </c>
      <c r="C19" s="2" t="s">
        <v>69</v>
      </c>
      <c r="D19" s="3">
        <v>101</v>
      </c>
      <c r="E19" s="3">
        <v>292565737</v>
      </c>
      <c r="F19" s="3">
        <v>45967354.041990392</v>
      </c>
      <c r="G19" s="3">
        <v>43027276</v>
      </c>
      <c r="H19" s="3">
        <v>61354278.411140017</v>
      </c>
      <c r="I19" s="3">
        <v>100</v>
      </c>
      <c r="J19" s="3">
        <v>277178812.63085032</v>
      </c>
      <c r="K19" s="3">
        <v>0</v>
      </c>
      <c r="L19" s="3">
        <v>0</v>
      </c>
      <c r="M19" s="3">
        <v>9583146.3676795065</v>
      </c>
      <c r="N19" s="3">
        <v>0</v>
      </c>
      <c r="O19" s="3">
        <v>0</v>
      </c>
      <c r="P19" s="3">
        <v>3454545</v>
      </c>
      <c r="Q19" s="3">
        <v>16315108.252084929</v>
      </c>
      <c r="R19" s="3">
        <v>9409091</v>
      </c>
      <c r="S19" s="3">
        <v>0</v>
      </c>
      <c r="T19" s="3">
        <v>0</v>
      </c>
      <c r="U19" s="3">
        <v>4756305.0326661989</v>
      </c>
      <c r="V19" s="3">
        <v>0</v>
      </c>
      <c r="W19" s="3">
        <v>0</v>
      </c>
      <c r="X19" s="3">
        <v>30163640</v>
      </c>
      <c r="Y19" s="3">
        <v>6297245.1973083317</v>
      </c>
      <c r="Z19" s="3">
        <v>0</v>
      </c>
      <c r="AA19" s="3">
        <v>9015549.1922514234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x14ac:dyDescent="0.25">
      <c r="A20" s="2">
        <v>19</v>
      </c>
      <c r="B20" s="2" t="s">
        <v>70</v>
      </c>
      <c r="C20" s="2" t="s">
        <v>71</v>
      </c>
      <c r="D20" s="3">
        <v>15</v>
      </c>
      <c r="E20" s="3">
        <v>114863696</v>
      </c>
      <c r="F20" s="3">
        <v>2021451619.8000841</v>
      </c>
      <c r="G20" s="3">
        <v>1731336359</v>
      </c>
      <c r="H20" s="3">
        <v>1930847027.23176</v>
      </c>
      <c r="I20" s="3">
        <v>75</v>
      </c>
      <c r="J20" s="3">
        <v>205468288.56832379</v>
      </c>
      <c r="K20" s="3">
        <v>4830292.9671435095</v>
      </c>
      <c r="L20" s="3">
        <v>0</v>
      </c>
      <c r="M20" s="3">
        <v>229661114.25577819</v>
      </c>
      <c r="N20" s="3">
        <v>0</v>
      </c>
      <c r="O20" s="3">
        <v>60279662.379348241</v>
      </c>
      <c r="P20" s="3">
        <v>30345455</v>
      </c>
      <c r="Q20" s="3">
        <v>0</v>
      </c>
      <c r="R20" s="3">
        <v>28309090</v>
      </c>
      <c r="S20" s="3">
        <v>133368503.6008926</v>
      </c>
      <c r="T20" s="3">
        <v>215672727</v>
      </c>
      <c r="U20" s="3">
        <v>188318946.50826329</v>
      </c>
      <c r="V20" s="3">
        <v>49145455</v>
      </c>
      <c r="W20" s="3">
        <v>79104517.289572656</v>
      </c>
      <c r="X20" s="3">
        <v>103590909</v>
      </c>
      <c r="Y20" s="3">
        <v>456629444.72578877</v>
      </c>
      <c r="Z20" s="3">
        <v>374327272</v>
      </c>
      <c r="AA20" s="3">
        <v>269718489.89766449</v>
      </c>
      <c r="AB20" s="3">
        <v>190418180</v>
      </c>
      <c r="AC20" s="3">
        <v>251414595.15187341</v>
      </c>
      <c r="AD20" s="3">
        <v>104300000</v>
      </c>
      <c r="AE20" s="3">
        <v>348126053.02375871</v>
      </c>
      <c r="AF20" s="3">
        <v>227718182</v>
      </c>
      <c r="AG20" s="3">
        <v>0</v>
      </c>
      <c r="AH20" s="3">
        <v>407509089</v>
      </c>
    </row>
    <row r="21" spans="1:34" ht="15.75" customHeight="1" x14ac:dyDescent="0.25">
      <c r="A21" s="2">
        <v>20</v>
      </c>
      <c r="B21" s="2" t="s">
        <v>72</v>
      </c>
      <c r="C21" s="2" t="s">
        <v>73</v>
      </c>
      <c r="D21" s="3">
        <v>43</v>
      </c>
      <c r="E21" s="3">
        <v>548106236</v>
      </c>
      <c r="F21" s="3">
        <v>56759681.727008797</v>
      </c>
      <c r="G21" s="3">
        <v>94527273</v>
      </c>
      <c r="H21" s="3">
        <v>116394149.89674731</v>
      </c>
      <c r="I21" s="3">
        <v>41</v>
      </c>
      <c r="J21" s="3">
        <v>488471767.83026141</v>
      </c>
      <c r="K21" s="3">
        <v>0</v>
      </c>
      <c r="L21" s="3">
        <v>0</v>
      </c>
      <c r="M21" s="3">
        <v>0</v>
      </c>
      <c r="N21" s="3">
        <v>0</v>
      </c>
      <c r="O21" s="3">
        <v>23583867.660289459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23407868.821271401</v>
      </c>
      <c r="V21" s="3">
        <v>12590909</v>
      </c>
      <c r="W21" s="3">
        <v>0</v>
      </c>
      <c r="X21" s="3">
        <v>24490909</v>
      </c>
      <c r="Y21" s="3">
        <v>0</v>
      </c>
      <c r="Z21" s="3">
        <v>0</v>
      </c>
      <c r="AA21" s="3">
        <v>0</v>
      </c>
      <c r="AB21" s="3">
        <v>11181818</v>
      </c>
      <c r="AC21" s="3">
        <v>0</v>
      </c>
      <c r="AD21" s="3">
        <v>0</v>
      </c>
      <c r="AE21" s="3">
        <v>9767945.2454479244</v>
      </c>
      <c r="AF21" s="3">
        <v>11809091</v>
      </c>
      <c r="AG21" s="3">
        <v>0</v>
      </c>
      <c r="AH21" s="3">
        <v>34454546</v>
      </c>
    </row>
    <row r="22" spans="1:34" ht="15.75" customHeight="1" x14ac:dyDescent="0.25">
      <c r="A22" s="2">
        <v>21</v>
      </c>
      <c r="B22" s="2" t="s">
        <v>74</v>
      </c>
      <c r="C22" s="2" t="s">
        <v>75</v>
      </c>
      <c r="D22" s="3">
        <v>86</v>
      </c>
      <c r="E22" s="3">
        <v>736162248</v>
      </c>
      <c r="F22" s="3">
        <v>12319931.31519348</v>
      </c>
      <c r="G22" s="3">
        <v>47272729</v>
      </c>
      <c r="H22" s="3">
        <v>67784181.648273572</v>
      </c>
      <c r="I22" s="3">
        <v>81</v>
      </c>
      <c r="J22" s="3">
        <v>680697997.66691995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12319931.31519348</v>
      </c>
      <c r="AD22" s="3">
        <v>47272729</v>
      </c>
      <c r="AE22" s="3">
        <v>0</v>
      </c>
      <c r="AF22" s="3">
        <v>0</v>
      </c>
      <c r="AG22" s="3">
        <v>0</v>
      </c>
      <c r="AH22" s="3">
        <v>0</v>
      </c>
    </row>
    <row r="23" spans="1:34" ht="15.75" customHeight="1" x14ac:dyDescent="0.25">
      <c r="A23" s="2">
        <v>22</v>
      </c>
      <c r="B23" s="2" t="s">
        <v>76</v>
      </c>
      <c r="C23" s="2" t="s">
        <v>77</v>
      </c>
      <c r="D23" s="3">
        <v>15</v>
      </c>
      <c r="E23" s="3">
        <v>5415070</v>
      </c>
      <c r="F23" s="3">
        <v>11351928.988642929</v>
      </c>
      <c r="G23" s="3">
        <v>0</v>
      </c>
      <c r="H23" s="3">
        <v>0</v>
      </c>
      <c r="I23" s="3">
        <v>46</v>
      </c>
      <c r="J23" s="3">
        <v>16766998.988642929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11351928.988642929</v>
      </c>
      <c r="AF23" s="3">
        <v>0</v>
      </c>
      <c r="AG23" s="3">
        <v>0</v>
      </c>
      <c r="AH23" s="3">
        <v>0</v>
      </c>
    </row>
    <row r="24" spans="1:34" ht="15.75" customHeight="1" x14ac:dyDescent="0.25">
      <c r="A24" s="2">
        <v>23</v>
      </c>
      <c r="B24" s="2" t="s">
        <v>78</v>
      </c>
      <c r="C24" s="2" t="s">
        <v>79</v>
      </c>
      <c r="D24" s="3">
        <v>115</v>
      </c>
      <c r="E24" s="3">
        <v>1389050190</v>
      </c>
      <c r="F24" s="3">
        <v>57023680.953530461</v>
      </c>
      <c r="G24" s="3">
        <v>147299999</v>
      </c>
      <c r="H24" s="3">
        <v>189923716.15552631</v>
      </c>
      <c r="I24" s="3">
        <v>108</v>
      </c>
      <c r="J24" s="3">
        <v>1256150154.7980039</v>
      </c>
      <c r="K24" s="3">
        <v>0</v>
      </c>
      <c r="L24" s="3">
        <v>14136363</v>
      </c>
      <c r="M24" s="3">
        <v>0</v>
      </c>
      <c r="N24" s="3">
        <v>0</v>
      </c>
      <c r="O24" s="3">
        <v>20591884.49299876</v>
      </c>
      <c r="P24" s="3">
        <v>39572726</v>
      </c>
      <c r="Q24" s="3">
        <v>0</v>
      </c>
      <c r="R24" s="3">
        <v>0</v>
      </c>
      <c r="S24" s="3">
        <v>0</v>
      </c>
      <c r="T24" s="3">
        <v>56545455</v>
      </c>
      <c r="U24" s="3">
        <v>0</v>
      </c>
      <c r="V24" s="3">
        <v>0</v>
      </c>
      <c r="W24" s="3">
        <v>36431796.460531697</v>
      </c>
      <c r="X24" s="3">
        <v>0</v>
      </c>
      <c r="Y24" s="3">
        <v>0</v>
      </c>
      <c r="Z24" s="3">
        <v>37045455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5.75" customHeight="1" x14ac:dyDescent="0.25">
      <c r="A25" s="2">
        <v>24</v>
      </c>
      <c r="B25" s="2" t="s">
        <v>80</v>
      </c>
      <c r="C25" s="2" t="s">
        <v>81</v>
      </c>
      <c r="D25" s="3">
        <v>15</v>
      </c>
      <c r="E25" s="3">
        <v>85709658</v>
      </c>
      <c r="F25" s="3">
        <v>74038827.399833977</v>
      </c>
      <c r="G25" s="3">
        <v>145058419</v>
      </c>
      <c r="H25" s="3">
        <v>83163254.405812413</v>
      </c>
      <c r="I25" s="3">
        <v>22</v>
      </c>
      <c r="J25" s="3">
        <v>76585230.99402155</v>
      </c>
      <c r="K25" s="3">
        <v>1149977.5641215411</v>
      </c>
      <c r="L25" s="3">
        <v>0</v>
      </c>
      <c r="M25" s="3">
        <v>27983843.475713771</v>
      </c>
      <c r="N25" s="3">
        <v>0</v>
      </c>
      <c r="O25" s="3">
        <v>0</v>
      </c>
      <c r="P25" s="3">
        <v>0</v>
      </c>
      <c r="Q25" s="3">
        <v>19510630.67226306</v>
      </c>
      <c r="R25" s="3">
        <v>43307914</v>
      </c>
      <c r="S25" s="3">
        <v>5467376.6656885119</v>
      </c>
      <c r="T25" s="3">
        <v>8181818</v>
      </c>
      <c r="U25" s="3">
        <v>0</v>
      </c>
      <c r="V25" s="3">
        <v>32727273</v>
      </c>
      <c r="W25" s="3">
        <v>0</v>
      </c>
      <c r="X25" s="3">
        <v>0</v>
      </c>
      <c r="Y25" s="3">
        <v>11831044.68325985</v>
      </c>
      <c r="Z25" s="3">
        <v>26532323</v>
      </c>
      <c r="AA25" s="3">
        <v>0</v>
      </c>
      <c r="AB25" s="3">
        <v>24354545</v>
      </c>
      <c r="AC25" s="3">
        <v>0</v>
      </c>
      <c r="AD25" s="3">
        <v>0</v>
      </c>
      <c r="AE25" s="3">
        <v>0</v>
      </c>
      <c r="AF25" s="3">
        <v>0</v>
      </c>
      <c r="AG25" s="3">
        <v>8095954.3387872288</v>
      </c>
      <c r="AH25" s="3">
        <v>9954546</v>
      </c>
    </row>
    <row r="26" spans="1:34" ht="15.75" customHeight="1" x14ac:dyDescent="0.25">
      <c r="A26" s="2">
        <v>25</v>
      </c>
      <c r="B26" s="2" t="s">
        <v>82</v>
      </c>
      <c r="C26" s="2" t="s">
        <v>83</v>
      </c>
      <c r="D26" s="3">
        <v>72</v>
      </c>
      <c r="E26" s="3">
        <v>1206586840</v>
      </c>
      <c r="F26" s="3">
        <v>106292844.4254137</v>
      </c>
      <c r="G26" s="3">
        <v>159929090</v>
      </c>
      <c r="H26" s="3">
        <v>221339327.90054131</v>
      </c>
      <c r="I26" s="3">
        <v>68</v>
      </c>
      <c r="J26" s="3">
        <v>1091540356.524873</v>
      </c>
      <c r="K26" s="3">
        <v>71709038.67855534</v>
      </c>
      <c r="L26" s="3">
        <v>18701818</v>
      </c>
      <c r="M26" s="3">
        <v>0</v>
      </c>
      <c r="N26" s="3">
        <v>0</v>
      </c>
      <c r="O26" s="3">
        <v>0</v>
      </c>
      <c r="P26" s="3">
        <v>31127272</v>
      </c>
      <c r="Q26" s="3">
        <v>0</v>
      </c>
      <c r="R26" s="3">
        <v>33445455</v>
      </c>
      <c r="S26" s="3">
        <v>0</v>
      </c>
      <c r="T26" s="3">
        <v>0</v>
      </c>
      <c r="U26" s="3">
        <v>14959915.836453481</v>
      </c>
      <c r="V26" s="3">
        <v>0</v>
      </c>
      <c r="W26" s="3">
        <v>19623889.91040488</v>
      </c>
      <c r="X26" s="3">
        <v>59590909</v>
      </c>
      <c r="Y26" s="3">
        <v>0</v>
      </c>
      <c r="Z26" s="3">
        <v>17063636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5.75" customHeight="1" x14ac:dyDescent="0.25">
      <c r="A27" s="2">
        <v>26</v>
      </c>
      <c r="B27" s="2" t="s">
        <v>84</v>
      </c>
      <c r="C27" s="2" t="s">
        <v>85</v>
      </c>
      <c r="D27" s="3">
        <v>15</v>
      </c>
      <c r="E27" s="3">
        <v>83172113</v>
      </c>
      <c r="F27" s="3">
        <v>1175844138.214606</v>
      </c>
      <c r="G27" s="3">
        <v>569081819</v>
      </c>
      <c r="H27" s="3">
        <v>472777132.08526021</v>
      </c>
      <c r="I27" s="3">
        <v>210</v>
      </c>
      <c r="J27" s="3">
        <v>786239119.12934601</v>
      </c>
      <c r="K27" s="3">
        <v>0</v>
      </c>
      <c r="L27" s="3">
        <v>0</v>
      </c>
      <c r="M27" s="3">
        <v>47519733.96660962</v>
      </c>
      <c r="N27" s="3">
        <v>0</v>
      </c>
      <c r="O27" s="3">
        <v>71015603.175384641</v>
      </c>
      <c r="P27" s="3">
        <v>46590909</v>
      </c>
      <c r="Q27" s="3">
        <v>0</v>
      </c>
      <c r="R27" s="3">
        <v>0</v>
      </c>
      <c r="S27" s="3">
        <v>0</v>
      </c>
      <c r="T27" s="3">
        <v>17863636</v>
      </c>
      <c r="U27" s="3">
        <v>149611481.90356579</v>
      </c>
      <c r="V27" s="3">
        <v>84500001</v>
      </c>
      <c r="W27" s="3">
        <v>36167797.234010033</v>
      </c>
      <c r="X27" s="3">
        <v>55909090</v>
      </c>
      <c r="Y27" s="3">
        <v>188846943.02531749</v>
      </c>
      <c r="Z27" s="3">
        <v>197681818</v>
      </c>
      <c r="AA27" s="3">
        <v>66879625.61848741</v>
      </c>
      <c r="AB27" s="3">
        <v>57818182</v>
      </c>
      <c r="AC27" s="3">
        <v>74130784.949191228</v>
      </c>
      <c r="AD27" s="3">
        <v>92090910</v>
      </c>
      <c r="AE27" s="3">
        <v>86697114.445411056</v>
      </c>
      <c r="AF27" s="3">
        <v>0</v>
      </c>
      <c r="AG27" s="3">
        <v>454975053.89662892</v>
      </c>
      <c r="AH27" s="3">
        <v>16627273</v>
      </c>
    </row>
    <row r="28" spans="1:34" ht="15.75" customHeight="1" x14ac:dyDescent="0.25">
      <c r="A28" s="2">
        <v>27</v>
      </c>
      <c r="B28" s="2" t="s">
        <v>86</v>
      </c>
      <c r="C28" s="2" t="s">
        <v>87</v>
      </c>
      <c r="D28" s="3">
        <v>15</v>
      </c>
      <c r="E28" s="3">
        <v>149847069</v>
      </c>
      <c r="F28" s="3">
        <v>2490749493.417603</v>
      </c>
      <c r="G28" s="3">
        <v>1708461811</v>
      </c>
      <c r="H28" s="3">
        <v>2381022905.3712511</v>
      </c>
      <c r="I28" s="3">
        <v>84</v>
      </c>
      <c r="J28" s="3">
        <v>259573657.0463509</v>
      </c>
      <c r="K28" s="3">
        <v>30019272.788382251</v>
      </c>
      <c r="L28" s="3">
        <v>18409091</v>
      </c>
      <c r="M28" s="3">
        <v>112384171.0391506</v>
      </c>
      <c r="N28" s="3">
        <v>31309090</v>
      </c>
      <c r="O28" s="3">
        <v>331450139.31093073</v>
      </c>
      <c r="P28" s="3">
        <v>154554546</v>
      </c>
      <c r="Q28" s="3">
        <v>0</v>
      </c>
      <c r="R28" s="3">
        <v>28354545</v>
      </c>
      <c r="S28" s="3">
        <v>0</v>
      </c>
      <c r="T28" s="3">
        <v>83854545</v>
      </c>
      <c r="U28" s="3">
        <v>684636165.24842334</v>
      </c>
      <c r="V28" s="3">
        <v>135545454</v>
      </c>
      <c r="W28" s="3">
        <v>485493287.23656583</v>
      </c>
      <c r="X28" s="3">
        <v>561372725</v>
      </c>
      <c r="Y28" s="3">
        <v>103839419.5640679</v>
      </c>
      <c r="Z28" s="3">
        <v>109036364</v>
      </c>
      <c r="AA28" s="3">
        <v>83071535.264056444</v>
      </c>
      <c r="AB28" s="3">
        <v>100163633</v>
      </c>
      <c r="AC28" s="3">
        <v>131031266.3282112</v>
      </c>
      <c r="AD28" s="3">
        <v>221036362</v>
      </c>
      <c r="AE28" s="3">
        <v>230998707.56190351</v>
      </c>
      <c r="AF28" s="3">
        <v>126127272</v>
      </c>
      <c r="AG28" s="3">
        <v>297825529.07591039</v>
      </c>
      <c r="AH28" s="3">
        <v>138698184</v>
      </c>
    </row>
    <row r="29" spans="1:34" ht="15.75" customHeight="1" x14ac:dyDescent="0.25">
      <c r="A29" s="2">
        <v>28</v>
      </c>
      <c r="B29" s="2" t="s">
        <v>88</v>
      </c>
      <c r="C29" s="2" t="s">
        <v>89</v>
      </c>
      <c r="D29" s="3">
        <v>15</v>
      </c>
      <c r="E29" s="3">
        <v>152801734</v>
      </c>
      <c r="F29" s="3">
        <v>2213820320.8827052</v>
      </c>
      <c r="G29" s="3">
        <v>1972222731</v>
      </c>
      <c r="H29" s="3">
        <v>2389628731.061049</v>
      </c>
      <c r="I29" s="3">
        <v>56</v>
      </c>
      <c r="J29" s="3">
        <v>-23006676.17834371</v>
      </c>
      <c r="K29" s="3">
        <v>115305753.8964384</v>
      </c>
      <c r="L29" s="3">
        <v>34172728</v>
      </c>
      <c r="M29" s="3">
        <v>342752801.24729788</v>
      </c>
      <c r="N29" s="3">
        <v>114181818</v>
      </c>
      <c r="O29" s="3">
        <v>194227230.18640459</v>
      </c>
      <c r="P29" s="3">
        <v>225581817</v>
      </c>
      <c r="Q29" s="3">
        <v>21368039.005230449</v>
      </c>
      <c r="R29" s="3">
        <v>32127273</v>
      </c>
      <c r="S29" s="3">
        <v>0</v>
      </c>
      <c r="T29" s="3">
        <v>93854546</v>
      </c>
      <c r="U29" s="3">
        <v>316651267.76518881</v>
      </c>
      <c r="V29" s="3">
        <v>166527272</v>
      </c>
      <c r="W29" s="3">
        <v>129676075.8485689</v>
      </c>
      <c r="X29" s="3">
        <v>181436365</v>
      </c>
      <c r="Y29" s="3">
        <v>11792813.73722031</v>
      </c>
      <c r="Z29" s="3">
        <v>65649999</v>
      </c>
      <c r="AA29" s="3">
        <v>519794605.06037492</v>
      </c>
      <c r="AB29" s="3">
        <v>324445454</v>
      </c>
      <c r="AC29" s="3">
        <v>25247939.403269961</v>
      </c>
      <c r="AD29" s="3">
        <v>167772730</v>
      </c>
      <c r="AE29" s="3">
        <v>79934352.909376666</v>
      </c>
      <c r="AF29" s="3">
        <v>183009093</v>
      </c>
      <c r="AG29" s="3">
        <v>457069441.82333392</v>
      </c>
      <c r="AH29" s="3">
        <v>383463636</v>
      </c>
    </row>
    <row r="30" spans="1:34" ht="15.75" customHeight="1" x14ac:dyDescent="0.25">
      <c r="A30" s="2">
        <v>29</v>
      </c>
      <c r="B30" s="2" t="s">
        <v>90</v>
      </c>
      <c r="C30" s="2" t="s">
        <v>91</v>
      </c>
      <c r="D30" s="3">
        <v>101</v>
      </c>
      <c r="E30" s="3">
        <v>101362718</v>
      </c>
      <c r="F30" s="3">
        <v>1495992.0676426401</v>
      </c>
      <c r="G30" s="3">
        <v>45999999</v>
      </c>
      <c r="H30" s="3">
        <v>23488645.485004421</v>
      </c>
      <c r="I30" s="3">
        <v>108</v>
      </c>
      <c r="J30" s="3">
        <v>79370064.582638219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11645455</v>
      </c>
      <c r="Q30" s="3">
        <v>0</v>
      </c>
      <c r="R30" s="3">
        <v>9163636</v>
      </c>
      <c r="S30" s="3">
        <v>0</v>
      </c>
      <c r="T30" s="3">
        <v>8709091</v>
      </c>
      <c r="U30" s="3">
        <v>0</v>
      </c>
      <c r="V30" s="3">
        <v>4709091</v>
      </c>
      <c r="W30" s="3">
        <v>0</v>
      </c>
      <c r="X30" s="3">
        <v>2354545</v>
      </c>
      <c r="Y30" s="3">
        <v>1495992.0676426401</v>
      </c>
      <c r="Z30" s="3">
        <v>7063636</v>
      </c>
      <c r="AA30" s="3">
        <v>0</v>
      </c>
      <c r="AB30" s="3">
        <v>2354545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5.75" customHeight="1" x14ac:dyDescent="0.25">
      <c r="A31" s="2">
        <v>30</v>
      </c>
      <c r="B31" s="2" t="s">
        <v>92</v>
      </c>
      <c r="C31" s="2" t="s">
        <v>93</v>
      </c>
      <c r="D31" s="3">
        <v>29</v>
      </c>
      <c r="E31" s="3">
        <v>421203771</v>
      </c>
      <c r="F31" s="3">
        <v>102501827.2259371</v>
      </c>
      <c r="G31" s="3">
        <v>114800001</v>
      </c>
      <c r="H31" s="3">
        <v>153728618.97884691</v>
      </c>
      <c r="I31" s="3">
        <v>28</v>
      </c>
      <c r="J31" s="3">
        <v>369976979.24709022</v>
      </c>
      <c r="K31" s="3">
        <v>0</v>
      </c>
      <c r="L31" s="3">
        <v>0</v>
      </c>
      <c r="M31" s="3">
        <v>29286236.62683763</v>
      </c>
      <c r="N31" s="3">
        <v>0</v>
      </c>
      <c r="O31" s="3">
        <v>73215590.599099502</v>
      </c>
      <c r="P31" s="3">
        <v>30254546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45409092</v>
      </c>
      <c r="W31" s="3">
        <v>0</v>
      </c>
      <c r="X31" s="3">
        <v>28681818</v>
      </c>
      <c r="Y31" s="3">
        <v>0</v>
      </c>
      <c r="Z31" s="3">
        <v>0</v>
      </c>
      <c r="AA31" s="3">
        <v>0</v>
      </c>
      <c r="AB31" s="3">
        <v>10454545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5.75" customHeight="1" x14ac:dyDescent="0.25">
      <c r="A32" s="2">
        <v>31</v>
      </c>
      <c r="B32" s="2" t="s">
        <v>94</v>
      </c>
      <c r="C32" s="2" t="s">
        <v>95</v>
      </c>
      <c r="D32" s="3">
        <v>15</v>
      </c>
      <c r="E32" s="3">
        <v>30440825</v>
      </c>
      <c r="F32" s="3">
        <v>114267361.9078254</v>
      </c>
      <c r="G32" s="3">
        <v>56336363</v>
      </c>
      <c r="H32" s="3">
        <v>9248796.2144247182</v>
      </c>
      <c r="I32" s="3">
        <v>89</v>
      </c>
      <c r="J32" s="3">
        <v>135459390.69340071</v>
      </c>
      <c r="K32" s="3">
        <v>1891988.9714359739</v>
      </c>
      <c r="L32" s="3">
        <v>0</v>
      </c>
      <c r="M32" s="3">
        <v>0</v>
      </c>
      <c r="N32" s="3">
        <v>0</v>
      </c>
      <c r="O32" s="3">
        <v>3695979.491357503</v>
      </c>
      <c r="P32" s="3">
        <v>0</v>
      </c>
      <c r="Q32" s="3">
        <v>2393586.3402336412</v>
      </c>
      <c r="R32" s="3">
        <v>17809091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2345454</v>
      </c>
      <c r="Y32" s="3">
        <v>18999093.93509132</v>
      </c>
      <c r="Z32" s="3">
        <v>0</v>
      </c>
      <c r="AA32" s="3">
        <v>18999093.93509132</v>
      </c>
      <c r="AB32" s="3">
        <v>0</v>
      </c>
      <c r="AC32" s="3">
        <v>16015909.8385564</v>
      </c>
      <c r="AD32" s="3">
        <v>0</v>
      </c>
      <c r="AE32" s="3">
        <v>52271709.3960592</v>
      </c>
      <c r="AF32" s="3">
        <v>0</v>
      </c>
      <c r="AG32" s="3">
        <v>0</v>
      </c>
      <c r="AH32" s="3">
        <v>36181818</v>
      </c>
    </row>
    <row r="33" spans="1:34" ht="15.75" customHeight="1" x14ac:dyDescent="0.25">
      <c r="A33" s="2">
        <v>32</v>
      </c>
      <c r="B33" s="2" t="s">
        <v>96</v>
      </c>
      <c r="C33" s="2" t="s">
        <v>97</v>
      </c>
      <c r="D33" s="3">
        <v>29</v>
      </c>
      <c r="E33" s="3">
        <v>46846697</v>
      </c>
      <c r="F33" s="3">
        <v>0</v>
      </c>
      <c r="G33" s="3">
        <v>1636364</v>
      </c>
      <c r="H33" s="3">
        <v>2120115.8048181799</v>
      </c>
      <c r="I33" s="3">
        <v>28</v>
      </c>
      <c r="J33" s="3">
        <v>44726581.195181817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1636364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5.75" customHeight="1" x14ac:dyDescent="0.25">
      <c r="A34" s="2">
        <v>33</v>
      </c>
      <c r="B34" s="2" t="s">
        <v>98</v>
      </c>
      <c r="C34" s="2" t="s">
        <v>99</v>
      </c>
      <c r="D34" s="3">
        <v>43</v>
      </c>
      <c r="E34" s="3">
        <v>211852709</v>
      </c>
      <c r="F34" s="3">
        <v>187900072.98849961</v>
      </c>
      <c r="G34" s="3">
        <v>294290910</v>
      </c>
      <c r="H34" s="3">
        <v>239239804.33945379</v>
      </c>
      <c r="I34" s="3">
        <v>52</v>
      </c>
      <c r="J34" s="3">
        <v>160512977.64904571</v>
      </c>
      <c r="K34" s="3">
        <v>0</v>
      </c>
      <c r="L34" s="3">
        <v>13318182</v>
      </c>
      <c r="M34" s="3">
        <v>5244770.8235077262</v>
      </c>
      <c r="N34" s="3">
        <v>10627273</v>
      </c>
      <c r="O34" s="3">
        <v>41324569.606003307</v>
      </c>
      <c r="P34" s="3">
        <v>34672728</v>
      </c>
      <c r="Q34" s="3">
        <v>45217668.610176481</v>
      </c>
      <c r="R34" s="3">
        <v>39300001</v>
      </c>
      <c r="S34" s="3">
        <v>0</v>
      </c>
      <c r="T34" s="3">
        <v>55818181</v>
      </c>
      <c r="U34" s="3">
        <v>12302331.23769276</v>
      </c>
      <c r="V34" s="3">
        <v>7272727</v>
      </c>
      <c r="W34" s="3">
        <v>0</v>
      </c>
      <c r="X34" s="3">
        <v>13863636</v>
      </c>
      <c r="Y34" s="3">
        <v>15787111.735030759</v>
      </c>
      <c r="Z34" s="3">
        <v>12809091</v>
      </c>
      <c r="AA34" s="3">
        <v>0</v>
      </c>
      <c r="AB34" s="3">
        <v>3136363</v>
      </c>
      <c r="AC34" s="3">
        <v>25871855.47150794</v>
      </c>
      <c r="AD34" s="3">
        <v>45981819</v>
      </c>
      <c r="AE34" s="3">
        <v>42151765.504580587</v>
      </c>
      <c r="AF34" s="3">
        <v>55445454</v>
      </c>
      <c r="AG34" s="3">
        <v>0</v>
      </c>
      <c r="AH34" s="3">
        <v>2045455</v>
      </c>
    </row>
    <row r="35" spans="1:34" ht="15.75" customHeight="1" x14ac:dyDescent="0.25">
      <c r="A35" s="2">
        <v>34</v>
      </c>
      <c r="B35" s="2" t="s">
        <v>100</v>
      </c>
      <c r="C35" s="2" t="s">
        <v>101</v>
      </c>
      <c r="D35" s="3">
        <v>144</v>
      </c>
      <c r="E35" s="3">
        <v>1767648073</v>
      </c>
      <c r="F35" s="3">
        <v>1896784508.5576291</v>
      </c>
      <c r="G35" s="3">
        <v>1103017270</v>
      </c>
      <c r="H35" s="3">
        <v>1534647313.7689071</v>
      </c>
      <c r="I35" s="3">
        <v>200</v>
      </c>
      <c r="J35" s="3">
        <v>2129785267.788722</v>
      </c>
      <c r="K35" s="3">
        <v>54174258.220396698</v>
      </c>
      <c r="L35" s="3">
        <v>40036363</v>
      </c>
      <c r="M35" s="3">
        <v>68958173.281842962</v>
      </c>
      <c r="N35" s="3">
        <v>53172727</v>
      </c>
      <c r="O35" s="3">
        <v>151121555.38840151</v>
      </c>
      <c r="P35" s="3">
        <v>69336363</v>
      </c>
      <c r="Q35" s="3">
        <v>2859983.5540298629</v>
      </c>
      <c r="R35" s="3">
        <v>32053636</v>
      </c>
      <c r="S35" s="3">
        <v>15707912.354272099</v>
      </c>
      <c r="T35" s="3">
        <v>194409093</v>
      </c>
      <c r="U35" s="3">
        <v>151834350.78322399</v>
      </c>
      <c r="V35" s="3">
        <v>31981818</v>
      </c>
      <c r="W35" s="3">
        <v>61775655.414985463</v>
      </c>
      <c r="X35" s="3">
        <v>200963637</v>
      </c>
      <c r="Y35" s="3">
        <v>278324842.61199433</v>
      </c>
      <c r="Z35" s="3">
        <v>218990907</v>
      </c>
      <c r="AA35" s="3">
        <v>289606378.06659639</v>
      </c>
      <c r="AB35" s="3">
        <v>75145454</v>
      </c>
      <c r="AC35" s="3">
        <v>23231869.98225335</v>
      </c>
      <c r="AD35" s="3">
        <v>18000000</v>
      </c>
      <c r="AE35" s="3">
        <v>16191909.64556904</v>
      </c>
      <c r="AF35" s="3">
        <v>42509090</v>
      </c>
      <c r="AG35" s="3">
        <v>782997619.25406361</v>
      </c>
      <c r="AH35" s="3">
        <v>126418182</v>
      </c>
    </row>
    <row r="36" spans="1:34" ht="15.75" customHeight="1" x14ac:dyDescent="0.25">
      <c r="A36" s="2">
        <v>35</v>
      </c>
      <c r="B36" s="2" t="s">
        <v>102</v>
      </c>
      <c r="C36" s="2" t="s">
        <v>103</v>
      </c>
      <c r="D36" s="3">
        <v>15</v>
      </c>
      <c r="E36" s="3">
        <v>239965973</v>
      </c>
      <c r="F36" s="3">
        <v>406787402.70003492</v>
      </c>
      <c r="G36" s="3">
        <v>250327273</v>
      </c>
      <c r="H36" s="3">
        <v>355590143.95245469</v>
      </c>
      <c r="I36" s="3">
        <v>23</v>
      </c>
      <c r="J36" s="3">
        <v>291163231.74758011</v>
      </c>
      <c r="K36" s="3">
        <v>0</v>
      </c>
      <c r="L36" s="3">
        <v>0</v>
      </c>
      <c r="M36" s="3">
        <v>60561260.715376042</v>
      </c>
      <c r="N36" s="3">
        <v>0</v>
      </c>
      <c r="O36" s="3">
        <v>5543969.2370362543</v>
      </c>
      <c r="P36" s="3">
        <v>6045455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37227273</v>
      </c>
      <c r="W36" s="3">
        <v>34847804.973380022</v>
      </c>
      <c r="X36" s="3">
        <v>14090909</v>
      </c>
      <c r="Y36" s="3">
        <v>194822990.1962187</v>
      </c>
      <c r="Z36" s="3">
        <v>106500000</v>
      </c>
      <c r="AA36" s="3">
        <v>105511408.5347394</v>
      </c>
      <c r="AB36" s="3">
        <v>34818182</v>
      </c>
      <c r="AC36" s="3">
        <v>0</v>
      </c>
      <c r="AD36" s="3">
        <v>13636364</v>
      </c>
      <c r="AE36" s="3">
        <v>5499969.0432844488</v>
      </c>
      <c r="AF36" s="3">
        <v>38009090</v>
      </c>
      <c r="AG36" s="3">
        <v>0</v>
      </c>
      <c r="AH36" s="3">
        <v>0</v>
      </c>
    </row>
    <row r="37" spans="1:34" ht="15.75" customHeight="1" x14ac:dyDescent="0.25">
      <c r="A37" s="2">
        <v>36</v>
      </c>
      <c r="B37" s="2" t="s">
        <v>104</v>
      </c>
      <c r="C37" s="2" t="s">
        <v>105</v>
      </c>
      <c r="D37" s="3">
        <v>15</v>
      </c>
      <c r="E37" s="3">
        <v>64861192</v>
      </c>
      <c r="F37" s="3">
        <v>431930907.10377789</v>
      </c>
      <c r="G37" s="3">
        <v>88472726</v>
      </c>
      <c r="H37" s="3">
        <v>120705443.4824058</v>
      </c>
      <c r="I37" s="3">
        <v>91</v>
      </c>
      <c r="J37" s="3">
        <v>376086655.6213721</v>
      </c>
      <c r="K37" s="3">
        <v>22600033.78234059</v>
      </c>
      <c r="L37" s="3">
        <v>0</v>
      </c>
      <c r="M37" s="3">
        <v>0</v>
      </c>
      <c r="N37" s="3">
        <v>0</v>
      </c>
      <c r="O37" s="3">
        <v>0</v>
      </c>
      <c r="P37" s="3">
        <v>10272728</v>
      </c>
      <c r="Q37" s="3">
        <v>0</v>
      </c>
      <c r="R37" s="3">
        <v>5136364</v>
      </c>
      <c r="S37" s="3">
        <v>0</v>
      </c>
      <c r="T37" s="3">
        <v>6809091</v>
      </c>
      <c r="U37" s="3">
        <v>14924258.788009049</v>
      </c>
      <c r="V37" s="3">
        <v>0</v>
      </c>
      <c r="W37" s="3">
        <v>0</v>
      </c>
      <c r="X37" s="3">
        <v>0</v>
      </c>
      <c r="Y37" s="3">
        <v>29107034.69374577</v>
      </c>
      <c r="Z37" s="3">
        <v>10900000</v>
      </c>
      <c r="AA37" s="3">
        <v>50444380.526751339</v>
      </c>
      <c r="AB37" s="3">
        <v>8063636</v>
      </c>
      <c r="AC37" s="3">
        <v>37223615.061098911</v>
      </c>
      <c r="AD37" s="3">
        <v>10709090</v>
      </c>
      <c r="AE37" s="3">
        <v>0</v>
      </c>
      <c r="AF37" s="3">
        <v>5354545</v>
      </c>
      <c r="AG37" s="3">
        <v>277631584.25183219</v>
      </c>
      <c r="AH37" s="3">
        <v>31227272</v>
      </c>
    </row>
    <row r="38" spans="1:34" ht="15.75" customHeight="1" x14ac:dyDescent="0.25">
      <c r="A38" s="2">
        <v>37</v>
      </c>
      <c r="B38" s="2" t="s">
        <v>106</v>
      </c>
      <c r="C38" s="2" t="s">
        <v>107</v>
      </c>
      <c r="D38" s="3">
        <v>15</v>
      </c>
      <c r="E38" s="3">
        <v>43523947</v>
      </c>
      <c r="F38" s="3">
        <v>1473463324.9302239</v>
      </c>
      <c r="G38" s="3">
        <v>758268165</v>
      </c>
      <c r="H38" s="3">
        <v>1069570666.043597</v>
      </c>
      <c r="I38" s="3">
        <v>235</v>
      </c>
      <c r="J38" s="3">
        <v>447416605.88662618</v>
      </c>
      <c r="K38" s="3">
        <v>55427369.799326122</v>
      </c>
      <c r="L38" s="3">
        <v>13190910</v>
      </c>
      <c r="M38" s="3">
        <v>0</v>
      </c>
      <c r="N38" s="3">
        <v>5563636</v>
      </c>
      <c r="O38" s="3">
        <v>84539367.401296854</v>
      </c>
      <c r="P38" s="3">
        <v>40672728</v>
      </c>
      <c r="Q38" s="3">
        <v>0</v>
      </c>
      <c r="R38" s="3">
        <v>8072728</v>
      </c>
      <c r="S38" s="3">
        <v>17812827.222062919</v>
      </c>
      <c r="T38" s="3">
        <v>13800001</v>
      </c>
      <c r="U38" s="3">
        <v>87329690.193184927</v>
      </c>
      <c r="V38" s="3">
        <v>8154546</v>
      </c>
      <c r="W38" s="3">
        <v>0</v>
      </c>
      <c r="X38" s="3">
        <v>57218182</v>
      </c>
      <c r="Y38" s="3">
        <v>73979974.297206834</v>
      </c>
      <c r="Z38" s="3">
        <v>62472727</v>
      </c>
      <c r="AA38" s="3">
        <v>175446669.7402851</v>
      </c>
      <c r="AB38" s="3">
        <v>28399999</v>
      </c>
      <c r="AC38" s="3">
        <v>172530432.14908239</v>
      </c>
      <c r="AD38" s="3">
        <v>75100002</v>
      </c>
      <c r="AE38" s="3">
        <v>188565174.32224321</v>
      </c>
      <c r="AF38" s="3">
        <v>68009091</v>
      </c>
      <c r="AG38" s="3">
        <v>617831819.80553532</v>
      </c>
      <c r="AH38" s="3">
        <v>377613615</v>
      </c>
    </row>
    <row r="39" spans="1:34" ht="15.75" customHeight="1" x14ac:dyDescent="0.25">
      <c r="A39" s="2">
        <v>38</v>
      </c>
      <c r="B39" s="2" t="s">
        <v>108</v>
      </c>
      <c r="C39" s="2" t="s">
        <v>109</v>
      </c>
      <c r="D39" s="3">
        <v>988</v>
      </c>
      <c r="E39" s="3">
        <v>2002802643</v>
      </c>
      <c r="F39" s="3">
        <v>609404375.5170331</v>
      </c>
      <c r="G39" s="3">
        <v>1252222715</v>
      </c>
      <c r="H39" s="3">
        <v>936902294.87321806</v>
      </c>
      <c r="I39" s="3">
        <v>1134</v>
      </c>
      <c r="J39" s="3">
        <v>1675304723.643815</v>
      </c>
      <c r="K39" s="3">
        <v>30653605.446323529</v>
      </c>
      <c r="L39" s="3">
        <v>35492725</v>
      </c>
      <c r="M39" s="3">
        <v>8346753.0231860625</v>
      </c>
      <c r="N39" s="3">
        <v>28963637</v>
      </c>
      <c r="O39" s="3">
        <v>21889877.140750151</v>
      </c>
      <c r="P39" s="3">
        <v>232436356</v>
      </c>
      <c r="Q39" s="3">
        <v>61397255.684709102</v>
      </c>
      <c r="R39" s="3">
        <v>114227273</v>
      </c>
      <c r="S39" s="3">
        <v>79987153.141878828</v>
      </c>
      <c r="T39" s="3">
        <v>393218183</v>
      </c>
      <c r="U39" s="3">
        <v>48069747.520444877</v>
      </c>
      <c r="V39" s="3">
        <v>49545455</v>
      </c>
      <c r="W39" s="3">
        <v>38358982.682985373</v>
      </c>
      <c r="X39" s="3">
        <v>83099999</v>
      </c>
      <c r="Y39" s="3">
        <v>80981544.936740056</v>
      </c>
      <c r="Z39" s="3">
        <v>49463635</v>
      </c>
      <c r="AA39" s="3">
        <v>36273397.699014358</v>
      </c>
      <c r="AB39" s="3">
        <v>56454544</v>
      </c>
      <c r="AC39" s="3">
        <v>34073408.339310333</v>
      </c>
      <c r="AD39" s="3">
        <v>33181816</v>
      </c>
      <c r="AE39" s="3">
        <v>58176475.381887347</v>
      </c>
      <c r="AF39" s="3">
        <v>65793637</v>
      </c>
      <c r="AG39" s="3">
        <v>111196174.51980311</v>
      </c>
      <c r="AH39" s="3">
        <v>110345455</v>
      </c>
    </row>
    <row r="40" spans="1:34" ht="15.75" customHeight="1" x14ac:dyDescent="0.25">
      <c r="A40" s="2">
        <v>39</v>
      </c>
      <c r="B40" s="2" t="s">
        <v>110</v>
      </c>
      <c r="C40" s="2" t="s">
        <v>111</v>
      </c>
      <c r="D40" s="3">
        <v>29</v>
      </c>
      <c r="E40" s="3">
        <v>153813295</v>
      </c>
      <c r="F40" s="3">
        <v>10251943.50473945</v>
      </c>
      <c r="G40" s="3">
        <v>10900000</v>
      </c>
      <c r="H40" s="3">
        <v>13943225.824182799</v>
      </c>
      <c r="I40" s="3">
        <v>29</v>
      </c>
      <c r="J40" s="3">
        <v>150122012.68055671</v>
      </c>
      <c r="K40" s="3">
        <v>5367970.3980181981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4545455</v>
      </c>
      <c r="Y40" s="3">
        <v>0</v>
      </c>
      <c r="Z40" s="3">
        <v>6354545</v>
      </c>
      <c r="AA40" s="3">
        <v>0</v>
      </c>
      <c r="AB40" s="3">
        <v>0</v>
      </c>
      <c r="AC40" s="3">
        <v>4883973.1067212531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5.75" customHeight="1" x14ac:dyDescent="0.25">
      <c r="A41" s="2">
        <v>40</v>
      </c>
      <c r="B41" s="2" t="s">
        <v>112</v>
      </c>
      <c r="C41" s="2" t="s">
        <v>113</v>
      </c>
      <c r="D41" s="3">
        <v>15</v>
      </c>
      <c r="E41" s="3">
        <v>85283446</v>
      </c>
      <c r="F41" s="3">
        <v>126774729.8860248</v>
      </c>
      <c r="G41" s="3">
        <v>65645453</v>
      </c>
      <c r="H41" s="3">
        <v>66119590.179291673</v>
      </c>
      <c r="I41" s="3">
        <v>30</v>
      </c>
      <c r="J41" s="3">
        <v>145938585.7067332</v>
      </c>
      <c r="K41" s="3">
        <v>16631906.743114181</v>
      </c>
      <c r="L41" s="3">
        <v>0</v>
      </c>
      <c r="M41" s="3">
        <v>11061538.357821429</v>
      </c>
      <c r="N41" s="3">
        <v>6863636</v>
      </c>
      <c r="O41" s="3">
        <v>31761663.03705126</v>
      </c>
      <c r="P41" s="3">
        <v>19254545</v>
      </c>
      <c r="Q41" s="3">
        <v>0</v>
      </c>
      <c r="R41" s="3">
        <v>0</v>
      </c>
      <c r="S41" s="3">
        <v>0</v>
      </c>
      <c r="T41" s="3">
        <v>0</v>
      </c>
      <c r="U41" s="3">
        <v>5499969.0432844488</v>
      </c>
      <c r="V41" s="3">
        <v>0</v>
      </c>
      <c r="W41" s="3">
        <v>0</v>
      </c>
      <c r="X41" s="3">
        <v>0</v>
      </c>
      <c r="Y41" s="3">
        <v>21753477.99211143</v>
      </c>
      <c r="Z41" s="3">
        <v>6909091</v>
      </c>
      <c r="AA41" s="3">
        <v>7963955.6935209781</v>
      </c>
      <c r="AB41" s="3">
        <v>13636364</v>
      </c>
      <c r="AC41" s="3">
        <v>10911938.66705987</v>
      </c>
      <c r="AD41" s="3">
        <v>0</v>
      </c>
      <c r="AE41" s="3">
        <v>0</v>
      </c>
      <c r="AF41" s="3">
        <v>6272727</v>
      </c>
      <c r="AG41" s="3">
        <v>21190280.352061238</v>
      </c>
      <c r="AH41" s="3">
        <v>12709090</v>
      </c>
    </row>
    <row r="42" spans="1:34" ht="15.75" customHeight="1" x14ac:dyDescent="0.25">
      <c r="A42" s="2">
        <v>41</v>
      </c>
      <c r="B42" s="2" t="s">
        <v>114</v>
      </c>
      <c r="C42" s="2" t="s">
        <v>115</v>
      </c>
      <c r="D42" s="3">
        <v>15</v>
      </c>
      <c r="E42" s="3">
        <v>25852640</v>
      </c>
      <c r="F42" s="3">
        <v>58235960.584976897</v>
      </c>
      <c r="G42" s="3">
        <v>44590909</v>
      </c>
      <c r="H42" s="3">
        <v>45579018.774025843</v>
      </c>
      <c r="I42" s="3">
        <v>39</v>
      </c>
      <c r="J42" s="3">
        <v>38509581.810951062</v>
      </c>
      <c r="K42" s="3">
        <v>9239948.7283937559</v>
      </c>
      <c r="L42" s="3">
        <v>0</v>
      </c>
      <c r="M42" s="3">
        <v>6159965.173599449</v>
      </c>
      <c r="N42" s="3">
        <v>0</v>
      </c>
      <c r="O42" s="3">
        <v>16323908.290835289</v>
      </c>
      <c r="P42" s="3">
        <v>13563636</v>
      </c>
      <c r="Q42" s="3">
        <v>615996.90455777792</v>
      </c>
      <c r="R42" s="3">
        <v>12536363</v>
      </c>
      <c r="S42" s="3">
        <v>5675968.8502970869</v>
      </c>
      <c r="T42" s="3">
        <v>6636364</v>
      </c>
      <c r="U42" s="3">
        <v>14123918.93113126</v>
      </c>
      <c r="V42" s="3">
        <v>409091</v>
      </c>
      <c r="W42" s="3">
        <v>219999.03276986111</v>
      </c>
      <c r="X42" s="3">
        <v>2254545</v>
      </c>
      <c r="Y42" s="3">
        <v>2727984.9087636131</v>
      </c>
      <c r="Z42" s="3">
        <v>7472727</v>
      </c>
      <c r="AA42" s="3">
        <v>1187992.647369168</v>
      </c>
      <c r="AB42" s="3">
        <v>354546</v>
      </c>
      <c r="AC42" s="3">
        <v>0</v>
      </c>
      <c r="AD42" s="3">
        <v>0</v>
      </c>
      <c r="AE42" s="3">
        <v>439997.09754513949</v>
      </c>
      <c r="AF42" s="3">
        <v>490909</v>
      </c>
      <c r="AG42" s="3">
        <v>1520280.0197145031</v>
      </c>
      <c r="AH42" s="3">
        <v>872728</v>
      </c>
    </row>
    <row r="43" spans="1:34" ht="15.75" customHeight="1" x14ac:dyDescent="0.25">
      <c r="A43" s="2">
        <v>42</v>
      </c>
      <c r="B43" s="2" t="s">
        <v>116</v>
      </c>
      <c r="C43" s="2" t="s">
        <v>117</v>
      </c>
      <c r="D43" s="3">
        <v>15</v>
      </c>
      <c r="E43" s="3">
        <v>9232937</v>
      </c>
      <c r="F43" s="3">
        <v>139048025.15821809</v>
      </c>
      <c r="G43" s="3">
        <v>16963636</v>
      </c>
      <c r="H43" s="3">
        <v>19858007.929621521</v>
      </c>
      <c r="I43" s="3">
        <v>218</v>
      </c>
      <c r="J43" s="3">
        <v>128422954.2285966</v>
      </c>
      <c r="K43" s="3">
        <v>3854378.2528748359</v>
      </c>
      <c r="L43" s="3">
        <v>0</v>
      </c>
      <c r="M43" s="3">
        <v>33571812.90650183</v>
      </c>
      <c r="N43" s="3">
        <v>0</v>
      </c>
      <c r="O43" s="3">
        <v>0</v>
      </c>
      <c r="P43" s="3">
        <v>0</v>
      </c>
      <c r="Q43" s="3">
        <v>0</v>
      </c>
      <c r="R43" s="3">
        <v>1727273</v>
      </c>
      <c r="S43" s="3">
        <v>0</v>
      </c>
      <c r="T43" s="3">
        <v>772727</v>
      </c>
      <c r="U43" s="3">
        <v>0</v>
      </c>
      <c r="V43" s="3">
        <v>9818182</v>
      </c>
      <c r="W43" s="3">
        <v>0</v>
      </c>
      <c r="X43" s="3">
        <v>0</v>
      </c>
      <c r="Y43" s="3">
        <v>0</v>
      </c>
      <c r="Z43" s="3">
        <v>990909</v>
      </c>
      <c r="AA43" s="3">
        <v>5785967.8826847263</v>
      </c>
      <c r="AB43" s="3">
        <v>0</v>
      </c>
      <c r="AC43" s="3">
        <v>8909950.6632362567</v>
      </c>
      <c r="AD43" s="3">
        <v>1200000</v>
      </c>
      <c r="AE43" s="3">
        <v>86925915.452920452</v>
      </c>
      <c r="AF43" s="3">
        <v>1909091</v>
      </c>
      <c r="AG43" s="3">
        <v>0</v>
      </c>
      <c r="AH43" s="3">
        <v>545454</v>
      </c>
    </row>
    <row r="44" spans="1:34" ht="15.75" customHeight="1" x14ac:dyDescent="0.25">
      <c r="A44" s="2">
        <v>43</v>
      </c>
      <c r="B44" s="2" t="s">
        <v>118</v>
      </c>
      <c r="C44" s="2" t="s">
        <v>119</v>
      </c>
      <c r="D44" s="3">
        <v>15</v>
      </c>
      <c r="E44" s="3">
        <v>5043685</v>
      </c>
      <c r="F44" s="3">
        <v>174340220.95655361</v>
      </c>
      <c r="G44" s="3">
        <v>47163627</v>
      </c>
      <c r="H44" s="3">
        <v>62086994.635118283</v>
      </c>
      <c r="I44" s="3">
        <v>402</v>
      </c>
      <c r="J44" s="3">
        <v>117296911.3214353</v>
      </c>
      <c r="K44" s="3">
        <v>41606166.97403653</v>
      </c>
      <c r="L44" s="3">
        <v>0</v>
      </c>
      <c r="M44" s="3">
        <v>28643838.638034191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1136363</v>
      </c>
      <c r="U44" s="3">
        <v>0</v>
      </c>
      <c r="V44" s="3">
        <v>12454546</v>
      </c>
      <c r="W44" s="3">
        <v>0</v>
      </c>
      <c r="X44" s="3">
        <v>3099998</v>
      </c>
      <c r="Y44" s="3">
        <v>3475980.4585876409</v>
      </c>
      <c r="Z44" s="3">
        <v>0</v>
      </c>
      <c r="AA44" s="3">
        <v>10322343.81474234</v>
      </c>
      <c r="AB44" s="3">
        <v>6963636</v>
      </c>
      <c r="AC44" s="3">
        <v>7519556.1566142011</v>
      </c>
      <c r="AD44" s="3">
        <v>5145452</v>
      </c>
      <c r="AE44" s="3">
        <v>82772334.914538756</v>
      </c>
      <c r="AF44" s="3">
        <v>5054544</v>
      </c>
      <c r="AG44" s="3">
        <v>0</v>
      </c>
      <c r="AH44" s="3">
        <v>13309088</v>
      </c>
    </row>
    <row r="45" spans="1:34" ht="15.75" customHeight="1" x14ac:dyDescent="0.25">
      <c r="A45" s="2">
        <v>44</v>
      </c>
      <c r="B45" s="2" t="s">
        <v>120</v>
      </c>
      <c r="C45" s="2" t="s">
        <v>121</v>
      </c>
      <c r="D45" s="3">
        <v>15</v>
      </c>
      <c r="E45" s="3">
        <v>120448724</v>
      </c>
      <c r="F45" s="3">
        <v>292070372.46078962</v>
      </c>
      <c r="G45" s="3">
        <v>337781822</v>
      </c>
      <c r="H45" s="3">
        <v>374747880.32118517</v>
      </c>
      <c r="I45" s="3">
        <v>17</v>
      </c>
      <c r="J45" s="3">
        <v>37771216.139604509</v>
      </c>
      <c r="K45" s="3">
        <v>0</v>
      </c>
      <c r="L45" s="3">
        <v>0</v>
      </c>
      <c r="M45" s="3">
        <v>5851967.689315143</v>
      </c>
      <c r="N45" s="3">
        <v>0</v>
      </c>
      <c r="O45" s="3">
        <v>5851967.689315143</v>
      </c>
      <c r="P45" s="3">
        <v>0</v>
      </c>
      <c r="Q45" s="3">
        <v>11703935.37863029</v>
      </c>
      <c r="R45" s="3">
        <v>6536364</v>
      </c>
      <c r="S45" s="3">
        <v>82059544.359689087</v>
      </c>
      <c r="T45" s="3">
        <v>91772730</v>
      </c>
      <c r="U45" s="3">
        <v>31195824.70777975</v>
      </c>
      <c r="V45" s="3">
        <v>22427274</v>
      </c>
      <c r="W45" s="3">
        <v>13578324.27256554</v>
      </c>
      <c r="X45" s="3">
        <v>23618182</v>
      </c>
      <c r="Y45" s="3">
        <v>17723101.868213121</v>
      </c>
      <c r="Z45" s="3">
        <v>15763636</v>
      </c>
      <c r="AA45" s="3">
        <v>19386291.768128879</v>
      </c>
      <c r="AB45" s="3">
        <v>25718182</v>
      </c>
      <c r="AC45" s="3">
        <v>69959608.205287129</v>
      </c>
      <c r="AD45" s="3">
        <v>87163636</v>
      </c>
      <c r="AE45" s="3">
        <v>19623890.878399462</v>
      </c>
      <c r="AF45" s="3">
        <v>14409091</v>
      </c>
      <c r="AG45" s="3">
        <v>15135915.643466121</v>
      </c>
      <c r="AH45" s="3">
        <v>50372727</v>
      </c>
    </row>
    <row r="46" spans="1:34" ht="15.75" customHeight="1" x14ac:dyDescent="0.25">
      <c r="A46" s="2">
        <v>45</v>
      </c>
      <c r="B46" s="2" t="s">
        <v>122</v>
      </c>
      <c r="C46" s="2" t="s">
        <v>123</v>
      </c>
      <c r="D46" s="3">
        <v>215</v>
      </c>
      <c r="E46" s="3">
        <v>95052931</v>
      </c>
      <c r="F46" s="3">
        <v>474282141.44402611</v>
      </c>
      <c r="G46" s="3">
        <v>323268155</v>
      </c>
      <c r="H46" s="3">
        <v>413000523.93150139</v>
      </c>
      <c r="I46" s="3">
        <v>686</v>
      </c>
      <c r="J46" s="3">
        <v>156334548.51252481</v>
      </c>
      <c r="K46" s="3">
        <v>0</v>
      </c>
      <c r="L46" s="3">
        <v>20954546</v>
      </c>
      <c r="M46" s="3">
        <v>4751973.4934604215</v>
      </c>
      <c r="N46" s="3">
        <v>1454545</v>
      </c>
      <c r="O46" s="3">
        <v>141679206.73674399</v>
      </c>
      <c r="P46" s="3">
        <v>36363640</v>
      </c>
      <c r="Q46" s="3">
        <v>1091194.157104362</v>
      </c>
      <c r="R46" s="3">
        <v>9363635</v>
      </c>
      <c r="S46" s="3">
        <v>0</v>
      </c>
      <c r="T46" s="3">
        <v>4954546</v>
      </c>
      <c r="U46" s="3">
        <v>1073594.0796036399</v>
      </c>
      <c r="V46" s="3">
        <v>8945455</v>
      </c>
      <c r="W46" s="3">
        <v>40998970.108229123</v>
      </c>
      <c r="X46" s="3">
        <v>85481822</v>
      </c>
      <c r="Y46" s="3">
        <v>1135193.382861584</v>
      </c>
      <c r="Z46" s="3">
        <v>2999998</v>
      </c>
      <c r="AA46" s="3">
        <v>30597427.88072269</v>
      </c>
      <c r="AB46" s="3">
        <v>64990889</v>
      </c>
      <c r="AC46" s="3">
        <v>29435836.317599189</v>
      </c>
      <c r="AD46" s="3">
        <v>28249997</v>
      </c>
      <c r="AE46" s="3">
        <v>223518745.2877011</v>
      </c>
      <c r="AF46" s="3">
        <v>8481817</v>
      </c>
      <c r="AG46" s="3">
        <v>0</v>
      </c>
      <c r="AH46" s="3">
        <v>51027265</v>
      </c>
    </row>
    <row r="47" spans="1:34" ht="15.75" customHeight="1" x14ac:dyDescent="0.25">
      <c r="A47" s="2">
        <v>46</v>
      </c>
      <c r="B47" s="2" t="s">
        <v>124</v>
      </c>
      <c r="C47" s="2" t="s">
        <v>125</v>
      </c>
      <c r="D47" s="3">
        <v>129</v>
      </c>
      <c r="E47" s="3">
        <v>104315143</v>
      </c>
      <c r="F47" s="3">
        <v>137279229.95332509</v>
      </c>
      <c r="G47" s="3">
        <v>56563637</v>
      </c>
      <c r="H47" s="3">
        <v>33529539.003113471</v>
      </c>
      <c r="I47" s="3">
        <v>308</v>
      </c>
      <c r="J47" s="3">
        <v>208064833.95021161</v>
      </c>
      <c r="K47" s="3">
        <v>0</v>
      </c>
      <c r="L47" s="3">
        <v>863637</v>
      </c>
      <c r="M47" s="3">
        <v>0</v>
      </c>
      <c r="N47" s="3">
        <v>0</v>
      </c>
      <c r="O47" s="3">
        <v>2411186.4177343631</v>
      </c>
      <c r="P47" s="3">
        <v>4363637</v>
      </c>
      <c r="Q47" s="3">
        <v>0</v>
      </c>
      <c r="R47" s="3">
        <v>0</v>
      </c>
      <c r="S47" s="3">
        <v>0</v>
      </c>
      <c r="T47" s="3">
        <v>1363636</v>
      </c>
      <c r="U47" s="3">
        <v>0</v>
      </c>
      <c r="V47" s="3">
        <v>0</v>
      </c>
      <c r="W47" s="3">
        <v>0</v>
      </c>
      <c r="X47" s="3">
        <v>3090909</v>
      </c>
      <c r="Y47" s="3">
        <v>0</v>
      </c>
      <c r="Z47" s="3">
        <v>0</v>
      </c>
      <c r="AA47" s="3">
        <v>12935927.251756679</v>
      </c>
      <c r="AB47" s="3">
        <v>31818182</v>
      </c>
      <c r="AC47" s="3">
        <v>14053520.55711754</v>
      </c>
      <c r="AD47" s="3">
        <v>9454545</v>
      </c>
      <c r="AE47" s="3">
        <v>107878595.7267165</v>
      </c>
      <c r="AF47" s="3">
        <v>1881818</v>
      </c>
      <c r="AG47" s="3">
        <v>0</v>
      </c>
      <c r="AH47" s="3">
        <v>3727273</v>
      </c>
    </row>
    <row r="48" spans="1:34" ht="15.75" customHeight="1" x14ac:dyDescent="0.25">
      <c r="A48" s="2">
        <v>47</v>
      </c>
      <c r="B48" s="2" t="s">
        <v>126</v>
      </c>
      <c r="C48" s="2" t="s">
        <v>127</v>
      </c>
      <c r="D48" s="3">
        <v>201</v>
      </c>
      <c r="E48" s="3">
        <v>102560383</v>
      </c>
      <c r="F48" s="3">
        <v>83796387.031405225</v>
      </c>
      <c r="G48" s="3">
        <v>154992728</v>
      </c>
      <c r="H48" s="3">
        <v>138826841.28023371</v>
      </c>
      <c r="I48" s="3">
        <v>191</v>
      </c>
      <c r="J48" s="3">
        <v>47529928.751171611</v>
      </c>
      <c r="K48" s="3">
        <v>18875894.36058085</v>
      </c>
      <c r="L48" s="3">
        <v>31480000</v>
      </c>
      <c r="M48" s="3">
        <v>0</v>
      </c>
      <c r="N48" s="3">
        <v>0</v>
      </c>
      <c r="O48" s="3">
        <v>15828647.414575281</v>
      </c>
      <c r="P48" s="3">
        <v>2740000</v>
      </c>
      <c r="Q48" s="3">
        <v>0</v>
      </c>
      <c r="R48" s="3">
        <v>17836364</v>
      </c>
      <c r="S48" s="3">
        <v>0</v>
      </c>
      <c r="T48" s="3">
        <v>3240000</v>
      </c>
      <c r="U48" s="3">
        <v>18207978.098591059</v>
      </c>
      <c r="V48" s="3">
        <v>2780000</v>
      </c>
      <c r="W48" s="3">
        <v>7811716.281532689</v>
      </c>
      <c r="X48" s="3">
        <v>30410000</v>
      </c>
      <c r="Y48" s="3">
        <v>0</v>
      </c>
      <c r="Z48" s="3">
        <v>15496364</v>
      </c>
      <c r="AA48" s="3">
        <v>18875894.36058085</v>
      </c>
      <c r="AB48" s="3">
        <v>30220000</v>
      </c>
      <c r="AC48" s="3">
        <v>421077.64342834201</v>
      </c>
      <c r="AD48" s="3">
        <v>2370000</v>
      </c>
      <c r="AE48" s="3">
        <v>1258392.957372057</v>
      </c>
      <c r="AF48" s="3">
        <v>3300000</v>
      </c>
      <c r="AG48" s="3">
        <v>2516785.9147441131</v>
      </c>
      <c r="AH48" s="3">
        <v>15120000</v>
      </c>
    </row>
    <row r="49" spans="1:34" ht="15.75" customHeight="1" x14ac:dyDescent="0.25">
      <c r="A49" s="2">
        <v>48</v>
      </c>
      <c r="B49" s="2" t="s">
        <v>128</v>
      </c>
      <c r="C49" s="2" t="s">
        <v>129</v>
      </c>
      <c r="D49" s="3">
        <v>72</v>
      </c>
      <c r="E49" s="3">
        <v>70690244</v>
      </c>
      <c r="F49" s="3">
        <v>19201492.89036046</v>
      </c>
      <c r="G49" s="3">
        <v>27572729</v>
      </c>
      <c r="H49" s="3">
        <v>32925287.546419159</v>
      </c>
      <c r="I49" s="3">
        <v>68</v>
      </c>
      <c r="J49" s="3">
        <v>56966449.343941301</v>
      </c>
      <c r="K49" s="3">
        <v>0</v>
      </c>
      <c r="L49" s="3">
        <v>0</v>
      </c>
      <c r="M49" s="3">
        <v>0</v>
      </c>
      <c r="N49" s="3">
        <v>1240909</v>
      </c>
      <c r="O49" s="3">
        <v>15681512.238021011</v>
      </c>
      <c r="P49" s="3">
        <v>2272728</v>
      </c>
      <c r="Q49" s="3">
        <v>0</v>
      </c>
      <c r="R49" s="3">
        <v>14454547</v>
      </c>
      <c r="S49" s="3">
        <v>3519980.6523394468</v>
      </c>
      <c r="T49" s="3">
        <v>1240909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8363636</v>
      </c>
    </row>
    <row r="50" spans="1:34" ht="15.75" customHeight="1" x14ac:dyDescent="0.25">
      <c r="A50" s="2">
        <v>49</v>
      </c>
      <c r="B50" s="2" t="s">
        <v>130</v>
      </c>
      <c r="C50" s="2" t="s">
        <v>131</v>
      </c>
      <c r="D50" s="3">
        <v>201</v>
      </c>
      <c r="E50" s="3">
        <v>678626352</v>
      </c>
      <c r="F50" s="3">
        <v>0</v>
      </c>
      <c r="G50" s="3">
        <v>40636366</v>
      </c>
      <c r="H50" s="3">
        <v>53173410.230825253</v>
      </c>
      <c r="I50" s="3">
        <v>189</v>
      </c>
      <c r="J50" s="3">
        <v>625452941.7691747</v>
      </c>
      <c r="K50" s="3">
        <v>0</v>
      </c>
      <c r="L50" s="3">
        <v>7545455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33090911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1:34" ht="15.75" customHeight="1" x14ac:dyDescent="0.25">
      <c r="A51" s="2">
        <v>50</v>
      </c>
      <c r="B51" s="2" t="s">
        <v>132</v>
      </c>
      <c r="C51" s="2" t="s">
        <v>133</v>
      </c>
      <c r="D51" s="3">
        <v>144</v>
      </c>
      <c r="E51" s="3">
        <v>59447699</v>
      </c>
      <c r="F51" s="3">
        <v>39542987.715391323</v>
      </c>
      <c r="G51" s="3">
        <v>18122728</v>
      </c>
      <c r="H51" s="3">
        <v>12291362.36259266</v>
      </c>
      <c r="I51" s="3">
        <v>240</v>
      </c>
      <c r="J51" s="3">
        <v>86699324.352798671</v>
      </c>
      <c r="K51" s="3">
        <v>237599.11027058319</v>
      </c>
      <c r="L51" s="3">
        <v>640909</v>
      </c>
      <c r="M51" s="3">
        <v>0</v>
      </c>
      <c r="N51" s="3">
        <v>0</v>
      </c>
      <c r="O51" s="3">
        <v>0</v>
      </c>
      <c r="P51" s="3">
        <v>618182</v>
      </c>
      <c r="Q51" s="3">
        <v>756795.58857438958</v>
      </c>
      <c r="R51" s="3">
        <v>3009091</v>
      </c>
      <c r="S51" s="3">
        <v>439997.09754513949</v>
      </c>
      <c r="T51" s="3">
        <v>0</v>
      </c>
      <c r="U51" s="3">
        <v>527997.03977124207</v>
      </c>
      <c r="V51" s="3">
        <v>0</v>
      </c>
      <c r="W51" s="3">
        <v>3431981.2328304192</v>
      </c>
      <c r="X51" s="3">
        <v>5909091</v>
      </c>
      <c r="Y51" s="3">
        <v>0</v>
      </c>
      <c r="Z51" s="3">
        <v>590909</v>
      </c>
      <c r="AA51" s="3">
        <v>1487192.0288922789</v>
      </c>
      <c r="AB51" s="3">
        <v>3836364</v>
      </c>
      <c r="AC51" s="3">
        <v>2719153.894186609</v>
      </c>
      <c r="AD51" s="3">
        <v>2481818</v>
      </c>
      <c r="AE51" s="3">
        <v>3054021.9400891392</v>
      </c>
      <c r="AF51" s="3">
        <v>627273</v>
      </c>
      <c r="AG51" s="3">
        <v>26888249.783231519</v>
      </c>
      <c r="AH51" s="3">
        <v>409091</v>
      </c>
    </row>
    <row r="52" spans="1:34" ht="15.75" customHeight="1" x14ac:dyDescent="0.25">
      <c r="A52" s="2">
        <v>51</v>
      </c>
      <c r="B52" s="2" t="s">
        <v>134</v>
      </c>
      <c r="C52" s="2" t="s">
        <v>135</v>
      </c>
      <c r="D52" s="3">
        <v>15</v>
      </c>
      <c r="E52" s="3">
        <v>976935</v>
      </c>
      <c r="F52" s="3">
        <v>242070101.05321041</v>
      </c>
      <c r="G52" s="3">
        <v>102500928</v>
      </c>
      <c r="H52" s="3">
        <v>51145695.575490519</v>
      </c>
      <c r="I52" s="3">
        <v>3109</v>
      </c>
      <c r="J52" s="3">
        <v>191901340.4777199</v>
      </c>
      <c r="K52" s="3">
        <v>5851968.6573097259</v>
      </c>
      <c r="L52" s="3">
        <v>5460000</v>
      </c>
      <c r="M52" s="3">
        <v>3079982.586799724</v>
      </c>
      <c r="N52" s="3">
        <v>2327274</v>
      </c>
      <c r="O52" s="3">
        <v>8007955.8872727836</v>
      </c>
      <c r="P52" s="3">
        <v>3136367</v>
      </c>
      <c r="Q52" s="3">
        <v>0</v>
      </c>
      <c r="R52" s="3">
        <v>4100000</v>
      </c>
      <c r="S52" s="3">
        <v>5367970.3980181981</v>
      </c>
      <c r="T52" s="3">
        <v>5927274</v>
      </c>
      <c r="U52" s="3">
        <v>7567958.7703677528</v>
      </c>
      <c r="V52" s="3">
        <v>5981820</v>
      </c>
      <c r="W52" s="3">
        <v>5614367.6110499771</v>
      </c>
      <c r="X52" s="3">
        <v>10636370</v>
      </c>
      <c r="Y52" s="3">
        <v>5738095.7106025452</v>
      </c>
      <c r="Z52" s="3">
        <v>1745455</v>
      </c>
      <c r="AA52" s="3">
        <v>6398091.8409175463</v>
      </c>
      <c r="AB52" s="3">
        <v>7609092</v>
      </c>
      <c r="AC52" s="3">
        <v>15523111.54051451</v>
      </c>
      <c r="AD52" s="3">
        <v>3863638</v>
      </c>
      <c r="AE52" s="3">
        <v>18603096.0633034</v>
      </c>
      <c r="AF52" s="3">
        <v>8436365</v>
      </c>
      <c r="AG52" s="3">
        <v>160317501.98705429</v>
      </c>
      <c r="AH52" s="3">
        <v>43277273</v>
      </c>
    </row>
    <row r="53" spans="1:34" ht="15.75" customHeight="1" x14ac:dyDescent="0.25">
      <c r="A53" s="2">
        <v>52</v>
      </c>
      <c r="B53" s="2" t="s">
        <v>136</v>
      </c>
      <c r="C53" s="2" t="s">
        <v>137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5.75" customHeight="1" x14ac:dyDescent="0.25">
      <c r="C54" s="4" t="s">
        <v>138</v>
      </c>
      <c r="D54" s="5">
        <f t="shared" ref="D54:AH54" si="0">SUM(D2:D53)</f>
        <v>36829</v>
      </c>
      <c r="E54" s="5">
        <f t="shared" si="0"/>
        <v>18214813251</v>
      </c>
      <c r="F54" s="5">
        <f t="shared" si="0"/>
        <v>20373802797</v>
      </c>
      <c r="G54" s="5">
        <f t="shared" si="0"/>
        <v>18255253449</v>
      </c>
      <c r="H54" s="5">
        <f t="shared" si="0"/>
        <v>18682620374.999992</v>
      </c>
      <c r="I54" s="5">
        <f t="shared" si="0"/>
        <v>43936.245000000003</v>
      </c>
      <c r="J54" s="5">
        <f t="shared" si="0"/>
        <v>19905995673</v>
      </c>
      <c r="K54" s="5">
        <f t="shared" si="0"/>
        <v>881933141.478917</v>
      </c>
      <c r="L54" s="5">
        <f t="shared" si="0"/>
        <v>667212835</v>
      </c>
      <c r="M54" s="5">
        <f t="shared" si="0"/>
        <v>1297780795.361027</v>
      </c>
      <c r="N54" s="5">
        <f t="shared" si="0"/>
        <v>375814715</v>
      </c>
      <c r="O54" s="5">
        <f t="shared" si="0"/>
        <v>1860249590.6662195</v>
      </c>
      <c r="P54" s="5">
        <f t="shared" si="0"/>
        <v>1637159838</v>
      </c>
      <c r="Q54" s="5">
        <f t="shared" si="0"/>
        <v>597812167.04112053</v>
      </c>
      <c r="R54" s="5">
        <f t="shared" si="0"/>
        <v>1000000520</v>
      </c>
      <c r="S54" s="5">
        <f t="shared" si="0"/>
        <v>712368971.91307092</v>
      </c>
      <c r="T54" s="5">
        <f t="shared" si="0"/>
        <v>1650324554</v>
      </c>
      <c r="U54" s="5">
        <f t="shared" si="0"/>
        <v>2603152090.1271524</v>
      </c>
      <c r="V54" s="5">
        <f t="shared" si="0"/>
        <v>991577247</v>
      </c>
      <c r="W54" s="5">
        <f t="shared" si="0"/>
        <v>1259825939.7683346</v>
      </c>
      <c r="X54" s="5">
        <f t="shared" si="0"/>
        <v>2880039362</v>
      </c>
      <c r="Y54" s="5">
        <f t="shared" si="0"/>
        <v>1810722699.6047153</v>
      </c>
      <c r="Z54" s="5">
        <f t="shared" si="0"/>
        <v>1922645025</v>
      </c>
      <c r="AA54" s="5">
        <f t="shared" si="0"/>
        <v>2215446933.1713285</v>
      </c>
      <c r="AB54" s="5">
        <f t="shared" si="0"/>
        <v>1690133581</v>
      </c>
      <c r="AC54" s="5">
        <f t="shared" si="0"/>
        <v>1325983887.6737094</v>
      </c>
      <c r="AD54" s="5">
        <f t="shared" si="0"/>
        <v>1448234719</v>
      </c>
      <c r="AE54" s="5">
        <f t="shared" si="0"/>
        <v>2130947334.8594627</v>
      </c>
      <c r="AF54" s="5">
        <f t="shared" si="0"/>
        <v>1331304547</v>
      </c>
      <c r="AG54" s="5">
        <f t="shared" si="0"/>
        <v>3677579245.3349438</v>
      </c>
      <c r="AH54" s="5">
        <f t="shared" si="0"/>
        <v>2660806506</v>
      </c>
    </row>
    <row r="55" spans="1:34" ht="15.75" customHeight="1" x14ac:dyDescent="0.25">
      <c r="C55" s="6" t="s">
        <v>139</v>
      </c>
      <c r="E55" s="5">
        <f>'Tháng 12'!M54</f>
        <v>19905995672.999996</v>
      </c>
    </row>
    <row r="56" spans="1:34" ht="15.75" customHeight="1" x14ac:dyDescent="0.25">
      <c r="C56" s="6" t="s">
        <v>140</v>
      </c>
      <c r="E56" s="7">
        <v>19905995673</v>
      </c>
    </row>
    <row r="57" spans="1:34" ht="15.75" customHeight="1" x14ac:dyDescent="0.25">
      <c r="C57" s="6" t="s">
        <v>141</v>
      </c>
    </row>
    <row r="58" spans="1:34" ht="15.75" customHeight="1" x14ac:dyDescent="0.25"/>
    <row r="59" spans="1:34" ht="15.75" customHeight="1" x14ac:dyDescent="0.25">
      <c r="C59" s="6" t="s">
        <v>142</v>
      </c>
      <c r="E59" s="8">
        <v>20014804558</v>
      </c>
      <c r="F59" s="7">
        <f>E59-E54</f>
        <v>1799991307</v>
      </c>
      <c r="G59" s="6" t="s">
        <v>143</v>
      </c>
      <c r="H59" s="6" t="s">
        <v>144</v>
      </c>
    </row>
    <row r="60" spans="1:34" ht="15.75" customHeight="1" x14ac:dyDescent="0.25">
      <c r="C60" s="6" t="s">
        <v>145</v>
      </c>
      <c r="E60" s="8">
        <v>19905995673</v>
      </c>
    </row>
    <row r="61" spans="1:34" ht="15.75" customHeight="1" x14ac:dyDescent="0.25"/>
    <row r="62" spans="1:34" ht="15.75" customHeight="1" x14ac:dyDescent="0.25"/>
    <row r="63" spans="1:34" ht="15.75" customHeight="1" x14ac:dyDescent="0.25"/>
    <row r="64" spans="1:3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46" workbookViewId="0">
      <selection activeCell="E54" sqref="E54"/>
    </sheetView>
  </sheetViews>
  <sheetFormatPr defaultColWidth="14.42578125" defaultRowHeight="15" customHeight="1" x14ac:dyDescent="0.25"/>
  <cols>
    <col min="1" max="3" width="8.7109375" customWidth="1"/>
    <col min="4" max="13" width="14.140625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146</v>
      </c>
      <c r="D1" s="9" t="s">
        <v>3</v>
      </c>
      <c r="E1" s="9" t="s">
        <v>4</v>
      </c>
      <c r="F1" s="9" t="s">
        <v>147</v>
      </c>
      <c r="G1" s="9" t="s">
        <v>148</v>
      </c>
      <c r="H1" s="9" t="s">
        <v>149</v>
      </c>
      <c r="I1" s="9" t="s">
        <v>150</v>
      </c>
      <c r="J1" s="9" t="s">
        <v>151</v>
      </c>
      <c r="K1" s="9" t="s">
        <v>152</v>
      </c>
      <c r="L1" s="9" t="s">
        <v>8</v>
      </c>
      <c r="M1" s="9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1360</v>
      </c>
      <c r="E2" s="11">
        <v>557747686</v>
      </c>
      <c r="F2" s="11">
        <v>48</v>
      </c>
      <c r="G2" s="11">
        <v>19914290.22117221</v>
      </c>
      <c r="H2" s="11">
        <v>11</v>
      </c>
      <c r="I2" s="11">
        <v>5959091</v>
      </c>
      <c r="J2" s="11">
        <v>410738.93110795447</v>
      </c>
      <c r="K2" s="11">
        <v>5929760.5920702554</v>
      </c>
      <c r="L2" s="11">
        <v>1397</v>
      </c>
      <c r="M2" s="11">
        <v>571732215.62910199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129</v>
      </c>
      <c r="E3" s="11">
        <v>159257499</v>
      </c>
      <c r="F3" s="11">
        <v>2</v>
      </c>
      <c r="G3" s="11">
        <v>3326381.7358206692</v>
      </c>
      <c r="H3" s="11">
        <v>6</v>
      </c>
      <c r="I3" s="11">
        <v>7181818</v>
      </c>
      <c r="J3" s="11">
        <v>1241937.8854961831</v>
      </c>
      <c r="K3" s="11">
        <v>9779794.5562281515</v>
      </c>
      <c r="L3" s="11">
        <v>125</v>
      </c>
      <c r="M3" s="11">
        <v>152804086.17959249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874</v>
      </c>
      <c r="E4" s="11">
        <v>355127652</v>
      </c>
      <c r="F4" s="11">
        <v>0</v>
      </c>
      <c r="G4" s="11">
        <v>0</v>
      </c>
      <c r="H4" s="11">
        <v>4</v>
      </c>
      <c r="I4" s="11">
        <v>1636364</v>
      </c>
      <c r="J4" s="11">
        <v>406324.54462242557</v>
      </c>
      <c r="K4" s="11">
        <v>2133102.1548218932</v>
      </c>
      <c r="L4" s="11">
        <v>870</v>
      </c>
      <c r="M4" s="11">
        <v>352994549.84517813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1217</v>
      </c>
      <c r="E5" s="11">
        <v>177122827</v>
      </c>
      <c r="F5" s="11">
        <v>21</v>
      </c>
      <c r="G5" s="11">
        <v>3115182.7418011688</v>
      </c>
      <c r="H5" s="11">
        <v>25</v>
      </c>
      <c r="I5" s="11">
        <v>4800002</v>
      </c>
      <c r="J5" s="11">
        <v>145671.25121163169</v>
      </c>
      <c r="K5" s="11">
        <v>4779610.0427534794</v>
      </c>
      <c r="L5" s="11">
        <v>1213</v>
      </c>
      <c r="M5" s="11">
        <v>175458399.69904771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15</v>
      </c>
      <c r="E6" s="11">
        <v>4198257</v>
      </c>
      <c r="F6" s="11">
        <v>11</v>
      </c>
      <c r="G6" s="11">
        <v>8421552.868566839</v>
      </c>
      <c r="H6" s="11">
        <v>3</v>
      </c>
      <c r="I6" s="11">
        <v>4354546</v>
      </c>
      <c r="J6" s="11">
        <v>496086.80769230769</v>
      </c>
      <c r="K6" s="11">
        <v>1953248.676099245</v>
      </c>
      <c r="L6" s="11">
        <v>23</v>
      </c>
      <c r="M6" s="11">
        <v>10666561.192467591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15</v>
      </c>
      <c r="E7" s="11">
        <v>455453</v>
      </c>
      <c r="F7" s="11">
        <v>12</v>
      </c>
      <c r="G7" s="11">
        <v>369596.78754225117</v>
      </c>
      <c r="H7" s="11">
        <v>0</v>
      </c>
      <c r="I7" s="11">
        <v>0</v>
      </c>
      <c r="J7" s="11">
        <v>31010</v>
      </c>
      <c r="K7" s="11">
        <v>0</v>
      </c>
      <c r="L7" s="11">
        <v>27</v>
      </c>
      <c r="M7" s="11">
        <v>825049.78754225117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16276</v>
      </c>
      <c r="E8" s="11">
        <v>2305863180</v>
      </c>
      <c r="F8" s="11">
        <v>30</v>
      </c>
      <c r="G8" s="11">
        <v>3722379.6076085861</v>
      </c>
      <c r="H8" s="11">
        <v>35</v>
      </c>
      <c r="I8" s="11">
        <v>4763643</v>
      </c>
      <c r="J8" s="11">
        <v>141647.77597203481</v>
      </c>
      <c r="K8" s="11">
        <v>6506634.478071969</v>
      </c>
      <c r="L8" s="11">
        <v>16271</v>
      </c>
      <c r="M8" s="11">
        <v>2303078925.1295371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43</v>
      </c>
      <c r="E9" s="11">
        <v>106943376</v>
      </c>
      <c r="F9" s="11">
        <v>1</v>
      </c>
      <c r="G9" s="11">
        <v>17445118.991951309</v>
      </c>
      <c r="H9" s="11">
        <v>2</v>
      </c>
      <c r="I9" s="11">
        <v>2672726</v>
      </c>
      <c r="J9" s="11">
        <v>2840120.3181818179</v>
      </c>
      <c r="K9" s="11">
        <v>7454960.3892335379</v>
      </c>
      <c r="L9" s="11">
        <v>42</v>
      </c>
      <c r="M9" s="11">
        <v>116933534.6027178</v>
      </c>
    </row>
    <row r="10" spans="1:13" x14ac:dyDescent="0.25">
      <c r="A10" s="10">
        <v>9</v>
      </c>
      <c r="B10" s="10" t="s">
        <v>50</v>
      </c>
      <c r="C10" s="10" t="s">
        <v>51</v>
      </c>
      <c r="D10" s="11">
        <v>1260</v>
      </c>
      <c r="E10" s="11">
        <v>1580014496</v>
      </c>
      <c r="F10" s="11">
        <v>19</v>
      </c>
      <c r="G10" s="11">
        <v>27116425.466240551</v>
      </c>
      <c r="H10" s="11">
        <v>72</v>
      </c>
      <c r="I10" s="11">
        <v>29309088</v>
      </c>
      <c r="J10" s="11">
        <v>1257253.705238468</v>
      </c>
      <c r="K10" s="11">
        <v>118804810.6355312</v>
      </c>
      <c r="L10" s="11">
        <v>1207</v>
      </c>
      <c r="M10" s="11">
        <v>1488326110.830709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15</v>
      </c>
      <c r="E11" s="11">
        <v>35432080</v>
      </c>
      <c r="F11" s="11">
        <v>14</v>
      </c>
      <c r="G11" s="11">
        <v>49249804.548225947</v>
      </c>
      <c r="H11" s="11">
        <v>11</v>
      </c>
      <c r="I11" s="11">
        <v>49936364</v>
      </c>
      <c r="J11" s="11">
        <v>2976215.931034483</v>
      </c>
      <c r="K11" s="11">
        <v>42967068.872031197</v>
      </c>
      <c r="L11" s="11">
        <v>18</v>
      </c>
      <c r="M11" s="11">
        <v>41714815.676194742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43</v>
      </c>
      <c r="E12" s="11">
        <v>116738634</v>
      </c>
      <c r="F12" s="11">
        <v>0</v>
      </c>
      <c r="G12" s="11">
        <v>0</v>
      </c>
      <c r="H12" s="11">
        <v>2</v>
      </c>
      <c r="I12" s="11">
        <v>6354546</v>
      </c>
      <c r="J12" s="11">
        <v>2714851.9534883718</v>
      </c>
      <c r="K12" s="11">
        <v>7126146.6094667902</v>
      </c>
      <c r="L12" s="11">
        <v>41</v>
      </c>
      <c r="M12" s="11">
        <v>109612487.39053319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15</v>
      </c>
      <c r="E13" s="11">
        <v>27912818</v>
      </c>
      <c r="F13" s="11">
        <v>0</v>
      </c>
      <c r="G13" s="11">
        <v>0</v>
      </c>
      <c r="H13" s="11">
        <v>0</v>
      </c>
      <c r="I13" s="11">
        <v>0</v>
      </c>
      <c r="J13" s="11">
        <v>1860854.533333333</v>
      </c>
      <c r="K13" s="11">
        <v>0</v>
      </c>
      <c r="L13" s="11">
        <v>15</v>
      </c>
      <c r="M13" s="11">
        <v>27912818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15</v>
      </c>
      <c r="E14" s="11">
        <v>36008745</v>
      </c>
      <c r="F14" s="11">
        <v>0</v>
      </c>
      <c r="G14" s="11">
        <v>0</v>
      </c>
      <c r="H14" s="11">
        <v>0</v>
      </c>
      <c r="I14" s="11">
        <v>0</v>
      </c>
      <c r="J14" s="11">
        <v>2400583</v>
      </c>
      <c r="K14" s="11">
        <v>0</v>
      </c>
      <c r="L14" s="11">
        <v>15</v>
      </c>
      <c r="M14" s="11">
        <v>36008745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144</v>
      </c>
      <c r="E15" s="11">
        <v>17150484</v>
      </c>
      <c r="F15" s="11">
        <v>31</v>
      </c>
      <c r="G15" s="11">
        <v>3079982.586799724</v>
      </c>
      <c r="H15" s="11">
        <v>40</v>
      </c>
      <c r="I15" s="11">
        <v>6060000</v>
      </c>
      <c r="J15" s="11">
        <v>116184.5828571429</v>
      </c>
      <c r="K15" s="11">
        <v>6099399.7859507073</v>
      </c>
      <c r="L15" s="11">
        <v>135</v>
      </c>
      <c r="M15" s="11">
        <v>14131066.80084902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12368</v>
      </c>
      <c r="E16" s="11">
        <v>1138626260</v>
      </c>
      <c r="F16" s="11">
        <v>0</v>
      </c>
      <c r="G16" s="11">
        <v>0</v>
      </c>
      <c r="H16" s="11">
        <v>35</v>
      </c>
      <c r="I16" s="11">
        <v>3404546</v>
      </c>
      <c r="J16" s="11">
        <v>92062.278460543341</v>
      </c>
      <c r="K16" s="11">
        <v>4228909.2860836433</v>
      </c>
      <c r="L16" s="11">
        <v>12333</v>
      </c>
      <c r="M16" s="11">
        <v>1134397350.7139161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15</v>
      </c>
      <c r="E17" s="11">
        <v>9450935</v>
      </c>
      <c r="F17" s="11">
        <v>469.78</v>
      </c>
      <c r="G17" s="11">
        <v>256745000.58412489</v>
      </c>
      <c r="H17" s="11">
        <v>404</v>
      </c>
      <c r="I17" s="11">
        <v>286377374</v>
      </c>
      <c r="J17" s="11">
        <v>566617.55435455265</v>
      </c>
      <c r="K17" s="11">
        <v>300434633.735825</v>
      </c>
      <c r="L17" s="11">
        <v>80.779999999999973</v>
      </c>
      <c r="M17" s="11">
        <v>-34238698.151700139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43</v>
      </c>
      <c r="E18" s="11">
        <v>380629316</v>
      </c>
      <c r="F18" s="11">
        <v>0</v>
      </c>
      <c r="G18" s="11">
        <v>0</v>
      </c>
      <c r="H18" s="11">
        <v>0</v>
      </c>
      <c r="I18" s="11">
        <v>0</v>
      </c>
      <c r="J18" s="11">
        <v>8851844.5581395347</v>
      </c>
      <c r="K18" s="11">
        <v>0</v>
      </c>
      <c r="L18" s="11">
        <v>43</v>
      </c>
      <c r="M18" s="11">
        <v>380629316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101</v>
      </c>
      <c r="E19" s="11">
        <v>292565737</v>
      </c>
      <c r="F19" s="11">
        <v>0</v>
      </c>
      <c r="G19" s="11">
        <v>0</v>
      </c>
      <c r="H19" s="11">
        <v>0</v>
      </c>
      <c r="I19" s="11">
        <v>0</v>
      </c>
      <c r="J19" s="11">
        <v>2896690.4653465352</v>
      </c>
      <c r="K19" s="11">
        <v>0</v>
      </c>
      <c r="L19" s="11">
        <v>101</v>
      </c>
      <c r="M19" s="11">
        <v>292565737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15</v>
      </c>
      <c r="E20" s="11">
        <v>114863696</v>
      </c>
      <c r="F20" s="11">
        <v>36</v>
      </c>
      <c r="G20" s="11">
        <v>4830292.9671435095</v>
      </c>
      <c r="H20" s="11">
        <v>0</v>
      </c>
      <c r="I20" s="11">
        <v>0</v>
      </c>
      <c r="J20" s="11">
        <v>2350072.4705882352</v>
      </c>
      <c r="K20" s="11">
        <v>0</v>
      </c>
      <c r="L20" s="11">
        <v>51</v>
      </c>
      <c r="M20" s="11">
        <v>119693988.96714351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43</v>
      </c>
      <c r="E21" s="11">
        <v>548106236</v>
      </c>
      <c r="F21" s="11">
        <v>0</v>
      </c>
      <c r="G21" s="11">
        <v>0</v>
      </c>
      <c r="H21" s="11">
        <v>0</v>
      </c>
      <c r="I21" s="11">
        <v>0</v>
      </c>
      <c r="J21" s="11">
        <v>12746656.65116279</v>
      </c>
      <c r="K21" s="11">
        <v>0</v>
      </c>
      <c r="L21" s="11">
        <v>43</v>
      </c>
      <c r="M21" s="11">
        <v>548106236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86</v>
      </c>
      <c r="E22" s="11">
        <v>736162248</v>
      </c>
      <c r="F22" s="11">
        <v>0</v>
      </c>
      <c r="G22" s="11">
        <v>0</v>
      </c>
      <c r="H22" s="11">
        <v>0</v>
      </c>
      <c r="I22" s="11">
        <v>0</v>
      </c>
      <c r="J22" s="11">
        <v>8560026.1395348832</v>
      </c>
      <c r="K22" s="11">
        <v>0</v>
      </c>
      <c r="L22" s="11">
        <v>86</v>
      </c>
      <c r="M22" s="11">
        <v>736162248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15</v>
      </c>
      <c r="E23" s="11">
        <v>5415070</v>
      </c>
      <c r="F23" s="11">
        <v>0</v>
      </c>
      <c r="G23" s="11">
        <v>0</v>
      </c>
      <c r="H23" s="11">
        <v>0</v>
      </c>
      <c r="I23" s="11">
        <v>0</v>
      </c>
      <c r="J23" s="11">
        <v>361004.66666666669</v>
      </c>
      <c r="K23" s="11">
        <v>0</v>
      </c>
      <c r="L23" s="11">
        <v>15</v>
      </c>
      <c r="M23" s="11">
        <v>5415070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115</v>
      </c>
      <c r="E24" s="11">
        <v>1389050190</v>
      </c>
      <c r="F24" s="11">
        <v>0</v>
      </c>
      <c r="G24" s="11">
        <v>0</v>
      </c>
      <c r="H24" s="11">
        <v>1</v>
      </c>
      <c r="I24" s="11">
        <v>14136363</v>
      </c>
      <c r="J24" s="11">
        <v>12078697.30434783</v>
      </c>
      <c r="K24" s="11">
        <v>15852534.376976769</v>
      </c>
      <c r="L24" s="11">
        <v>114</v>
      </c>
      <c r="M24" s="11">
        <v>1373197655.623023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15</v>
      </c>
      <c r="E25" s="11">
        <v>85709658</v>
      </c>
      <c r="F25" s="11">
        <v>12</v>
      </c>
      <c r="G25" s="11">
        <v>1149977.5641215411</v>
      </c>
      <c r="H25" s="11">
        <v>0</v>
      </c>
      <c r="I25" s="11">
        <v>0</v>
      </c>
      <c r="J25" s="11">
        <v>3218431.777777778</v>
      </c>
      <c r="K25" s="11">
        <v>0</v>
      </c>
      <c r="L25" s="11">
        <v>27</v>
      </c>
      <c r="M25" s="11">
        <v>86859635.564121544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72</v>
      </c>
      <c r="E26" s="11">
        <v>1206586840</v>
      </c>
      <c r="F26" s="11">
        <v>4</v>
      </c>
      <c r="G26" s="11">
        <v>71709038.67855534</v>
      </c>
      <c r="H26" s="11">
        <v>1</v>
      </c>
      <c r="I26" s="11">
        <v>18701818</v>
      </c>
      <c r="J26" s="11">
        <v>16850879.47368421</v>
      </c>
      <c r="K26" s="11">
        <v>22115724.850784682</v>
      </c>
      <c r="L26" s="11">
        <v>75</v>
      </c>
      <c r="M26" s="11">
        <v>1256180153.82777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15</v>
      </c>
      <c r="E27" s="11">
        <v>83172113</v>
      </c>
      <c r="F27" s="11">
        <v>0</v>
      </c>
      <c r="G27" s="11">
        <v>0</v>
      </c>
      <c r="H27" s="11">
        <v>0</v>
      </c>
      <c r="I27" s="11">
        <v>0</v>
      </c>
      <c r="J27" s="11">
        <v>5544807.5333333332</v>
      </c>
      <c r="K27" s="11">
        <v>0</v>
      </c>
      <c r="L27" s="11">
        <v>15</v>
      </c>
      <c r="M27" s="11">
        <v>83172113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15</v>
      </c>
      <c r="E28" s="11">
        <v>149847069</v>
      </c>
      <c r="F28" s="11">
        <v>3</v>
      </c>
      <c r="G28" s="11">
        <v>30019272.788382251</v>
      </c>
      <c r="H28" s="11">
        <v>2</v>
      </c>
      <c r="I28" s="11">
        <v>18409091</v>
      </c>
      <c r="J28" s="11">
        <v>10047716</v>
      </c>
      <c r="K28" s="11">
        <v>26373997.010880429</v>
      </c>
      <c r="L28" s="11">
        <v>16</v>
      </c>
      <c r="M28" s="11">
        <v>153492344.77750179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15</v>
      </c>
      <c r="E29" s="11">
        <v>152801734</v>
      </c>
      <c r="F29" s="11">
        <v>11</v>
      </c>
      <c r="G29" s="11">
        <v>115305753.8964384</v>
      </c>
      <c r="H29" s="11">
        <v>3</v>
      </c>
      <c r="I29" s="11">
        <v>34172728</v>
      </c>
      <c r="J29" s="11">
        <v>10458458.26923077</v>
      </c>
      <c r="K29" s="11">
        <v>41178216.093753546</v>
      </c>
      <c r="L29" s="11">
        <v>23</v>
      </c>
      <c r="M29" s="11">
        <v>226929271.80268481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101</v>
      </c>
      <c r="E30" s="11">
        <v>101362718</v>
      </c>
      <c r="F30" s="11">
        <v>0</v>
      </c>
      <c r="G30" s="11">
        <v>0</v>
      </c>
      <c r="H30" s="11">
        <v>0</v>
      </c>
      <c r="I30" s="11">
        <v>0</v>
      </c>
      <c r="J30" s="11">
        <v>1003591.267326733</v>
      </c>
      <c r="K30" s="11">
        <v>0</v>
      </c>
      <c r="L30" s="11">
        <v>101</v>
      </c>
      <c r="M30" s="11">
        <v>101362718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29</v>
      </c>
      <c r="E31" s="11">
        <v>421203771</v>
      </c>
      <c r="F31" s="11">
        <v>0</v>
      </c>
      <c r="G31" s="11">
        <v>0</v>
      </c>
      <c r="H31" s="11">
        <v>0</v>
      </c>
      <c r="I31" s="11">
        <v>0</v>
      </c>
      <c r="J31" s="11">
        <v>14524267.96551724</v>
      </c>
      <c r="K31" s="11">
        <v>0</v>
      </c>
      <c r="L31" s="11">
        <v>29</v>
      </c>
      <c r="M31" s="11">
        <v>421203771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15</v>
      </c>
      <c r="E32" s="11">
        <v>30440825</v>
      </c>
      <c r="F32" s="11">
        <v>2</v>
      </c>
      <c r="G32" s="11">
        <v>1891988.9714359739</v>
      </c>
      <c r="H32" s="11">
        <v>0</v>
      </c>
      <c r="I32" s="11">
        <v>0</v>
      </c>
      <c r="J32" s="11">
        <v>1905610</v>
      </c>
      <c r="K32" s="11">
        <v>0</v>
      </c>
      <c r="L32" s="11">
        <v>17</v>
      </c>
      <c r="M32" s="11">
        <v>32332813.971435979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29</v>
      </c>
      <c r="E33" s="11">
        <v>46846697</v>
      </c>
      <c r="F33" s="11">
        <v>0</v>
      </c>
      <c r="G33" s="11">
        <v>0</v>
      </c>
      <c r="H33" s="11">
        <v>0</v>
      </c>
      <c r="I33" s="11">
        <v>0</v>
      </c>
      <c r="J33" s="11">
        <v>1615403.3448275861</v>
      </c>
      <c r="K33" s="11">
        <v>0</v>
      </c>
      <c r="L33" s="11">
        <v>29</v>
      </c>
      <c r="M33" s="11">
        <v>46846697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43</v>
      </c>
      <c r="E34" s="11">
        <v>211852709</v>
      </c>
      <c r="F34" s="11">
        <v>0</v>
      </c>
      <c r="G34" s="11">
        <v>0</v>
      </c>
      <c r="H34" s="11">
        <v>2</v>
      </c>
      <c r="I34" s="11">
        <v>13318182</v>
      </c>
      <c r="J34" s="11">
        <v>4926807.1860465119</v>
      </c>
      <c r="K34" s="11">
        <v>12932252.264890339</v>
      </c>
      <c r="L34" s="11">
        <v>41</v>
      </c>
      <c r="M34" s="11">
        <v>198920456.73510969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144</v>
      </c>
      <c r="E35" s="11">
        <v>1767648073</v>
      </c>
      <c r="F35" s="11">
        <v>4</v>
      </c>
      <c r="G35" s="11">
        <v>54174258.220396698</v>
      </c>
      <c r="H35" s="11">
        <v>4</v>
      </c>
      <c r="I35" s="11">
        <v>40036363</v>
      </c>
      <c r="J35" s="11">
        <v>12321713.03378378</v>
      </c>
      <c r="K35" s="11">
        <v>64685909.259764098</v>
      </c>
      <c r="L35" s="11">
        <v>144</v>
      </c>
      <c r="M35" s="11">
        <v>1757136421.960633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15</v>
      </c>
      <c r="E36" s="11">
        <v>239965973</v>
      </c>
      <c r="F36" s="11">
        <v>0</v>
      </c>
      <c r="G36" s="11">
        <v>0</v>
      </c>
      <c r="H36" s="11">
        <v>0</v>
      </c>
      <c r="I36" s="11">
        <v>0</v>
      </c>
      <c r="J36" s="11">
        <v>15997731.533333329</v>
      </c>
      <c r="K36" s="11">
        <v>0</v>
      </c>
      <c r="L36" s="11">
        <v>15</v>
      </c>
      <c r="M36" s="11">
        <v>239965973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15</v>
      </c>
      <c r="E37" s="11">
        <v>64861192</v>
      </c>
      <c r="F37" s="11">
        <v>6</v>
      </c>
      <c r="G37" s="11">
        <v>22600033.78234059</v>
      </c>
      <c r="H37" s="11">
        <v>0</v>
      </c>
      <c r="I37" s="11">
        <v>0</v>
      </c>
      <c r="J37" s="11">
        <v>4200403.0952380951</v>
      </c>
      <c r="K37" s="11">
        <v>0</v>
      </c>
      <c r="L37" s="11">
        <v>21</v>
      </c>
      <c r="M37" s="11">
        <v>87461225.782340586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15</v>
      </c>
      <c r="E38" s="11">
        <v>43523947</v>
      </c>
      <c r="F38" s="11">
        <v>20</v>
      </c>
      <c r="G38" s="11">
        <v>55427369.799326122</v>
      </c>
      <c r="H38" s="11">
        <v>5</v>
      </c>
      <c r="I38" s="11">
        <v>13190910</v>
      </c>
      <c r="J38" s="11">
        <v>2879541.3428571429</v>
      </c>
      <c r="K38" s="11">
        <v>18896089.113491289</v>
      </c>
      <c r="L38" s="11">
        <v>30</v>
      </c>
      <c r="M38" s="11">
        <v>80055227.685834825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988</v>
      </c>
      <c r="E39" s="11">
        <v>2002802643</v>
      </c>
      <c r="F39" s="11">
        <v>29</v>
      </c>
      <c r="G39" s="11">
        <v>30653605.446323529</v>
      </c>
      <c r="H39" s="11">
        <v>25</v>
      </c>
      <c r="I39" s="11">
        <v>35492725</v>
      </c>
      <c r="J39" s="11">
        <v>2000461.915437561</v>
      </c>
      <c r="K39" s="11">
        <v>65637027.084227867</v>
      </c>
      <c r="L39" s="11">
        <v>992</v>
      </c>
      <c r="M39" s="11">
        <v>1967819221.3620961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29</v>
      </c>
      <c r="E40" s="11">
        <v>153813295</v>
      </c>
      <c r="F40" s="11">
        <v>1</v>
      </c>
      <c r="G40" s="11">
        <v>5367970.3980181981</v>
      </c>
      <c r="H40" s="11">
        <v>0</v>
      </c>
      <c r="I40" s="11">
        <v>0</v>
      </c>
      <c r="J40" s="11">
        <v>5311958.333333333</v>
      </c>
      <c r="K40" s="11">
        <v>0</v>
      </c>
      <c r="L40" s="11">
        <v>30</v>
      </c>
      <c r="M40" s="11">
        <v>159181265.39801821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15</v>
      </c>
      <c r="E41" s="11">
        <v>85283446</v>
      </c>
      <c r="F41" s="11">
        <v>3</v>
      </c>
      <c r="G41" s="11">
        <v>16631906.743114181</v>
      </c>
      <c r="H41" s="11">
        <v>0</v>
      </c>
      <c r="I41" s="11">
        <v>0</v>
      </c>
      <c r="J41" s="11">
        <v>5692514.666666667</v>
      </c>
      <c r="K41" s="11">
        <v>0</v>
      </c>
      <c r="L41" s="11">
        <v>18</v>
      </c>
      <c r="M41" s="11">
        <v>101915352.7431142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15</v>
      </c>
      <c r="E42" s="11">
        <v>25852640</v>
      </c>
      <c r="F42" s="11">
        <v>2</v>
      </c>
      <c r="G42" s="11">
        <v>9239948.7283937559</v>
      </c>
      <c r="H42" s="11">
        <v>0</v>
      </c>
      <c r="I42" s="11">
        <v>0</v>
      </c>
      <c r="J42" s="11">
        <v>2082240.882352941</v>
      </c>
      <c r="K42" s="11">
        <v>0</v>
      </c>
      <c r="L42" s="11">
        <v>17</v>
      </c>
      <c r="M42" s="11">
        <v>35092588.728393763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15</v>
      </c>
      <c r="E43" s="11">
        <v>9232937</v>
      </c>
      <c r="F43" s="11">
        <v>6</v>
      </c>
      <c r="G43" s="11">
        <v>3854378.2528748359</v>
      </c>
      <c r="H43" s="11">
        <v>0</v>
      </c>
      <c r="I43" s="11">
        <v>0</v>
      </c>
      <c r="J43" s="11">
        <v>629274.04761904757</v>
      </c>
      <c r="K43" s="11">
        <v>0</v>
      </c>
      <c r="L43" s="11">
        <v>21</v>
      </c>
      <c r="M43" s="11">
        <v>13087315.25287484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15</v>
      </c>
      <c r="E44" s="11">
        <v>5043685</v>
      </c>
      <c r="F44" s="11">
        <v>108</v>
      </c>
      <c r="G44" s="11">
        <v>41606166.97403653</v>
      </c>
      <c r="H44" s="11">
        <v>0</v>
      </c>
      <c r="I44" s="11">
        <v>0</v>
      </c>
      <c r="J44" s="11">
        <v>390451.24390243902</v>
      </c>
      <c r="K44" s="11">
        <v>0</v>
      </c>
      <c r="L44" s="11">
        <v>123</v>
      </c>
      <c r="M44" s="11">
        <v>46649851.97403653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15</v>
      </c>
      <c r="E45" s="11">
        <v>120448724</v>
      </c>
      <c r="F45" s="11">
        <v>0</v>
      </c>
      <c r="G45" s="11">
        <v>0</v>
      </c>
      <c r="H45" s="11">
        <v>0</v>
      </c>
      <c r="I45" s="11">
        <v>0</v>
      </c>
      <c r="J45" s="11">
        <v>8029914.9333333336</v>
      </c>
      <c r="K45" s="11">
        <v>0</v>
      </c>
      <c r="L45" s="11">
        <v>15</v>
      </c>
      <c r="M45" s="11">
        <v>120448724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215</v>
      </c>
      <c r="E46" s="11">
        <v>95052931</v>
      </c>
      <c r="F46" s="11">
        <v>0</v>
      </c>
      <c r="G46" s="11">
        <v>0</v>
      </c>
      <c r="H46" s="11">
        <v>13</v>
      </c>
      <c r="I46" s="11">
        <v>20954546</v>
      </c>
      <c r="J46" s="11">
        <v>442106.65581395349</v>
      </c>
      <c r="K46" s="11">
        <v>7543085.1671194807</v>
      </c>
      <c r="L46" s="11">
        <v>202</v>
      </c>
      <c r="M46" s="11">
        <v>87509845.832880527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129</v>
      </c>
      <c r="E47" s="11">
        <v>104315143</v>
      </c>
      <c r="F47" s="11">
        <v>0</v>
      </c>
      <c r="G47" s="11">
        <v>0</v>
      </c>
      <c r="H47" s="11">
        <v>1</v>
      </c>
      <c r="I47" s="11">
        <v>863637</v>
      </c>
      <c r="J47" s="11">
        <v>808644.51937984501</v>
      </c>
      <c r="K47" s="11">
        <v>1061295.3300525651</v>
      </c>
      <c r="L47" s="11">
        <v>128</v>
      </c>
      <c r="M47" s="11">
        <v>103253847.6699474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201</v>
      </c>
      <c r="E48" s="11">
        <v>102560383</v>
      </c>
      <c r="F48" s="11">
        <v>60</v>
      </c>
      <c r="G48" s="11">
        <v>18875894.36058085</v>
      </c>
      <c r="H48" s="11">
        <v>72</v>
      </c>
      <c r="I48" s="11">
        <v>31480000</v>
      </c>
      <c r="J48" s="11">
        <v>467664.30268199241</v>
      </c>
      <c r="K48" s="11">
        <v>44192169.559439421</v>
      </c>
      <c r="L48" s="11">
        <v>189</v>
      </c>
      <c r="M48" s="11">
        <v>77244107.801141426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72</v>
      </c>
      <c r="E49" s="11">
        <v>70690244</v>
      </c>
      <c r="F49" s="11">
        <v>0</v>
      </c>
      <c r="G49" s="11">
        <v>0</v>
      </c>
      <c r="H49" s="11">
        <v>0</v>
      </c>
      <c r="I49" s="11">
        <v>0</v>
      </c>
      <c r="J49" s="11">
        <v>981808.9444444445</v>
      </c>
      <c r="K49" s="11">
        <v>0</v>
      </c>
      <c r="L49" s="11">
        <v>72</v>
      </c>
      <c r="M49" s="11">
        <v>70690244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201</v>
      </c>
      <c r="E50" s="11">
        <v>678626352</v>
      </c>
      <c r="F50" s="11">
        <v>0</v>
      </c>
      <c r="G50" s="11">
        <v>0</v>
      </c>
      <c r="H50" s="11">
        <v>1</v>
      </c>
      <c r="I50" s="11">
        <v>7545455</v>
      </c>
      <c r="J50" s="11">
        <v>3376250.5074626859</v>
      </c>
      <c r="K50" s="11">
        <v>4431117.5192354368</v>
      </c>
      <c r="L50" s="11">
        <v>200</v>
      </c>
      <c r="M50" s="11">
        <v>674195234.48076451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144</v>
      </c>
      <c r="E51" s="11">
        <v>59447699</v>
      </c>
      <c r="F51" s="11">
        <v>1</v>
      </c>
      <c r="G51" s="11">
        <v>237599.11027058319</v>
      </c>
      <c r="H51" s="11">
        <v>5</v>
      </c>
      <c r="I51" s="11">
        <v>640909</v>
      </c>
      <c r="J51" s="11">
        <v>411676.92413793103</v>
      </c>
      <c r="K51" s="11">
        <v>2701501.0094488738</v>
      </c>
      <c r="L51" s="11">
        <v>140</v>
      </c>
      <c r="M51" s="11">
        <v>56983797.100821711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15</v>
      </c>
      <c r="E52" s="11">
        <v>976935</v>
      </c>
      <c r="F52" s="11">
        <v>304</v>
      </c>
      <c r="G52" s="11">
        <v>5851968.6573097259</v>
      </c>
      <c r="H52" s="11">
        <v>72</v>
      </c>
      <c r="I52" s="11">
        <v>5460000</v>
      </c>
      <c r="J52" s="11">
        <v>22013.764890282131</v>
      </c>
      <c r="K52" s="11">
        <v>2080201.5999380271</v>
      </c>
      <c r="L52" s="11">
        <v>247</v>
      </c>
      <c r="M52" s="11">
        <v>4748702.0573716983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</row>
    <row r="54" spans="1:13" ht="15.75" customHeight="1" x14ac:dyDescent="0.25">
      <c r="A54" s="12"/>
      <c r="B54" s="12"/>
      <c r="C54" s="13" t="s">
        <v>138</v>
      </c>
      <c r="D54" s="14">
        <f t="shared" ref="D54:M54" si="0">SUM(D2:D53)</f>
        <v>36829</v>
      </c>
      <c r="E54" s="14">
        <f t="shared" si="0"/>
        <v>18214813251</v>
      </c>
      <c r="F54" s="14">
        <f t="shared" si="0"/>
        <v>1270.78</v>
      </c>
      <c r="G54" s="14">
        <f t="shared" si="0"/>
        <v>881933141.478917</v>
      </c>
      <c r="H54" s="14">
        <f t="shared" si="0"/>
        <v>857</v>
      </c>
      <c r="I54" s="14">
        <f t="shared" si="0"/>
        <v>667212835</v>
      </c>
      <c r="J54" s="14">
        <f t="shared" si="0"/>
        <v>201685496.7732507</v>
      </c>
      <c r="K54" s="14">
        <f t="shared" si="0"/>
        <v>847879200.05417013</v>
      </c>
      <c r="L54" s="14">
        <f t="shared" si="0"/>
        <v>37242.78</v>
      </c>
      <c r="M54" s="14">
        <f t="shared" si="0"/>
        <v>18248867192.424751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3" x14ac:dyDescent="0.25">
      <c r="A1" s="1" t="s">
        <v>0</v>
      </c>
      <c r="B1" s="1" t="s">
        <v>1</v>
      </c>
      <c r="C1" s="1" t="s">
        <v>146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8</v>
      </c>
      <c r="M1" s="1" t="s">
        <v>9</v>
      </c>
    </row>
    <row r="2" spans="1:13" x14ac:dyDescent="0.25">
      <c r="A2" s="2">
        <v>1</v>
      </c>
      <c r="B2" s="2" t="s">
        <v>34</v>
      </c>
      <c r="C2" s="2" t="s">
        <v>35</v>
      </c>
      <c r="D2" s="3">
        <v>1397</v>
      </c>
      <c r="E2" s="3">
        <v>571732215.62910199</v>
      </c>
      <c r="F2" s="3">
        <v>33</v>
      </c>
      <c r="G2" s="3">
        <v>16957509.144872122</v>
      </c>
      <c r="H2" s="3">
        <v>2</v>
      </c>
      <c r="I2" s="3">
        <v>1272728</v>
      </c>
      <c r="J2" s="3">
        <v>413510.82011035841</v>
      </c>
      <c r="K2" s="3">
        <v>1085414.151191904</v>
      </c>
      <c r="L2" s="3">
        <v>1428</v>
      </c>
      <c r="M2" s="3">
        <v>587604310.62278211</v>
      </c>
    </row>
    <row r="3" spans="1:13" x14ac:dyDescent="0.25">
      <c r="A3" s="2">
        <v>2</v>
      </c>
      <c r="B3" s="2" t="s">
        <v>36</v>
      </c>
      <c r="C3" s="2" t="s">
        <v>37</v>
      </c>
      <c r="D3" s="3">
        <v>125</v>
      </c>
      <c r="E3" s="3">
        <v>152804086.17959249</v>
      </c>
      <c r="F3" s="3">
        <v>0</v>
      </c>
      <c r="G3" s="3">
        <v>0</v>
      </c>
      <c r="H3" s="3">
        <v>2</v>
      </c>
      <c r="I3" s="3">
        <v>2045455</v>
      </c>
      <c r="J3" s="3">
        <v>1241937.8854961831</v>
      </c>
      <c r="K3" s="3">
        <v>3259931.5187427159</v>
      </c>
      <c r="L3" s="3">
        <v>123</v>
      </c>
      <c r="M3" s="3">
        <v>149544154.66084981</v>
      </c>
    </row>
    <row r="4" spans="1:13" x14ac:dyDescent="0.25">
      <c r="A4" s="2">
        <v>3</v>
      </c>
      <c r="B4" s="2" t="s">
        <v>38</v>
      </c>
      <c r="C4" s="2" t="s">
        <v>39</v>
      </c>
      <c r="D4" s="3">
        <v>870</v>
      </c>
      <c r="E4" s="3">
        <v>352994549.84517813</v>
      </c>
      <c r="F4" s="3">
        <v>0</v>
      </c>
      <c r="G4" s="3">
        <v>0</v>
      </c>
      <c r="H4" s="3">
        <v>0</v>
      </c>
      <c r="I4" s="3">
        <v>0</v>
      </c>
      <c r="J4" s="3">
        <v>406324.54462242557</v>
      </c>
      <c r="K4" s="3">
        <v>0</v>
      </c>
      <c r="L4" s="3">
        <v>870</v>
      </c>
      <c r="M4" s="3">
        <v>352994549.84517813</v>
      </c>
    </row>
    <row r="5" spans="1:13" x14ac:dyDescent="0.25">
      <c r="A5" s="2">
        <v>4</v>
      </c>
      <c r="B5" s="2" t="s">
        <v>40</v>
      </c>
      <c r="C5" s="2" t="s">
        <v>41</v>
      </c>
      <c r="D5" s="3">
        <v>1213</v>
      </c>
      <c r="E5" s="3">
        <v>175458399.69904771</v>
      </c>
      <c r="F5" s="3">
        <v>56</v>
      </c>
      <c r="G5" s="3">
        <v>7391958.9827150051</v>
      </c>
      <c r="H5" s="3">
        <v>35</v>
      </c>
      <c r="I5" s="3">
        <v>5545455</v>
      </c>
      <c r="J5" s="3">
        <v>145260.5135695108</v>
      </c>
      <c r="K5" s="3">
        <v>6672586.6989992149</v>
      </c>
      <c r="L5" s="3">
        <v>1234</v>
      </c>
      <c r="M5" s="3">
        <v>176177771.9827635</v>
      </c>
    </row>
    <row r="6" spans="1:13" x14ac:dyDescent="0.25">
      <c r="A6" s="2">
        <v>5</v>
      </c>
      <c r="B6" s="2" t="s">
        <v>42</v>
      </c>
      <c r="C6" s="2" t="s">
        <v>43</v>
      </c>
      <c r="D6" s="3">
        <v>23</v>
      </c>
      <c r="E6" s="3">
        <v>10666561.192467591</v>
      </c>
      <c r="F6" s="3">
        <v>5</v>
      </c>
      <c r="G6" s="3">
        <v>923994.38884208433</v>
      </c>
      <c r="H6" s="3">
        <v>0</v>
      </c>
      <c r="I6" s="3">
        <v>0</v>
      </c>
      <c r="J6" s="3">
        <v>441590.7706043956</v>
      </c>
      <c r="K6" s="3">
        <v>0</v>
      </c>
      <c r="L6" s="3">
        <v>28</v>
      </c>
      <c r="M6" s="3">
        <v>11590555.58130968</v>
      </c>
    </row>
    <row r="7" spans="1:13" x14ac:dyDescent="0.25">
      <c r="A7" s="2">
        <v>6</v>
      </c>
      <c r="B7" s="2" t="s">
        <v>44</v>
      </c>
      <c r="C7" s="2" t="s">
        <v>45</v>
      </c>
      <c r="D7" s="3">
        <v>27</v>
      </c>
      <c r="E7" s="3">
        <v>825049.78754225117</v>
      </c>
      <c r="F7" s="3">
        <v>5</v>
      </c>
      <c r="G7" s="3">
        <v>153999.22613944451</v>
      </c>
      <c r="H7" s="3">
        <v>0</v>
      </c>
      <c r="I7" s="3">
        <v>0</v>
      </c>
      <c r="J7" s="3">
        <v>31136.28125</v>
      </c>
      <c r="K7" s="3">
        <v>0</v>
      </c>
      <c r="L7" s="3">
        <v>32</v>
      </c>
      <c r="M7" s="3">
        <v>979049.01368169568</v>
      </c>
    </row>
    <row r="8" spans="1:13" x14ac:dyDescent="0.25">
      <c r="A8" s="2">
        <v>7</v>
      </c>
      <c r="B8" s="2" t="s">
        <v>46</v>
      </c>
      <c r="C8" s="2" t="s">
        <v>47</v>
      </c>
      <c r="D8" s="3">
        <v>16271</v>
      </c>
      <c r="E8" s="3">
        <v>2303078925.1295371</v>
      </c>
      <c r="F8" s="3">
        <v>4</v>
      </c>
      <c r="G8" s="3">
        <v>3146963.2182367882</v>
      </c>
      <c r="H8" s="3">
        <v>17</v>
      </c>
      <c r="I8" s="3">
        <v>5354546</v>
      </c>
      <c r="J8" s="3">
        <v>141812.71742521759</v>
      </c>
      <c r="K8" s="3">
        <v>3164045.3986317809</v>
      </c>
      <c r="L8" s="3">
        <v>16258</v>
      </c>
      <c r="M8" s="3">
        <v>2303061842.949142</v>
      </c>
    </row>
    <row r="9" spans="1:13" x14ac:dyDescent="0.25">
      <c r="A9" s="2">
        <v>8</v>
      </c>
      <c r="B9" s="2" t="s">
        <v>48</v>
      </c>
      <c r="C9" s="2" t="s">
        <v>49</v>
      </c>
      <c r="D9" s="3">
        <v>42</v>
      </c>
      <c r="E9" s="3">
        <v>116933534.6027178</v>
      </c>
      <c r="F9" s="3">
        <v>0</v>
      </c>
      <c r="G9" s="3">
        <v>0</v>
      </c>
      <c r="H9" s="3">
        <v>1</v>
      </c>
      <c r="I9" s="3">
        <v>1227273</v>
      </c>
      <c r="J9" s="3">
        <v>2840120.3181818179</v>
      </c>
      <c r="K9" s="3">
        <v>3727480.194616768</v>
      </c>
      <c r="L9" s="3">
        <v>41</v>
      </c>
      <c r="M9" s="3">
        <v>113206054.40810101</v>
      </c>
    </row>
    <row r="10" spans="1:13" x14ac:dyDescent="0.25">
      <c r="A10" s="2">
        <v>9</v>
      </c>
      <c r="B10" s="2" t="s">
        <v>50</v>
      </c>
      <c r="C10" s="2" t="s">
        <v>51</v>
      </c>
      <c r="D10" s="3">
        <v>1207</v>
      </c>
      <c r="E10" s="3">
        <v>1488326110.830709</v>
      </c>
      <c r="F10" s="3">
        <v>32</v>
      </c>
      <c r="G10" s="3">
        <v>74927437.714703918</v>
      </c>
      <c r="H10" s="3">
        <v>9</v>
      </c>
      <c r="I10" s="3">
        <v>15218182</v>
      </c>
      <c r="J10" s="3">
        <v>1287255.8783073691</v>
      </c>
      <c r="K10" s="3">
        <v>15204985.102109339</v>
      </c>
      <c r="L10" s="3">
        <v>1230</v>
      </c>
      <c r="M10" s="3">
        <v>1548048563.4433041</v>
      </c>
    </row>
    <row r="11" spans="1:13" x14ac:dyDescent="0.25">
      <c r="A11" s="2">
        <v>10</v>
      </c>
      <c r="B11" s="2" t="s">
        <v>52</v>
      </c>
      <c r="C11" s="2" t="s">
        <v>53</v>
      </c>
      <c r="D11" s="3">
        <v>18</v>
      </c>
      <c r="E11" s="3">
        <v>41714815.676194742</v>
      </c>
      <c r="F11" s="3">
        <v>18</v>
      </c>
      <c r="G11" s="3">
        <v>588716.88123111695</v>
      </c>
      <c r="H11" s="3">
        <v>2</v>
      </c>
      <c r="I11" s="3">
        <v>4636364</v>
      </c>
      <c r="J11" s="3">
        <v>1505001.909961686</v>
      </c>
      <c r="K11" s="3">
        <v>3950441.660044814</v>
      </c>
      <c r="L11" s="3">
        <v>34</v>
      </c>
      <c r="M11" s="3">
        <v>38353090.897381037</v>
      </c>
    </row>
    <row r="12" spans="1:13" x14ac:dyDescent="0.25">
      <c r="A12" s="2">
        <v>11</v>
      </c>
      <c r="B12" s="2" t="s">
        <v>54</v>
      </c>
      <c r="C12" s="2" t="s">
        <v>55</v>
      </c>
      <c r="D12" s="3">
        <v>41</v>
      </c>
      <c r="E12" s="3">
        <v>109612487.39053319</v>
      </c>
      <c r="F12" s="3">
        <v>2</v>
      </c>
      <c r="G12" s="3">
        <v>6283164.7481099209</v>
      </c>
      <c r="H12" s="3">
        <v>2</v>
      </c>
      <c r="I12" s="3">
        <v>4627273</v>
      </c>
      <c r="J12" s="3">
        <v>2739531.1416982152</v>
      </c>
      <c r="K12" s="3">
        <v>7190926.3898743326</v>
      </c>
      <c r="L12" s="3">
        <v>41</v>
      </c>
      <c r="M12" s="3">
        <v>108704725.74876881</v>
      </c>
    </row>
    <row r="13" spans="1:13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27912818</v>
      </c>
      <c r="F13" s="3">
        <v>0</v>
      </c>
      <c r="G13" s="3">
        <v>0</v>
      </c>
      <c r="H13" s="3">
        <v>0</v>
      </c>
      <c r="I13" s="3">
        <v>0</v>
      </c>
      <c r="J13" s="3">
        <v>1860854.533333333</v>
      </c>
      <c r="K13" s="3">
        <v>0</v>
      </c>
      <c r="L13" s="3">
        <v>15</v>
      </c>
      <c r="M13" s="3">
        <v>27912818</v>
      </c>
    </row>
    <row r="14" spans="1:13" x14ac:dyDescent="0.25">
      <c r="A14" s="2">
        <v>13</v>
      </c>
      <c r="B14" s="2" t="s">
        <v>58</v>
      </c>
      <c r="C14" s="2" t="s">
        <v>59</v>
      </c>
      <c r="D14" s="3">
        <v>15</v>
      </c>
      <c r="E14" s="3">
        <v>36008745</v>
      </c>
      <c r="F14" s="3">
        <v>0</v>
      </c>
      <c r="G14" s="3">
        <v>0</v>
      </c>
      <c r="H14" s="3">
        <v>0</v>
      </c>
      <c r="I14" s="3">
        <v>0</v>
      </c>
      <c r="J14" s="3">
        <v>2400583</v>
      </c>
      <c r="K14" s="3">
        <v>0</v>
      </c>
      <c r="L14" s="3">
        <v>15</v>
      </c>
      <c r="M14" s="3">
        <v>36008745</v>
      </c>
    </row>
    <row r="15" spans="1:13" x14ac:dyDescent="0.25">
      <c r="A15" s="2">
        <v>14</v>
      </c>
      <c r="B15" s="2" t="s">
        <v>60</v>
      </c>
      <c r="C15" s="2" t="s">
        <v>61</v>
      </c>
      <c r="D15" s="3">
        <v>135</v>
      </c>
      <c r="E15" s="3">
        <v>14131066.80084902</v>
      </c>
      <c r="F15" s="3">
        <v>74</v>
      </c>
      <c r="G15" s="3">
        <v>10195421.007980259</v>
      </c>
      <c r="H15" s="3">
        <v>9</v>
      </c>
      <c r="I15" s="3">
        <v>3514546</v>
      </c>
      <c r="J15" s="3">
        <v>125442.2839707119</v>
      </c>
      <c r="K15" s="3">
        <v>1481716.3324647171</v>
      </c>
      <c r="L15" s="3">
        <v>200</v>
      </c>
      <c r="M15" s="3">
        <v>22844771.47636456</v>
      </c>
    </row>
    <row r="16" spans="1:13" x14ac:dyDescent="0.25">
      <c r="A16" s="2">
        <v>15</v>
      </c>
      <c r="B16" s="2" t="s">
        <v>62</v>
      </c>
      <c r="C16" s="2" t="s">
        <v>63</v>
      </c>
      <c r="D16" s="3">
        <v>12333</v>
      </c>
      <c r="E16" s="3">
        <v>1134397350.7139161</v>
      </c>
      <c r="F16" s="3">
        <v>0</v>
      </c>
      <c r="G16" s="3">
        <v>0</v>
      </c>
      <c r="H16" s="3">
        <v>14</v>
      </c>
      <c r="I16" s="3">
        <v>1290910</v>
      </c>
      <c r="J16" s="3">
        <v>92062.278460543341</v>
      </c>
      <c r="K16" s="3">
        <v>1691563.714433457</v>
      </c>
      <c r="L16" s="3">
        <v>12319</v>
      </c>
      <c r="M16" s="3">
        <v>1132705786.9994831</v>
      </c>
    </row>
    <row r="17" spans="1:13" x14ac:dyDescent="0.25">
      <c r="A17" s="2">
        <v>16</v>
      </c>
      <c r="B17" s="2" t="s">
        <v>64</v>
      </c>
      <c r="C17" s="2" t="s">
        <v>65</v>
      </c>
      <c r="D17" s="3">
        <v>80.779999999999973</v>
      </c>
      <c r="E17" s="3">
        <v>-34238698.151700139</v>
      </c>
      <c r="F17" s="3">
        <v>281.36399999999998</v>
      </c>
      <c r="G17" s="3">
        <v>141808546.3796843</v>
      </c>
      <c r="H17" s="3">
        <v>43</v>
      </c>
      <c r="I17" s="3">
        <v>75377438</v>
      </c>
      <c r="J17" s="3">
        <v>530917.58560726768</v>
      </c>
      <c r="K17" s="3">
        <v>29962232.664651699</v>
      </c>
      <c r="L17" s="3">
        <v>319.14400000000001</v>
      </c>
      <c r="M17" s="3">
        <v>77607615.563332498</v>
      </c>
    </row>
    <row r="18" spans="1:13" x14ac:dyDescent="0.25">
      <c r="A18" s="2">
        <v>17</v>
      </c>
      <c r="B18" s="2" t="s">
        <v>66</v>
      </c>
      <c r="C18" s="2" t="s">
        <v>67</v>
      </c>
      <c r="D18" s="3">
        <v>43</v>
      </c>
      <c r="E18" s="3">
        <v>380629316</v>
      </c>
      <c r="F18" s="3">
        <v>0</v>
      </c>
      <c r="G18" s="3">
        <v>0</v>
      </c>
      <c r="H18" s="3">
        <v>0</v>
      </c>
      <c r="I18" s="3">
        <v>0</v>
      </c>
      <c r="J18" s="3">
        <v>8851844.5581395347</v>
      </c>
      <c r="K18" s="3">
        <v>0</v>
      </c>
      <c r="L18" s="3">
        <v>43</v>
      </c>
      <c r="M18" s="3">
        <v>380629316</v>
      </c>
    </row>
    <row r="19" spans="1:13" x14ac:dyDescent="0.25">
      <c r="A19" s="2">
        <v>18</v>
      </c>
      <c r="B19" s="2" t="s">
        <v>68</v>
      </c>
      <c r="C19" s="2" t="s">
        <v>69</v>
      </c>
      <c r="D19" s="3">
        <v>101</v>
      </c>
      <c r="E19" s="3">
        <v>292565737</v>
      </c>
      <c r="F19" s="3">
        <v>3</v>
      </c>
      <c r="G19" s="3">
        <v>9583146.3676795065</v>
      </c>
      <c r="H19" s="3">
        <v>0</v>
      </c>
      <c r="I19" s="3">
        <v>0</v>
      </c>
      <c r="J19" s="3">
        <v>2908324.394230769</v>
      </c>
      <c r="K19" s="3">
        <v>0</v>
      </c>
      <c r="L19" s="3">
        <v>104</v>
      </c>
      <c r="M19" s="3">
        <v>302148883.36767948</v>
      </c>
    </row>
    <row r="20" spans="1:13" x14ac:dyDescent="0.25">
      <c r="A20" s="2">
        <v>19</v>
      </c>
      <c r="B20" s="2" t="s">
        <v>70</v>
      </c>
      <c r="C20" s="2" t="s">
        <v>71</v>
      </c>
      <c r="D20" s="3">
        <v>51</v>
      </c>
      <c r="E20" s="3">
        <v>119693988.96714351</v>
      </c>
      <c r="F20" s="3">
        <v>30</v>
      </c>
      <c r="G20" s="3">
        <v>229661114.25577819</v>
      </c>
      <c r="H20" s="3">
        <v>0</v>
      </c>
      <c r="I20" s="3">
        <v>0</v>
      </c>
      <c r="J20" s="3">
        <v>4408743.7160493825</v>
      </c>
      <c r="K20" s="3">
        <v>0</v>
      </c>
      <c r="L20" s="3">
        <v>81</v>
      </c>
      <c r="M20" s="3">
        <v>349355103.22292173</v>
      </c>
    </row>
    <row r="21" spans="1:13" ht="15.75" customHeight="1" x14ac:dyDescent="0.25">
      <c r="A21" s="2">
        <v>20</v>
      </c>
      <c r="B21" s="2" t="s">
        <v>72</v>
      </c>
      <c r="C21" s="2" t="s">
        <v>73</v>
      </c>
      <c r="D21" s="3">
        <v>43</v>
      </c>
      <c r="E21" s="3">
        <v>548106236</v>
      </c>
      <c r="F21" s="3">
        <v>0</v>
      </c>
      <c r="G21" s="3">
        <v>0</v>
      </c>
      <c r="H21" s="3">
        <v>0</v>
      </c>
      <c r="I21" s="3">
        <v>0</v>
      </c>
      <c r="J21" s="3">
        <v>12746656.65116279</v>
      </c>
      <c r="K21" s="3">
        <v>0</v>
      </c>
      <c r="L21" s="3">
        <v>43</v>
      </c>
      <c r="M21" s="3">
        <v>548106236</v>
      </c>
    </row>
    <row r="22" spans="1:13" ht="15.75" customHeight="1" x14ac:dyDescent="0.25">
      <c r="A22" s="2">
        <v>21</v>
      </c>
      <c r="B22" s="2" t="s">
        <v>74</v>
      </c>
      <c r="C22" s="2" t="s">
        <v>75</v>
      </c>
      <c r="D22" s="3">
        <v>86</v>
      </c>
      <c r="E22" s="3">
        <v>736162248</v>
      </c>
      <c r="F22" s="3">
        <v>0</v>
      </c>
      <c r="G22" s="3">
        <v>0</v>
      </c>
      <c r="H22" s="3">
        <v>0</v>
      </c>
      <c r="I22" s="3">
        <v>0</v>
      </c>
      <c r="J22" s="3">
        <v>8560026.1395348832</v>
      </c>
      <c r="K22" s="3">
        <v>0</v>
      </c>
      <c r="L22" s="3">
        <v>86</v>
      </c>
      <c r="M22" s="3">
        <v>736162248</v>
      </c>
    </row>
    <row r="23" spans="1:13" ht="15.75" customHeight="1" x14ac:dyDescent="0.25">
      <c r="A23" s="2">
        <v>22</v>
      </c>
      <c r="B23" s="2" t="s">
        <v>76</v>
      </c>
      <c r="C23" s="2" t="s">
        <v>77</v>
      </c>
      <c r="D23" s="3">
        <v>15</v>
      </c>
      <c r="E23" s="3">
        <v>5415070</v>
      </c>
      <c r="F23" s="3">
        <v>0</v>
      </c>
      <c r="G23" s="3">
        <v>0</v>
      </c>
      <c r="H23" s="3">
        <v>0</v>
      </c>
      <c r="I23" s="3">
        <v>0</v>
      </c>
      <c r="J23" s="3">
        <v>361004.66666666669</v>
      </c>
      <c r="K23" s="3">
        <v>0</v>
      </c>
      <c r="L23" s="3">
        <v>15</v>
      </c>
      <c r="M23" s="3">
        <v>5415070</v>
      </c>
    </row>
    <row r="24" spans="1:13" ht="15.75" customHeight="1" x14ac:dyDescent="0.25">
      <c r="A24" s="2">
        <v>23</v>
      </c>
      <c r="B24" s="2" t="s">
        <v>78</v>
      </c>
      <c r="C24" s="2" t="s">
        <v>79</v>
      </c>
      <c r="D24" s="3">
        <v>114</v>
      </c>
      <c r="E24" s="3">
        <v>1373197655.623023</v>
      </c>
      <c r="F24" s="3">
        <v>0</v>
      </c>
      <c r="G24" s="3">
        <v>0</v>
      </c>
      <c r="H24" s="3">
        <v>0</v>
      </c>
      <c r="I24" s="3">
        <v>0</v>
      </c>
      <c r="J24" s="3">
        <v>12078697.30434783</v>
      </c>
      <c r="K24" s="3">
        <v>0</v>
      </c>
      <c r="L24" s="3">
        <v>114</v>
      </c>
      <c r="M24" s="3">
        <v>1373197655.623023</v>
      </c>
    </row>
    <row r="25" spans="1:13" ht="15.75" customHeight="1" x14ac:dyDescent="0.25">
      <c r="A25" s="2">
        <v>24</v>
      </c>
      <c r="B25" s="2" t="s">
        <v>80</v>
      </c>
      <c r="C25" s="2" t="s">
        <v>81</v>
      </c>
      <c r="D25" s="3">
        <v>27</v>
      </c>
      <c r="E25" s="3">
        <v>86859635.564121544</v>
      </c>
      <c r="F25" s="3">
        <v>3</v>
      </c>
      <c r="G25" s="3">
        <v>27983843.475713771</v>
      </c>
      <c r="H25" s="3">
        <v>0</v>
      </c>
      <c r="I25" s="3">
        <v>0</v>
      </c>
      <c r="J25" s="3">
        <v>3860224.9666666668</v>
      </c>
      <c r="K25" s="3">
        <v>0</v>
      </c>
      <c r="L25" s="3">
        <v>30</v>
      </c>
      <c r="M25" s="3">
        <v>114843479.0398353</v>
      </c>
    </row>
    <row r="26" spans="1:13" ht="15.75" customHeight="1" x14ac:dyDescent="0.25">
      <c r="A26" s="2">
        <v>25</v>
      </c>
      <c r="B26" s="2" t="s">
        <v>82</v>
      </c>
      <c r="C26" s="2" t="s">
        <v>83</v>
      </c>
      <c r="D26" s="3">
        <v>75</v>
      </c>
      <c r="E26" s="3">
        <v>1256180153.82777</v>
      </c>
      <c r="F26" s="3">
        <v>0</v>
      </c>
      <c r="G26" s="3">
        <v>0</v>
      </c>
      <c r="H26" s="3">
        <v>0</v>
      </c>
      <c r="I26" s="3">
        <v>0</v>
      </c>
      <c r="J26" s="3">
        <v>16850879.47368421</v>
      </c>
      <c r="K26" s="3">
        <v>0</v>
      </c>
      <c r="L26" s="3">
        <v>75</v>
      </c>
      <c r="M26" s="3">
        <v>1256180153.82777</v>
      </c>
    </row>
    <row r="27" spans="1:13" ht="15.75" customHeight="1" x14ac:dyDescent="0.25">
      <c r="A27" s="2">
        <v>26</v>
      </c>
      <c r="B27" s="2" t="s">
        <v>84</v>
      </c>
      <c r="C27" s="2" t="s">
        <v>85</v>
      </c>
      <c r="D27" s="3">
        <v>15</v>
      </c>
      <c r="E27" s="3">
        <v>83172113</v>
      </c>
      <c r="F27" s="3">
        <v>6</v>
      </c>
      <c r="G27" s="3">
        <v>47519733.96660962</v>
      </c>
      <c r="H27" s="3">
        <v>0</v>
      </c>
      <c r="I27" s="3">
        <v>0</v>
      </c>
      <c r="J27" s="3">
        <v>6298239.1428571427</v>
      </c>
      <c r="K27" s="3">
        <v>0</v>
      </c>
      <c r="L27" s="3">
        <v>21</v>
      </c>
      <c r="M27" s="3">
        <v>130691846.9666096</v>
      </c>
    </row>
    <row r="28" spans="1:13" ht="15.75" customHeight="1" x14ac:dyDescent="0.25">
      <c r="A28" s="2">
        <v>27</v>
      </c>
      <c r="B28" s="2" t="s">
        <v>86</v>
      </c>
      <c r="C28" s="2" t="s">
        <v>87</v>
      </c>
      <c r="D28" s="3">
        <v>16</v>
      </c>
      <c r="E28" s="3">
        <v>153492344.77750179</v>
      </c>
      <c r="F28" s="3">
        <v>10</v>
      </c>
      <c r="G28" s="3">
        <v>112384171.0391506</v>
      </c>
      <c r="H28" s="3">
        <v>4</v>
      </c>
      <c r="I28" s="3">
        <v>31309090</v>
      </c>
      <c r="J28" s="3">
        <v>10648594.46153846</v>
      </c>
      <c r="K28" s="3">
        <v>55902455.542870291</v>
      </c>
      <c r="L28" s="3">
        <v>22</v>
      </c>
      <c r="M28" s="3">
        <v>209974060.2737821</v>
      </c>
    </row>
    <row r="29" spans="1:13" ht="15.75" customHeight="1" x14ac:dyDescent="0.25">
      <c r="A29" s="2">
        <v>28</v>
      </c>
      <c r="B29" s="2" t="s">
        <v>88</v>
      </c>
      <c r="C29" s="2" t="s">
        <v>89</v>
      </c>
      <c r="D29" s="3">
        <v>23</v>
      </c>
      <c r="E29" s="3">
        <v>226929271.80268481</v>
      </c>
      <c r="F29" s="3">
        <v>33</v>
      </c>
      <c r="G29" s="3">
        <v>342752801.24729788</v>
      </c>
      <c r="H29" s="3">
        <v>11</v>
      </c>
      <c r="I29" s="3">
        <v>114181818</v>
      </c>
      <c r="J29" s="3">
        <v>10618392.753434069</v>
      </c>
      <c r="K29" s="3">
        <v>153295736.37101549</v>
      </c>
      <c r="L29" s="3">
        <v>45</v>
      </c>
      <c r="M29" s="3">
        <v>416386336.67896718</v>
      </c>
    </row>
    <row r="30" spans="1:13" ht="15.75" customHeight="1" x14ac:dyDescent="0.25">
      <c r="A30" s="2">
        <v>29</v>
      </c>
      <c r="B30" s="2" t="s">
        <v>90</v>
      </c>
      <c r="C30" s="2" t="s">
        <v>91</v>
      </c>
      <c r="D30" s="3">
        <v>101</v>
      </c>
      <c r="E30" s="3">
        <v>101362718</v>
      </c>
      <c r="F30" s="3">
        <v>0</v>
      </c>
      <c r="G30" s="3">
        <v>0</v>
      </c>
      <c r="H30" s="3">
        <v>0</v>
      </c>
      <c r="I30" s="3">
        <v>0</v>
      </c>
      <c r="J30" s="3">
        <v>1003591.267326733</v>
      </c>
      <c r="K30" s="3">
        <v>0</v>
      </c>
      <c r="L30" s="3">
        <v>101</v>
      </c>
      <c r="M30" s="3">
        <v>101362718</v>
      </c>
    </row>
    <row r="31" spans="1:13" ht="15.75" customHeight="1" x14ac:dyDescent="0.25">
      <c r="A31" s="2">
        <v>30</v>
      </c>
      <c r="B31" s="2" t="s">
        <v>92</v>
      </c>
      <c r="C31" s="2" t="s">
        <v>93</v>
      </c>
      <c r="D31" s="3">
        <v>29</v>
      </c>
      <c r="E31" s="3">
        <v>421203771</v>
      </c>
      <c r="F31" s="3">
        <v>2</v>
      </c>
      <c r="G31" s="3">
        <v>29286236.62683763</v>
      </c>
      <c r="H31" s="3">
        <v>0</v>
      </c>
      <c r="I31" s="3">
        <v>0</v>
      </c>
      <c r="J31" s="3">
        <v>14563171.51612903</v>
      </c>
      <c r="K31" s="3">
        <v>0</v>
      </c>
      <c r="L31" s="3">
        <v>31</v>
      </c>
      <c r="M31" s="3">
        <v>450490007.62683761</v>
      </c>
    </row>
    <row r="32" spans="1:13" ht="15.75" customHeight="1" x14ac:dyDescent="0.25">
      <c r="A32" s="2">
        <v>31</v>
      </c>
      <c r="B32" s="2" t="s">
        <v>94</v>
      </c>
      <c r="C32" s="2" t="s">
        <v>95</v>
      </c>
      <c r="D32" s="3">
        <v>17</v>
      </c>
      <c r="E32" s="3">
        <v>32332813.971435979</v>
      </c>
      <c r="F32" s="3">
        <v>0</v>
      </c>
      <c r="G32" s="3">
        <v>0</v>
      </c>
      <c r="H32" s="3">
        <v>0</v>
      </c>
      <c r="I32" s="3">
        <v>0</v>
      </c>
      <c r="J32" s="3">
        <v>1905610</v>
      </c>
      <c r="K32" s="3">
        <v>0</v>
      </c>
      <c r="L32" s="3">
        <v>17</v>
      </c>
      <c r="M32" s="3">
        <v>32332813.971435979</v>
      </c>
    </row>
    <row r="33" spans="1:13" ht="15.75" customHeight="1" x14ac:dyDescent="0.25">
      <c r="A33" s="2">
        <v>32</v>
      </c>
      <c r="B33" s="2" t="s">
        <v>96</v>
      </c>
      <c r="C33" s="2" t="s">
        <v>97</v>
      </c>
      <c r="D33" s="3">
        <v>29</v>
      </c>
      <c r="E33" s="3">
        <v>46846697</v>
      </c>
      <c r="F33" s="3">
        <v>0</v>
      </c>
      <c r="G33" s="3">
        <v>0</v>
      </c>
      <c r="H33" s="3">
        <v>0</v>
      </c>
      <c r="I33" s="3">
        <v>0</v>
      </c>
      <c r="J33" s="3">
        <v>1615403.3448275861</v>
      </c>
      <c r="K33" s="3">
        <v>0</v>
      </c>
      <c r="L33" s="3">
        <v>29</v>
      </c>
      <c r="M33" s="3">
        <v>46846697</v>
      </c>
    </row>
    <row r="34" spans="1:13" ht="15.75" customHeight="1" x14ac:dyDescent="0.25">
      <c r="A34" s="2">
        <v>33</v>
      </c>
      <c r="B34" s="2" t="s">
        <v>98</v>
      </c>
      <c r="C34" s="2" t="s">
        <v>99</v>
      </c>
      <c r="D34" s="3">
        <v>41</v>
      </c>
      <c r="E34" s="3">
        <v>198920456.73510969</v>
      </c>
      <c r="F34" s="3">
        <v>2</v>
      </c>
      <c r="G34" s="3">
        <v>5244770.8235077262</v>
      </c>
      <c r="H34" s="3">
        <v>1</v>
      </c>
      <c r="I34" s="3">
        <v>10627273</v>
      </c>
      <c r="J34" s="3">
        <v>4823657.5959978364</v>
      </c>
      <c r="K34" s="3">
        <v>6330748.7501815138</v>
      </c>
      <c r="L34" s="3">
        <v>42</v>
      </c>
      <c r="M34" s="3">
        <v>197834478.80843589</v>
      </c>
    </row>
    <row r="35" spans="1:13" ht="15.75" customHeight="1" x14ac:dyDescent="0.25">
      <c r="A35" s="2">
        <v>34</v>
      </c>
      <c r="B35" s="2" t="s">
        <v>100</v>
      </c>
      <c r="C35" s="2" t="s">
        <v>101</v>
      </c>
      <c r="D35" s="3">
        <v>144</v>
      </c>
      <c r="E35" s="3">
        <v>1757136421.960633</v>
      </c>
      <c r="F35" s="3">
        <v>7</v>
      </c>
      <c r="G35" s="3">
        <v>68958173.281842962</v>
      </c>
      <c r="H35" s="3">
        <v>3</v>
      </c>
      <c r="I35" s="3">
        <v>53172727</v>
      </c>
      <c r="J35" s="3">
        <v>12222283.82691963</v>
      </c>
      <c r="K35" s="3">
        <v>48122948.108402543</v>
      </c>
      <c r="L35" s="3">
        <v>148</v>
      </c>
      <c r="M35" s="3">
        <v>1777971647.134073</v>
      </c>
    </row>
    <row r="36" spans="1:13" ht="15.75" customHeight="1" x14ac:dyDescent="0.25">
      <c r="A36" s="2">
        <v>35</v>
      </c>
      <c r="B36" s="2" t="s">
        <v>102</v>
      </c>
      <c r="C36" s="2" t="s">
        <v>103</v>
      </c>
      <c r="D36" s="3">
        <v>15</v>
      </c>
      <c r="E36" s="3">
        <v>239965973</v>
      </c>
      <c r="F36" s="3">
        <v>3</v>
      </c>
      <c r="G36" s="3">
        <v>60561260.715376042</v>
      </c>
      <c r="H36" s="3">
        <v>0</v>
      </c>
      <c r="I36" s="3">
        <v>0</v>
      </c>
      <c r="J36" s="3">
        <v>16807200.5</v>
      </c>
      <c r="K36" s="3">
        <v>0</v>
      </c>
      <c r="L36" s="3">
        <v>18</v>
      </c>
      <c r="M36" s="3">
        <v>300527233.71537602</v>
      </c>
    </row>
    <row r="37" spans="1:13" ht="15.75" customHeight="1" x14ac:dyDescent="0.25">
      <c r="A37" s="2">
        <v>36</v>
      </c>
      <c r="B37" s="2" t="s">
        <v>104</v>
      </c>
      <c r="C37" s="2" t="s">
        <v>105</v>
      </c>
      <c r="D37" s="3">
        <v>21</v>
      </c>
      <c r="E37" s="3">
        <v>87461225.782340586</v>
      </c>
      <c r="F37" s="3">
        <v>0</v>
      </c>
      <c r="G37" s="3">
        <v>0</v>
      </c>
      <c r="H37" s="3">
        <v>0</v>
      </c>
      <c r="I37" s="3">
        <v>0</v>
      </c>
      <c r="J37" s="3">
        <v>4200403.0952380951</v>
      </c>
      <c r="K37" s="3">
        <v>0</v>
      </c>
      <c r="L37" s="3">
        <v>21</v>
      </c>
      <c r="M37" s="3">
        <v>87461225.782340586</v>
      </c>
    </row>
    <row r="38" spans="1:13" ht="15.75" customHeight="1" x14ac:dyDescent="0.25">
      <c r="A38" s="2">
        <v>37</v>
      </c>
      <c r="B38" s="2" t="s">
        <v>106</v>
      </c>
      <c r="C38" s="2" t="s">
        <v>107</v>
      </c>
      <c r="D38" s="3">
        <v>30</v>
      </c>
      <c r="E38" s="3">
        <v>80055227.685834825</v>
      </c>
      <c r="F38" s="3">
        <v>0</v>
      </c>
      <c r="G38" s="3">
        <v>0</v>
      </c>
      <c r="H38" s="3">
        <v>2</v>
      </c>
      <c r="I38" s="3">
        <v>5563636</v>
      </c>
      <c r="J38" s="3">
        <v>2879541.3428571429</v>
      </c>
      <c r="K38" s="3">
        <v>7558435.6453965157</v>
      </c>
      <c r="L38" s="3">
        <v>28</v>
      </c>
      <c r="M38" s="3">
        <v>72496792.040438309</v>
      </c>
    </row>
    <row r="39" spans="1:13" ht="15.75" customHeight="1" x14ac:dyDescent="0.25">
      <c r="A39" s="2">
        <v>38</v>
      </c>
      <c r="B39" s="2" t="s">
        <v>108</v>
      </c>
      <c r="C39" s="2" t="s">
        <v>109</v>
      </c>
      <c r="D39" s="3">
        <v>992</v>
      </c>
      <c r="E39" s="3">
        <v>1967819221.3620961</v>
      </c>
      <c r="F39" s="3">
        <v>68</v>
      </c>
      <c r="G39" s="3">
        <v>8346753.0231860625</v>
      </c>
      <c r="H39" s="3">
        <v>8</v>
      </c>
      <c r="I39" s="3">
        <v>28963637</v>
      </c>
      <c r="J39" s="3">
        <v>1880265.0444472269</v>
      </c>
      <c r="K39" s="3">
        <v>19741841.692943599</v>
      </c>
      <c r="L39" s="3">
        <v>1052</v>
      </c>
      <c r="M39" s="3">
        <v>1956424132.692338</v>
      </c>
    </row>
    <row r="40" spans="1:13" ht="15.75" customHeight="1" x14ac:dyDescent="0.25">
      <c r="A40" s="2">
        <v>39</v>
      </c>
      <c r="B40" s="2" t="s">
        <v>110</v>
      </c>
      <c r="C40" s="2" t="s">
        <v>111</v>
      </c>
      <c r="D40" s="3">
        <v>30</v>
      </c>
      <c r="E40" s="3">
        <v>159181265.39801821</v>
      </c>
      <c r="F40" s="3">
        <v>0</v>
      </c>
      <c r="G40" s="3">
        <v>0</v>
      </c>
      <c r="H40" s="3">
        <v>0</v>
      </c>
      <c r="I40" s="3">
        <v>0</v>
      </c>
      <c r="J40" s="3">
        <v>5311958.333333333</v>
      </c>
      <c r="K40" s="3">
        <v>0</v>
      </c>
      <c r="L40" s="3">
        <v>30</v>
      </c>
      <c r="M40" s="3">
        <v>159181265.39801821</v>
      </c>
    </row>
    <row r="41" spans="1:13" ht="15.75" customHeight="1" x14ac:dyDescent="0.25">
      <c r="A41" s="2">
        <v>40</v>
      </c>
      <c r="B41" s="2" t="s">
        <v>112</v>
      </c>
      <c r="C41" s="2" t="s">
        <v>113</v>
      </c>
      <c r="D41" s="3">
        <v>18</v>
      </c>
      <c r="E41" s="3">
        <v>101915352.7431142</v>
      </c>
      <c r="F41" s="3">
        <v>2</v>
      </c>
      <c r="G41" s="3">
        <v>11061538.357821429</v>
      </c>
      <c r="H41" s="3">
        <v>1</v>
      </c>
      <c r="I41" s="3">
        <v>6863636</v>
      </c>
      <c r="J41" s="3">
        <v>5694626.8499999996</v>
      </c>
      <c r="K41" s="3">
        <v>7473841.3944014451</v>
      </c>
      <c r="L41" s="3">
        <v>19</v>
      </c>
      <c r="M41" s="3">
        <v>105503049.7065341</v>
      </c>
    </row>
    <row r="42" spans="1:13" ht="15.75" customHeight="1" x14ac:dyDescent="0.25">
      <c r="A42" s="2">
        <v>41</v>
      </c>
      <c r="B42" s="2" t="s">
        <v>114</v>
      </c>
      <c r="C42" s="2" t="s">
        <v>115</v>
      </c>
      <c r="D42" s="3">
        <v>17</v>
      </c>
      <c r="E42" s="3">
        <v>35092588.728393763</v>
      </c>
      <c r="F42" s="3">
        <v>1</v>
      </c>
      <c r="G42" s="3">
        <v>6159965.173599449</v>
      </c>
      <c r="H42" s="3">
        <v>0</v>
      </c>
      <c r="I42" s="3">
        <v>0</v>
      </c>
      <c r="J42" s="3">
        <v>2320096.166666667</v>
      </c>
      <c r="K42" s="3">
        <v>0</v>
      </c>
      <c r="L42" s="3">
        <v>18</v>
      </c>
      <c r="M42" s="3">
        <v>41252553.901993208</v>
      </c>
    </row>
    <row r="43" spans="1:13" ht="15.75" customHeight="1" x14ac:dyDescent="0.25">
      <c r="A43" s="2">
        <v>42</v>
      </c>
      <c r="B43" s="2" t="s">
        <v>116</v>
      </c>
      <c r="C43" s="2" t="s">
        <v>117</v>
      </c>
      <c r="D43" s="3">
        <v>21</v>
      </c>
      <c r="E43" s="3">
        <v>13087315.25287484</v>
      </c>
      <c r="F43" s="3">
        <v>51</v>
      </c>
      <c r="G43" s="3">
        <v>33571812.90650183</v>
      </c>
      <c r="H43" s="3">
        <v>0</v>
      </c>
      <c r="I43" s="3">
        <v>0</v>
      </c>
      <c r="J43" s="3">
        <v>665230.1944444445</v>
      </c>
      <c r="K43" s="3">
        <v>0</v>
      </c>
      <c r="L43" s="3">
        <v>72</v>
      </c>
      <c r="M43" s="3">
        <v>46659128.159376673</v>
      </c>
    </row>
    <row r="44" spans="1:13" ht="15.75" customHeight="1" x14ac:dyDescent="0.25">
      <c r="A44" s="2">
        <v>43</v>
      </c>
      <c r="B44" s="2" t="s">
        <v>118</v>
      </c>
      <c r="C44" s="2" t="s">
        <v>119</v>
      </c>
      <c r="D44" s="3">
        <v>123</v>
      </c>
      <c r="E44" s="3">
        <v>46649851.97403653</v>
      </c>
      <c r="F44" s="3">
        <v>75</v>
      </c>
      <c r="G44" s="3">
        <v>28643838.638034191</v>
      </c>
      <c r="H44" s="3">
        <v>0</v>
      </c>
      <c r="I44" s="3">
        <v>0</v>
      </c>
      <c r="J44" s="3">
        <v>392002.07575757569</v>
      </c>
      <c r="K44" s="3">
        <v>0</v>
      </c>
      <c r="L44" s="3">
        <v>198</v>
      </c>
      <c r="M44" s="3">
        <v>75293690.612070709</v>
      </c>
    </row>
    <row r="45" spans="1:13" ht="15.75" customHeight="1" x14ac:dyDescent="0.25">
      <c r="A45" s="2">
        <v>44</v>
      </c>
      <c r="B45" s="2" t="s">
        <v>120</v>
      </c>
      <c r="C45" s="2" t="s">
        <v>121</v>
      </c>
      <c r="D45" s="3">
        <v>15</v>
      </c>
      <c r="E45" s="3">
        <v>120448724</v>
      </c>
      <c r="F45" s="3">
        <v>1</v>
      </c>
      <c r="G45" s="3">
        <v>5851967.689315143</v>
      </c>
      <c r="H45" s="3">
        <v>0</v>
      </c>
      <c r="I45" s="3">
        <v>0</v>
      </c>
      <c r="J45" s="3">
        <v>7905886.1875</v>
      </c>
      <c r="K45" s="3">
        <v>0</v>
      </c>
      <c r="L45" s="3">
        <v>16</v>
      </c>
      <c r="M45" s="3">
        <v>126300691.6893151</v>
      </c>
    </row>
    <row r="46" spans="1:13" ht="15.75" customHeight="1" x14ac:dyDescent="0.25">
      <c r="A46" s="2">
        <v>45</v>
      </c>
      <c r="B46" s="2" t="s">
        <v>122</v>
      </c>
      <c r="C46" s="2" t="s">
        <v>123</v>
      </c>
      <c r="D46" s="3">
        <v>202</v>
      </c>
      <c r="E46" s="3">
        <v>87509845.832880527</v>
      </c>
      <c r="F46" s="3">
        <v>10</v>
      </c>
      <c r="G46" s="3">
        <v>4751973.4934604215</v>
      </c>
      <c r="H46" s="3">
        <v>2</v>
      </c>
      <c r="I46" s="3">
        <v>1454545</v>
      </c>
      <c r="J46" s="3">
        <v>444408.65789820103</v>
      </c>
      <c r="K46" s="3">
        <v>1166517.108466893</v>
      </c>
      <c r="L46" s="3">
        <v>210</v>
      </c>
      <c r="M46" s="3">
        <v>91095302.21787405</v>
      </c>
    </row>
    <row r="47" spans="1:13" ht="15.75" customHeight="1" x14ac:dyDescent="0.25">
      <c r="A47" s="2">
        <v>46</v>
      </c>
      <c r="B47" s="2" t="s">
        <v>124</v>
      </c>
      <c r="C47" s="2" t="s">
        <v>125</v>
      </c>
      <c r="D47" s="3">
        <v>128</v>
      </c>
      <c r="E47" s="3">
        <v>103253847.6699474</v>
      </c>
      <c r="F47" s="3">
        <v>0</v>
      </c>
      <c r="G47" s="3">
        <v>0</v>
      </c>
      <c r="H47" s="3">
        <v>0</v>
      </c>
      <c r="I47" s="3">
        <v>0</v>
      </c>
      <c r="J47" s="3">
        <v>808644.51937984501</v>
      </c>
      <c r="K47" s="3">
        <v>0</v>
      </c>
      <c r="L47" s="3">
        <v>128</v>
      </c>
      <c r="M47" s="3">
        <v>103253847.6699474</v>
      </c>
    </row>
    <row r="48" spans="1:13" ht="15.75" customHeight="1" x14ac:dyDescent="0.25">
      <c r="A48" s="2">
        <v>47</v>
      </c>
      <c r="B48" s="2" t="s">
        <v>126</v>
      </c>
      <c r="C48" s="2" t="s">
        <v>127</v>
      </c>
      <c r="D48" s="3">
        <v>189</v>
      </c>
      <c r="E48" s="3">
        <v>77244107.801141426</v>
      </c>
      <c r="F48" s="3">
        <v>0</v>
      </c>
      <c r="G48" s="3">
        <v>0</v>
      </c>
      <c r="H48" s="3">
        <v>0</v>
      </c>
      <c r="I48" s="3">
        <v>0</v>
      </c>
      <c r="J48" s="3">
        <v>467664.3026819923</v>
      </c>
      <c r="K48" s="3">
        <v>0</v>
      </c>
      <c r="L48" s="3">
        <v>189</v>
      </c>
      <c r="M48" s="3">
        <v>77244107.801141426</v>
      </c>
    </row>
    <row r="49" spans="1:13" ht="15.75" customHeight="1" x14ac:dyDescent="0.25">
      <c r="A49" s="2">
        <v>48</v>
      </c>
      <c r="B49" s="2" t="s">
        <v>128</v>
      </c>
      <c r="C49" s="2" t="s">
        <v>129</v>
      </c>
      <c r="D49" s="3">
        <v>72</v>
      </c>
      <c r="E49" s="3">
        <v>70690244</v>
      </c>
      <c r="F49" s="3">
        <v>0</v>
      </c>
      <c r="G49" s="3">
        <v>0</v>
      </c>
      <c r="H49" s="3">
        <v>1</v>
      </c>
      <c r="I49" s="3">
        <v>1240909</v>
      </c>
      <c r="J49" s="3">
        <v>981808.9444444445</v>
      </c>
      <c r="K49" s="3">
        <v>1288562.80203548</v>
      </c>
      <c r="L49" s="3">
        <v>71</v>
      </c>
      <c r="M49" s="3">
        <v>69401681.197964519</v>
      </c>
    </row>
    <row r="50" spans="1:13" ht="15.75" customHeight="1" x14ac:dyDescent="0.25">
      <c r="A50" s="2">
        <v>49</v>
      </c>
      <c r="B50" s="2" t="s">
        <v>130</v>
      </c>
      <c r="C50" s="2" t="s">
        <v>131</v>
      </c>
      <c r="D50" s="3">
        <v>200</v>
      </c>
      <c r="E50" s="3">
        <v>674195234.48076451</v>
      </c>
      <c r="F50" s="3">
        <v>0</v>
      </c>
      <c r="G50" s="3">
        <v>0</v>
      </c>
      <c r="H50" s="3">
        <v>0</v>
      </c>
      <c r="I50" s="3">
        <v>0</v>
      </c>
      <c r="J50" s="3">
        <v>3376250.5074626859</v>
      </c>
      <c r="K50" s="3">
        <v>0</v>
      </c>
      <c r="L50" s="3">
        <v>200</v>
      </c>
      <c r="M50" s="3">
        <v>674195234.48076451</v>
      </c>
    </row>
    <row r="51" spans="1:13" ht="15.75" customHeight="1" x14ac:dyDescent="0.25">
      <c r="A51" s="2">
        <v>50</v>
      </c>
      <c r="B51" s="2" t="s">
        <v>132</v>
      </c>
      <c r="C51" s="2" t="s">
        <v>133</v>
      </c>
      <c r="D51" s="3">
        <v>140</v>
      </c>
      <c r="E51" s="3">
        <v>56983797.100821711</v>
      </c>
      <c r="F51" s="3">
        <v>0</v>
      </c>
      <c r="G51" s="3">
        <v>0</v>
      </c>
      <c r="H51" s="3">
        <v>0</v>
      </c>
      <c r="I51" s="3">
        <v>0</v>
      </c>
      <c r="J51" s="3">
        <v>411676.92413793103</v>
      </c>
      <c r="K51" s="3">
        <v>0</v>
      </c>
      <c r="L51" s="3">
        <v>140</v>
      </c>
      <c r="M51" s="3">
        <v>56983797.100821711</v>
      </c>
    </row>
    <row r="52" spans="1:13" ht="15.75" customHeight="1" x14ac:dyDescent="0.25">
      <c r="A52" s="2">
        <v>51</v>
      </c>
      <c r="B52" s="2" t="s">
        <v>134</v>
      </c>
      <c r="C52" s="2" t="s">
        <v>135</v>
      </c>
      <c r="D52" s="3">
        <v>247</v>
      </c>
      <c r="E52" s="3">
        <v>4748702.0573716983</v>
      </c>
      <c r="F52" s="3">
        <v>150</v>
      </c>
      <c r="G52" s="3">
        <v>3079982.586799724</v>
      </c>
      <c r="H52" s="3">
        <v>7</v>
      </c>
      <c r="I52" s="3">
        <v>2327274</v>
      </c>
      <c r="J52" s="3">
        <v>21710.876392694419</v>
      </c>
      <c r="K52" s="3">
        <v>199459.16681918659</v>
      </c>
      <c r="L52" s="3">
        <v>390</v>
      </c>
      <c r="M52" s="3">
        <v>7629225.4773522345</v>
      </c>
    </row>
    <row r="53" spans="1:13" ht="15.75" customHeight="1" x14ac:dyDescent="0.25">
      <c r="A53" s="2">
        <v>52</v>
      </c>
      <c r="B53" s="2" t="s">
        <v>136</v>
      </c>
      <c r="C53" s="2" t="s">
        <v>137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1:13" ht="15.75" customHeight="1" x14ac:dyDescent="0.25">
      <c r="C54" s="4" t="s">
        <v>138</v>
      </c>
      <c r="D54" s="5">
        <f t="shared" ref="D54:M54" si="0">SUM(D2:D53)</f>
        <v>37242.78</v>
      </c>
      <c r="E54" s="5">
        <f t="shared" si="0"/>
        <v>18248867192.424751</v>
      </c>
      <c r="F54" s="5">
        <f t="shared" si="0"/>
        <v>967.36400000000003</v>
      </c>
      <c r="G54" s="5">
        <f t="shared" si="0"/>
        <v>1297780795.361027</v>
      </c>
      <c r="H54" s="5">
        <f t="shared" si="0"/>
        <v>176</v>
      </c>
      <c r="I54" s="5">
        <f t="shared" si="0"/>
        <v>375814715</v>
      </c>
      <c r="J54" s="5">
        <f t="shared" si="0"/>
        <v>205098062.7647545</v>
      </c>
      <c r="K54" s="5">
        <f t="shared" si="0"/>
        <v>378471870.40829366</v>
      </c>
      <c r="L54" s="5">
        <f t="shared" si="0"/>
        <v>38034.144</v>
      </c>
      <c r="M54" s="5">
        <f t="shared" si="0"/>
        <v>19168176117.377483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3" x14ac:dyDescent="0.25">
      <c r="A1" s="1" t="s">
        <v>0</v>
      </c>
      <c r="B1" s="1" t="s">
        <v>1</v>
      </c>
      <c r="C1" s="1" t="s">
        <v>146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8</v>
      </c>
      <c r="M1" s="1" t="s">
        <v>9</v>
      </c>
    </row>
    <row r="2" spans="1:13" x14ac:dyDescent="0.25">
      <c r="A2" s="2">
        <v>1</v>
      </c>
      <c r="B2" s="2" t="s">
        <v>34</v>
      </c>
      <c r="C2" s="2" t="s">
        <v>35</v>
      </c>
      <c r="D2" s="3">
        <v>1428</v>
      </c>
      <c r="E2" s="3">
        <v>587604310.62278211</v>
      </c>
      <c r="F2" s="3">
        <v>0</v>
      </c>
      <c r="G2" s="3">
        <v>0</v>
      </c>
      <c r="H2" s="3">
        <v>71</v>
      </c>
      <c r="I2" s="3">
        <v>26390908</v>
      </c>
      <c r="J2" s="3">
        <v>413510.82011035841</v>
      </c>
      <c r="K2" s="3">
        <v>38532202.367312573</v>
      </c>
      <c r="L2" s="3">
        <v>1357</v>
      </c>
      <c r="M2" s="3">
        <v>549072108.25546956</v>
      </c>
    </row>
    <row r="3" spans="1:13" x14ac:dyDescent="0.25">
      <c r="A3" s="2">
        <v>2</v>
      </c>
      <c r="B3" s="2" t="s">
        <v>36</v>
      </c>
      <c r="C3" s="2" t="s">
        <v>37</v>
      </c>
      <c r="D3" s="3">
        <v>123</v>
      </c>
      <c r="E3" s="3">
        <v>149544154.66084981</v>
      </c>
      <c r="F3" s="3">
        <v>8</v>
      </c>
      <c r="G3" s="3">
        <v>11153938.280702921</v>
      </c>
      <c r="H3" s="3">
        <v>7</v>
      </c>
      <c r="I3" s="3">
        <v>8954547</v>
      </c>
      <c r="J3" s="3">
        <v>1254054.106229241</v>
      </c>
      <c r="K3" s="3">
        <v>11521072.786303191</v>
      </c>
      <c r="L3" s="3">
        <v>124</v>
      </c>
      <c r="M3" s="3">
        <v>149177020.15524951</v>
      </c>
    </row>
    <row r="4" spans="1:13" x14ac:dyDescent="0.25">
      <c r="A4" s="2">
        <v>3</v>
      </c>
      <c r="B4" s="2" t="s">
        <v>38</v>
      </c>
      <c r="C4" s="2" t="s">
        <v>39</v>
      </c>
      <c r="D4" s="3">
        <v>870</v>
      </c>
      <c r="E4" s="3">
        <v>352994549.84517813</v>
      </c>
      <c r="F4" s="3">
        <v>0</v>
      </c>
      <c r="G4" s="3">
        <v>0</v>
      </c>
      <c r="H4" s="3">
        <v>3</v>
      </c>
      <c r="I4" s="3">
        <v>1190909</v>
      </c>
      <c r="J4" s="3">
        <v>406324.54462242557</v>
      </c>
      <c r="K4" s="3">
        <v>1599826.616116419</v>
      </c>
      <c r="L4" s="3">
        <v>867</v>
      </c>
      <c r="M4" s="3">
        <v>351394723.22906172</v>
      </c>
    </row>
    <row r="5" spans="1:13" x14ac:dyDescent="0.25">
      <c r="A5" s="2">
        <v>4</v>
      </c>
      <c r="B5" s="2" t="s">
        <v>40</v>
      </c>
      <c r="C5" s="2" t="s">
        <v>41</v>
      </c>
      <c r="D5" s="3">
        <v>1234</v>
      </c>
      <c r="E5" s="3">
        <v>176177771.9827635</v>
      </c>
      <c r="F5" s="3">
        <v>0</v>
      </c>
      <c r="G5" s="3">
        <v>0</v>
      </c>
      <c r="H5" s="3">
        <v>15</v>
      </c>
      <c r="I5" s="3">
        <v>3109092</v>
      </c>
      <c r="J5" s="3">
        <v>145260.5135695108</v>
      </c>
      <c r="K5" s="3">
        <v>2859680.0138568059</v>
      </c>
      <c r="L5" s="3">
        <v>1219</v>
      </c>
      <c r="M5" s="3">
        <v>173318091.9689067</v>
      </c>
    </row>
    <row r="6" spans="1:13" x14ac:dyDescent="0.25">
      <c r="A6" s="2">
        <v>5</v>
      </c>
      <c r="B6" s="2" t="s">
        <v>42</v>
      </c>
      <c r="C6" s="2" t="s">
        <v>43</v>
      </c>
      <c r="D6" s="3">
        <v>28</v>
      </c>
      <c r="E6" s="3">
        <v>11590555.58130968</v>
      </c>
      <c r="F6" s="3">
        <v>0</v>
      </c>
      <c r="G6" s="3">
        <v>0</v>
      </c>
      <c r="H6" s="3">
        <v>1</v>
      </c>
      <c r="I6" s="3">
        <v>345455</v>
      </c>
      <c r="J6" s="3">
        <v>441590.7706043956</v>
      </c>
      <c r="K6" s="3">
        <v>579560.25349207292</v>
      </c>
      <c r="L6" s="3">
        <v>27</v>
      </c>
      <c r="M6" s="3">
        <v>11010995.32781761</v>
      </c>
    </row>
    <row r="7" spans="1:13" x14ac:dyDescent="0.25">
      <c r="A7" s="2">
        <v>6</v>
      </c>
      <c r="B7" s="2" t="s">
        <v>44</v>
      </c>
      <c r="C7" s="2" t="s">
        <v>45</v>
      </c>
      <c r="D7" s="3">
        <v>32</v>
      </c>
      <c r="E7" s="3">
        <v>979049.01368169568</v>
      </c>
      <c r="F7" s="3">
        <v>3</v>
      </c>
      <c r="G7" s="3">
        <v>92398.954886917141</v>
      </c>
      <c r="H7" s="3">
        <v>0</v>
      </c>
      <c r="I7" s="3">
        <v>0</v>
      </c>
      <c r="J7" s="3">
        <v>31194.71428571429</v>
      </c>
      <c r="K7" s="3">
        <v>0</v>
      </c>
      <c r="L7" s="3">
        <v>35</v>
      </c>
      <c r="M7" s="3">
        <v>1071447.9685686131</v>
      </c>
    </row>
    <row r="8" spans="1:13" x14ac:dyDescent="0.25">
      <c r="A8" s="2">
        <v>7</v>
      </c>
      <c r="B8" s="2" t="s">
        <v>46</v>
      </c>
      <c r="C8" s="2" t="s">
        <v>47</v>
      </c>
      <c r="D8" s="3">
        <v>16258</v>
      </c>
      <c r="E8" s="3">
        <v>2303061842.949142</v>
      </c>
      <c r="F8" s="3">
        <v>30</v>
      </c>
      <c r="G8" s="3">
        <v>3722379.6076085861</v>
      </c>
      <c r="H8" s="3">
        <v>60</v>
      </c>
      <c r="I8" s="3">
        <v>8072732</v>
      </c>
      <c r="J8" s="3">
        <v>141787.61142553951</v>
      </c>
      <c r="K8" s="3">
        <v>11165242.05078166</v>
      </c>
      <c r="L8" s="3">
        <v>16228</v>
      </c>
      <c r="M8" s="3">
        <v>2295618980.505969</v>
      </c>
    </row>
    <row r="9" spans="1:13" x14ac:dyDescent="0.25">
      <c r="A9" s="2">
        <v>8</v>
      </c>
      <c r="B9" s="2" t="s">
        <v>48</v>
      </c>
      <c r="C9" s="2" t="s">
        <v>49</v>
      </c>
      <c r="D9" s="3">
        <v>41</v>
      </c>
      <c r="E9" s="3">
        <v>113206054.40810101</v>
      </c>
      <c r="F9" s="3">
        <v>17</v>
      </c>
      <c r="G9" s="3">
        <v>46515629.751014806</v>
      </c>
      <c r="H9" s="3">
        <v>7</v>
      </c>
      <c r="I9" s="3">
        <v>8699999</v>
      </c>
      <c r="J9" s="3">
        <v>2836181.698220836</v>
      </c>
      <c r="K9" s="3">
        <v>26056177.01666382</v>
      </c>
      <c r="L9" s="3">
        <v>51</v>
      </c>
      <c r="M9" s="3">
        <v>133665507.142452</v>
      </c>
    </row>
    <row r="10" spans="1:13" x14ac:dyDescent="0.25">
      <c r="A10" s="2">
        <v>9</v>
      </c>
      <c r="B10" s="2" t="s">
        <v>50</v>
      </c>
      <c r="C10" s="2" t="s">
        <v>51</v>
      </c>
      <c r="D10" s="3">
        <v>1230</v>
      </c>
      <c r="E10" s="3">
        <v>1548048563.4433041</v>
      </c>
      <c r="F10" s="3">
        <v>8</v>
      </c>
      <c r="G10" s="3">
        <v>7317119.046872871</v>
      </c>
      <c r="H10" s="3">
        <v>44</v>
      </c>
      <c r="I10" s="3">
        <v>42681821</v>
      </c>
      <c r="J10" s="3">
        <v>1285043.4409548191</v>
      </c>
      <c r="K10" s="3">
        <v>74207720.555902049</v>
      </c>
      <c r="L10" s="3">
        <v>1194</v>
      </c>
      <c r="M10" s="3">
        <v>1481157961.9342749</v>
      </c>
    </row>
    <row r="11" spans="1:13" x14ac:dyDescent="0.25">
      <c r="A11" s="2">
        <v>10</v>
      </c>
      <c r="B11" s="2" t="s">
        <v>52</v>
      </c>
      <c r="C11" s="2" t="s">
        <v>53</v>
      </c>
      <c r="D11" s="3">
        <v>34</v>
      </c>
      <c r="E11" s="3">
        <v>38353090.897381037</v>
      </c>
      <c r="F11" s="3">
        <v>89</v>
      </c>
      <c r="G11" s="3">
        <v>234093359.1043832</v>
      </c>
      <c r="H11" s="3">
        <v>25</v>
      </c>
      <c r="I11" s="3">
        <v>81963471</v>
      </c>
      <c r="J11" s="3">
        <v>2382141.4707588698</v>
      </c>
      <c r="K11" s="3">
        <v>78160290.394962341</v>
      </c>
      <c r="L11" s="3">
        <v>98</v>
      </c>
      <c r="M11" s="3">
        <v>194286159.6068019</v>
      </c>
    </row>
    <row r="12" spans="1:13" x14ac:dyDescent="0.25">
      <c r="A12" s="2">
        <v>11</v>
      </c>
      <c r="B12" s="2" t="s">
        <v>54</v>
      </c>
      <c r="C12" s="2" t="s">
        <v>55</v>
      </c>
      <c r="D12" s="3">
        <v>41</v>
      </c>
      <c r="E12" s="3">
        <v>108704725.74876881</v>
      </c>
      <c r="F12" s="3">
        <v>13</v>
      </c>
      <c r="G12" s="3">
        <v>32260619.716627609</v>
      </c>
      <c r="H12" s="3">
        <v>4</v>
      </c>
      <c r="I12" s="3">
        <v>10745455</v>
      </c>
      <c r="J12" s="3">
        <v>2697186.1075856821</v>
      </c>
      <c r="K12" s="3">
        <v>14159551.94976709</v>
      </c>
      <c r="L12" s="3">
        <v>50</v>
      </c>
      <c r="M12" s="3">
        <v>126805793.51562931</v>
      </c>
    </row>
    <row r="13" spans="1:13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27912818</v>
      </c>
      <c r="F13" s="3">
        <v>1</v>
      </c>
      <c r="G13" s="3">
        <v>1759990.3261697229</v>
      </c>
      <c r="H13" s="3">
        <v>1</v>
      </c>
      <c r="I13" s="3">
        <v>2081818</v>
      </c>
      <c r="J13" s="3">
        <v>1858187.5</v>
      </c>
      <c r="K13" s="3">
        <v>2438754.8160524932</v>
      </c>
      <c r="L13" s="3">
        <v>15</v>
      </c>
      <c r="M13" s="3">
        <v>27234053.510117229</v>
      </c>
    </row>
    <row r="14" spans="1:13" x14ac:dyDescent="0.25">
      <c r="A14" s="2">
        <v>13</v>
      </c>
      <c r="B14" s="2" t="s">
        <v>58</v>
      </c>
      <c r="C14" s="2" t="s">
        <v>59</v>
      </c>
      <c r="D14" s="3">
        <v>15</v>
      </c>
      <c r="E14" s="3">
        <v>36008745</v>
      </c>
      <c r="F14" s="3">
        <v>0</v>
      </c>
      <c r="G14" s="3">
        <v>0</v>
      </c>
      <c r="H14" s="3">
        <v>0</v>
      </c>
      <c r="I14" s="3">
        <v>0</v>
      </c>
      <c r="J14" s="3">
        <v>2400583</v>
      </c>
      <c r="K14" s="3">
        <v>0</v>
      </c>
      <c r="L14" s="3">
        <v>15</v>
      </c>
      <c r="M14" s="3">
        <v>36008745</v>
      </c>
    </row>
    <row r="15" spans="1:13" x14ac:dyDescent="0.25">
      <c r="A15" s="2">
        <v>14</v>
      </c>
      <c r="B15" s="2" t="s">
        <v>60</v>
      </c>
      <c r="C15" s="2" t="s">
        <v>61</v>
      </c>
      <c r="D15" s="3">
        <v>200</v>
      </c>
      <c r="E15" s="3">
        <v>22844771.47636456</v>
      </c>
      <c r="F15" s="3">
        <v>80</v>
      </c>
      <c r="G15" s="3">
        <v>4866390.4531230181</v>
      </c>
      <c r="H15" s="3">
        <v>44</v>
      </c>
      <c r="I15" s="3">
        <v>5272729</v>
      </c>
      <c r="J15" s="3">
        <v>107556.242121937</v>
      </c>
      <c r="K15" s="3">
        <v>6211076.8438280886</v>
      </c>
      <c r="L15" s="3">
        <v>236</v>
      </c>
      <c r="M15" s="3">
        <v>21500085.085659489</v>
      </c>
    </row>
    <row r="16" spans="1:13" x14ac:dyDescent="0.25">
      <c r="A16" s="2">
        <v>15</v>
      </c>
      <c r="B16" s="2" t="s">
        <v>62</v>
      </c>
      <c r="C16" s="2" t="s">
        <v>63</v>
      </c>
      <c r="D16" s="3">
        <v>12319</v>
      </c>
      <c r="E16" s="3">
        <v>1132705786.9994831</v>
      </c>
      <c r="F16" s="3">
        <v>0</v>
      </c>
      <c r="G16" s="3">
        <v>0</v>
      </c>
      <c r="H16" s="3">
        <v>36</v>
      </c>
      <c r="I16" s="3">
        <v>3840911</v>
      </c>
      <c r="J16" s="3">
        <v>92062.278460543341</v>
      </c>
      <c r="K16" s="3">
        <v>4349735.2656860333</v>
      </c>
      <c r="L16" s="3">
        <v>12283</v>
      </c>
      <c r="M16" s="3">
        <v>1128356051.7337971</v>
      </c>
    </row>
    <row r="17" spans="1:13" x14ac:dyDescent="0.25">
      <c r="A17" s="2">
        <v>16</v>
      </c>
      <c r="B17" s="2" t="s">
        <v>64</v>
      </c>
      <c r="C17" s="2" t="s">
        <v>65</v>
      </c>
      <c r="D17" s="3">
        <v>319.14400000000001</v>
      </c>
      <c r="E17" s="3">
        <v>77607615.563332498</v>
      </c>
      <c r="F17" s="3">
        <v>780</v>
      </c>
      <c r="G17" s="3">
        <v>198442421.64397931</v>
      </c>
      <c r="H17" s="3">
        <v>589</v>
      </c>
      <c r="I17" s="3">
        <v>384933627</v>
      </c>
      <c r="J17" s="3">
        <v>340667.65677749767</v>
      </c>
      <c r="K17" s="3">
        <v>263344834.36608529</v>
      </c>
      <c r="L17" s="3">
        <v>510.14400000000001</v>
      </c>
      <c r="M17" s="3">
        <v>12705202.841226431</v>
      </c>
    </row>
    <row r="18" spans="1:13" x14ac:dyDescent="0.25">
      <c r="A18" s="2">
        <v>17</v>
      </c>
      <c r="B18" s="2" t="s">
        <v>66</v>
      </c>
      <c r="C18" s="2" t="s">
        <v>67</v>
      </c>
      <c r="D18" s="3">
        <v>43</v>
      </c>
      <c r="E18" s="3">
        <v>380629316</v>
      </c>
      <c r="F18" s="3">
        <v>0</v>
      </c>
      <c r="G18" s="3">
        <v>0</v>
      </c>
      <c r="H18" s="3">
        <v>0</v>
      </c>
      <c r="I18" s="3">
        <v>0</v>
      </c>
      <c r="J18" s="3">
        <v>8851844.5581395347</v>
      </c>
      <c r="K18" s="3">
        <v>0</v>
      </c>
      <c r="L18" s="3">
        <v>43</v>
      </c>
      <c r="M18" s="3">
        <v>380629316</v>
      </c>
    </row>
    <row r="19" spans="1:13" x14ac:dyDescent="0.25">
      <c r="A19" s="2">
        <v>18</v>
      </c>
      <c r="B19" s="2" t="s">
        <v>68</v>
      </c>
      <c r="C19" s="2" t="s">
        <v>69</v>
      </c>
      <c r="D19" s="3">
        <v>104</v>
      </c>
      <c r="E19" s="3">
        <v>302148883.36767948</v>
      </c>
      <c r="F19" s="3">
        <v>0</v>
      </c>
      <c r="G19" s="3">
        <v>0</v>
      </c>
      <c r="H19" s="3">
        <v>1</v>
      </c>
      <c r="I19" s="3">
        <v>3454545</v>
      </c>
      <c r="J19" s="3">
        <v>2908324.394230769</v>
      </c>
      <c r="K19" s="3">
        <v>3816993.776501691</v>
      </c>
      <c r="L19" s="3">
        <v>103</v>
      </c>
      <c r="M19" s="3">
        <v>298331889.59117782</v>
      </c>
    </row>
    <row r="20" spans="1:13" x14ac:dyDescent="0.25">
      <c r="A20" s="2">
        <v>19</v>
      </c>
      <c r="B20" s="2" t="s">
        <v>70</v>
      </c>
      <c r="C20" s="2" t="s">
        <v>71</v>
      </c>
      <c r="D20" s="3">
        <v>81</v>
      </c>
      <c r="E20" s="3">
        <v>349355103.22292173</v>
      </c>
      <c r="F20" s="3">
        <v>23</v>
      </c>
      <c r="G20" s="3">
        <v>60279662.379348241</v>
      </c>
      <c r="H20" s="3">
        <v>2</v>
      </c>
      <c r="I20" s="3">
        <v>30345455</v>
      </c>
      <c r="J20" s="3">
        <v>4032509.307692308</v>
      </c>
      <c r="K20" s="3">
        <v>10584832.25714425</v>
      </c>
      <c r="L20" s="3">
        <v>102</v>
      </c>
      <c r="M20" s="3">
        <v>399049933.34512568</v>
      </c>
    </row>
    <row r="21" spans="1:13" ht="15.75" customHeight="1" x14ac:dyDescent="0.25">
      <c r="A21" s="2">
        <v>20</v>
      </c>
      <c r="B21" s="2" t="s">
        <v>72</v>
      </c>
      <c r="C21" s="2" t="s">
        <v>73</v>
      </c>
      <c r="D21" s="3">
        <v>43</v>
      </c>
      <c r="E21" s="3">
        <v>548106236</v>
      </c>
      <c r="F21" s="3">
        <v>2</v>
      </c>
      <c r="G21" s="3">
        <v>23583867.660289459</v>
      </c>
      <c r="H21" s="3">
        <v>0</v>
      </c>
      <c r="I21" s="3">
        <v>0</v>
      </c>
      <c r="J21" s="3">
        <v>12721552.71111111</v>
      </c>
      <c r="K21" s="3">
        <v>0</v>
      </c>
      <c r="L21" s="3">
        <v>45</v>
      </c>
      <c r="M21" s="3">
        <v>571690103.66028941</v>
      </c>
    </row>
    <row r="22" spans="1:13" ht="15.75" customHeight="1" x14ac:dyDescent="0.25">
      <c r="A22" s="2">
        <v>21</v>
      </c>
      <c r="B22" s="2" t="s">
        <v>74</v>
      </c>
      <c r="C22" s="2" t="s">
        <v>75</v>
      </c>
      <c r="D22" s="3">
        <v>86</v>
      </c>
      <c r="E22" s="3">
        <v>736162248</v>
      </c>
      <c r="F22" s="3">
        <v>0</v>
      </c>
      <c r="G22" s="3">
        <v>0</v>
      </c>
      <c r="H22" s="3">
        <v>0</v>
      </c>
      <c r="I22" s="3">
        <v>0</v>
      </c>
      <c r="J22" s="3">
        <v>8560026.1395348832</v>
      </c>
      <c r="K22" s="3">
        <v>0</v>
      </c>
      <c r="L22" s="3">
        <v>86</v>
      </c>
      <c r="M22" s="3">
        <v>736162248</v>
      </c>
    </row>
    <row r="23" spans="1:13" ht="15.75" customHeight="1" x14ac:dyDescent="0.25">
      <c r="A23" s="2">
        <v>22</v>
      </c>
      <c r="B23" s="2" t="s">
        <v>76</v>
      </c>
      <c r="C23" s="2" t="s">
        <v>77</v>
      </c>
      <c r="D23" s="3">
        <v>15</v>
      </c>
      <c r="E23" s="3">
        <v>5415070</v>
      </c>
      <c r="F23" s="3">
        <v>0</v>
      </c>
      <c r="G23" s="3">
        <v>0</v>
      </c>
      <c r="H23" s="3">
        <v>0</v>
      </c>
      <c r="I23" s="3">
        <v>0</v>
      </c>
      <c r="J23" s="3">
        <v>361004.66666666669</v>
      </c>
      <c r="K23" s="3">
        <v>0</v>
      </c>
      <c r="L23" s="3">
        <v>15</v>
      </c>
      <c r="M23" s="3">
        <v>5415070</v>
      </c>
    </row>
    <row r="24" spans="1:13" ht="15.75" customHeight="1" x14ac:dyDescent="0.25">
      <c r="A24" s="2">
        <v>23</v>
      </c>
      <c r="B24" s="2" t="s">
        <v>78</v>
      </c>
      <c r="C24" s="2" t="s">
        <v>79</v>
      </c>
      <c r="D24" s="3">
        <v>114</v>
      </c>
      <c r="E24" s="3">
        <v>1373197655.623023</v>
      </c>
      <c r="F24" s="3">
        <v>2</v>
      </c>
      <c r="G24" s="3">
        <v>20591884.49299876</v>
      </c>
      <c r="H24" s="3">
        <v>3</v>
      </c>
      <c r="I24" s="3">
        <v>39572726</v>
      </c>
      <c r="J24" s="3">
        <v>12053829.48013493</v>
      </c>
      <c r="K24" s="3">
        <v>47459690.741469167</v>
      </c>
      <c r="L24" s="3">
        <v>113</v>
      </c>
      <c r="M24" s="3">
        <v>1346329849.374553</v>
      </c>
    </row>
    <row r="25" spans="1:13" ht="15.75" customHeight="1" x14ac:dyDescent="0.25">
      <c r="A25" s="2">
        <v>24</v>
      </c>
      <c r="B25" s="2" t="s">
        <v>80</v>
      </c>
      <c r="C25" s="2" t="s">
        <v>81</v>
      </c>
      <c r="D25" s="3">
        <v>30</v>
      </c>
      <c r="E25" s="3">
        <v>114843479.0398353</v>
      </c>
      <c r="F25" s="3">
        <v>0</v>
      </c>
      <c r="G25" s="3">
        <v>0</v>
      </c>
      <c r="H25" s="3">
        <v>0</v>
      </c>
      <c r="I25" s="3">
        <v>0</v>
      </c>
      <c r="J25" s="3">
        <v>3860224.9666666668</v>
      </c>
      <c r="K25" s="3">
        <v>0</v>
      </c>
      <c r="L25" s="3">
        <v>30</v>
      </c>
      <c r="M25" s="3">
        <v>114843479.0398353</v>
      </c>
    </row>
    <row r="26" spans="1:13" ht="15.75" customHeight="1" x14ac:dyDescent="0.25">
      <c r="A26" s="2">
        <v>25</v>
      </c>
      <c r="B26" s="2" t="s">
        <v>82</v>
      </c>
      <c r="C26" s="2" t="s">
        <v>83</v>
      </c>
      <c r="D26" s="3">
        <v>75</v>
      </c>
      <c r="E26" s="3">
        <v>1256180153.82777</v>
      </c>
      <c r="F26" s="3">
        <v>0</v>
      </c>
      <c r="G26" s="3">
        <v>0</v>
      </c>
      <c r="H26" s="3">
        <v>2</v>
      </c>
      <c r="I26" s="3">
        <v>31127272</v>
      </c>
      <c r="J26" s="3">
        <v>16850879.47368421</v>
      </c>
      <c r="K26" s="3">
        <v>44231449.701569363</v>
      </c>
      <c r="L26" s="3">
        <v>73</v>
      </c>
      <c r="M26" s="3">
        <v>1211948704.1262009</v>
      </c>
    </row>
    <row r="27" spans="1:13" ht="15.75" customHeight="1" x14ac:dyDescent="0.25">
      <c r="A27" s="2">
        <v>26</v>
      </c>
      <c r="B27" s="2" t="s">
        <v>84</v>
      </c>
      <c r="C27" s="2" t="s">
        <v>85</v>
      </c>
      <c r="D27" s="3">
        <v>21</v>
      </c>
      <c r="E27" s="3">
        <v>130691846.9666096</v>
      </c>
      <c r="F27" s="3">
        <v>8</v>
      </c>
      <c r="G27" s="3">
        <v>71015603.175384641</v>
      </c>
      <c r="H27" s="3">
        <v>3</v>
      </c>
      <c r="I27" s="3">
        <v>46590909</v>
      </c>
      <c r="J27" s="3">
        <v>7090574.4482758623</v>
      </c>
      <c r="K27" s="3">
        <v>27917805.793513581</v>
      </c>
      <c r="L27" s="3">
        <v>26</v>
      </c>
      <c r="M27" s="3">
        <v>173789644.3484807</v>
      </c>
    </row>
    <row r="28" spans="1:13" ht="15.75" customHeight="1" x14ac:dyDescent="0.25">
      <c r="A28" s="2">
        <v>27</v>
      </c>
      <c r="B28" s="2" t="s">
        <v>86</v>
      </c>
      <c r="C28" s="2" t="s">
        <v>87</v>
      </c>
      <c r="D28" s="3">
        <v>22</v>
      </c>
      <c r="E28" s="3">
        <v>209974060.2737821</v>
      </c>
      <c r="F28" s="3">
        <v>33</v>
      </c>
      <c r="G28" s="3">
        <v>331450139.31093073</v>
      </c>
      <c r="H28" s="3">
        <v>18</v>
      </c>
      <c r="I28" s="3">
        <v>154554546</v>
      </c>
      <c r="J28" s="3">
        <v>10485057.511888109</v>
      </c>
      <c r="K28" s="3">
        <v>247697673.70982799</v>
      </c>
      <c r="L28" s="3">
        <v>37</v>
      </c>
      <c r="M28" s="3">
        <v>293726525.87488478</v>
      </c>
    </row>
    <row r="29" spans="1:13" ht="15.75" customHeight="1" x14ac:dyDescent="0.25">
      <c r="A29" s="2">
        <v>28</v>
      </c>
      <c r="B29" s="2" t="s">
        <v>88</v>
      </c>
      <c r="C29" s="2" t="s">
        <v>89</v>
      </c>
      <c r="D29" s="3">
        <v>45</v>
      </c>
      <c r="E29" s="3">
        <v>416386336.67896718</v>
      </c>
      <c r="F29" s="3">
        <v>24</v>
      </c>
      <c r="G29" s="3">
        <v>194227230.18640459</v>
      </c>
      <c r="H29" s="3">
        <v>23</v>
      </c>
      <c r="I29" s="3">
        <v>225581817</v>
      </c>
      <c r="J29" s="3">
        <v>9832996.5493410565</v>
      </c>
      <c r="K29" s="3">
        <v>296819431.24225092</v>
      </c>
      <c r="L29" s="3">
        <v>46</v>
      </c>
      <c r="M29" s="3">
        <v>313794135.62312102</v>
      </c>
    </row>
    <row r="30" spans="1:13" ht="15.75" customHeight="1" x14ac:dyDescent="0.25">
      <c r="A30" s="2">
        <v>29</v>
      </c>
      <c r="B30" s="2" t="s">
        <v>90</v>
      </c>
      <c r="C30" s="2" t="s">
        <v>91</v>
      </c>
      <c r="D30" s="3">
        <v>101</v>
      </c>
      <c r="E30" s="3">
        <v>101362718</v>
      </c>
      <c r="F30" s="3">
        <v>10</v>
      </c>
      <c r="G30" s="3">
        <v>0</v>
      </c>
      <c r="H30" s="3">
        <v>5</v>
      </c>
      <c r="I30" s="3">
        <v>11645455</v>
      </c>
      <c r="J30" s="3">
        <v>913177.63963963964</v>
      </c>
      <c r="K30" s="3">
        <v>5992442.5457135485</v>
      </c>
      <c r="L30" s="3">
        <v>106</v>
      </c>
      <c r="M30" s="3">
        <v>95370275.454286456</v>
      </c>
    </row>
    <row r="31" spans="1:13" ht="15.75" customHeight="1" x14ac:dyDescent="0.25">
      <c r="A31" s="2">
        <v>30</v>
      </c>
      <c r="B31" s="2" t="s">
        <v>92</v>
      </c>
      <c r="C31" s="2" t="s">
        <v>93</v>
      </c>
      <c r="D31" s="3">
        <v>31</v>
      </c>
      <c r="E31" s="3">
        <v>450490007.62683761</v>
      </c>
      <c r="F31" s="3">
        <v>5</v>
      </c>
      <c r="G31" s="3">
        <v>73215590.599099502</v>
      </c>
      <c r="H31" s="3">
        <v>2</v>
      </c>
      <c r="I31" s="3">
        <v>30254546</v>
      </c>
      <c r="J31" s="3">
        <v>14641518.91666667</v>
      </c>
      <c r="K31" s="3">
        <v>38432154.744711719</v>
      </c>
      <c r="L31" s="3">
        <v>34</v>
      </c>
      <c r="M31" s="3">
        <v>485273443.48122537</v>
      </c>
    </row>
    <row r="32" spans="1:13" ht="15.75" customHeight="1" x14ac:dyDescent="0.25">
      <c r="A32" s="2">
        <v>31</v>
      </c>
      <c r="B32" s="2" t="s">
        <v>94</v>
      </c>
      <c r="C32" s="2" t="s">
        <v>95</v>
      </c>
      <c r="D32" s="3">
        <v>17</v>
      </c>
      <c r="E32" s="3">
        <v>32332813.971435979</v>
      </c>
      <c r="F32" s="3">
        <v>2</v>
      </c>
      <c r="G32" s="3">
        <v>3695979.491357503</v>
      </c>
      <c r="H32" s="3">
        <v>0</v>
      </c>
      <c r="I32" s="3">
        <v>0</v>
      </c>
      <c r="J32" s="3">
        <v>1905976.4210526319</v>
      </c>
      <c r="K32" s="3">
        <v>0</v>
      </c>
      <c r="L32" s="3">
        <v>19</v>
      </c>
      <c r="M32" s="3">
        <v>36028793.462793477</v>
      </c>
    </row>
    <row r="33" spans="1:13" ht="15.75" customHeight="1" x14ac:dyDescent="0.25">
      <c r="A33" s="2">
        <v>32</v>
      </c>
      <c r="B33" s="2" t="s">
        <v>96</v>
      </c>
      <c r="C33" s="2" t="s">
        <v>97</v>
      </c>
      <c r="D33" s="3">
        <v>29</v>
      </c>
      <c r="E33" s="3">
        <v>46846697</v>
      </c>
      <c r="F33" s="3">
        <v>0</v>
      </c>
      <c r="G33" s="3">
        <v>0</v>
      </c>
      <c r="H33" s="3">
        <v>0</v>
      </c>
      <c r="I33" s="3">
        <v>0</v>
      </c>
      <c r="J33" s="3">
        <v>1615403.3448275861</v>
      </c>
      <c r="K33" s="3">
        <v>0</v>
      </c>
      <c r="L33" s="3">
        <v>29</v>
      </c>
      <c r="M33" s="3">
        <v>46846697</v>
      </c>
    </row>
    <row r="34" spans="1:13" ht="15.75" customHeight="1" x14ac:dyDescent="0.25">
      <c r="A34" s="2">
        <v>33</v>
      </c>
      <c r="B34" s="2" t="s">
        <v>98</v>
      </c>
      <c r="C34" s="2" t="s">
        <v>99</v>
      </c>
      <c r="D34" s="3">
        <v>42</v>
      </c>
      <c r="E34" s="3">
        <v>197834478.80843589</v>
      </c>
      <c r="F34" s="3">
        <v>19</v>
      </c>
      <c r="G34" s="3">
        <v>41324569.606003307</v>
      </c>
      <c r="H34" s="3">
        <v>5</v>
      </c>
      <c r="I34" s="3">
        <v>34672728</v>
      </c>
      <c r="J34" s="3">
        <v>4021057.8529821169</v>
      </c>
      <c r="K34" s="3">
        <v>26386934.05424865</v>
      </c>
      <c r="L34" s="3">
        <v>56</v>
      </c>
      <c r="M34" s="3">
        <v>212772114.36019051</v>
      </c>
    </row>
    <row r="35" spans="1:13" ht="15.75" customHeight="1" x14ac:dyDescent="0.25">
      <c r="A35" s="2">
        <v>34</v>
      </c>
      <c r="B35" s="2" t="s">
        <v>100</v>
      </c>
      <c r="C35" s="2" t="s">
        <v>101</v>
      </c>
      <c r="D35" s="3">
        <v>148</v>
      </c>
      <c r="E35" s="3">
        <v>1777971647.134073</v>
      </c>
      <c r="F35" s="3">
        <v>14</v>
      </c>
      <c r="G35" s="3">
        <v>151121555.38840151</v>
      </c>
      <c r="H35" s="3">
        <v>6</v>
      </c>
      <c r="I35" s="3">
        <v>69336363</v>
      </c>
      <c r="J35" s="3">
        <v>12129729.56409942</v>
      </c>
      <c r="K35" s="3">
        <v>95517066.147076428</v>
      </c>
      <c r="L35" s="3">
        <v>156</v>
      </c>
      <c r="M35" s="3">
        <v>1833576136.3753979</v>
      </c>
    </row>
    <row r="36" spans="1:13" ht="15.75" customHeight="1" x14ac:dyDescent="0.25">
      <c r="A36" s="2">
        <v>35</v>
      </c>
      <c r="B36" s="2" t="s">
        <v>102</v>
      </c>
      <c r="C36" s="2" t="s">
        <v>103</v>
      </c>
      <c r="D36" s="3">
        <v>18</v>
      </c>
      <c r="E36" s="3">
        <v>300527233.71537602</v>
      </c>
      <c r="F36" s="3">
        <v>1</v>
      </c>
      <c r="G36" s="3">
        <v>5543969.2370362543</v>
      </c>
      <c r="H36" s="3">
        <v>1</v>
      </c>
      <c r="I36" s="3">
        <v>6045455</v>
      </c>
      <c r="J36" s="3">
        <v>16224046.421052629</v>
      </c>
      <c r="K36" s="3">
        <v>21293045.693828691</v>
      </c>
      <c r="L36" s="3">
        <v>18</v>
      </c>
      <c r="M36" s="3">
        <v>284778157.25858349</v>
      </c>
    </row>
    <row r="37" spans="1:13" ht="15.75" customHeight="1" x14ac:dyDescent="0.25">
      <c r="A37" s="2">
        <v>36</v>
      </c>
      <c r="B37" s="2" t="s">
        <v>104</v>
      </c>
      <c r="C37" s="2" t="s">
        <v>105</v>
      </c>
      <c r="D37" s="3">
        <v>21</v>
      </c>
      <c r="E37" s="3">
        <v>87461225.782340586</v>
      </c>
      <c r="F37" s="3">
        <v>0</v>
      </c>
      <c r="G37" s="3">
        <v>0</v>
      </c>
      <c r="H37" s="3">
        <v>2</v>
      </c>
      <c r="I37" s="3">
        <v>10272728</v>
      </c>
      <c r="J37" s="3">
        <v>4200403.0952380951</v>
      </c>
      <c r="K37" s="3">
        <v>11025532.43725265</v>
      </c>
      <c r="L37" s="3">
        <v>19</v>
      </c>
      <c r="M37" s="3">
        <v>76435693.345087945</v>
      </c>
    </row>
    <row r="38" spans="1:13" ht="15.75" customHeight="1" x14ac:dyDescent="0.25">
      <c r="A38" s="2">
        <v>37</v>
      </c>
      <c r="B38" s="2" t="s">
        <v>106</v>
      </c>
      <c r="C38" s="2" t="s">
        <v>107</v>
      </c>
      <c r="D38" s="3">
        <v>28</v>
      </c>
      <c r="E38" s="3">
        <v>72496792.040438309</v>
      </c>
      <c r="F38" s="3">
        <v>32</v>
      </c>
      <c r="G38" s="3">
        <v>84539367.401296854</v>
      </c>
      <c r="H38" s="3">
        <v>15</v>
      </c>
      <c r="I38" s="3">
        <v>40672728</v>
      </c>
      <c r="J38" s="3">
        <v>2799361.726666667</v>
      </c>
      <c r="K38" s="3">
        <v>55109806.406361207</v>
      </c>
      <c r="L38" s="3">
        <v>45</v>
      </c>
      <c r="M38" s="3">
        <v>101926353.0353739</v>
      </c>
    </row>
    <row r="39" spans="1:13" ht="15.75" customHeight="1" x14ac:dyDescent="0.25">
      <c r="A39" s="2">
        <v>38</v>
      </c>
      <c r="B39" s="2" t="s">
        <v>108</v>
      </c>
      <c r="C39" s="2" t="s">
        <v>109</v>
      </c>
      <c r="D39" s="3">
        <v>1052</v>
      </c>
      <c r="E39" s="3">
        <v>1956424132.692338</v>
      </c>
      <c r="F39" s="3">
        <v>21</v>
      </c>
      <c r="G39" s="3">
        <v>21889877.140750151</v>
      </c>
      <c r="H39" s="3">
        <v>84</v>
      </c>
      <c r="I39" s="3">
        <v>232436356</v>
      </c>
      <c r="J39" s="3">
        <v>1864540.9718159209</v>
      </c>
      <c r="K39" s="3">
        <v>205555841.41989699</v>
      </c>
      <c r="L39" s="3">
        <v>989</v>
      </c>
      <c r="M39" s="3">
        <v>1772758168.4131911</v>
      </c>
    </row>
    <row r="40" spans="1:13" ht="15.75" customHeight="1" x14ac:dyDescent="0.25">
      <c r="A40" s="2">
        <v>39</v>
      </c>
      <c r="B40" s="2" t="s">
        <v>110</v>
      </c>
      <c r="C40" s="2" t="s">
        <v>111</v>
      </c>
      <c r="D40" s="3">
        <v>30</v>
      </c>
      <c r="E40" s="3">
        <v>159181265.39801821</v>
      </c>
      <c r="F40" s="3">
        <v>0</v>
      </c>
      <c r="G40" s="3">
        <v>0</v>
      </c>
      <c r="H40" s="3">
        <v>0</v>
      </c>
      <c r="I40" s="3">
        <v>0</v>
      </c>
      <c r="J40" s="3">
        <v>5311958.333333333</v>
      </c>
      <c r="K40" s="3">
        <v>0</v>
      </c>
      <c r="L40" s="3">
        <v>30</v>
      </c>
      <c r="M40" s="3">
        <v>159181265.39801821</v>
      </c>
    </row>
    <row r="41" spans="1:13" ht="15.75" customHeight="1" x14ac:dyDescent="0.25">
      <c r="A41" s="2">
        <v>40</v>
      </c>
      <c r="B41" s="2" t="s">
        <v>112</v>
      </c>
      <c r="C41" s="2" t="s">
        <v>113</v>
      </c>
      <c r="D41" s="3">
        <v>19</v>
      </c>
      <c r="E41" s="3">
        <v>105503049.7065341</v>
      </c>
      <c r="F41" s="3">
        <v>6</v>
      </c>
      <c r="G41" s="3">
        <v>31761663.03705126</v>
      </c>
      <c r="H41" s="3">
        <v>3</v>
      </c>
      <c r="I41" s="3">
        <v>19254545</v>
      </c>
      <c r="J41" s="3">
        <v>5640389.1660000002</v>
      </c>
      <c r="K41" s="3">
        <v>22207973.48436496</v>
      </c>
      <c r="L41" s="3">
        <v>22</v>
      </c>
      <c r="M41" s="3">
        <v>115056739.2592205</v>
      </c>
    </row>
    <row r="42" spans="1:13" ht="15.75" customHeight="1" x14ac:dyDescent="0.25">
      <c r="A42" s="2">
        <v>41</v>
      </c>
      <c r="B42" s="2" t="s">
        <v>114</v>
      </c>
      <c r="C42" s="2" t="s">
        <v>115</v>
      </c>
      <c r="D42" s="3">
        <v>18</v>
      </c>
      <c r="E42" s="3">
        <v>41252553.901993208</v>
      </c>
      <c r="F42" s="3">
        <v>4</v>
      </c>
      <c r="G42" s="3">
        <v>16323908.290835289</v>
      </c>
      <c r="H42" s="3">
        <v>2</v>
      </c>
      <c r="I42" s="3">
        <v>13563636</v>
      </c>
      <c r="J42" s="3">
        <v>2664789.4090909092</v>
      </c>
      <c r="K42" s="3">
        <v>6994738.6958378861</v>
      </c>
      <c r="L42" s="3">
        <v>20</v>
      </c>
      <c r="M42" s="3">
        <v>50581723.496990614</v>
      </c>
    </row>
    <row r="43" spans="1:13" ht="15.75" customHeight="1" x14ac:dyDescent="0.25">
      <c r="A43" s="2">
        <v>42</v>
      </c>
      <c r="B43" s="2" t="s">
        <v>116</v>
      </c>
      <c r="C43" s="2" t="s">
        <v>117</v>
      </c>
      <c r="D43" s="3">
        <v>72</v>
      </c>
      <c r="E43" s="3">
        <v>46659128.159376673</v>
      </c>
      <c r="F43" s="3">
        <v>0</v>
      </c>
      <c r="G43" s="3">
        <v>0</v>
      </c>
      <c r="H43" s="3">
        <v>0</v>
      </c>
      <c r="I43" s="3">
        <v>0</v>
      </c>
      <c r="J43" s="3">
        <v>665230.1944444445</v>
      </c>
      <c r="K43" s="3">
        <v>0</v>
      </c>
      <c r="L43" s="3">
        <v>72</v>
      </c>
      <c r="M43" s="3">
        <v>46659128.159376673</v>
      </c>
    </row>
    <row r="44" spans="1:13" ht="15.75" customHeight="1" x14ac:dyDescent="0.25">
      <c r="A44" s="2">
        <v>43</v>
      </c>
      <c r="B44" s="2" t="s">
        <v>118</v>
      </c>
      <c r="C44" s="2" t="s">
        <v>119</v>
      </c>
      <c r="D44" s="3">
        <v>198</v>
      </c>
      <c r="E44" s="3">
        <v>75293690.612070709</v>
      </c>
      <c r="F44" s="3">
        <v>0</v>
      </c>
      <c r="G44" s="3">
        <v>0</v>
      </c>
      <c r="H44" s="3">
        <v>0</v>
      </c>
      <c r="I44" s="3">
        <v>0</v>
      </c>
      <c r="J44" s="3">
        <v>392002.07575757569</v>
      </c>
      <c r="K44" s="3">
        <v>0</v>
      </c>
      <c r="L44" s="3">
        <v>198</v>
      </c>
      <c r="M44" s="3">
        <v>75293690.612070709</v>
      </c>
    </row>
    <row r="45" spans="1:13" ht="15.75" customHeight="1" x14ac:dyDescent="0.25">
      <c r="A45" s="2">
        <v>44</v>
      </c>
      <c r="B45" s="2" t="s">
        <v>120</v>
      </c>
      <c r="C45" s="2" t="s">
        <v>121</v>
      </c>
      <c r="D45" s="3">
        <v>16</v>
      </c>
      <c r="E45" s="3">
        <v>126300691.6893151</v>
      </c>
      <c r="F45" s="3">
        <v>1</v>
      </c>
      <c r="G45" s="3">
        <v>5851967.689315143</v>
      </c>
      <c r="H45" s="3">
        <v>0</v>
      </c>
      <c r="I45" s="3">
        <v>0</v>
      </c>
      <c r="J45" s="3">
        <v>7796449.0588235296</v>
      </c>
      <c r="K45" s="3">
        <v>0</v>
      </c>
      <c r="L45" s="3">
        <v>17</v>
      </c>
      <c r="M45" s="3">
        <v>132152659.3786303</v>
      </c>
    </row>
    <row r="46" spans="1:13" ht="15.75" customHeight="1" x14ac:dyDescent="0.25">
      <c r="A46" s="2">
        <v>45</v>
      </c>
      <c r="B46" s="2" t="s">
        <v>122</v>
      </c>
      <c r="C46" s="2" t="s">
        <v>123</v>
      </c>
      <c r="D46" s="3">
        <v>210</v>
      </c>
      <c r="E46" s="3">
        <v>91095302.21787405</v>
      </c>
      <c r="F46" s="3">
        <v>350</v>
      </c>
      <c r="G46" s="3">
        <v>141679206.73674399</v>
      </c>
      <c r="H46" s="3">
        <v>85</v>
      </c>
      <c r="I46" s="3">
        <v>36363640</v>
      </c>
      <c r="J46" s="3">
        <v>428016.88242611109</v>
      </c>
      <c r="K46" s="3">
        <v>47748356.845753402</v>
      </c>
      <c r="L46" s="3">
        <v>475</v>
      </c>
      <c r="M46" s="3">
        <v>185026152.10886461</v>
      </c>
    </row>
    <row r="47" spans="1:13" ht="15.75" customHeight="1" x14ac:dyDescent="0.25">
      <c r="A47" s="2">
        <v>46</v>
      </c>
      <c r="B47" s="2" t="s">
        <v>124</v>
      </c>
      <c r="C47" s="2" t="s">
        <v>125</v>
      </c>
      <c r="D47" s="3">
        <v>128</v>
      </c>
      <c r="E47" s="3">
        <v>103253847.6699474</v>
      </c>
      <c r="F47" s="3">
        <v>2</v>
      </c>
      <c r="G47" s="3">
        <v>2411186.4177343631</v>
      </c>
      <c r="H47" s="3">
        <v>4</v>
      </c>
      <c r="I47" s="3">
        <v>4363637</v>
      </c>
      <c r="J47" s="3">
        <v>815364.67292784736</v>
      </c>
      <c r="K47" s="3">
        <v>4280460.4442594806</v>
      </c>
      <c r="L47" s="3">
        <v>126</v>
      </c>
      <c r="M47" s="3">
        <v>101384573.64342231</v>
      </c>
    </row>
    <row r="48" spans="1:13" ht="15.75" customHeight="1" x14ac:dyDescent="0.25">
      <c r="A48" s="2">
        <v>47</v>
      </c>
      <c r="B48" s="2" t="s">
        <v>126</v>
      </c>
      <c r="C48" s="2" t="s">
        <v>127</v>
      </c>
      <c r="D48" s="3">
        <v>189</v>
      </c>
      <c r="E48" s="3">
        <v>77244107.801141426</v>
      </c>
      <c r="F48" s="3">
        <v>76</v>
      </c>
      <c r="G48" s="3">
        <v>15828647.414575281</v>
      </c>
      <c r="H48" s="3">
        <v>7</v>
      </c>
      <c r="I48" s="3">
        <v>2740000</v>
      </c>
      <c r="J48" s="3">
        <v>395247.37059206242</v>
      </c>
      <c r="K48" s="3">
        <v>3631162.086680884</v>
      </c>
      <c r="L48" s="3">
        <v>258</v>
      </c>
      <c r="M48" s="3">
        <v>89441593.129035816</v>
      </c>
    </row>
    <row r="49" spans="1:13" ht="15.75" customHeight="1" x14ac:dyDescent="0.25">
      <c r="A49" s="2">
        <v>48</v>
      </c>
      <c r="B49" s="2" t="s">
        <v>128</v>
      </c>
      <c r="C49" s="2" t="s">
        <v>129</v>
      </c>
      <c r="D49" s="3">
        <v>71</v>
      </c>
      <c r="E49" s="3">
        <v>69401681.197964519</v>
      </c>
      <c r="F49" s="3">
        <v>18</v>
      </c>
      <c r="G49" s="3">
        <v>15681512.238021011</v>
      </c>
      <c r="H49" s="3">
        <v>2</v>
      </c>
      <c r="I49" s="3">
        <v>2272728</v>
      </c>
      <c r="J49" s="3">
        <v>965263.31523096131</v>
      </c>
      <c r="K49" s="3">
        <v>2533695.3980998169</v>
      </c>
      <c r="L49" s="3">
        <v>87</v>
      </c>
      <c r="M49" s="3">
        <v>82549498.037885725</v>
      </c>
    </row>
    <row r="50" spans="1:13" ht="15.75" customHeight="1" x14ac:dyDescent="0.25">
      <c r="A50" s="2">
        <v>49</v>
      </c>
      <c r="B50" s="2" t="s">
        <v>130</v>
      </c>
      <c r="C50" s="2" t="s">
        <v>131</v>
      </c>
      <c r="D50" s="3">
        <v>200</v>
      </c>
      <c r="E50" s="3">
        <v>674195234.48076451</v>
      </c>
      <c r="F50" s="3">
        <v>0</v>
      </c>
      <c r="G50" s="3">
        <v>0</v>
      </c>
      <c r="H50" s="3">
        <v>0</v>
      </c>
      <c r="I50" s="3">
        <v>0</v>
      </c>
      <c r="J50" s="3">
        <v>3376250.5074626859</v>
      </c>
      <c r="K50" s="3">
        <v>0</v>
      </c>
      <c r="L50" s="3">
        <v>200</v>
      </c>
      <c r="M50" s="3">
        <v>674195234.48076451</v>
      </c>
    </row>
    <row r="51" spans="1:13" ht="15.75" customHeight="1" x14ac:dyDescent="0.25">
      <c r="A51" s="2">
        <v>50</v>
      </c>
      <c r="B51" s="2" t="s">
        <v>132</v>
      </c>
      <c r="C51" s="2" t="s">
        <v>133</v>
      </c>
      <c r="D51" s="3">
        <v>140</v>
      </c>
      <c r="E51" s="3">
        <v>56983797.100821711</v>
      </c>
      <c r="F51" s="3">
        <v>0</v>
      </c>
      <c r="G51" s="3">
        <v>0</v>
      </c>
      <c r="H51" s="3">
        <v>1</v>
      </c>
      <c r="I51" s="3">
        <v>618182</v>
      </c>
      <c r="J51" s="3">
        <v>411676.92413793103</v>
      </c>
      <c r="K51" s="3">
        <v>540300.20188977476</v>
      </c>
      <c r="L51" s="3">
        <v>139</v>
      </c>
      <c r="M51" s="3">
        <v>56443496.898931943</v>
      </c>
    </row>
    <row r="52" spans="1:13" ht="15.75" customHeight="1" x14ac:dyDescent="0.25">
      <c r="A52" s="2">
        <v>51</v>
      </c>
      <c r="B52" s="2" t="s">
        <v>134</v>
      </c>
      <c r="C52" s="2" t="s">
        <v>135</v>
      </c>
      <c r="D52" s="3">
        <v>390</v>
      </c>
      <c r="E52" s="3">
        <v>7629225.4773522345</v>
      </c>
      <c r="F52" s="3">
        <v>420</v>
      </c>
      <c r="G52" s="3">
        <v>8007955.8872727836</v>
      </c>
      <c r="H52" s="3">
        <v>64</v>
      </c>
      <c r="I52" s="3">
        <v>3136367</v>
      </c>
      <c r="J52" s="3">
        <v>20666.629374260279</v>
      </c>
      <c r="K52" s="3">
        <v>1735914.1005712</v>
      </c>
      <c r="L52" s="3">
        <v>746</v>
      </c>
      <c r="M52" s="3">
        <v>13901267.26405382</v>
      </c>
    </row>
    <row r="53" spans="1:13" ht="15.75" customHeight="1" x14ac:dyDescent="0.25">
      <c r="A53" s="2">
        <v>52</v>
      </c>
      <c r="B53" s="2" t="s">
        <v>136</v>
      </c>
      <c r="C53" s="2" t="s">
        <v>137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1:13" ht="15.75" customHeight="1" x14ac:dyDescent="0.25">
      <c r="C54" s="4" t="s">
        <v>138</v>
      </c>
      <c r="D54" s="5">
        <f t="shared" ref="D54:M54" si="0">SUM(D2:D53)</f>
        <v>38034.144</v>
      </c>
      <c r="E54" s="5">
        <f t="shared" si="0"/>
        <v>19168176117.377483</v>
      </c>
      <c r="F54" s="5">
        <f t="shared" si="0"/>
        <v>2102</v>
      </c>
      <c r="G54" s="5">
        <f t="shared" si="0"/>
        <v>1860249590.6662195</v>
      </c>
      <c r="H54" s="5">
        <f t="shared" si="0"/>
        <v>1247</v>
      </c>
      <c r="I54" s="5">
        <f t="shared" si="0"/>
        <v>1637159838</v>
      </c>
      <c r="J54" s="5">
        <f t="shared" si="0"/>
        <v>203640677.1767365</v>
      </c>
      <c r="K54" s="5">
        <f t="shared" si="0"/>
        <v>1762699027.2256341</v>
      </c>
      <c r="L54" s="5">
        <f t="shared" si="0"/>
        <v>38889.144</v>
      </c>
      <c r="M54" s="5">
        <f t="shared" si="0"/>
        <v>19265726680.818073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3" x14ac:dyDescent="0.25">
      <c r="A1" s="1" t="s">
        <v>0</v>
      </c>
      <c r="B1" s="1" t="s">
        <v>1</v>
      </c>
      <c r="C1" s="1" t="s">
        <v>146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8</v>
      </c>
      <c r="M1" s="1" t="s">
        <v>9</v>
      </c>
    </row>
    <row r="2" spans="1:13" x14ac:dyDescent="0.25">
      <c r="A2" s="2">
        <v>1</v>
      </c>
      <c r="B2" s="2" t="s">
        <v>34</v>
      </c>
      <c r="C2" s="2" t="s">
        <v>35</v>
      </c>
      <c r="D2" s="3">
        <v>1357</v>
      </c>
      <c r="E2" s="3">
        <v>549072108.25546956</v>
      </c>
      <c r="F2" s="3">
        <v>2</v>
      </c>
      <c r="G2" s="3">
        <v>2148947.9733584351</v>
      </c>
      <c r="H2" s="3">
        <v>0</v>
      </c>
      <c r="I2" s="3">
        <v>0</v>
      </c>
      <c r="J2" s="3">
        <v>414535.82258260221</v>
      </c>
      <c r="K2" s="3">
        <v>0</v>
      </c>
      <c r="L2" s="3">
        <v>1359</v>
      </c>
      <c r="M2" s="3">
        <v>551221056.22882795</v>
      </c>
    </row>
    <row r="3" spans="1:13" x14ac:dyDescent="0.25">
      <c r="A3" s="2">
        <v>2</v>
      </c>
      <c r="B3" s="2" t="s">
        <v>36</v>
      </c>
      <c r="C3" s="2" t="s">
        <v>37</v>
      </c>
      <c r="D3" s="3">
        <v>124</v>
      </c>
      <c r="E3" s="3">
        <v>149177020.15524951</v>
      </c>
      <c r="F3" s="3">
        <v>0</v>
      </c>
      <c r="G3" s="3">
        <v>0</v>
      </c>
      <c r="H3" s="3">
        <v>3</v>
      </c>
      <c r="I3" s="3">
        <v>3727274</v>
      </c>
      <c r="J3" s="3">
        <v>1254054.106229241</v>
      </c>
      <c r="K3" s="3">
        <v>4937602.6227013664</v>
      </c>
      <c r="L3" s="3">
        <v>121</v>
      </c>
      <c r="M3" s="3">
        <v>144239417.53254819</v>
      </c>
    </row>
    <row r="4" spans="1:13" x14ac:dyDescent="0.25">
      <c r="A4" s="2">
        <v>3</v>
      </c>
      <c r="B4" s="2" t="s">
        <v>38</v>
      </c>
      <c r="C4" s="2" t="s">
        <v>39</v>
      </c>
      <c r="D4" s="3">
        <v>867</v>
      </c>
      <c r="E4" s="3">
        <v>351394723.22906172</v>
      </c>
      <c r="F4" s="3">
        <v>0</v>
      </c>
      <c r="G4" s="3">
        <v>0</v>
      </c>
      <c r="H4" s="3">
        <v>2</v>
      </c>
      <c r="I4" s="3">
        <v>1000000</v>
      </c>
      <c r="J4" s="3">
        <v>406324.54462242569</v>
      </c>
      <c r="K4" s="3">
        <v>1066551.0774109471</v>
      </c>
      <c r="L4" s="3">
        <v>865</v>
      </c>
      <c r="M4" s="3">
        <v>350328172.15165079</v>
      </c>
    </row>
    <row r="5" spans="1:13" x14ac:dyDescent="0.25">
      <c r="A5" s="2">
        <v>4</v>
      </c>
      <c r="B5" s="2" t="s">
        <v>40</v>
      </c>
      <c r="C5" s="2" t="s">
        <v>41</v>
      </c>
      <c r="D5" s="3">
        <v>1219</v>
      </c>
      <c r="E5" s="3">
        <v>173318091.9689067</v>
      </c>
      <c r="F5" s="3">
        <v>34</v>
      </c>
      <c r="G5" s="3">
        <v>3959977.7498845858</v>
      </c>
      <c r="H5" s="3">
        <v>17</v>
      </c>
      <c r="I5" s="3">
        <v>3600002</v>
      </c>
      <c r="J5" s="3">
        <v>144583.77896347459</v>
      </c>
      <c r="K5" s="3">
        <v>3225871.7613772168</v>
      </c>
      <c r="L5" s="3">
        <v>1236</v>
      </c>
      <c r="M5" s="3">
        <v>174052197.957414</v>
      </c>
    </row>
    <row r="6" spans="1:13" x14ac:dyDescent="0.25">
      <c r="A6" s="2">
        <v>5</v>
      </c>
      <c r="B6" s="2" t="s">
        <v>42</v>
      </c>
      <c r="C6" s="2" t="s">
        <v>43</v>
      </c>
      <c r="D6" s="3">
        <v>27</v>
      </c>
      <c r="E6" s="3">
        <v>11010995.32781761</v>
      </c>
      <c r="F6" s="3">
        <v>6</v>
      </c>
      <c r="G6" s="3">
        <v>1108794.2346050839</v>
      </c>
      <c r="H6" s="3">
        <v>3</v>
      </c>
      <c r="I6" s="3">
        <v>1063635</v>
      </c>
      <c r="J6" s="3">
        <v>396012.29716117209</v>
      </c>
      <c r="K6" s="3">
        <v>1559224.077631271</v>
      </c>
      <c r="L6" s="3">
        <v>30</v>
      </c>
      <c r="M6" s="3">
        <v>10560565.48479142</v>
      </c>
    </row>
    <row r="7" spans="1:13" x14ac:dyDescent="0.25">
      <c r="A7" s="2">
        <v>6</v>
      </c>
      <c r="B7" s="2" t="s">
        <v>44</v>
      </c>
      <c r="C7" s="2" t="s">
        <v>45</v>
      </c>
      <c r="D7" s="3">
        <v>35</v>
      </c>
      <c r="E7" s="3">
        <v>1071447.9685686131</v>
      </c>
      <c r="F7" s="3">
        <v>0</v>
      </c>
      <c r="G7" s="3">
        <v>0</v>
      </c>
      <c r="H7" s="3">
        <v>0</v>
      </c>
      <c r="I7" s="3">
        <v>0</v>
      </c>
      <c r="J7" s="3">
        <v>31194.71428571429</v>
      </c>
      <c r="K7" s="3">
        <v>0</v>
      </c>
      <c r="L7" s="3">
        <v>35</v>
      </c>
      <c r="M7" s="3">
        <v>1071447.9685686131</v>
      </c>
    </row>
    <row r="8" spans="1:13" x14ac:dyDescent="0.25">
      <c r="A8" s="2">
        <v>7</v>
      </c>
      <c r="B8" s="2" t="s">
        <v>46</v>
      </c>
      <c r="C8" s="2" t="s">
        <v>47</v>
      </c>
      <c r="D8" s="3">
        <v>16228</v>
      </c>
      <c r="E8" s="3">
        <v>2295618980.505969</v>
      </c>
      <c r="F8" s="3">
        <v>3</v>
      </c>
      <c r="G8" s="3">
        <v>1755588.854802669</v>
      </c>
      <c r="H8" s="3">
        <v>27</v>
      </c>
      <c r="I8" s="3">
        <v>4154545</v>
      </c>
      <c r="J8" s="3">
        <v>141873.14356562469</v>
      </c>
      <c r="K8" s="3">
        <v>5027389.8235553186</v>
      </c>
      <c r="L8" s="3">
        <v>16204</v>
      </c>
      <c r="M8" s="3">
        <v>2292347179.5372162</v>
      </c>
    </row>
    <row r="9" spans="1:13" x14ac:dyDescent="0.25">
      <c r="A9" s="2">
        <v>8</v>
      </c>
      <c r="B9" s="2" t="s">
        <v>48</v>
      </c>
      <c r="C9" s="2" t="s">
        <v>49</v>
      </c>
      <c r="D9" s="3">
        <v>51</v>
      </c>
      <c r="E9" s="3">
        <v>133665507.142452</v>
      </c>
      <c r="F9" s="3">
        <v>5</v>
      </c>
      <c r="G9" s="3">
        <v>9776155.775497485</v>
      </c>
      <c r="H9" s="3">
        <v>5</v>
      </c>
      <c r="I9" s="3">
        <v>8136363</v>
      </c>
      <c r="J9" s="3">
        <v>2763297.4573082612</v>
      </c>
      <c r="K9" s="3">
        <v>18133274.984887499</v>
      </c>
      <c r="L9" s="3">
        <v>51</v>
      </c>
      <c r="M9" s="3">
        <v>125308387.933062</v>
      </c>
    </row>
    <row r="10" spans="1:13" x14ac:dyDescent="0.25">
      <c r="A10" s="2">
        <v>9</v>
      </c>
      <c r="B10" s="2" t="s">
        <v>50</v>
      </c>
      <c r="C10" s="2" t="s">
        <v>51</v>
      </c>
      <c r="D10" s="3">
        <v>1194</v>
      </c>
      <c r="E10" s="3">
        <v>1481157961.9342749</v>
      </c>
      <c r="F10" s="3">
        <v>5</v>
      </c>
      <c r="G10" s="3">
        <v>9019949.6956238952</v>
      </c>
      <c r="H10" s="3">
        <v>19</v>
      </c>
      <c r="I10" s="3">
        <v>28090908</v>
      </c>
      <c r="J10" s="3">
        <v>1287456.255629736</v>
      </c>
      <c r="K10" s="3">
        <v>32104409.66458156</v>
      </c>
      <c r="L10" s="3">
        <v>1180</v>
      </c>
      <c r="M10" s="3">
        <v>1458073501.965317</v>
      </c>
    </row>
    <row r="11" spans="1:13" x14ac:dyDescent="0.25">
      <c r="A11" s="2">
        <v>10</v>
      </c>
      <c r="B11" s="2" t="s">
        <v>52</v>
      </c>
      <c r="C11" s="2" t="s">
        <v>53</v>
      </c>
      <c r="D11" s="3">
        <v>98</v>
      </c>
      <c r="E11" s="3">
        <v>194286159.6068019</v>
      </c>
      <c r="F11" s="3">
        <v>35</v>
      </c>
      <c r="G11" s="3">
        <v>59052266.544500001</v>
      </c>
      <c r="H11" s="3">
        <v>20</v>
      </c>
      <c r="I11" s="3">
        <v>59999999</v>
      </c>
      <c r="J11" s="3">
        <v>2213944.4596569119</v>
      </c>
      <c r="K11" s="3">
        <v>58113271.276026003</v>
      </c>
      <c r="L11" s="3">
        <v>113</v>
      </c>
      <c r="M11" s="3">
        <v>195225154.87527591</v>
      </c>
    </row>
    <row r="12" spans="1:13" x14ac:dyDescent="0.25">
      <c r="A12" s="2">
        <v>11</v>
      </c>
      <c r="B12" s="2" t="s">
        <v>54</v>
      </c>
      <c r="C12" s="2" t="s">
        <v>55</v>
      </c>
      <c r="D12" s="3">
        <v>50</v>
      </c>
      <c r="E12" s="3">
        <v>126805793.51562931</v>
      </c>
      <c r="F12" s="3">
        <v>2</v>
      </c>
      <c r="G12" s="3">
        <v>5807967.4955633376</v>
      </c>
      <c r="H12" s="3">
        <v>4</v>
      </c>
      <c r="I12" s="3">
        <v>11372727</v>
      </c>
      <c r="J12" s="3">
        <v>2708832.7957554632</v>
      </c>
      <c r="K12" s="3">
        <v>14220694.147451909</v>
      </c>
      <c r="L12" s="3">
        <v>48</v>
      </c>
      <c r="M12" s="3">
        <v>118393066.8637408</v>
      </c>
    </row>
    <row r="13" spans="1:13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27234053.510117229</v>
      </c>
      <c r="F13" s="3">
        <v>0</v>
      </c>
      <c r="G13" s="3">
        <v>0</v>
      </c>
      <c r="H13" s="3">
        <v>0</v>
      </c>
      <c r="I13" s="3">
        <v>0</v>
      </c>
      <c r="J13" s="3">
        <v>1858187.5</v>
      </c>
      <c r="K13" s="3">
        <v>0</v>
      </c>
      <c r="L13" s="3">
        <v>15</v>
      </c>
      <c r="M13" s="3">
        <v>27234053.510117229</v>
      </c>
    </row>
    <row r="14" spans="1:13" x14ac:dyDescent="0.25">
      <c r="A14" s="2">
        <v>13</v>
      </c>
      <c r="B14" s="2" t="s">
        <v>58</v>
      </c>
      <c r="C14" s="2" t="s">
        <v>59</v>
      </c>
      <c r="D14" s="3">
        <v>15</v>
      </c>
      <c r="E14" s="3">
        <v>36008745</v>
      </c>
      <c r="F14" s="3">
        <v>0</v>
      </c>
      <c r="G14" s="3">
        <v>0</v>
      </c>
      <c r="H14" s="3">
        <v>0</v>
      </c>
      <c r="I14" s="3">
        <v>0</v>
      </c>
      <c r="J14" s="3">
        <v>2400583</v>
      </c>
      <c r="K14" s="3">
        <v>0</v>
      </c>
      <c r="L14" s="3">
        <v>15</v>
      </c>
      <c r="M14" s="3">
        <v>36008745</v>
      </c>
    </row>
    <row r="15" spans="1:13" x14ac:dyDescent="0.25">
      <c r="A15" s="2">
        <v>14</v>
      </c>
      <c r="B15" s="2" t="s">
        <v>60</v>
      </c>
      <c r="C15" s="2" t="s">
        <v>61</v>
      </c>
      <c r="D15" s="3">
        <v>236</v>
      </c>
      <c r="E15" s="3">
        <v>21500085.085659489</v>
      </c>
      <c r="F15" s="3">
        <v>29</v>
      </c>
      <c r="G15" s="3">
        <v>13389120.051451741</v>
      </c>
      <c r="H15" s="3">
        <v>27</v>
      </c>
      <c r="I15" s="3">
        <v>9369999</v>
      </c>
      <c r="J15" s="3">
        <v>147981.4571350081</v>
      </c>
      <c r="K15" s="3">
        <v>5243842.8653785437</v>
      </c>
      <c r="L15" s="3">
        <v>238</v>
      </c>
      <c r="M15" s="3">
        <v>29645362.271732692</v>
      </c>
    </row>
    <row r="16" spans="1:13" x14ac:dyDescent="0.25">
      <c r="A16" s="2">
        <v>15</v>
      </c>
      <c r="B16" s="2" t="s">
        <v>62</v>
      </c>
      <c r="C16" s="2" t="s">
        <v>63</v>
      </c>
      <c r="D16" s="3">
        <v>12283</v>
      </c>
      <c r="E16" s="3">
        <v>1128356051.7337971</v>
      </c>
      <c r="F16" s="3">
        <v>95</v>
      </c>
      <c r="G16" s="3">
        <v>17269906.164534319</v>
      </c>
      <c r="H16" s="3">
        <v>33</v>
      </c>
      <c r="I16" s="3">
        <v>3368181</v>
      </c>
      <c r="J16" s="3">
        <v>92797.04946928857</v>
      </c>
      <c r="K16" s="3">
        <v>4019080.5788903078</v>
      </c>
      <c r="L16" s="3">
        <v>12345</v>
      </c>
      <c r="M16" s="3">
        <v>1141606877.3194411</v>
      </c>
    </row>
    <row r="17" spans="1:13" x14ac:dyDescent="0.25">
      <c r="A17" s="2">
        <v>16</v>
      </c>
      <c r="B17" s="2" t="s">
        <v>64</v>
      </c>
      <c r="C17" s="2" t="s">
        <v>65</v>
      </c>
      <c r="D17" s="3">
        <v>510.14400000000001</v>
      </c>
      <c r="E17" s="3">
        <v>12705202.841226431</v>
      </c>
      <c r="F17" s="3">
        <v>423.892</v>
      </c>
      <c r="G17" s="3">
        <v>291293298.35370451</v>
      </c>
      <c r="H17" s="3">
        <v>279</v>
      </c>
      <c r="I17" s="3">
        <v>395837153</v>
      </c>
      <c r="J17" s="3">
        <v>508239.59044308763</v>
      </c>
      <c r="K17" s="3">
        <v>186102111.83938849</v>
      </c>
      <c r="L17" s="3">
        <v>655.03600000000006</v>
      </c>
      <c r="M17" s="3">
        <v>117896389.35554241</v>
      </c>
    </row>
    <row r="18" spans="1:13" x14ac:dyDescent="0.25">
      <c r="A18" s="2">
        <v>17</v>
      </c>
      <c r="B18" s="2" t="s">
        <v>66</v>
      </c>
      <c r="C18" s="2" t="s">
        <v>67</v>
      </c>
      <c r="D18" s="3">
        <v>43</v>
      </c>
      <c r="E18" s="3">
        <v>380629316</v>
      </c>
      <c r="F18" s="3">
        <v>0</v>
      </c>
      <c r="G18" s="3">
        <v>0</v>
      </c>
      <c r="H18" s="3">
        <v>0</v>
      </c>
      <c r="I18" s="3">
        <v>0</v>
      </c>
      <c r="J18" s="3">
        <v>8851844.5581395347</v>
      </c>
      <c r="K18" s="3">
        <v>0</v>
      </c>
      <c r="L18" s="3">
        <v>43</v>
      </c>
      <c r="M18" s="3">
        <v>380629316</v>
      </c>
    </row>
    <row r="19" spans="1:13" x14ac:dyDescent="0.25">
      <c r="A19" s="2">
        <v>18</v>
      </c>
      <c r="B19" s="2" t="s">
        <v>68</v>
      </c>
      <c r="C19" s="2" t="s">
        <v>69</v>
      </c>
      <c r="D19" s="3">
        <v>103</v>
      </c>
      <c r="E19" s="3">
        <v>298331889.59117782</v>
      </c>
      <c r="F19" s="3">
        <v>5</v>
      </c>
      <c r="G19" s="3">
        <v>16315108.252084929</v>
      </c>
      <c r="H19" s="3">
        <v>3</v>
      </c>
      <c r="I19" s="3">
        <v>9409091</v>
      </c>
      <c r="J19" s="3">
        <v>2929740.3482015668</v>
      </c>
      <c r="K19" s="3">
        <v>11535302.6278993</v>
      </c>
      <c r="L19" s="3">
        <v>105</v>
      </c>
      <c r="M19" s="3">
        <v>303111695.21536338</v>
      </c>
    </row>
    <row r="20" spans="1:13" x14ac:dyDescent="0.25">
      <c r="A20" s="2">
        <v>19</v>
      </c>
      <c r="B20" s="2" t="s">
        <v>70</v>
      </c>
      <c r="C20" s="2" t="s">
        <v>71</v>
      </c>
      <c r="D20" s="3">
        <v>102</v>
      </c>
      <c r="E20" s="3">
        <v>399049933.34512568</v>
      </c>
      <c r="F20" s="3">
        <v>0</v>
      </c>
      <c r="G20" s="3">
        <v>0</v>
      </c>
      <c r="H20" s="3">
        <v>4</v>
      </c>
      <c r="I20" s="3">
        <v>28309090</v>
      </c>
      <c r="J20" s="3">
        <v>4032509.307692308</v>
      </c>
      <c r="K20" s="3">
        <v>21169664.5142885</v>
      </c>
      <c r="L20" s="3">
        <v>98</v>
      </c>
      <c r="M20" s="3">
        <v>377880268.83083719</v>
      </c>
    </row>
    <row r="21" spans="1:13" ht="15.75" customHeight="1" x14ac:dyDescent="0.25">
      <c r="A21" s="2">
        <v>20</v>
      </c>
      <c r="B21" s="2" t="s">
        <v>72</v>
      </c>
      <c r="C21" s="2" t="s">
        <v>73</v>
      </c>
      <c r="D21" s="3">
        <v>45</v>
      </c>
      <c r="E21" s="3">
        <v>571690103.66028941</v>
      </c>
      <c r="F21" s="3">
        <v>0</v>
      </c>
      <c r="G21" s="3">
        <v>0</v>
      </c>
      <c r="H21" s="3">
        <v>0</v>
      </c>
      <c r="I21" s="3">
        <v>0</v>
      </c>
      <c r="J21" s="3">
        <v>12721552.71111111</v>
      </c>
      <c r="K21" s="3">
        <v>0</v>
      </c>
      <c r="L21" s="3">
        <v>45</v>
      </c>
      <c r="M21" s="3">
        <v>571690103.66028941</v>
      </c>
    </row>
    <row r="22" spans="1:13" ht="15.75" customHeight="1" x14ac:dyDescent="0.25">
      <c r="A22" s="2">
        <v>21</v>
      </c>
      <c r="B22" s="2" t="s">
        <v>74</v>
      </c>
      <c r="C22" s="2" t="s">
        <v>75</v>
      </c>
      <c r="D22" s="3">
        <v>86</v>
      </c>
      <c r="E22" s="3">
        <v>736162248</v>
      </c>
      <c r="F22" s="3">
        <v>0</v>
      </c>
      <c r="G22" s="3">
        <v>0</v>
      </c>
      <c r="H22" s="3">
        <v>0</v>
      </c>
      <c r="I22" s="3">
        <v>0</v>
      </c>
      <c r="J22" s="3">
        <v>8560026.1395348832</v>
      </c>
      <c r="K22" s="3">
        <v>0</v>
      </c>
      <c r="L22" s="3">
        <v>86</v>
      </c>
      <c r="M22" s="3">
        <v>736162248</v>
      </c>
    </row>
    <row r="23" spans="1:13" ht="15.75" customHeight="1" x14ac:dyDescent="0.25">
      <c r="A23" s="2">
        <v>22</v>
      </c>
      <c r="B23" s="2" t="s">
        <v>76</v>
      </c>
      <c r="C23" s="2" t="s">
        <v>77</v>
      </c>
      <c r="D23" s="3">
        <v>15</v>
      </c>
      <c r="E23" s="3">
        <v>5415070</v>
      </c>
      <c r="F23" s="3">
        <v>0</v>
      </c>
      <c r="G23" s="3">
        <v>0</v>
      </c>
      <c r="H23" s="3">
        <v>0</v>
      </c>
      <c r="I23" s="3">
        <v>0</v>
      </c>
      <c r="J23" s="3">
        <v>361004.66666666669</v>
      </c>
      <c r="K23" s="3">
        <v>0</v>
      </c>
      <c r="L23" s="3">
        <v>15</v>
      </c>
      <c r="M23" s="3">
        <v>5415070</v>
      </c>
    </row>
    <row r="24" spans="1:13" ht="15.75" customHeight="1" x14ac:dyDescent="0.25">
      <c r="A24" s="2">
        <v>23</v>
      </c>
      <c r="B24" s="2" t="s">
        <v>78</v>
      </c>
      <c r="C24" s="2" t="s">
        <v>79</v>
      </c>
      <c r="D24" s="3">
        <v>113</v>
      </c>
      <c r="E24" s="3">
        <v>1346329849.374553</v>
      </c>
      <c r="F24" s="3">
        <v>0</v>
      </c>
      <c r="G24" s="3">
        <v>0</v>
      </c>
      <c r="H24" s="3">
        <v>0</v>
      </c>
      <c r="I24" s="3">
        <v>0</v>
      </c>
      <c r="J24" s="3">
        <v>12053829.48013493</v>
      </c>
      <c r="K24" s="3">
        <v>0</v>
      </c>
      <c r="L24" s="3">
        <v>113</v>
      </c>
      <c r="M24" s="3">
        <v>1346329849.374553</v>
      </c>
    </row>
    <row r="25" spans="1:13" ht="15.75" customHeight="1" x14ac:dyDescent="0.25">
      <c r="A25" s="2">
        <v>24</v>
      </c>
      <c r="B25" s="2" t="s">
        <v>80</v>
      </c>
      <c r="C25" s="2" t="s">
        <v>81</v>
      </c>
      <c r="D25" s="3">
        <v>30</v>
      </c>
      <c r="E25" s="3">
        <v>114843479.0398353</v>
      </c>
      <c r="F25" s="3">
        <v>3</v>
      </c>
      <c r="G25" s="3">
        <v>19510630.67226306</v>
      </c>
      <c r="H25" s="3">
        <v>5</v>
      </c>
      <c r="I25" s="3">
        <v>43307914</v>
      </c>
      <c r="J25" s="3">
        <v>4120074.9090909092</v>
      </c>
      <c r="K25" s="3">
        <v>27036702.504570961</v>
      </c>
      <c r="L25" s="3">
        <v>28</v>
      </c>
      <c r="M25" s="3">
        <v>107317407.2075274</v>
      </c>
    </row>
    <row r="26" spans="1:13" ht="15.75" customHeight="1" x14ac:dyDescent="0.25">
      <c r="A26" s="2">
        <v>25</v>
      </c>
      <c r="B26" s="2" t="s">
        <v>82</v>
      </c>
      <c r="C26" s="2" t="s">
        <v>83</v>
      </c>
      <c r="D26" s="3">
        <v>73</v>
      </c>
      <c r="E26" s="3">
        <v>1211948704.1262009</v>
      </c>
      <c r="F26" s="3">
        <v>0</v>
      </c>
      <c r="G26" s="3">
        <v>0</v>
      </c>
      <c r="H26" s="3">
        <v>2</v>
      </c>
      <c r="I26" s="3">
        <v>33445455</v>
      </c>
      <c r="J26" s="3">
        <v>16850879.47368421</v>
      </c>
      <c r="K26" s="3">
        <v>44231449.701569363</v>
      </c>
      <c r="L26" s="3">
        <v>71</v>
      </c>
      <c r="M26" s="3">
        <v>1167717254.4246321</v>
      </c>
    </row>
    <row r="27" spans="1:13" ht="15.75" customHeight="1" x14ac:dyDescent="0.25">
      <c r="A27" s="2">
        <v>26</v>
      </c>
      <c r="B27" s="2" t="s">
        <v>84</v>
      </c>
      <c r="C27" s="2" t="s">
        <v>85</v>
      </c>
      <c r="D27" s="3">
        <v>26</v>
      </c>
      <c r="E27" s="3">
        <v>173789644.3484807</v>
      </c>
      <c r="F27" s="3">
        <v>0</v>
      </c>
      <c r="G27" s="3">
        <v>0</v>
      </c>
      <c r="H27" s="3">
        <v>0</v>
      </c>
      <c r="I27" s="3">
        <v>0</v>
      </c>
      <c r="J27" s="3">
        <v>7090574.4482758623</v>
      </c>
      <c r="K27" s="3">
        <v>0</v>
      </c>
      <c r="L27" s="3">
        <v>26</v>
      </c>
      <c r="M27" s="3">
        <v>173789644.3484807</v>
      </c>
    </row>
    <row r="28" spans="1:13" ht="15.75" customHeight="1" x14ac:dyDescent="0.25">
      <c r="A28" s="2">
        <v>27</v>
      </c>
      <c r="B28" s="2" t="s">
        <v>86</v>
      </c>
      <c r="C28" s="2" t="s">
        <v>87</v>
      </c>
      <c r="D28" s="3">
        <v>37</v>
      </c>
      <c r="E28" s="3">
        <v>293726525.87488478</v>
      </c>
      <c r="F28" s="3">
        <v>0</v>
      </c>
      <c r="G28" s="3">
        <v>0</v>
      </c>
      <c r="H28" s="3">
        <v>3</v>
      </c>
      <c r="I28" s="3">
        <v>28354545</v>
      </c>
      <c r="J28" s="3">
        <v>10485057.511888109</v>
      </c>
      <c r="K28" s="3">
        <v>41282945.618304662</v>
      </c>
      <c r="L28" s="3">
        <v>34</v>
      </c>
      <c r="M28" s="3">
        <v>252443580.25658011</v>
      </c>
    </row>
    <row r="29" spans="1:13" ht="15.75" customHeight="1" x14ac:dyDescent="0.25">
      <c r="A29" s="2">
        <v>28</v>
      </c>
      <c r="B29" s="2" t="s">
        <v>88</v>
      </c>
      <c r="C29" s="2" t="s">
        <v>89</v>
      </c>
      <c r="D29" s="3">
        <v>46</v>
      </c>
      <c r="E29" s="3">
        <v>313794135.62312102</v>
      </c>
      <c r="F29" s="3">
        <v>2</v>
      </c>
      <c r="G29" s="3">
        <v>21368039.005230449</v>
      </c>
      <c r="H29" s="3">
        <v>3</v>
      </c>
      <c r="I29" s="3">
        <v>32127273</v>
      </c>
      <c r="J29" s="3">
        <v>9883174.6931185126</v>
      </c>
      <c r="K29" s="3">
        <v>38913145.009420559</v>
      </c>
      <c r="L29" s="3">
        <v>45</v>
      </c>
      <c r="M29" s="3">
        <v>296249029.61893082</v>
      </c>
    </row>
    <row r="30" spans="1:13" ht="15.75" customHeight="1" x14ac:dyDescent="0.25">
      <c r="A30" s="2">
        <v>29</v>
      </c>
      <c r="B30" s="2" t="s">
        <v>90</v>
      </c>
      <c r="C30" s="2" t="s">
        <v>91</v>
      </c>
      <c r="D30" s="3">
        <v>106</v>
      </c>
      <c r="E30" s="3">
        <v>95370275.454286456</v>
      </c>
      <c r="F30" s="3">
        <v>0</v>
      </c>
      <c r="G30" s="3">
        <v>0</v>
      </c>
      <c r="H30" s="3">
        <v>4</v>
      </c>
      <c r="I30" s="3">
        <v>9163636</v>
      </c>
      <c r="J30" s="3">
        <v>913177.63963963964</v>
      </c>
      <c r="K30" s="3">
        <v>4793954.0365708387</v>
      </c>
      <c r="L30" s="3">
        <v>102</v>
      </c>
      <c r="M30" s="3">
        <v>90576321.417715624</v>
      </c>
    </row>
    <row r="31" spans="1:13" ht="15.75" customHeight="1" x14ac:dyDescent="0.25">
      <c r="A31" s="2">
        <v>30</v>
      </c>
      <c r="B31" s="2" t="s">
        <v>92</v>
      </c>
      <c r="C31" s="2" t="s">
        <v>93</v>
      </c>
      <c r="D31" s="3">
        <v>34</v>
      </c>
      <c r="E31" s="3">
        <v>485273443.48122537</v>
      </c>
      <c r="F31" s="3">
        <v>0</v>
      </c>
      <c r="G31" s="3">
        <v>0</v>
      </c>
      <c r="H31" s="3">
        <v>0</v>
      </c>
      <c r="I31" s="3">
        <v>0</v>
      </c>
      <c r="J31" s="3">
        <v>14641518.91666667</v>
      </c>
      <c r="K31" s="3">
        <v>0</v>
      </c>
      <c r="L31" s="3">
        <v>34</v>
      </c>
      <c r="M31" s="3">
        <v>485273443.48122537</v>
      </c>
    </row>
    <row r="32" spans="1:13" ht="15.75" customHeight="1" x14ac:dyDescent="0.25">
      <c r="A32" s="2">
        <v>31</v>
      </c>
      <c r="B32" s="2" t="s">
        <v>94</v>
      </c>
      <c r="C32" s="2" t="s">
        <v>95</v>
      </c>
      <c r="D32" s="3">
        <v>19</v>
      </c>
      <c r="E32" s="3">
        <v>36028793.462793477</v>
      </c>
      <c r="F32" s="3">
        <v>1</v>
      </c>
      <c r="G32" s="3">
        <v>2393586.3402336412</v>
      </c>
      <c r="H32" s="3">
        <v>1</v>
      </c>
      <c r="I32" s="3">
        <v>17809091</v>
      </c>
      <c r="J32" s="3">
        <v>1934313.95</v>
      </c>
      <c r="K32" s="3">
        <v>2538666.0179987331</v>
      </c>
      <c r="L32" s="3">
        <v>19</v>
      </c>
      <c r="M32" s="3">
        <v>35883713.785028383</v>
      </c>
    </row>
    <row r="33" spans="1:13" ht="15.75" customHeight="1" x14ac:dyDescent="0.25">
      <c r="A33" s="2">
        <v>32</v>
      </c>
      <c r="B33" s="2" t="s">
        <v>96</v>
      </c>
      <c r="C33" s="2" t="s">
        <v>97</v>
      </c>
      <c r="D33" s="3">
        <v>29</v>
      </c>
      <c r="E33" s="3">
        <v>46846697</v>
      </c>
      <c r="F33" s="3">
        <v>0</v>
      </c>
      <c r="G33" s="3">
        <v>0</v>
      </c>
      <c r="H33" s="3">
        <v>0</v>
      </c>
      <c r="I33" s="3">
        <v>0</v>
      </c>
      <c r="J33" s="3">
        <v>1615403.3448275861</v>
      </c>
      <c r="K33" s="3">
        <v>0</v>
      </c>
      <c r="L33" s="3">
        <v>29</v>
      </c>
      <c r="M33" s="3">
        <v>46846697</v>
      </c>
    </row>
    <row r="34" spans="1:13" ht="15.75" customHeight="1" x14ac:dyDescent="0.25">
      <c r="A34" s="2">
        <v>33</v>
      </c>
      <c r="B34" s="2" t="s">
        <v>98</v>
      </c>
      <c r="C34" s="2" t="s">
        <v>99</v>
      </c>
      <c r="D34" s="3">
        <v>56</v>
      </c>
      <c r="E34" s="3">
        <v>212772114.36019051</v>
      </c>
      <c r="F34" s="3">
        <v>11</v>
      </c>
      <c r="G34" s="3">
        <v>45217668.610176481</v>
      </c>
      <c r="H34" s="3">
        <v>5</v>
      </c>
      <c r="I34" s="3">
        <v>39300001</v>
      </c>
      <c r="J34" s="3">
        <v>4058089.0860746051</v>
      </c>
      <c r="K34" s="3">
        <v>26629939.935110159</v>
      </c>
      <c r="L34" s="3">
        <v>62</v>
      </c>
      <c r="M34" s="3">
        <v>231359843.0352568</v>
      </c>
    </row>
    <row r="35" spans="1:13" ht="15.75" customHeight="1" x14ac:dyDescent="0.25">
      <c r="A35" s="2">
        <v>34</v>
      </c>
      <c r="B35" s="2" t="s">
        <v>100</v>
      </c>
      <c r="C35" s="2" t="s">
        <v>101</v>
      </c>
      <c r="D35" s="3">
        <v>156</v>
      </c>
      <c r="E35" s="3">
        <v>1833576136.3753979</v>
      </c>
      <c r="F35" s="3">
        <v>1</v>
      </c>
      <c r="G35" s="3">
        <v>2859983.5540298629</v>
      </c>
      <c r="H35" s="3">
        <v>4</v>
      </c>
      <c r="I35" s="3">
        <v>32053636</v>
      </c>
      <c r="J35" s="3">
        <v>12071288.898086051</v>
      </c>
      <c r="K35" s="3">
        <v>63371245.229382567</v>
      </c>
      <c r="L35" s="3">
        <v>153</v>
      </c>
      <c r="M35" s="3">
        <v>1773064874.7000461</v>
      </c>
    </row>
    <row r="36" spans="1:13" ht="15.75" customHeight="1" x14ac:dyDescent="0.25">
      <c r="A36" s="2">
        <v>35</v>
      </c>
      <c r="B36" s="2" t="s">
        <v>102</v>
      </c>
      <c r="C36" s="2" t="s">
        <v>103</v>
      </c>
      <c r="D36" s="3">
        <v>18</v>
      </c>
      <c r="E36" s="3">
        <v>284778157.25858349</v>
      </c>
      <c r="F36" s="3">
        <v>0</v>
      </c>
      <c r="G36" s="3">
        <v>0</v>
      </c>
      <c r="H36" s="3">
        <v>0</v>
      </c>
      <c r="I36" s="3">
        <v>0</v>
      </c>
      <c r="J36" s="3">
        <v>16224046.421052629</v>
      </c>
      <c r="K36" s="3">
        <v>0</v>
      </c>
      <c r="L36" s="3">
        <v>18</v>
      </c>
      <c r="M36" s="3">
        <v>284778157.25858349</v>
      </c>
    </row>
    <row r="37" spans="1:13" ht="15.75" customHeight="1" x14ac:dyDescent="0.25">
      <c r="A37" s="2">
        <v>36</v>
      </c>
      <c r="B37" s="2" t="s">
        <v>104</v>
      </c>
      <c r="C37" s="2" t="s">
        <v>105</v>
      </c>
      <c r="D37" s="3">
        <v>19</v>
      </c>
      <c r="E37" s="3">
        <v>76435693.345087945</v>
      </c>
      <c r="F37" s="3">
        <v>0</v>
      </c>
      <c r="G37" s="3">
        <v>0</v>
      </c>
      <c r="H37" s="3">
        <v>1</v>
      </c>
      <c r="I37" s="3">
        <v>5136364</v>
      </c>
      <c r="J37" s="3">
        <v>4200403.0952380951</v>
      </c>
      <c r="K37" s="3">
        <v>5512766.2186263232</v>
      </c>
      <c r="L37" s="3">
        <v>18</v>
      </c>
      <c r="M37" s="3">
        <v>70922927.126461625</v>
      </c>
    </row>
    <row r="38" spans="1:13" ht="15.75" customHeight="1" x14ac:dyDescent="0.25">
      <c r="A38" s="2">
        <v>37</v>
      </c>
      <c r="B38" s="2" t="s">
        <v>106</v>
      </c>
      <c r="C38" s="2" t="s">
        <v>107</v>
      </c>
      <c r="D38" s="3">
        <v>45</v>
      </c>
      <c r="E38" s="3">
        <v>101926353.0353739</v>
      </c>
      <c r="F38" s="3">
        <v>0</v>
      </c>
      <c r="G38" s="3">
        <v>0</v>
      </c>
      <c r="H38" s="3">
        <v>3</v>
      </c>
      <c r="I38" s="3">
        <v>8072728</v>
      </c>
      <c r="J38" s="3">
        <v>2799361.726666667</v>
      </c>
      <c r="K38" s="3">
        <v>11021961.28127224</v>
      </c>
      <c r="L38" s="3">
        <v>42</v>
      </c>
      <c r="M38" s="3">
        <v>90904391.754101694</v>
      </c>
    </row>
    <row r="39" spans="1:13" ht="15.75" customHeight="1" x14ac:dyDescent="0.25">
      <c r="A39" s="2">
        <v>38</v>
      </c>
      <c r="B39" s="2" t="s">
        <v>108</v>
      </c>
      <c r="C39" s="2" t="s">
        <v>109</v>
      </c>
      <c r="D39" s="3">
        <v>989</v>
      </c>
      <c r="E39" s="3">
        <v>1772758168.4131911</v>
      </c>
      <c r="F39" s="3">
        <v>43</v>
      </c>
      <c r="G39" s="3">
        <v>61397255.684709102</v>
      </c>
      <c r="H39" s="3">
        <v>26</v>
      </c>
      <c r="I39" s="3">
        <v>114227273</v>
      </c>
      <c r="J39" s="3">
        <v>1848312.299540645</v>
      </c>
      <c r="K39" s="3">
        <v>63070650.068369821</v>
      </c>
      <c r="L39" s="3">
        <v>1006</v>
      </c>
      <c r="M39" s="3">
        <v>1771084774.029531</v>
      </c>
    </row>
    <row r="40" spans="1:13" ht="15.75" customHeight="1" x14ac:dyDescent="0.25">
      <c r="A40" s="2">
        <v>39</v>
      </c>
      <c r="B40" s="2" t="s">
        <v>110</v>
      </c>
      <c r="C40" s="2" t="s">
        <v>111</v>
      </c>
      <c r="D40" s="3">
        <v>30</v>
      </c>
      <c r="E40" s="3">
        <v>159181265.39801821</v>
      </c>
      <c r="F40" s="3">
        <v>0</v>
      </c>
      <c r="G40" s="3">
        <v>0</v>
      </c>
      <c r="H40" s="3">
        <v>0</v>
      </c>
      <c r="I40" s="3">
        <v>0</v>
      </c>
      <c r="J40" s="3">
        <v>5311958.333333333</v>
      </c>
      <c r="K40" s="3">
        <v>0</v>
      </c>
      <c r="L40" s="3">
        <v>30</v>
      </c>
      <c r="M40" s="3">
        <v>159181265.39801821</v>
      </c>
    </row>
    <row r="41" spans="1:13" ht="15.75" customHeight="1" x14ac:dyDescent="0.25">
      <c r="A41" s="2">
        <v>40</v>
      </c>
      <c r="B41" s="2" t="s">
        <v>112</v>
      </c>
      <c r="C41" s="2" t="s">
        <v>113</v>
      </c>
      <c r="D41" s="3">
        <v>22</v>
      </c>
      <c r="E41" s="3">
        <v>115056739.2592205</v>
      </c>
      <c r="F41" s="3">
        <v>0</v>
      </c>
      <c r="G41" s="3">
        <v>0</v>
      </c>
      <c r="H41" s="3">
        <v>0</v>
      </c>
      <c r="I41" s="3">
        <v>0</v>
      </c>
      <c r="J41" s="3">
        <v>5640389.1660000002</v>
      </c>
      <c r="K41" s="3">
        <v>0</v>
      </c>
      <c r="L41" s="3">
        <v>22</v>
      </c>
      <c r="M41" s="3">
        <v>115056739.2592205</v>
      </c>
    </row>
    <row r="42" spans="1:13" ht="15.75" customHeight="1" x14ac:dyDescent="0.25">
      <c r="A42" s="2">
        <v>41</v>
      </c>
      <c r="B42" s="2" t="s">
        <v>114</v>
      </c>
      <c r="C42" s="2" t="s">
        <v>115</v>
      </c>
      <c r="D42" s="3">
        <v>20</v>
      </c>
      <c r="E42" s="3">
        <v>50581723.496990614</v>
      </c>
      <c r="F42" s="3">
        <v>2</v>
      </c>
      <c r="G42" s="3">
        <v>615996.90455777792</v>
      </c>
      <c r="H42" s="3">
        <v>2</v>
      </c>
      <c r="I42" s="3">
        <v>12536363</v>
      </c>
      <c r="J42" s="3">
        <v>2451461.4628099171</v>
      </c>
      <c r="K42" s="3">
        <v>6434779.5352135068</v>
      </c>
      <c r="L42" s="3">
        <v>20</v>
      </c>
      <c r="M42" s="3">
        <v>44762940.866334893</v>
      </c>
    </row>
    <row r="43" spans="1:13" ht="15.75" customHeight="1" x14ac:dyDescent="0.25">
      <c r="A43" s="2">
        <v>42</v>
      </c>
      <c r="B43" s="2" t="s">
        <v>116</v>
      </c>
      <c r="C43" s="2" t="s">
        <v>117</v>
      </c>
      <c r="D43" s="3">
        <v>72</v>
      </c>
      <c r="E43" s="3">
        <v>46659128.159376673</v>
      </c>
      <c r="F43" s="3">
        <v>0</v>
      </c>
      <c r="G43" s="3">
        <v>0</v>
      </c>
      <c r="H43" s="3">
        <v>2</v>
      </c>
      <c r="I43" s="3">
        <v>1727273</v>
      </c>
      <c r="J43" s="3">
        <v>665230.1944444445</v>
      </c>
      <c r="K43" s="3">
        <v>1746146.0057017121</v>
      </c>
      <c r="L43" s="3">
        <v>70</v>
      </c>
      <c r="M43" s="3">
        <v>44912982.153674953</v>
      </c>
    </row>
    <row r="44" spans="1:13" ht="15.75" customHeight="1" x14ac:dyDescent="0.25">
      <c r="A44" s="2">
        <v>43</v>
      </c>
      <c r="B44" s="2" t="s">
        <v>118</v>
      </c>
      <c r="C44" s="2" t="s">
        <v>119</v>
      </c>
      <c r="D44" s="3">
        <v>198</v>
      </c>
      <c r="E44" s="3">
        <v>75293690.612070709</v>
      </c>
      <c r="F44" s="3">
        <v>0</v>
      </c>
      <c r="G44" s="3">
        <v>0</v>
      </c>
      <c r="H44" s="3">
        <v>0</v>
      </c>
      <c r="I44" s="3">
        <v>0</v>
      </c>
      <c r="J44" s="3">
        <v>392002.07575757569</v>
      </c>
      <c r="K44" s="3">
        <v>0</v>
      </c>
      <c r="L44" s="3">
        <v>198</v>
      </c>
      <c r="M44" s="3">
        <v>75293690.612070709</v>
      </c>
    </row>
    <row r="45" spans="1:13" ht="15.75" customHeight="1" x14ac:dyDescent="0.25">
      <c r="A45" s="2">
        <v>44</v>
      </c>
      <c r="B45" s="2" t="s">
        <v>120</v>
      </c>
      <c r="C45" s="2" t="s">
        <v>121</v>
      </c>
      <c r="D45" s="3">
        <v>17</v>
      </c>
      <c r="E45" s="3">
        <v>132152659.3786303</v>
      </c>
      <c r="F45" s="3">
        <v>2</v>
      </c>
      <c r="G45" s="3">
        <v>11703935.37863029</v>
      </c>
      <c r="H45" s="3">
        <v>1</v>
      </c>
      <c r="I45" s="3">
        <v>6536364</v>
      </c>
      <c r="J45" s="3">
        <v>7612133.8947368423</v>
      </c>
      <c r="K45" s="3">
        <v>9990449.4009489845</v>
      </c>
      <c r="L45" s="3">
        <v>18</v>
      </c>
      <c r="M45" s="3">
        <v>133866145.3563116</v>
      </c>
    </row>
    <row r="46" spans="1:13" ht="15.75" customHeight="1" x14ac:dyDescent="0.25">
      <c r="A46" s="2">
        <v>45</v>
      </c>
      <c r="B46" s="2" t="s">
        <v>122</v>
      </c>
      <c r="C46" s="2" t="s">
        <v>123</v>
      </c>
      <c r="D46" s="3">
        <v>475</v>
      </c>
      <c r="E46" s="3">
        <v>185026152.10886461</v>
      </c>
      <c r="F46" s="3">
        <v>1</v>
      </c>
      <c r="G46" s="3">
        <v>1091194.157104362</v>
      </c>
      <c r="H46" s="3">
        <v>14</v>
      </c>
      <c r="I46" s="3">
        <v>9363635</v>
      </c>
      <c r="J46" s="3">
        <v>429485.90788319899</v>
      </c>
      <c r="K46" s="3">
        <v>7891427.3009992829</v>
      </c>
      <c r="L46" s="3">
        <v>462</v>
      </c>
      <c r="M46" s="3">
        <v>178225918.96496969</v>
      </c>
    </row>
    <row r="47" spans="1:13" ht="15.75" customHeight="1" x14ac:dyDescent="0.25">
      <c r="A47" s="2">
        <v>46</v>
      </c>
      <c r="B47" s="2" t="s">
        <v>124</v>
      </c>
      <c r="C47" s="2" t="s">
        <v>125</v>
      </c>
      <c r="D47" s="3">
        <v>126</v>
      </c>
      <c r="E47" s="3">
        <v>101384573.64342231</v>
      </c>
      <c r="F47" s="3">
        <v>0</v>
      </c>
      <c r="G47" s="3">
        <v>0</v>
      </c>
      <c r="H47" s="3">
        <v>0</v>
      </c>
      <c r="I47" s="3">
        <v>0</v>
      </c>
      <c r="J47" s="3">
        <v>815364.67292784736</v>
      </c>
      <c r="K47" s="3">
        <v>0</v>
      </c>
      <c r="L47" s="3">
        <v>126</v>
      </c>
      <c r="M47" s="3">
        <v>101384573.64342231</v>
      </c>
    </row>
    <row r="48" spans="1:13" ht="15.75" customHeight="1" x14ac:dyDescent="0.25">
      <c r="A48" s="2">
        <v>47</v>
      </c>
      <c r="B48" s="2" t="s">
        <v>126</v>
      </c>
      <c r="C48" s="2" t="s">
        <v>127</v>
      </c>
      <c r="D48" s="3">
        <v>258</v>
      </c>
      <c r="E48" s="3">
        <v>89441593.129035816</v>
      </c>
      <c r="F48" s="3">
        <v>0</v>
      </c>
      <c r="G48" s="3">
        <v>0</v>
      </c>
      <c r="H48" s="3">
        <v>2</v>
      </c>
      <c r="I48" s="3">
        <v>17836364</v>
      </c>
      <c r="J48" s="3">
        <v>395247.37059206242</v>
      </c>
      <c r="K48" s="3">
        <v>1037474.881908824</v>
      </c>
      <c r="L48" s="3">
        <v>256</v>
      </c>
      <c r="M48" s="3">
        <v>88404118.247126997</v>
      </c>
    </row>
    <row r="49" spans="1:13" ht="15.75" customHeight="1" x14ac:dyDescent="0.25">
      <c r="A49" s="2">
        <v>48</v>
      </c>
      <c r="B49" s="2" t="s">
        <v>128</v>
      </c>
      <c r="C49" s="2" t="s">
        <v>129</v>
      </c>
      <c r="D49" s="3">
        <v>87</v>
      </c>
      <c r="E49" s="3">
        <v>82549498.037885725</v>
      </c>
      <c r="F49" s="3">
        <v>0</v>
      </c>
      <c r="G49" s="3">
        <v>0</v>
      </c>
      <c r="H49" s="3">
        <v>14</v>
      </c>
      <c r="I49" s="3">
        <v>14454547</v>
      </c>
      <c r="J49" s="3">
        <v>965263.31523096131</v>
      </c>
      <c r="K49" s="3">
        <v>17735867.786698721</v>
      </c>
      <c r="L49" s="3">
        <v>73</v>
      </c>
      <c r="M49" s="3">
        <v>64813630.251186997</v>
      </c>
    </row>
    <row r="50" spans="1:13" ht="15.75" customHeight="1" x14ac:dyDescent="0.25">
      <c r="A50" s="2">
        <v>49</v>
      </c>
      <c r="B50" s="2" t="s">
        <v>130</v>
      </c>
      <c r="C50" s="2" t="s">
        <v>131</v>
      </c>
      <c r="D50" s="3">
        <v>200</v>
      </c>
      <c r="E50" s="3">
        <v>674195234.48076451</v>
      </c>
      <c r="F50" s="3">
        <v>0</v>
      </c>
      <c r="G50" s="3">
        <v>0</v>
      </c>
      <c r="H50" s="3">
        <v>0</v>
      </c>
      <c r="I50" s="3">
        <v>0</v>
      </c>
      <c r="J50" s="3">
        <v>3376250.5074626859</v>
      </c>
      <c r="K50" s="3">
        <v>0</v>
      </c>
      <c r="L50" s="3">
        <v>200</v>
      </c>
      <c r="M50" s="3">
        <v>674195234.48076451</v>
      </c>
    </row>
    <row r="51" spans="1:13" ht="15.75" customHeight="1" x14ac:dyDescent="0.25">
      <c r="A51" s="2">
        <v>50</v>
      </c>
      <c r="B51" s="2" t="s">
        <v>132</v>
      </c>
      <c r="C51" s="2" t="s">
        <v>133</v>
      </c>
      <c r="D51" s="3">
        <v>139</v>
      </c>
      <c r="E51" s="3">
        <v>56443496.898931943</v>
      </c>
      <c r="F51" s="3">
        <v>3</v>
      </c>
      <c r="G51" s="3">
        <v>756795.58857438958</v>
      </c>
      <c r="H51" s="3">
        <v>3</v>
      </c>
      <c r="I51" s="3">
        <v>3009091</v>
      </c>
      <c r="J51" s="3">
        <v>408485.28489558038</v>
      </c>
      <c r="K51" s="3">
        <v>1608334.125311366</v>
      </c>
      <c r="L51" s="3">
        <v>139</v>
      </c>
      <c r="M51" s="3">
        <v>55591958.362194963</v>
      </c>
    </row>
    <row r="52" spans="1:13" ht="15.75" customHeight="1" x14ac:dyDescent="0.25">
      <c r="A52" s="2">
        <v>51</v>
      </c>
      <c r="B52" s="2" t="s">
        <v>134</v>
      </c>
      <c r="C52" s="2" t="s">
        <v>135</v>
      </c>
      <c r="D52" s="3">
        <v>746</v>
      </c>
      <c r="E52" s="3">
        <v>13901267.26405382</v>
      </c>
      <c r="F52" s="3">
        <v>1</v>
      </c>
      <c r="G52" s="3">
        <v>0</v>
      </c>
      <c r="H52" s="3">
        <v>38</v>
      </c>
      <c r="I52" s="3">
        <v>4100000</v>
      </c>
      <c r="J52" s="3">
        <v>20638.963203745869</v>
      </c>
      <c r="K52" s="3">
        <v>1029319.212746661</v>
      </c>
      <c r="L52" s="3">
        <v>709</v>
      </c>
      <c r="M52" s="3">
        <v>12871948.05130716</v>
      </c>
    </row>
    <row r="53" spans="1:13" ht="15.75" customHeight="1" x14ac:dyDescent="0.25">
      <c r="A53" s="2">
        <v>52</v>
      </c>
      <c r="B53" s="2" t="s">
        <v>136</v>
      </c>
      <c r="C53" s="2" t="s">
        <v>137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1:13" ht="15.75" customHeight="1" x14ac:dyDescent="0.25">
      <c r="C54" s="4" t="s">
        <v>138</v>
      </c>
      <c r="D54" s="5">
        <f t="shared" ref="D54:M54" si="0">SUM(D2:D53)</f>
        <v>38889.144</v>
      </c>
      <c r="E54" s="5">
        <f t="shared" si="0"/>
        <v>19265726680.818073</v>
      </c>
      <c r="F54" s="5">
        <f t="shared" si="0"/>
        <v>714.89200000000005</v>
      </c>
      <c r="G54" s="5">
        <f t="shared" si="0"/>
        <v>597812167.04112053</v>
      </c>
      <c r="H54" s="5">
        <f t="shared" si="0"/>
        <v>579</v>
      </c>
      <c r="I54" s="5">
        <f t="shared" si="0"/>
        <v>1000000520</v>
      </c>
      <c r="J54" s="5">
        <f t="shared" si="0"/>
        <v>203499992.74741739</v>
      </c>
      <c r="K54" s="5">
        <f t="shared" si="0"/>
        <v>742335515.73219347</v>
      </c>
      <c r="L54" s="5">
        <f t="shared" si="0"/>
        <v>39025.036</v>
      </c>
      <c r="M54" s="5">
        <f t="shared" si="0"/>
        <v>19121203332.126991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3" x14ac:dyDescent="0.25">
      <c r="A1" s="1" t="s">
        <v>0</v>
      </c>
      <c r="B1" s="1" t="s">
        <v>1</v>
      </c>
      <c r="C1" s="1" t="s">
        <v>146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8</v>
      </c>
      <c r="M1" s="1" t="s">
        <v>9</v>
      </c>
    </row>
    <row r="2" spans="1:13" x14ac:dyDescent="0.25">
      <c r="A2" s="2">
        <v>1</v>
      </c>
      <c r="B2" s="2" t="s">
        <v>34</v>
      </c>
      <c r="C2" s="2" t="s">
        <v>35</v>
      </c>
      <c r="D2" s="3">
        <v>1359</v>
      </c>
      <c r="E2" s="3">
        <v>551221056.22882795</v>
      </c>
      <c r="F2" s="3">
        <v>16</v>
      </c>
      <c r="G2" s="3">
        <v>7027640.6696316386</v>
      </c>
      <c r="H2" s="3">
        <v>40</v>
      </c>
      <c r="I2" s="3">
        <v>10909091</v>
      </c>
      <c r="J2" s="3">
        <v>414992.13301073189</v>
      </c>
      <c r="K2" s="3">
        <v>21786048.243330002</v>
      </c>
      <c r="L2" s="3">
        <v>1335</v>
      </c>
      <c r="M2" s="3">
        <v>536462648.65512961</v>
      </c>
    </row>
    <row r="3" spans="1:13" x14ac:dyDescent="0.25">
      <c r="A3" s="2">
        <v>2</v>
      </c>
      <c r="B3" s="2" t="s">
        <v>36</v>
      </c>
      <c r="C3" s="2" t="s">
        <v>37</v>
      </c>
      <c r="D3" s="3">
        <v>121</v>
      </c>
      <c r="E3" s="3">
        <v>144239417.53254819</v>
      </c>
      <c r="F3" s="3">
        <v>23</v>
      </c>
      <c r="G3" s="3">
        <v>29735032.795138549</v>
      </c>
      <c r="H3" s="3">
        <v>3</v>
      </c>
      <c r="I3" s="3">
        <v>3536364</v>
      </c>
      <c r="J3" s="3">
        <v>1267074.4989842931</v>
      </c>
      <c r="K3" s="3">
        <v>4988867.9748872109</v>
      </c>
      <c r="L3" s="3">
        <v>141</v>
      </c>
      <c r="M3" s="3">
        <v>168985582.3527995</v>
      </c>
    </row>
    <row r="4" spans="1:13" x14ac:dyDescent="0.25">
      <c r="A4" s="2">
        <v>3</v>
      </c>
      <c r="B4" s="2" t="s">
        <v>38</v>
      </c>
      <c r="C4" s="2" t="s">
        <v>39</v>
      </c>
      <c r="D4" s="3">
        <v>865</v>
      </c>
      <c r="E4" s="3">
        <v>350328172.15165079</v>
      </c>
      <c r="F4" s="3">
        <v>0</v>
      </c>
      <c r="G4" s="3">
        <v>0</v>
      </c>
      <c r="H4" s="3">
        <v>0</v>
      </c>
      <c r="I4" s="3">
        <v>0</v>
      </c>
      <c r="J4" s="3">
        <v>406324.54462242569</v>
      </c>
      <c r="K4" s="3">
        <v>0</v>
      </c>
      <c r="L4" s="3">
        <v>865</v>
      </c>
      <c r="M4" s="3">
        <v>350328172.15165079</v>
      </c>
    </row>
    <row r="5" spans="1:13" x14ac:dyDescent="0.25">
      <c r="A5" s="2">
        <v>4</v>
      </c>
      <c r="B5" s="2" t="s">
        <v>40</v>
      </c>
      <c r="C5" s="2" t="s">
        <v>41</v>
      </c>
      <c r="D5" s="3">
        <v>1236</v>
      </c>
      <c r="E5" s="3">
        <v>174052197.957414</v>
      </c>
      <c r="F5" s="3">
        <v>32</v>
      </c>
      <c r="G5" s="3">
        <v>4223976.9764062529</v>
      </c>
      <c r="H5" s="3">
        <v>8</v>
      </c>
      <c r="I5" s="3">
        <v>1700000</v>
      </c>
      <c r="J5" s="3">
        <v>144376.33107165189</v>
      </c>
      <c r="K5" s="3">
        <v>1515879.2004573499</v>
      </c>
      <c r="L5" s="3">
        <v>1260</v>
      </c>
      <c r="M5" s="3">
        <v>176760295.73336291</v>
      </c>
    </row>
    <row r="6" spans="1:13" x14ac:dyDescent="0.25">
      <c r="A6" s="2">
        <v>5</v>
      </c>
      <c r="B6" s="2" t="s">
        <v>42</v>
      </c>
      <c r="C6" s="2" t="s">
        <v>43</v>
      </c>
      <c r="D6" s="3">
        <v>30</v>
      </c>
      <c r="E6" s="3">
        <v>10560565.48479142</v>
      </c>
      <c r="F6" s="3">
        <v>11</v>
      </c>
      <c r="G6" s="3">
        <v>2032788.6234471679</v>
      </c>
      <c r="H6" s="3">
        <v>2</v>
      </c>
      <c r="I6" s="3">
        <v>609090</v>
      </c>
      <c r="J6" s="3">
        <v>340984.60767890641</v>
      </c>
      <c r="K6" s="3">
        <v>895041.92034087272</v>
      </c>
      <c r="L6" s="3">
        <v>39</v>
      </c>
      <c r="M6" s="3">
        <v>11698312.18789771</v>
      </c>
    </row>
    <row r="7" spans="1:13" x14ac:dyDescent="0.25">
      <c r="A7" s="2">
        <v>6</v>
      </c>
      <c r="B7" s="2" t="s">
        <v>44</v>
      </c>
      <c r="C7" s="2" t="s">
        <v>45</v>
      </c>
      <c r="D7" s="3">
        <v>35</v>
      </c>
      <c r="E7" s="3">
        <v>1071447.9685686131</v>
      </c>
      <c r="F7" s="3">
        <v>0</v>
      </c>
      <c r="G7" s="3">
        <v>0</v>
      </c>
      <c r="H7" s="3">
        <v>0</v>
      </c>
      <c r="I7" s="3">
        <v>0</v>
      </c>
      <c r="J7" s="3">
        <v>31194.71428571429</v>
      </c>
      <c r="K7" s="3">
        <v>0</v>
      </c>
      <c r="L7" s="3">
        <v>35</v>
      </c>
      <c r="M7" s="3">
        <v>1071447.9685686131</v>
      </c>
    </row>
    <row r="8" spans="1:13" x14ac:dyDescent="0.25">
      <c r="A8" s="2">
        <v>7</v>
      </c>
      <c r="B8" s="2" t="s">
        <v>46</v>
      </c>
      <c r="C8" s="2" t="s">
        <v>47</v>
      </c>
      <c r="D8" s="3">
        <v>16204</v>
      </c>
      <c r="E8" s="3">
        <v>2292347179.5372162</v>
      </c>
      <c r="F8" s="3">
        <v>60</v>
      </c>
      <c r="G8" s="3">
        <v>7286359.4857052565</v>
      </c>
      <c r="H8" s="3">
        <v>376</v>
      </c>
      <c r="I8" s="3">
        <v>36745460</v>
      </c>
      <c r="J8" s="3">
        <v>141812.57324996209</v>
      </c>
      <c r="K8" s="3">
        <v>69981168.257935971</v>
      </c>
      <c r="L8" s="3">
        <v>15888</v>
      </c>
      <c r="M8" s="3">
        <v>2229652370.764986</v>
      </c>
    </row>
    <row r="9" spans="1:13" x14ac:dyDescent="0.25">
      <c r="A9" s="2">
        <v>8</v>
      </c>
      <c r="B9" s="2" t="s">
        <v>48</v>
      </c>
      <c r="C9" s="2" t="s">
        <v>49</v>
      </c>
      <c r="D9" s="3">
        <v>51</v>
      </c>
      <c r="E9" s="3">
        <v>125308387.933062</v>
      </c>
      <c r="F9" s="3">
        <v>15</v>
      </c>
      <c r="G9" s="3">
        <v>19139892.619107932</v>
      </c>
      <c r="H9" s="3">
        <v>6</v>
      </c>
      <c r="I9" s="3">
        <v>10181818</v>
      </c>
      <c r="J9" s="3">
        <v>2434862.080647293</v>
      </c>
      <c r="K9" s="3">
        <v>19173624.70343443</v>
      </c>
      <c r="L9" s="3">
        <v>60</v>
      </c>
      <c r="M9" s="3">
        <v>125274655.8487355</v>
      </c>
    </row>
    <row r="10" spans="1:13" x14ac:dyDescent="0.25">
      <c r="A10" s="2">
        <v>9</v>
      </c>
      <c r="B10" s="2" t="s">
        <v>50</v>
      </c>
      <c r="C10" s="2" t="s">
        <v>51</v>
      </c>
      <c r="D10" s="3">
        <v>1180</v>
      </c>
      <c r="E10" s="3">
        <v>1458073501.965317</v>
      </c>
      <c r="F10" s="3">
        <v>45</v>
      </c>
      <c r="G10" s="3">
        <v>83832730.388008729</v>
      </c>
      <c r="H10" s="3">
        <v>7</v>
      </c>
      <c r="I10" s="3">
        <v>9309091</v>
      </c>
      <c r="J10" s="3">
        <v>1310859.531953542</v>
      </c>
      <c r="K10" s="3">
        <v>12042947.752603071</v>
      </c>
      <c r="L10" s="3">
        <v>1218</v>
      </c>
      <c r="M10" s="3">
        <v>1529863284.600723</v>
      </c>
    </row>
    <row r="11" spans="1:13" x14ac:dyDescent="0.25">
      <c r="A11" s="2">
        <v>10</v>
      </c>
      <c r="B11" s="2" t="s">
        <v>52</v>
      </c>
      <c r="C11" s="2" t="s">
        <v>53</v>
      </c>
      <c r="D11" s="3">
        <v>113</v>
      </c>
      <c r="E11" s="3">
        <v>195225154.87527591</v>
      </c>
      <c r="F11" s="3">
        <v>18</v>
      </c>
      <c r="G11" s="3">
        <v>47041929.103567772</v>
      </c>
      <c r="H11" s="3">
        <v>14</v>
      </c>
      <c r="I11" s="3">
        <v>35140404</v>
      </c>
      <c r="J11" s="3">
        <v>2280710.1535393889</v>
      </c>
      <c r="K11" s="3">
        <v>41906051.027410358</v>
      </c>
      <c r="L11" s="3">
        <v>117</v>
      </c>
      <c r="M11" s="3">
        <v>200361032.9514333</v>
      </c>
    </row>
    <row r="12" spans="1:13" x14ac:dyDescent="0.25">
      <c r="A12" s="2">
        <v>11</v>
      </c>
      <c r="B12" s="2" t="s">
        <v>54</v>
      </c>
      <c r="C12" s="2" t="s">
        <v>55</v>
      </c>
      <c r="D12" s="3">
        <v>48</v>
      </c>
      <c r="E12" s="3">
        <v>118393066.8637408</v>
      </c>
      <c r="F12" s="3">
        <v>2</v>
      </c>
      <c r="G12" s="3">
        <v>3854378.2528748359</v>
      </c>
      <c r="H12" s="3">
        <v>2</v>
      </c>
      <c r="I12" s="3">
        <v>5640909</v>
      </c>
      <c r="J12" s="3">
        <v>2680115.8439252451</v>
      </c>
      <c r="K12" s="3">
        <v>7034968.6691480596</v>
      </c>
      <c r="L12" s="3">
        <v>48</v>
      </c>
      <c r="M12" s="3">
        <v>115212476.44746751</v>
      </c>
    </row>
    <row r="13" spans="1:13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27234053.510117229</v>
      </c>
      <c r="F13" s="3">
        <v>0</v>
      </c>
      <c r="G13" s="3">
        <v>0</v>
      </c>
      <c r="H13" s="3">
        <v>0</v>
      </c>
      <c r="I13" s="3">
        <v>0</v>
      </c>
      <c r="J13" s="3">
        <v>1858187.5</v>
      </c>
      <c r="K13" s="3">
        <v>0</v>
      </c>
      <c r="L13" s="3">
        <v>15</v>
      </c>
      <c r="M13" s="3">
        <v>27234053.510117229</v>
      </c>
    </row>
    <row r="14" spans="1:13" x14ac:dyDescent="0.25">
      <c r="A14" s="2">
        <v>13</v>
      </c>
      <c r="B14" s="2" t="s">
        <v>58</v>
      </c>
      <c r="C14" s="2" t="s">
        <v>59</v>
      </c>
      <c r="D14" s="3">
        <v>15</v>
      </c>
      <c r="E14" s="3">
        <v>36008745</v>
      </c>
      <c r="F14" s="3">
        <v>0</v>
      </c>
      <c r="G14" s="3">
        <v>0</v>
      </c>
      <c r="H14" s="3">
        <v>0</v>
      </c>
      <c r="I14" s="3">
        <v>0</v>
      </c>
      <c r="J14" s="3">
        <v>2400583</v>
      </c>
      <c r="K14" s="3">
        <v>0</v>
      </c>
      <c r="L14" s="3">
        <v>15</v>
      </c>
      <c r="M14" s="3">
        <v>36008745</v>
      </c>
    </row>
    <row r="15" spans="1:13" x14ac:dyDescent="0.25">
      <c r="A15" s="2">
        <v>14</v>
      </c>
      <c r="B15" s="2" t="s">
        <v>60</v>
      </c>
      <c r="C15" s="2" t="s">
        <v>61</v>
      </c>
      <c r="D15" s="3">
        <v>238</v>
      </c>
      <c r="E15" s="3">
        <v>29645362.271732692</v>
      </c>
      <c r="F15" s="3">
        <v>90</v>
      </c>
      <c r="G15" s="3">
        <v>10603940.214780981</v>
      </c>
      <c r="H15" s="3">
        <v>38</v>
      </c>
      <c r="I15" s="3">
        <v>4963634</v>
      </c>
      <c r="J15" s="3">
        <v>140774.79206747541</v>
      </c>
      <c r="K15" s="3">
        <v>7020808.008377552</v>
      </c>
      <c r="L15" s="3">
        <v>290</v>
      </c>
      <c r="M15" s="3">
        <v>33228494.478136111</v>
      </c>
    </row>
    <row r="16" spans="1:13" x14ac:dyDescent="0.25">
      <c r="A16" s="2">
        <v>15</v>
      </c>
      <c r="B16" s="2" t="s">
        <v>62</v>
      </c>
      <c r="C16" s="2" t="s">
        <v>63</v>
      </c>
      <c r="D16" s="3">
        <v>12345</v>
      </c>
      <c r="E16" s="3">
        <v>1141606877.3194411</v>
      </c>
      <c r="F16" s="3">
        <v>0</v>
      </c>
      <c r="G16" s="3">
        <v>0</v>
      </c>
      <c r="H16" s="3">
        <v>762</v>
      </c>
      <c r="I16" s="3">
        <v>34951817</v>
      </c>
      <c r="J16" s="3">
        <v>92797.04946928857</v>
      </c>
      <c r="K16" s="3">
        <v>92804224.276194379</v>
      </c>
      <c r="L16" s="3">
        <v>11583</v>
      </c>
      <c r="M16" s="3">
        <v>1048802653.043247</v>
      </c>
    </row>
    <row r="17" spans="1:13" x14ac:dyDescent="0.25">
      <c r="A17" s="2">
        <v>16</v>
      </c>
      <c r="B17" s="2" t="s">
        <v>64</v>
      </c>
      <c r="C17" s="2" t="s">
        <v>65</v>
      </c>
      <c r="D17" s="3">
        <v>655.03600000000006</v>
      </c>
      <c r="E17" s="3">
        <v>117896389.35554241</v>
      </c>
      <c r="F17" s="3">
        <v>313</v>
      </c>
      <c r="G17" s="3">
        <v>148183068.4417178</v>
      </c>
      <c r="H17" s="3">
        <v>252</v>
      </c>
      <c r="I17" s="3">
        <v>229219596</v>
      </c>
      <c r="J17" s="3">
        <v>502045.13816167822</v>
      </c>
      <c r="K17" s="3">
        <v>166043512.6374588</v>
      </c>
      <c r="L17" s="3">
        <v>716.03600000000006</v>
      </c>
      <c r="M17" s="3">
        <v>100035945.15980139</v>
      </c>
    </row>
    <row r="18" spans="1:13" x14ac:dyDescent="0.25">
      <c r="A18" s="2">
        <v>17</v>
      </c>
      <c r="B18" s="2" t="s">
        <v>66</v>
      </c>
      <c r="C18" s="2" t="s">
        <v>67</v>
      </c>
      <c r="D18" s="3">
        <v>43</v>
      </c>
      <c r="E18" s="3">
        <v>380629316</v>
      </c>
      <c r="F18" s="3">
        <v>0</v>
      </c>
      <c r="G18" s="3">
        <v>0</v>
      </c>
      <c r="H18" s="3">
        <v>0</v>
      </c>
      <c r="I18" s="3">
        <v>0</v>
      </c>
      <c r="J18" s="3">
        <v>8851844.5581395347</v>
      </c>
      <c r="K18" s="3">
        <v>0</v>
      </c>
      <c r="L18" s="3">
        <v>43</v>
      </c>
      <c r="M18" s="3">
        <v>380629316</v>
      </c>
    </row>
    <row r="19" spans="1:13" x14ac:dyDescent="0.25">
      <c r="A19" s="2">
        <v>18</v>
      </c>
      <c r="B19" s="2" t="s">
        <v>68</v>
      </c>
      <c r="C19" s="2" t="s">
        <v>69</v>
      </c>
      <c r="D19" s="3">
        <v>105</v>
      </c>
      <c r="E19" s="3">
        <v>303111695.21536338</v>
      </c>
      <c r="F19" s="3">
        <v>0</v>
      </c>
      <c r="G19" s="3">
        <v>0</v>
      </c>
      <c r="H19" s="3">
        <v>0</v>
      </c>
      <c r="I19" s="3">
        <v>0</v>
      </c>
      <c r="J19" s="3">
        <v>2929740.3482015668</v>
      </c>
      <c r="K19" s="3">
        <v>0</v>
      </c>
      <c r="L19" s="3">
        <v>105</v>
      </c>
      <c r="M19" s="3">
        <v>303111695.21536338</v>
      </c>
    </row>
    <row r="20" spans="1:13" x14ac:dyDescent="0.25">
      <c r="A20" s="2">
        <v>19</v>
      </c>
      <c r="B20" s="2" t="s">
        <v>70</v>
      </c>
      <c r="C20" s="2" t="s">
        <v>71</v>
      </c>
      <c r="D20" s="3">
        <v>98</v>
      </c>
      <c r="E20" s="3">
        <v>377880268.83083719</v>
      </c>
      <c r="F20" s="3">
        <v>32</v>
      </c>
      <c r="G20" s="3">
        <v>133368503.6008926</v>
      </c>
      <c r="H20" s="3">
        <v>18</v>
      </c>
      <c r="I20" s="3">
        <v>215672727</v>
      </c>
      <c r="J20" s="3">
        <v>4099723.5613955171</v>
      </c>
      <c r="K20" s="3">
        <v>96851351.350210607</v>
      </c>
      <c r="L20" s="3">
        <v>112</v>
      </c>
      <c r="M20" s="3">
        <v>414397421.08151919</v>
      </c>
    </row>
    <row r="21" spans="1:13" ht="15.75" customHeight="1" x14ac:dyDescent="0.25">
      <c r="A21" s="2">
        <v>20</v>
      </c>
      <c r="B21" s="2" t="s">
        <v>72</v>
      </c>
      <c r="C21" s="2" t="s">
        <v>73</v>
      </c>
      <c r="D21" s="3">
        <v>45</v>
      </c>
      <c r="E21" s="3">
        <v>571690103.66028941</v>
      </c>
      <c r="F21" s="3">
        <v>0</v>
      </c>
      <c r="G21" s="3">
        <v>0</v>
      </c>
      <c r="H21" s="3">
        <v>0</v>
      </c>
      <c r="I21" s="3">
        <v>0</v>
      </c>
      <c r="J21" s="3">
        <v>12721552.71111111</v>
      </c>
      <c r="K21" s="3">
        <v>0</v>
      </c>
      <c r="L21" s="3">
        <v>45</v>
      </c>
      <c r="M21" s="3">
        <v>571690103.66028941</v>
      </c>
    </row>
    <row r="22" spans="1:13" ht="15.75" customHeight="1" x14ac:dyDescent="0.25">
      <c r="A22" s="2">
        <v>21</v>
      </c>
      <c r="B22" s="2" t="s">
        <v>74</v>
      </c>
      <c r="C22" s="2" t="s">
        <v>75</v>
      </c>
      <c r="D22" s="3">
        <v>86</v>
      </c>
      <c r="E22" s="3">
        <v>736162248</v>
      </c>
      <c r="F22" s="3">
        <v>0</v>
      </c>
      <c r="G22" s="3">
        <v>0</v>
      </c>
      <c r="H22" s="3">
        <v>0</v>
      </c>
      <c r="I22" s="3">
        <v>0</v>
      </c>
      <c r="J22" s="3">
        <v>8560026.1395348832</v>
      </c>
      <c r="K22" s="3">
        <v>0</v>
      </c>
      <c r="L22" s="3">
        <v>86</v>
      </c>
      <c r="M22" s="3">
        <v>736162248</v>
      </c>
    </row>
    <row r="23" spans="1:13" ht="15.75" customHeight="1" x14ac:dyDescent="0.25">
      <c r="A23" s="2">
        <v>22</v>
      </c>
      <c r="B23" s="2" t="s">
        <v>76</v>
      </c>
      <c r="C23" s="2" t="s">
        <v>77</v>
      </c>
      <c r="D23" s="3">
        <v>15</v>
      </c>
      <c r="E23" s="3">
        <v>5415070</v>
      </c>
      <c r="F23" s="3">
        <v>0</v>
      </c>
      <c r="G23" s="3">
        <v>0</v>
      </c>
      <c r="H23" s="3">
        <v>0</v>
      </c>
      <c r="I23" s="3">
        <v>0</v>
      </c>
      <c r="J23" s="3">
        <v>361004.66666666669</v>
      </c>
      <c r="K23" s="3">
        <v>0</v>
      </c>
      <c r="L23" s="3">
        <v>15</v>
      </c>
      <c r="M23" s="3">
        <v>5415070</v>
      </c>
    </row>
    <row r="24" spans="1:13" ht="15.75" customHeight="1" x14ac:dyDescent="0.25">
      <c r="A24" s="2">
        <v>23</v>
      </c>
      <c r="B24" s="2" t="s">
        <v>78</v>
      </c>
      <c r="C24" s="2" t="s">
        <v>79</v>
      </c>
      <c r="D24" s="3">
        <v>113</v>
      </c>
      <c r="E24" s="3">
        <v>1346329849.374553</v>
      </c>
      <c r="F24" s="3">
        <v>0</v>
      </c>
      <c r="G24" s="3">
        <v>0</v>
      </c>
      <c r="H24" s="3">
        <v>5</v>
      </c>
      <c r="I24" s="3">
        <v>56545455</v>
      </c>
      <c r="J24" s="3">
        <v>12053829.48013493</v>
      </c>
      <c r="K24" s="3">
        <v>79099484.569115281</v>
      </c>
      <c r="L24" s="3">
        <v>108</v>
      </c>
      <c r="M24" s="3">
        <v>1267230364.805438</v>
      </c>
    </row>
    <row r="25" spans="1:13" ht="15.75" customHeight="1" x14ac:dyDescent="0.25">
      <c r="A25" s="2">
        <v>24</v>
      </c>
      <c r="B25" s="2" t="s">
        <v>80</v>
      </c>
      <c r="C25" s="2" t="s">
        <v>81</v>
      </c>
      <c r="D25" s="3">
        <v>28</v>
      </c>
      <c r="E25" s="3">
        <v>107317407.2075274</v>
      </c>
      <c r="F25" s="3">
        <v>1</v>
      </c>
      <c r="G25" s="3">
        <v>5467376.6656885119</v>
      </c>
      <c r="H25" s="3">
        <v>1</v>
      </c>
      <c r="I25" s="3">
        <v>8181818</v>
      </c>
      <c r="J25" s="3">
        <v>4172767.084639498</v>
      </c>
      <c r="K25" s="3">
        <v>5476495.6840630434</v>
      </c>
      <c r="L25" s="3">
        <v>28</v>
      </c>
      <c r="M25" s="3">
        <v>107308288.1891529</v>
      </c>
    </row>
    <row r="26" spans="1:13" ht="15.75" customHeight="1" x14ac:dyDescent="0.25">
      <c r="A26" s="2">
        <v>25</v>
      </c>
      <c r="B26" s="2" t="s">
        <v>82</v>
      </c>
      <c r="C26" s="2" t="s">
        <v>83</v>
      </c>
      <c r="D26" s="3">
        <v>71</v>
      </c>
      <c r="E26" s="3">
        <v>1167717254.4246321</v>
      </c>
      <c r="F26" s="3">
        <v>0</v>
      </c>
      <c r="G26" s="3">
        <v>0</v>
      </c>
      <c r="H26" s="3">
        <v>0</v>
      </c>
      <c r="I26" s="3">
        <v>0</v>
      </c>
      <c r="J26" s="3">
        <v>16850879.47368421</v>
      </c>
      <c r="K26" s="3">
        <v>0</v>
      </c>
      <c r="L26" s="3">
        <v>71</v>
      </c>
      <c r="M26" s="3">
        <v>1167717254.4246321</v>
      </c>
    </row>
    <row r="27" spans="1:13" ht="15.75" customHeight="1" x14ac:dyDescent="0.25">
      <c r="A27" s="2">
        <v>26</v>
      </c>
      <c r="B27" s="2" t="s">
        <v>84</v>
      </c>
      <c r="C27" s="2" t="s">
        <v>85</v>
      </c>
      <c r="D27" s="3">
        <v>26</v>
      </c>
      <c r="E27" s="3">
        <v>173789644.3484807</v>
      </c>
      <c r="F27" s="3">
        <v>0</v>
      </c>
      <c r="G27" s="3">
        <v>0</v>
      </c>
      <c r="H27" s="3">
        <v>1</v>
      </c>
      <c r="I27" s="3">
        <v>17863636</v>
      </c>
      <c r="J27" s="3">
        <v>7090574.4482758623</v>
      </c>
      <c r="K27" s="3">
        <v>9305935.2645045258</v>
      </c>
      <c r="L27" s="3">
        <v>25</v>
      </c>
      <c r="M27" s="3">
        <v>164483709.08397621</v>
      </c>
    </row>
    <row r="28" spans="1:13" ht="15.75" customHeight="1" x14ac:dyDescent="0.25">
      <c r="A28" s="2">
        <v>27</v>
      </c>
      <c r="B28" s="2" t="s">
        <v>86</v>
      </c>
      <c r="C28" s="2" t="s">
        <v>87</v>
      </c>
      <c r="D28" s="3">
        <v>34</v>
      </c>
      <c r="E28" s="3">
        <v>252443580.25658011</v>
      </c>
      <c r="F28" s="3">
        <v>0</v>
      </c>
      <c r="G28" s="3">
        <v>0</v>
      </c>
      <c r="H28" s="3">
        <v>9</v>
      </c>
      <c r="I28" s="3">
        <v>83854545</v>
      </c>
      <c r="J28" s="3">
        <v>10485057.511888109</v>
      </c>
      <c r="K28" s="3">
        <v>123848836.85491399</v>
      </c>
      <c r="L28" s="3">
        <v>25</v>
      </c>
      <c r="M28" s="3">
        <v>128594743.4016661</v>
      </c>
    </row>
    <row r="29" spans="1:13" ht="15.75" customHeight="1" x14ac:dyDescent="0.25">
      <c r="A29" s="2">
        <v>28</v>
      </c>
      <c r="B29" s="2" t="s">
        <v>88</v>
      </c>
      <c r="C29" s="2" t="s">
        <v>89</v>
      </c>
      <c r="D29" s="3">
        <v>45</v>
      </c>
      <c r="E29" s="3">
        <v>296249029.61893082</v>
      </c>
      <c r="F29" s="3">
        <v>0</v>
      </c>
      <c r="G29" s="3">
        <v>0</v>
      </c>
      <c r="H29" s="3">
        <v>9</v>
      </c>
      <c r="I29" s="3">
        <v>93854546</v>
      </c>
      <c r="J29" s="3">
        <v>9883174.6931185126</v>
      </c>
      <c r="K29" s="3">
        <v>116739435.02826171</v>
      </c>
      <c r="L29" s="3">
        <v>36</v>
      </c>
      <c r="M29" s="3">
        <v>179509594.59066921</v>
      </c>
    </row>
    <row r="30" spans="1:13" ht="15.75" customHeight="1" x14ac:dyDescent="0.25">
      <c r="A30" s="2">
        <v>29</v>
      </c>
      <c r="B30" s="2" t="s">
        <v>90</v>
      </c>
      <c r="C30" s="2" t="s">
        <v>91</v>
      </c>
      <c r="D30" s="3">
        <v>102</v>
      </c>
      <c r="E30" s="3">
        <v>90576321.417715624</v>
      </c>
      <c r="F30" s="3">
        <v>0</v>
      </c>
      <c r="G30" s="3">
        <v>0</v>
      </c>
      <c r="H30" s="3">
        <v>4</v>
      </c>
      <c r="I30" s="3">
        <v>8709091</v>
      </c>
      <c r="J30" s="3">
        <v>913177.63963963964</v>
      </c>
      <c r="K30" s="3">
        <v>4793954.0365708387</v>
      </c>
      <c r="L30" s="3">
        <v>98</v>
      </c>
      <c r="M30" s="3">
        <v>85782367.381144792</v>
      </c>
    </row>
    <row r="31" spans="1:13" ht="15.75" customHeight="1" x14ac:dyDescent="0.25">
      <c r="A31" s="2">
        <v>30</v>
      </c>
      <c r="B31" s="2" t="s">
        <v>92</v>
      </c>
      <c r="C31" s="2" t="s">
        <v>93</v>
      </c>
      <c r="D31" s="3">
        <v>34</v>
      </c>
      <c r="E31" s="3">
        <v>485273443.48122537</v>
      </c>
      <c r="F31" s="3">
        <v>0</v>
      </c>
      <c r="G31" s="3">
        <v>0</v>
      </c>
      <c r="H31" s="3">
        <v>0</v>
      </c>
      <c r="I31" s="3">
        <v>0</v>
      </c>
      <c r="J31" s="3">
        <v>14641518.91666667</v>
      </c>
      <c r="K31" s="3">
        <v>0</v>
      </c>
      <c r="L31" s="3">
        <v>34</v>
      </c>
      <c r="M31" s="3">
        <v>485273443.48122537</v>
      </c>
    </row>
    <row r="32" spans="1:13" ht="15.75" customHeight="1" x14ac:dyDescent="0.25">
      <c r="A32" s="2">
        <v>31</v>
      </c>
      <c r="B32" s="2" t="s">
        <v>94</v>
      </c>
      <c r="C32" s="2" t="s">
        <v>95</v>
      </c>
      <c r="D32" s="3">
        <v>19</v>
      </c>
      <c r="E32" s="3">
        <v>35883713.785028383</v>
      </c>
      <c r="F32" s="3">
        <v>0</v>
      </c>
      <c r="G32" s="3">
        <v>0</v>
      </c>
      <c r="H32" s="3">
        <v>0</v>
      </c>
      <c r="I32" s="3">
        <v>0</v>
      </c>
      <c r="J32" s="3">
        <v>1934313.95</v>
      </c>
      <c r="K32" s="3">
        <v>0</v>
      </c>
      <c r="L32" s="3">
        <v>19</v>
      </c>
      <c r="M32" s="3">
        <v>35883713.785028383</v>
      </c>
    </row>
    <row r="33" spans="1:13" ht="15.75" customHeight="1" x14ac:dyDescent="0.25">
      <c r="A33" s="2">
        <v>32</v>
      </c>
      <c r="B33" s="2" t="s">
        <v>96</v>
      </c>
      <c r="C33" s="2" t="s">
        <v>97</v>
      </c>
      <c r="D33" s="3">
        <v>29</v>
      </c>
      <c r="E33" s="3">
        <v>46846697</v>
      </c>
      <c r="F33" s="3">
        <v>0</v>
      </c>
      <c r="G33" s="3">
        <v>0</v>
      </c>
      <c r="H33" s="3">
        <v>1</v>
      </c>
      <c r="I33" s="3">
        <v>1636364</v>
      </c>
      <c r="J33" s="3">
        <v>1615403.3448275861</v>
      </c>
      <c r="K33" s="3">
        <v>2120115.8048181799</v>
      </c>
      <c r="L33" s="3">
        <v>28</v>
      </c>
      <c r="M33" s="3">
        <v>44726581.195181817</v>
      </c>
    </row>
    <row r="34" spans="1:13" ht="15.75" customHeight="1" x14ac:dyDescent="0.25">
      <c r="A34" s="2">
        <v>33</v>
      </c>
      <c r="B34" s="2" t="s">
        <v>98</v>
      </c>
      <c r="C34" s="2" t="s">
        <v>99</v>
      </c>
      <c r="D34" s="3">
        <v>62</v>
      </c>
      <c r="E34" s="3">
        <v>231359843.0352568</v>
      </c>
      <c r="F34" s="3">
        <v>0</v>
      </c>
      <c r="G34" s="3">
        <v>0</v>
      </c>
      <c r="H34" s="3">
        <v>9</v>
      </c>
      <c r="I34" s="3">
        <v>55818181</v>
      </c>
      <c r="J34" s="3">
        <v>4058089.0860746051</v>
      </c>
      <c r="K34" s="3">
        <v>47933891.883198284</v>
      </c>
      <c r="L34" s="3">
        <v>53</v>
      </c>
      <c r="M34" s="3">
        <v>183425951.15205851</v>
      </c>
    </row>
    <row r="35" spans="1:13" ht="15.75" customHeight="1" x14ac:dyDescent="0.25">
      <c r="A35" s="2">
        <v>34</v>
      </c>
      <c r="B35" s="2" t="s">
        <v>100</v>
      </c>
      <c r="C35" s="2" t="s">
        <v>101</v>
      </c>
      <c r="D35" s="3">
        <v>153</v>
      </c>
      <c r="E35" s="3">
        <v>1773064874.7000461</v>
      </c>
      <c r="F35" s="3">
        <v>1</v>
      </c>
      <c r="G35" s="3">
        <v>15707912.354272099</v>
      </c>
      <c r="H35" s="3">
        <v>17</v>
      </c>
      <c r="I35" s="3">
        <v>194409093</v>
      </c>
      <c r="J35" s="3">
        <v>12098275.807838731</v>
      </c>
      <c r="K35" s="3">
        <v>269929908.9403342</v>
      </c>
      <c r="L35" s="3">
        <v>137</v>
      </c>
      <c r="M35" s="3">
        <v>1518842878.1139841</v>
      </c>
    </row>
    <row r="36" spans="1:13" ht="15.75" customHeight="1" x14ac:dyDescent="0.25">
      <c r="A36" s="2">
        <v>35</v>
      </c>
      <c r="B36" s="2" t="s">
        <v>102</v>
      </c>
      <c r="C36" s="2" t="s">
        <v>103</v>
      </c>
      <c r="D36" s="3">
        <v>18</v>
      </c>
      <c r="E36" s="3">
        <v>284778157.25858349</v>
      </c>
      <c r="F36" s="3">
        <v>0</v>
      </c>
      <c r="G36" s="3">
        <v>0</v>
      </c>
      <c r="H36" s="3">
        <v>0</v>
      </c>
      <c r="I36" s="3">
        <v>0</v>
      </c>
      <c r="J36" s="3">
        <v>16224046.421052629</v>
      </c>
      <c r="K36" s="3">
        <v>0</v>
      </c>
      <c r="L36" s="3">
        <v>18</v>
      </c>
      <c r="M36" s="3">
        <v>284778157.25858349</v>
      </c>
    </row>
    <row r="37" spans="1:13" ht="15.75" customHeight="1" x14ac:dyDescent="0.25">
      <c r="A37" s="2">
        <v>36</v>
      </c>
      <c r="B37" s="2" t="s">
        <v>104</v>
      </c>
      <c r="C37" s="2" t="s">
        <v>105</v>
      </c>
      <c r="D37" s="3">
        <v>18</v>
      </c>
      <c r="E37" s="3">
        <v>70922927.126461625</v>
      </c>
      <c r="F37" s="3">
        <v>0</v>
      </c>
      <c r="G37" s="3">
        <v>0</v>
      </c>
      <c r="H37" s="3">
        <v>2</v>
      </c>
      <c r="I37" s="3">
        <v>6809091</v>
      </c>
      <c r="J37" s="3">
        <v>4200403.0952380951</v>
      </c>
      <c r="K37" s="3">
        <v>11025532.43725265</v>
      </c>
      <c r="L37" s="3">
        <v>16</v>
      </c>
      <c r="M37" s="3">
        <v>59897394.689208977</v>
      </c>
    </row>
    <row r="38" spans="1:13" ht="15.75" customHeight="1" x14ac:dyDescent="0.25">
      <c r="A38" s="2">
        <v>37</v>
      </c>
      <c r="B38" s="2" t="s">
        <v>106</v>
      </c>
      <c r="C38" s="2" t="s">
        <v>107</v>
      </c>
      <c r="D38" s="3">
        <v>42</v>
      </c>
      <c r="E38" s="3">
        <v>90904391.754101694</v>
      </c>
      <c r="F38" s="3">
        <v>6</v>
      </c>
      <c r="G38" s="3">
        <v>17812827.222062919</v>
      </c>
      <c r="H38" s="3">
        <v>5</v>
      </c>
      <c r="I38" s="3">
        <v>13800001</v>
      </c>
      <c r="J38" s="3">
        <v>2832812.0108333328</v>
      </c>
      <c r="K38" s="3">
        <v>18589442.49272782</v>
      </c>
      <c r="L38" s="3">
        <v>43</v>
      </c>
      <c r="M38" s="3">
        <v>90127776.483436793</v>
      </c>
    </row>
    <row r="39" spans="1:13" ht="15.75" customHeight="1" x14ac:dyDescent="0.25">
      <c r="A39" s="2">
        <v>38</v>
      </c>
      <c r="B39" s="2" t="s">
        <v>108</v>
      </c>
      <c r="C39" s="2" t="s">
        <v>109</v>
      </c>
      <c r="D39" s="3">
        <v>1006</v>
      </c>
      <c r="E39" s="3">
        <v>1771084774.029531</v>
      </c>
      <c r="F39" s="3">
        <v>43</v>
      </c>
      <c r="G39" s="3">
        <v>79987153.141878828</v>
      </c>
      <c r="H39" s="3">
        <v>123</v>
      </c>
      <c r="I39" s="3">
        <v>393218183</v>
      </c>
      <c r="J39" s="3">
        <v>1851319.3444593791</v>
      </c>
      <c r="K39" s="3">
        <v>298858117.37740618</v>
      </c>
      <c r="L39" s="3">
        <v>926</v>
      </c>
      <c r="M39" s="3">
        <v>1552213809.794003</v>
      </c>
    </row>
    <row r="40" spans="1:13" ht="15.75" customHeight="1" x14ac:dyDescent="0.25">
      <c r="A40" s="2">
        <v>39</v>
      </c>
      <c r="B40" s="2" t="s">
        <v>110</v>
      </c>
      <c r="C40" s="2" t="s">
        <v>111</v>
      </c>
      <c r="D40" s="3">
        <v>30</v>
      </c>
      <c r="E40" s="3">
        <v>159181265.39801821</v>
      </c>
      <c r="F40" s="3">
        <v>0</v>
      </c>
      <c r="G40" s="3">
        <v>0</v>
      </c>
      <c r="H40" s="3">
        <v>0</v>
      </c>
      <c r="I40" s="3">
        <v>0</v>
      </c>
      <c r="J40" s="3">
        <v>5311958.333333333</v>
      </c>
      <c r="K40" s="3">
        <v>0</v>
      </c>
      <c r="L40" s="3">
        <v>30</v>
      </c>
      <c r="M40" s="3">
        <v>159181265.39801821</v>
      </c>
    </row>
    <row r="41" spans="1:13" ht="15.75" customHeight="1" x14ac:dyDescent="0.25">
      <c r="A41" s="2">
        <v>40</v>
      </c>
      <c r="B41" s="2" t="s">
        <v>112</v>
      </c>
      <c r="C41" s="2" t="s">
        <v>113</v>
      </c>
      <c r="D41" s="3">
        <v>22</v>
      </c>
      <c r="E41" s="3">
        <v>115056739.2592205</v>
      </c>
      <c r="F41" s="3">
        <v>0</v>
      </c>
      <c r="G41" s="3">
        <v>0</v>
      </c>
      <c r="H41" s="3">
        <v>0</v>
      </c>
      <c r="I41" s="3">
        <v>0</v>
      </c>
      <c r="J41" s="3">
        <v>5640389.1660000002</v>
      </c>
      <c r="K41" s="3">
        <v>0</v>
      </c>
      <c r="L41" s="3">
        <v>22</v>
      </c>
      <c r="M41" s="3">
        <v>115056739.2592205</v>
      </c>
    </row>
    <row r="42" spans="1:13" ht="15.75" customHeight="1" x14ac:dyDescent="0.25">
      <c r="A42" s="2">
        <v>41</v>
      </c>
      <c r="B42" s="2" t="s">
        <v>114</v>
      </c>
      <c r="C42" s="2" t="s">
        <v>115</v>
      </c>
      <c r="D42" s="3">
        <v>20</v>
      </c>
      <c r="E42" s="3">
        <v>44762940.866334893</v>
      </c>
      <c r="F42" s="3">
        <v>2</v>
      </c>
      <c r="G42" s="3">
        <v>5675968.8502970869</v>
      </c>
      <c r="H42" s="3">
        <v>2</v>
      </c>
      <c r="I42" s="3">
        <v>6636364</v>
      </c>
      <c r="J42" s="3">
        <v>2495130.2843726519</v>
      </c>
      <c r="K42" s="3">
        <v>6549404.726586774</v>
      </c>
      <c r="L42" s="3">
        <v>20</v>
      </c>
      <c r="M42" s="3">
        <v>43889504.990045197</v>
      </c>
    </row>
    <row r="43" spans="1:13" ht="15.75" customHeight="1" x14ac:dyDescent="0.25">
      <c r="A43" s="2">
        <v>42</v>
      </c>
      <c r="B43" s="2" t="s">
        <v>116</v>
      </c>
      <c r="C43" s="2" t="s">
        <v>117</v>
      </c>
      <c r="D43" s="3">
        <v>70</v>
      </c>
      <c r="E43" s="3">
        <v>44912982.153674953</v>
      </c>
      <c r="F43" s="3">
        <v>0</v>
      </c>
      <c r="G43" s="3">
        <v>0</v>
      </c>
      <c r="H43" s="3">
        <v>1</v>
      </c>
      <c r="I43" s="3">
        <v>772727</v>
      </c>
      <c r="J43" s="3">
        <v>665230.1944444445</v>
      </c>
      <c r="K43" s="3">
        <v>873073.00285085605</v>
      </c>
      <c r="L43" s="3">
        <v>69</v>
      </c>
      <c r="M43" s="3">
        <v>44039909.1508241</v>
      </c>
    </row>
    <row r="44" spans="1:13" ht="15.75" customHeight="1" x14ac:dyDescent="0.25">
      <c r="A44" s="2">
        <v>43</v>
      </c>
      <c r="B44" s="2" t="s">
        <v>118</v>
      </c>
      <c r="C44" s="2" t="s">
        <v>119</v>
      </c>
      <c r="D44" s="3">
        <v>198</v>
      </c>
      <c r="E44" s="3">
        <v>75293690.612070709</v>
      </c>
      <c r="F44" s="3">
        <v>0</v>
      </c>
      <c r="G44" s="3">
        <v>0</v>
      </c>
      <c r="H44" s="3">
        <v>2</v>
      </c>
      <c r="I44" s="3">
        <v>1136363</v>
      </c>
      <c r="J44" s="3">
        <v>392002.07575757569</v>
      </c>
      <c r="K44" s="3">
        <v>1028956.389122585</v>
      </c>
      <c r="L44" s="3">
        <v>196</v>
      </c>
      <c r="M44" s="3">
        <v>74264734.222948119</v>
      </c>
    </row>
    <row r="45" spans="1:13" ht="15.75" customHeight="1" x14ac:dyDescent="0.25">
      <c r="A45" s="2">
        <v>44</v>
      </c>
      <c r="B45" s="2" t="s">
        <v>120</v>
      </c>
      <c r="C45" s="2" t="s">
        <v>121</v>
      </c>
      <c r="D45" s="3">
        <v>18</v>
      </c>
      <c r="E45" s="3">
        <v>133866145.3563116</v>
      </c>
      <c r="F45" s="3">
        <v>11</v>
      </c>
      <c r="G45" s="3">
        <v>82059544.359689087</v>
      </c>
      <c r="H45" s="3">
        <v>11</v>
      </c>
      <c r="I45" s="3">
        <v>91772730</v>
      </c>
      <c r="J45" s="3">
        <v>7647970.382940108</v>
      </c>
      <c r="K45" s="3">
        <v>110412308.0413802</v>
      </c>
      <c r="L45" s="3">
        <v>18</v>
      </c>
      <c r="M45" s="3">
        <v>105513381.67462049</v>
      </c>
    </row>
    <row r="46" spans="1:13" ht="15.75" customHeight="1" x14ac:dyDescent="0.25">
      <c r="A46" s="2">
        <v>45</v>
      </c>
      <c r="B46" s="2" t="s">
        <v>122</v>
      </c>
      <c r="C46" s="2" t="s">
        <v>123</v>
      </c>
      <c r="D46" s="3">
        <v>462</v>
      </c>
      <c r="E46" s="3">
        <v>178225918.96496969</v>
      </c>
      <c r="F46" s="3">
        <v>0</v>
      </c>
      <c r="G46" s="3">
        <v>0</v>
      </c>
      <c r="H46" s="3">
        <v>7</v>
      </c>
      <c r="I46" s="3">
        <v>4954546</v>
      </c>
      <c r="J46" s="3">
        <v>429485.90788319899</v>
      </c>
      <c r="K46" s="3">
        <v>3945713.650499641</v>
      </c>
      <c r="L46" s="3">
        <v>455</v>
      </c>
      <c r="M46" s="3">
        <v>174280205.31447011</v>
      </c>
    </row>
    <row r="47" spans="1:13" ht="15.75" customHeight="1" x14ac:dyDescent="0.25">
      <c r="A47" s="2">
        <v>46</v>
      </c>
      <c r="B47" s="2" t="s">
        <v>124</v>
      </c>
      <c r="C47" s="2" t="s">
        <v>125</v>
      </c>
      <c r="D47" s="3">
        <v>126</v>
      </c>
      <c r="E47" s="3">
        <v>101384573.64342231</v>
      </c>
      <c r="F47" s="3">
        <v>0</v>
      </c>
      <c r="G47" s="3">
        <v>0</v>
      </c>
      <c r="H47" s="3">
        <v>1</v>
      </c>
      <c r="I47" s="3">
        <v>1363636</v>
      </c>
      <c r="J47" s="3">
        <v>815364.67292784736</v>
      </c>
      <c r="K47" s="3">
        <v>1070115.1110648699</v>
      </c>
      <c r="L47" s="3">
        <v>125</v>
      </c>
      <c r="M47" s="3">
        <v>100314458.5323575</v>
      </c>
    </row>
    <row r="48" spans="1:13" ht="15.75" customHeight="1" x14ac:dyDescent="0.25">
      <c r="A48" s="2">
        <v>47</v>
      </c>
      <c r="B48" s="2" t="s">
        <v>126</v>
      </c>
      <c r="C48" s="2" t="s">
        <v>127</v>
      </c>
      <c r="D48" s="3">
        <v>256</v>
      </c>
      <c r="E48" s="3">
        <v>88404118.247126997</v>
      </c>
      <c r="F48" s="3">
        <v>0</v>
      </c>
      <c r="G48" s="3">
        <v>0</v>
      </c>
      <c r="H48" s="3">
        <v>10</v>
      </c>
      <c r="I48" s="3">
        <v>3240000</v>
      </c>
      <c r="J48" s="3">
        <v>395247.37059206242</v>
      </c>
      <c r="K48" s="3">
        <v>5187374.4095441205</v>
      </c>
      <c r="L48" s="3">
        <v>246</v>
      </c>
      <c r="M48" s="3">
        <v>83216743.837582871</v>
      </c>
    </row>
    <row r="49" spans="1:13" ht="15.75" customHeight="1" x14ac:dyDescent="0.25">
      <c r="A49" s="2">
        <v>48</v>
      </c>
      <c r="B49" s="2" t="s">
        <v>128</v>
      </c>
      <c r="C49" s="2" t="s">
        <v>129</v>
      </c>
      <c r="D49" s="3">
        <v>73</v>
      </c>
      <c r="E49" s="3">
        <v>64813630.251186997</v>
      </c>
      <c r="F49" s="3">
        <v>4</v>
      </c>
      <c r="G49" s="3">
        <v>3519980.6523394468</v>
      </c>
      <c r="H49" s="3">
        <v>1</v>
      </c>
      <c r="I49" s="3">
        <v>1240909</v>
      </c>
      <c r="J49" s="3">
        <v>962345.272881301</v>
      </c>
      <c r="K49" s="3">
        <v>1263017.951065015</v>
      </c>
      <c r="L49" s="3">
        <v>76</v>
      </c>
      <c r="M49" s="3">
        <v>67070592.952461436</v>
      </c>
    </row>
    <row r="50" spans="1:13" ht="15.75" customHeight="1" x14ac:dyDescent="0.25">
      <c r="A50" s="2">
        <v>49</v>
      </c>
      <c r="B50" s="2" t="s">
        <v>130</v>
      </c>
      <c r="C50" s="2" t="s">
        <v>131</v>
      </c>
      <c r="D50" s="3">
        <v>200</v>
      </c>
      <c r="E50" s="3">
        <v>674195234.48076451</v>
      </c>
      <c r="F50" s="3">
        <v>0</v>
      </c>
      <c r="G50" s="3">
        <v>0</v>
      </c>
      <c r="H50" s="3">
        <v>0</v>
      </c>
      <c r="I50" s="3">
        <v>0</v>
      </c>
      <c r="J50" s="3">
        <v>3376250.5074626859</v>
      </c>
      <c r="K50" s="3">
        <v>0</v>
      </c>
      <c r="L50" s="3">
        <v>200</v>
      </c>
      <c r="M50" s="3">
        <v>674195234.48076451</v>
      </c>
    </row>
    <row r="51" spans="1:13" ht="15.75" customHeight="1" x14ac:dyDescent="0.25">
      <c r="A51" s="2">
        <v>50</v>
      </c>
      <c r="B51" s="2" t="s">
        <v>132</v>
      </c>
      <c r="C51" s="2" t="s">
        <v>133</v>
      </c>
      <c r="D51" s="3">
        <v>139</v>
      </c>
      <c r="E51" s="3">
        <v>55591958.362194963</v>
      </c>
      <c r="F51" s="3">
        <v>2</v>
      </c>
      <c r="G51" s="3">
        <v>439997.09754513949</v>
      </c>
      <c r="H51" s="3">
        <v>0</v>
      </c>
      <c r="I51" s="3">
        <v>0</v>
      </c>
      <c r="J51" s="3">
        <v>405914.89078358642</v>
      </c>
      <c r="K51" s="3">
        <v>0</v>
      </c>
      <c r="L51" s="3">
        <v>141</v>
      </c>
      <c r="M51" s="3">
        <v>56031955.459740087</v>
      </c>
    </row>
    <row r="52" spans="1:13" ht="15.75" customHeight="1" x14ac:dyDescent="0.25">
      <c r="A52" s="2">
        <v>51</v>
      </c>
      <c r="B52" s="2" t="s">
        <v>134</v>
      </c>
      <c r="C52" s="2" t="s">
        <v>135</v>
      </c>
      <c r="D52" s="3">
        <v>709</v>
      </c>
      <c r="E52" s="3">
        <v>12871948.05130716</v>
      </c>
      <c r="F52" s="3">
        <v>250</v>
      </c>
      <c r="G52" s="3">
        <v>5367970.3980181981</v>
      </c>
      <c r="H52" s="3">
        <v>73</v>
      </c>
      <c r="I52" s="3">
        <v>5927274</v>
      </c>
      <c r="J52" s="3">
        <v>21041.167790881991</v>
      </c>
      <c r="K52" s="3">
        <v>2015910.7721007101</v>
      </c>
      <c r="L52" s="3">
        <v>886</v>
      </c>
      <c r="M52" s="3">
        <v>16224007.67722464</v>
      </c>
    </row>
    <row r="53" spans="1:13" ht="15.75" customHeight="1" x14ac:dyDescent="0.25">
      <c r="A53" s="2">
        <v>52</v>
      </c>
      <c r="B53" s="2" t="s">
        <v>136</v>
      </c>
      <c r="C53" s="2" t="s">
        <v>137</v>
      </c>
      <c r="D53" s="3">
        <v>0</v>
      </c>
      <c r="E53" s="3">
        <v>0</v>
      </c>
      <c r="F53" s="3">
        <v>6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6</v>
      </c>
      <c r="M53" s="3">
        <v>0</v>
      </c>
    </row>
    <row r="54" spans="1:13" ht="15.75" customHeight="1" x14ac:dyDescent="0.25">
      <c r="C54" s="4" t="s">
        <v>138</v>
      </c>
      <c r="D54" s="5">
        <f t="shared" ref="D54:M54" si="0">SUM(D2:D53)</f>
        <v>39025.036</v>
      </c>
      <c r="E54" s="5">
        <f t="shared" si="0"/>
        <v>19121203332.126991</v>
      </c>
      <c r="F54" s="5">
        <f t="shared" si="0"/>
        <v>983</v>
      </c>
      <c r="G54" s="5">
        <f t="shared" si="0"/>
        <v>712368971.91307092</v>
      </c>
      <c r="H54" s="5">
        <f t="shared" si="0"/>
        <v>1822</v>
      </c>
      <c r="I54" s="5">
        <f t="shared" si="0"/>
        <v>1650324554</v>
      </c>
      <c r="J54" s="5">
        <f t="shared" si="0"/>
        <v>203435559.01325837</v>
      </c>
      <c r="K54" s="5">
        <f t="shared" si="0"/>
        <v>1662111518.4491699</v>
      </c>
      <c r="L54" s="5">
        <f t="shared" si="0"/>
        <v>38186.036</v>
      </c>
      <c r="M54" s="5">
        <f t="shared" si="0"/>
        <v>18171460785.590897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3" x14ac:dyDescent="0.25">
      <c r="A1" s="1" t="s">
        <v>0</v>
      </c>
      <c r="B1" s="1" t="s">
        <v>1</v>
      </c>
      <c r="C1" s="1" t="s">
        <v>146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8</v>
      </c>
      <c r="M1" s="1" t="s">
        <v>9</v>
      </c>
    </row>
    <row r="2" spans="1:13" x14ac:dyDescent="0.25">
      <c r="A2" s="2">
        <v>1</v>
      </c>
      <c r="B2" s="2" t="s">
        <v>34</v>
      </c>
      <c r="C2" s="2" t="s">
        <v>35</v>
      </c>
      <c r="D2" s="3">
        <v>1335</v>
      </c>
      <c r="E2" s="3">
        <v>536462648.65512961</v>
      </c>
      <c r="F2" s="3">
        <v>0</v>
      </c>
      <c r="G2" s="3">
        <v>0</v>
      </c>
      <c r="H2" s="3">
        <v>1</v>
      </c>
      <c r="I2" s="3">
        <v>727273</v>
      </c>
      <c r="J2" s="3">
        <v>414992.13301073178</v>
      </c>
      <c r="K2" s="3">
        <v>544651.20608324988</v>
      </c>
      <c r="L2" s="3">
        <v>1334</v>
      </c>
      <c r="M2" s="3">
        <v>535917997.44904631</v>
      </c>
    </row>
    <row r="3" spans="1:13" x14ac:dyDescent="0.25">
      <c r="A3" s="2">
        <v>2</v>
      </c>
      <c r="B3" s="2" t="s">
        <v>36</v>
      </c>
      <c r="C3" s="2" t="s">
        <v>37</v>
      </c>
      <c r="D3" s="3">
        <v>141</v>
      </c>
      <c r="E3" s="3">
        <v>168985582.3527995</v>
      </c>
      <c r="F3" s="3">
        <v>13</v>
      </c>
      <c r="G3" s="3">
        <v>14528721.68164245</v>
      </c>
      <c r="H3" s="3">
        <v>6</v>
      </c>
      <c r="I3" s="3">
        <v>5818182</v>
      </c>
      <c r="J3" s="3">
        <v>1257575.314005099</v>
      </c>
      <c r="K3" s="3">
        <v>9902933.4345817976</v>
      </c>
      <c r="L3" s="3">
        <v>148</v>
      </c>
      <c r="M3" s="3">
        <v>173611370.5998601</v>
      </c>
    </row>
    <row r="4" spans="1:13" x14ac:dyDescent="0.25">
      <c r="A4" s="2">
        <v>3</v>
      </c>
      <c r="B4" s="2" t="s">
        <v>38</v>
      </c>
      <c r="C4" s="2" t="s">
        <v>39</v>
      </c>
      <c r="D4" s="3">
        <v>865</v>
      </c>
      <c r="E4" s="3">
        <v>350328172.15165079</v>
      </c>
      <c r="F4" s="3">
        <v>0</v>
      </c>
      <c r="G4" s="3">
        <v>0</v>
      </c>
      <c r="H4" s="3">
        <v>3</v>
      </c>
      <c r="I4" s="3">
        <v>1318182</v>
      </c>
      <c r="J4" s="3">
        <v>406324.54462242569</v>
      </c>
      <c r="K4" s="3">
        <v>1599826.6161164199</v>
      </c>
      <c r="L4" s="3">
        <v>862</v>
      </c>
      <c r="M4" s="3">
        <v>348728345.53553438</v>
      </c>
    </row>
    <row r="5" spans="1:13" x14ac:dyDescent="0.25">
      <c r="A5" s="2">
        <v>4</v>
      </c>
      <c r="B5" s="2" t="s">
        <v>40</v>
      </c>
      <c r="C5" s="2" t="s">
        <v>41</v>
      </c>
      <c r="D5" s="3">
        <v>1260</v>
      </c>
      <c r="E5" s="3">
        <v>176760295.73336291</v>
      </c>
      <c r="F5" s="3">
        <v>32</v>
      </c>
      <c r="G5" s="3">
        <v>4223976.0084116701</v>
      </c>
      <c r="H5" s="3">
        <v>18</v>
      </c>
      <c r="I5" s="3">
        <v>3200000</v>
      </c>
      <c r="J5" s="3">
        <v>144177.87395532621</v>
      </c>
      <c r="K5" s="3">
        <v>3406039.875191119</v>
      </c>
      <c r="L5" s="3">
        <v>1274</v>
      </c>
      <c r="M5" s="3">
        <v>177578231.8665835</v>
      </c>
    </row>
    <row r="6" spans="1:13" x14ac:dyDescent="0.25">
      <c r="A6" s="2">
        <v>5</v>
      </c>
      <c r="B6" s="2" t="s">
        <v>42</v>
      </c>
      <c r="C6" s="2" t="s">
        <v>43</v>
      </c>
      <c r="D6" s="3">
        <v>39</v>
      </c>
      <c r="E6" s="3">
        <v>11698312.18789771</v>
      </c>
      <c r="F6" s="3">
        <v>5</v>
      </c>
      <c r="G6" s="3">
        <v>923994.38884208433</v>
      </c>
      <c r="H6" s="3">
        <v>0</v>
      </c>
      <c r="I6" s="3">
        <v>0</v>
      </c>
      <c r="J6" s="3">
        <v>323930.56135175802</v>
      </c>
      <c r="K6" s="3">
        <v>0</v>
      </c>
      <c r="L6" s="3">
        <v>44</v>
      </c>
      <c r="M6" s="3">
        <v>12622306.576739799</v>
      </c>
    </row>
    <row r="7" spans="1:13" x14ac:dyDescent="0.25">
      <c r="A7" s="2">
        <v>6</v>
      </c>
      <c r="B7" s="2" t="s">
        <v>44</v>
      </c>
      <c r="C7" s="2" t="s">
        <v>45</v>
      </c>
      <c r="D7" s="3">
        <v>35</v>
      </c>
      <c r="E7" s="3">
        <v>1071447.9685686131</v>
      </c>
      <c r="F7" s="3">
        <v>0</v>
      </c>
      <c r="G7" s="3">
        <v>0</v>
      </c>
      <c r="H7" s="3">
        <v>0</v>
      </c>
      <c r="I7" s="3">
        <v>0</v>
      </c>
      <c r="J7" s="3">
        <v>31194.71428571429</v>
      </c>
      <c r="K7" s="3">
        <v>0</v>
      </c>
      <c r="L7" s="3">
        <v>35</v>
      </c>
      <c r="M7" s="3">
        <v>1071447.9685686131</v>
      </c>
    </row>
    <row r="8" spans="1:13" x14ac:dyDescent="0.25">
      <c r="A8" s="2">
        <v>7</v>
      </c>
      <c r="B8" s="2" t="s">
        <v>46</v>
      </c>
      <c r="C8" s="2" t="s">
        <v>47</v>
      </c>
      <c r="D8" s="3">
        <v>15888</v>
      </c>
      <c r="E8" s="3">
        <v>2229652370.764986</v>
      </c>
      <c r="F8" s="3">
        <v>3</v>
      </c>
      <c r="G8" s="3">
        <v>675850.91246885236</v>
      </c>
      <c r="H8" s="3">
        <v>16</v>
      </c>
      <c r="I8" s="3">
        <v>2499998</v>
      </c>
      <c r="J8" s="3">
        <v>141829.73763729449</v>
      </c>
      <c r="K8" s="3">
        <v>2978282.4884779472</v>
      </c>
      <c r="L8" s="3">
        <v>15875</v>
      </c>
      <c r="M8" s="3">
        <v>2227349939.1889758</v>
      </c>
    </row>
    <row r="9" spans="1:13" x14ac:dyDescent="0.25">
      <c r="A9" s="2">
        <v>8</v>
      </c>
      <c r="B9" s="2" t="s">
        <v>48</v>
      </c>
      <c r="C9" s="2" t="s">
        <v>49</v>
      </c>
      <c r="D9" s="3">
        <v>60</v>
      </c>
      <c r="E9" s="3">
        <v>125274655.8487355</v>
      </c>
      <c r="F9" s="3">
        <v>1</v>
      </c>
      <c r="G9" s="3">
        <v>4768368.4177058116</v>
      </c>
      <c r="H9" s="3">
        <v>5</v>
      </c>
      <c r="I9" s="3">
        <v>6500001</v>
      </c>
      <c r="J9" s="3">
        <v>2475700.8662104509</v>
      </c>
      <c r="K9" s="3">
        <v>16246012.33884112</v>
      </c>
      <c r="L9" s="3">
        <v>56</v>
      </c>
      <c r="M9" s="3">
        <v>113797011.9276001</v>
      </c>
    </row>
    <row r="10" spans="1:13" x14ac:dyDescent="0.25">
      <c r="A10" s="2">
        <v>9</v>
      </c>
      <c r="B10" s="2" t="s">
        <v>50</v>
      </c>
      <c r="C10" s="2" t="s">
        <v>51</v>
      </c>
      <c r="D10" s="3">
        <v>1218</v>
      </c>
      <c r="E10" s="3">
        <v>1529863284.600723</v>
      </c>
      <c r="F10" s="3">
        <v>232</v>
      </c>
      <c r="G10" s="3">
        <v>298239128.9611882</v>
      </c>
      <c r="H10" s="3">
        <v>27</v>
      </c>
      <c r="I10" s="3">
        <v>37887880</v>
      </c>
      <c r="J10" s="3">
        <v>1313604.764082355</v>
      </c>
      <c r="K10" s="3">
        <v>46548649.428259641</v>
      </c>
      <c r="L10" s="3">
        <v>1423</v>
      </c>
      <c r="M10" s="3">
        <v>1781553764.133651</v>
      </c>
    </row>
    <row r="11" spans="1:13" x14ac:dyDescent="0.25">
      <c r="A11" s="2">
        <v>10</v>
      </c>
      <c r="B11" s="2" t="s">
        <v>52</v>
      </c>
      <c r="C11" s="2" t="s">
        <v>53</v>
      </c>
      <c r="D11" s="3">
        <v>117</v>
      </c>
      <c r="E11" s="3">
        <v>200361032.9514333</v>
      </c>
      <c r="F11" s="3">
        <v>54</v>
      </c>
      <c r="G11" s="3">
        <v>160494438.7066026</v>
      </c>
      <c r="H11" s="3">
        <v>1</v>
      </c>
      <c r="I11" s="3">
        <v>7318182</v>
      </c>
      <c r="J11" s="3">
        <v>2530082.1979788081</v>
      </c>
      <c r="K11" s="3">
        <v>3320574.5627551009</v>
      </c>
      <c r="L11" s="3">
        <v>170</v>
      </c>
      <c r="M11" s="3">
        <v>357534897.09528083</v>
      </c>
    </row>
    <row r="12" spans="1:13" x14ac:dyDescent="0.25">
      <c r="A12" s="2">
        <v>11</v>
      </c>
      <c r="B12" s="2" t="s">
        <v>54</v>
      </c>
      <c r="C12" s="2" t="s">
        <v>55</v>
      </c>
      <c r="D12" s="3">
        <v>48</v>
      </c>
      <c r="E12" s="3">
        <v>115212476.44746751</v>
      </c>
      <c r="F12" s="3">
        <v>5</v>
      </c>
      <c r="G12" s="3">
        <v>15267914.28873237</v>
      </c>
      <c r="H12" s="3">
        <v>0</v>
      </c>
      <c r="I12" s="3">
        <v>0</v>
      </c>
      <c r="J12" s="3">
        <v>2724873.3492153161</v>
      </c>
      <c r="K12" s="3">
        <v>0</v>
      </c>
      <c r="L12" s="3">
        <v>53</v>
      </c>
      <c r="M12" s="3">
        <v>130480390.7361999</v>
      </c>
    </row>
    <row r="13" spans="1:13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27234053.510117229</v>
      </c>
      <c r="F13" s="3">
        <v>0</v>
      </c>
      <c r="G13" s="3">
        <v>0</v>
      </c>
      <c r="H13" s="3">
        <v>0</v>
      </c>
      <c r="I13" s="3">
        <v>0</v>
      </c>
      <c r="J13" s="3">
        <v>1858187.5</v>
      </c>
      <c r="K13" s="3">
        <v>0</v>
      </c>
      <c r="L13" s="3">
        <v>15</v>
      </c>
      <c r="M13" s="3">
        <v>27234053.510117229</v>
      </c>
    </row>
    <row r="14" spans="1:13" x14ac:dyDescent="0.25">
      <c r="A14" s="2">
        <v>13</v>
      </c>
      <c r="B14" s="2" t="s">
        <v>58</v>
      </c>
      <c r="C14" s="2" t="s">
        <v>59</v>
      </c>
      <c r="D14" s="3">
        <v>15</v>
      </c>
      <c r="E14" s="3">
        <v>36008745</v>
      </c>
      <c r="F14" s="3">
        <v>0</v>
      </c>
      <c r="G14" s="3">
        <v>0</v>
      </c>
      <c r="H14" s="3">
        <v>0</v>
      </c>
      <c r="I14" s="3">
        <v>0</v>
      </c>
      <c r="J14" s="3">
        <v>2400583</v>
      </c>
      <c r="K14" s="3">
        <v>0</v>
      </c>
      <c r="L14" s="3">
        <v>15</v>
      </c>
      <c r="M14" s="3">
        <v>36008745</v>
      </c>
    </row>
    <row r="15" spans="1:13" x14ac:dyDescent="0.25">
      <c r="A15" s="2">
        <v>14</v>
      </c>
      <c r="B15" s="2" t="s">
        <v>60</v>
      </c>
      <c r="C15" s="2" t="s">
        <v>61</v>
      </c>
      <c r="D15" s="3">
        <v>290</v>
      </c>
      <c r="E15" s="3">
        <v>33228494.478136111</v>
      </c>
      <c r="F15" s="3">
        <v>14</v>
      </c>
      <c r="G15" s="3">
        <v>4678921.7866499797</v>
      </c>
      <c r="H15" s="3">
        <v>27</v>
      </c>
      <c r="I15" s="3">
        <v>7445453</v>
      </c>
      <c r="J15" s="3">
        <v>150191.82117746689</v>
      </c>
      <c r="K15" s="3">
        <v>5322168.9066160088</v>
      </c>
      <c r="L15" s="3">
        <v>277</v>
      </c>
      <c r="M15" s="3">
        <v>32585247.358170081</v>
      </c>
    </row>
    <row r="16" spans="1:13" x14ac:dyDescent="0.25">
      <c r="A16" s="2">
        <v>15</v>
      </c>
      <c r="B16" s="2" t="s">
        <v>62</v>
      </c>
      <c r="C16" s="2" t="s">
        <v>63</v>
      </c>
      <c r="D16" s="3">
        <v>11583</v>
      </c>
      <c r="E16" s="3">
        <v>1048802653.043247</v>
      </c>
      <c r="F16" s="3">
        <v>1108</v>
      </c>
      <c r="G16" s="3">
        <v>116866862.9596521</v>
      </c>
      <c r="H16" s="3">
        <v>31</v>
      </c>
      <c r="I16" s="3">
        <v>2227279</v>
      </c>
      <c r="J16" s="3">
        <v>94208.425656194901</v>
      </c>
      <c r="K16" s="3">
        <v>3832922.5684893611</v>
      </c>
      <c r="L16" s="3">
        <v>12660</v>
      </c>
      <c r="M16" s="3">
        <v>1161836593.4344089</v>
      </c>
    </row>
    <row r="17" spans="1:13" x14ac:dyDescent="0.25">
      <c r="A17" s="2">
        <v>16</v>
      </c>
      <c r="B17" s="2" t="s">
        <v>64</v>
      </c>
      <c r="C17" s="2" t="s">
        <v>65</v>
      </c>
      <c r="D17" s="3">
        <v>716.03600000000006</v>
      </c>
      <c r="E17" s="3">
        <v>100035945.15980139</v>
      </c>
      <c r="F17" s="3">
        <v>746.44900000000007</v>
      </c>
      <c r="G17" s="3">
        <v>207484341.70633951</v>
      </c>
      <c r="H17" s="3">
        <v>96</v>
      </c>
      <c r="I17" s="3">
        <v>188482083</v>
      </c>
      <c r="J17" s="3">
        <v>392364.31165831408</v>
      </c>
      <c r="K17" s="3">
        <v>49435546.225323401</v>
      </c>
      <c r="L17" s="3">
        <v>1366.4849999999999</v>
      </c>
      <c r="M17" s="3">
        <v>258084740.64081761</v>
      </c>
    </row>
    <row r="18" spans="1:13" x14ac:dyDescent="0.25">
      <c r="A18" s="2">
        <v>17</v>
      </c>
      <c r="B18" s="2" t="s">
        <v>66</v>
      </c>
      <c r="C18" s="2" t="s">
        <v>67</v>
      </c>
      <c r="D18" s="3">
        <v>43</v>
      </c>
      <c r="E18" s="3">
        <v>380629316</v>
      </c>
      <c r="F18" s="3">
        <v>0</v>
      </c>
      <c r="G18" s="3">
        <v>0</v>
      </c>
      <c r="H18" s="3">
        <v>0</v>
      </c>
      <c r="I18" s="3">
        <v>0</v>
      </c>
      <c r="J18" s="3">
        <v>8851844.5581395347</v>
      </c>
      <c r="K18" s="3">
        <v>0</v>
      </c>
      <c r="L18" s="3">
        <v>43</v>
      </c>
      <c r="M18" s="3">
        <v>380629316</v>
      </c>
    </row>
    <row r="19" spans="1:13" x14ac:dyDescent="0.25">
      <c r="A19" s="2">
        <v>18</v>
      </c>
      <c r="B19" s="2" t="s">
        <v>68</v>
      </c>
      <c r="C19" s="2" t="s">
        <v>69</v>
      </c>
      <c r="D19" s="3">
        <v>105</v>
      </c>
      <c r="E19" s="3">
        <v>303111695.21536338</v>
      </c>
      <c r="F19" s="3">
        <v>2</v>
      </c>
      <c r="G19" s="3">
        <v>4756305.0326661989</v>
      </c>
      <c r="H19" s="3">
        <v>0</v>
      </c>
      <c r="I19" s="3">
        <v>0</v>
      </c>
      <c r="J19" s="3">
        <v>2920900.0216522608</v>
      </c>
      <c r="K19" s="3">
        <v>0</v>
      </c>
      <c r="L19" s="3">
        <v>107</v>
      </c>
      <c r="M19" s="3">
        <v>307868000.24802959</v>
      </c>
    </row>
    <row r="20" spans="1:13" x14ac:dyDescent="0.25">
      <c r="A20" s="2">
        <v>19</v>
      </c>
      <c r="B20" s="2" t="s">
        <v>70</v>
      </c>
      <c r="C20" s="2" t="s">
        <v>71</v>
      </c>
      <c r="D20" s="3">
        <v>112</v>
      </c>
      <c r="E20" s="3">
        <v>414397421.08151919</v>
      </c>
      <c r="F20" s="3">
        <v>20</v>
      </c>
      <c r="G20" s="3">
        <v>188318946.50826329</v>
      </c>
      <c r="H20" s="3">
        <v>11</v>
      </c>
      <c r="I20" s="3">
        <v>49145455</v>
      </c>
      <c r="J20" s="3">
        <v>4952382.5293658935</v>
      </c>
      <c r="K20" s="3">
        <v>71496613.871677786</v>
      </c>
      <c r="L20" s="3">
        <v>121</v>
      </c>
      <c r="M20" s="3">
        <v>531219753.71810478</v>
      </c>
    </row>
    <row r="21" spans="1:13" ht="15.75" customHeight="1" x14ac:dyDescent="0.25">
      <c r="A21" s="2">
        <v>20</v>
      </c>
      <c r="B21" s="2" t="s">
        <v>72</v>
      </c>
      <c r="C21" s="2" t="s">
        <v>73</v>
      </c>
      <c r="D21" s="3">
        <v>45</v>
      </c>
      <c r="E21" s="3">
        <v>571690103.66028941</v>
      </c>
      <c r="F21" s="3">
        <v>2</v>
      </c>
      <c r="G21" s="3">
        <v>23407868.821271401</v>
      </c>
      <c r="H21" s="3">
        <v>1</v>
      </c>
      <c r="I21" s="3">
        <v>12590909</v>
      </c>
      <c r="J21" s="3">
        <v>12694716.808510641</v>
      </c>
      <c r="K21" s="3">
        <v>16661021.428234691</v>
      </c>
      <c r="L21" s="3">
        <v>46</v>
      </c>
      <c r="M21" s="3">
        <v>578436951.05332613</v>
      </c>
    </row>
    <row r="22" spans="1:13" ht="15.75" customHeight="1" x14ac:dyDescent="0.25">
      <c r="A22" s="2">
        <v>21</v>
      </c>
      <c r="B22" s="2" t="s">
        <v>74</v>
      </c>
      <c r="C22" s="2" t="s">
        <v>75</v>
      </c>
      <c r="D22" s="3">
        <v>86</v>
      </c>
      <c r="E22" s="3">
        <v>736162248</v>
      </c>
      <c r="F22" s="3">
        <v>0</v>
      </c>
      <c r="G22" s="3">
        <v>0</v>
      </c>
      <c r="H22" s="3">
        <v>0</v>
      </c>
      <c r="I22" s="3">
        <v>0</v>
      </c>
      <c r="J22" s="3">
        <v>8560026.1395348832</v>
      </c>
      <c r="K22" s="3">
        <v>0</v>
      </c>
      <c r="L22" s="3">
        <v>86</v>
      </c>
      <c r="M22" s="3">
        <v>736162248</v>
      </c>
    </row>
    <row r="23" spans="1:13" ht="15.75" customHeight="1" x14ac:dyDescent="0.25">
      <c r="A23" s="2">
        <v>22</v>
      </c>
      <c r="B23" s="2" t="s">
        <v>76</v>
      </c>
      <c r="C23" s="2" t="s">
        <v>77</v>
      </c>
      <c r="D23" s="3">
        <v>15</v>
      </c>
      <c r="E23" s="3">
        <v>5415070</v>
      </c>
      <c r="F23" s="3">
        <v>0</v>
      </c>
      <c r="G23" s="3">
        <v>0</v>
      </c>
      <c r="H23" s="3">
        <v>0</v>
      </c>
      <c r="I23" s="3">
        <v>0</v>
      </c>
      <c r="J23" s="3">
        <v>361004.66666666669</v>
      </c>
      <c r="K23" s="3">
        <v>0</v>
      </c>
      <c r="L23" s="3">
        <v>15</v>
      </c>
      <c r="M23" s="3">
        <v>5415070</v>
      </c>
    </row>
    <row r="24" spans="1:13" ht="15.75" customHeight="1" x14ac:dyDescent="0.25">
      <c r="A24" s="2">
        <v>23</v>
      </c>
      <c r="B24" s="2" t="s">
        <v>78</v>
      </c>
      <c r="C24" s="2" t="s">
        <v>79</v>
      </c>
      <c r="D24" s="3">
        <v>108</v>
      </c>
      <c r="E24" s="3">
        <v>1267230364.805438</v>
      </c>
      <c r="F24" s="3">
        <v>0</v>
      </c>
      <c r="G24" s="3">
        <v>0</v>
      </c>
      <c r="H24" s="3">
        <v>0</v>
      </c>
      <c r="I24" s="3">
        <v>0</v>
      </c>
      <c r="J24" s="3">
        <v>12053829.48013493</v>
      </c>
      <c r="K24" s="3">
        <v>0</v>
      </c>
      <c r="L24" s="3">
        <v>108</v>
      </c>
      <c r="M24" s="3">
        <v>1267230364.805438</v>
      </c>
    </row>
    <row r="25" spans="1:13" ht="15.75" customHeight="1" x14ac:dyDescent="0.25">
      <c r="A25" s="2">
        <v>24</v>
      </c>
      <c r="B25" s="2" t="s">
        <v>80</v>
      </c>
      <c r="C25" s="2" t="s">
        <v>81</v>
      </c>
      <c r="D25" s="3">
        <v>28</v>
      </c>
      <c r="E25" s="3">
        <v>107308288.1891529</v>
      </c>
      <c r="F25" s="3">
        <v>0</v>
      </c>
      <c r="G25" s="3">
        <v>0</v>
      </c>
      <c r="H25" s="3">
        <v>3</v>
      </c>
      <c r="I25" s="3">
        <v>32727273</v>
      </c>
      <c r="J25" s="3">
        <v>4172767.084639498</v>
      </c>
      <c r="K25" s="3">
        <v>16429487.05218913</v>
      </c>
      <c r="L25" s="3">
        <v>25</v>
      </c>
      <c r="M25" s="3">
        <v>90878801.13696377</v>
      </c>
    </row>
    <row r="26" spans="1:13" ht="15.75" customHeight="1" x14ac:dyDescent="0.25">
      <c r="A26" s="2">
        <v>25</v>
      </c>
      <c r="B26" s="2" t="s">
        <v>82</v>
      </c>
      <c r="C26" s="2" t="s">
        <v>83</v>
      </c>
      <c r="D26" s="3">
        <v>71</v>
      </c>
      <c r="E26" s="3">
        <v>1167717254.4246321</v>
      </c>
      <c r="F26" s="3">
        <v>1</v>
      </c>
      <c r="G26" s="3">
        <v>14959915.836453481</v>
      </c>
      <c r="H26" s="3">
        <v>0</v>
      </c>
      <c r="I26" s="3">
        <v>0</v>
      </c>
      <c r="J26" s="3">
        <v>16831485.93932749</v>
      </c>
      <c r="K26" s="3">
        <v>0</v>
      </c>
      <c r="L26" s="3">
        <v>72</v>
      </c>
      <c r="M26" s="3">
        <v>1182677170.261085</v>
      </c>
    </row>
    <row r="27" spans="1:13" ht="15.75" customHeight="1" x14ac:dyDescent="0.25">
      <c r="A27" s="2">
        <v>26</v>
      </c>
      <c r="B27" s="2" t="s">
        <v>84</v>
      </c>
      <c r="C27" s="2" t="s">
        <v>85</v>
      </c>
      <c r="D27" s="3">
        <v>25</v>
      </c>
      <c r="E27" s="3">
        <v>164483709.08397621</v>
      </c>
      <c r="F27" s="3">
        <v>28</v>
      </c>
      <c r="G27" s="3">
        <v>149611481.90356579</v>
      </c>
      <c r="H27" s="3">
        <v>15</v>
      </c>
      <c r="I27" s="3">
        <v>84500001</v>
      </c>
      <c r="J27" s="3">
        <v>6260802.6831489913</v>
      </c>
      <c r="K27" s="3">
        <v>123253676.1969713</v>
      </c>
      <c r="L27" s="3">
        <v>38</v>
      </c>
      <c r="M27" s="3">
        <v>190841514.7905708</v>
      </c>
    </row>
    <row r="28" spans="1:13" ht="15.75" customHeight="1" x14ac:dyDescent="0.25">
      <c r="A28" s="2">
        <v>27</v>
      </c>
      <c r="B28" s="2" t="s">
        <v>86</v>
      </c>
      <c r="C28" s="2" t="s">
        <v>87</v>
      </c>
      <c r="D28" s="3">
        <v>25</v>
      </c>
      <c r="E28" s="3">
        <v>128594743.4016661</v>
      </c>
      <c r="F28" s="3">
        <v>67</v>
      </c>
      <c r="G28" s="3">
        <v>684636165.24842334</v>
      </c>
      <c r="H28" s="3">
        <v>15</v>
      </c>
      <c r="I28" s="3">
        <v>135545454</v>
      </c>
      <c r="J28" s="3">
        <v>10536947.410839161</v>
      </c>
      <c r="K28" s="3">
        <v>207436261.77128929</v>
      </c>
      <c r="L28" s="3">
        <v>77</v>
      </c>
      <c r="M28" s="3">
        <v>605794646.87880015</v>
      </c>
    </row>
    <row r="29" spans="1:13" ht="15.75" customHeight="1" x14ac:dyDescent="0.25">
      <c r="A29" s="2">
        <v>28</v>
      </c>
      <c r="B29" s="2" t="s">
        <v>88</v>
      </c>
      <c r="C29" s="2" t="s">
        <v>89</v>
      </c>
      <c r="D29" s="3">
        <v>36</v>
      </c>
      <c r="E29" s="3">
        <v>179509594.59066921</v>
      </c>
      <c r="F29" s="3">
        <v>34</v>
      </c>
      <c r="G29" s="3">
        <v>316651267.76518881</v>
      </c>
      <c r="H29" s="3">
        <v>21</v>
      </c>
      <c r="I29" s="3">
        <v>166527272</v>
      </c>
      <c r="J29" s="3">
        <v>9755931.3993180916</v>
      </c>
      <c r="K29" s="3">
        <v>268885038.99012309</v>
      </c>
      <c r="L29" s="3">
        <v>49</v>
      </c>
      <c r="M29" s="3">
        <v>227275823.36573479</v>
      </c>
    </row>
    <row r="30" spans="1:13" ht="15.75" customHeight="1" x14ac:dyDescent="0.25">
      <c r="A30" s="2">
        <v>29</v>
      </c>
      <c r="B30" s="2" t="s">
        <v>90</v>
      </c>
      <c r="C30" s="2" t="s">
        <v>91</v>
      </c>
      <c r="D30" s="3">
        <v>98</v>
      </c>
      <c r="E30" s="3">
        <v>85782367.381144792</v>
      </c>
      <c r="F30" s="3">
        <v>0</v>
      </c>
      <c r="G30" s="3">
        <v>0</v>
      </c>
      <c r="H30" s="3">
        <v>2</v>
      </c>
      <c r="I30" s="3">
        <v>4709091</v>
      </c>
      <c r="J30" s="3">
        <v>913177.63963963976</v>
      </c>
      <c r="K30" s="3">
        <v>2396977.0182854198</v>
      </c>
      <c r="L30" s="3">
        <v>96</v>
      </c>
      <c r="M30" s="3">
        <v>83385390.362859368</v>
      </c>
    </row>
    <row r="31" spans="1:13" ht="15.75" customHeight="1" x14ac:dyDescent="0.25">
      <c r="A31" s="2">
        <v>30</v>
      </c>
      <c r="B31" s="2" t="s">
        <v>92</v>
      </c>
      <c r="C31" s="2" t="s">
        <v>93</v>
      </c>
      <c r="D31" s="3">
        <v>34</v>
      </c>
      <c r="E31" s="3">
        <v>485273443.48122537</v>
      </c>
      <c r="F31" s="3">
        <v>0</v>
      </c>
      <c r="G31" s="3">
        <v>0</v>
      </c>
      <c r="H31" s="3">
        <v>3</v>
      </c>
      <c r="I31" s="3">
        <v>45409092</v>
      </c>
      <c r="J31" s="3">
        <v>14641518.91666667</v>
      </c>
      <c r="K31" s="3">
        <v>57648232.117067583</v>
      </c>
      <c r="L31" s="3">
        <v>31</v>
      </c>
      <c r="M31" s="3">
        <v>427625211.36415792</v>
      </c>
    </row>
    <row r="32" spans="1:13" ht="15.75" customHeight="1" x14ac:dyDescent="0.25">
      <c r="A32" s="2">
        <v>31</v>
      </c>
      <c r="B32" s="2" t="s">
        <v>94</v>
      </c>
      <c r="C32" s="2" t="s">
        <v>95</v>
      </c>
      <c r="D32" s="3">
        <v>19</v>
      </c>
      <c r="E32" s="3">
        <v>35883713.785028383</v>
      </c>
      <c r="F32" s="3">
        <v>0</v>
      </c>
      <c r="G32" s="3">
        <v>0</v>
      </c>
      <c r="H32" s="3">
        <v>0</v>
      </c>
      <c r="I32" s="3">
        <v>0</v>
      </c>
      <c r="J32" s="3">
        <v>1934313.95</v>
      </c>
      <c r="K32" s="3">
        <v>0</v>
      </c>
      <c r="L32" s="3">
        <v>19</v>
      </c>
      <c r="M32" s="3">
        <v>35883713.785028383</v>
      </c>
    </row>
    <row r="33" spans="1:13" ht="15.75" customHeight="1" x14ac:dyDescent="0.25">
      <c r="A33" s="2">
        <v>32</v>
      </c>
      <c r="B33" s="2" t="s">
        <v>96</v>
      </c>
      <c r="C33" s="2" t="s">
        <v>97</v>
      </c>
      <c r="D33" s="3">
        <v>28</v>
      </c>
      <c r="E33" s="3">
        <v>44726581.195181817</v>
      </c>
      <c r="F33" s="3">
        <v>0</v>
      </c>
      <c r="G33" s="3">
        <v>0</v>
      </c>
      <c r="H33" s="3">
        <v>0</v>
      </c>
      <c r="I33" s="3">
        <v>0</v>
      </c>
      <c r="J33" s="3">
        <v>1615403.3448275861</v>
      </c>
      <c r="K33" s="3">
        <v>0</v>
      </c>
      <c r="L33" s="3">
        <v>28</v>
      </c>
      <c r="M33" s="3">
        <v>44726581.195181817</v>
      </c>
    </row>
    <row r="34" spans="1:13" ht="15.75" customHeight="1" x14ac:dyDescent="0.25">
      <c r="A34" s="2">
        <v>33</v>
      </c>
      <c r="B34" s="2" t="s">
        <v>98</v>
      </c>
      <c r="C34" s="2" t="s">
        <v>99</v>
      </c>
      <c r="D34" s="3">
        <v>53</v>
      </c>
      <c r="E34" s="3">
        <v>183425951.15205851</v>
      </c>
      <c r="F34" s="3">
        <v>6</v>
      </c>
      <c r="G34" s="3">
        <v>12302331.23769276</v>
      </c>
      <c r="H34" s="3">
        <v>1</v>
      </c>
      <c r="I34" s="3">
        <v>7272727</v>
      </c>
      <c r="J34" s="3">
        <v>3860810.382406001</v>
      </c>
      <c r="K34" s="3">
        <v>5067072.0333432993</v>
      </c>
      <c r="L34" s="3">
        <v>58</v>
      </c>
      <c r="M34" s="3">
        <v>190661210.356408</v>
      </c>
    </row>
    <row r="35" spans="1:13" ht="15.75" customHeight="1" x14ac:dyDescent="0.25">
      <c r="A35" s="2">
        <v>34</v>
      </c>
      <c r="B35" s="2" t="s">
        <v>100</v>
      </c>
      <c r="C35" s="2" t="s">
        <v>101</v>
      </c>
      <c r="D35" s="3">
        <v>137</v>
      </c>
      <c r="E35" s="3">
        <v>1518842878.1139841</v>
      </c>
      <c r="F35" s="3">
        <v>15</v>
      </c>
      <c r="G35" s="3">
        <v>151834350.78322399</v>
      </c>
      <c r="H35" s="3">
        <v>3</v>
      </c>
      <c r="I35" s="3">
        <v>31981818</v>
      </c>
      <c r="J35" s="3">
        <v>11936304.81364412</v>
      </c>
      <c r="K35" s="3">
        <v>46996959.429785989</v>
      </c>
      <c r="L35" s="3">
        <v>149</v>
      </c>
      <c r="M35" s="3">
        <v>1623680269.467422</v>
      </c>
    </row>
    <row r="36" spans="1:13" ht="15.75" customHeight="1" x14ac:dyDescent="0.25">
      <c r="A36" s="2">
        <v>35</v>
      </c>
      <c r="B36" s="2" t="s">
        <v>102</v>
      </c>
      <c r="C36" s="2" t="s">
        <v>103</v>
      </c>
      <c r="D36" s="3">
        <v>18</v>
      </c>
      <c r="E36" s="3">
        <v>284778157.25858349</v>
      </c>
      <c r="F36" s="3">
        <v>0</v>
      </c>
      <c r="G36" s="3">
        <v>0</v>
      </c>
      <c r="H36" s="3">
        <v>2</v>
      </c>
      <c r="I36" s="3">
        <v>37227273</v>
      </c>
      <c r="J36" s="3">
        <v>16224046.421052629</v>
      </c>
      <c r="K36" s="3">
        <v>42586091.387657389</v>
      </c>
      <c r="L36" s="3">
        <v>16</v>
      </c>
      <c r="M36" s="3">
        <v>242192065.87092611</v>
      </c>
    </row>
    <row r="37" spans="1:13" ht="15.75" customHeight="1" x14ac:dyDescent="0.25">
      <c r="A37" s="2">
        <v>36</v>
      </c>
      <c r="B37" s="2" t="s">
        <v>104</v>
      </c>
      <c r="C37" s="2" t="s">
        <v>105</v>
      </c>
      <c r="D37" s="3">
        <v>16</v>
      </c>
      <c r="E37" s="3">
        <v>59897394.689208977</v>
      </c>
      <c r="F37" s="3">
        <v>3</v>
      </c>
      <c r="G37" s="3">
        <v>14924258.788009049</v>
      </c>
      <c r="H37" s="3">
        <v>0</v>
      </c>
      <c r="I37" s="3">
        <v>0</v>
      </c>
      <c r="J37" s="3">
        <v>4348639.9223057646</v>
      </c>
      <c r="K37" s="3">
        <v>0</v>
      </c>
      <c r="L37" s="3">
        <v>19</v>
      </c>
      <c r="M37" s="3">
        <v>74821653.477218032</v>
      </c>
    </row>
    <row r="38" spans="1:13" ht="15.75" customHeight="1" x14ac:dyDescent="0.25">
      <c r="A38" s="2">
        <v>37</v>
      </c>
      <c r="B38" s="2" t="s">
        <v>106</v>
      </c>
      <c r="C38" s="2" t="s">
        <v>107</v>
      </c>
      <c r="D38" s="3">
        <v>43</v>
      </c>
      <c r="E38" s="3">
        <v>90127776.483436793</v>
      </c>
      <c r="F38" s="3">
        <v>33</v>
      </c>
      <c r="G38" s="3">
        <v>87329690.193184927</v>
      </c>
      <c r="H38" s="3">
        <v>3</v>
      </c>
      <c r="I38" s="3">
        <v>8154546</v>
      </c>
      <c r="J38" s="3">
        <v>2789842.6771820169</v>
      </c>
      <c r="K38" s="3">
        <v>10984481.81091482</v>
      </c>
      <c r="L38" s="3">
        <v>73</v>
      </c>
      <c r="M38" s="3">
        <v>166472984.86570689</v>
      </c>
    </row>
    <row r="39" spans="1:13" ht="15.75" customHeight="1" x14ac:dyDescent="0.25">
      <c r="A39" s="2">
        <v>38</v>
      </c>
      <c r="B39" s="2" t="s">
        <v>108</v>
      </c>
      <c r="C39" s="2" t="s">
        <v>109</v>
      </c>
      <c r="D39" s="3">
        <v>926</v>
      </c>
      <c r="E39" s="3">
        <v>1552213809.794003</v>
      </c>
      <c r="F39" s="3">
        <v>48</v>
      </c>
      <c r="G39" s="3">
        <v>48069747.520444877</v>
      </c>
      <c r="H39" s="3">
        <v>14</v>
      </c>
      <c r="I39" s="3">
        <v>49545455</v>
      </c>
      <c r="J39" s="3">
        <v>1811068.6046913611</v>
      </c>
      <c r="K39" s="3">
        <v>33276799.00252011</v>
      </c>
      <c r="L39" s="3">
        <v>960</v>
      </c>
      <c r="M39" s="3">
        <v>1567006758.311928</v>
      </c>
    </row>
    <row r="40" spans="1:13" ht="15.75" customHeight="1" x14ac:dyDescent="0.25">
      <c r="A40" s="2">
        <v>39</v>
      </c>
      <c r="B40" s="2" t="s">
        <v>110</v>
      </c>
      <c r="C40" s="2" t="s">
        <v>111</v>
      </c>
      <c r="D40" s="3">
        <v>30</v>
      </c>
      <c r="E40" s="3">
        <v>159181265.39801821</v>
      </c>
      <c r="F40" s="3">
        <v>0</v>
      </c>
      <c r="G40" s="3">
        <v>0</v>
      </c>
      <c r="H40" s="3">
        <v>0</v>
      </c>
      <c r="I40" s="3">
        <v>0</v>
      </c>
      <c r="J40" s="3">
        <v>5311958.333333333</v>
      </c>
      <c r="K40" s="3">
        <v>0</v>
      </c>
      <c r="L40" s="3">
        <v>30</v>
      </c>
      <c r="M40" s="3">
        <v>159181265.39801821</v>
      </c>
    </row>
    <row r="41" spans="1:13" ht="15.75" customHeight="1" x14ac:dyDescent="0.25">
      <c r="A41" s="2">
        <v>40</v>
      </c>
      <c r="B41" s="2" t="s">
        <v>112</v>
      </c>
      <c r="C41" s="2" t="s">
        <v>113</v>
      </c>
      <c r="D41" s="3">
        <v>22</v>
      </c>
      <c r="E41" s="3">
        <v>115056739.2592205</v>
      </c>
      <c r="F41" s="3">
        <v>1</v>
      </c>
      <c r="G41" s="3">
        <v>5499969.0432844488</v>
      </c>
      <c r="H41" s="3">
        <v>0</v>
      </c>
      <c r="I41" s="3">
        <v>0</v>
      </c>
      <c r="J41" s="3">
        <v>5642190.4196521742</v>
      </c>
      <c r="K41" s="3">
        <v>0</v>
      </c>
      <c r="L41" s="3">
        <v>23</v>
      </c>
      <c r="M41" s="3">
        <v>120556708.3025049</v>
      </c>
    </row>
    <row r="42" spans="1:13" ht="15.75" customHeight="1" x14ac:dyDescent="0.25">
      <c r="A42" s="2">
        <v>41</v>
      </c>
      <c r="B42" s="2" t="s">
        <v>114</v>
      </c>
      <c r="C42" s="2" t="s">
        <v>115</v>
      </c>
      <c r="D42" s="3">
        <v>20</v>
      </c>
      <c r="E42" s="3">
        <v>43889504.990045197</v>
      </c>
      <c r="F42" s="3">
        <v>9</v>
      </c>
      <c r="G42" s="3">
        <v>14123918.93113126</v>
      </c>
      <c r="H42" s="3">
        <v>1</v>
      </c>
      <c r="I42" s="3">
        <v>409091</v>
      </c>
      <c r="J42" s="3">
        <v>2223914.230601829</v>
      </c>
      <c r="K42" s="3">
        <v>2918748.264299423</v>
      </c>
      <c r="L42" s="3">
        <v>28</v>
      </c>
      <c r="M42" s="3">
        <v>55094675.656877041</v>
      </c>
    </row>
    <row r="43" spans="1:13" ht="15.75" customHeight="1" x14ac:dyDescent="0.25">
      <c r="A43" s="2">
        <v>42</v>
      </c>
      <c r="B43" s="2" t="s">
        <v>116</v>
      </c>
      <c r="C43" s="2" t="s">
        <v>117</v>
      </c>
      <c r="D43" s="3">
        <v>69</v>
      </c>
      <c r="E43" s="3">
        <v>44039909.1508241</v>
      </c>
      <c r="F43" s="3">
        <v>0</v>
      </c>
      <c r="G43" s="3">
        <v>0</v>
      </c>
      <c r="H43" s="3">
        <v>13</v>
      </c>
      <c r="I43" s="3">
        <v>9818182</v>
      </c>
      <c r="J43" s="3">
        <v>665230.19444444438</v>
      </c>
      <c r="K43" s="3">
        <v>11349949.037061131</v>
      </c>
      <c r="L43" s="3">
        <v>56</v>
      </c>
      <c r="M43" s="3">
        <v>32689960.113762971</v>
      </c>
    </row>
    <row r="44" spans="1:13" ht="15.75" customHeight="1" x14ac:dyDescent="0.25">
      <c r="A44" s="2">
        <v>43</v>
      </c>
      <c r="B44" s="2" t="s">
        <v>118</v>
      </c>
      <c r="C44" s="2" t="s">
        <v>119</v>
      </c>
      <c r="D44" s="3">
        <v>196</v>
      </c>
      <c r="E44" s="3">
        <v>74264734.222948119</v>
      </c>
      <c r="F44" s="3">
        <v>0</v>
      </c>
      <c r="G44" s="3">
        <v>0</v>
      </c>
      <c r="H44" s="3">
        <v>31</v>
      </c>
      <c r="I44" s="3">
        <v>12454546</v>
      </c>
      <c r="J44" s="3">
        <v>392002.07575757569</v>
      </c>
      <c r="K44" s="3">
        <v>15948824.03140007</v>
      </c>
      <c r="L44" s="3">
        <v>165</v>
      </c>
      <c r="M44" s="3">
        <v>58315910.191548049</v>
      </c>
    </row>
    <row r="45" spans="1:13" ht="15.75" customHeight="1" x14ac:dyDescent="0.25">
      <c r="A45" s="2">
        <v>44</v>
      </c>
      <c r="B45" s="2" t="s">
        <v>120</v>
      </c>
      <c r="C45" s="2" t="s">
        <v>121</v>
      </c>
      <c r="D45" s="3">
        <v>18</v>
      </c>
      <c r="E45" s="3">
        <v>105513381.67462049</v>
      </c>
      <c r="F45" s="3">
        <v>5</v>
      </c>
      <c r="G45" s="3">
        <v>31195824.70777975</v>
      </c>
      <c r="H45" s="3">
        <v>3</v>
      </c>
      <c r="I45" s="3">
        <v>22427274</v>
      </c>
      <c r="J45" s="3">
        <v>7386553.8649096498</v>
      </c>
      <c r="K45" s="3">
        <v>29083169.183001552</v>
      </c>
      <c r="L45" s="3">
        <v>20</v>
      </c>
      <c r="M45" s="3">
        <v>107626037.1993987</v>
      </c>
    </row>
    <row r="46" spans="1:13" ht="15.75" customHeight="1" x14ac:dyDescent="0.25">
      <c r="A46" s="2">
        <v>45</v>
      </c>
      <c r="B46" s="2" t="s">
        <v>122</v>
      </c>
      <c r="C46" s="2" t="s">
        <v>123</v>
      </c>
      <c r="D46" s="3">
        <v>455</v>
      </c>
      <c r="E46" s="3">
        <v>174280205.31447011</v>
      </c>
      <c r="F46" s="3">
        <v>1</v>
      </c>
      <c r="G46" s="3">
        <v>1073594.0796036399</v>
      </c>
      <c r="H46" s="3">
        <v>15</v>
      </c>
      <c r="I46" s="3">
        <v>8945455</v>
      </c>
      <c r="J46" s="3">
        <v>430976.26992731489</v>
      </c>
      <c r="K46" s="3">
        <v>8484440.7834751196</v>
      </c>
      <c r="L46" s="3">
        <v>441</v>
      </c>
      <c r="M46" s="3">
        <v>166869358.61059859</v>
      </c>
    </row>
    <row r="47" spans="1:13" ht="15.75" customHeight="1" x14ac:dyDescent="0.25">
      <c r="A47" s="2">
        <v>46</v>
      </c>
      <c r="B47" s="2" t="s">
        <v>124</v>
      </c>
      <c r="C47" s="2" t="s">
        <v>125</v>
      </c>
      <c r="D47" s="3">
        <v>125</v>
      </c>
      <c r="E47" s="3">
        <v>100314458.5323575</v>
      </c>
      <c r="F47" s="3">
        <v>0</v>
      </c>
      <c r="G47" s="3">
        <v>0</v>
      </c>
      <c r="H47" s="3">
        <v>0</v>
      </c>
      <c r="I47" s="3">
        <v>0</v>
      </c>
      <c r="J47" s="3">
        <v>815364.67292784736</v>
      </c>
      <c r="K47" s="3">
        <v>0</v>
      </c>
      <c r="L47" s="3">
        <v>125</v>
      </c>
      <c r="M47" s="3">
        <v>100314458.5323575</v>
      </c>
    </row>
    <row r="48" spans="1:13" ht="15.75" customHeight="1" x14ac:dyDescent="0.25">
      <c r="A48" s="2">
        <v>47</v>
      </c>
      <c r="B48" s="2" t="s">
        <v>126</v>
      </c>
      <c r="C48" s="2" t="s">
        <v>127</v>
      </c>
      <c r="D48" s="3">
        <v>246</v>
      </c>
      <c r="E48" s="3">
        <v>83216743.837582871</v>
      </c>
      <c r="F48" s="3">
        <v>19</v>
      </c>
      <c r="G48" s="3">
        <v>18207978.098591059</v>
      </c>
      <c r="H48" s="3">
        <v>7</v>
      </c>
      <c r="I48" s="3">
        <v>2780000</v>
      </c>
      <c r="J48" s="3">
        <v>437890.0119458391</v>
      </c>
      <c r="K48" s="3">
        <v>4022922.6753163449</v>
      </c>
      <c r="L48" s="3">
        <v>258</v>
      </c>
      <c r="M48" s="3">
        <v>97401799.260857582</v>
      </c>
    </row>
    <row r="49" spans="1:13" ht="15.75" customHeight="1" x14ac:dyDescent="0.25">
      <c r="A49" s="2">
        <v>48</v>
      </c>
      <c r="B49" s="2" t="s">
        <v>128</v>
      </c>
      <c r="C49" s="2" t="s">
        <v>129</v>
      </c>
      <c r="D49" s="3">
        <v>76</v>
      </c>
      <c r="E49" s="3">
        <v>67070592.952461436</v>
      </c>
      <c r="F49" s="3">
        <v>0</v>
      </c>
      <c r="G49" s="3">
        <v>0</v>
      </c>
      <c r="H49" s="3">
        <v>0</v>
      </c>
      <c r="I49" s="3">
        <v>0</v>
      </c>
      <c r="J49" s="3">
        <v>962345.272881301</v>
      </c>
      <c r="K49" s="3">
        <v>0</v>
      </c>
      <c r="L49" s="3">
        <v>76</v>
      </c>
      <c r="M49" s="3">
        <v>67070592.952461436</v>
      </c>
    </row>
    <row r="50" spans="1:13" ht="15.75" customHeight="1" x14ac:dyDescent="0.25">
      <c r="A50" s="2">
        <v>49</v>
      </c>
      <c r="B50" s="2" t="s">
        <v>130</v>
      </c>
      <c r="C50" s="2" t="s">
        <v>131</v>
      </c>
      <c r="D50" s="3">
        <v>200</v>
      </c>
      <c r="E50" s="3">
        <v>674195234.48076451</v>
      </c>
      <c r="F50" s="3">
        <v>0</v>
      </c>
      <c r="G50" s="3">
        <v>0</v>
      </c>
      <c r="H50" s="3">
        <v>0</v>
      </c>
      <c r="I50" s="3">
        <v>0</v>
      </c>
      <c r="J50" s="3">
        <v>3376250.5074626859</v>
      </c>
      <c r="K50" s="3">
        <v>0</v>
      </c>
      <c r="L50" s="3">
        <v>200</v>
      </c>
      <c r="M50" s="3">
        <v>674195234.48076451</v>
      </c>
    </row>
    <row r="51" spans="1:13" ht="15.75" customHeight="1" x14ac:dyDescent="0.25">
      <c r="A51" s="2">
        <v>50</v>
      </c>
      <c r="B51" s="2" t="s">
        <v>132</v>
      </c>
      <c r="C51" s="2" t="s">
        <v>133</v>
      </c>
      <c r="D51" s="3">
        <v>141</v>
      </c>
      <c r="E51" s="3">
        <v>56031955.459740087</v>
      </c>
      <c r="F51" s="3">
        <v>2</v>
      </c>
      <c r="G51" s="3">
        <v>527997.03977124207</v>
      </c>
      <c r="H51" s="3">
        <v>0</v>
      </c>
      <c r="I51" s="3">
        <v>0</v>
      </c>
      <c r="J51" s="3">
        <v>404052.12685654318</v>
      </c>
      <c r="K51" s="3">
        <v>0</v>
      </c>
      <c r="L51" s="3">
        <v>143</v>
      </c>
      <c r="M51" s="3">
        <v>56559952.499511339</v>
      </c>
    </row>
    <row r="52" spans="1:13" ht="15.75" customHeight="1" x14ac:dyDescent="0.25">
      <c r="A52" s="2">
        <v>51</v>
      </c>
      <c r="B52" s="2" t="s">
        <v>134</v>
      </c>
      <c r="C52" s="2" t="s">
        <v>135</v>
      </c>
      <c r="D52" s="3">
        <v>886</v>
      </c>
      <c r="E52" s="3">
        <v>16224007.67722464</v>
      </c>
      <c r="F52" s="3">
        <v>212</v>
      </c>
      <c r="G52" s="3">
        <v>7567958.7703677528</v>
      </c>
      <c r="H52" s="3">
        <v>59</v>
      </c>
      <c r="I52" s="3">
        <v>5981820</v>
      </c>
      <c r="J52" s="3">
        <v>24098.95960174995</v>
      </c>
      <c r="K52" s="3">
        <v>1866074.2113735599</v>
      </c>
      <c r="L52" s="3">
        <v>1039</v>
      </c>
      <c r="M52" s="3">
        <v>21925892.23621884</v>
      </c>
    </row>
    <row r="53" spans="1:13" ht="15.75" customHeight="1" x14ac:dyDescent="0.25">
      <c r="A53" s="2">
        <v>52</v>
      </c>
      <c r="B53" s="2" t="s">
        <v>136</v>
      </c>
      <c r="C53" s="2" t="s">
        <v>137</v>
      </c>
      <c r="D53" s="3">
        <v>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6</v>
      </c>
      <c r="M53" s="3">
        <v>0</v>
      </c>
    </row>
    <row r="54" spans="1:13" ht="15.75" customHeight="1" x14ac:dyDescent="0.25">
      <c r="C54" s="4" t="s">
        <v>138</v>
      </c>
      <c r="D54" s="5">
        <f t="shared" ref="D54:M54" si="0">SUM(D2:D53)</f>
        <v>38186.036</v>
      </c>
      <c r="E54" s="5">
        <f t="shared" si="0"/>
        <v>18171460785.590897</v>
      </c>
      <c r="F54" s="5">
        <f t="shared" si="0"/>
        <v>2721.4490000000001</v>
      </c>
      <c r="G54" s="5">
        <f t="shared" si="0"/>
        <v>2603152090.1271524</v>
      </c>
      <c r="H54" s="5">
        <f t="shared" si="0"/>
        <v>454</v>
      </c>
      <c r="I54" s="5">
        <f t="shared" si="0"/>
        <v>991577247</v>
      </c>
      <c r="J54" s="5">
        <f t="shared" si="0"/>
        <v>202760413.44884339</v>
      </c>
      <c r="K54" s="5">
        <f t="shared" si="0"/>
        <v>1119930447.9467223</v>
      </c>
      <c r="L54" s="5">
        <f t="shared" si="0"/>
        <v>40453.485000000001</v>
      </c>
      <c r="M54" s="5">
        <f t="shared" si="0"/>
        <v>19654682427.77132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3" x14ac:dyDescent="0.25">
      <c r="A1" s="1" t="s">
        <v>0</v>
      </c>
      <c r="B1" s="1" t="s">
        <v>1</v>
      </c>
      <c r="C1" s="1" t="s">
        <v>146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8</v>
      </c>
      <c r="M1" s="1" t="s">
        <v>9</v>
      </c>
    </row>
    <row r="2" spans="1:13" x14ac:dyDescent="0.25">
      <c r="A2" s="2">
        <v>1</v>
      </c>
      <c r="B2" s="2" t="s">
        <v>34</v>
      </c>
      <c r="C2" s="2" t="s">
        <v>35</v>
      </c>
      <c r="D2" s="3">
        <v>1334</v>
      </c>
      <c r="E2" s="3">
        <v>535917997.44904631</v>
      </c>
      <c r="F2" s="3">
        <v>10</v>
      </c>
      <c r="G2" s="3">
        <v>3581579.9555973909</v>
      </c>
      <c r="H2" s="3">
        <v>5</v>
      </c>
      <c r="I2" s="3">
        <v>1563636</v>
      </c>
      <c r="J2" s="3">
        <v>414657.37011630682</v>
      </c>
      <c r="K2" s="3">
        <v>2721059.2536619799</v>
      </c>
      <c r="L2" s="3">
        <v>1339</v>
      </c>
      <c r="M2" s="3">
        <v>536778518.15098172</v>
      </c>
    </row>
    <row r="3" spans="1:13" x14ac:dyDescent="0.25">
      <c r="A3" s="2">
        <v>2</v>
      </c>
      <c r="B3" s="2" t="s">
        <v>36</v>
      </c>
      <c r="C3" s="2" t="s">
        <v>37</v>
      </c>
      <c r="D3" s="3">
        <v>148</v>
      </c>
      <c r="E3" s="3">
        <v>173611370.5998601</v>
      </c>
      <c r="F3" s="3">
        <v>3</v>
      </c>
      <c r="G3" s="3">
        <v>4347174.6149275592</v>
      </c>
      <c r="H3" s="3">
        <v>24</v>
      </c>
      <c r="I3" s="3">
        <v>24100000</v>
      </c>
      <c r="J3" s="3">
        <v>1262331.4865745341</v>
      </c>
      <c r="K3" s="3">
        <v>39761546.031345241</v>
      </c>
      <c r="L3" s="3">
        <v>127</v>
      </c>
      <c r="M3" s="3">
        <v>138196999.18344241</v>
      </c>
    </row>
    <row r="4" spans="1:13" x14ac:dyDescent="0.25">
      <c r="A4" s="2">
        <v>3</v>
      </c>
      <c r="B4" s="2" t="s">
        <v>38</v>
      </c>
      <c r="C4" s="2" t="s">
        <v>39</v>
      </c>
      <c r="D4" s="3">
        <v>862</v>
      </c>
      <c r="E4" s="3">
        <v>348728345.53553438</v>
      </c>
      <c r="F4" s="3">
        <v>0</v>
      </c>
      <c r="G4" s="3">
        <v>0</v>
      </c>
      <c r="H4" s="3">
        <v>3</v>
      </c>
      <c r="I4" s="3">
        <v>1363636</v>
      </c>
      <c r="J4" s="3">
        <v>406324.54462242569</v>
      </c>
      <c r="K4" s="3">
        <v>1599826.6161164199</v>
      </c>
      <c r="L4" s="3">
        <v>859</v>
      </c>
      <c r="M4" s="3">
        <v>347128518.91941798</v>
      </c>
    </row>
    <row r="5" spans="1:13" x14ac:dyDescent="0.25">
      <c r="A5" s="2">
        <v>4</v>
      </c>
      <c r="B5" s="2" t="s">
        <v>40</v>
      </c>
      <c r="C5" s="2" t="s">
        <v>41</v>
      </c>
      <c r="D5" s="3">
        <v>1274</v>
      </c>
      <c r="E5" s="3">
        <v>177578231.8665835</v>
      </c>
      <c r="F5" s="3">
        <v>32</v>
      </c>
      <c r="G5" s="3">
        <v>4223976.0084116701</v>
      </c>
      <c r="H5" s="3">
        <v>56</v>
      </c>
      <c r="I5" s="3">
        <v>9450002</v>
      </c>
      <c r="J5" s="3">
        <v>143986.4069058848</v>
      </c>
      <c r="K5" s="3">
        <v>10582496.343408801</v>
      </c>
      <c r="L5" s="3">
        <v>1250</v>
      </c>
      <c r="M5" s="3">
        <v>171219711.53158629</v>
      </c>
    </row>
    <row r="6" spans="1:13" x14ac:dyDescent="0.25">
      <c r="A6" s="2">
        <v>5</v>
      </c>
      <c r="B6" s="2" t="s">
        <v>42</v>
      </c>
      <c r="C6" s="2" t="s">
        <v>43</v>
      </c>
      <c r="D6" s="3">
        <v>44</v>
      </c>
      <c r="E6" s="3">
        <v>12622306.576739799</v>
      </c>
      <c r="F6" s="3">
        <v>6</v>
      </c>
      <c r="G6" s="3">
        <v>1108793.2666105011</v>
      </c>
      <c r="H6" s="3">
        <v>1</v>
      </c>
      <c r="I6" s="3">
        <v>290909</v>
      </c>
      <c r="J6" s="3">
        <v>307967.973989547</v>
      </c>
      <c r="K6" s="3">
        <v>404188.69449769548</v>
      </c>
      <c r="L6" s="3">
        <v>49</v>
      </c>
      <c r="M6" s="3">
        <v>13326911.1488526</v>
      </c>
    </row>
    <row r="7" spans="1:13" x14ac:dyDescent="0.25">
      <c r="A7" s="2">
        <v>6</v>
      </c>
      <c r="B7" s="2" t="s">
        <v>44</v>
      </c>
      <c r="C7" s="2" t="s">
        <v>45</v>
      </c>
      <c r="D7" s="3">
        <v>35</v>
      </c>
      <c r="E7" s="3">
        <v>1071447.9685686131</v>
      </c>
      <c r="F7" s="3">
        <v>22</v>
      </c>
      <c r="G7" s="3">
        <v>677596.20781572268</v>
      </c>
      <c r="H7" s="3">
        <v>0</v>
      </c>
      <c r="I7" s="3">
        <v>0</v>
      </c>
      <c r="J7" s="3">
        <v>31435.350877192981</v>
      </c>
      <c r="K7" s="3">
        <v>0</v>
      </c>
      <c r="L7" s="3">
        <v>57</v>
      </c>
      <c r="M7" s="3">
        <v>1749044.1763843349</v>
      </c>
    </row>
    <row r="8" spans="1:13" x14ac:dyDescent="0.25">
      <c r="A8" s="2">
        <v>7</v>
      </c>
      <c r="B8" s="2" t="s">
        <v>46</v>
      </c>
      <c r="C8" s="2" t="s">
        <v>47</v>
      </c>
      <c r="D8" s="3">
        <v>15875</v>
      </c>
      <c r="E8" s="3">
        <v>2227349939.1889758</v>
      </c>
      <c r="F8" s="3">
        <v>0</v>
      </c>
      <c r="G8" s="3">
        <v>0</v>
      </c>
      <c r="H8" s="3">
        <v>91</v>
      </c>
      <c r="I8" s="3">
        <v>10490914</v>
      </c>
      <c r="J8" s="3">
        <v>141829.73763729449</v>
      </c>
      <c r="K8" s="3">
        <v>16938981.653218322</v>
      </c>
      <c r="L8" s="3">
        <v>15784</v>
      </c>
      <c r="M8" s="3">
        <v>2210410957.535758</v>
      </c>
    </row>
    <row r="9" spans="1:13" x14ac:dyDescent="0.25">
      <c r="A9" s="2">
        <v>8</v>
      </c>
      <c r="B9" s="2" t="s">
        <v>48</v>
      </c>
      <c r="C9" s="2" t="s">
        <v>49</v>
      </c>
      <c r="D9" s="3">
        <v>56</v>
      </c>
      <c r="E9" s="3">
        <v>113797011.9276001</v>
      </c>
      <c r="F9" s="3">
        <v>2</v>
      </c>
      <c r="G9" s="3">
        <v>8340135.8122194503</v>
      </c>
      <c r="H9" s="3">
        <v>2</v>
      </c>
      <c r="I9" s="3">
        <v>8027272</v>
      </c>
      <c r="J9" s="3">
        <v>2538881.7156514712</v>
      </c>
      <c r="K9" s="3">
        <v>6664246.758126012</v>
      </c>
      <c r="L9" s="3">
        <v>56</v>
      </c>
      <c r="M9" s="3">
        <v>115472900.9816936</v>
      </c>
    </row>
    <row r="10" spans="1:13" x14ac:dyDescent="0.25">
      <c r="A10" s="2">
        <v>9</v>
      </c>
      <c r="B10" s="2" t="s">
        <v>50</v>
      </c>
      <c r="C10" s="2" t="s">
        <v>51</v>
      </c>
      <c r="D10" s="3">
        <v>1423</v>
      </c>
      <c r="E10" s="3">
        <v>1781553764.133651</v>
      </c>
      <c r="F10" s="3">
        <v>0</v>
      </c>
      <c r="G10" s="3">
        <v>0</v>
      </c>
      <c r="H10" s="3">
        <v>8</v>
      </c>
      <c r="I10" s="3">
        <v>13663636</v>
      </c>
      <c r="J10" s="3">
        <v>1313604.764082355</v>
      </c>
      <c r="K10" s="3">
        <v>13792192.42318804</v>
      </c>
      <c r="L10" s="3">
        <v>1415</v>
      </c>
      <c r="M10" s="3">
        <v>1767761571.710464</v>
      </c>
    </row>
    <row r="11" spans="1:13" x14ac:dyDescent="0.25">
      <c r="A11" s="2">
        <v>10</v>
      </c>
      <c r="B11" s="2" t="s">
        <v>52</v>
      </c>
      <c r="C11" s="2" t="s">
        <v>53</v>
      </c>
      <c r="D11" s="3">
        <v>170</v>
      </c>
      <c r="E11" s="3">
        <v>357534897.09528083</v>
      </c>
      <c r="F11" s="3">
        <v>7</v>
      </c>
      <c r="G11" s="3">
        <v>12677209.40367764</v>
      </c>
      <c r="H11" s="3">
        <v>65</v>
      </c>
      <c r="I11" s="3">
        <v>114563635</v>
      </c>
      <c r="J11" s="3">
        <v>2504013.2070982899</v>
      </c>
      <c r="K11" s="3">
        <v>213613441.82842171</v>
      </c>
      <c r="L11" s="3">
        <v>112</v>
      </c>
      <c r="M11" s="3">
        <v>156598664.67053679</v>
      </c>
    </row>
    <row r="12" spans="1:13" x14ac:dyDescent="0.25">
      <c r="A12" s="2">
        <v>11</v>
      </c>
      <c r="B12" s="2" t="s">
        <v>54</v>
      </c>
      <c r="C12" s="2" t="s">
        <v>55</v>
      </c>
      <c r="D12" s="3">
        <v>53</v>
      </c>
      <c r="E12" s="3">
        <v>130480390.7361999</v>
      </c>
      <c r="F12" s="3">
        <v>2</v>
      </c>
      <c r="G12" s="3">
        <v>5895966.9150723657</v>
      </c>
      <c r="H12" s="3">
        <v>2</v>
      </c>
      <c r="I12" s="3">
        <v>7763637</v>
      </c>
      <c r="J12" s="3">
        <v>2736530.8456074861</v>
      </c>
      <c r="K12" s="3">
        <v>7183050.9881284386</v>
      </c>
      <c r="L12" s="3">
        <v>53</v>
      </c>
      <c r="M12" s="3">
        <v>129193306.6631438</v>
      </c>
    </row>
    <row r="13" spans="1:13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27234053.510117229</v>
      </c>
      <c r="F13" s="3">
        <v>0</v>
      </c>
      <c r="G13" s="3">
        <v>0</v>
      </c>
      <c r="H13" s="3">
        <v>0</v>
      </c>
      <c r="I13" s="3">
        <v>0</v>
      </c>
      <c r="J13" s="3">
        <v>1858187.5</v>
      </c>
      <c r="K13" s="3">
        <v>0</v>
      </c>
      <c r="L13" s="3">
        <v>15</v>
      </c>
      <c r="M13" s="3">
        <v>27234053.510117229</v>
      </c>
    </row>
    <row r="14" spans="1:13" x14ac:dyDescent="0.25">
      <c r="A14" s="2">
        <v>13</v>
      </c>
      <c r="B14" s="2" t="s">
        <v>58</v>
      </c>
      <c r="C14" s="2" t="s">
        <v>59</v>
      </c>
      <c r="D14" s="3">
        <v>15</v>
      </c>
      <c r="E14" s="3">
        <v>36008745</v>
      </c>
      <c r="F14" s="3">
        <v>0</v>
      </c>
      <c r="G14" s="3">
        <v>0</v>
      </c>
      <c r="H14" s="3">
        <v>0</v>
      </c>
      <c r="I14" s="3">
        <v>0</v>
      </c>
      <c r="J14" s="3">
        <v>2400583</v>
      </c>
      <c r="K14" s="3">
        <v>0</v>
      </c>
      <c r="L14" s="3">
        <v>15</v>
      </c>
      <c r="M14" s="3">
        <v>36008745</v>
      </c>
    </row>
    <row r="15" spans="1:13" x14ac:dyDescent="0.25">
      <c r="A15" s="2">
        <v>14</v>
      </c>
      <c r="B15" s="2" t="s">
        <v>60</v>
      </c>
      <c r="C15" s="2" t="s">
        <v>61</v>
      </c>
      <c r="D15" s="3">
        <v>277</v>
      </c>
      <c r="E15" s="3">
        <v>32585247.358170081</v>
      </c>
      <c r="F15" s="3">
        <v>36</v>
      </c>
      <c r="G15" s="3">
        <v>3727659.0500620529</v>
      </c>
      <c r="H15" s="3">
        <v>47</v>
      </c>
      <c r="I15" s="3">
        <v>7454545</v>
      </c>
      <c r="J15" s="3">
        <v>145220.58615386041</v>
      </c>
      <c r="K15" s="3">
        <v>8957867.8050608858</v>
      </c>
      <c r="L15" s="3">
        <v>266</v>
      </c>
      <c r="M15" s="3">
        <v>27355038.603171252</v>
      </c>
    </row>
    <row r="16" spans="1:13" x14ac:dyDescent="0.25">
      <c r="A16" s="2">
        <v>15</v>
      </c>
      <c r="B16" s="2" t="s">
        <v>62</v>
      </c>
      <c r="C16" s="2" t="s">
        <v>63</v>
      </c>
      <c r="D16" s="3">
        <v>12660</v>
      </c>
      <c r="E16" s="3">
        <v>1161836593.4344089</v>
      </c>
      <c r="F16" s="3">
        <v>0</v>
      </c>
      <c r="G16" s="3">
        <v>0</v>
      </c>
      <c r="H16" s="3">
        <v>115</v>
      </c>
      <c r="I16" s="3">
        <v>9086364</v>
      </c>
      <c r="J16" s="3">
        <v>94208.425656194901</v>
      </c>
      <c r="K16" s="3">
        <v>14218906.302460531</v>
      </c>
      <c r="L16" s="3">
        <v>12545</v>
      </c>
      <c r="M16" s="3">
        <v>1147617687.1319489</v>
      </c>
    </row>
    <row r="17" spans="1:13" x14ac:dyDescent="0.25">
      <c r="A17" s="2">
        <v>16</v>
      </c>
      <c r="B17" s="2" t="s">
        <v>64</v>
      </c>
      <c r="C17" s="2" t="s">
        <v>65</v>
      </c>
      <c r="D17" s="3">
        <v>1366.4849999999999</v>
      </c>
      <c r="E17" s="3">
        <v>258084740.64081761</v>
      </c>
      <c r="F17" s="3">
        <v>525.673</v>
      </c>
      <c r="G17" s="3">
        <v>222110682.9439576</v>
      </c>
      <c r="H17" s="3">
        <v>891</v>
      </c>
      <c r="I17" s="3">
        <v>1033183894</v>
      </c>
      <c r="J17" s="3">
        <v>404624.99189624301</v>
      </c>
      <c r="K17" s="3">
        <v>473161079.05408227</v>
      </c>
      <c r="L17" s="3">
        <v>1001.158</v>
      </c>
      <c r="M17" s="3">
        <v>7034344.5306927562</v>
      </c>
    </row>
    <row r="18" spans="1:13" x14ac:dyDescent="0.25">
      <c r="A18" s="2">
        <v>17</v>
      </c>
      <c r="B18" s="2" t="s">
        <v>66</v>
      </c>
      <c r="C18" s="2" t="s">
        <v>67</v>
      </c>
      <c r="D18" s="3">
        <v>43</v>
      </c>
      <c r="E18" s="3">
        <v>380629316</v>
      </c>
      <c r="F18" s="3">
        <v>0</v>
      </c>
      <c r="G18" s="3">
        <v>0</v>
      </c>
      <c r="H18" s="3">
        <v>2</v>
      </c>
      <c r="I18" s="3">
        <v>17727272</v>
      </c>
      <c r="J18" s="3">
        <v>8851844.5581395347</v>
      </c>
      <c r="K18" s="3">
        <v>23234984.141385991</v>
      </c>
      <c r="L18" s="3">
        <v>41</v>
      </c>
      <c r="M18" s="3">
        <v>357394331.85861403</v>
      </c>
    </row>
    <row r="19" spans="1:13" x14ac:dyDescent="0.25">
      <c r="A19" s="2">
        <v>18</v>
      </c>
      <c r="B19" s="2" t="s">
        <v>68</v>
      </c>
      <c r="C19" s="2" t="s">
        <v>69</v>
      </c>
      <c r="D19" s="3">
        <v>107</v>
      </c>
      <c r="E19" s="3">
        <v>307868000.24802959</v>
      </c>
      <c r="F19" s="3">
        <v>0</v>
      </c>
      <c r="G19" s="3">
        <v>0</v>
      </c>
      <c r="H19" s="3">
        <v>12</v>
      </c>
      <c r="I19" s="3">
        <v>30163640</v>
      </c>
      <c r="J19" s="3">
        <v>2920900.0216522608</v>
      </c>
      <c r="K19" s="3">
        <v>46001982.006739043</v>
      </c>
      <c r="L19" s="3">
        <v>95</v>
      </c>
      <c r="M19" s="3">
        <v>261866018.2412906</v>
      </c>
    </row>
    <row r="20" spans="1:13" x14ac:dyDescent="0.25">
      <c r="A20" s="2">
        <v>19</v>
      </c>
      <c r="B20" s="2" t="s">
        <v>70</v>
      </c>
      <c r="C20" s="2" t="s">
        <v>71</v>
      </c>
      <c r="D20" s="3">
        <v>121</v>
      </c>
      <c r="E20" s="3">
        <v>531219753.71810478</v>
      </c>
      <c r="F20" s="3">
        <v>29</v>
      </c>
      <c r="G20" s="3">
        <v>79104517.289572656</v>
      </c>
      <c r="H20" s="3">
        <v>12</v>
      </c>
      <c r="I20" s="3">
        <v>103590909</v>
      </c>
      <c r="J20" s="3">
        <v>4539721.9070218205</v>
      </c>
      <c r="K20" s="3">
        <v>71497211.111075521</v>
      </c>
      <c r="L20" s="3">
        <v>138</v>
      </c>
      <c r="M20" s="3">
        <v>538827059.89660203</v>
      </c>
    </row>
    <row r="21" spans="1:13" ht="15.75" customHeight="1" x14ac:dyDescent="0.25">
      <c r="A21" s="2">
        <v>20</v>
      </c>
      <c r="B21" s="2" t="s">
        <v>72</v>
      </c>
      <c r="C21" s="2" t="s">
        <v>73</v>
      </c>
      <c r="D21" s="3">
        <v>46</v>
      </c>
      <c r="E21" s="3">
        <v>578436951.05332613</v>
      </c>
      <c r="F21" s="3">
        <v>0</v>
      </c>
      <c r="G21" s="3">
        <v>0</v>
      </c>
      <c r="H21" s="3">
        <v>2</v>
      </c>
      <c r="I21" s="3">
        <v>24490909</v>
      </c>
      <c r="J21" s="3">
        <v>12694716.808510641</v>
      </c>
      <c r="K21" s="3">
        <v>33322042.856469382</v>
      </c>
      <c r="L21" s="3">
        <v>44</v>
      </c>
      <c r="M21" s="3">
        <v>545114908.19685674</v>
      </c>
    </row>
    <row r="22" spans="1:13" ht="15.75" customHeight="1" x14ac:dyDescent="0.25">
      <c r="A22" s="2">
        <v>21</v>
      </c>
      <c r="B22" s="2" t="s">
        <v>74</v>
      </c>
      <c r="C22" s="2" t="s">
        <v>75</v>
      </c>
      <c r="D22" s="3">
        <v>86</v>
      </c>
      <c r="E22" s="3">
        <v>736162248</v>
      </c>
      <c r="F22" s="3">
        <v>0</v>
      </c>
      <c r="G22" s="3">
        <v>0</v>
      </c>
      <c r="H22" s="3">
        <v>0</v>
      </c>
      <c r="I22" s="3">
        <v>0</v>
      </c>
      <c r="J22" s="3">
        <v>8560026.1395348832</v>
      </c>
      <c r="K22" s="3">
        <v>0</v>
      </c>
      <c r="L22" s="3">
        <v>86</v>
      </c>
      <c r="M22" s="3">
        <v>736162248</v>
      </c>
    </row>
    <row r="23" spans="1:13" ht="15.75" customHeight="1" x14ac:dyDescent="0.25">
      <c r="A23" s="2">
        <v>22</v>
      </c>
      <c r="B23" s="2" t="s">
        <v>76</v>
      </c>
      <c r="C23" s="2" t="s">
        <v>77</v>
      </c>
      <c r="D23" s="3">
        <v>15</v>
      </c>
      <c r="E23" s="3">
        <v>5415070</v>
      </c>
      <c r="F23" s="3">
        <v>0</v>
      </c>
      <c r="G23" s="3">
        <v>0</v>
      </c>
      <c r="H23" s="3">
        <v>0</v>
      </c>
      <c r="I23" s="3">
        <v>0</v>
      </c>
      <c r="J23" s="3">
        <v>361004.66666666669</v>
      </c>
      <c r="K23" s="3">
        <v>0</v>
      </c>
      <c r="L23" s="3">
        <v>15</v>
      </c>
      <c r="M23" s="3">
        <v>5415070</v>
      </c>
    </row>
    <row r="24" spans="1:13" ht="15.75" customHeight="1" x14ac:dyDescent="0.25">
      <c r="A24" s="2">
        <v>23</v>
      </c>
      <c r="B24" s="2" t="s">
        <v>78</v>
      </c>
      <c r="C24" s="2" t="s">
        <v>79</v>
      </c>
      <c r="D24" s="3">
        <v>108</v>
      </c>
      <c r="E24" s="3">
        <v>1267230364.805438</v>
      </c>
      <c r="F24" s="3">
        <v>3</v>
      </c>
      <c r="G24" s="3">
        <v>36431796.460531697</v>
      </c>
      <c r="H24" s="3">
        <v>0</v>
      </c>
      <c r="I24" s="3">
        <v>0</v>
      </c>
      <c r="J24" s="3">
        <v>12067116.647338489</v>
      </c>
      <c r="K24" s="3">
        <v>0</v>
      </c>
      <c r="L24" s="3">
        <v>111</v>
      </c>
      <c r="M24" s="3">
        <v>1303662161.265969</v>
      </c>
    </row>
    <row r="25" spans="1:13" ht="15.75" customHeight="1" x14ac:dyDescent="0.25">
      <c r="A25" s="2">
        <v>24</v>
      </c>
      <c r="B25" s="2" t="s">
        <v>80</v>
      </c>
      <c r="C25" s="2" t="s">
        <v>81</v>
      </c>
      <c r="D25" s="3">
        <v>25</v>
      </c>
      <c r="E25" s="3">
        <v>90878801.13696377</v>
      </c>
      <c r="F25" s="3">
        <v>0</v>
      </c>
      <c r="G25" s="3">
        <v>0</v>
      </c>
      <c r="H25" s="3">
        <v>0</v>
      </c>
      <c r="I25" s="3">
        <v>0</v>
      </c>
      <c r="J25" s="3">
        <v>4172767.084639498</v>
      </c>
      <c r="K25" s="3">
        <v>0</v>
      </c>
      <c r="L25" s="3">
        <v>25</v>
      </c>
      <c r="M25" s="3">
        <v>90878801.13696377</v>
      </c>
    </row>
    <row r="26" spans="1:13" ht="15.75" customHeight="1" x14ac:dyDescent="0.25">
      <c r="A26" s="2">
        <v>25</v>
      </c>
      <c r="B26" s="2" t="s">
        <v>82</v>
      </c>
      <c r="C26" s="2" t="s">
        <v>83</v>
      </c>
      <c r="D26" s="3">
        <v>72</v>
      </c>
      <c r="E26" s="3">
        <v>1182677170.261085</v>
      </c>
      <c r="F26" s="3">
        <v>1</v>
      </c>
      <c r="G26" s="3">
        <v>19623889.91040488</v>
      </c>
      <c r="H26" s="3">
        <v>4</v>
      </c>
      <c r="I26" s="3">
        <v>59590909</v>
      </c>
      <c r="J26" s="3">
        <v>16878626.227829851</v>
      </c>
      <c r="K26" s="3">
        <v>88608562.917294309</v>
      </c>
      <c r="L26" s="3">
        <v>69</v>
      </c>
      <c r="M26" s="3">
        <v>1113692497.2541959</v>
      </c>
    </row>
    <row r="27" spans="1:13" ht="15.75" customHeight="1" x14ac:dyDescent="0.25">
      <c r="A27" s="2">
        <v>26</v>
      </c>
      <c r="B27" s="2" t="s">
        <v>84</v>
      </c>
      <c r="C27" s="2" t="s">
        <v>85</v>
      </c>
      <c r="D27" s="3">
        <v>38</v>
      </c>
      <c r="E27" s="3">
        <v>190841514.7905708</v>
      </c>
      <c r="F27" s="3">
        <v>3</v>
      </c>
      <c r="G27" s="3">
        <v>36167797.234010033</v>
      </c>
      <c r="H27" s="3">
        <v>3</v>
      </c>
      <c r="I27" s="3">
        <v>55909090</v>
      </c>
      <c r="J27" s="3">
        <v>6714003.3648697967</v>
      </c>
      <c r="K27" s="3">
        <v>26435127.84539051</v>
      </c>
      <c r="L27" s="3">
        <v>38</v>
      </c>
      <c r="M27" s="3">
        <v>200574184.17919031</v>
      </c>
    </row>
    <row r="28" spans="1:13" ht="15.75" customHeight="1" x14ac:dyDescent="0.25">
      <c r="A28" s="2">
        <v>27</v>
      </c>
      <c r="B28" s="2" t="s">
        <v>86</v>
      </c>
      <c r="C28" s="2" t="s">
        <v>87</v>
      </c>
      <c r="D28" s="3">
        <v>77</v>
      </c>
      <c r="E28" s="3">
        <v>605794646.87880015</v>
      </c>
      <c r="F28" s="3">
        <v>46</v>
      </c>
      <c r="G28" s="3">
        <v>485493287.23656583</v>
      </c>
      <c r="H28" s="3">
        <v>51</v>
      </c>
      <c r="I28" s="3">
        <v>561372725</v>
      </c>
      <c r="J28" s="3">
        <v>10673905.76938712</v>
      </c>
      <c r="K28" s="3">
        <v>714450503.06298435</v>
      </c>
      <c r="L28" s="3">
        <v>72</v>
      </c>
      <c r="M28" s="3">
        <v>376837431.05238158</v>
      </c>
    </row>
    <row r="29" spans="1:13" ht="15.75" customHeight="1" x14ac:dyDescent="0.25">
      <c r="A29" s="2">
        <v>28</v>
      </c>
      <c r="B29" s="2" t="s">
        <v>88</v>
      </c>
      <c r="C29" s="2" t="s">
        <v>89</v>
      </c>
      <c r="D29" s="3">
        <v>49</v>
      </c>
      <c r="E29" s="3">
        <v>227275823.36573479</v>
      </c>
      <c r="F29" s="3">
        <v>16</v>
      </c>
      <c r="G29" s="3">
        <v>129676075.8485689</v>
      </c>
      <c r="H29" s="3">
        <v>19</v>
      </c>
      <c r="I29" s="3">
        <v>181436365</v>
      </c>
      <c r="J29" s="3">
        <v>9415450.4087167159</v>
      </c>
      <c r="K29" s="3">
        <v>234786600.14754421</v>
      </c>
      <c r="L29" s="3">
        <v>46</v>
      </c>
      <c r="M29" s="3">
        <v>122165299.0667596</v>
      </c>
    </row>
    <row r="30" spans="1:13" ht="15.75" customHeight="1" x14ac:dyDescent="0.25">
      <c r="A30" s="2">
        <v>29</v>
      </c>
      <c r="B30" s="2" t="s">
        <v>90</v>
      </c>
      <c r="C30" s="2" t="s">
        <v>91</v>
      </c>
      <c r="D30" s="3">
        <v>96</v>
      </c>
      <c r="E30" s="3">
        <v>83385390.362859368</v>
      </c>
      <c r="F30" s="3">
        <v>0</v>
      </c>
      <c r="G30" s="3">
        <v>0</v>
      </c>
      <c r="H30" s="3">
        <v>1</v>
      </c>
      <c r="I30" s="3">
        <v>2354545</v>
      </c>
      <c r="J30" s="3">
        <v>913177.63963963976</v>
      </c>
      <c r="K30" s="3">
        <v>1198488.5091427099</v>
      </c>
      <c r="L30" s="3">
        <v>95</v>
      </c>
      <c r="M30" s="3">
        <v>82186901.853716657</v>
      </c>
    </row>
    <row r="31" spans="1:13" ht="15.75" customHeight="1" x14ac:dyDescent="0.25">
      <c r="A31" s="2">
        <v>30</v>
      </c>
      <c r="B31" s="2" t="s">
        <v>92</v>
      </c>
      <c r="C31" s="2" t="s">
        <v>93</v>
      </c>
      <c r="D31" s="3">
        <v>31</v>
      </c>
      <c r="E31" s="3">
        <v>427625211.36415792</v>
      </c>
      <c r="F31" s="3">
        <v>0</v>
      </c>
      <c r="G31" s="3">
        <v>0</v>
      </c>
      <c r="H31" s="3">
        <v>2</v>
      </c>
      <c r="I31" s="3">
        <v>28681818</v>
      </c>
      <c r="J31" s="3">
        <v>14641518.91666667</v>
      </c>
      <c r="K31" s="3">
        <v>38432154.744711727</v>
      </c>
      <c r="L31" s="3">
        <v>29</v>
      </c>
      <c r="M31" s="3">
        <v>389193056.61944622</v>
      </c>
    </row>
    <row r="32" spans="1:13" ht="15.75" customHeight="1" x14ac:dyDescent="0.25">
      <c r="A32" s="2">
        <v>31</v>
      </c>
      <c r="B32" s="2" t="s">
        <v>94</v>
      </c>
      <c r="C32" s="2" t="s">
        <v>95</v>
      </c>
      <c r="D32" s="3">
        <v>19</v>
      </c>
      <c r="E32" s="3">
        <v>35883713.785028383</v>
      </c>
      <c r="F32" s="3">
        <v>0</v>
      </c>
      <c r="G32" s="3">
        <v>0</v>
      </c>
      <c r="H32" s="3">
        <v>1</v>
      </c>
      <c r="I32" s="3">
        <v>2345454</v>
      </c>
      <c r="J32" s="3">
        <v>1934313.95</v>
      </c>
      <c r="K32" s="3">
        <v>2538666.0179987331</v>
      </c>
      <c r="L32" s="3">
        <v>18</v>
      </c>
      <c r="M32" s="3">
        <v>33345047.767029651</v>
      </c>
    </row>
    <row r="33" spans="1:13" ht="15.75" customHeight="1" x14ac:dyDescent="0.25">
      <c r="A33" s="2">
        <v>32</v>
      </c>
      <c r="B33" s="2" t="s">
        <v>96</v>
      </c>
      <c r="C33" s="2" t="s">
        <v>97</v>
      </c>
      <c r="D33" s="3">
        <v>28</v>
      </c>
      <c r="E33" s="3">
        <v>44726581.195181817</v>
      </c>
      <c r="F33" s="3">
        <v>0</v>
      </c>
      <c r="G33" s="3">
        <v>0</v>
      </c>
      <c r="H33" s="3">
        <v>0</v>
      </c>
      <c r="I33" s="3">
        <v>0</v>
      </c>
      <c r="J33" s="3">
        <v>1615403.3448275861</v>
      </c>
      <c r="K33" s="3">
        <v>0</v>
      </c>
      <c r="L33" s="3">
        <v>28</v>
      </c>
      <c r="M33" s="3">
        <v>44726581.195181817</v>
      </c>
    </row>
    <row r="34" spans="1:13" ht="15.75" customHeight="1" x14ac:dyDescent="0.25">
      <c r="A34" s="2">
        <v>33</v>
      </c>
      <c r="B34" s="2" t="s">
        <v>98</v>
      </c>
      <c r="C34" s="2" t="s">
        <v>99</v>
      </c>
      <c r="D34" s="3">
        <v>58</v>
      </c>
      <c r="E34" s="3">
        <v>190661210.356408</v>
      </c>
      <c r="F34" s="3">
        <v>0</v>
      </c>
      <c r="G34" s="3">
        <v>0</v>
      </c>
      <c r="H34" s="3">
        <v>3</v>
      </c>
      <c r="I34" s="3">
        <v>13863636</v>
      </c>
      <c r="J34" s="3">
        <v>3860810.382406001</v>
      </c>
      <c r="K34" s="3">
        <v>15201216.100029901</v>
      </c>
      <c r="L34" s="3">
        <v>55</v>
      </c>
      <c r="M34" s="3">
        <v>175459994.25637811</v>
      </c>
    </row>
    <row r="35" spans="1:13" ht="15.75" customHeight="1" x14ac:dyDescent="0.25">
      <c r="A35" s="2">
        <v>34</v>
      </c>
      <c r="B35" s="2" t="s">
        <v>100</v>
      </c>
      <c r="C35" s="2" t="s">
        <v>101</v>
      </c>
      <c r="D35" s="3">
        <v>149</v>
      </c>
      <c r="E35" s="3">
        <v>1623680269.467422</v>
      </c>
      <c r="F35" s="3">
        <v>5</v>
      </c>
      <c r="G35" s="3">
        <v>61775655.414985463</v>
      </c>
      <c r="H35" s="3">
        <v>19</v>
      </c>
      <c r="I35" s="3">
        <v>200963637</v>
      </c>
      <c r="J35" s="3">
        <v>11963166.23527905</v>
      </c>
      <c r="K35" s="3">
        <v>298317234.48733991</v>
      </c>
      <c r="L35" s="3">
        <v>135</v>
      </c>
      <c r="M35" s="3">
        <v>1387138690.395067</v>
      </c>
    </row>
    <row r="36" spans="1:13" ht="15.75" customHeight="1" x14ac:dyDescent="0.25">
      <c r="A36" s="2">
        <v>35</v>
      </c>
      <c r="B36" s="2" t="s">
        <v>102</v>
      </c>
      <c r="C36" s="2" t="s">
        <v>103</v>
      </c>
      <c r="D36" s="3">
        <v>16</v>
      </c>
      <c r="E36" s="3">
        <v>242192065.87092611</v>
      </c>
      <c r="F36" s="3">
        <v>2</v>
      </c>
      <c r="G36" s="3">
        <v>34847804.973380022</v>
      </c>
      <c r="H36" s="3">
        <v>1</v>
      </c>
      <c r="I36" s="3">
        <v>14090909</v>
      </c>
      <c r="J36" s="3">
        <v>16421374.596491231</v>
      </c>
      <c r="K36" s="3">
        <v>21552026.5761098</v>
      </c>
      <c r="L36" s="3">
        <v>17</v>
      </c>
      <c r="M36" s="3">
        <v>255487844.2681964</v>
      </c>
    </row>
    <row r="37" spans="1:13" ht="15.75" customHeight="1" x14ac:dyDescent="0.25">
      <c r="A37" s="2">
        <v>36</v>
      </c>
      <c r="B37" s="2" t="s">
        <v>104</v>
      </c>
      <c r="C37" s="2" t="s">
        <v>105</v>
      </c>
      <c r="D37" s="3">
        <v>19</v>
      </c>
      <c r="E37" s="3">
        <v>74821653.477218032</v>
      </c>
      <c r="F37" s="3">
        <v>0</v>
      </c>
      <c r="G37" s="3">
        <v>0</v>
      </c>
      <c r="H37" s="3">
        <v>0</v>
      </c>
      <c r="I37" s="3">
        <v>0</v>
      </c>
      <c r="J37" s="3">
        <v>4348639.9223057646</v>
      </c>
      <c r="K37" s="3">
        <v>0</v>
      </c>
      <c r="L37" s="3">
        <v>19</v>
      </c>
      <c r="M37" s="3">
        <v>74821653.477218032</v>
      </c>
    </row>
    <row r="38" spans="1:13" ht="15.75" customHeight="1" x14ac:dyDescent="0.25">
      <c r="A38" s="2">
        <v>37</v>
      </c>
      <c r="B38" s="2" t="s">
        <v>106</v>
      </c>
      <c r="C38" s="2" t="s">
        <v>107</v>
      </c>
      <c r="D38" s="3">
        <v>73</v>
      </c>
      <c r="E38" s="3">
        <v>166472984.86570689</v>
      </c>
      <c r="F38" s="3">
        <v>0</v>
      </c>
      <c r="G38" s="3">
        <v>0</v>
      </c>
      <c r="H38" s="3">
        <v>23</v>
      </c>
      <c r="I38" s="3">
        <v>57218182</v>
      </c>
      <c r="J38" s="3">
        <v>2789842.6771820169</v>
      </c>
      <c r="K38" s="3">
        <v>84214360.550346896</v>
      </c>
      <c r="L38" s="3">
        <v>50</v>
      </c>
      <c r="M38" s="3">
        <v>82258624.315360025</v>
      </c>
    </row>
    <row r="39" spans="1:13" ht="15.75" customHeight="1" x14ac:dyDescent="0.25">
      <c r="A39" s="2">
        <v>38</v>
      </c>
      <c r="B39" s="2" t="s">
        <v>108</v>
      </c>
      <c r="C39" s="2" t="s">
        <v>109</v>
      </c>
      <c r="D39" s="3">
        <v>960</v>
      </c>
      <c r="E39" s="3">
        <v>1567006758.311928</v>
      </c>
      <c r="F39" s="3">
        <v>36</v>
      </c>
      <c r="G39" s="3">
        <v>38358982.682985373</v>
      </c>
      <c r="H39" s="3">
        <v>24</v>
      </c>
      <c r="I39" s="3">
        <v>83099999</v>
      </c>
      <c r="J39" s="3">
        <v>1785394.7093410711</v>
      </c>
      <c r="K39" s="3">
        <v>56237252.001234658</v>
      </c>
      <c r="L39" s="3">
        <v>972</v>
      </c>
      <c r="M39" s="3">
        <v>1549128488.993679</v>
      </c>
    </row>
    <row r="40" spans="1:13" ht="15.75" customHeight="1" x14ac:dyDescent="0.25">
      <c r="A40" s="2">
        <v>39</v>
      </c>
      <c r="B40" s="2" t="s">
        <v>110</v>
      </c>
      <c r="C40" s="2" t="s">
        <v>111</v>
      </c>
      <c r="D40" s="3">
        <v>30</v>
      </c>
      <c r="E40" s="3">
        <v>159181265.39801821</v>
      </c>
      <c r="F40" s="3">
        <v>0</v>
      </c>
      <c r="G40" s="3">
        <v>0</v>
      </c>
      <c r="H40" s="3">
        <v>1</v>
      </c>
      <c r="I40" s="3">
        <v>4545455</v>
      </c>
      <c r="J40" s="3">
        <v>5311958.333333333</v>
      </c>
      <c r="K40" s="3">
        <v>6971612.9120913995</v>
      </c>
      <c r="L40" s="3">
        <v>29</v>
      </c>
      <c r="M40" s="3">
        <v>152209652.48592681</v>
      </c>
    </row>
    <row r="41" spans="1:13" ht="15.75" customHeight="1" x14ac:dyDescent="0.25">
      <c r="A41" s="2">
        <v>40</v>
      </c>
      <c r="B41" s="2" t="s">
        <v>112</v>
      </c>
      <c r="C41" s="2" t="s">
        <v>113</v>
      </c>
      <c r="D41" s="3">
        <v>23</v>
      </c>
      <c r="E41" s="3">
        <v>120556708.3025049</v>
      </c>
      <c r="F41" s="3">
        <v>0</v>
      </c>
      <c r="G41" s="3">
        <v>0</v>
      </c>
      <c r="H41" s="3">
        <v>0</v>
      </c>
      <c r="I41" s="3">
        <v>0</v>
      </c>
      <c r="J41" s="3">
        <v>5642190.4196521742</v>
      </c>
      <c r="K41" s="3">
        <v>0</v>
      </c>
      <c r="L41" s="3">
        <v>23</v>
      </c>
      <c r="M41" s="3">
        <v>120556708.3025049</v>
      </c>
    </row>
    <row r="42" spans="1:13" ht="15.75" customHeight="1" x14ac:dyDescent="0.25">
      <c r="A42" s="2">
        <v>41</v>
      </c>
      <c r="B42" s="2" t="s">
        <v>114</v>
      </c>
      <c r="C42" s="2" t="s">
        <v>115</v>
      </c>
      <c r="D42" s="3">
        <v>28</v>
      </c>
      <c r="E42" s="3">
        <v>55094675.656877041</v>
      </c>
      <c r="F42" s="3">
        <v>1</v>
      </c>
      <c r="G42" s="3">
        <v>219999.03276986111</v>
      </c>
      <c r="H42" s="3">
        <v>1</v>
      </c>
      <c r="I42" s="3">
        <v>2254545</v>
      </c>
      <c r="J42" s="3">
        <v>2155064.5329948701</v>
      </c>
      <c r="K42" s="3">
        <v>2828387.3445199439</v>
      </c>
      <c r="L42" s="3">
        <v>28</v>
      </c>
      <c r="M42" s="3">
        <v>52486287.345126957</v>
      </c>
    </row>
    <row r="43" spans="1:13" ht="15.75" customHeight="1" x14ac:dyDescent="0.25">
      <c r="A43" s="2">
        <v>42</v>
      </c>
      <c r="B43" s="2" t="s">
        <v>116</v>
      </c>
      <c r="C43" s="2" t="s">
        <v>117</v>
      </c>
      <c r="D43" s="3">
        <v>56</v>
      </c>
      <c r="E43" s="3">
        <v>32689960.113762971</v>
      </c>
      <c r="F43" s="3">
        <v>0</v>
      </c>
      <c r="G43" s="3">
        <v>0</v>
      </c>
      <c r="H43" s="3">
        <v>0</v>
      </c>
      <c r="I43" s="3">
        <v>0</v>
      </c>
      <c r="J43" s="3">
        <v>665230.19444444438</v>
      </c>
      <c r="K43" s="3">
        <v>0</v>
      </c>
      <c r="L43" s="3">
        <v>56</v>
      </c>
      <c r="M43" s="3">
        <v>32689960.113762971</v>
      </c>
    </row>
    <row r="44" spans="1:13" ht="15.75" customHeight="1" x14ac:dyDescent="0.25">
      <c r="A44" s="2">
        <v>43</v>
      </c>
      <c r="B44" s="2" t="s">
        <v>118</v>
      </c>
      <c r="C44" s="2" t="s">
        <v>119</v>
      </c>
      <c r="D44" s="3">
        <v>165</v>
      </c>
      <c r="E44" s="3">
        <v>58315910.191548049</v>
      </c>
      <c r="F44" s="3">
        <v>0</v>
      </c>
      <c r="G44" s="3">
        <v>0</v>
      </c>
      <c r="H44" s="3">
        <v>5</v>
      </c>
      <c r="I44" s="3">
        <v>3099998</v>
      </c>
      <c r="J44" s="3">
        <v>392002.07575757569</v>
      </c>
      <c r="K44" s="3">
        <v>2572390.972806463</v>
      </c>
      <c r="L44" s="3">
        <v>160</v>
      </c>
      <c r="M44" s="3">
        <v>55743519.218741588</v>
      </c>
    </row>
    <row r="45" spans="1:13" ht="15.75" customHeight="1" x14ac:dyDescent="0.25">
      <c r="A45" s="2">
        <v>44</v>
      </c>
      <c r="B45" s="2" t="s">
        <v>120</v>
      </c>
      <c r="C45" s="2" t="s">
        <v>121</v>
      </c>
      <c r="D45" s="3">
        <v>20</v>
      </c>
      <c r="E45" s="3">
        <v>107626037.1993987</v>
      </c>
      <c r="F45" s="3">
        <v>2</v>
      </c>
      <c r="G45" s="3">
        <v>13578324.27256554</v>
      </c>
      <c r="H45" s="3">
        <v>3</v>
      </c>
      <c r="I45" s="3">
        <v>23618182</v>
      </c>
      <c r="J45" s="3">
        <v>7352652.2862815</v>
      </c>
      <c r="K45" s="3">
        <v>28949688.08141543</v>
      </c>
      <c r="L45" s="3">
        <v>19</v>
      </c>
      <c r="M45" s="3">
        <v>92254673.390548781</v>
      </c>
    </row>
    <row r="46" spans="1:13" ht="15.75" customHeight="1" x14ac:dyDescent="0.25">
      <c r="A46" s="2">
        <v>45</v>
      </c>
      <c r="B46" s="2" t="s">
        <v>122</v>
      </c>
      <c r="C46" s="2" t="s">
        <v>123</v>
      </c>
      <c r="D46" s="3">
        <v>441</v>
      </c>
      <c r="E46" s="3">
        <v>166869358.61059859</v>
      </c>
      <c r="F46" s="3">
        <v>1</v>
      </c>
      <c r="G46" s="3">
        <v>40998970.108229123</v>
      </c>
      <c r="H46" s="3">
        <v>125</v>
      </c>
      <c r="I46" s="3">
        <v>85481822</v>
      </c>
      <c r="J46" s="3">
        <v>525825.97293652908</v>
      </c>
      <c r="K46" s="3">
        <v>86264210.682751879</v>
      </c>
      <c r="L46" s="3">
        <v>317</v>
      </c>
      <c r="M46" s="3">
        <v>121604118.0360758</v>
      </c>
    </row>
    <row r="47" spans="1:13" ht="15.75" customHeight="1" x14ac:dyDescent="0.25">
      <c r="A47" s="2">
        <v>46</v>
      </c>
      <c r="B47" s="2" t="s">
        <v>124</v>
      </c>
      <c r="C47" s="2" t="s">
        <v>125</v>
      </c>
      <c r="D47" s="3">
        <v>125</v>
      </c>
      <c r="E47" s="3">
        <v>100314458.5323575</v>
      </c>
      <c r="F47" s="3">
        <v>0</v>
      </c>
      <c r="G47" s="3">
        <v>0</v>
      </c>
      <c r="H47" s="3">
        <v>4</v>
      </c>
      <c r="I47" s="3">
        <v>3090909</v>
      </c>
      <c r="J47" s="3">
        <v>815364.67292784736</v>
      </c>
      <c r="K47" s="3">
        <v>4280460.4442594806</v>
      </c>
      <c r="L47" s="3">
        <v>121</v>
      </c>
      <c r="M47" s="3">
        <v>96033998.088097975</v>
      </c>
    </row>
    <row r="48" spans="1:13" ht="15.75" customHeight="1" x14ac:dyDescent="0.25">
      <c r="A48" s="2">
        <v>47</v>
      </c>
      <c r="B48" s="2" t="s">
        <v>126</v>
      </c>
      <c r="C48" s="2" t="s">
        <v>127</v>
      </c>
      <c r="D48" s="3">
        <v>258</v>
      </c>
      <c r="E48" s="3">
        <v>97401799.260857582</v>
      </c>
      <c r="F48" s="3">
        <v>12</v>
      </c>
      <c r="G48" s="3">
        <v>7811716.281532689</v>
      </c>
      <c r="H48" s="3">
        <v>12</v>
      </c>
      <c r="I48" s="3">
        <v>30410000</v>
      </c>
      <c r="J48" s="3">
        <v>448317.122526024</v>
      </c>
      <c r="K48" s="3">
        <v>7060658.0337827252</v>
      </c>
      <c r="L48" s="3">
        <v>258</v>
      </c>
      <c r="M48" s="3">
        <v>98152857.508607551</v>
      </c>
    </row>
    <row r="49" spans="1:13" ht="15.75" customHeight="1" x14ac:dyDescent="0.25">
      <c r="A49" s="2">
        <v>48</v>
      </c>
      <c r="B49" s="2" t="s">
        <v>128</v>
      </c>
      <c r="C49" s="2" t="s">
        <v>129</v>
      </c>
      <c r="D49" s="3">
        <v>76</v>
      </c>
      <c r="E49" s="3">
        <v>67070592.952461436</v>
      </c>
      <c r="F49" s="3">
        <v>0</v>
      </c>
      <c r="G49" s="3">
        <v>0</v>
      </c>
      <c r="H49" s="3">
        <v>0</v>
      </c>
      <c r="I49" s="3">
        <v>0</v>
      </c>
      <c r="J49" s="3">
        <v>962345.272881301</v>
      </c>
      <c r="K49" s="3">
        <v>0</v>
      </c>
      <c r="L49" s="3">
        <v>76</v>
      </c>
      <c r="M49" s="3">
        <v>67070592.952461436</v>
      </c>
    </row>
    <row r="50" spans="1:13" ht="15.75" customHeight="1" x14ac:dyDescent="0.25">
      <c r="A50" s="2">
        <v>49</v>
      </c>
      <c r="B50" s="2" t="s">
        <v>130</v>
      </c>
      <c r="C50" s="2" t="s">
        <v>131</v>
      </c>
      <c r="D50" s="3">
        <v>200</v>
      </c>
      <c r="E50" s="3">
        <v>674195234.48076451</v>
      </c>
      <c r="F50" s="3">
        <v>0</v>
      </c>
      <c r="G50" s="3">
        <v>0</v>
      </c>
      <c r="H50" s="3">
        <v>11</v>
      </c>
      <c r="I50" s="3">
        <v>33090911</v>
      </c>
      <c r="J50" s="3">
        <v>3376250.5074626859</v>
      </c>
      <c r="K50" s="3">
        <v>48742292.711589813</v>
      </c>
      <c r="L50" s="3">
        <v>189</v>
      </c>
      <c r="M50" s="3">
        <v>625452941.7691747</v>
      </c>
    </row>
    <row r="51" spans="1:13" ht="15.75" customHeight="1" x14ac:dyDescent="0.25">
      <c r="A51" s="2">
        <v>50</v>
      </c>
      <c r="B51" s="2" t="s">
        <v>132</v>
      </c>
      <c r="C51" s="2" t="s">
        <v>133</v>
      </c>
      <c r="D51" s="3">
        <v>143</v>
      </c>
      <c r="E51" s="3">
        <v>56559952.499511339</v>
      </c>
      <c r="F51" s="3">
        <v>1</v>
      </c>
      <c r="G51" s="3">
        <v>3431981.2328304192</v>
      </c>
      <c r="H51" s="3">
        <v>4</v>
      </c>
      <c r="I51" s="3">
        <v>5909091</v>
      </c>
      <c r="J51" s="3">
        <v>425867.4245867061</v>
      </c>
      <c r="K51" s="3">
        <v>2235697.3829835821</v>
      </c>
      <c r="L51" s="3">
        <v>140</v>
      </c>
      <c r="M51" s="3">
        <v>57756236.349358179</v>
      </c>
    </row>
    <row r="52" spans="1:13" ht="15.75" customHeight="1" x14ac:dyDescent="0.25">
      <c r="A52" s="2">
        <v>51</v>
      </c>
      <c r="B52" s="2" t="s">
        <v>134</v>
      </c>
      <c r="C52" s="2" t="s">
        <v>135</v>
      </c>
      <c r="D52" s="3">
        <v>1039</v>
      </c>
      <c r="E52" s="3">
        <v>21925892.23621884</v>
      </c>
      <c r="F52" s="3">
        <v>176</v>
      </c>
      <c r="G52" s="3">
        <v>5614367.6110499771</v>
      </c>
      <c r="H52" s="3">
        <v>62</v>
      </c>
      <c r="I52" s="3">
        <v>10636370</v>
      </c>
      <c r="J52" s="3">
        <v>25381.743231455301</v>
      </c>
      <c r="K52" s="3">
        <v>2065340.8818120889</v>
      </c>
      <c r="L52" s="3">
        <v>1153</v>
      </c>
      <c r="M52" s="3">
        <v>25474918.96545672</v>
      </c>
    </row>
    <row r="53" spans="1:13" ht="15.75" customHeight="1" x14ac:dyDescent="0.25">
      <c r="A53" s="2">
        <v>52</v>
      </c>
      <c r="B53" s="2" t="s">
        <v>136</v>
      </c>
      <c r="C53" s="2" t="s">
        <v>137</v>
      </c>
      <c r="D53" s="3">
        <v>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6</v>
      </c>
      <c r="M53" s="3">
        <v>0</v>
      </c>
    </row>
    <row r="54" spans="1:13" ht="15.75" customHeight="1" x14ac:dyDescent="0.25">
      <c r="C54" s="4" t="s">
        <v>138</v>
      </c>
      <c r="D54" s="5">
        <f t="shared" ref="D54:M54" si="0">SUM(D2:D53)</f>
        <v>40453.485000000001</v>
      </c>
      <c r="E54" s="5">
        <f t="shared" si="0"/>
        <v>19654682427.77132</v>
      </c>
      <c r="F54" s="5">
        <f t="shared" si="0"/>
        <v>979.673</v>
      </c>
      <c r="G54" s="5">
        <f t="shared" si="0"/>
        <v>1259825939.7683346</v>
      </c>
      <c r="H54" s="5">
        <f t="shared" si="0"/>
        <v>1717</v>
      </c>
      <c r="I54" s="5">
        <f t="shared" si="0"/>
        <v>2880039362</v>
      </c>
      <c r="J54" s="5">
        <f t="shared" si="0"/>
        <v>202926564.44433185</v>
      </c>
      <c r="K54" s="5">
        <f t="shared" si="0"/>
        <v>2757598036.275527</v>
      </c>
      <c r="L54" s="5">
        <f t="shared" si="0"/>
        <v>39716.158000000003</v>
      </c>
      <c r="M54" s="5">
        <f t="shared" si="0"/>
        <v>18156910331.26413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3" x14ac:dyDescent="0.25">
      <c r="A1" s="1" t="s">
        <v>0</v>
      </c>
      <c r="B1" s="1" t="s">
        <v>1</v>
      </c>
      <c r="C1" s="1" t="s">
        <v>146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8</v>
      </c>
      <c r="M1" s="1" t="s">
        <v>9</v>
      </c>
    </row>
    <row r="2" spans="1:13" x14ac:dyDescent="0.25">
      <c r="A2" s="2">
        <v>1</v>
      </c>
      <c r="B2" s="2" t="s">
        <v>34</v>
      </c>
      <c r="C2" s="2" t="s">
        <v>35</v>
      </c>
      <c r="D2" s="3">
        <v>1339</v>
      </c>
      <c r="E2" s="3">
        <v>536778518.15098172</v>
      </c>
      <c r="F2" s="3">
        <v>8</v>
      </c>
      <c r="G2" s="3">
        <v>4539894.5923653422</v>
      </c>
      <c r="H2" s="3">
        <v>20</v>
      </c>
      <c r="I2" s="3">
        <v>5636364</v>
      </c>
      <c r="J2" s="3">
        <v>415676.48001910519</v>
      </c>
      <c r="K2" s="3">
        <v>10910987.37416262</v>
      </c>
      <c r="L2" s="3">
        <v>1327</v>
      </c>
      <c r="M2" s="3">
        <v>530407425.36918437</v>
      </c>
    </row>
    <row r="3" spans="1:13" x14ac:dyDescent="0.25">
      <c r="A3" s="2">
        <v>2</v>
      </c>
      <c r="B3" s="2" t="s">
        <v>36</v>
      </c>
      <c r="C3" s="2" t="s">
        <v>37</v>
      </c>
      <c r="D3" s="3">
        <v>127</v>
      </c>
      <c r="E3" s="3">
        <v>138196999.18344241</v>
      </c>
      <c r="F3" s="3">
        <v>0</v>
      </c>
      <c r="G3" s="3">
        <v>0</v>
      </c>
      <c r="H3" s="3">
        <v>4</v>
      </c>
      <c r="I3" s="3">
        <v>5590909</v>
      </c>
      <c r="J3" s="3">
        <v>1262331.4865745341</v>
      </c>
      <c r="K3" s="3">
        <v>6626924.3385575404</v>
      </c>
      <c r="L3" s="3">
        <v>123</v>
      </c>
      <c r="M3" s="3">
        <v>131570074.8448849</v>
      </c>
    </row>
    <row r="4" spans="1:13" x14ac:dyDescent="0.25">
      <c r="A4" s="2">
        <v>3</v>
      </c>
      <c r="B4" s="2" t="s">
        <v>38</v>
      </c>
      <c r="C4" s="2" t="s">
        <v>39</v>
      </c>
      <c r="D4" s="3">
        <v>859</v>
      </c>
      <c r="E4" s="3">
        <v>347128518.91941798</v>
      </c>
      <c r="F4" s="3">
        <v>0</v>
      </c>
      <c r="G4" s="3">
        <v>0</v>
      </c>
      <c r="H4" s="3">
        <v>0</v>
      </c>
      <c r="I4" s="3">
        <v>0</v>
      </c>
      <c r="J4" s="3">
        <v>406324.54462242569</v>
      </c>
      <c r="K4" s="3">
        <v>0</v>
      </c>
      <c r="L4" s="3">
        <v>859</v>
      </c>
      <c r="M4" s="3">
        <v>347128518.91941798</v>
      </c>
    </row>
    <row r="5" spans="1:13" x14ac:dyDescent="0.25">
      <c r="A5" s="2">
        <v>4</v>
      </c>
      <c r="B5" s="2" t="s">
        <v>40</v>
      </c>
      <c r="C5" s="2" t="s">
        <v>41</v>
      </c>
      <c r="D5" s="3">
        <v>1250</v>
      </c>
      <c r="E5" s="3">
        <v>171219711.53158629</v>
      </c>
      <c r="F5" s="3">
        <v>74</v>
      </c>
      <c r="G5" s="3">
        <v>9635945.6321870908</v>
      </c>
      <c r="H5" s="3">
        <v>35</v>
      </c>
      <c r="I5" s="3">
        <v>6172731</v>
      </c>
      <c r="J5" s="3">
        <v>143457.36679180959</v>
      </c>
      <c r="K5" s="3">
        <v>6589758.5930702444</v>
      </c>
      <c r="L5" s="3">
        <v>1289</v>
      </c>
      <c r="M5" s="3">
        <v>174265898.57070321</v>
      </c>
    </row>
    <row r="6" spans="1:13" x14ac:dyDescent="0.25">
      <c r="A6" s="2">
        <v>5</v>
      </c>
      <c r="B6" s="2" t="s">
        <v>42</v>
      </c>
      <c r="C6" s="2" t="s">
        <v>43</v>
      </c>
      <c r="D6" s="3">
        <v>49</v>
      </c>
      <c r="E6" s="3">
        <v>13326911.1488526</v>
      </c>
      <c r="F6" s="3">
        <v>15</v>
      </c>
      <c r="G6" s="3">
        <v>2595985.29550278</v>
      </c>
      <c r="H6" s="3">
        <v>1</v>
      </c>
      <c r="I6" s="3">
        <v>318182</v>
      </c>
      <c r="J6" s="3">
        <v>277691.38633574703</v>
      </c>
      <c r="K6" s="3">
        <v>364452.56778586458</v>
      </c>
      <c r="L6" s="3">
        <v>63</v>
      </c>
      <c r="M6" s="3">
        <v>15558443.876569521</v>
      </c>
    </row>
    <row r="7" spans="1:13" x14ac:dyDescent="0.25">
      <c r="A7" s="2">
        <v>6</v>
      </c>
      <c r="B7" s="2" t="s">
        <v>44</v>
      </c>
      <c r="C7" s="2" t="s">
        <v>45</v>
      </c>
      <c r="D7" s="3">
        <v>57</v>
      </c>
      <c r="E7" s="3">
        <v>1749044.1763843349</v>
      </c>
      <c r="F7" s="3">
        <v>0</v>
      </c>
      <c r="G7" s="3">
        <v>0</v>
      </c>
      <c r="H7" s="3">
        <v>0</v>
      </c>
      <c r="I7" s="3">
        <v>0</v>
      </c>
      <c r="J7" s="3">
        <v>31435.350877192981</v>
      </c>
      <c r="K7" s="3">
        <v>0</v>
      </c>
      <c r="L7" s="3">
        <v>57</v>
      </c>
      <c r="M7" s="3">
        <v>1749044.1763843349</v>
      </c>
    </row>
    <row r="8" spans="1:13" x14ac:dyDescent="0.25">
      <c r="A8" s="2">
        <v>7</v>
      </c>
      <c r="B8" s="2" t="s">
        <v>46</v>
      </c>
      <c r="C8" s="2" t="s">
        <v>47</v>
      </c>
      <c r="D8" s="3">
        <v>15784</v>
      </c>
      <c r="E8" s="3">
        <v>2210410957.535758</v>
      </c>
      <c r="F8" s="3">
        <v>53</v>
      </c>
      <c r="G8" s="3">
        <v>5236507.1946495557</v>
      </c>
      <c r="H8" s="3">
        <v>117</v>
      </c>
      <c r="I8" s="3">
        <v>16368187</v>
      </c>
      <c r="J8" s="3">
        <v>141696.6738657958</v>
      </c>
      <c r="K8" s="3">
        <v>21758258.065794211</v>
      </c>
      <c r="L8" s="3">
        <v>15720</v>
      </c>
      <c r="M8" s="3">
        <v>2193889206.6646142</v>
      </c>
    </row>
    <row r="9" spans="1:13" x14ac:dyDescent="0.25">
      <c r="A9" s="2">
        <v>8</v>
      </c>
      <c r="B9" s="2" t="s">
        <v>48</v>
      </c>
      <c r="C9" s="2" t="s">
        <v>49</v>
      </c>
      <c r="D9" s="3">
        <v>56</v>
      </c>
      <c r="E9" s="3">
        <v>115472900.9816936</v>
      </c>
      <c r="F9" s="3">
        <v>12</v>
      </c>
      <c r="G9" s="3">
        <v>37872096.895853959</v>
      </c>
      <c r="H9" s="3">
        <v>9</v>
      </c>
      <c r="I9" s="3">
        <v>16290910</v>
      </c>
      <c r="J9" s="3">
        <v>2666200.9128894471</v>
      </c>
      <c r="K9" s="3">
        <v>31492996.724956021</v>
      </c>
      <c r="L9" s="3">
        <v>59</v>
      </c>
      <c r="M9" s="3">
        <v>121852001.1525915</v>
      </c>
    </row>
    <row r="10" spans="1:13" x14ac:dyDescent="0.25">
      <c r="A10" s="2">
        <v>9</v>
      </c>
      <c r="B10" s="2" t="s">
        <v>50</v>
      </c>
      <c r="C10" s="2" t="s">
        <v>51</v>
      </c>
      <c r="D10" s="3">
        <v>1415</v>
      </c>
      <c r="E10" s="3">
        <v>1767761571.710464</v>
      </c>
      <c r="F10" s="3">
        <v>7</v>
      </c>
      <c r="G10" s="3">
        <v>6350131.5813283492</v>
      </c>
      <c r="H10" s="3">
        <v>42</v>
      </c>
      <c r="I10" s="3">
        <v>22759092</v>
      </c>
      <c r="J10" s="3">
        <v>1311751.63936465</v>
      </c>
      <c r="K10" s="3">
        <v>72306861.592031091</v>
      </c>
      <c r="L10" s="3">
        <v>1380</v>
      </c>
      <c r="M10" s="3">
        <v>1701804841.6997609</v>
      </c>
    </row>
    <row r="11" spans="1:13" x14ac:dyDescent="0.25">
      <c r="A11" s="2">
        <v>10</v>
      </c>
      <c r="B11" s="2" t="s">
        <v>52</v>
      </c>
      <c r="C11" s="2" t="s">
        <v>53</v>
      </c>
      <c r="D11" s="3">
        <v>112</v>
      </c>
      <c r="E11" s="3">
        <v>156598664.67053679</v>
      </c>
      <c r="F11" s="3">
        <v>7</v>
      </c>
      <c r="G11" s="3">
        <v>11536735.61036801</v>
      </c>
      <c r="H11" s="3">
        <v>1</v>
      </c>
      <c r="I11" s="3">
        <v>2527273</v>
      </c>
      <c r="J11" s="3">
        <v>2456871.102479063</v>
      </c>
      <c r="K11" s="3">
        <v>3224489.5811596038</v>
      </c>
      <c r="L11" s="3">
        <v>118</v>
      </c>
      <c r="M11" s="3">
        <v>164910910.69974521</v>
      </c>
    </row>
    <row r="12" spans="1:13" x14ac:dyDescent="0.25">
      <c r="A12" s="2">
        <v>11</v>
      </c>
      <c r="B12" s="2" t="s">
        <v>54</v>
      </c>
      <c r="C12" s="2" t="s">
        <v>55</v>
      </c>
      <c r="D12" s="3">
        <v>53</v>
      </c>
      <c r="E12" s="3">
        <v>129193306.6631438</v>
      </c>
      <c r="F12" s="3">
        <v>0</v>
      </c>
      <c r="G12" s="3">
        <v>0</v>
      </c>
      <c r="H12" s="3">
        <v>0</v>
      </c>
      <c r="I12" s="3">
        <v>0</v>
      </c>
      <c r="J12" s="3">
        <v>2736530.8456074861</v>
      </c>
      <c r="K12" s="3">
        <v>0</v>
      </c>
      <c r="L12" s="3">
        <v>53</v>
      </c>
      <c r="M12" s="3">
        <v>129193306.6631438</v>
      </c>
    </row>
    <row r="13" spans="1:13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27234053.510117229</v>
      </c>
      <c r="F13" s="3">
        <v>0</v>
      </c>
      <c r="G13" s="3">
        <v>0</v>
      </c>
      <c r="H13" s="3">
        <v>0</v>
      </c>
      <c r="I13" s="3">
        <v>0</v>
      </c>
      <c r="J13" s="3">
        <v>1858187.5</v>
      </c>
      <c r="K13" s="3">
        <v>0</v>
      </c>
      <c r="L13" s="3">
        <v>15</v>
      </c>
      <c r="M13" s="3">
        <v>27234053.510117229</v>
      </c>
    </row>
    <row r="14" spans="1:13" x14ac:dyDescent="0.25">
      <c r="A14" s="2">
        <v>13</v>
      </c>
      <c r="B14" s="2" t="s">
        <v>58</v>
      </c>
      <c r="C14" s="2" t="s">
        <v>59</v>
      </c>
      <c r="D14" s="3">
        <v>15</v>
      </c>
      <c r="E14" s="3">
        <v>36008745</v>
      </c>
      <c r="F14" s="3">
        <v>3</v>
      </c>
      <c r="G14" s="3">
        <v>6995961.1109270882</v>
      </c>
      <c r="H14" s="3">
        <v>3</v>
      </c>
      <c r="I14" s="3">
        <v>7881819</v>
      </c>
      <c r="J14" s="3">
        <v>2402001</v>
      </c>
      <c r="K14" s="3">
        <v>9457428.0156005304</v>
      </c>
      <c r="L14" s="3">
        <v>15</v>
      </c>
      <c r="M14" s="3">
        <v>33547278.095326561</v>
      </c>
    </row>
    <row r="15" spans="1:13" x14ac:dyDescent="0.25">
      <c r="A15" s="2">
        <v>14</v>
      </c>
      <c r="B15" s="2" t="s">
        <v>60</v>
      </c>
      <c r="C15" s="2" t="s">
        <v>61</v>
      </c>
      <c r="D15" s="3">
        <v>266</v>
      </c>
      <c r="E15" s="3">
        <v>27355038.603171252</v>
      </c>
      <c r="F15" s="3">
        <v>143</v>
      </c>
      <c r="G15" s="3">
        <v>22893732.220867891</v>
      </c>
      <c r="H15" s="3">
        <v>33</v>
      </c>
      <c r="I15" s="3">
        <v>4636364</v>
      </c>
      <c r="J15" s="3">
        <v>152272.26917548149</v>
      </c>
      <c r="K15" s="3">
        <v>6594978.2158674821</v>
      </c>
      <c r="L15" s="3">
        <v>376</v>
      </c>
      <c r="M15" s="3">
        <v>43653792.608171657</v>
      </c>
    </row>
    <row r="16" spans="1:13" x14ac:dyDescent="0.25">
      <c r="A16" s="2">
        <v>15</v>
      </c>
      <c r="B16" s="2" t="s">
        <v>62</v>
      </c>
      <c r="C16" s="2" t="s">
        <v>63</v>
      </c>
      <c r="D16" s="3">
        <v>12545</v>
      </c>
      <c r="E16" s="3">
        <v>1147617687.1319489</v>
      </c>
      <c r="F16" s="3">
        <v>0</v>
      </c>
      <c r="G16" s="3">
        <v>0</v>
      </c>
      <c r="H16" s="3">
        <v>141</v>
      </c>
      <c r="I16" s="3">
        <v>15077277</v>
      </c>
      <c r="J16" s="3">
        <v>94208.425656194901</v>
      </c>
      <c r="K16" s="3">
        <v>17433615.553451609</v>
      </c>
      <c r="L16" s="3">
        <v>12404</v>
      </c>
      <c r="M16" s="3">
        <v>1130184071.5784969</v>
      </c>
    </row>
    <row r="17" spans="1:13" x14ac:dyDescent="0.25">
      <c r="A17" s="2">
        <v>16</v>
      </c>
      <c r="B17" s="2" t="s">
        <v>64</v>
      </c>
      <c r="C17" s="2" t="s">
        <v>65</v>
      </c>
      <c r="D17" s="3">
        <v>1001.158</v>
      </c>
      <c r="E17" s="3">
        <v>7034344.5306927562</v>
      </c>
      <c r="F17" s="3">
        <v>471</v>
      </c>
      <c r="G17" s="3">
        <v>177776379.74289209</v>
      </c>
      <c r="H17" s="3">
        <v>318</v>
      </c>
      <c r="I17" s="3">
        <v>465525420</v>
      </c>
      <c r="J17" s="3">
        <v>399921.652645614</v>
      </c>
      <c r="K17" s="3">
        <v>166909341.68147501</v>
      </c>
      <c r="L17" s="3">
        <v>1154.1579999999999</v>
      </c>
      <c r="M17" s="3">
        <v>17901382.59210977</v>
      </c>
    </row>
    <row r="18" spans="1:13" x14ac:dyDescent="0.25">
      <c r="A18" s="2">
        <v>17</v>
      </c>
      <c r="B18" s="2" t="s">
        <v>66</v>
      </c>
      <c r="C18" s="2" t="s">
        <v>67</v>
      </c>
      <c r="D18" s="3">
        <v>41</v>
      </c>
      <c r="E18" s="3">
        <v>357394331.85861403</v>
      </c>
      <c r="F18" s="3">
        <v>0</v>
      </c>
      <c r="G18" s="3">
        <v>0</v>
      </c>
      <c r="H18" s="3">
        <v>0</v>
      </c>
      <c r="I18" s="3">
        <v>0</v>
      </c>
      <c r="J18" s="3">
        <v>8851844.5581395347</v>
      </c>
      <c r="K18" s="3">
        <v>0</v>
      </c>
      <c r="L18" s="3">
        <v>41</v>
      </c>
      <c r="M18" s="3">
        <v>357394331.85861403</v>
      </c>
    </row>
    <row r="19" spans="1:13" x14ac:dyDescent="0.25">
      <c r="A19" s="2">
        <v>18</v>
      </c>
      <c r="B19" s="2" t="s">
        <v>68</v>
      </c>
      <c r="C19" s="2" t="s">
        <v>69</v>
      </c>
      <c r="D19" s="3">
        <v>95</v>
      </c>
      <c r="E19" s="3">
        <v>261866018.2412906</v>
      </c>
      <c r="F19" s="3">
        <v>2</v>
      </c>
      <c r="G19" s="3">
        <v>6297245.1973083317</v>
      </c>
      <c r="H19" s="3">
        <v>0</v>
      </c>
      <c r="I19" s="3">
        <v>0</v>
      </c>
      <c r="J19" s="3">
        <v>2927741.8253295338</v>
      </c>
      <c r="K19" s="3">
        <v>0</v>
      </c>
      <c r="L19" s="3">
        <v>97</v>
      </c>
      <c r="M19" s="3">
        <v>268163263.4385989</v>
      </c>
    </row>
    <row r="20" spans="1:13" x14ac:dyDescent="0.25">
      <c r="A20" s="2">
        <v>19</v>
      </c>
      <c r="B20" s="2" t="s">
        <v>70</v>
      </c>
      <c r="C20" s="2" t="s">
        <v>71</v>
      </c>
      <c r="D20" s="3">
        <v>138</v>
      </c>
      <c r="E20" s="3">
        <v>538827059.89660203</v>
      </c>
      <c r="F20" s="3">
        <v>31</v>
      </c>
      <c r="G20" s="3">
        <v>456629444.72578877</v>
      </c>
      <c r="H20" s="3">
        <v>70</v>
      </c>
      <c r="I20" s="3">
        <v>374327272</v>
      </c>
      <c r="J20" s="3">
        <v>6498277.4921243275</v>
      </c>
      <c r="K20" s="3">
        <v>597000780.11366463</v>
      </c>
      <c r="L20" s="3">
        <v>99</v>
      </c>
      <c r="M20" s="3">
        <v>398455724.50872618</v>
      </c>
    </row>
    <row r="21" spans="1:13" ht="15.75" customHeight="1" x14ac:dyDescent="0.25">
      <c r="A21" s="2">
        <v>20</v>
      </c>
      <c r="B21" s="2" t="s">
        <v>72</v>
      </c>
      <c r="C21" s="2" t="s">
        <v>73</v>
      </c>
      <c r="D21" s="3">
        <v>44</v>
      </c>
      <c r="E21" s="3">
        <v>545114908.19685674</v>
      </c>
      <c r="F21" s="3">
        <v>0</v>
      </c>
      <c r="G21" s="3">
        <v>0</v>
      </c>
      <c r="H21" s="3">
        <v>0</v>
      </c>
      <c r="I21" s="3">
        <v>0</v>
      </c>
      <c r="J21" s="3">
        <v>12694716.808510641</v>
      </c>
      <c r="K21" s="3">
        <v>0</v>
      </c>
      <c r="L21" s="3">
        <v>44</v>
      </c>
      <c r="M21" s="3">
        <v>545114908.19685674</v>
      </c>
    </row>
    <row r="22" spans="1:13" ht="15.75" customHeight="1" x14ac:dyDescent="0.25">
      <c r="A22" s="2">
        <v>21</v>
      </c>
      <c r="B22" s="2" t="s">
        <v>74</v>
      </c>
      <c r="C22" s="2" t="s">
        <v>75</v>
      </c>
      <c r="D22" s="3">
        <v>86</v>
      </c>
      <c r="E22" s="3">
        <v>736162248</v>
      </c>
      <c r="F22" s="3">
        <v>0</v>
      </c>
      <c r="G22" s="3">
        <v>0</v>
      </c>
      <c r="H22" s="3">
        <v>0</v>
      </c>
      <c r="I22" s="3">
        <v>0</v>
      </c>
      <c r="J22" s="3">
        <v>8560026.1395348832</v>
      </c>
      <c r="K22" s="3">
        <v>0</v>
      </c>
      <c r="L22" s="3">
        <v>86</v>
      </c>
      <c r="M22" s="3">
        <v>736162248</v>
      </c>
    </row>
    <row r="23" spans="1:13" ht="15.75" customHeight="1" x14ac:dyDescent="0.25">
      <c r="A23" s="2">
        <v>22</v>
      </c>
      <c r="B23" s="2" t="s">
        <v>76</v>
      </c>
      <c r="C23" s="2" t="s">
        <v>77</v>
      </c>
      <c r="D23" s="3">
        <v>15</v>
      </c>
      <c r="E23" s="3">
        <v>5415070</v>
      </c>
      <c r="F23" s="3">
        <v>0</v>
      </c>
      <c r="G23" s="3">
        <v>0</v>
      </c>
      <c r="H23" s="3">
        <v>0</v>
      </c>
      <c r="I23" s="3">
        <v>0</v>
      </c>
      <c r="J23" s="3">
        <v>361004.66666666669</v>
      </c>
      <c r="K23" s="3">
        <v>0</v>
      </c>
      <c r="L23" s="3">
        <v>15</v>
      </c>
      <c r="M23" s="3">
        <v>5415070</v>
      </c>
    </row>
    <row r="24" spans="1:13" ht="15.75" customHeight="1" x14ac:dyDescent="0.25">
      <c r="A24" s="2">
        <v>23</v>
      </c>
      <c r="B24" s="2" t="s">
        <v>78</v>
      </c>
      <c r="C24" s="2" t="s">
        <v>79</v>
      </c>
      <c r="D24" s="3">
        <v>111</v>
      </c>
      <c r="E24" s="3">
        <v>1303662161.265969</v>
      </c>
      <c r="F24" s="3">
        <v>0</v>
      </c>
      <c r="G24" s="3">
        <v>0</v>
      </c>
      <c r="H24" s="3">
        <v>3</v>
      </c>
      <c r="I24" s="3">
        <v>37045455</v>
      </c>
      <c r="J24" s="3">
        <v>12067116.647338489</v>
      </c>
      <c r="K24" s="3">
        <v>47512006.467965081</v>
      </c>
      <c r="L24" s="3">
        <v>108</v>
      </c>
      <c r="M24" s="3">
        <v>1256150154.7980039</v>
      </c>
    </row>
    <row r="25" spans="1:13" ht="15.75" customHeight="1" x14ac:dyDescent="0.25">
      <c r="A25" s="2">
        <v>24</v>
      </c>
      <c r="B25" s="2" t="s">
        <v>80</v>
      </c>
      <c r="C25" s="2" t="s">
        <v>81</v>
      </c>
      <c r="D25" s="3">
        <v>25</v>
      </c>
      <c r="E25" s="3">
        <v>90878801.13696377</v>
      </c>
      <c r="F25" s="3">
        <v>2</v>
      </c>
      <c r="G25" s="3">
        <v>11831044.68325985</v>
      </c>
      <c r="H25" s="3">
        <v>3</v>
      </c>
      <c r="I25" s="3">
        <v>26532323</v>
      </c>
      <c r="J25" s="3">
        <v>4316348.1154069426</v>
      </c>
      <c r="K25" s="3">
        <v>16994810.40671264</v>
      </c>
      <c r="L25" s="3">
        <v>24</v>
      </c>
      <c r="M25" s="3">
        <v>85715035.413510993</v>
      </c>
    </row>
    <row r="26" spans="1:13" ht="15.75" customHeight="1" x14ac:dyDescent="0.25">
      <c r="A26" s="2">
        <v>25</v>
      </c>
      <c r="B26" s="2" t="s">
        <v>82</v>
      </c>
      <c r="C26" s="2" t="s">
        <v>83</v>
      </c>
      <c r="D26" s="3">
        <v>69</v>
      </c>
      <c r="E26" s="3">
        <v>1113692497.2541959</v>
      </c>
      <c r="F26" s="3">
        <v>0</v>
      </c>
      <c r="G26" s="3">
        <v>0</v>
      </c>
      <c r="H26" s="3">
        <v>1</v>
      </c>
      <c r="I26" s="3">
        <v>17063636</v>
      </c>
      <c r="J26" s="3">
        <v>16878626.227829851</v>
      </c>
      <c r="K26" s="3">
        <v>22152140.729323581</v>
      </c>
      <c r="L26" s="3">
        <v>68</v>
      </c>
      <c r="M26" s="3">
        <v>1091540356.5248721</v>
      </c>
    </row>
    <row r="27" spans="1:13" ht="15.75" customHeight="1" x14ac:dyDescent="0.25">
      <c r="A27" s="2">
        <v>26</v>
      </c>
      <c r="B27" s="2" t="s">
        <v>84</v>
      </c>
      <c r="C27" s="2" t="s">
        <v>85</v>
      </c>
      <c r="D27" s="3">
        <v>38</v>
      </c>
      <c r="E27" s="3">
        <v>200574184.17919031</v>
      </c>
      <c r="F27" s="3">
        <v>26</v>
      </c>
      <c r="G27" s="3">
        <v>188846943.02531749</v>
      </c>
      <c r="H27" s="3">
        <v>18</v>
      </c>
      <c r="I27" s="3">
        <v>197681818</v>
      </c>
      <c r="J27" s="3">
        <v>7034734.9510164419</v>
      </c>
      <c r="K27" s="3">
        <v>166187689.53401881</v>
      </c>
      <c r="L27" s="3">
        <v>46</v>
      </c>
      <c r="M27" s="3">
        <v>223233437.67048901</v>
      </c>
    </row>
    <row r="28" spans="1:13" ht="15.75" customHeight="1" x14ac:dyDescent="0.25">
      <c r="A28" s="2">
        <v>27</v>
      </c>
      <c r="B28" s="2" t="s">
        <v>86</v>
      </c>
      <c r="C28" s="2" t="s">
        <v>87</v>
      </c>
      <c r="D28" s="3">
        <v>72</v>
      </c>
      <c r="E28" s="3">
        <v>376837431.05238158</v>
      </c>
      <c r="F28" s="3">
        <v>10</v>
      </c>
      <c r="G28" s="3">
        <v>103839419.5640679</v>
      </c>
      <c r="H28" s="3">
        <v>12</v>
      </c>
      <c r="I28" s="3">
        <v>109036364</v>
      </c>
      <c r="J28" s="3">
        <v>10680413.943852101</v>
      </c>
      <c r="K28" s="3">
        <v>168208499.58146971</v>
      </c>
      <c r="L28" s="3">
        <v>70</v>
      </c>
      <c r="M28" s="3">
        <v>312468351.03497982</v>
      </c>
    </row>
    <row r="29" spans="1:13" ht="15.75" customHeight="1" x14ac:dyDescent="0.25">
      <c r="A29" s="2">
        <v>28</v>
      </c>
      <c r="B29" s="2" t="s">
        <v>88</v>
      </c>
      <c r="C29" s="2" t="s">
        <v>89</v>
      </c>
      <c r="D29" s="3">
        <v>46</v>
      </c>
      <c r="E29" s="3">
        <v>122165299.0667596</v>
      </c>
      <c r="F29" s="3">
        <v>1</v>
      </c>
      <c r="G29" s="3">
        <v>11792813.73722031</v>
      </c>
      <c r="H29" s="3">
        <v>6</v>
      </c>
      <c r="I29" s="3">
        <v>65649999</v>
      </c>
      <c r="J29" s="3">
        <v>9474328.6340631675</v>
      </c>
      <c r="K29" s="3">
        <v>74606780.807164773</v>
      </c>
      <c r="L29" s="3">
        <v>41</v>
      </c>
      <c r="M29" s="3">
        <v>59351331.9968151</v>
      </c>
    </row>
    <row r="30" spans="1:13" ht="15.75" customHeight="1" x14ac:dyDescent="0.25">
      <c r="A30" s="2">
        <v>29</v>
      </c>
      <c r="B30" s="2" t="s">
        <v>90</v>
      </c>
      <c r="C30" s="2" t="s">
        <v>91</v>
      </c>
      <c r="D30" s="3">
        <v>95</v>
      </c>
      <c r="E30" s="3">
        <v>82186901.853716657</v>
      </c>
      <c r="F30" s="3">
        <v>11</v>
      </c>
      <c r="G30" s="3">
        <v>1495992.0676426401</v>
      </c>
      <c r="H30" s="3">
        <v>3</v>
      </c>
      <c r="I30" s="3">
        <v>7063636</v>
      </c>
      <c r="J30" s="3">
        <v>832993.68646948843</v>
      </c>
      <c r="K30" s="3">
        <v>3279756.2645622981</v>
      </c>
      <c r="L30" s="3">
        <v>103</v>
      </c>
      <c r="M30" s="3">
        <v>80403137.656797007</v>
      </c>
    </row>
    <row r="31" spans="1:13" ht="15.75" customHeight="1" x14ac:dyDescent="0.25">
      <c r="A31" s="2">
        <v>30</v>
      </c>
      <c r="B31" s="2" t="s">
        <v>92</v>
      </c>
      <c r="C31" s="2" t="s">
        <v>93</v>
      </c>
      <c r="D31" s="3">
        <v>29</v>
      </c>
      <c r="E31" s="3">
        <v>389193056.61944622</v>
      </c>
      <c r="F31" s="3">
        <v>0</v>
      </c>
      <c r="G31" s="3">
        <v>0</v>
      </c>
      <c r="H31" s="3">
        <v>0</v>
      </c>
      <c r="I31" s="3">
        <v>0</v>
      </c>
      <c r="J31" s="3">
        <v>14641518.91666667</v>
      </c>
      <c r="K31" s="3">
        <v>0</v>
      </c>
      <c r="L31" s="3">
        <v>29</v>
      </c>
      <c r="M31" s="3">
        <v>389193056.61944622</v>
      </c>
    </row>
    <row r="32" spans="1:13" ht="15.75" customHeight="1" x14ac:dyDescent="0.25">
      <c r="A32" s="2">
        <v>31</v>
      </c>
      <c r="B32" s="2" t="s">
        <v>94</v>
      </c>
      <c r="C32" s="2" t="s">
        <v>95</v>
      </c>
      <c r="D32" s="3">
        <v>18</v>
      </c>
      <c r="E32" s="3">
        <v>33345047.767029651</v>
      </c>
      <c r="F32" s="3">
        <v>1</v>
      </c>
      <c r="G32" s="3">
        <v>18999093.93509132</v>
      </c>
      <c r="H32" s="3">
        <v>0</v>
      </c>
      <c r="I32" s="3">
        <v>0</v>
      </c>
      <c r="J32" s="3">
        <v>2865522.3210526309</v>
      </c>
      <c r="K32" s="3">
        <v>0</v>
      </c>
      <c r="L32" s="3">
        <v>19</v>
      </c>
      <c r="M32" s="3">
        <v>52344141.702120967</v>
      </c>
    </row>
    <row r="33" spans="1:13" ht="15.75" customHeight="1" x14ac:dyDescent="0.25">
      <c r="A33" s="2">
        <v>32</v>
      </c>
      <c r="B33" s="2" t="s">
        <v>96</v>
      </c>
      <c r="C33" s="2" t="s">
        <v>97</v>
      </c>
      <c r="D33" s="3">
        <v>28</v>
      </c>
      <c r="E33" s="3">
        <v>44726581.195181817</v>
      </c>
      <c r="F33" s="3">
        <v>0</v>
      </c>
      <c r="G33" s="3">
        <v>0</v>
      </c>
      <c r="H33" s="3">
        <v>0</v>
      </c>
      <c r="I33" s="3">
        <v>0</v>
      </c>
      <c r="J33" s="3">
        <v>1615403.3448275861</v>
      </c>
      <c r="K33" s="3">
        <v>0</v>
      </c>
      <c r="L33" s="3">
        <v>28</v>
      </c>
      <c r="M33" s="3">
        <v>44726581.195181817</v>
      </c>
    </row>
    <row r="34" spans="1:13" ht="15.75" customHeight="1" x14ac:dyDescent="0.25">
      <c r="A34" s="2">
        <v>33</v>
      </c>
      <c r="B34" s="2" t="s">
        <v>98</v>
      </c>
      <c r="C34" s="2" t="s">
        <v>99</v>
      </c>
      <c r="D34" s="3">
        <v>55</v>
      </c>
      <c r="E34" s="3">
        <v>175459994.25637811</v>
      </c>
      <c r="F34" s="3">
        <v>8</v>
      </c>
      <c r="G34" s="3">
        <v>15787111.735030759</v>
      </c>
      <c r="H34" s="3">
        <v>4</v>
      </c>
      <c r="I34" s="3">
        <v>12809091</v>
      </c>
      <c r="J34" s="3">
        <v>3629423.2068623831</v>
      </c>
      <c r="K34" s="3">
        <v>19053563.378783502</v>
      </c>
      <c r="L34" s="3">
        <v>59</v>
      </c>
      <c r="M34" s="3">
        <v>172193542.61262539</v>
      </c>
    </row>
    <row r="35" spans="1:13" ht="15.75" customHeight="1" x14ac:dyDescent="0.25">
      <c r="A35" s="2">
        <v>34</v>
      </c>
      <c r="B35" s="2" t="s">
        <v>100</v>
      </c>
      <c r="C35" s="2" t="s">
        <v>101</v>
      </c>
      <c r="D35" s="3">
        <v>135</v>
      </c>
      <c r="E35" s="3">
        <v>1387138690.395067</v>
      </c>
      <c r="F35" s="3">
        <v>22</v>
      </c>
      <c r="G35" s="3">
        <v>278324842.61199433</v>
      </c>
      <c r="H35" s="3">
        <v>18</v>
      </c>
      <c r="I35" s="3">
        <v>218990907</v>
      </c>
      <c r="J35" s="3">
        <v>12118182.89657753</v>
      </c>
      <c r="K35" s="3">
        <v>286278421.42679417</v>
      </c>
      <c r="L35" s="3">
        <v>139</v>
      </c>
      <c r="M35" s="3">
        <v>1379185111.580267</v>
      </c>
    </row>
    <row r="36" spans="1:13" ht="15.75" customHeight="1" x14ac:dyDescent="0.25">
      <c r="A36" s="2">
        <v>35</v>
      </c>
      <c r="B36" s="2" t="s">
        <v>102</v>
      </c>
      <c r="C36" s="2" t="s">
        <v>103</v>
      </c>
      <c r="D36" s="3">
        <v>17</v>
      </c>
      <c r="E36" s="3">
        <v>255487844.2681964</v>
      </c>
      <c r="F36" s="3">
        <v>11</v>
      </c>
      <c r="G36" s="3">
        <v>194822990.1962187</v>
      </c>
      <c r="H36" s="3">
        <v>6</v>
      </c>
      <c r="I36" s="3">
        <v>106500000</v>
      </c>
      <c r="J36" s="3">
        <v>17158139.790726818</v>
      </c>
      <c r="K36" s="3">
        <v>135113908.73893061</v>
      </c>
      <c r="L36" s="3">
        <v>22</v>
      </c>
      <c r="M36" s="3">
        <v>315196925.72548449</v>
      </c>
    </row>
    <row r="37" spans="1:13" ht="15.75" customHeight="1" x14ac:dyDescent="0.25">
      <c r="A37" s="2">
        <v>36</v>
      </c>
      <c r="B37" s="2" t="s">
        <v>104</v>
      </c>
      <c r="C37" s="2" t="s">
        <v>105</v>
      </c>
      <c r="D37" s="3">
        <v>19</v>
      </c>
      <c r="E37" s="3">
        <v>74821653.477218032</v>
      </c>
      <c r="F37" s="3">
        <v>7</v>
      </c>
      <c r="G37" s="3">
        <v>29107034.69374577</v>
      </c>
      <c r="H37" s="3">
        <v>2</v>
      </c>
      <c r="I37" s="3">
        <v>10900000</v>
      </c>
      <c r="J37" s="3">
        <v>4334368.3663003659</v>
      </c>
      <c r="K37" s="3">
        <v>11377174.50780461</v>
      </c>
      <c r="L37" s="3">
        <v>24</v>
      </c>
      <c r="M37" s="3">
        <v>92551513.663159192</v>
      </c>
    </row>
    <row r="38" spans="1:13" ht="15.75" customHeight="1" x14ac:dyDescent="0.25">
      <c r="A38" s="2">
        <v>37</v>
      </c>
      <c r="B38" s="2" t="s">
        <v>106</v>
      </c>
      <c r="C38" s="2" t="s">
        <v>107</v>
      </c>
      <c r="D38" s="3">
        <v>50</v>
      </c>
      <c r="E38" s="3">
        <v>82258624.315360025</v>
      </c>
      <c r="F38" s="3">
        <v>25</v>
      </c>
      <c r="G38" s="3">
        <v>73979974.297206834</v>
      </c>
      <c r="H38" s="3">
        <v>24</v>
      </c>
      <c r="I38" s="3">
        <v>62472727</v>
      </c>
      <c r="J38" s="3">
        <v>2878908.7314546779</v>
      </c>
      <c r="K38" s="3">
        <v>90681301.435649559</v>
      </c>
      <c r="L38" s="3">
        <v>51</v>
      </c>
      <c r="M38" s="3">
        <v>65557297.1769173</v>
      </c>
    </row>
    <row r="39" spans="1:13" ht="15.75" customHeight="1" x14ac:dyDescent="0.25">
      <c r="A39" s="2">
        <v>38</v>
      </c>
      <c r="B39" s="2" t="s">
        <v>108</v>
      </c>
      <c r="C39" s="2" t="s">
        <v>109</v>
      </c>
      <c r="D39" s="3">
        <v>972</v>
      </c>
      <c r="E39" s="3">
        <v>1549128488.993679</v>
      </c>
      <c r="F39" s="3">
        <v>65</v>
      </c>
      <c r="G39" s="3">
        <v>80981544.936740056</v>
      </c>
      <c r="H39" s="3">
        <v>14</v>
      </c>
      <c r="I39" s="3">
        <v>49463635</v>
      </c>
      <c r="J39" s="3">
        <v>1754158.8683505501</v>
      </c>
      <c r="K39" s="3">
        <v>32231132.453724571</v>
      </c>
      <c r="L39" s="3">
        <v>1023</v>
      </c>
      <c r="M39" s="3">
        <v>1597878901.4766941</v>
      </c>
    </row>
    <row r="40" spans="1:13" ht="15.75" customHeight="1" x14ac:dyDescent="0.25">
      <c r="A40" s="2">
        <v>39</v>
      </c>
      <c r="B40" s="2" t="s">
        <v>110</v>
      </c>
      <c r="C40" s="2" t="s">
        <v>111</v>
      </c>
      <c r="D40" s="3">
        <v>29</v>
      </c>
      <c r="E40" s="3">
        <v>152209652.48592681</v>
      </c>
      <c r="F40" s="3">
        <v>0</v>
      </c>
      <c r="G40" s="3">
        <v>0</v>
      </c>
      <c r="H40" s="3">
        <v>1</v>
      </c>
      <c r="I40" s="3">
        <v>6354545</v>
      </c>
      <c r="J40" s="3">
        <v>5311958.333333333</v>
      </c>
      <c r="K40" s="3">
        <v>6971612.9120913995</v>
      </c>
      <c r="L40" s="3">
        <v>28</v>
      </c>
      <c r="M40" s="3">
        <v>145238039.5738354</v>
      </c>
    </row>
    <row r="41" spans="1:13" ht="15.75" customHeight="1" x14ac:dyDescent="0.25">
      <c r="A41" s="2">
        <v>40</v>
      </c>
      <c r="B41" s="2" t="s">
        <v>112</v>
      </c>
      <c r="C41" s="2" t="s">
        <v>113</v>
      </c>
      <c r="D41" s="3">
        <v>23</v>
      </c>
      <c r="E41" s="3">
        <v>120556708.3025049</v>
      </c>
      <c r="F41" s="3">
        <v>4</v>
      </c>
      <c r="G41" s="3">
        <v>21753477.99211143</v>
      </c>
      <c r="H41" s="3">
        <v>1</v>
      </c>
      <c r="I41" s="3">
        <v>6909091</v>
      </c>
      <c r="J41" s="3">
        <v>5638633.5797037045</v>
      </c>
      <c r="K41" s="3">
        <v>7400353.7309651021</v>
      </c>
      <c r="L41" s="3">
        <v>26</v>
      </c>
      <c r="M41" s="3">
        <v>134909832.5636512</v>
      </c>
    </row>
    <row r="42" spans="1:13" ht="15.75" customHeight="1" x14ac:dyDescent="0.25">
      <c r="A42" s="2">
        <v>41</v>
      </c>
      <c r="B42" s="2" t="s">
        <v>114</v>
      </c>
      <c r="C42" s="2" t="s">
        <v>115</v>
      </c>
      <c r="D42" s="3">
        <v>28</v>
      </c>
      <c r="E42" s="3">
        <v>52486287.345126957</v>
      </c>
      <c r="F42" s="3">
        <v>5</v>
      </c>
      <c r="G42" s="3">
        <v>2727984.9087636131</v>
      </c>
      <c r="H42" s="3">
        <v>4</v>
      </c>
      <c r="I42" s="3">
        <v>7472727</v>
      </c>
      <c r="J42" s="3">
        <v>1913939.058298677</v>
      </c>
      <c r="K42" s="3">
        <v>10047700.990469201</v>
      </c>
      <c r="L42" s="3">
        <v>29</v>
      </c>
      <c r="M42" s="3">
        <v>45166571.263421357</v>
      </c>
    </row>
    <row r="43" spans="1:13" ht="15.75" customHeight="1" x14ac:dyDescent="0.25">
      <c r="A43" s="2">
        <v>42</v>
      </c>
      <c r="B43" s="2" t="s">
        <v>116</v>
      </c>
      <c r="C43" s="2" t="s">
        <v>117</v>
      </c>
      <c r="D43" s="3">
        <v>56</v>
      </c>
      <c r="E43" s="3">
        <v>32689960.113762971</v>
      </c>
      <c r="F43" s="3">
        <v>0</v>
      </c>
      <c r="G43" s="3">
        <v>0</v>
      </c>
      <c r="H43" s="3">
        <v>1</v>
      </c>
      <c r="I43" s="3">
        <v>990909</v>
      </c>
      <c r="J43" s="3">
        <v>665230.19444444438</v>
      </c>
      <c r="K43" s="3">
        <v>873073.00285085593</v>
      </c>
      <c r="L43" s="3">
        <v>55</v>
      </c>
      <c r="M43" s="3">
        <v>31816887.110912122</v>
      </c>
    </row>
    <row r="44" spans="1:13" ht="15.75" customHeight="1" x14ac:dyDescent="0.25">
      <c r="A44" s="2">
        <v>43</v>
      </c>
      <c r="B44" s="2" t="s">
        <v>118</v>
      </c>
      <c r="C44" s="2" t="s">
        <v>119</v>
      </c>
      <c r="D44" s="3">
        <v>160</v>
      </c>
      <c r="E44" s="3">
        <v>55743519.218741588</v>
      </c>
      <c r="F44" s="3">
        <v>10</v>
      </c>
      <c r="G44" s="3">
        <v>3475980.4585876409</v>
      </c>
      <c r="H44" s="3">
        <v>0</v>
      </c>
      <c r="I44" s="3">
        <v>0</v>
      </c>
      <c r="J44" s="3">
        <v>390066.12424242432</v>
      </c>
      <c r="K44" s="3">
        <v>0</v>
      </c>
      <c r="L44" s="3">
        <v>170</v>
      </c>
      <c r="M44" s="3">
        <v>59219499.677329227</v>
      </c>
    </row>
    <row r="45" spans="1:13" ht="15.75" customHeight="1" x14ac:dyDescent="0.25">
      <c r="A45" s="2">
        <v>44</v>
      </c>
      <c r="B45" s="2" t="s">
        <v>120</v>
      </c>
      <c r="C45" s="2" t="s">
        <v>121</v>
      </c>
      <c r="D45" s="3">
        <v>19</v>
      </c>
      <c r="E45" s="3">
        <v>92254673.390548781</v>
      </c>
      <c r="F45" s="3">
        <v>3</v>
      </c>
      <c r="G45" s="3">
        <v>17723101.868213121</v>
      </c>
      <c r="H45" s="3">
        <v>2</v>
      </c>
      <c r="I45" s="3">
        <v>15763636</v>
      </c>
      <c r="J45" s="3">
        <v>7182249.3381522056</v>
      </c>
      <c r="K45" s="3">
        <v>18852505.641662661</v>
      </c>
      <c r="L45" s="3">
        <v>20</v>
      </c>
      <c r="M45" s="3">
        <v>91125269.617099255</v>
      </c>
    </row>
    <row r="46" spans="1:13" ht="15.75" customHeight="1" x14ac:dyDescent="0.25">
      <c r="A46" s="2">
        <v>45</v>
      </c>
      <c r="B46" s="2" t="s">
        <v>122</v>
      </c>
      <c r="C46" s="2" t="s">
        <v>123</v>
      </c>
      <c r="D46" s="3">
        <v>317</v>
      </c>
      <c r="E46" s="3">
        <v>121604118.0360758</v>
      </c>
      <c r="F46" s="3">
        <v>3</v>
      </c>
      <c r="G46" s="3">
        <v>1135193.382861584</v>
      </c>
      <c r="H46" s="3">
        <v>6</v>
      </c>
      <c r="I46" s="3">
        <v>2999998</v>
      </c>
      <c r="J46" s="3">
        <v>524561.12631524913</v>
      </c>
      <c r="K46" s="3">
        <v>4130721.920522769</v>
      </c>
      <c r="L46" s="3">
        <v>314</v>
      </c>
      <c r="M46" s="3">
        <v>118608589.4984147</v>
      </c>
    </row>
    <row r="47" spans="1:13" ht="15.75" customHeight="1" x14ac:dyDescent="0.25">
      <c r="A47" s="2">
        <v>46</v>
      </c>
      <c r="B47" s="2" t="s">
        <v>124</v>
      </c>
      <c r="C47" s="2" t="s">
        <v>125</v>
      </c>
      <c r="D47" s="3">
        <v>121</v>
      </c>
      <c r="E47" s="3">
        <v>96033998.088097975</v>
      </c>
      <c r="F47" s="3">
        <v>0</v>
      </c>
      <c r="G47" s="3">
        <v>0</v>
      </c>
      <c r="H47" s="3">
        <v>0</v>
      </c>
      <c r="I47" s="3">
        <v>0</v>
      </c>
      <c r="J47" s="3">
        <v>815364.67292784736</v>
      </c>
      <c r="K47" s="3">
        <v>0</v>
      </c>
      <c r="L47" s="3">
        <v>121</v>
      </c>
      <c r="M47" s="3">
        <v>96033998.088097975</v>
      </c>
    </row>
    <row r="48" spans="1:13" ht="15.75" customHeight="1" x14ac:dyDescent="0.25">
      <c r="A48" s="2">
        <v>47</v>
      </c>
      <c r="B48" s="2" t="s">
        <v>126</v>
      </c>
      <c r="C48" s="2" t="s">
        <v>127</v>
      </c>
      <c r="D48" s="3">
        <v>258</v>
      </c>
      <c r="E48" s="3">
        <v>98152857.508607551</v>
      </c>
      <c r="F48" s="3">
        <v>0</v>
      </c>
      <c r="G48" s="3">
        <v>0</v>
      </c>
      <c r="H48" s="3">
        <v>7</v>
      </c>
      <c r="I48" s="3">
        <v>15496364</v>
      </c>
      <c r="J48" s="3">
        <v>448317.122526024</v>
      </c>
      <c r="K48" s="3">
        <v>4118717.1863732561</v>
      </c>
      <c r="L48" s="3">
        <v>251</v>
      </c>
      <c r="M48" s="3">
        <v>94034140.322234303</v>
      </c>
    </row>
    <row r="49" spans="1:13" ht="15.75" customHeight="1" x14ac:dyDescent="0.25">
      <c r="A49" s="2">
        <v>48</v>
      </c>
      <c r="B49" s="2" t="s">
        <v>128</v>
      </c>
      <c r="C49" s="2" t="s">
        <v>129</v>
      </c>
      <c r="D49" s="3">
        <v>76</v>
      </c>
      <c r="E49" s="3">
        <v>67070592.952461436</v>
      </c>
      <c r="F49" s="3">
        <v>0</v>
      </c>
      <c r="G49" s="3">
        <v>0</v>
      </c>
      <c r="H49" s="3">
        <v>0</v>
      </c>
      <c r="I49" s="3">
        <v>0</v>
      </c>
      <c r="J49" s="3">
        <v>962345.272881301</v>
      </c>
      <c r="K49" s="3">
        <v>0</v>
      </c>
      <c r="L49" s="3">
        <v>76</v>
      </c>
      <c r="M49" s="3">
        <v>67070592.952461436</v>
      </c>
    </row>
    <row r="50" spans="1:13" ht="15.75" customHeight="1" x14ac:dyDescent="0.25">
      <c r="A50" s="2">
        <v>49</v>
      </c>
      <c r="B50" s="2" t="s">
        <v>130</v>
      </c>
      <c r="C50" s="2" t="s">
        <v>131</v>
      </c>
      <c r="D50" s="3">
        <v>189</v>
      </c>
      <c r="E50" s="3">
        <v>625452941.7691747</v>
      </c>
      <c r="F50" s="3">
        <v>0</v>
      </c>
      <c r="G50" s="3">
        <v>0</v>
      </c>
      <c r="H50" s="3">
        <v>0</v>
      </c>
      <c r="I50" s="3">
        <v>0</v>
      </c>
      <c r="J50" s="3">
        <v>3376250.5074626859</v>
      </c>
      <c r="K50" s="3">
        <v>0</v>
      </c>
      <c r="L50" s="3">
        <v>189</v>
      </c>
      <c r="M50" s="3">
        <v>625452941.7691747</v>
      </c>
    </row>
    <row r="51" spans="1:13" ht="15.75" customHeight="1" x14ac:dyDescent="0.25">
      <c r="A51" s="2">
        <v>50</v>
      </c>
      <c r="B51" s="2" t="s">
        <v>132</v>
      </c>
      <c r="C51" s="2" t="s">
        <v>133</v>
      </c>
      <c r="D51" s="3">
        <v>140</v>
      </c>
      <c r="E51" s="3">
        <v>57756236.349358179</v>
      </c>
      <c r="F51" s="3">
        <v>0</v>
      </c>
      <c r="G51" s="3">
        <v>0</v>
      </c>
      <c r="H51" s="3">
        <v>1</v>
      </c>
      <c r="I51" s="3">
        <v>590909</v>
      </c>
      <c r="J51" s="3">
        <v>425867.4245867061</v>
      </c>
      <c r="K51" s="3">
        <v>558924.34574589552</v>
      </c>
      <c r="L51" s="3">
        <v>139</v>
      </c>
      <c r="M51" s="3">
        <v>57197312.00361228</v>
      </c>
    </row>
    <row r="52" spans="1:13" ht="15.75" customHeight="1" x14ac:dyDescent="0.25">
      <c r="A52" s="2">
        <v>51</v>
      </c>
      <c r="B52" s="2" t="s">
        <v>134</v>
      </c>
      <c r="C52" s="2" t="s">
        <v>135</v>
      </c>
      <c r="D52" s="3">
        <v>1153</v>
      </c>
      <c r="E52" s="3">
        <v>25474918.96545672</v>
      </c>
      <c r="F52" s="3">
        <v>219</v>
      </c>
      <c r="G52" s="3">
        <v>5738095.7106025452</v>
      </c>
      <c r="H52" s="3">
        <v>32</v>
      </c>
      <c r="I52" s="3">
        <v>1745455</v>
      </c>
      <c r="J52" s="3">
        <v>25650.851272498519</v>
      </c>
      <c r="K52" s="3">
        <v>1077284.389467082</v>
      </c>
      <c r="L52" s="3">
        <v>1340</v>
      </c>
      <c r="M52" s="3">
        <v>30135730.286592189</v>
      </c>
    </row>
    <row r="53" spans="1:13" ht="15.75" customHeight="1" x14ac:dyDescent="0.25">
      <c r="A53" s="2">
        <v>52</v>
      </c>
      <c r="B53" s="2" t="s">
        <v>136</v>
      </c>
      <c r="C53" s="2" t="s">
        <v>137</v>
      </c>
      <c r="D53" s="3">
        <v>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6</v>
      </c>
      <c r="M53" s="3">
        <v>0</v>
      </c>
    </row>
    <row r="54" spans="1:13" ht="15.75" customHeight="1" x14ac:dyDescent="0.25">
      <c r="C54" s="4" t="s">
        <v>138</v>
      </c>
      <c r="D54" s="5">
        <f t="shared" ref="D54:M54" si="0">SUM(D2:D53)</f>
        <v>39716.158000000003</v>
      </c>
      <c r="E54" s="5">
        <f t="shared" si="0"/>
        <v>18156910331.26413</v>
      </c>
      <c r="F54" s="5">
        <f t="shared" si="0"/>
        <v>1259</v>
      </c>
      <c r="G54" s="5">
        <f t="shared" si="0"/>
        <v>1810722699.6047153</v>
      </c>
      <c r="H54" s="5">
        <f t="shared" si="0"/>
        <v>963</v>
      </c>
      <c r="I54" s="5">
        <f t="shared" si="0"/>
        <v>1922645025</v>
      </c>
      <c r="J54" s="5">
        <f t="shared" si="0"/>
        <v>206610792.38215294</v>
      </c>
      <c r="K54" s="5">
        <f t="shared" si="0"/>
        <v>2078378952.2706285</v>
      </c>
      <c r="L54" s="5">
        <f t="shared" si="0"/>
        <v>40012.158000000003</v>
      </c>
      <c r="M54" s="5">
        <f t="shared" si="0"/>
        <v>17889254078.598221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3" x14ac:dyDescent="0.25">
      <c r="A1" s="1" t="s">
        <v>0</v>
      </c>
      <c r="B1" s="1" t="s">
        <v>1</v>
      </c>
      <c r="C1" s="1" t="s">
        <v>146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8</v>
      </c>
      <c r="M1" s="1" t="s">
        <v>9</v>
      </c>
    </row>
    <row r="2" spans="1:13" x14ac:dyDescent="0.25">
      <c r="A2" s="2">
        <v>1</v>
      </c>
      <c r="B2" s="2" t="s">
        <v>34</v>
      </c>
      <c r="C2" s="2" t="s">
        <v>35</v>
      </c>
      <c r="D2" s="3">
        <v>1327</v>
      </c>
      <c r="E2" s="3">
        <v>530407425.36918437</v>
      </c>
      <c r="F2" s="3">
        <v>10</v>
      </c>
      <c r="G2" s="3">
        <v>3581579.9555973909</v>
      </c>
      <c r="H2" s="3">
        <v>0</v>
      </c>
      <c r="I2" s="3">
        <v>0</v>
      </c>
      <c r="J2" s="3">
        <v>415334.84591275442</v>
      </c>
      <c r="K2" s="3">
        <v>0</v>
      </c>
      <c r="L2" s="3">
        <v>1337</v>
      </c>
      <c r="M2" s="3">
        <v>533989005.32478178</v>
      </c>
    </row>
    <row r="3" spans="1:13" x14ac:dyDescent="0.25">
      <c r="A3" s="2">
        <v>2</v>
      </c>
      <c r="B3" s="2" t="s">
        <v>36</v>
      </c>
      <c r="C3" s="2" t="s">
        <v>37</v>
      </c>
      <c r="D3" s="3">
        <v>123</v>
      </c>
      <c r="E3" s="3">
        <v>131570074.8448849</v>
      </c>
      <c r="F3" s="3">
        <v>32</v>
      </c>
      <c r="G3" s="3">
        <v>40528168.519082092</v>
      </c>
      <c r="H3" s="3">
        <v>9</v>
      </c>
      <c r="I3" s="3">
        <v>11009090</v>
      </c>
      <c r="J3" s="3">
        <v>1271838.3861204369</v>
      </c>
      <c r="K3" s="3">
        <v>15022874.65851794</v>
      </c>
      <c r="L3" s="3">
        <v>146</v>
      </c>
      <c r="M3" s="3">
        <v>157075368.70544899</v>
      </c>
    </row>
    <row r="4" spans="1:13" x14ac:dyDescent="0.25">
      <c r="A4" s="2">
        <v>3</v>
      </c>
      <c r="B4" s="2" t="s">
        <v>38</v>
      </c>
      <c r="C4" s="2" t="s">
        <v>39</v>
      </c>
      <c r="D4" s="3">
        <v>859</v>
      </c>
      <c r="E4" s="3">
        <v>347128518.91941798</v>
      </c>
      <c r="F4" s="3">
        <v>0</v>
      </c>
      <c r="G4" s="3">
        <v>0</v>
      </c>
      <c r="H4" s="3">
        <v>23</v>
      </c>
      <c r="I4" s="3">
        <v>9580001</v>
      </c>
      <c r="J4" s="3">
        <v>406324.54462242569</v>
      </c>
      <c r="K4" s="3">
        <v>12265337.390225889</v>
      </c>
      <c r="L4" s="3">
        <v>836</v>
      </c>
      <c r="M4" s="3">
        <v>334863181.52919209</v>
      </c>
    </row>
    <row r="5" spans="1:13" x14ac:dyDescent="0.25">
      <c r="A5" s="2">
        <v>4</v>
      </c>
      <c r="B5" s="2" t="s">
        <v>40</v>
      </c>
      <c r="C5" s="2" t="s">
        <v>41</v>
      </c>
      <c r="D5" s="3">
        <v>1289</v>
      </c>
      <c r="E5" s="3">
        <v>174265898.57070321</v>
      </c>
      <c r="F5" s="3">
        <v>47</v>
      </c>
      <c r="G5" s="3">
        <v>5807967.4955633376</v>
      </c>
      <c r="H5" s="3">
        <v>49</v>
      </c>
      <c r="I5" s="3">
        <v>8036372</v>
      </c>
      <c r="J5" s="3">
        <v>142901.60613371461</v>
      </c>
      <c r="K5" s="3">
        <v>9189921.3770576995</v>
      </c>
      <c r="L5" s="3">
        <v>1287</v>
      </c>
      <c r="M5" s="3">
        <v>170883944.68920881</v>
      </c>
    </row>
    <row r="6" spans="1:13" x14ac:dyDescent="0.25">
      <c r="A6" s="2">
        <v>5</v>
      </c>
      <c r="B6" s="2" t="s">
        <v>42</v>
      </c>
      <c r="C6" s="2" t="s">
        <v>43</v>
      </c>
      <c r="D6" s="3">
        <v>63</v>
      </c>
      <c r="E6" s="3">
        <v>15558443.876569521</v>
      </c>
      <c r="F6" s="3">
        <v>10</v>
      </c>
      <c r="G6" s="3">
        <v>1671990.906660696</v>
      </c>
      <c r="H6" s="3">
        <v>1</v>
      </c>
      <c r="I6" s="3">
        <v>227273</v>
      </c>
      <c r="J6" s="3">
        <v>263312.74437194603</v>
      </c>
      <c r="K6" s="3">
        <v>345581.49996439117</v>
      </c>
      <c r="L6" s="3">
        <v>72</v>
      </c>
      <c r="M6" s="3">
        <v>16884853.283265822</v>
      </c>
    </row>
    <row r="7" spans="1:13" x14ac:dyDescent="0.25">
      <c r="A7" s="2">
        <v>6</v>
      </c>
      <c r="B7" s="2" t="s">
        <v>44</v>
      </c>
      <c r="C7" s="2" t="s">
        <v>45</v>
      </c>
      <c r="D7" s="3">
        <v>57</v>
      </c>
      <c r="E7" s="3">
        <v>1749044.1763843349</v>
      </c>
      <c r="F7" s="3">
        <v>0</v>
      </c>
      <c r="G7" s="3">
        <v>0</v>
      </c>
      <c r="H7" s="3">
        <v>0</v>
      </c>
      <c r="I7" s="3">
        <v>0</v>
      </c>
      <c r="J7" s="3">
        <v>31435.350877192981</v>
      </c>
      <c r="K7" s="3">
        <v>0</v>
      </c>
      <c r="L7" s="3">
        <v>57</v>
      </c>
      <c r="M7" s="3">
        <v>1749044.1763843349</v>
      </c>
    </row>
    <row r="8" spans="1:13" x14ac:dyDescent="0.25">
      <c r="A8" s="2">
        <v>7</v>
      </c>
      <c r="B8" s="2" t="s">
        <v>46</v>
      </c>
      <c r="C8" s="2" t="s">
        <v>47</v>
      </c>
      <c r="D8" s="3">
        <v>15720</v>
      </c>
      <c r="E8" s="3">
        <v>2193889206.6646142</v>
      </c>
      <c r="F8" s="3">
        <v>4</v>
      </c>
      <c r="G8" s="3">
        <v>3898378.4466266409</v>
      </c>
      <c r="H8" s="3">
        <v>225</v>
      </c>
      <c r="I8" s="3">
        <v>27072768</v>
      </c>
      <c r="J8" s="3">
        <v>141916.75058320459</v>
      </c>
      <c r="K8" s="3">
        <v>41907792.279705308</v>
      </c>
      <c r="L8" s="3">
        <v>15499</v>
      </c>
      <c r="M8" s="3">
        <v>2155879792.8315349</v>
      </c>
    </row>
    <row r="9" spans="1:13" x14ac:dyDescent="0.25">
      <c r="A9" s="2">
        <v>8</v>
      </c>
      <c r="B9" s="2" t="s">
        <v>48</v>
      </c>
      <c r="C9" s="2" t="s">
        <v>49</v>
      </c>
      <c r="D9" s="3">
        <v>59</v>
      </c>
      <c r="E9" s="3">
        <v>121852001.1525915</v>
      </c>
      <c r="F9" s="3">
        <v>4</v>
      </c>
      <c r="G9" s="3">
        <v>22838193.361474499</v>
      </c>
      <c r="H9" s="3">
        <v>0</v>
      </c>
      <c r="I9" s="3">
        <v>0</v>
      </c>
      <c r="J9" s="3">
        <v>2871415.2517536082</v>
      </c>
      <c r="K9" s="3">
        <v>0</v>
      </c>
      <c r="L9" s="3">
        <v>63</v>
      </c>
      <c r="M9" s="3">
        <v>144690194.51406601</v>
      </c>
    </row>
    <row r="10" spans="1:13" x14ac:dyDescent="0.25">
      <c r="A10" s="2">
        <v>9</v>
      </c>
      <c r="B10" s="2" t="s">
        <v>50</v>
      </c>
      <c r="C10" s="2" t="s">
        <v>51</v>
      </c>
      <c r="D10" s="3">
        <v>1380</v>
      </c>
      <c r="E10" s="3">
        <v>1701804841.6997609</v>
      </c>
      <c r="F10" s="3">
        <v>5</v>
      </c>
      <c r="G10" s="3">
        <v>6723064.0782022187</v>
      </c>
      <c r="H10" s="3">
        <v>19</v>
      </c>
      <c r="I10" s="3">
        <v>29936363</v>
      </c>
      <c r="J10" s="3">
        <v>1312030.7691864381</v>
      </c>
      <c r="K10" s="3">
        <v>32717207.37874255</v>
      </c>
      <c r="L10" s="3">
        <v>1366</v>
      </c>
      <c r="M10" s="3">
        <v>1675810698.3992209</v>
      </c>
    </row>
    <row r="11" spans="1:13" x14ac:dyDescent="0.25">
      <c r="A11" s="2">
        <v>10</v>
      </c>
      <c r="B11" s="2" t="s">
        <v>52</v>
      </c>
      <c r="C11" s="2" t="s">
        <v>53</v>
      </c>
      <c r="D11" s="3">
        <v>118</v>
      </c>
      <c r="E11" s="3">
        <v>164910910.69974521</v>
      </c>
      <c r="F11" s="3">
        <v>24</v>
      </c>
      <c r="G11" s="3">
        <v>34438474.614589222</v>
      </c>
      <c r="H11" s="3">
        <v>21</v>
      </c>
      <c r="I11" s="3">
        <v>46718184</v>
      </c>
      <c r="J11" s="3">
        <v>2292168.4914441719</v>
      </c>
      <c r="K11" s="3">
        <v>63174881.922291622</v>
      </c>
      <c r="L11" s="3">
        <v>121</v>
      </c>
      <c r="M11" s="3">
        <v>136174503.39204279</v>
      </c>
    </row>
    <row r="12" spans="1:13" x14ac:dyDescent="0.25">
      <c r="A12" s="2">
        <v>11</v>
      </c>
      <c r="B12" s="2" t="s">
        <v>54</v>
      </c>
      <c r="C12" s="2" t="s">
        <v>55</v>
      </c>
      <c r="D12" s="3">
        <v>53</v>
      </c>
      <c r="E12" s="3">
        <v>129193306.6631438</v>
      </c>
      <c r="F12" s="3">
        <v>6</v>
      </c>
      <c r="G12" s="3">
        <v>22343074.780418132</v>
      </c>
      <c r="H12" s="3">
        <v>1</v>
      </c>
      <c r="I12" s="3">
        <v>2372727</v>
      </c>
      <c r="J12" s="3">
        <v>2849456.827410114</v>
      </c>
      <c r="K12" s="3">
        <v>3739733.7787387301</v>
      </c>
      <c r="L12" s="3">
        <v>58</v>
      </c>
      <c r="M12" s="3">
        <v>147796647.6648232</v>
      </c>
    </row>
    <row r="13" spans="1:13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27234053.510117229</v>
      </c>
      <c r="F13" s="3">
        <v>0</v>
      </c>
      <c r="G13" s="3">
        <v>0</v>
      </c>
      <c r="H13" s="3">
        <v>0</v>
      </c>
      <c r="I13" s="3">
        <v>0</v>
      </c>
      <c r="J13" s="3">
        <v>1858187.5</v>
      </c>
      <c r="K13" s="3">
        <v>0</v>
      </c>
      <c r="L13" s="3">
        <v>15</v>
      </c>
      <c r="M13" s="3">
        <v>27234053.510117229</v>
      </c>
    </row>
    <row r="14" spans="1:13" x14ac:dyDescent="0.25">
      <c r="A14" s="2">
        <v>13</v>
      </c>
      <c r="B14" s="2" t="s">
        <v>58</v>
      </c>
      <c r="C14" s="2" t="s">
        <v>59</v>
      </c>
      <c r="D14" s="3">
        <v>15</v>
      </c>
      <c r="E14" s="3">
        <v>33547278.095326561</v>
      </c>
      <c r="F14" s="3">
        <v>0</v>
      </c>
      <c r="G14" s="3">
        <v>0</v>
      </c>
      <c r="H14" s="3">
        <v>0</v>
      </c>
      <c r="I14" s="3">
        <v>0</v>
      </c>
      <c r="J14" s="3">
        <v>2402001</v>
      </c>
      <c r="K14" s="3">
        <v>0</v>
      </c>
      <c r="L14" s="3">
        <v>15</v>
      </c>
      <c r="M14" s="3">
        <v>33547278.095326561</v>
      </c>
    </row>
    <row r="15" spans="1:13" x14ac:dyDescent="0.25">
      <c r="A15" s="2">
        <v>14</v>
      </c>
      <c r="B15" s="2" t="s">
        <v>60</v>
      </c>
      <c r="C15" s="2" t="s">
        <v>61</v>
      </c>
      <c r="D15" s="3">
        <v>376</v>
      </c>
      <c r="E15" s="3">
        <v>43653792.608171657</v>
      </c>
      <c r="F15" s="3">
        <v>59</v>
      </c>
      <c r="G15" s="3">
        <v>7622519.8043755479</v>
      </c>
      <c r="H15" s="3">
        <v>23</v>
      </c>
      <c r="I15" s="3">
        <v>2283634</v>
      </c>
      <c r="J15" s="3">
        <v>149721.65795397939</v>
      </c>
      <c r="K15" s="3">
        <v>4519507.063340229</v>
      </c>
      <c r="L15" s="3">
        <v>412</v>
      </c>
      <c r="M15" s="3">
        <v>46756805.349206977</v>
      </c>
    </row>
    <row r="16" spans="1:13" x14ac:dyDescent="0.25">
      <c r="A16" s="2">
        <v>15</v>
      </c>
      <c r="B16" s="2" t="s">
        <v>62</v>
      </c>
      <c r="C16" s="2" t="s">
        <v>63</v>
      </c>
      <c r="D16" s="3">
        <v>12404</v>
      </c>
      <c r="E16" s="3">
        <v>1130184071.5784969</v>
      </c>
      <c r="F16" s="3">
        <v>10</v>
      </c>
      <c r="G16" s="3">
        <v>4135977.5568972249</v>
      </c>
      <c r="H16" s="3">
        <v>71</v>
      </c>
      <c r="I16" s="3">
        <v>9518180</v>
      </c>
      <c r="J16" s="3">
        <v>94476.723041682097</v>
      </c>
      <c r="K16" s="3">
        <v>8803629.8790708371</v>
      </c>
      <c r="L16" s="3">
        <v>12343</v>
      </c>
      <c r="M16" s="3">
        <v>1125516419.2563241</v>
      </c>
    </row>
    <row r="17" spans="1:13" x14ac:dyDescent="0.25">
      <c r="A17" s="2">
        <v>16</v>
      </c>
      <c r="B17" s="2" t="s">
        <v>64</v>
      </c>
      <c r="C17" s="2" t="s">
        <v>65</v>
      </c>
      <c r="D17" s="3">
        <v>1154.1579999999999</v>
      </c>
      <c r="E17" s="3">
        <v>17901382.59210977</v>
      </c>
      <c r="F17" s="3">
        <v>789</v>
      </c>
      <c r="G17" s="3">
        <v>322155324.94721228</v>
      </c>
      <c r="H17" s="3">
        <v>662</v>
      </c>
      <c r="I17" s="3">
        <v>431022654</v>
      </c>
      <c r="J17" s="3">
        <v>408808.61210545601</v>
      </c>
      <c r="K17" s="3">
        <v>355186647.85428631</v>
      </c>
      <c r="L17" s="3">
        <v>1281.1579999999999</v>
      </c>
      <c r="M17" s="3">
        <v>-15129940.314964229</v>
      </c>
    </row>
    <row r="18" spans="1:13" x14ac:dyDescent="0.25">
      <c r="A18" s="2">
        <v>17</v>
      </c>
      <c r="B18" s="2" t="s">
        <v>66</v>
      </c>
      <c r="C18" s="2" t="s">
        <v>67</v>
      </c>
      <c r="D18" s="3">
        <v>41</v>
      </c>
      <c r="E18" s="3">
        <v>357394331.85861403</v>
      </c>
      <c r="F18" s="3">
        <v>0</v>
      </c>
      <c r="G18" s="3">
        <v>0</v>
      </c>
      <c r="H18" s="3">
        <v>0</v>
      </c>
      <c r="I18" s="3">
        <v>0</v>
      </c>
      <c r="J18" s="3">
        <v>8851844.5581395347</v>
      </c>
      <c r="K18" s="3">
        <v>0</v>
      </c>
      <c r="L18" s="3">
        <v>41</v>
      </c>
      <c r="M18" s="3">
        <v>357394331.85861403</v>
      </c>
    </row>
    <row r="19" spans="1:13" x14ac:dyDescent="0.25">
      <c r="A19" s="2">
        <v>18</v>
      </c>
      <c r="B19" s="2" t="s">
        <v>68</v>
      </c>
      <c r="C19" s="2" t="s">
        <v>69</v>
      </c>
      <c r="D19" s="3">
        <v>97</v>
      </c>
      <c r="E19" s="3">
        <v>268163263.4385989</v>
      </c>
      <c r="F19" s="3">
        <v>3</v>
      </c>
      <c r="G19" s="3">
        <v>9015549.1922514234</v>
      </c>
      <c r="H19" s="3">
        <v>0</v>
      </c>
      <c r="I19" s="3">
        <v>0</v>
      </c>
      <c r="J19" s="3">
        <v>2933045.9305696478</v>
      </c>
      <c r="K19" s="3">
        <v>0</v>
      </c>
      <c r="L19" s="3">
        <v>100</v>
      </c>
      <c r="M19" s="3">
        <v>277178812.63085032</v>
      </c>
    </row>
    <row r="20" spans="1:13" x14ac:dyDescent="0.25">
      <c r="A20" s="2">
        <v>19</v>
      </c>
      <c r="B20" s="2" t="s">
        <v>70</v>
      </c>
      <c r="C20" s="2" t="s">
        <v>71</v>
      </c>
      <c r="D20" s="3">
        <v>99</v>
      </c>
      <c r="E20" s="3">
        <v>398455724.50872618</v>
      </c>
      <c r="F20" s="3">
        <v>20</v>
      </c>
      <c r="G20" s="3">
        <v>269718489.89766449</v>
      </c>
      <c r="H20" s="3">
        <v>35</v>
      </c>
      <c r="I20" s="3">
        <v>190418180</v>
      </c>
      <c r="J20" s="3">
        <v>7747612.0564731788</v>
      </c>
      <c r="K20" s="3">
        <v>355888960.36974812</v>
      </c>
      <c r="L20" s="3">
        <v>84</v>
      </c>
      <c r="M20" s="3">
        <v>312285254.03664261</v>
      </c>
    </row>
    <row r="21" spans="1:13" ht="15.75" customHeight="1" x14ac:dyDescent="0.25">
      <c r="A21" s="2">
        <v>20</v>
      </c>
      <c r="B21" s="2" t="s">
        <v>72</v>
      </c>
      <c r="C21" s="2" t="s">
        <v>73</v>
      </c>
      <c r="D21" s="3">
        <v>44</v>
      </c>
      <c r="E21" s="3">
        <v>545114908.19685674</v>
      </c>
      <c r="F21" s="3">
        <v>0</v>
      </c>
      <c r="G21" s="3">
        <v>0</v>
      </c>
      <c r="H21" s="3">
        <v>1</v>
      </c>
      <c r="I21" s="3">
        <v>11181818</v>
      </c>
      <c r="J21" s="3">
        <v>12694716.808510641</v>
      </c>
      <c r="K21" s="3">
        <v>16661021.428234691</v>
      </c>
      <c r="L21" s="3">
        <v>43</v>
      </c>
      <c r="M21" s="3">
        <v>528453886.76862198</v>
      </c>
    </row>
    <row r="22" spans="1:13" ht="15.75" customHeight="1" x14ac:dyDescent="0.25">
      <c r="A22" s="2">
        <v>21</v>
      </c>
      <c r="B22" s="2" t="s">
        <v>74</v>
      </c>
      <c r="C22" s="2" t="s">
        <v>75</v>
      </c>
      <c r="D22" s="3">
        <v>86</v>
      </c>
      <c r="E22" s="3">
        <v>736162248</v>
      </c>
      <c r="F22" s="3">
        <v>0</v>
      </c>
      <c r="G22" s="3">
        <v>0</v>
      </c>
      <c r="H22" s="3">
        <v>0</v>
      </c>
      <c r="I22" s="3">
        <v>0</v>
      </c>
      <c r="J22" s="3">
        <v>8560026.1395348832</v>
      </c>
      <c r="K22" s="3">
        <v>0</v>
      </c>
      <c r="L22" s="3">
        <v>86</v>
      </c>
      <c r="M22" s="3">
        <v>736162248</v>
      </c>
    </row>
    <row r="23" spans="1:13" ht="15.75" customHeight="1" x14ac:dyDescent="0.25">
      <c r="A23" s="2">
        <v>22</v>
      </c>
      <c r="B23" s="2" t="s">
        <v>76</v>
      </c>
      <c r="C23" s="2" t="s">
        <v>77</v>
      </c>
      <c r="D23" s="3">
        <v>15</v>
      </c>
      <c r="E23" s="3">
        <v>5415070</v>
      </c>
      <c r="F23" s="3">
        <v>0</v>
      </c>
      <c r="G23" s="3">
        <v>0</v>
      </c>
      <c r="H23" s="3">
        <v>0</v>
      </c>
      <c r="I23" s="3">
        <v>0</v>
      </c>
      <c r="J23" s="3">
        <v>361004.66666666669</v>
      </c>
      <c r="K23" s="3">
        <v>0</v>
      </c>
      <c r="L23" s="3">
        <v>15</v>
      </c>
      <c r="M23" s="3">
        <v>5415070</v>
      </c>
    </row>
    <row r="24" spans="1:13" ht="15.75" customHeight="1" x14ac:dyDescent="0.25">
      <c r="A24" s="2">
        <v>23</v>
      </c>
      <c r="B24" s="2" t="s">
        <v>78</v>
      </c>
      <c r="C24" s="2" t="s">
        <v>79</v>
      </c>
      <c r="D24" s="3">
        <v>108</v>
      </c>
      <c r="E24" s="3">
        <v>1256150154.7980039</v>
      </c>
      <c r="F24" s="3">
        <v>0</v>
      </c>
      <c r="G24" s="3">
        <v>0</v>
      </c>
      <c r="H24" s="3">
        <v>0</v>
      </c>
      <c r="I24" s="3">
        <v>0</v>
      </c>
      <c r="J24" s="3">
        <v>12067116.647338489</v>
      </c>
      <c r="K24" s="3">
        <v>0</v>
      </c>
      <c r="L24" s="3">
        <v>108</v>
      </c>
      <c r="M24" s="3">
        <v>1256150154.7980039</v>
      </c>
    </row>
    <row r="25" spans="1:13" ht="15.75" customHeight="1" x14ac:dyDescent="0.25">
      <c r="A25" s="2">
        <v>24</v>
      </c>
      <c r="B25" s="2" t="s">
        <v>80</v>
      </c>
      <c r="C25" s="2" t="s">
        <v>81</v>
      </c>
      <c r="D25" s="3">
        <v>24</v>
      </c>
      <c r="E25" s="3">
        <v>85715035.413510993</v>
      </c>
      <c r="F25" s="3">
        <v>0</v>
      </c>
      <c r="G25" s="3">
        <v>0</v>
      </c>
      <c r="H25" s="3">
        <v>2</v>
      </c>
      <c r="I25" s="3">
        <v>24354545</v>
      </c>
      <c r="J25" s="3">
        <v>4316348.1154069426</v>
      </c>
      <c r="K25" s="3">
        <v>11329873.60447509</v>
      </c>
      <c r="L25" s="3">
        <v>22</v>
      </c>
      <c r="M25" s="3">
        <v>74385161.809035897</v>
      </c>
    </row>
    <row r="26" spans="1:13" ht="15.75" customHeight="1" x14ac:dyDescent="0.25">
      <c r="A26" s="2">
        <v>25</v>
      </c>
      <c r="B26" s="2" t="s">
        <v>82</v>
      </c>
      <c r="C26" s="2" t="s">
        <v>83</v>
      </c>
      <c r="D26" s="3">
        <v>68</v>
      </c>
      <c r="E26" s="3">
        <v>1091540356.5248721</v>
      </c>
      <c r="F26" s="3">
        <v>0</v>
      </c>
      <c r="G26" s="3">
        <v>0</v>
      </c>
      <c r="H26" s="3">
        <v>0</v>
      </c>
      <c r="I26" s="3">
        <v>0</v>
      </c>
      <c r="J26" s="3">
        <v>16878626.22782984</v>
      </c>
      <c r="K26" s="3">
        <v>0</v>
      </c>
      <c r="L26" s="3">
        <v>68</v>
      </c>
      <c r="M26" s="3">
        <v>1091540356.5248721</v>
      </c>
    </row>
    <row r="27" spans="1:13" ht="15.75" customHeight="1" x14ac:dyDescent="0.25">
      <c r="A27" s="2">
        <v>26</v>
      </c>
      <c r="B27" s="2" t="s">
        <v>84</v>
      </c>
      <c r="C27" s="2" t="s">
        <v>85</v>
      </c>
      <c r="D27" s="3">
        <v>46</v>
      </c>
      <c r="E27" s="3">
        <v>223233437.67048901</v>
      </c>
      <c r="F27" s="3">
        <v>20</v>
      </c>
      <c r="G27" s="3">
        <v>66879625.61848741</v>
      </c>
      <c r="H27" s="3">
        <v>8</v>
      </c>
      <c r="I27" s="3">
        <v>57818182</v>
      </c>
      <c r="J27" s="3">
        <v>5949829.0416175202</v>
      </c>
      <c r="K27" s="3">
        <v>62470226.411204308</v>
      </c>
      <c r="L27" s="3">
        <v>58</v>
      </c>
      <c r="M27" s="3">
        <v>227642836.87777209</v>
      </c>
    </row>
    <row r="28" spans="1:13" ht="15.75" customHeight="1" x14ac:dyDescent="0.25">
      <c r="A28" s="2">
        <v>27</v>
      </c>
      <c r="B28" s="2" t="s">
        <v>86</v>
      </c>
      <c r="C28" s="2" t="s">
        <v>87</v>
      </c>
      <c r="D28" s="3">
        <v>70</v>
      </c>
      <c r="E28" s="3">
        <v>312468351.03497982</v>
      </c>
      <c r="F28" s="3">
        <v>8</v>
      </c>
      <c r="G28" s="3">
        <v>83071535.264056444</v>
      </c>
      <c r="H28" s="3">
        <v>9</v>
      </c>
      <c r="I28" s="3">
        <v>100163633</v>
      </c>
      <c r="J28" s="3">
        <v>10685219.975251891</v>
      </c>
      <c r="K28" s="3">
        <v>126213143.22533789</v>
      </c>
      <c r="L28" s="3">
        <v>69</v>
      </c>
      <c r="M28" s="3">
        <v>269326743.0736984</v>
      </c>
    </row>
    <row r="29" spans="1:13" ht="15.75" customHeight="1" x14ac:dyDescent="0.25">
      <c r="A29" s="2">
        <v>28</v>
      </c>
      <c r="B29" s="2" t="s">
        <v>88</v>
      </c>
      <c r="C29" s="2" t="s">
        <v>89</v>
      </c>
      <c r="D29" s="3">
        <v>41</v>
      </c>
      <c r="E29" s="3">
        <v>59351331.9968151</v>
      </c>
      <c r="F29" s="3">
        <v>49</v>
      </c>
      <c r="G29" s="3">
        <v>519794605.06037492</v>
      </c>
      <c r="H29" s="3">
        <v>30</v>
      </c>
      <c r="I29" s="3">
        <v>324445454</v>
      </c>
      <c r="J29" s="3">
        <v>10282537.522184329</v>
      </c>
      <c r="K29" s="3">
        <v>404855611.77439052</v>
      </c>
      <c r="L29" s="3">
        <v>60</v>
      </c>
      <c r="M29" s="3">
        <v>174290325.2827996</v>
      </c>
    </row>
    <row r="30" spans="1:13" ht="15.75" customHeight="1" x14ac:dyDescent="0.25">
      <c r="A30" s="2">
        <v>29</v>
      </c>
      <c r="B30" s="2" t="s">
        <v>90</v>
      </c>
      <c r="C30" s="2" t="s">
        <v>91</v>
      </c>
      <c r="D30" s="3">
        <v>103</v>
      </c>
      <c r="E30" s="3">
        <v>80403137.656797007</v>
      </c>
      <c r="F30" s="3">
        <v>6</v>
      </c>
      <c r="G30" s="3">
        <v>0</v>
      </c>
      <c r="H30" s="3">
        <v>1</v>
      </c>
      <c r="I30" s="3">
        <v>2354545</v>
      </c>
      <c r="J30" s="3">
        <v>787140.82299410366</v>
      </c>
      <c r="K30" s="3">
        <v>1033073.074158767</v>
      </c>
      <c r="L30" s="3">
        <v>108</v>
      </c>
      <c r="M30" s="3">
        <v>79370064.582638234</v>
      </c>
    </row>
    <row r="31" spans="1:13" ht="15.75" customHeight="1" x14ac:dyDescent="0.25">
      <c r="A31" s="2">
        <v>30</v>
      </c>
      <c r="B31" s="2" t="s">
        <v>92</v>
      </c>
      <c r="C31" s="2" t="s">
        <v>93</v>
      </c>
      <c r="D31" s="3">
        <v>29</v>
      </c>
      <c r="E31" s="3">
        <v>389193056.61944622</v>
      </c>
      <c r="F31" s="3">
        <v>0</v>
      </c>
      <c r="G31" s="3">
        <v>0</v>
      </c>
      <c r="H31" s="3">
        <v>1</v>
      </c>
      <c r="I31" s="3">
        <v>10454545</v>
      </c>
      <c r="J31" s="3">
        <v>14641518.91666667</v>
      </c>
      <c r="K31" s="3">
        <v>19216077.37235586</v>
      </c>
      <c r="L31" s="3">
        <v>28</v>
      </c>
      <c r="M31" s="3">
        <v>369976979.24709028</v>
      </c>
    </row>
    <row r="32" spans="1:13" ht="15.75" customHeight="1" x14ac:dyDescent="0.25">
      <c r="A32" s="2">
        <v>31</v>
      </c>
      <c r="B32" s="2" t="s">
        <v>94</v>
      </c>
      <c r="C32" s="2" t="s">
        <v>95</v>
      </c>
      <c r="D32" s="3">
        <v>19</v>
      </c>
      <c r="E32" s="3">
        <v>52344141.702120967</v>
      </c>
      <c r="F32" s="3">
        <v>1</v>
      </c>
      <c r="G32" s="3">
        <v>18999093.93509132</v>
      </c>
      <c r="H32" s="3">
        <v>0</v>
      </c>
      <c r="I32" s="3">
        <v>0</v>
      </c>
      <c r="J32" s="3">
        <v>3703609.855</v>
      </c>
      <c r="K32" s="3">
        <v>0</v>
      </c>
      <c r="L32" s="3">
        <v>20</v>
      </c>
      <c r="M32" s="3">
        <v>71343235.637212291</v>
      </c>
    </row>
    <row r="33" spans="1:13" ht="15.75" customHeight="1" x14ac:dyDescent="0.25">
      <c r="A33" s="2">
        <v>32</v>
      </c>
      <c r="B33" s="2" t="s">
        <v>96</v>
      </c>
      <c r="C33" s="2" t="s">
        <v>97</v>
      </c>
      <c r="D33" s="3">
        <v>28</v>
      </c>
      <c r="E33" s="3">
        <v>44726581.195181817</v>
      </c>
      <c r="F33" s="3">
        <v>0</v>
      </c>
      <c r="G33" s="3">
        <v>0</v>
      </c>
      <c r="H33" s="3">
        <v>0</v>
      </c>
      <c r="I33" s="3">
        <v>0</v>
      </c>
      <c r="J33" s="3">
        <v>1615403.3448275861</v>
      </c>
      <c r="K33" s="3">
        <v>0</v>
      </c>
      <c r="L33" s="3">
        <v>28</v>
      </c>
      <c r="M33" s="3">
        <v>44726581.195181817</v>
      </c>
    </row>
    <row r="34" spans="1:13" ht="15.75" customHeight="1" x14ac:dyDescent="0.25">
      <c r="A34" s="2">
        <v>33</v>
      </c>
      <c r="B34" s="2" t="s">
        <v>98</v>
      </c>
      <c r="C34" s="2" t="s">
        <v>99</v>
      </c>
      <c r="D34" s="3">
        <v>59</v>
      </c>
      <c r="E34" s="3">
        <v>172193542.61262539</v>
      </c>
      <c r="F34" s="3">
        <v>0</v>
      </c>
      <c r="G34" s="3">
        <v>0</v>
      </c>
      <c r="H34" s="3">
        <v>2</v>
      </c>
      <c r="I34" s="3">
        <v>3136363</v>
      </c>
      <c r="J34" s="3">
        <v>3629423.2068623831</v>
      </c>
      <c r="K34" s="3">
        <v>9526781.6893917508</v>
      </c>
      <c r="L34" s="3">
        <v>57</v>
      </c>
      <c r="M34" s="3">
        <v>162666760.92323369</v>
      </c>
    </row>
    <row r="35" spans="1:13" ht="15.75" customHeight="1" x14ac:dyDescent="0.25">
      <c r="A35" s="2">
        <v>34</v>
      </c>
      <c r="B35" s="2" t="s">
        <v>100</v>
      </c>
      <c r="C35" s="2" t="s">
        <v>101</v>
      </c>
      <c r="D35" s="3">
        <v>139</v>
      </c>
      <c r="E35" s="3">
        <v>1379185111.580267</v>
      </c>
      <c r="F35" s="3">
        <v>22</v>
      </c>
      <c r="G35" s="3">
        <v>289606378.06659639</v>
      </c>
      <c r="H35" s="3">
        <v>7</v>
      </c>
      <c r="I35" s="3">
        <v>75145454</v>
      </c>
      <c r="J35" s="3">
        <v>12320554.2833806</v>
      </c>
      <c r="K35" s="3">
        <v>113189695.6928266</v>
      </c>
      <c r="L35" s="3">
        <v>154</v>
      </c>
      <c r="M35" s="3">
        <v>1555601793.954037</v>
      </c>
    </row>
    <row r="36" spans="1:13" ht="15.75" customHeight="1" x14ac:dyDescent="0.25">
      <c r="A36" s="2">
        <v>35</v>
      </c>
      <c r="B36" s="2" t="s">
        <v>102</v>
      </c>
      <c r="C36" s="2" t="s">
        <v>103</v>
      </c>
      <c r="D36" s="3">
        <v>22</v>
      </c>
      <c r="E36" s="3">
        <v>315196925.72548449</v>
      </c>
      <c r="F36" s="3">
        <v>6</v>
      </c>
      <c r="G36" s="3">
        <v>105511408.5347394</v>
      </c>
      <c r="H36" s="3">
        <v>2</v>
      </c>
      <c r="I36" s="3">
        <v>34818182</v>
      </c>
      <c r="J36" s="3">
        <v>17374252.65699964</v>
      </c>
      <c r="K36" s="3">
        <v>45605238.806708887</v>
      </c>
      <c r="L36" s="3">
        <v>26</v>
      </c>
      <c r="M36" s="3">
        <v>375103095.45351499</v>
      </c>
    </row>
    <row r="37" spans="1:13" ht="15.75" customHeight="1" x14ac:dyDescent="0.25">
      <c r="A37" s="2">
        <v>36</v>
      </c>
      <c r="B37" s="2" t="s">
        <v>104</v>
      </c>
      <c r="C37" s="2" t="s">
        <v>105</v>
      </c>
      <c r="D37" s="3">
        <v>24</v>
      </c>
      <c r="E37" s="3">
        <v>92551513.663159192</v>
      </c>
      <c r="F37" s="3">
        <v>13</v>
      </c>
      <c r="G37" s="3">
        <v>50444380.526751339</v>
      </c>
      <c r="H37" s="3">
        <v>2</v>
      </c>
      <c r="I37" s="3">
        <v>8063636</v>
      </c>
      <c r="J37" s="3">
        <v>4219921.5078705084</v>
      </c>
      <c r="K37" s="3">
        <v>11076765.82764947</v>
      </c>
      <c r="L37" s="3">
        <v>35</v>
      </c>
      <c r="M37" s="3">
        <v>131919128.3622611</v>
      </c>
    </row>
    <row r="38" spans="1:13" ht="15.75" customHeight="1" x14ac:dyDescent="0.25">
      <c r="A38" s="2">
        <v>37</v>
      </c>
      <c r="B38" s="2" t="s">
        <v>106</v>
      </c>
      <c r="C38" s="2" t="s">
        <v>107</v>
      </c>
      <c r="D38" s="3">
        <v>51</v>
      </c>
      <c r="E38" s="3">
        <v>65557297.1769173</v>
      </c>
      <c r="F38" s="3">
        <v>60</v>
      </c>
      <c r="G38" s="3">
        <v>175446669.7402851</v>
      </c>
      <c r="H38" s="3">
        <v>10</v>
      </c>
      <c r="I38" s="3">
        <v>28399999</v>
      </c>
      <c r="J38" s="3">
        <v>2955602.8766143122</v>
      </c>
      <c r="K38" s="3">
        <v>38790438.261379734</v>
      </c>
      <c r="L38" s="3">
        <v>101</v>
      </c>
      <c r="M38" s="3">
        <v>202213528.65582269</v>
      </c>
    </row>
    <row r="39" spans="1:13" ht="15.75" customHeight="1" x14ac:dyDescent="0.25">
      <c r="A39" s="2">
        <v>38</v>
      </c>
      <c r="B39" s="2" t="s">
        <v>108</v>
      </c>
      <c r="C39" s="2" t="s">
        <v>109</v>
      </c>
      <c r="D39" s="3">
        <v>1023</v>
      </c>
      <c r="E39" s="3">
        <v>1597878901.4766941</v>
      </c>
      <c r="F39" s="3">
        <v>49</v>
      </c>
      <c r="G39" s="3">
        <v>36273397.699014358</v>
      </c>
      <c r="H39" s="3">
        <v>22</v>
      </c>
      <c r="I39" s="3">
        <v>56454544</v>
      </c>
      <c r="J39" s="3">
        <v>1708934.002166616</v>
      </c>
      <c r="K39" s="3">
        <v>49343116.675896987</v>
      </c>
      <c r="L39" s="3">
        <v>1050</v>
      </c>
      <c r="M39" s="3">
        <v>1584809182.4998119</v>
      </c>
    </row>
    <row r="40" spans="1:13" ht="15.75" customHeight="1" x14ac:dyDescent="0.25">
      <c r="A40" s="2">
        <v>39</v>
      </c>
      <c r="B40" s="2" t="s">
        <v>110</v>
      </c>
      <c r="C40" s="2" t="s">
        <v>111</v>
      </c>
      <c r="D40" s="3">
        <v>28</v>
      </c>
      <c r="E40" s="3">
        <v>145238039.5738354</v>
      </c>
      <c r="F40" s="3">
        <v>0</v>
      </c>
      <c r="G40" s="3">
        <v>0</v>
      </c>
      <c r="H40" s="3">
        <v>0</v>
      </c>
      <c r="I40" s="3">
        <v>0</v>
      </c>
      <c r="J40" s="3">
        <v>5311958.333333333</v>
      </c>
      <c r="K40" s="3">
        <v>0</v>
      </c>
      <c r="L40" s="3">
        <v>28</v>
      </c>
      <c r="M40" s="3">
        <v>145238039.5738354</v>
      </c>
    </row>
    <row r="41" spans="1:13" ht="15.75" customHeight="1" x14ac:dyDescent="0.25">
      <c r="A41" s="2">
        <v>40</v>
      </c>
      <c r="B41" s="2" t="s">
        <v>112</v>
      </c>
      <c r="C41" s="2" t="s">
        <v>113</v>
      </c>
      <c r="D41" s="3">
        <v>26</v>
      </c>
      <c r="E41" s="3">
        <v>134909832.5636512</v>
      </c>
      <c r="F41" s="3">
        <v>2</v>
      </c>
      <c r="G41" s="3">
        <v>7963955.6935209781</v>
      </c>
      <c r="H41" s="3">
        <v>1</v>
      </c>
      <c r="I41" s="3">
        <v>13636364</v>
      </c>
      <c r="J41" s="3">
        <v>5529705.2168677244</v>
      </c>
      <c r="K41" s="3">
        <v>7257392.0710298372</v>
      </c>
      <c r="L41" s="3">
        <v>27</v>
      </c>
      <c r="M41" s="3">
        <v>135616396.18614241</v>
      </c>
    </row>
    <row r="42" spans="1:13" ht="15.75" customHeight="1" x14ac:dyDescent="0.25">
      <c r="A42" s="2">
        <v>41</v>
      </c>
      <c r="B42" s="2" t="s">
        <v>114</v>
      </c>
      <c r="C42" s="2" t="s">
        <v>115</v>
      </c>
      <c r="D42" s="3">
        <v>29</v>
      </c>
      <c r="E42" s="3">
        <v>45166571.263421357</v>
      </c>
      <c r="F42" s="3">
        <v>5</v>
      </c>
      <c r="G42" s="3">
        <v>1187992.647369168</v>
      </c>
      <c r="H42" s="3">
        <v>1</v>
      </c>
      <c r="I42" s="3">
        <v>354546</v>
      </c>
      <c r="J42" s="3">
        <v>1668573.6673724011</v>
      </c>
      <c r="K42" s="3">
        <v>2189898.5259791128</v>
      </c>
      <c r="L42" s="3">
        <v>33</v>
      </c>
      <c r="M42" s="3">
        <v>44164665.384811424</v>
      </c>
    </row>
    <row r="43" spans="1:13" ht="15.75" customHeight="1" x14ac:dyDescent="0.25">
      <c r="A43" s="2">
        <v>42</v>
      </c>
      <c r="B43" s="2" t="s">
        <v>116</v>
      </c>
      <c r="C43" s="2" t="s">
        <v>117</v>
      </c>
      <c r="D43" s="3">
        <v>55</v>
      </c>
      <c r="E43" s="3">
        <v>31816887.110912122</v>
      </c>
      <c r="F43" s="3">
        <v>10</v>
      </c>
      <c r="G43" s="3">
        <v>5785967.8826847263</v>
      </c>
      <c r="H43" s="3">
        <v>0</v>
      </c>
      <c r="I43" s="3">
        <v>0</v>
      </c>
      <c r="J43" s="3">
        <v>654845.1337606837</v>
      </c>
      <c r="K43" s="3">
        <v>0</v>
      </c>
      <c r="L43" s="3">
        <v>65</v>
      </c>
      <c r="M43" s="3">
        <v>37602854.993596837</v>
      </c>
    </row>
    <row r="44" spans="1:13" ht="15.75" customHeight="1" x14ac:dyDescent="0.25">
      <c r="A44" s="2">
        <v>43</v>
      </c>
      <c r="B44" s="2" t="s">
        <v>118</v>
      </c>
      <c r="C44" s="2" t="s">
        <v>119</v>
      </c>
      <c r="D44" s="3">
        <v>170</v>
      </c>
      <c r="E44" s="3">
        <v>59219499.677329227</v>
      </c>
      <c r="F44" s="3">
        <v>34</v>
      </c>
      <c r="G44" s="3">
        <v>10322343.81474234</v>
      </c>
      <c r="H44" s="3">
        <v>22</v>
      </c>
      <c r="I44" s="3">
        <v>6963636</v>
      </c>
      <c r="J44" s="3">
        <v>377327.83882947121</v>
      </c>
      <c r="K44" s="3">
        <v>10894821.89061822</v>
      </c>
      <c r="L44" s="3">
        <v>182</v>
      </c>
      <c r="M44" s="3">
        <v>58647021.601453349</v>
      </c>
    </row>
    <row r="45" spans="1:13" ht="15.75" customHeight="1" x14ac:dyDescent="0.25">
      <c r="A45" s="2">
        <v>44</v>
      </c>
      <c r="B45" s="2" t="s">
        <v>120</v>
      </c>
      <c r="C45" s="2" t="s">
        <v>121</v>
      </c>
      <c r="D45" s="3">
        <v>20</v>
      </c>
      <c r="E45" s="3">
        <v>91125269.617099255</v>
      </c>
      <c r="F45" s="3">
        <v>3</v>
      </c>
      <c r="G45" s="3">
        <v>19386291.768128879</v>
      </c>
      <c r="H45" s="3">
        <v>3</v>
      </c>
      <c r="I45" s="3">
        <v>25718182</v>
      </c>
      <c r="J45" s="3">
        <v>7116185.2070888747</v>
      </c>
      <c r="K45" s="3">
        <v>28018643.34849336</v>
      </c>
      <c r="L45" s="3">
        <v>20</v>
      </c>
      <c r="M45" s="3">
        <v>82492918.036734775</v>
      </c>
    </row>
    <row r="46" spans="1:13" ht="15.75" customHeight="1" x14ac:dyDescent="0.25">
      <c r="A46" s="2">
        <v>45</v>
      </c>
      <c r="B46" s="2" t="s">
        <v>122</v>
      </c>
      <c r="C46" s="2" t="s">
        <v>123</v>
      </c>
      <c r="D46" s="3">
        <v>314</v>
      </c>
      <c r="E46" s="3">
        <v>118608589.4984147</v>
      </c>
      <c r="F46" s="3">
        <v>83</v>
      </c>
      <c r="G46" s="3">
        <v>30597427.88072269</v>
      </c>
      <c r="H46" s="3">
        <v>180</v>
      </c>
      <c r="I46" s="3">
        <v>64990889</v>
      </c>
      <c r="J46" s="3">
        <v>494512.04952893761</v>
      </c>
      <c r="K46" s="3">
        <v>116822901.6873934</v>
      </c>
      <c r="L46" s="3">
        <v>217</v>
      </c>
      <c r="M46" s="3">
        <v>32383115.691743959</v>
      </c>
    </row>
    <row r="47" spans="1:13" ht="15.75" customHeight="1" x14ac:dyDescent="0.25">
      <c r="A47" s="2">
        <v>46</v>
      </c>
      <c r="B47" s="2" t="s">
        <v>124</v>
      </c>
      <c r="C47" s="2" t="s">
        <v>125</v>
      </c>
      <c r="D47" s="3">
        <v>121</v>
      </c>
      <c r="E47" s="3">
        <v>96033998.088097975</v>
      </c>
      <c r="F47" s="3">
        <v>20</v>
      </c>
      <c r="G47" s="3">
        <v>12935927.251756679</v>
      </c>
      <c r="H47" s="3">
        <v>2</v>
      </c>
      <c r="I47" s="3">
        <v>31818182</v>
      </c>
      <c r="J47" s="3">
        <v>794487.66967567045</v>
      </c>
      <c r="K47" s="3">
        <v>2085430.7013860149</v>
      </c>
      <c r="L47" s="3">
        <v>139</v>
      </c>
      <c r="M47" s="3">
        <v>106884494.63846859</v>
      </c>
    </row>
    <row r="48" spans="1:13" ht="15.75" customHeight="1" x14ac:dyDescent="0.25">
      <c r="A48" s="2">
        <v>47</v>
      </c>
      <c r="B48" s="2" t="s">
        <v>126</v>
      </c>
      <c r="C48" s="2" t="s">
        <v>127</v>
      </c>
      <c r="D48" s="3">
        <v>251</v>
      </c>
      <c r="E48" s="3">
        <v>94034140.322234303</v>
      </c>
      <c r="F48" s="3">
        <v>60</v>
      </c>
      <c r="G48" s="3">
        <v>18875894.36058085</v>
      </c>
      <c r="H48" s="3">
        <v>79</v>
      </c>
      <c r="I48" s="3">
        <v>30220000</v>
      </c>
      <c r="J48" s="3">
        <v>424526.0377943152</v>
      </c>
      <c r="K48" s="3">
        <v>44015944.902026802</v>
      </c>
      <c r="L48" s="3">
        <v>232</v>
      </c>
      <c r="M48" s="3">
        <v>68894089.780788347</v>
      </c>
    </row>
    <row r="49" spans="1:13" ht="15.75" customHeight="1" x14ac:dyDescent="0.25">
      <c r="A49" s="2">
        <v>48</v>
      </c>
      <c r="B49" s="2" t="s">
        <v>128</v>
      </c>
      <c r="C49" s="2" t="s">
        <v>129</v>
      </c>
      <c r="D49" s="3">
        <v>76</v>
      </c>
      <c r="E49" s="3">
        <v>67070592.952461436</v>
      </c>
      <c r="F49" s="3">
        <v>0</v>
      </c>
      <c r="G49" s="3">
        <v>0</v>
      </c>
      <c r="H49" s="3">
        <v>0</v>
      </c>
      <c r="I49" s="3">
        <v>0</v>
      </c>
      <c r="J49" s="3">
        <v>962345.272881301</v>
      </c>
      <c r="K49" s="3">
        <v>0</v>
      </c>
      <c r="L49" s="3">
        <v>76</v>
      </c>
      <c r="M49" s="3">
        <v>67070592.952461436</v>
      </c>
    </row>
    <row r="50" spans="1:13" ht="15.75" customHeight="1" x14ac:dyDescent="0.25">
      <c r="A50" s="2">
        <v>49</v>
      </c>
      <c r="B50" s="2" t="s">
        <v>130</v>
      </c>
      <c r="C50" s="2" t="s">
        <v>131</v>
      </c>
      <c r="D50" s="3">
        <v>189</v>
      </c>
      <c r="E50" s="3">
        <v>625452941.7691747</v>
      </c>
      <c r="F50" s="3">
        <v>0</v>
      </c>
      <c r="G50" s="3">
        <v>0</v>
      </c>
      <c r="H50" s="3">
        <v>0</v>
      </c>
      <c r="I50" s="3">
        <v>0</v>
      </c>
      <c r="J50" s="3">
        <v>3376250.5074626859</v>
      </c>
      <c r="K50" s="3">
        <v>0</v>
      </c>
      <c r="L50" s="3">
        <v>189</v>
      </c>
      <c r="M50" s="3">
        <v>625452941.7691747</v>
      </c>
    </row>
    <row r="51" spans="1:13" ht="15.75" customHeight="1" x14ac:dyDescent="0.25">
      <c r="A51" s="2">
        <v>50</v>
      </c>
      <c r="B51" s="2" t="s">
        <v>132</v>
      </c>
      <c r="C51" s="2" t="s">
        <v>133</v>
      </c>
      <c r="D51" s="3">
        <v>139</v>
      </c>
      <c r="E51" s="3">
        <v>57197312.00361228</v>
      </c>
      <c r="F51" s="3">
        <v>1</v>
      </c>
      <c r="G51" s="3">
        <v>1487192.0288922789</v>
      </c>
      <c r="H51" s="3">
        <v>5</v>
      </c>
      <c r="I51" s="3">
        <v>3836364</v>
      </c>
      <c r="J51" s="3">
        <v>433799.5429825153</v>
      </c>
      <c r="K51" s="3">
        <v>2846673.7739059692</v>
      </c>
      <c r="L51" s="3">
        <v>135</v>
      </c>
      <c r="M51" s="3">
        <v>55837830.258598588</v>
      </c>
    </row>
    <row r="52" spans="1:13" ht="15.75" customHeight="1" x14ac:dyDescent="0.25">
      <c r="A52" s="2">
        <v>51</v>
      </c>
      <c r="B52" s="2" t="s">
        <v>134</v>
      </c>
      <c r="C52" s="2" t="s">
        <v>135</v>
      </c>
      <c r="D52" s="3">
        <v>1340</v>
      </c>
      <c r="E52" s="3">
        <v>30135730.286592189</v>
      </c>
      <c r="F52" s="3">
        <v>269</v>
      </c>
      <c r="G52" s="3">
        <v>6398091.8409175463</v>
      </c>
      <c r="H52" s="3">
        <v>102</v>
      </c>
      <c r="I52" s="3">
        <v>7609092</v>
      </c>
      <c r="J52" s="3">
        <v>25470.33977945806</v>
      </c>
      <c r="K52" s="3">
        <v>3409679.1674532122</v>
      </c>
      <c r="L52" s="3">
        <v>1507</v>
      </c>
      <c r="M52" s="3">
        <v>33124142.960056521</v>
      </c>
    </row>
    <row r="53" spans="1:13" ht="15.75" customHeight="1" x14ac:dyDescent="0.25">
      <c r="A53" s="2">
        <v>52</v>
      </c>
      <c r="B53" s="2" t="s">
        <v>136</v>
      </c>
      <c r="C53" s="2" t="s">
        <v>137</v>
      </c>
      <c r="D53" s="3">
        <v>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6</v>
      </c>
      <c r="M53" s="3">
        <v>0</v>
      </c>
    </row>
    <row r="54" spans="1:13" ht="15.75" customHeight="1" x14ac:dyDescent="0.25">
      <c r="C54" s="4" t="s">
        <v>138</v>
      </c>
      <c r="D54" s="5">
        <f t="shared" ref="D54:M54" si="0">SUM(D2:D53)</f>
        <v>40012.158000000003</v>
      </c>
      <c r="E54" s="5">
        <f t="shared" si="0"/>
        <v>17889254078.598221</v>
      </c>
      <c r="F54" s="5">
        <f t="shared" si="0"/>
        <v>1744</v>
      </c>
      <c r="G54" s="5">
        <f t="shared" si="0"/>
        <v>2215446933.1713285</v>
      </c>
      <c r="H54" s="5">
        <f t="shared" si="0"/>
        <v>1631</v>
      </c>
      <c r="I54" s="5">
        <f t="shared" si="0"/>
        <v>1690133581</v>
      </c>
      <c r="J54" s="5">
        <f t="shared" si="0"/>
        <v>208365607.0417805</v>
      </c>
      <c r="K54" s="5">
        <f t="shared" si="0"/>
        <v>2029614525.363986</v>
      </c>
      <c r="L54" s="5">
        <f t="shared" si="0"/>
        <v>40125.158000000003</v>
      </c>
      <c r="M54" s="5">
        <f t="shared" si="0"/>
        <v>18075086486.40556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3" x14ac:dyDescent="0.25">
      <c r="A1" s="1" t="s">
        <v>0</v>
      </c>
      <c r="B1" s="1" t="s">
        <v>1</v>
      </c>
      <c r="C1" s="1" t="s">
        <v>146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8</v>
      </c>
      <c r="M1" s="1" t="s">
        <v>9</v>
      </c>
    </row>
    <row r="2" spans="1:13" x14ac:dyDescent="0.25">
      <c r="A2" s="2">
        <v>1</v>
      </c>
      <c r="B2" s="2" t="s">
        <v>34</v>
      </c>
      <c r="C2" s="2" t="s">
        <v>35</v>
      </c>
      <c r="D2" s="3">
        <v>1337</v>
      </c>
      <c r="E2" s="3">
        <v>533989005.32478178</v>
      </c>
      <c r="F2" s="3">
        <v>14</v>
      </c>
      <c r="G2" s="3">
        <v>4628773.9189499477</v>
      </c>
      <c r="H2" s="3">
        <v>10</v>
      </c>
      <c r="I2" s="3">
        <v>3700000</v>
      </c>
      <c r="J2" s="3">
        <v>414570.32345325878</v>
      </c>
      <c r="K2" s="3">
        <v>5440976.0743416604</v>
      </c>
      <c r="L2" s="3">
        <v>1341</v>
      </c>
      <c r="M2" s="3">
        <v>533176803.16939008</v>
      </c>
    </row>
    <row r="3" spans="1:13" x14ac:dyDescent="0.25">
      <c r="A3" s="2">
        <v>2</v>
      </c>
      <c r="B3" s="2" t="s">
        <v>36</v>
      </c>
      <c r="C3" s="2" t="s">
        <v>37</v>
      </c>
      <c r="D3" s="3">
        <v>146</v>
      </c>
      <c r="E3" s="3">
        <v>157075368.70544899</v>
      </c>
      <c r="F3" s="3">
        <v>6</v>
      </c>
      <c r="G3" s="3">
        <v>6885961.110544866</v>
      </c>
      <c r="H3" s="3">
        <v>4</v>
      </c>
      <c r="I3" s="3">
        <v>6300000</v>
      </c>
      <c r="J3" s="3">
        <v>1268434.476141999</v>
      </c>
      <c r="K3" s="3">
        <v>6658963.5061872266</v>
      </c>
      <c r="L3" s="3">
        <v>148</v>
      </c>
      <c r="M3" s="3">
        <v>157302366.3098067</v>
      </c>
    </row>
    <row r="4" spans="1:13" x14ac:dyDescent="0.25">
      <c r="A4" s="2">
        <v>3</v>
      </c>
      <c r="B4" s="2" t="s">
        <v>38</v>
      </c>
      <c r="C4" s="2" t="s">
        <v>39</v>
      </c>
      <c r="D4" s="3">
        <v>836</v>
      </c>
      <c r="E4" s="3">
        <v>334863181.52919209</v>
      </c>
      <c r="F4" s="3">
        <v>0</v>
      </c>
      <c r="G4" s="3">
        <v>0</v>
      </c>
      <c r="H4" s="3">
        <v>5</v>
      </c>
      <c r="I4" s="3">
        <v>1670909</v>
      </c>
      <c r="J4" s="3">
        <v>406324.54462242569</v>
      </c>
      <c r="K4" s="3">
        <v>2666377.693527367</v>
      </c>
      <c r="L4" s="3">
        <v>831</v>
      </c>
      <c r="M4" s="3">
        <v>332196803.83566469</v>
      </c>
    </row>
    <row r="5" spans="1:13" x14ac:dyDescent="0.25">
      <c r="A5" s="2">
        <v>4</v>
      </c>
      <c r="B5" s="2" t="s">
        <v>40</v>
      </c>
      <c r="C5" s="2" t="s">
        <v>41</v>
      </c>
      <c r="D5" s="3">
        <v>1287</v>
      </c>
      <c r="E5" s="3">
        <v>170883944.68920881</v>
      </c>
      <c r="F5" s="3">
        <v>42</v>
      </c>
      <c r="G5" s="3">
        <v>5411969.6237754207</v>
      </c>
      <c r="H5" s="3">
        <v>12</v>
      </c>
      <c r="I5" s="3">
        <v>1972729</v>
      </c>
      <c r="J5" s="3">
        <v>142592.38231308549</v>
      </c>
      <c r="K5" s="3">
        <v>2245722.9473243291</v>
      </c>
      <c r="L5" s="3">
        <v>1317</v>
      </c>
      <c r="M5" s="3">
        <v>174050191.36565989</v>
      </c>
    </row>
    <row r="6" spans="1:13" x14ac:dyDescent="0.25">
      <c r="A6" s="2">
        <v>5</v>
      </c>
      <c r="B6" s="2" t="s">
        <v>42</v>
      </c>
      <c r="C6" s="2" t="s">
        <v>43</v>
      </c>
      <c r="D6" s="3">
        <v>72</v>
      </c>
      <c r="E6" s="3">
        <v>16884853.283265822</v>
      </c>
      <c r="F6" s="3">
        <v>11</v>
      </c>
      <c r="G6" s="3">
        <v>2010789.0105685571</v>
      </c>
      <c r="H6" s="3">
        <v>1</v>
      </c>
      <c r="I6" s="3">
        <v>290909</v>
      </c>
      <c r="J6" s="3">
        <v>253443.26017807369</v>
      </c>
      <c r="K6" s="3">
        <v>332628.41955148341</v>
      </c>
      <c r="L6" s="3">
        <v>82</v>
      </c>
      <c r="M6" s="3">
        <v>18563013.874282889</v>
      </c>
    </row>
    <row r="7" spans="1:13" x14ac:dyDescent="0.25">
      <c r="A7" s="2">
        <v>6</v>
      </c>
      <c r="B7" s="2" t="s">
        <v>44</v>
      </c>
      <c r="C7" s="2" t="s">
        <v>45</v>
      </c>
      <c r="D7" s="3">
        <v>57</v>
      </c>
      <c r="E7" s="3">
        <v>1749044.1763843349</v>
      </c>
      <c r="F7" s="3">
        <v>0</v>
      </c>
      <c r="G7" s="3">
        <v>0</v>
      </c>
      <c r="H7" s="3">
        <v>0</v>
      </c>
      <c r="I7" s="3">
        <v>0</v>
      </c>
      <c r="J7" s="3">
        <v>31435.350877192981</v>
      </c>
      <c r="K7" s="3">
        <v>0</v>
      </c>
      <c r="L7" s="3">
        <v>57</v>
      </c>
      <c r="M7" s="3">
        <v>1749044.1763843349</v>
      </c>
    </row>
    <row r="8" spans="1:13" x14ac:dyDescent="0.25">
      <c r="A8" s="2">
        <v>7</v>
      </c>
      <c r="B8" s="2" t="s">
        <v>46</v>
      </c>
      <c r="C8" s="2" t="s">
        <v>47</v>
      </c>
      <c r="D8" s="3">
        <v>15499</v>
      </c>
      <c r="E8" s="3">
        <v>2155879792.8315349</v>
      </c>
      <c r="F8" s="3">
        <v>3</v>
      </c>
      <c r="G8" s="3">
        <v>0</v>
      </c>
      <c r="H8" s="3">
        <v>166</v>
      </c>
      <c r="I8" s="3">
        <v>26200013</v>
      </c>
      <c r="J8" s="3">
        <v>141889.28636879689</v>
      </c>
      <c r="K8" s="3">
        <v>30912654.37926672</v>
      </c>
      <c r="L8" s="3">
        <v>15336</v>
      </c>
      <c r="M8" s="3">
        <v>2124967138.4522679</v>
      </c>
    </row>
    <row r="9" spans="1:13" x14ac:dyDescent="0.25">
      <c r="A9" s="2">
        <v>8</v>
      </c>
      <c r="B9" s="2" t="s">
        <v>48</v>
      </c>
      <c r="C9" s="2" t="s">
        <v>49</v>
      </c>
      <c r="D9" s="3">
        <v>63</v>
      </c>
      <c r="E9" s="3">
        <v>144690194.51406601</v>
      </c>
      <c r="F9" s="3">
        <v>1</v>
      </c>
      <c r="G9" s="3">
        <v>1303623.472238339</v>
      </c>
      <c r="H9" s="3">
        <v>0</v>
      </c>
      <c r="I9" s="3">
        <v>0</v>
      </c>
      <c r="J9" s="3">
        <v>2847591.9821949578</v>
      </c>
      <c r="K9" s="3">
        <v>0</v>
      </c>
      <c r="L9" s="3">
        <v>64</v>
      </c>
      <c r="M9" s="3">
        <v>145993817.9863044</v>
      </c>
    </row>
    <row r="10" spans="1:13" x14ac:dyDescent="0.25">
      <c r="A10" s="2">
        <v>9</v>
      </c>
      <c r="B10" s="2" t="s">
        <v>50</v>
      </c>
      <c r="C10" s="2" t="s">
        <v>51</v>
      </c>
      <c r="D10" s="3">
        <v>1366</v>
      </c>
      <c r="E10" s="3">
        <v>1675810698.3992209</v>
      </c>
      <c r="F10" s="3">
        <v>5</v>
      </c>
      <c r="G10" s="3">
        <v>6030359.4109413708</v>
      </c>
      <c r="H10" s="3">
        <v>46</v>
      </c>
      <c r="I10" s="3">
        <v>71031818</v>
      </c>
      <c r="J10" s="3">
        <v>1311789.770757603</v>
      </c>
      <c r="K10" s="3">
        <v>79195531.435789466</v>
      </c>
      <c r="L10" s="3">
        <v>1325</v>
      </c>
      <c r="M10" s="3">
        <v>1602645526.374372</v>
      </c>
    </row>
    <row r="11" spans="1:13" x14ac:dyDescent="0.25">
      <c r="A11" s="2">
        <v>10</v>
      </c>
      <c r="B11" s="2" t="s">
        <v>52</v>
      </c>
      <c r="C11" s="2" t="s">
        <v>53</v>
      </c>
      <c r="D11" s="3">
        <v>121</v>
      </c>
      <c r="E11" s="3">
        <v>136174503.39204279</v>
      </c>
      <c r="F11" s="3">
        <v>17</v>
      </c>
      <c r="G11" s="3">
        <v>56383924.621942922</v>
      </c>
      <c r="H11" s="3">
        <v>9</v>
      </c>
      <c r="I11" s="3">
        <v>23818182</v>
      </c>
      <c r="J11" s="3">
        <v>2431888.1845271359</v>
      </c>
      <c r="K11" s="3">
        <v>28725309.5820795</v>
      </c>
      <c r="L11" s="3">
        <v>129</v>
      </c>
      <c r="M11" s="3">
        <v>163833118.43190619</v>
      </c>
    </row>
    <row r="12" spans="1:13" x14ac:dyDescent="0.25">
      <c r="A12" s="2">
        <v>11</v>
      </c>
      <c r="B12" s="2" t="s">
        <v>54</v>
      </c>
      <c r="C12" s="2" t="s">
        <v>55</v>
      </c>
      <c r="D12" s="3">
        <v>58</v>
      </c>
      <c r="E12" s="3">
        <v>147796647.6648232</v>
      </c>
      <c r="F12" s="3">
        <v>2</v>
      </c>
      <c r="G12" s="3">
        <v>6371164.167618949</v>
      </c>
      <c r="H12" s="3">
        <v>0</v>
      </c>
      <c r="I12" s="3">
        <v>0</v>
      </c>
      <c r="J12" s="3">
        <v>2864171.899829777</v>
      </c>
      <c r="K12" s="3">
        <v>0</v>
      </c>
      <c r="L12" s="3">
        <v>60</v>
      </c>
      <c r="M12" s="3">
        <v>154167811.83244219</v>
      </c>
    </row>
    <row r="13" spans="1:13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27234053.510117229</v>
      </c>
      <c r="F13" s="3">
        <v>0</v>
      </c>
      <c r="G13" s="3">
        <v>0</v>
      </c>
      <c r="H13" s="3">
        <v>0</v>
      </c>
      <c r="I13" s="3">
        <v>0</v>
      </c>
      <c r="J13" s="3">
        <v>1858187.5</v>
      </c>
      <c r="K13" s="3">
        <v>0</v>
      </c>
      <c r="L13" s="3">
        <v>15</v>
      </c>
      <c r="M13" s="3">
        <v>27234053.510117229</v>
      </c>
    </row>
    <row r="14" spans="1:13" x14ac:dyDescent="0.25">
      <c r="A14" s="2">
        <v>13</v>
      </c>
      <c r="B14" s="2" t="s">
        <v>58</v>
      </c>
      <c r="C14" s="2" t="s">
        <v>59</v>
      </c>
      <c r="D14" s="3">
        <v>15</v>
      </c>
      <c r="E14" s="3">
        <v>33547278.095326561</v>
      </c>
      <c r="F14" s="3">
        <v>0</v>
      </c>
      <c r="G14" s="3">
        <v>0</v>
      </c>
      <c r="H14" s="3">
        <v>0</v>
      </c>
      <c r="I14" s="3">
        <v>0</v>
      </c>
      <c r="J14" s="3">
        <v>2402001</v>
      </c>
      <c r="K14" s="3">
        <v>0</v>
      </c>
      <c r="L14" s="3">
        <v>15</v>
      </c>
      <c r="M14" s="3">
        <v>33547278.095326561</v>
      </c>
    </row>
    <row r="15" spans="1:13" x14ac:dyDescent="0.25">
      <c r="A15" s="2">
        <v>14</v>
      </c>
      <c r="B15" s="2" t="s">
        <v>60</v>
      </c>
      <c r="C15" s="2" t="s">
        <v>61</v>
      </c>
      <c r="D15" s="3">
        <v>412</v>
      </c>
      <c r="E15" s="3">
        <v>46756805.349206977</v>
      </c>
      <c r="F15" s="3">
        <v>26</v>
      </c>
      <c r="G15" s="3">
        <v>4480934.0423395475</v>
      </c>
      <c r="H15" s="3">
        <v>93</v>
      </c>
      <c r="I15" s="3">
        <v>14736366</v>
      </c>
      <c r="J15" s="3">
        <v>151402.769582282</v>
      </c>
      <c r="K15" s="3">
        <v>18479719.465269402</v>
      </c>
      <c r="L15" s="3">
        <v>345</v>
      </c>
      <c r="M15" s="3">
        <v>32758019.926277131</v>
      </c>
    </row>
    <row r="16" spans="1:13" x14ac:dyDescent="0.25">
      <c r="A16" s="2">
        <v>15</v>
      </c>
      <c r="B16" s="2" t="s">
        <v>62</v>
      </c>
      <c r="C16" s="2" t="s">
        <v>63</v>
      </c>
      <c r="D16" s="3">
        <v>12343</v>
      </c>
      <c r="E16" s="3">
        <v>1125516419.2563241</v>
      </c>
      <c r="F16" s="3">
        <v>0</v>
      </c>
      <c r="G16" s="3">
        <v>0</v>
      </c>
      <c r="H16" s="3">
        <v>47</v>
      </c>
      <c r="I16" s="3">
        <v>4040910</v>
      </c>
      <c r="J16" s="3">
        <v>94476.723041682097</v>
      </c>
      <c r="K16" s="3">
        <v>5827754.9903708352</v>
      </c>
      <c r="L16" s="3">
        <v>12296</v>
      </c>
      <c r="M16" s="3">
        <v>1119688664.2659531</v>
      </c>
    </row>
    <row r="17" spans="1:13" x14ac:dyDescent="0.25">
      <c r="A17" s="2">
        <v>16</v>
      </c>
      <c r="B17" s="2" t="s">
        <v>64</v>
      </c>
      <c r="C17" s="2" t="s">
        <v>65</v>
      </c>
      <c r="D17" s="3">
        <v>1281.1579999999999</v>
      </c>
      <c r="E17" s="3">
        <v>-15129940.314964229</v>
      </c>
      <c r="F17" s="3">
        <v>682.03199999999993</v>
      </c>
      <c r="G17" s="3">
        <v>265047053.55347589</v>
      </c>
      <c r="H17" s="3">
        <v>454</v>
      </c>
      <c r="I17" s="3">
        <v>325461975</v>
      </c>
      <c r="J17" s="3">
        <v>406256.60066921788</v>
      </c>
      <c r="K17" s="3">
        <v>242066610.3994171</v>
      </c>
      <c r="L17" s="3">
        <v>1509.19</v>
      </c>
      <c r="M17" s="3">
        <v>7850502.8390945494</v>
      </c>
    </row>
    <row r="18" spans="1:13" x14ac:dyDescent="0.25">
      <c r="A18" s="2">
        <v>17</v>
      </c>
      <c r="B18" s="2" t="s">
        <v>66</v>
      </c>
      <c r="C18" s="2" t="s">
        <v>67</v>
      </c>
      <c r="D18" s="3">
        <v>41</v>
      </c>
      <c r="E18" s="3">
        <v>357394331.85861403</v>
      </c>
      <c r="F18" s="3">
        <v>0</v>
      </c>
      <c r="G18" s="3">
        <v>0</v>
      </c>
      <c r="H18" s="3">
        <v>0</v>
      </c>
      <c r="I18" s="3">
        <v>0</v>
      </c>
      <c r="J18" s="3">
        <v>8851844.5581395347</v>
      </c>
      <c r="K18" s="3">
        <v>0</v>
      </c>
      <c r="L18" s="3">
        <v>41</v>
      </c>
      <c r="M18" s="3">
        <v>357394331.85861403</v>
      </c>
    </row>
    <row r="19" spans="1:13" x14ac:dyDescent="0.25">
      <c r="A19" s="2">
        <v>18</v>
      </c>
      <c r="B19" s="2" t="s">
        <v>68</v>
      </c>
      <c r="C19" s="2" t="s">
        <v>69</v>
      </c>
      <c r="D19" s="3">
        <v>100</v>
      </c>
      <c r="E19" s="3">
        <v>277178812.63085032</v>
      </c>
      <c r="F19" s="3">
        <v>0</v>
      </c>
      <c r="G19" s="3">
        <v>0</v>
      </c>
      <c r="H19" s="3">
        <v>0</v>
      </c>
      <c r="I19" s="3">
        <v>0</v>
      </c>
      <c r="J19" s="3">
        <v>2933045.9305696478</v>
      </c>
      <c r="K19" s="3">
        <v>0</v>
      </c>
      <c r="L19" s="3">
        <v>100</v>
      </c>
      <c r="M19" s="3">
        <v>277178812.63085032</v>
      </c>
    </row>
    <row r="20" spans="1:13" x14ac:dyDescent="0.25">
      <c r="A20" s="2">
        <v>19</v>
      </c>
      <c r="B20" s="2" t="s">
        <v>70</v>
      </c>
      <c r="C20" s="2" t="s">
        <v>71</v>
      </c>
      <c r="D20" s="3">
        <v>84</v>
      </c>
      <c r="E20" s="3">
        <v>312285254.03664261</v>
      </c>
      <c r="F20" s="3">
        <v>18</v>
      </c>
      <c r="G20" s="3">
        <v>251414595.15187341</v>
      </c>
      <c r="H20" s="3">
        <v>10</v>
      </c>
      <c r="I20" s="3">
        <v>104300000</v>
      </c>
      <c r="J20" s="3">
        <v>8926732.232781833</v>
      </c>
      <c r="K20" s="3">
        <v>117157774.57499699</v>
      </c>
      <c r="L20" s="3">
        <v>92</v>
      </c>
      <c r="M20" s="3">
        <v>446542074.61351907</v>
      </c>
    </row>
    <row r="21" spans="1:13" ht="15.75" customHeight="1" x14ac:dyDescent="0.25">
      <c r="A21" s="2">
        <v>20</v>
      </c>
      <c r="B21" s="2" t="s">
        <v>72</v>
      </c>
      <c r="C21" s="2" t="s">
        <v>73</v>
      </c>
      <c r="D21" s="3">
        <v>43</v>
      </c>
      <c r="E21" s="3">
        <v>528453886.76862198</v>
      </c>
      <c r="F21" s="3">
        <v>0</v>
      </c>
      <c r="G21" s="3">
        <v>0</v>
      </c>
      <c r="H21" s="3">
        <v>0</v>
      </c>
      <c r="I21" s="3">
        <v>0</v>
      </c>
      <c r="J21" s="3">
        <v>12694716.808510641</v>
      </c>
      <c r="K21" s="3">
        <v>0</v>
      </c>
      <c r="L21" s="3">
        <v>43</v>
      </c>
      <c r="M21" s="3">
        <v>528453886.76862198</v>
      </c>
    </row>
    <row r="22" spans="1:13" ht="15.75" customHeight="1" x14ac:dyDescent="0.25">
      <c r="A22" s="2">
        <v>21</v>
      </c>
      <c r="B22" s="2" t="s">
        <v>74</v>
      </c>
      <c r="C22" s="2" t="s">
        <v>75</v>
      </c>
      <c r="D22" s="3">
        <v>86</v>
      </c>
      <c r="E22" s="3">
        <v>736162248</v>
      </c>
      <c r="F22" s="3">
        <v>1</v>
      </c>
      <c r="G22" s="3">
        <v>12319931.31519348</v>
      </c>
      <c r="H22" s="3">
        <v>6</v>
      </c>
      <c r="I22" s="3">
        <v>47272729</v>
      </c>
      <c r="J22" s="3">
        <v>8607925.5287356321</v>
      </c>
      <c r="K22" s="3">
        <v>67784181.648273572</v>
      </c>
      <c r="L22" s="3">
        <v>81</v>
      </c>
      <c r="M22" s="3">
        <v>680697997.66691995</v>
      </c>
    </row>
    <row r="23" spans="1:13" ht="15.75" customHeight="1" x14ac:dyDescent="0.25">
      <c r="A23" s="2">
        <v>22</v>
      </c>
      <c r="B23" s="2" t="s">
        <v>76</v>
      </c>
      <c r="C23" s="2" t="s">
        <v>77</v>
      </c>
      <c r="D23" s="3">
        <v>15</v>
      </c>
      <c r="E23" s="3">
        <v>5415070</v>
      </c>
      <c r="F23" s="3">
        <v>0</v>
      </c>
      <c r="G23" s="3">
        <v>0</v>
      </c>
      <c r="H23" s="3">
        <v>0</v>
      </c>
      <c r="I23" s="3">
        <v>0</v>
      </c>
      <c r="J23" s="3">
        <v>361004.66666666669</v>
      </c>
      <c r="K23" s="3">
        <v>0</v>
      </c>
      <c r="L23" s="3">
        <v>15</v>
      </c>
      <c r="M23" s="3">
        <v>5415070</v>
      </c>
    </row>
    <row r="24" spans="1:13" ht="15.75" customHeight="1" x14ac:dyDescent="0.25">
      <c r="A24" s="2">
        <v>23</v>
      </c>
      <c r="B24" s="2" t="s">
        <v>78</v>
      </c>
      <c r="C24" s="2" t="s">
        <v>79</v>
      </c>
      <c r="D24" s="3">
        <v>108</v>
      </c>
      <c r="E24" s="3">
        <v>1256150154.7980039</v>
      </c>
      <c r="F24" s="3">
        <v>0</v>
      </c>
      <c r="G24" s="3">
        <v>0</v>
      </c>
      <c r="H24" s="3">
        <v>0</v>
      </c>
      <c r="I24" s="3">
        <v>0</v>
      </c>
      <c r="J24" s="3">
        <v>12067116.647338489</v>
      </c>
      <c r="K24" s="3">
        <v>0</v>
      </c>
      <c r="L24" s="3">
        <v>108</v>
      </c>
      <c r="M24" s="3">
        <v>1256150154.7980039</v>
      </c>
    </row>
    <row r="25" spans="1:13" ht="15.75" customHeight="1" x14ac:dyDescent="0.25">
      <c r="A25" s="2">
        <v>24</v>
      </c>
      <c r="B25" s="2" t="s">
        <v>80</v>
      </c>
      <c r="C25" s="2" t="s">
        <v>81</v>
      </c>
      <c r="D25" s="3">
        <v>22</v>
      </c>
      <c r="E25" s="3">
        <v>74385161.809035897</v>
      </c>
      <c r="F25" s="3">
        <v>0</v>
      </c>
      <c r="G25" s="3">
        <v>0</v>
      </c>
      <c r="H25" s="3">
        <v>0</v>
      </c>
      <c r="I25" s="3">
        <v>0</v>
      </c>
      <c r="J25" s="3">
        <v>4316348.1154069426</v>
      </c>
      <c r="K25" s="3">
        <v>0</v>
      </c>
      <c r="L25" s="3">
        <v>22</v>
      </c>
      <c r="M25" s="3">
        <v>74385161.809035897</v>
      </c>
    </row>
    <row r="26" spans="1:13" ht="15.75" customHeight="1" x14ac:dyDescent="0.25">
      <c r="A26" s="2">
        <v>25</v>
      </c>
      <c r="B26" s="2" t="s">
        <v>82</v>
      </c>
      <c r="C26" s="2" t="s">
        <v>83</v>
      </c>
      <c r="D26" s="3">
        <v>68</v>
      </c>
      <c r="E26" s="3">
        <v>1091540356.5248721</v>
      </c>
      <c r="F26" s="3">
        <v>0</v>
      </c>
      <c r="G26" s="3">
        <v>0</v>
      </c>
      <c r="H26" s="3">
        <v>0</v>
      </c>
      <c r="I26" s="3">
        <v>0</v>
      </c>
      <c r="J26" s="3">
        <v>16878626.22782984</v>
      </c>
      <c r="K26" s="3">
        <v>0</v>
      </c>
      <c r="L26" s="3">
        <v>68</v>
      </c>
      <c r="M26" s="3">
        <v>1091540356.5248721</v>
      </c>
    </row>
    <row r="27" spans="1:13" ht="15.75" customHeight="1" x14ac:dyDescent="0.25">
      <c r="A27" s="2">
        <v>26</v>
      </c>
      <c r="B27" s="2" t="s">
        <v>84</v>
      </c>
      <c r="C27" s="2" t="s">
        <v>85</v>
      </c>
      <c r="D27" s="3">
        <v>58</v>
      </c>
      <c r="E27" s="3">
        <v>227642836.87777209</v>
      </c>
      <c r="F27" s="3">
        <v>15</v>
      </c>
      <c r="G27" s="3">
        <v>74130784.949191228</v>
      </c>
      <c r="H27" s="3">
        <v>6</v>
      </c>
      <c r="I27" s="3">
        <v>92090910</v>
      </c>
      <c r="J27" s="3">
        <v>5776327.4303262495</v>
      </c>
      <c r="K27" s="3">
        <v>45486409.761569023</v>
      </c>
      <c r="L27" s="3">
        <v>67</v>
      </c>
      <c r="M27" s="3">
        <v>256287212.06539431</v>
      </c>
    </row>
    <row r="28" spans="1:13" ht="15.75" customHeight="1" x14ac:dyDescent="0.25">
      <c r="A28" s="2">
        <v>27</v>
      </c>
      <c r="B28" s="2" t="s">
        <v>86</v>
      </c>
      <c r="C28" s="2" t="s">
        <v>87</v>
      </c>
      <c r="D28" s="3">
        <v>69</v>
      </c>
      <c r="E28" s="3">
        <v>269326743.0736984</v>
      </c>
      <c r="F28" s="3">
        <v>12</v>
      </c>
      <c r="G28" s="3">
        <v>131031266.3282112</v>
      </c>
      <c r="H28" s="3">
        <v>23</v>
      </c>
      <c r="I28" s="3">
        <v>221036362</v>
      </c>
      <c r="J28" s="3">
        <v>10773380.423362721</v>
      </c>
      <c r="K28" s="3">
        <v>325205915.99650413</v>
      </c>
      <c r="L28" s="3">
        <v>58</v>
      </c>
      <c r="M28" s="3">
        <v>75152093.405405521</v>
      </c>
    </row>
    <row r="29" spans="1:13" ht="15.75" customHeight="1" x14ac:dyDescent="0.25">
      <c r="A29" s="2">
        <v>28</v>
      </c>
      <c r="B29" s="2" t="s">
        <v>88</v>
      </c>
      <c r="C29" s="2" t="s">
        <v>89</v>
      </c>
      <c r="D29" s="3">
        <v>60</v>
      </c>
      <c r="E29" s="3">
        <v>174290325.2827996</v>
      </c>
      <c r="F29" s="3">
        <v>2</v>
      </c>
      <c r="G29" s="3">
        <v>25247939.403269961</v>
      </c>
      <c r="H29" s="3">
        <v>15</v>
      </c>
      <c r="I29" s="3">
        <v>167772730</v>
      </c>
      <c r="J29" s="3">
        <v>10371531.924694519</v>
      </c>
      <c r="K29" s="3">
        <v>204179799.65308341</v>
      </c>
      <c r="L29" s="3">
        <v>47</v>
      </c>
      <c r="M29" s="3">
        <v>-4641534.9670138657</v>
      </c>
    </row>
    <row r="30" spans="1:13" ht="15.75" customHeight="1" x14ac:dyDescent="0.25">
      <c r="A30" s="2">
        <v>29</v>
      </c>
      <c r="B30" s="2" t="s">
        <v>90</v>
      </c>
      <c r="C30" s="2" t="s">
        <v>91</v>
      </c>
      <c r="D30" s="3">
        <v>108</v>
      </c>
      <c r="E30" s="3">
        <v>79370064.582638234</v>
      </c>
      <c r="F30" s="3">
        <v>0</v>
      </c>
      <c r="G30" s="3">
        <v>0</v>
      </c>
      <c r="H30" s="3">
        <v>0</v>
      </c>
      <c r="I30" s="3">
        <v>0</v>
      </c>
      <c r="J30" s="3">
        <v>787140.82299410377</v>
      </c>
      <c r="K30" s="3">
        <v>0</v>
      </c>
      <c r="L30" s="3">
        <v>108</v>
      </c>
      <c r="M30" s="3">
        <v>79370064.582638234</v>
      </c>
    </row>
    <row r="31" spans="1:13" ht="15.75" customHeight="1" x14ac:dyDescent="0.25">
      <c r="A31" s="2">
        <v>30</v>
      </c>
      <c r="B31" s="2" t="s">
        <v>92</v>
      </c>
      <c r="C31" s="2" t="s">
        <v>93</v>
      </c>
      <c r="D31" s="3">
        <v>28</v>
      </c>
      <c r="E31" s="3">
        <v>369976979.24709028</v>
      </c>
      <c r="F31" s="3">
        <v>0</v>
      </c>
      <c r="G31" s="3">
        <v>0</v>
      </c>
      <c r="H31" s="3">
        <v>0</v>
      </c>
      <c r="I31" s="3">
        <v>0</v>
      </c>
      <c r="J31" s="3">
        <v>14641518.91666667</v>
      </c>
      <c r="K31" s="3">
        <v>0</v>
      </c>
      <c r="L31" s="3">
        <v>28</v>
      </c>
      <c r="M31" s="3">
        <v>369976979.24709028</v>
      </c>
    </row>
    <row r="32" spans="1:13" ht="15.75" customHeight="1" x14ac:dyDescent="0.25">
      <c r="A32" s="2">
        <v>31</v>
      </c>
      <c r="B32" s="2" t="s">
        <v>94</v>
      </c>
      <c r="C32" s="2" t="s">
        <v>95</v>
      </c>
      <c r="D32" s="3">
        <v>20</v>
      </c>
      <c r="E32" s="3">
        <v>71343235.637212291</v>
      </c>
      <c r="F32" s="3">
        <v>18</v>
      </c>
      <c r="G32" s="3">
        <v>16015909.8385564</v>
      </c>
      <c r="H32" s="3">
        <v>0</v>
      </c>
      <c r="I32" s="3">
        <v>0</v>
      </c>
      <c r="J32" s="3">
        <v>2384675.0289473678</v>
      </c>
      <c r="K32" s="3">
        <v>0</v>
      </c>
      <c r="L32" s="3">
        <v>38</v>
      </c>
      <c r="M32" s="3">
        <v>87359145.475768685</v>
      </c>
    </row>
    <row r="33" spans="1:13" ht="15.75" customHeight="1" x14ac:dyDescent="0.25">
      <c r="A33" s="2">
        <v>32</v>
      </c>
      <c r="B33" s="2" t="s">
        <v>96</v>
      </c>
      <c r="C33" s="2" t="s">
        <v>97</v>
      </c>
      <c r="D33" s="3">
        <v>28</v>
      </c>
      <c r="E33" s="3">
        <v>44726581.195181817</v>
      </c>
      <c r="F33" s="3">
        <v>0</v>
      </c>
      <c r="G33" s="3">
        <v>0</v>
      </c>
      <c r="H33" s="3">
        <v>0</v>
      </c>
      <c r="I33" s="3">
        <v>0</v>
      </c>
      <c r="J33" s="3">
        <v>1615403.3448275861</v>
      </c>
      <c r="K33" s="3">
        <v>0</v>
      </c>
      <c r="L33" s="3">
        <v>28</v>
      </c>
      <c r="M33" s="3">
        <v>44726581.195181817</v>
      </c>
    </row>
    <row r="34" spans="1:13" ht="15.75" customHeight="1" x14ac:dyDescent="0.25">
      <c r="A34" s="2">
        <v>33</v>
      </c>
      <c r="B34" s="2" t="s">
        <v>98</v>
      </c>
      <c r="C34" s="2" t="s">
        <v>99</v>
      </c>
      <c r="D34" s="3">
        <v>57</v>
      </c>
      <c r="E34" s="3">
        <v>162666760.92323369</v>
      </c>
      <c r="F34" s="3">
        <v>3</v>
      </c>
      <c r="G34" s="3">
        <v>25871855.47150794</v>
      </c>
      <c r="H34" s="3">
        <v>6</v>
      </c>
      <c r="I34" s="3">
        <v>45981819</v>
      </c>
      <c r="J34" s="3">
        <v>3893406.596519263</v>
      </c>
      <c r="K34" s="3">
        <v>30659115.14778319</v>
      </c>
      <c r="L34" s="3">
        <v>54</v>
      </c>
      <c r="M34" s="3">
        <v>157879501.2469584</v>
      </c>
    </row>
    <row r="35" spans="1:13" ht="15.75" customHeight="1" x14ac:dyDescent="0.25">
      <c r="A35" s="2">
        <v>34</v>
      </c>
      <c r="B35" s="2" t="s">
        <v>100</v>
      </c>
      <c r="C35" s="2" t="s">
        <v>101</v>
      </c>
      <c r="D35" s="3">
        <v>154</v>
      </c>
      <c r="E35" s="3">
        <v>1555601793.954037</v>
      </c>
      <c r="F35" s="3">
        <v>2</v>
      </c>
      <c r="G35" s="3">
        <v>23231869.98225335</v>
      </c>
      <c r="H35" s="3">
        <v>1</v>
      </c>
      <c r="I35" s="3">
        <v>18000000</v>
      </c>
      <c r="J35" s="3">
        <v>12316444.61308085</v>
      </c>
      <c r="K35" s="3">
        <v>16164562.84244442</v>
      </c>
      <c r="L35" s="3">
        <v>155</v>
      </c>
      <c r="M35" s="3">
        <v>1562669101.0938461</v>
      </c>
    </row>
    <row r="36" spans="1:13" ht="15.75" customHeight="1" x14ac:dyDescent="0.25">
      <c r="A36" s="2">
        <v>35</v>
      </c>
      <c r="B36" s="2" t="s">
        <v>102</v>
      </c>
      <c r="C36" s="2" t="s">
        <v>103</v>
      </c>
      <c r="D36" s="3">
        <v>26</v>
      </c>
      <c r="E36" s="3">
        <v>375103095.45351499</v>
      </c>
      <c r="F36" s="3">
        <v>0</v>
      </c>
      <c r="G36" s="3">
        <v>0</v>
      </c>
      <c r="H36" s="3">
        <v>1</v>
      </c>
      <c r="I36" s="3">
        <v>13636364</v>
      </c>
      <c r="J36" s="3">
        <v>17374252.65699964</v>
      </c>
      <c r="K36" s="3">
        <v>22802619.40335444</v>
      </c>
      <c r="L36" s="3">
        <v>25</v>
      </c>
      <c r="M36" s="3">
        <v>352300476.05016053</v>
      </c>
    </row>
    <row r="37" spans="1:13" ht="15.75" customHeight="1" x14ac:dyDescent="0.25">
      <c r="A37" s="2">
        <v>36</v>
      </c>
      <c r="B37" s="2" t="s">
        <v>104</v>
      </c>
      <c r="C37" s="2" t="s">
        <v>105</v>
      </c>
      <c r="D37" s="3">
        <v>35</v>
      </c>
      <c r="E37" s="3">
        <v>131919128.3622611</v>
      </c>
      <c r="F37" s="3">
        <v>10</v>
      </c>
      <c r="G37" s="3">
        <v>37223615.061098911</v>
      </c>
      <c r="H37" s="3">
        <v>2</v>
      </c>
      <c r="I37" s="3">
        <v>10709090</v>
      </c>
      <c r="J37" s="3">
        <v>4136702.5727881729</v>
      </c>
      <c r="K37" s="3">
        <v>10858326.538052689</v>
      </c>
      <c r="L37" s="3">
        <v>43</v>
      </c>
      <c r="M37" s="3">
        <v>158284416.88530731</v>
      </c>
    </row>
    <row r="38" spans="1:13" ht="15.75" customHeight="1" x14ac:dyDescent="0.25">
      <c r="A38" s="2">
        <v>37</v>
      </c>
      <c r="B38" s="2" t="s">
        <v>106</v>
      </c>
      <c r="C38" s="2" t="s">
        <v>107</v>
      </c>
      <c r="D38" s="3">
        <v>101</v>
      </c>
      <c r="E38" s="3">
        <v>202213528.65582269</v>
      </c>
      <c r="F38" s="3">
        <v>51</v>
      </c>
      <c r="G38" s="3">
        <v>172530432.14908239</v>
      </c>
      <c r="H38" s="3">
        <v>26</v>
      </c>
      <c r="I38" s="3">
        <v>75100002</v>
      </c>
      <c r="J38" s="3">
        <v>3136518.4574871408</v>
      </c>
      <c r="K38" s="3">
        <v>107028589.3321809</v>
      </c>
      <c r="L38" s="3">
        <v>126</v>
      </c>
      <c r="M38" s="3">
        <v>267715371.4727242</v>
      </c>
    </row>
    <row r="39" spans="1:13" ht="15.75" customHeight="1" x14ac:dyDescent="0.25">
      <c r="A39" s="2">
        <v>38</v>
      </c>
      <c r="B39" s="2" t="s">
        <v>108</v>
      </c>
      <c r="C39" s="2" t="s">
        <v>109</v>
      </c>
      <c r="D39" s="3">
        <v>1050</v>
      </c>
      <c r="E39" s="3">
        <v>1584809182.4998119</v>
      </c>
      <c r="F39" s="3">
        <v>36</v>
      </c>
      <c r="G39" s="3">
        <v>34073408.339310333</v>
      </c>
      <c r="H39" s="3">
        <v>13</v>
      </c>
      <c r="I39" s="3">
        <v>33181816</v>
      </c>
      <c r="J39" s="3">
        <v>1684696.7783378889</v>
      </c>
      <c r="K39" s="3">
        <v>28743768.30264727</v>
      </c>
      <c r="L39" s="3">
        <v>1073</v>
      </c>
      <c r="M39" s="3">
        <v>1590138822.5364749</v>
      </c>
    </row>
    <row r="40" spans="1:13" ht="15.75" customHeight="1" x14ac:dyDescent="0.25">
      <c r="A40" s="2">
        <v>39</v>
      </c>
      <c r="B40" s="2" t="s">
        <v>110</v>
      </c>
      <c r="C40" s="2" t="s">
        <v>111</v>
      </c>
      <c r="D40" s="3">
        <v>28</v>
      </c>
      <c r="E40" s="3">
        <v>145238039.5738354</v>
      </c>
      <c r="F40" s="3">
        <v>1</v>
      </c>
      <c r="G40" s="3">
        <v>4883973.1067212531</v>
      </c>
      <c r="H40" s="3">
        <v>0</v>
      </c>
      <c r="I40" s="3">
        <v>0</v>
      </c>
      <c r="J40" s="3">
        <v>5302768.5632183906</v>
      </c>
      <c r="K40" s="3">
        <v>0</v>
      </c>
      <c r="L40" s="3">
        <v>29</v>
      </c>
      <c r="M40" s="3">
        <v>150122012.68055671</v>
      </c>
    </row>
    <row r="41" spans="1:13" ht="15.75" customHeight="1" x14ac:dyDescent="0.25">
      <c r="A41" s="2">
        <v>40</v>
      </c>
      <c r="B41" s="2" t="s">
        <v>112</v>
      </c>
      <c r="C41" s="2" t="s">
        <v>113</v>
      </c>
      <c r="D41" s="3">
        <v>27</v>
      </c>
      <c r="E41" s="3">
        <v>135616396.18614241</v>
      </c>
      <c r="F41" s="3">
        <v>2</v>
      </c>
      <c r="G41" s="3">
        <v>10911938.66705987</v>
      </c>
      <c r="H41" s="3">
        <v>0</v>
      </c>
      <c r="I41" s="3">
        <v>0</v>
      </c>
      <c r="J41" s="3">
        <v>5537060.9605320198</v>
      </c>
      <c r="K41" s="3">
        <v>0</v>
      </c>
      <c r="L41" s="3">
        <v>29</v>
      </c>
      <c r="M41" s="3">
        <v>146528334.85320231</v>
      </c>
    </row>
    <row r="42" spans="1:13" ht="15.75" customHeight="1" x14ac:dyDescent="0.25">
      <c r="A42" s="2">
        <v>41</v>
      </c>
      <c r="B42" s="2" t="s">
        <v>114</v>
      </c>
      <c r="C42" s="2" t="s">
        <v>115</v>
      </c>
      <c r="D42" s="3">
        <v>33</v>
      </c>
      <c r="E42" s="3">
        <v>44164665.384811424</v>
      </c>
      <c r="F42" s="3">
        <v>0</v>
      </c>
      <c r="G42" s="3">
        <v>0</v>
      </c>
      <c r="H42" s="3">
        <v>0</v>
      </c>
      <c r="I42" s="3">
        <v>0</v>
      </c>
      <c r="J42" s="3">
        <v>1668573.6673724011</v>
      </c>
      <c r="K42" s="3">
        <v>0</v>
      </c>
      <c r="L42" s="3">
        <v>33</v>
      </c>
      <c r="M42" s="3">
        <v>44164665.384811424</v>
      </c>
    </row>
    <row r="43" spans="1:13" ht="15.75" customHeight="1" x14ac:dyDescent="0.25">
      <c r="A43" s="2">
        <v>42</v>
      </c>
      <c r="B43" s="2" t="s">
        <v>116</v>
      </c>
      <c r="C43" s="2" t="s">
        <v>117</v>
      </c>
      <c r="D43" s="3">
        <v>65</v>
      </c>
      <c r="E43" s="3">
        <v>37602854.993596837</v>
      </c>
      <c r="F43" s="3">
        <v>15</v>
      </c>
      <c r="G43" s="3">
        <v>8909950.6632362567</v>
      </c>
      <c r="H43" s="3">
        <v>2</v>
      </c>
      <c r="I43" s="3">
        <v>1200000</v>
      </c>
      <c r="J43" s="3">
        <v>647118.49618055555</v>
      </c>
      <c r="K43" s="3">
        <v>1698605.0644695179</v>
      </c>
      <c r="L43" s="3">
        <v>78</v>
      </c>
      <c r="M43" s="3">
        <v>44814200.592363581</v>
      </c>
    </row>
    <row r="44" spans="1:13" ht="15.75" customHeight="1" x14ac:dyDescent="0.25">
      <c r="A44" s="2">
        <v>43</v>
      </c>
      <c r="B44" s="2" t="s">
        <v>118</v>
      </c>
      <c r="C44" s="2" t="s">
        <v>119</v>
      </c>
      <c r="D44" s="3">
        <v>182</v>
      </c>
      <c r="E44" s="3">
        <v>58647021.601453349</v>
      </c>
      <c r="F44" s="3">
        <v>23</v>
      </c>
      <c r="G44" s="3">
        <v>7519556.1566142011</v>
      </c>
      <c r="H44" s="3">
        <v>15</v>
      </c>
      <c r="I44" s="3">
        <v>5145452</v>
      </c>
      <c r="J44" s="3">
        <v>372887.05691201828</v>
      </c>
      <c r="K44" s="3">
        <v>7340863.9269811958</v>
      </c>
      <c r="L44" s="3">
        <v>190</v>
      </c>
      <c r="M44" s="3">
        <v>58825713.831086352</v>
      </c>
    </row>
    <row r="45" spans="1:13" ht="15.75" customHeight="1" x14ac:dyDescent="0.25">
      <c r="A45" s="2">
        <v>44</v>
      </c>
      <c r="B45" s="2" t="s">
        <v>120</v>
      </c>
      <c r="C45" s="2" t="s">
        <v>121</v>
      </c>
      <c r="D45" s="3">
        <v>20</v>
      </c>
      <c r="E45" s="3">
        <v>82492918.036734775</v>
      </c>
      <c r="F45" s="3">
        <v>6</v>
      </c>
      <c r="G45" s="3">
        <v>69959608.205287129</v>
      </c>
      <c r="H45" s="3">
        <v>6</v>
      </c>
      <c r="I45" s="3">
        <v>87163636</v>
      </c>
      <c r="J45" s="3">
        <v>8253708.8900683653</v>
      </c>
      <c r="K45" s="3">
        <v>64994858.611252621</v>
      </c>
      <c r="L45" s="3">
        <v>20</v>
      </c>
      <c r="M45" s="3">
        <v>87457667.630769297</v>
      </c>
    </row>
    <row r="46" spans="1:13" ht="15.75" customHeight="1" x14ac:dyDescent="0.25">
      <c r="A46" s="2">
        <v>45</v>
      </c>
      <c r="B46" s="2" t="s">
        <v>122</v>
      </c>
      <c r="C46" s="2" t="s">
        <v>123</v>
      </c>
      <c r="D46" s="3">
        <v>217</v>
      </c>
      <c r="E46" s="3">
        <v>32383115.691743959</v>
      </c>
      <c r="F46" s="3">
        <v>80</v>
      </c>
      <c r="G46" s="3">
        <v>29435836.317599189</v>
      </c>
      <c r="H46" s="3">
        <v>76</v>
      </c>
      <c r="I46" s="3">
        <v>28249997</v>
      </c>
      <c r="J46" s="3">
        <v>463697.66581743932</v>
      </c>
      <c r="K46" s="3">
        <v>46251636.927677117</v>
      </c>
      <c r="L46" s="3">
        <v>221</v>
      </c>
      <c r="M46" s="3">
        <v>15567315.08166603</v>
      </c>
    </row>
    <row r="47" spans="1:13" ht="15.75" customHeight="1" x14ac:dyDescent="0.25">
      <c r="A47" s="2">
        <v>46</v>
      </c>
      <c r="B47" s="2" t="s">
        <v>124</v>
      </c>
      <c r="C47" s="2" t="s">
        <v>125</v>
      </c>
      <c r="D47" s="3">
        <v>139</v>
      </c>
      <c r="E47" s="3">
        <v>106884494.63846859</v>
      </c>
      <c r="F47" s="3">
        <v>23</v>
      </c>
      <c r="G47" s="3">
        <v>14053520.55711754</v>
      </c>
      <c r="H47" s="3">
        <v>14</v>
      </c>
      <c r="I47" s="3">
        <v>9454545</v>
      </c>
      <c r="J47" s="3">
        <v>771308.43879579124</v>
      </c>
      <c r="K47" s="3">
        <v>14172116.848731531</v>
      </c>
      <c r="L47" s="3">
        <v>148</v>
      </c>
      <c r="M47" s="3">
        <v>106765898.3468546</v>
      </c>
    </row>
    <row r="48" spans="1:13" ht="15.75" customHeight="1" x14ac:dyDescent="0.25">
      <c r="A48" s="2">
        <v>47</v>
      </c>
      <c r="B48" s="2" t="s">
        <v>126</v>
      </c>
      <c r="C48" s="2" t="s">
        <v>127</v>
      </c>
      <c r="D48" s="3">
        <v>232</v>
      </c>
      <c r="E48" s="3">
        <v>68894089.780788347</v>
      </c>
      <c r="F48" s="3">
        <v>1</v>
      </c>
      <c r="G48" s="3">
        <v>421077.64342834201</v>
      </c>
      <c r="H48" s="3">
        <v>9</v>
      </c>
      <c r="I48" s="3">
        <v>2370000</v>
      </c>
      <c r="J48" s="3">
        <v>424570.99042180751</v>
      </c>
      <c r="K48" s="3">
        <v>5015005.7132696444</v>
      </c>
      <c r="L48" s="3">
        <v>224</v>
      </c>
      <c r="M48" s="3">
        <v>64300161.710947037</v>
      </c>
    </row>
    <row r="49" spans="1:13" ht="15.75" customHeight="1" x14ac:dyDescent="0.25">
      <c r="A49" s="2">
        <v>48</v>
      </c>
      <c r="B49" s="2" t="s">
        <v>128</v>
      </c>
      <c r="C49" s="2" t="s">
        <v>129</v>
      </c>
      <c r="D49" s="3">
        <v>76</v>
      </c>
      <c r="E49" s="3">
        <v>67070592.952461436</v>
      </c>
      <c r="F49" s="3">
        <v>0</v>
      </c>
      <c r="G49" s="3">
        <v>0</v>
      </c>
      <c r="H49" s="3">
        <v>0</v>
      </c>
      <c r="I49" s="3">
        <v>0</v>
      </c>
      <c r="J49" s="3">
        <v>962345.272881301</v>
      </c>
      <c r="K49" s="3">
        <v>0</v>
      </c>
      <c r="L49" s="3">
        <v>76</v>
      </c>
      <c r="M49" s="3">
        <v>67070592.952461436</v>
      </c>
    </row>
    <row r="50" spans="1:13" ht="15.75" customHeight="1" x14ac:dyDescent="0.25">
      <c r="A50" s="2">
        <v>49</v>
      </c>
      <c r="B50" s="2" t="s">
        <v>130</v>
      </c>
      <c r="C50" s="2" t="s">
        <v>131</v>
      </c>
      <c r="D50" s="3">
        <v>189</v>
      </c>
      <c r="E50" s="3">
        <v>625452941.7691747</v>
      </c>
      <c r="F50" s="3">
        <v>0</v>
      </c>
      <c r="G50" s="3">
        <v>0</v>
      </c>
      <c r="H50" s="3">
        <v>0</v>
      </c>
      <c r="I50" s="3">
        <v>0</v>
      </c>
      <c r="J50" s="3">
        <v>3376250.5074626859</v>
      </c>
      <c r="K50" s="3">
        <v>0</v>
      </c>
      <c r="L50" s="3">
        <v>189</v>
      </c>
      <c r="M50" s="3">
        <v>625452941.7691747</v>
      </c>
    </row>
    <row r="51" spans="1:13" ht="15.75" customHeight="1" x14ac:dyDescent="0.25">
      <c r="A51" s="2">
        <v>50</v>
      </c>
      <c r="B51" s="2" t="s">
        <v>132</v>
      </c>
      <c r="C51" s="2" t="s">
        <v>133</v>
      </c>
      <c r="D51" s="3">
        <v>135</v>
      </c>
      <c r="E51" s="3">
        <v>55837830.258598588</v>
      </c>
      <c r="F51" s="3">
        <v>51</v>
      </c>
      <c r="G51" s="3">
        <v>2719153.894186609</v>
      </c>
      <c r="H51" s="3">
        <v>2</v>
      </c>
      <c r="I51" s="3">
        <v>2481818</v>
      </c>
      <c r="J51" s="3">
        <v>329956.974745374</v>
      </c>
      <c r="K51" s="3">
        <v>866095.76401777705</v>
      </c>
      <c r="L51" s="3">
        <v>184</v>
      </c>
      <c r="M51" s="3">
        <v>57690888.388767421</v>
      </c>
    </row>
    <row r="52" spans="1:13" ht="15.75" customHeight="1" x14ac:dyDescent="0.25">
      <c r="A52" s="2">
        <v>51</v>
      </c>
      <c r="B52" s="2" t="s">
        <v>134</v>
      </c>
      <c r="C52" s="2" t="s">
        <v>135</v>
      </c>
      <c r="D52" s="3">
        <v>1507</v>
      </c>
      <c r="E52" s="3">
        <v>33124142.960056521</v>
      </c>
      <c r="F52" s="3">
        <v>486</v>
      </c>
      <c r="G52" s="3">
        <v>15523111.54051451</v>
      </c>
      <c r="H52" s="3">
        <v>113</v>
      </c>
      <c r="I52" s="3">
        <v>3863638</v>
      </c>
      <c r="J52" s="3">
        <v>27305.651805139642</v>
      </c>
      <c r="K52" s="3">
        <v>4049576.403087283</v>
      </c>
      <c r="L52" s="3">
        <v>1880</v>
      </c>
      <c r="M52" s="3">
        <v>44597678.097483747</v>
      </c>
    </row>
    <row r="53" spans="1:13" ht="15.75" customHeight="1" x14ac:dyDescent="0.25">
      <c r="A53" s="2">
        <v>52</v>
      </c>
      <c r="B53" s="2" t="s">
        <v>136</v>
      </c>
      <c r="C53" s="2" t="s">
        <v>137</v>
      </c>
      <c r="D53" s="3">
        <v>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6</v>
      </c>
      <c r="M53" s="3">
        <v>0</v>
      </c>
    </row>
    <row r="54" spans="1:13" ht="15.75" customHeight="1" x14ac:dyDescent="0.25">
      <c r="C54" s="4" t="s">
        <v>138</v>
      </c>
      <c r="D54" s="5">
        <f t="shared" ref="D54:M54" si="0">SUM(D2:D53)</f>
        <v>40125.158000000003</v>
      </c>
      <c r="E54" s="5">
        <f t="shared" si="0"/>
        <v>18075086486.40556</v>
      </c>
      <c r="F54" s="5">
        <f t="shared" si="0"/>
        <v>1665.0319999999999</v>
      </c>
      <c r="G54" s="5">
        <f t="shared" si="0"/>
        <v>1325983887.6737094</v>
      </c>
      <c r="H54" s="5">
        <f t="shared" si="0"/>
        <v>1193</v>
      </c>
      <c r="I54" s="5">
        <f t="shared" si="0"/>
        <v>1448234719</v>
      </c>
      <c r="J54" s="5">
        <f t="shared" si="0"/>
        <v>209693369.47378215</v>
      </c>
      <c r="K54" s="5">
        <f t="shared" si="0"/>
        <v>1543012071.3535023</v>
      </c>
      <c r="L54" s="5">
        <f t="shared" si="0"/>
        <v>40597.19</v>
      </c>
      <c r="M54" s="5">
        <f t="shared" si="0"/>
        <v>17858058302.725769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3" x14ac:dyDescent="0.25">
      <c r="A1" s="1" t="s">
        <v>0</v>
      </c>
      <c r="B1" s="1" t="s">
        <v>1</v>
      </c>
      <c r="C1" s="1" t="s">
        <v>146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8</v>
      </c>
      <c r="M1" s="1" t="s">
        <v>9</v>
      </c>
    </row>
    <row r="2" spans="1:13" x14ac:dyDescent="0.25">
      <c r="A2" s="2">
        <v>1</v>
      </c>
      <c r="B2" s="2" t="s">
        <v>34</v>
      </c>
      <c r="C2" s="2" t="s">
        <v>35</v>
      </c>
      <c r="D2" s="3">
        <v>1341</v>
      </c>
      <c r="E2" s="3">
        <v>533176803.16939008</v>
      </c>
      <c r="F2" s="3">
        <v>13</v>
      </c>
      <c r="G2" s="3">
        <v>9045467.0008156523</v>
      </c>
      <c r="H2" s="3">
        <v>14</v>
      </c>
      <c r="I2" s="3">
        <v>6190908</v>
      </c>
      <c r="J2" s="3">
        <v>417491.39346441661</v>
      </c>
      <c r="K2" s="3">
        <v>7671038.6064944305</v>
      </c>
      <c r="L2" s="3">
        <v>1340</v>
      </c>
      <c r="M2" s="3">
        <v>534551231.56371129</v>
      </c>
    </row>
    <row r="3" spans="1:13" x14ac:dyDescent="0.25">
      <c r="A3" s="2">
        <v>2</v>
      </c>
      <c r="B3" s="2" t="s">
        <v>36</v>
      </c>
      <c r="C3" s="2" t="s">
        <v>37</v>
      </c>
      <c r="D3" s="3">
        <v>148</v>
      </c>
      <c r="E3" s="3">
        <v>157302366.3098067</v>
      </c>
      <c r="F3" s="3">
        <v>10</v>
      </c>
      <c r="G3" s="3">
        <v>12108735.22515773</v>
      </c>
      <c r="H3" s="3">
        <v>9</v>
      </c>
      <c r="I3" s="3">
        <v>12213638</v>
      </c>
      <c r="J3" s="3">
        <v>1267325.2941076951</v>
      </c>
      <c r="K3" s="3">
        <v>14969566.300813319</v>
      </c>
      <c r="L3" s="3">
        <v>149</v>
      </c>
      <c r="M3" s="3">
        <v>154441535.2341511</v>
      </c>
    </row>
    <row r="4" spans="1:13" x14ac:dyDescent="0.25">
      <c r="A4" s="2">
        <v>3</v>
      </c>
      <c r="B4" s="2" t="s">
        <v>38</v>
      </c>
      <c r="C4" s="2" t="s">
        <v>39</v>
      </c>
      <c r="D4" s="3">
        <v>831</v>
      </c>
      <c r="E4" s="3">
        <v>332196803.83566469</v>
      </c>
      <c r="F4" s="3">
        <v>0</v>
      </c>
      <c r="G4" s="3">
        <v>0</v>
      </c>
      <c r="H4" s="3">
        <v>1</v>
      </c>
      <c r="I4" s="3">
        <v>409091</v>
      </c>
      <c r="J4" s="3">
        <v>406324.54462242569</v>
      </c>
      <c r="K4" s="3">
        <v>533275.5387054733</v>
      </c>
      <c r="L4" s="3">
        <v>830</v>
      </c>
      <c r="M4" s="3">
        <v>331663528.29695928</v>
      </c>
    </row>
    <row r="5" spans="1:13" x14ac:dyDescent="0.25">
      <c r="A5" s="2">
        <v>4</v>
      </c>
      <c r="B5" s="2" t="s">
        <v>40</v>
      </c>
      <c r="C5" s="2" t="s">
        <v>41</v>
      </c>
      <c r="D5" s="3">
        <v>1317</v>
      </c>
      <c r="E5" s="3">
        <v>174050191.36565989</v>
      </c>
      <c r="F5" s="3">
        <v>32</v>
      </c>
      <c r="G5" s="3">
        <v>4223976.0084116701</v>
      </c>
      <c r="H5" s="3">
        <v>7</v>
      </c>
      <c r="I5" s="3">
        <v>1136365</v>
      </c>
      <c r="J5" s="3">
        <v>142444.62824783809</v>
      </c>
      <c r="K5" s="3">
        <v>1308647.6268522709</v>
      </c>
      <c r="L5" s="3">
        <v>1342</v>
      </c>
      <c r="M5" s="3">
        <v>176965519.74721929</v>
      </c>
    </row>
    <row r="6" spans="1:13" x14ac:dyDescent="0.25">
      <c r="A6" s="2">
        <v>5</v>
      </c>
      <c r="B6" s="2" t="s">
        <v>42</v>
      </c>
      <c r="C6" s="2" t="s">
        <v>43</v>
      </c>
      <c r="D6" s="3">
        <v>82</v>
      </c>
      <c r="E6" s="3">
        <v>18563013.874282889</v>
      </c>
      <c r="F6" s="3">
        <v>16</v>
      </c>
      <c r="G6" s="3">
        <v>5200770.6297559207</v>
      </c>
      <c r="H6" s="3">
        <v>4</v>
      </c>
      <c r="I6" s="3">
        <v>1145454</v>
      </c>
      <c r="J6" s="3">
        <v>266888.51361838821</v>
      </c>
      <c r="K6" s="3">
        <v>1401097.893373915</v>
      </c>
      <c r="L6" s="3">
        <v>94</v>
      </c>
      <c r="M6" s="3">
        <v>22362686.6106649</v>
      </c>
    </row>
    <row r="7" spans="1:13" x14ac:dyDescent="0.25">
      <c r="A7" s="2">
        <v>6</v>
      </c>
      <c r="B7" s="2" t="s">
        <v>44</v>
      </c>
      <c r="C7" s="2" t="s">
        <v>45</v>
      </c>
      <c r="D7" s="3">
        <v>57</v>
      </c>
      <c r="E7" s="3">
        <v>1749044.1763843349</v>
      </c>
      <c r="F7" s="3">
        <v>0</v>
      </c>
      <c r="G7" s="3">
        <v>0</v>
      </c>
      <c r="H7" s="3">
        <v>0</v>
      </c>
      <c r="I7" s="3">
        <v>0</v>
      </c>
      <c r="J7" s="3">
        <v>31435.350877192981</v>
      </c>
      <c r="K7" s="3">
        <v>0</v>
      </c>
      <c r="L7" s="3">
        <v>57</v>
      </c>
      <c r="M7" s="3">
        <v>1749044.1763843349</v>
      </c>
    </row>
    <row r="8" spans="1:13" x14ac:dyDescent="0.25">
      <c r="A8" s="2">
        <v>7</v>
      </c>
      <c r="B8" s="2" t="s">
        <v>46</v>
      </c>
      <c r="C8" s="2" t="s">
        <v>47</v>
      </c>
      <c r="D8" s="3">
        <v>15336</v>
      </c>
      <c r="E8" s="3">
        <v>2124967138.4522679</v>
      </c>
      <c r="F8" s="3">
        <v>75</v>
      </c>
      <c r="G8" s="3">
        <v>25311349.824391939</v>
      </c>
      <c r="H8" s="3">
        <v>52</v>
      </c>
      <c r="I8" s="3">
        <v>8390914</v>
      </c>
      <c r="J8" s="3">
        <v>142895.48574082591</v>
      </c>
      <c r="K8" s="3">
        <v>9752151.9277334381</v>
      </c>
      <c r="L8" s="3">
        <v>15359</v>
      </c>
      <c r="M8" s="3">
        <v>2140526336.348927</v>
      </c>
    </row>
    <row r="9" spans="1:13" x14ac:dyDescent="0.25">
      <c r="A9" s="2">
        <v>8</v>
      </c>
      <c r="B9" s="2" t="s">
        <v>48</v>
      </c>
      <c r="C9" s="2" t="s">
        <v>49</v>
      </c>
      <c r="D9" s="3">
        <v>64</v>
      </c>
      <c r="E9" s="3">
        <v>145993817.9863044</v>
      </c>
      <c r="F9" s="3">
        <v>3</v>
      </c>
      <c r="G9" s="3">
        <v>7569589.8605993139</v>
      </c>
      <c r="H9" s="3">
        <v>0</v>
      </c>
      <c r="I9" s="3">
        <v>0</v>
      </c>
      <c r="J9" s="3">
        <v>2836802.311350408</v>
      </c>
      <c r="K9" s="3">
        <v>0</v>
      </c>
      <c r="L9" s="3">
        <v>67</v>
      </c>
      <c r="M9" s="3">
        <v>153563407.84690371</v>
      </c>
    </row>
    <row r="10" spans="1:13" x14ac:dyDescent="0.25">
      <c r="A10" s="2">
        <v>9</v>
      </c>
      <c r="B10" s="2" t="s">
        <v>50</v>
      </c>
      <c r="C10" s="2" t="s">
        <v>51</v>
      </c>
      <c r="D10" s="3">
        <v>1325</v>
      </c>
      <c r="E10" s="3">
        <v>1602645526.374372</v>
      </c>
      <c r="F10" s="3">
        <v>11</v>
      </c>
      <c r="G10" s="3">
        <v>17173361.590772271</v>
      </c>
      <c r="H10" s="3">
        <v>33</v>
      </c>
      <c r="I10" s="3">
        <v>58538722</v>
      </c>
      <c r="J10" s="3">
        <v>1314268.429315666</v>
      </c>
      <c r="K10" s="3">
        <v>56921537.375597313</v>
      </c>
      <c r="L10" s="3">
        <v>1303</v>
      </c>
      <c r="M10" s="3">
        <v>1562897350.5895469</v>
      </c>
    </row>
    <row r="11" spans="1:13" x14ac:dyDescent="0.25">
      <c r="A11" s="2">
        <v>10</v>
      </c>
      <c r="B11" s="2" t="s">
        <v>52</v>
      </c>
      <c r="C11" s="2" t="s">
        <v>53</v>
      </c>
      <c r="D11" s="3">
        <v>129</v>
      </c>
      <c r="E11" s="3">
        <v>163833118.43190619</v>
      </c>
      <c r="F11" s="3">
        <v>15</v>
      </c>
      <c r="G11" s="3">
        <v>32647817.54966516</v>
      </c>
      <c r="H11" s="3">
        <v>21</v>
      </c>
      <c r="I11" s="3">
        <v>50972728</v>
      </c>
      <c r="J11" s="3">
        <v>2412783.672250004</v>
      </c>
      <c r="K11" s="3">
        <v>66499179.343657643</v>
      </c>
      <c r="L11" s="3">
        <v>123</v>
      </c>
      <c r="M11" s="3">
        <v>129981756.6379137</v>
      </c>
    </row>
    <row r="12" spans="1:13" x14ac:dyDescent="0.25">
      <c r="A12" s="2">
        <v>11</v>
      </c>
      <c r="B12" s="2" t="s">
        <v>54</v>
      </c>
      <c r="C12" s="2" t="s">
        <v>55</v>
      </c>
      <c r="D12" s="3">
        <v>60</v>
      </c>
      <c r="E12" s="3">
        <v>154167811.83244219</v>
      </c>
      <c r="F12" s="3">
        <v>0</v>
      </c>
      <c r="G12" s="3">
        <v>0</v>
      </c>
      <c r="H12" s="3">
        <v>0</v>
      </c>
      <c r="I12" s="3">
        <v>0</v>
      </c>
      <c r="J12" s="3">
        <v>2864171.899829777</v>
      </c>
      <c r="K12" s="3">
        <v>0</v>
      </c>
      <c r="L12" s="3">
        <v>60</v>
      </c>
      <c r="M12" s="3">
        <v>154167811.83244219</v>
      </c>
    </row>
    <row r="13" spans="1:13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27234053.510117229</v>
      </c>
      <c r="F13" s="3">
        <v>0</v>
      </c>
      <c r="G13" s="3">
        <v>0</v>
      </c>
      <c r="H13" s="3">
        <v>0</v>
      </c>
      <c r="I13" s="3">
        <v>0</v>
      </c>
      <c r="J13" s="3">
        <v>1858187.5</v>
      </c>
      <c r="K13" s="3">
        <v>0</v>
      </c>
      <c r="L13" s="3">
        <v>15</v>
      </c>
      <c r="M13" s="3">
        <v>27234053.510117229</v>
      </c>
    </row>
    <row r="14" spans="1:13" x14ac:dyDescent="0.25">
      <c r="A14" s="2">
        <v>13</v>
      </c>
      <c r="B14" s="2" t="s">
        <v>58</v>
      </c>
      <c r="C14" s="2" t="s">
        <v>59</v>
      </c>
      <c r="D14" s="3">
        <v>15</v>
      </c>
      <c r="E14" s="3">
        <v>33547278.095326561</v>
      </c>
      <c r="F14" s="3">
        <v>1</v>
      </c>
      <c r="G14" s="3">
        <v>2419986.4564847238</v>
      </c>
      <c r="H14" s="3">
        <v>0</v>
      </c>
      <c r="I14" s="3">
        <v>0</v>
      </c>
      <c r="J14" s="3">
        <v>2408125.9375</v>
      </c>
      <c r="K14" s="3">
        <v>0</v>
      </c>
      <c r="L14" s="3">
        <v>16</v>
      </c>
      <c r="M14" s="3">
        <v>35967264.551811278</v>
      </c>
    </row>
    <row r="15" spans="1:13" x14ac:dyDescent="0.25">
      <c r="A15" s="2">
        <v>14</v>
      </c>
      <c r="B15" s="2" t="s">
        <v>60</v>
      </c>
      <c r="C15" s="2" t="s">
        <v>61</v>
      </c>
      <c r="D15" s="3">
        <v>345</v>
      </c>
      <c r="E15" s="3">
        <v>32758019.926277131</v>
      </c>
      <c r="F15" s="3">
        <v>447</v>
      </c>
      <c r="G15" s="3">
        <v>15853061.20594288</v>
      </c>
      <c r="H15" s="3">
        <v>29</v>
      </c>
      <c r="I15" s="3">
        <v>2993637</v>
      </c>
      <c r="J15" s="3">
        <v>86630.273366019319</v>
      </c>
      <c r="K15" s="3">
        <v>3297207.5720197149</v>
      </c>
      <c r="L15" s="3">
        <v>763</v>
      </c>
      <c r="M15" s="3">
        <v>45313873.560200296</v>
      </c>
    </row>
    <row r="16" spans="1:13" x14ac:dyDescent="0.25">
      <c r="A16" s="2">
        <v>15</v>
      </c>
      <c r="B16" s="2" t="s">
        <v>62</v>
      </c>
      <c r="C16" s="2" t="s">
        <v>63</v>
      </c>
      <c r="D16" s="3">
        <v>12296</v>
      </c>
      <c r="E16" s="3">
        <v>1119688664.2659531</v>
      </c>
      <c r="F16" s="3">
        <v>0</v>
      </c>
      <c r="G16" s="3">
        <v>0</v>
      </c>
      <c r="H16" s="3">
        <v>46</v>
      </c>
      <c r="I16" s="3">
        <v>4309994</v>
      </c>
      <c r="J16" s="3">
        <v>94476.723041682097</v>
      </c>
      <c r="K16" s="3">
        <v>5703760.2033416675</v>
      </c>
      <c r="L16" s="3">
        <v>12250</v>
      </c>
      <c r="M16" s="3">
        <v>1113984904.0626111</v>
      </c>
    </row>
    <row r="17" spans="1:13" x14ac:dyDescent="0.25">
      <c r="A17" s="2">
        <v>16</v>
      </c>
      <c r="B17" s="2" t="s">
        <v>64</v>
      </c>
      <c r="C17" s="2" t="s">
        <v>65</v>
      </c>
      <c r="D17" s="3">
        <v>1509.19</v>
      </c>
      <c r="E17" s="3">
        <v>7850502.8390945494</v>
      </c>
      <c r="F17" s="3">
        <v>846.05500000000006</v>
      </c>
      <c r="G17" s="3">
        <v>325585123.72071463</v>
      </c>
      <c r="H17" s="3">
        <v>242</v>
      </c>
      <c r="I17" s="3">
        <v>310354916</v>
      </c>
      <c r="J17" s="3">
        <v>403129.41959417058</v>
      </c>
      <c r="K17" s="3">
        <v>128037877.16455451</v>
      </c>
      <c r="L17" s="3">
        <v>2113.2449999999999</v>
      </c>
      <c r="M17" s="3">
        <v>205397749.39525461</v>
      </c>
    </row>
    <row r="18" spans="1:13" x14ac:dyDescent="0.25">
      <c r="A18" s="2">
        <v>17</v>
      </c>
      <c r="B18" s="2" t="s">
        <v>66</v>
      </c>
      <c r="C18" s="2" t="s">
        <v>67</v>
      </c>
      <c r="D18" s="3">
        <v>41</v>
      </c>
      <c r="E18" s="3">
        <v>357394331.85861403</v>
      </c>
      <c r="F18" s="3">
        <v>0</v>
      </c>
      <c r="G18" s="3">
        <v>0</v>
      </c>
      <c r="H18" s="3">
        <v>0</v>
      </c>
      <c r="I18" s="3">
        <v>0</v>
      </c>
      <c r="J18" s="3">
        <v>8851844.5581395347</v>
      </c>
      <c r="K18" s="3">
        <v>0</v>
      </c>
      <c r="L18" s="3">
        <v>41</v>
      </c>
      <c r="M18" s="3">
        <v>357394331.85861403</v>
      </c>
    </row>
    <row r="19" spans="1:13" x14ac:dyDescent="0.25">
      <c r="A19" s="2">
        <v>18</v>
      </c>
      <c r="B19" s="2" t="s">
        <v>68</v>
      </c>
      <c r="C19" s="2" t="s">
        <v>69</v>
      </c>
      <c r="D19" s="3">
        <v>100</v>
      </c>
      <c r="E19" s="3">
        <v>277178812.63085032</v>
      </c>
      <c r="F19" s="3">
        <v>0</v>
      </c>
      <c r="G19" s="3">
        <v>0</v>
      </c>
      <c r="H19" s="3">
        <v>0</v>
      </c>
      <c r="I19" s="3">
        <v>0</v>
      </c>
      <c r="J19" s="3">
        <v>2933045.9305696478</v>
      </c>
      <c r="K19" s="3">
        <v>0</v>
      </c>
      <c r="L19" s="3">
        <v>100</v>
      </c>
      <c r="M19" s="3">
        <v>277178812.63085032</v>
      </c>
    </row>
    <row r="20" spans="1:13" x14ac:dyDescent="0.25">
      <c r="A20" s="2">
        <v>19</v>
      </c>
      <c r="B20" s="2" t="s">
        <v>70</v>
      </c>
      <c r="C20" s="2" t="s">
        <v>71</v>
      </c>
      <c r="D20" s="3">
        <v>92</v>
      </c>
      <c r="E20" s="3">
        <v>446542074.61351907</v>
      </c>
      <c r="F20" s="3">
        <v>29</v>
      </c>
      <c r="G20" s="3">
        <v>348126053.02375871</v>
      </c>
      <c r="H20" s="3">
        <v>17</v>
      </c>
      <c r="I20" s="3">
        <v>227718182</v>
      </c>
      <c r="J20" s="3">
        <v>9759468.8464126326</v>
      </c>
      <c r="K20" s="3">
        <v>217747766.61243939</v>
      </c>
      <c r="L20" s="3">
        <v>104</v>
      </c>
      <c r="M20" s="3">
        <v>576920361.02483845</v>
      </c>
    </row>
    <row r="21" spans="1:13" ht="15.75" customHeight="1" x14ac:dyDescent="0.25">
      <c r="A21" s="2">
        <v>20</v>
      </c>
      <c r="B21" s="2" t="s">
        <v>72</v>
      </c>
      <c r="C21" s="2" t="s">
        <v>73</v>
      </c>
      <c r="D21" s="3">
        <v>43</v>
      </c>
      <c r="E21" s="3">
        <v>528453886.76862198</v>
      </c>
      <c r="F21" s="3">
        <v>1</v>
      </c>
      <c r="G21" s="3">
        <v>9767945.2454479244</v>
      </c>
      <c r="H21" s="3">
        <v>1</v>
      </c>
      <c r="I21" s="3">
        <v>11809091</v>
      </c>
      <c r="J21" s="3">
        <v>12635539.358317209</v>
      </c>
      <c r="K21" s="3">
        <v>16583354.72793619</v>
      </c>
      <c r="L21" s="3">
        <v>43</v>
      </c>
      <c r="M21" s="3">
        <v>521638477.28613371</v>
      </c>
    </row>
    <row r="22" spans="1:13" ht="15.75" customHeight="1" x14ac:dyDescent="0.25">
      <c r="A22" s="2">
        <v>21</v>
      </c>
      <c r="B22" s="2" t="s">
        <v>74</v>
      </c>
      <c r="C22" s="2" t="s">
        <v>75</v>
      </c>
      <c r="D22" s="3">
        <v>81</v>
      </c>
      <c r="E22" s="3">
        <v>680697997.66691995</v>
      </c>
      <c r="F22" s="3">
        <v>0</v>
      </c>
      <c r="G22" s="3">
        <v>0</v>
      </c>
      <c r="H22" s="3">
        <v>0</v>
      </c>
      <c r="I22" s="3">
        <v>0</v>
      </c>
      <c r="J22" s="3">
        <v>8607925.5287356321</v>
      </c>
      <c r="K22" s="3">
        <v>0</v>
      </c>
      <c r="L22" s="3">
        <v>81</v>
      </c>
      <c r="M22" s="3">
        <v>680697997.66691995</v>
      </c>
    </row>
    <row r="23" spans="1:13" ht="15.75" customHeight="1" x14ac:dyDescent="0.25">
      <c r="A23" s="2">
        <v>22</v>
      </c>
      <c r="B23" s="2" t="s">
        <v>76</v>
      </c>
      <c r="C23" s="2" t="s">
        <v>77</v>
      </c>
      <c r="D23" s="3">
        <v>15</v>
      </c>
      <c r="E23" s="3">
        <v>5415070</v>
      </c>
      <c r="F23" s="3">
        <v>31</v>
      </c>
      <c r="G23" s="3">
        <v>11351928.988642929</v>
      </c>
      <c r="H23" s="3">
        <v>0</v>
      </c>
      <c r="I23" s="3">
        <v>0</v>
      </c>
      <c r="J23" s="3">
        <v>372659.45652173908</v>
      </c>
      <c r="K23" s="3">
        <v>0</v>
      </c>
      <c r="L23" s="3">
        <v>46</v>
      </c>
      <c r="M23" s="3">
        <v>16766998.988642929</v>
      </c>
    </row>
    <row r="24" spans="1:13" ht="15.75" customHeight="1" x14ac:dyDescent="0.25">
      <c r="A24" s="2">
        <v>23</v>
      </c>
      <c r="B24" s="2" t="s">
        <v>78</v>
      </c>
      <c r="C24" s="2" t="s">
        <v>79</v>
      </c>
      <c r="D24" s="3">
        <v>108</v>
      </c>
      <c r="E24" s="3">
        <v>1256150154.7980039</v>
      </c>
      <c r="F24" s="3">
        <v>0</v>
      </c>
      <c r="G24" s="3">
        <v>0</v>
      </c>
      <c r="H24" s="3">
        <v>0</v>
      </c>
      <c r="I24" s="3">
        <v>0</v>
      </c>
      <c r="J24" s="3">
        <v>12067116.647338489</v>
      </c>
      <c r="K24" s="3">
        <v>0</v>
      </c>
      <c r="L24" s="3">
        <v>108</v>
      </c>
      <c r="M24" s="3">
        <v>1256150154.7980039</v>
      </c>
    </row>
    <row r="25" spans="1:13" ht="15.75" customHeight="1" x14ac:dyDescent="0.25">
      <c r="A25" s="2">
        <v>24</v>
      </c>
      <c r="B25" s="2" t="s">
        <v>80</v>
      </c>
      <c r="C25" s="2" t="s">
        <v>81</v>
      </c>
      <c r="D25" s="3">
        <v>22</v>
      </c>
      <c r="E25" s="3">
        <v>74385161.809035897</v>
      </c>
      <c r="F25" s="3">
        <v>0</v>
      </c>
      <c r="G25" s="3">
        <v>0</v>
      </c>
      <c r="H25" s="3">
        <v>0</v>
      </c>
      <c r="I25" s="3">
        <v>0</v>
      </c>
      <c r="J25" s="3">
        <v>4316348.1154069426</v>
      </c>
      <c r="K25" s="3">
        <v>0</v>
      </c>
      <c r="L25" s="3">
        <v>22</v>
      </c>
      <c r="M25" s="3">
        <v>74385161.809035897</v>
      </c>
    </row>
    <row r="26" spans="1:13" ht="15.75" customHeight="1" x14ac:dyDescent="0.25">
      <c r="A26" s="2">
        <v>25</v>
      </c>
      <c r="B26" s="2" t="s">
        <v>82</v>
      </c>
      <c r="C26" s="2" t="s">
        <v>83</v>
      </c>
      <c r="D26" s="3">
        <v>68</v>
      </c>
      <c r="E26" s="3">
        <v>1091540356.5248721</v>
      </c>
      <c r="F26" s="3">
        <v>0</v>
      </c>
      <c r="G26" s="3">
        <v>0</v>
      </c>
      <c r="H26" s="3">
        <v>0</v>
      </c>
      <c r="I26" s="3">
        <v>0</v>
      </c>
      <c r="J26" s="3">
        <v>16878626.22782984</v>
      </c>
      <c r="K26" s="3">
        <v>0</v>
      </c>
      <c r="L26" s="3">
        <v>68</v>
      </c>
      <c r="M26" s="3">
        <v>1091540356.5248721</v>
      </c>
    </row>
    <row r="27" spans="1:13" ht="15.75" customHeight="1" x14ac:dyDescent="0.25">
      <c r="A27" s="2">
        <v>26</v>
      </c>
      <c r="B27" s="2" t="s">
        <v>84</v>
      </c>
      <c r="C27" s="2" t="s">
        <v>85</v>
      </c>
      <c r="D27" s="3">
        <v>67</v>
      </c>
      <c r="E27" s="3">
        <v>256287212.06539431</v>
      </c>
      <c r="F27" s="3">
        <v>30</v>
      </c>
      <c r="G27" s="3">
        <v>86697114.445411056</v>
      </c>
      <c r="H27" s="3">
        <v>0</v>
      </c>
      <c r="I27" s="3">
        <v>0</v>
      </c>
      <c r="J27" s="3">
        <v>4913170.8642459651</v>
      </c>
      <c r="K27" s="3">
        <v>0</v>
      </c>
      <c r="L27" s="3">
        <v>97</v>
      </c>
      <c r="M27" s="3">
        <v>342984326.51080543</v>
      </c>
    </row>
    <row r="28" spans="1:13" ht="15.75" customHeight="1" x14ac:dyDescent="0.25">
      <c r="A28" s="2">
        <v>27</v>
      </c>
      <c r="B28" s="2" t="s">
        <v>86</v>
      </c>
      <c r="C28" s="2" t="s">
        <v>87</v>
      </c>
      <c r="D28" s="3">
        <v>58</v>
      </c>
      <c r="E28" s="3">
        <v>75152093.405405521</v>
      </c>
      <c r="F28" s="3">
        <v>20</v>
      </c>
      <c r="G28" s="3">
        <v>230998707.56190351</v>
      </c>
      <c r="H28" s="3">
        <v>11</v>
      </c>
      <c r="I28" s="3">
        <v>126127272</v>
      </c>
      <c r="J28" s="3">
        <v>11070415.750705609</v>
      </c>
      <c r="K28" s="3">
        <v>159821507.25107321</v>
      </c>
      <c r="L28" s="3">
        <v>67</v>
      </c>
      <c r="M28" s="3">
        <v>146329293.71623579</v>
      </c>
    </row>
    <row r="29" spans="1:13" ht="15.75" customHeight="1" x14ac:dyDescent="0.25">
      <c r="A29" s="2">
        <v>28</v>
      </c>
      <c r="B29" s="2" t="s">
        <v>88</v>
      </c>
      <c r="C29" s="2" t="s">
        <v>89</v>
      </c>
      <c r="D29" s="3">
        <v>47</v>
      </c>
      <c r="E29" s="3">
        <v>-4641534.9670138657</v>
      </c>
      <c r="F29" s="3">
        <v>7</v>
      </c>
      <c r="G29" s="3">
        <v>79934352.909376666</v>
      </c>
      <c r="H29" s="3">
        <v>16</v>
      </c>
      <c r="I29" s="3">
        <v>183009093</v>
      </c>
      <c r="J29" s="3">
        <v>10556282.84186374</v>
      </c>
      <c r="K29" s="3">
        <v>221671370.5819892</v>
      </c>
      <c r="L29" s="3">
        <v>38</v>
      </c>
      <c r="M29" s="3">
        <v>-146378552.63962641</v>
      </c>
    </row>
    <row r="30" spans="1:13" ht="15.75" customHeight="1" x14ac:dyDescent="0.25">
      <c r="A30" s="2">
        <v>29</v>
      </c>
      <c r="B30" s="2" t="s">
        <v>90</v>
      </c>
      <c r="C30" s="2" t="s">
        <v>91</v>
      </c>
      <c r="D30" s="3">
        <v>108</v>
      </c>
      <c r="E30" s="3">
        <v>79370064.582638234</v>
      </c>
      <c r="F30" s="3">
        <v>0</v>
      </c>
      <c r="G30" s="3">
        <v>0</v>
      </c>
      <c r="H30" s="3">
        <v>0</v>
      </c>
      <c r="I30" s="3">
        <v>0</v>
      </c>
      <c r="J30" s="3">
        <v>787140.82299410377</v>
      </c>
      <c r="K30" s="3">
        <v>0</v>
      </c>
      <c r="L30" s="3">
        <v>108</v>
      </c>
      <c r="M30" s="3">
        <v>79370064.582638234</v>
      </c>
    </row>
    <row r="31" spans="1:13" ht="15.75" customHeight="1" x14ac:dyDescent="0.25">
      <c r="A31" s="2">
        <v>30</v>
      </c>
      <c r="B31" s="2" t="s">
        <v>92</v>
      </c>
      <c r="C31" s="2" t="s">
        <v>93</v>
      </c>
      <c r="D31" s="3">
        <v>28</v>
      </c>
      <c r="E31" s="3">
        <v>369976979.24709028</v>
      </c>
      <c r="F31" s="3">
        <v>0</v>
      </c>
      <c r="G31" s="3">
        <v>0</v>
      </c>
      <c r="H31" s="3">
        <v>0</v>
      </c>
      <c r="I31" s="3">
        <v>0</v>
      </c>
      <c r="J31" s="3">
        <v>14641518.91666667</v>
      </c>
      <c r="K31" s="3">
        <v>0</v>
      </c>
      <c r="L31" s="3">
        <v>28</v>
      </c>
      <c r="M31" s="3">
        <v>369976979.24709028</v>
      </c>
    </row>
    <row r="32" spans="1:13" ht="15.75" customHeight="1" x14ac:dyDescent="0.25">
      <c r="A32" s="2">
        <v>31</v>
      </c>
      <c r="B32" s="2" t="s">
        <v>94</v>
      </c>
      <c r="C32" s="2" t="s">
        <v>95</v>
      </c>
      <c r="D32" s="3">
        <v>38</v>
      </c>
      <c r="E32" s="3">
        <v>87359145.475768685</v>
      </c>
      <c r="F32" s="3">
        <v>53</v>
      </c>
      <c r="G32" s="3">
        <v>52271709.3960592</v>
      </c>
      <c r="H32" s="3">
        <v>0</v>
      </c>
      <c r="I32" s="3">
        <v>0</v>
      </c>
      <c r="J32" s="3">
        <v>1589204.979120879</v>
      </c>
      <c r="K32" s="3">
        <v>0</v>
      </c>
      <c r="L32" s="3">
        <v>91</v>
      </c>
      <c r="M32" s="3">
        <v>139630854.8718279</v>
      </c>
    </row>
    <row r="33" spans="1:13" ht="15.75" customHeight="1" x14ac:dyDescent="0.25">
      <c r="A33" s="2">
        <v>32</v>
      </c>
      <c r="B33" s="2" t="s">
        <v>96</v>
      </c>
      <c r="C33" s="2" t="s">
        <v>97</v>
      </c>
      <c r="D33" s="3">
        <v>28</v>
      </c>
      <c r="E33" s="3">
        <v>44726581.195181817</v>
      </c>
      <c r="F33" s="3">
        <v>0</v>
      </c>
      <c r="G33" s="3">
        <v>0</v>
      </c>
      <c r="H33" s="3">
        <v>0</v>
      </c>
      <c r="I33" s="3">
        <v>0</v>
      </c>
      <c r="J33" s="3">
        <v>1615403.3448275861</v>
      </c>
      <c r="K33" s="3">
        <v>0</v>
      </c>
      <c r="L33" s="3">
        <v>28</v>
      </c>
      <c r="M33" s="3">
        <v>44726581.195181817</v>
      </c>
    </row>
    <row r="34" spans="1:13" ht="15.75" customHeight="1" x14ac:dyDescent="0.25">
      <c r="A34" s="2">
        <v>33</v>
      </c>
      <c r="B34" s="2" t="s">
        <v>98</v>
      </c>
      <c r="C34" s="2" t="s">
        <v>99</v>
      </c>
      <c r="D34" s="3">
        <v>54</v>
      </c>
      <c r="E34" s="3">
        <v>157879501.2469584</v>
      </c>
      <c r="F34" s="3">
        <v>5</v>
      </c>
      <c r="G34" s="3">
        <v>42151765.504580587</v>
      </c>
      <c r="H34" s="3">
        <v>6</v>
      </c>
      <c r="I34" s="3">
        <v>55445454</v>
      </c>
      <c r="J34" s="3">
        <v>4301515.4612210207</v>
      </c>
      <c r="K34" s="3">
        <v>33872819.230708487</v>
      </c>
      <c r="L34" s="3">
        <v>53</v>
      </c>
      <c r="M34" s="3">
        <v>166158447.52083051</v>
      </c>
    </row>
    <row r="35" spans="1:13" ht="15.75" customHeight="1" x14ac:dyDescent="0.25">
      <c r="A35" s="2">
        <v>34</v>
      </c>
      <c r="B35" s="2" t="s">
        <v>100</v>
      </c>
      <c r="C35" s="2" t="s">
        <v>101</v>
      </c>
      <c r="D35" s="3">
        <v>155</v>
      </c>
      <c r="E35" s="3">
        <v>1562669101.0938461</v>
      </c>
      <c r="F35" s="3">
        <v>1</v>
      </c>
      <c r="G35" s="3">
        <v>16191909.64556904</v>
      </c>
      <c r="H35" s="3">
        <v>5</v>
      </c>
      <c r="I35" s="3">
        <v>42509090</v>
      </c>
      <c r="J35" s="3">
        <v>12344719.15402264</v>
      </c>
      <c r="K35" s="3">
        <v>81008357.040632769</v>
      </c>
      <c r="L35" s="3">
        <v>151</v>
      </c>
      <c r="M35" s="3">
        <v>1497852653.698782</v>
      </c>
    </row>
    <row r="36" spans="1:13" ht="15.75" customHeight="1" x14ac:dyDescent="0.25">
      <c r="A36" s="2">
        <v>35</v>
      </c>
      <c r="B36" s="2" t="s">
        <v>102</v>
      </c>
      <c r="C36" s="2" t="s">
        <v>103</v>
      </c>
      <c r="D36" s="3">
        <v>25</v>
      </c>
      <c r="E36" s="3">
        <v>352300476.05016053</v>
      </c>
      <c r="F36" s="3">
        <v>1</v>
      </c>
      <c r="G36" s="3">
        <v>5499969.0432844488</v>
      </c>
      <c r="H36" s="3">
        <v>3</v>
      </c>
      <c r="I36" s="3">
        <v>38009090</v>
      </c>
      <c r="J36" s="3">
        <v>16924543.631730419</v>
      </c>
      <c r="K36" s="3">
        <v>66637213.345864899</v>
      </c>
      <c r="L36" s="3">
        <v>23</v>
      </c>
      <c r="M36" s="3">
        <v>291163231.74758011</v>
      </c>
    </row>
    <row r="37" spans="1:13" ht="15.75" customHeight="1" x14ac:dyDescent="0.25">
      <c r="A37" s="2">
        <v>36</v>
      </c>
      <c r="B37" s="2" t="s">
        <v>104</v>
      </c>
      <c r="C37" s="2" t="s">
        <v>105</v>
      </c>
      <c r="D37" s="3">
        <v>43</v>
      </c>
      <c r="E37" s="3">
        <v>158284416.88530731</v>
      </c>
      <c r="F37" s="3">
        <v>0</v>
      </c>
      <c r="G37" s="3">
        <v>0</v>
      </c>
      <c r="H37" s="3">
        <v>1</v>
      </c>
      <c r="I37" s="3">
        <v>5354545</v>
      </c>
      <c r="J37" s="3">
        <v>4136702.5727881729</v>
      </c>
      <c r="K37" s="3">
        <v>5429163.2690263474</v>
      </c>
      <c r="L37" s="3">
        <v>42</v>
      </c>
      <c r="M37" s="3">
        <v>152855253.61628091</v>
      </c>
    </row>
    <row r="38" spans="1:13" ht="15.75" customHeight="1" x14ac:dyDescent="0.25">
      <c r="A38" s="2">
        <v>37</v>
      </c>
      <c r="B38" s="2" t="s">
        <v>106</v>
      </c>
      <c r="C38" s="2" t="s">
        <v>107</v>
      </c>
      <c r="D38" s="3">
        <v>126</v>
      </c>
      <c r="E38" s="3">
        <v>267715371.4727242</v>
      </c>
      <c r="F38" s="3">
        <v>55</v>
      </c>
      <c r="G38" s="3">
        <v>188565174.32224321</v>
      </c>
      <c r="H38" s="3">
        <v>23</v>
      </c>
      <c r="I38" s="3">
        <v>68009091</v>
      </c>
      <c r="J38" s="3">
        <v>3259674.8599081761</v>
      </c>
      <c r="K38" s="3">
        <v>98396743.362779513</v>
      </c>
      <c r="L38" s="3">
        <v>158</v>
      </c>
      <c r="M38" s="3">
        <v>357883802.43218791</v>
      </c>
    </row>
    <row r="39" spans="1:13" ht="15.75" customHeight="1" x14ac:dyDescent="0.25">
      <c r="A39" s="2">
        <v>38</v>
      </c>
      <c r="B39" s="2" t="s">
        <v>108</v>
      </c>
      <c r="C39" s="2" t="s">
        <v>109</v>
      </c>
      <c r="D39" s="3">
        <v>1073</v>
      </c>
      <c r="E39" s="3">
        <v>1590138822.5364749</v>
      </c>
      <c r="F39" s="3">
        <v>37</v>
      </c>
      <c r="G39" s="3">
        <v>58176475.381887347</v>
      </c>
      <c r="H39" s="3">
        <v>14</v>
      </c>
      <c r="I39" s="3">
        <v>65793637</v>
      </c>
      <c r="J39" s="3">
        <v>1682684.3641050039</v>
      </c>
      <c r="K39" s="3">
        <v>30917851.054321621</v>
      </c>
      <c r="L39" s="3">
        <v>1096</v>
      </c>
      <c r="M39" s="3">
        <v>1617397446.8640411</v>
      </c>
    </row>
    <row r="40" spans="1:13" ht="15.75" customHeight="1" x14ac:dyDescent="0.25">
      <c r="A40" s="2">
        <v>39</v>
      </c>
      <c r="B40" s="2" t="s">
        <v>110</v>
      </c>
      <c r="C40" s="2" t="s">
        <v>111</v>
      </c>
      <c r="D40" s="3">
        <v>29</v>
      </c>
      <c r="E40" s="3">
        <v>150122012.68055671</v>
      </c>
      <c r="F40" s="3">
        <v>0</v>
      </c>
      <c r="G40" s="3">
        <v>0</v>
      </c>
      <c r="H40" s="3">
        <v>0</v>
      </c>
      <c r="I40" s="3">
        <v>0</v>
      </c>
      <c r="J40" s="3">
        <v>5302768.5632183906</v>
      </c>
      <c r="K40" s="3">
        <v>0</v>
      </c>
      <c r="L40" s="3">
        <v>29</v>
      </c>
      <c r="M40" s="3">
        <v>150122012.68055671</v>
      </c>
    </row>
    <row r="41" spans="1:13" ht="15.75" customHeight="1" x14ac:dyDescent="0.25">
      <c r="A41" s="2">
        <v>40</v>
      </c>
      <c r="B41" s="2" t="s">
        <v>112</v>
      </c>
      <c r="C41" s="2" t="s">
        <v>113</v>
      </c>
      <c r="D41" s="3">
        <v>29</v>
      </c>
      <c r="E41" s="3">
        <v>146528334.85320231</v>
      </c>
      <c r="F41" s="3">
        <v>0</v>
      </c>
      <c r="G41" s="3">
        <v>0</v>
      </c>
      <c r="H41" s="3">
        <v>1</v>
      </c>
      <c r="I41" s="3">
        <v>6272727</v>
      </c>
      <c r="J41" s="3">
        <v>5537060.9605320198</v>
      </c>
      <c r="K41" s="3">
        <v>7267046.0242971731</v>
      </c>
      <c r="L41" s="3">
        <v>28</v>
      </c>
      <c r="M41" s="3">
        <v>139261288.82890511</v>
      </c>
    </row>
    <row r="42" spans="1:13" ht="15.75" customHeight="1" x14ac:dyDescent="0.25">
      <c r="A42" s="2">
        <v>41</v>
      </c>
      <c r="B42" s="2" t="s">
        <v>114</v>
      </c>
      <c r="C42" s="2" t="s">
        <v>115</v>
      </c>
      <c r="D42" s="3">
        <v>33</v>
      </c>
      <c r="E42" s="3">
        <v>44164665.384811424</v>
      </c>
      <c r="F42" s="3">
        <v>2</v>
      </c>
      <c r="G42" s="3">
        <v>439997.09754513949</v>
      </c>
      <c r="H42" s="3">
        <v>2</v>
      </c>
      <c r="I42" s="3">
        <v>490909</v>
      </c>
      <c r="J42" s="3">
        <v>1586213.600665407</v>
      </c>
      <c r="K42" s="3">
        <v>4163612.1843578499</v>
      </c>
      <c r="L42" s="3">
        <v>33</v>
      </c>
      <c r="M42" s="3">
        <v>40441050.297998697</v>
      </c>
    </row>
    <row r="43" spans="1:13" ht="15.75" customHeight="1" x14ac:dyDescent="0.25">
      <c r="A43" s="2">
        <v>42</v>
      </c>
      <c r="B43" s="2" t="s">
        <v>116</v>
      </c>
      <c r="C43" s="2" t="s">
        <v>117</v>
      </c>
      <c r="D43" s="3">
        <v>78</v>
      </c>
      <c r="E43" s="3">
        <v>44814200.592363581</v>
      </c>
      <c r="F43" s="3">
        <v>144</v>
      </c>
      <c r="G43" s="3">
        <v>86925915.452920452</v>
      </c>
      <c r="H43" s="3">
        <v>3</v>
      </c>
      <c r="I43" s="3">
        <v>1909091</v>
      </c>
      <c r="J43" s="3">
        <v>631870.47163100599</v>
      </c>
      <c r="K43" s="3">
        <v>2487871.362515585</v>
      </c>
      <c r="L43" s="3">
        <v>219</v>
      </c>
      <c r="M43" s="3">
        <v>129252244.6827684</v>
      </c>
    </row>
    <row r="44" spans="1:13" ht="15.75" customHeight="1" x14ac:dyDescent="0.25">
      <c r="A44" s="2">
        <v>43</v>
      </c>
      <c r="B44" s="2" t="s">
        <v>118</v>
      </c>
      <c r="C44" s="2" t="s">
        <v>119</v>
      </c>
      <c r="D44" s="3">
        <v>190</v>
      </c>
      <c r="E44" s="3">
        <v>58825713.831086352</v>
      </c>
      <c r="F44" s="3">
        <v>266</v>
      </c>
      <c r="G44" s="3">
        <v>82772334.914538756</v>
      </c>
      <c r="H44" s="3">
        <v>10</v>
      </c>
      <c r="I44" s="3">
        <v>5054544</v>
      </c>
      <c r="J44" s="3">
        <v>342889.53906421812</v>
      </c>
      <c r="K44" s="3">
        <v>4500210.6341092121</v>
      </c>
      <c r="L44" s="3">
        <v>446</v>
      </c>
      <c r="M44" s="3">
        <v>137097838.11151591</v>
      </c>
    </row>
    <row r="45" spans="1:13" ht="15.75" customHeight="1" x14ac:dyDescent="0.25">
      <c r="A45" s="2">
        <v>44</v>
      </c>
      <c r="B45" s="2" t="s">
        <v>120</v>
      </c>
      <c r="C45" s="2" t="s">
        <v>121</v>
      </c>
      <c r="D45" s="3">
        <v>20</v>
      </c>
      <c r="E45" s="3">
        <v>87457667.630769297</v>
      </c>
      <c r="F45" s="3">
        <v>3</v>
      </c>
      <c r="G45" s="3">
        <v>19623890.878399462</v>
      </c>
      <c r="H45" s="3">
        <v>2</v>
      </c>
      <c r="I45" s="3">
        <v>14409091</v>
      </c>
      <c r="J45" s="3">
        <v>8058561.1217985777</v>
      </c>
      <c r="K45" s="3">
        <v>21152714.401791699</v>
      </c>
      <c r="L45" s="3">
        <v>21</v>
      </c>
      <c r="M45" s="3">
        <v>85928844.107377052</v>
      </c>
    </row>
    <row r="46" spans="1:13" ht="15.75" customHeight="1" x14ac:dyDescent="0.25">
      <c r="A46" s="2">
        <v>45</v>
      </c>
      <c r="B46" s="2" t="s">
        <v>122</v>
      </c>
      <c r="C46" s="2" t="s">
        <v>123</v>
      </c>
      <c r="D46" s="3">
        <v>221</v>
      </c>
      <c r="E46" s="3">
        <v>15567315.08166603</v>
      </c>
      <c r="F46" s="3">
        <v>625</v>
      </c>
      <c r="G46" s="3">
        <v>223518745.2877011</v>
      </c>
      <c r="H46" s="3">
        <v>20</v>
      </c>
      <c r="I46" s="3">
        <v>8481817</v>
      </c>
      <c r="J46" s="3">
        <v>394073.60655514669</v>
      </c>
      <c r="K46" s="3">
        <v>10343938.982105291</v>
      </c>
      <c r="L46" s="3">
        <v>826</v>
      </c>
      <c r="M46" s="3">
        <v>228742121.3872619</v>
      </c>
    </row>
    <row r="47" spans="1:13" ht="15.75" customHeight="1" x14ac:dyDescent="0.25">
      <c r="A47" s="2">
        <v>46</v>
      </c>
      <c r="B47" s="2" t="s">
        <v>124</v>
      </c>
      <c r="C47" s="2" t="s">
        <v>125</v>
      </c>
      <c r="D47" s="3">
        <v>148</v>
      </c>
      <c r="E47" s="3">
        <v>106765898.3468546</v>
      </c>
      <c r="F47" s="3">
        <v>167</v>
      </c>
      <c r="G47" s="3">
        <v>107878595.7267165</v>
      </c>
      <c r="H47" s="3">
        <v>2</v>
      </c>
      <c r="I47" s="3">
        <v>1881818</v>
      </c>
      <c r="J47" s="3">
        <v>716187.62838659401</v>
      </c>
      <c r="K47" s="3">
        <v>1879902.892388436</v>
      </c>
      <c r="L47" s="3">
        <v>313</v>
      </c>
      <c r="M47" s="3">
        <v>212764591.18118271</v>
      </c>
    </row>
    <row r="48" spans="1:13" ht="15.75" customHeight="1" x14ac:dyDescent="0.25">
      <c r="A48" s="2">
        <v>47</v>
      </c>
      <c r="B48" s="2" t="s">
        <v>126</v>
      </c>
      <c r="C48" s="2" t="s">
        <v>127</v>
      </c>
      <c r="D48" s="3">
        <v>224</v>
      </c>
      <c r="E48" s="3">
        <v>64300161.710947037</v>
      </c>
      <c r="F48" s="3">
        <v>1</v>
      </c>
      <c r="G48" s="3">
        <v>1258392.957372057</v>
      </c>
      <c r="H48" s="3">
        <v>7</v>
      </c>
      <c r="I48" s="3">
        <v>3300000</v>
      </c>
      <c r="J48" s="3">
        <v>428461.78601993283</v>
      </c>
      <c r="K48" s="3">
        <v>3936304.979478091</v>
      </c>
      <c r="L48" s="3">
        <v>218</v>
      </c>
      <c r="M48" s="3">
        <v>61622249.688841008</v>
      </c>
    </row>
    <row r="49" spans="1:13" ht="15.75" customHeight="1" x14ac:dyDescent="0.25">
      <c r="A49" s="2">
        <v>48</v>
      </c>
      <c r="B49" s="2" t="s">
        <v>128</v>
      </c>
      <c r="C49" s="2" t="s">
        <v>129</v>
      </c>
      <c r="D49" s="3">
        <v>76</v>
      </c>
      <c r="E49" s="3">
        <v>67070592.952461436</v>
      </c>
      <c r="F49" s="3">
        <v>0</v>
      </c>
      <c r="G49" s="3">
        <v>0</v>
      </c>
      <c r="H49" s="3">
        <v>0</v>
      </c>
      <c r="I49" s="3">
        <v>0</v>
      </c>
      <c r="J49" s="3">
        <v>962345.272881301</v>
      </c>
      <c r="K49" s="3">
        <v>0</v>
      </c>
      <c r="L49" s="3">
        <v>76</v>
      </c>
      <c r="M49" s="3">
        <v>67070592.952461436</v>
      </c>
    </row>
    <row r="50" spans="1:13" ht="15.75" customHeight="1" x14ac:dyDescent="0.25">
      <c r="A50" s="2">
        <v>49</v>
      </c>
      <c r="B50" s="2" t="s">
        <v>130</v>
      </c>
      <c r="C50" s="2" t="s">
        <v>131</v>
      </c>
      <c r="D50" s="3">
        <v>189</v>
      </c>
      <c r="E50" s="3">
        <v>625452941.7691747</v>
      </c>
      <c r="F50" s="3">
        <v>0</v>
      </c>
      <c r="G50" s="3">
        <v>0</v>
      </c>
      <c r="H50" s="3">
        <v>0</v>
      </c>
      <c r="I50" s="3">
        <v>0</v>
      </c>
      <c r="J50" s="3">
        <v>3376250.5074626859</v>
      </c>
      <c r="K50" s="3">
        <v>0</v>
      </c>
      <c r="L50" s="3">
        <v>189</v>
      </c>
      <c r="M50" s="3">
        <v>625452941.7691747</v>
      </c>
    </row>
    <row r="51" spans="1:13" ht="15.75" customHeight="1" x14ac:dyDescent="0.25">
      <c r="A51" s="2">
        <v>50</v>
      </c>
      <c r="B51" s="2" t="s">
        <v>132</v>
      </c>
      <c r="C51" s="2" t="s">
        <v>133</v>
      </c>
      <c r="D51" s="3">
        <v>184</v>
      </c>
      <c r="E51" s="3">
        <v>57690888.388767421</v>
      </c>
      <c r="F51" s="3">
        <v>8</v>
      </c>
      <c r="G51" s="3">
        <v>3054021.9400891392</v>
      </c>
      <c r="H51" s="3">
        <v>1</v>
      </c>
      <c r="I51" s="3">
        <v>627273</v>
      </c>
      <c r="J51" s="3">
        <v>332641.05392265011</v>
      </c>
      <c r="K51" s="3">
        <v>436570.56797047652</v>
      </c>
      <c r="L51" s="3">
        <v>191</v>
      </c>
      <c r="M51" s="3">
        <v>60308339.760886081</v>
      </c>
    </row>
    <row r="52" spans="1:13" ht="15.75" customHeight="1" x14ac:dyDescent="0.25">
      <c r="A52" s="2">
        <v>51</v>
      </c>
      <c r="B52" s="2" t="s">
        <v>134</v>
      </c>
      <c r="C52" s="2" t="s">
        <v>135</v>
      </c>
      <c r="D52" s="3">
        <v>1880</v>
      </c>
      <c r="E52" s="3">
        <v>44597678.097483747</v>
      </c>
      <c r="F52" s="3">
        <v>489</v>
      </c>
      <c r="G52" s="3">
        <v>18603096.0633034</v>
      </c>
      <c r="H52" s="3">
        <v>108</v>
      </c>
      <c r="I52" s="3">
        <v>8436365</v>
      </c>
      <c r="J52" s="3">
        <v>29781.68315477523</v>
      </c>
      <c r="K52" s="3">
        <v>4221352.3168015108</v>
      </c>
      <c r="L52" s="3">
        <v>2261</v>
      </c>
      <c r="M52" s="3">
        <v>58979421.84398564</v>
      </c>
    </row>
    <row r="53" spans="1:13" ht="15.75" customHeight="1" x14ac:dyDescent="0.25">
      <c r="A53" s="2">
        <v>52</v>
      </c>
      <c r="B53" s="2" t="s">
        <v>136</v>
      </c>
      <c r="C53" s="2" t="s">
        <v>137</v>
      </c>
      <c r="D53" s="3">
        <v>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6</v>
      </c>
      <c r="M53" s="3">
        <v>0</v>
      </c>
    </row>
    <row r="54" spans="1:13" ht="15.75" customHeight="1" x14ac:dyDescent="0.25">
      <c r="C54" s="4" t="s">
        <v>138</v>
      </c>
      <c r="D54" s="5">
        <f t="shared" ref="D54:M54" si="0">SUM(D2:D53)</f>
        <v>40597.19</v>
      </c>
      <c r="E54" s="5">
        <f t="shared" si="0"/>
        <v>17858058302.725769</v>
      </c>
      <c r="F54" s="5">
        <f t="shared" si="0"/>
        <v>3444.0550000000003</v>
      </c>
      <c r="G54" s="5">
        <f t="shared" si="0"/>
        <v>2130947334.8594627</v>
      </c>
      <c r="H54" s="5">
        <f t="shared" si="0"/>
        <v>711</v>
      </c>
      <c r="I54" s="5">
        <f t="shared" si="0"/>
        <v>1331304547</v>
      </c>
      <c r="J54" s="5">
        <f t="shared" si="0"/>
        <v>208898039.40569082</v>
      </c>
      <c r="K54" s="5">
        <f t="shared" si="0"/>
        <v>1288571010.375731</v>
      </c>
      <c r="L54" s="5">
        <f t="shared" si="0"/>
        <v>43330.245000000003</v>
      </c>
      <c r="M54" s="5">
        <f t="shared" si="0"/>
        <v>18700434627.209503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00"/>
  <sheetViews>
    <sheetView workbookViewId="0"/>
  </sheetViews>
  <sheetFormatPr defaultColWidth="14.42578125" defaultRowHeight="15" customHeight="1" x14ac:dyDescent="0.25"/>
  <cols>
    <col min="1" max="12" width="8.7109375" customWidth="1"/>
    <col min="13" max="13" width="20.7109375" customWidth="1"/>
    <col min="14" max="26" width="8.7109375" customWidth="1"/>
  </cols>
  <sheetData>
    <row r="1" spans="1:13" x14ac:dyDescent="0.25">
      <c r="A1" s="1" t="s">
        <v>0</v>
      </c>
      <c r="B1" s="1" t="s">
        <v>1</v>
      </c>
      <c r="C1" s="1" t="s">
        <v>146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8</v>
      </c>
      <c r="M1" s="1" t="s">
        <v>9</v>
      </c>
    </row>
    <row r="2" spans="1:13" x14ac:dyDescent="0.25">
      <c r="A2" s="2">
        <v>1</v>
      </c>
      <c r="B2" s="2" t="s">
        <v>34</v>
      </c>
      <c r="C2" s="2" t="s">
        <v>35</v>
      </c>
      <c r="D2" s="3">
        <v>1340</v>
      </c>
      <c r="E2" s="3">
        <v>534551231.56371129</v>
      </c>
      <c r="F2" s="3">
        <v>6</v>
      </c>
      <c r="G2" s="3">
        <v>6259406.2890747366</v>
      </c>
      <c r="H2" s="3">
        <v>72</v>
      </c>
      <c r="I2" s="3">
        <v>23918176</v>
      </c>
      <c r="J2" s="3">
        <v>420434.49646531808</v>
      </c>
      <c r="K2" s="3">
        <v>39729165.664087579</v>
      </c>
      <c r="L2" s="3">
        <v>1274</v>
      </c>
      <c r="M2" s="3">
        <v>501081472.18869847</v>
      </c>
    </row>
    <row r="3" spans="1:13" x14ac:dyDescent="0.25">
      <c r="A3" s="2">
        <v>2</v>
      </c>
      <c r="B3" s="2" t="s">
        <v>36</v>
      </c>
      <c r="C3" s="2" t="s">
        <v>37</v>
      </c>
      <c r="D3" s="3">
        <v>149</v>
      </c>
      <c r="E3" s="3">
        <v>154441535.2341511</v>
      </c>
      <c r="F3" s="3">
        <v>4</v>
      </c>
      <c r="G3" s="3">
        <v>3907178.485377003</v>
      </c>
      <c r="H3" s="3">
        <v>15</v>
      </c>
      <c r="I3" s="3">
        <v>17404544</v>
      </c>
      <c r="J3" s="3">
        <v>1260574.07073233</v>
      </c>
      <c r="K3" s="3">
        <v>24816368.794774741</v>
      </c>
      <c r="L3" s="3">
        <v>138</v>
      </c>
      <c r="M3" s="3">
        <v>133532344.9247534</v>
      </c>
    </row>
    <row r="4" spans="1:13" x14ac:dyDescent="0.25">
      <c r="A4" s="2">
        <v>3</v>
      </c>
      <c r="B4" s="2" t="s">
        <v>38</v>
      </c>
      <c r="C4" s="2" t="s">
        <v>39</v>
      </c>
      <c r="D4" s="3">
        <v>830</v>
      </c>
      <c r="E4" s="3">
        <v>331663528.29695928</v>
      </c>
      <c r="F4" s="3">
        <v>0</v>
      </c>
      <c r="G4" s="3">
        <v>0</v>
      </c>
      <c r="H4" s="3">
        <v>11</v>
      </c>
      <c r="I4" s="3">
        <v>4199996</v>
      </c>
      <c r="J4" s="3">
        <v>406324.54462242569</v>
      </c>
      <c r="K4" s="3">
        <v>5866030.9257602058</v>
      </c>
      <c r="L4" s="3">
        <v>819</v>
      </c>
      <c r="M4" s="3">
        <v>325797497.37119907</v>
      </c>
    </row>
    <row r="5" spans="1:13" x14ac:dyDescent="0.25">
      <c r="A5" s="2">
        <v>4</v>
      </c>
      <c r="B5" s="2" t="s">
        <v>40</v>
      </c>
      <c r="C5" s="2" t="s">
        <v>41</v>
      </c>
      <c r="D5" s="3">
        <v>1342</v>
      </c>
      <c r="E5" s="3">
        <v>176965519.74721929</v>
      </c>
      <c r="F5" s="3">
        <v>47</v>
      </c>
      <c r="G5" s="3">
        <v>4922684.1780737657</v>
      </c>
      <c r="H5" s="3">
        <v>249</v>
      </c>
      <c r="I5" s="3">
        <v>34181891</v>
      </c>
      <c r="J5" s="3">
        <v>141285.9158449235</v>
      </c>
      <c r="K5" s="3">
        <v>46171801.940918982</v>
      </c>
      <c r="L5" s="3">
        <v>1140</v>
      </c>
      <c r="M5" s="3">
        <v>135716401.98437411</v>
      </c>
    </row>
    <row r="6" spans="1:13" x14ac:dyDescent="0.25">
      <c r="A6" s="2">
        <v>5</v>
      </c>
      <c r="B6" s="2" t="s">
        <v>42</v>
      </c>
      <c r="C6" s="2" t="s">
        <v>43</v>
      </c>
      <c r="D6" s="3">
        <v>94</v>
      </c>
      <c r="E6" s="3">
        <v>22362686.6106649</v>
      </c>
      <c r="F6" s="3">
        <v>10</v>
      </c>
      <c r="G6" s="3">
        <v>686404.95851732709</v>
      </c>
      <c r="H6" s="3">
        <v>1</v>
      </c>
      <c r="I6" s="3">
        <v>154545</v>
      </c>
      <c r="J6" s="3">
        <v>248044.42577046619</v>
      </c>
      <c r="K6" s="3">
        <v>325542.78722825309</v>
      </c>
      <c r="L6" s="3">
        <v>103</v>
      </c>
      <c r="M6" s="3">
        <v>22723548.781953979</v>
      </c>
    </row>
    <row r="7" spans="1:13" x14ac:dyDescent="0.25">
      <c r="A7" s="2">
        <v>6</v>
      </c>
      <c r="B7" s="2" t="s">
        <v>44</v>
      </c>
      <c r="C7" s="2" t="s">
        <v>45</v>
      </c>
      <c r="D7" s="3">
        <v>57</v>
      </c>
      <c r="E7" s="3">
        <v>1749044.1763843349</v>
      </c>
      <c r="F7" s="3">
        <v>0</v>
      </c>
      <c r="G7" s="3">
        <v>0</v>
      </c>
      <c r="H7" s="3">
        <v>0</v>
      </c>
      <c r="I7" s="3">
        <v>0</v>
      </c>
      <c r="J7" s="3">
        <v>31435.350877192981</v>
      </c>
      <c r="K7" s="3">
        <v>0</v>
      </c>
      <c r="L7" s="3">
        <v>57</v>
      </c>
      <c r="M7" s="3">
        <v>1749044.1763843349</v>
      </c>
    </row>
    <row r="8" spans="1:13" x14ac:dyDescent="0.25">
      <c r="A8" s="2">
        <v>7</v>
      </c>
      <c r="B8" s="2" t="s">
        <v>46</v>
      </c>
      <c r="C8" s="2" t="s">
        <v>47</v>
      </c>
      <c r="D8" s="3">
        <v>15359</v>
      </c>
      <c r="E8" s="3">
        <v>2140526336.348927</v>
      </c>
      <c r="F8" s="3">
        <v>0</v>
      </c>
      <c r="G8" s="3">
        <v>0</v>
      </c>
      <c r="H8" s="3">
        <v>116</v>
      </c>
      <c r="I8" s="3">
        <v>14763621</v>
      </c>
      <c r="J8" s="3">
        <v>142895.48574082591</v>
      </c>
      <c r="K8" s="3">
        <v>21754800.454174589</v>
      </c>
      <c r="L8" s="3">
        <v>15243</v>
      </c>
      <c r="M8" s="3">
        <v>2118771535.894752</v>
      </c>
    </row>
    <row r="9" spans="1:13" x14ac:dyDescent="0.25">
      <c r="A9" s="2">
        <v>8</v>
      </c>
      <c r="B9" s="2" t="s">
        <v>48</v>
      </c>
      <c r="C9" s="2" t="s">
        <v>49</v>
      </c>
      <c r="D9" s="3">
        <v>67</v>
      </c>
      <c r="E9" s="3">
        <v>153563407.84690371</v>
      </c>
      <c r="F9" s="3">
        <v>4</v>
      </c>
      <c r="G9" s="3">
        <v>10558352.50991372</v>
      </c>
      <c r="H9" s="3">
        <v>0</v>
      </c>
      <c r="I9" s="3">
        <v>0</v>
      </c>
      <c r="J9" s="3">
        <v>2830608.5191616518</v>
      </c>
      <c r="K9" s="3">
        <v>0</v>
      </c>
      <c r="L9" s="3">
        <v>71</v>
      </c>
      <c r="M9" s="3">
        <v>164121760.35681739</v>
      </c>
    </row>
    <row r="10" spans="1:13" x14ac:dyDescent="0.25">
      <c r="A10" s="2">
        <v>9</v>
      </c>
      <c r="B10" s="2" t="s">
        <v>50</v>
      </c>
      <c r="C10" s="2" t="s">
        <v>51</v>
      </c>
      <c r="D10" s="3">
        <v>1303</v>
      </c>
      <c r="E10" s="3">
        <v>1562897350.5895469</v>
      </c>
      <c r="F10" s="3">
        <v>3</v>
      </c>
      <c r="G10" s="3">
        <v>3857071.2138036131</v>
      </c>
      <c r="H10" s="3">
        <v>54</v>
      </c>
      <c r="I10" s="3">
        <v>26363637</v>
      </c>
      <c r="J10" s="3">
        <v>1314300.431392276</v>
      </c>
      <c r="K10" s="3">
        <v>93146601.926382676</v>
      </c>
      <c r="L10" s="3">
        <v>1252</v>
      </c>
      <c r="M10" s="3">
        <v>1473607819.8769679</v>
      </c>
    </row>
    <row r="11" spans="1:13" x14ac:dyDescent="0.25">
      <c r="A11" s="2">
        <v>10</v>
      </c>
      <c r="B11" s="2" t="s">
        <v>52</v>
      </c>
      <c r="C11" s="2" t="s">
        <v>53</v>
      </c>
      <c r="D11" s="3">
        <v>123</v>
      </c>
      <c r="E11" s="3">
        <v>129981756.6379137</v>
      </c>
      <c r="F11" s="3">
        <v>27</v>
      </c>
      <c r="G11" s="3">
        <v>71971401.831244245</v>
      </c>
      <c r="H11" s="3">
        <v>8</v>
      </c>
      <c r="I11" s="3">
        <v>21345454</v>
      </c>
      <c r="J11" s="3">
        <v>2474156.1967891548</v>
      </c>
      <c r="K11" s="3">
        <v>25977401.486494429</v>
      </c>
      <c r="L11" s="3">
        <v>142</v>
      </c>
      <c r="M11" s="3">
        <v>175975756.98266351</v>
      </c>
    </row>
    <row r="12" spans="1:13" x14ac:dyDescent="0.25">
      <c r="A12" s="2">
        <v>11</v>
      </c>
      <c r="B12" s="2" t="s">
        <v>54</v>
      </c>
      <c r="C12" s="2" t="s">
        <v>55</v>
      </c>
      <c r="D12" s="3">
        <v>60</v>
      </c>
      <c r="E12" s="3">
        <v>154167811.83244219</v>
      </c>
      <c r="F12" s="3">
        <v>26</v>
      </c>
      <c r="G12" s="3">
        <v>57225437.728563778</v>
      </c>
      <c r="H12" s="3">
        <v>0</v>
      </c>
      <c r="I12" s="3">
        <v>0</v>
      </c>
      <c r="J12" s="3">
        <v>2685672.471822551</v>
      </c>
      <c r="K12" s="3">
        <v>0</v>
      </c>
      <c r="L12" s="3">
        <v>86</v>
      </c>
      <c r="M12" s="3">
        <v>211393249.56100601</v>
      </c>
    </row>
    <row r="13" spans="1:13" x14ac:dyDescent="0.25">
      <c r="A13" s="2">
        <v>12</v>
      </c>
      <c r="B13" s="2" t="s">
        <v>56</v>
      </c>
      <c r="C13" s="2" t="s">
        <v>57</v>
      </c>
      <c r="D13" s="3">
        <v>15</v>
      </c>
      <c r="E13" s="3">
        <v>27234053.510117229</v>
      </c>
      <c r="F13" s="3">
        <v>0</v>
      </c>
      <c r="G13" s="3">
        <v>0</v>
      </c>
      <c r="H13" s="3">
        <v>0</v>
      </c>
      <c r="I13" s="3">
        <v>0</v>
      </c>
      <c r="J13" s="3">
        <v>1858187.5</v>
      </c>
      <c r="K13" s="3">
        <v>0</v>
      </c>
      <c r="L13" s="3">
        <v>15</v>
      </c>
      <c r="M13" s="3">
        <v>27234053.510117229</v>
      </c>
    </row>
    <row r="14" spans="1:13" x14ac:dyDescent="0.25">
      <c r="A14" s="2">
        <v>13</v>
      </c>
      <c r="B14" s="2" t="s">
        <v>58</v>
      </c>
      <c r="C14" s="2" t="s">
        <v>59</v>
      </c>
      <c r="D14" s="3">
        <v>16</v>
      </c>
      <c r="E14" s="3">
        <v>35967264.551811278</v>
      </c>
      <c r="F14" s="3">
        <v>0</v>
      </c>
      <c r="G14" s="3">
        <v>0</v>
      </c>
      <c r="H14" s="3">
        <v>0</v>
      </c>
      <c r="I14" s="3">
        <v>0</v>
      </c>
      <c r="J14" s="3">
        <v>2408125.9375</v>
      </c>
      <c r="K14" s="3">
        <v>0</v>
      </c>
      <c r="L14" s="3">
        <v>16</v>
      </c>
      <c r="M14" s="3">
        <v>35967264.551811278</v>
      </c>
    </row>
    <row r="15" spans="1:13" x14ac:dyDescent="0.25">
      <c r="A15" s="2">
        <v>14</v>
      </c>
      <c r="B15" s="2" t="s">
        <v>60</v>
      </c>
      <c r="C15" s="2" t="s">
        <v>61</v>
      </c>
      <c r="D15" s="3">
        <v>763</v>
      </c>
      <c r="E15" s="3">
        <v>45313873.560200296</v>
      </c>
      <c r="F15" s="3">
        <v>25</v>
      </c>
      <c r="G15" s="3">
        <v>6017409.5794154294</v>
      </c>
      <c r="H15" s="3">
        <v>146</v>
      </c>
      <c r="I15" s="3">
        <v>13209091</v>
      </c>
      <c r="J15" s="3">
        <v>91770.641596792804</v>
      </c>
      <c r="K15" s="3">
        <v>17584710.772349522</v>
      </c>
      <c r="L15" s="3">
        <v>642</v>
      </c>
      <c r="M15" s="3">
        <v>33746572.367266208</v>
      </c>
    </row>
    <row r="16" spans="1:13" x14ac:dyDescent="0.25">
      <c r="A16" s="2">
        <v>15</v>
      </c>
      <c r="B16" s="2" t="s">
        <v>62</v>
      </c>
      <c r="C16" s="2" t="s">
        <v>63</v>
      </c>
      <c r="D16" s="3">
        <v>12250</v>
      </c>
      <c r="E16" s="3">
        <v>1113984904.0626111</v>
      </c>
      <c r="F16" s="3">
        <v>0</v>
      </c>
      <c r="G16" s="3">
        <v>0</v>
      </c>
      <c r="H16" s="3">
        <v>169</v>
      </c>
      <c r="I16" s="3">
        <v>15813632</v>
      </c>
      <c r="J16" s="3">
        <v>94476.723041682111</v>
      </c>
      <c r="K16" s="3">
        <v>20955119.00792918</v>
      </c>
      <c r="L16" s="3">
        <v>12081</v>
      </c>
      <c r="M16" s="3">
        <v>1093029785.054682</v>
      </c>
    </row>
    <row r="17" spans="1:13" x14ac:dyDescent="0.25">
      <c r="A17" s="2">
        <v>16</v>
      </c>
      <c r="B17" s="2" t="s">
        <v>64</v>
      </c>
      <c r="C17" s="2" t="s">
        <v>65</v>
      </c>
      <c r="D17" s="3">
        <v>2113.2449999999999</v>
      </c>
      <c r="E17" s="3">
        <v>205397749.39525461</v>
      </c>
      <c r="F17" s="3">
        <v>674</v>
      </c>
      <c r="G17" s="3">
        <v>276981707.89479369</v>
      </c>
      <c r="H17" s="3">
        <v>382</v>
      </c>
      <c r="I17" s="3">
        <v>615179223</v>
      </c>
      <c r="J17" s="3">
        <v>408306.75440444838</v>
      </c>
      <c r="K17" s="3">
        <v>204705038.83224559</v>
      </c>
      <c r="L17" s="3">
        <v>2405.2449999999999</v>
      </c>
      <c r="M17" s="3">
        <v>277674418.45780271</v>
      </c>
    </row>
    <row r="18" spans="1:13" x14ac:dyDescent="0.25">
      <c r="A18" s="2">
        <v>17</v>
      </c>
      <c r="B18" s="2" t="s">
        <v>66</v>
      </c>
      <c r="C18" s="2" t="s">
        <v>67</v>
      </c>
      <c r="D18" s="3">
        <v>41</v>
      </c>
      <c r="E18" s="3">
        <v>357394331.85861403</v>
      </c>
      <c r="F18" s="3">
        <v>0</v>
      </c>
      <c r="G18" s="3">
        <v>0</v>
      </c>
      <c r="H18" s="3">
        <v>0</v>
      </c>
      <c r="I18" s="3">
        <v>0</v>
      </c>
      <c r="J18" s="3">
        <v>8851844.5581395347</v>
      </c>
      <c r="K18" s="3">
        <v>0</v>
      </c>
      <c r="L18" s="3">
        <v>41</v>
      </c>
      <c r="M18" s="3">
        <v>357394331.85861403</v>
      </c>
    </row>
    <row r="19" spans="1:13" x14ac:dyDescent="0.25">
      <c r="A19" s="2">
        <v>18</v>
      </c>
      <c r="B19" s="2" t="s">
        <v>68</v>
      </c>
      <c r="C19" s="2" t="s">
        <v>69</v>
      </c>
      <c r="D19" s="3">
        <v>100</v>
      </c>
      <c r="E19" s="3">
        <v>277178812.63085032</v>
      </c>
      <c r="F19" s="3">
        <v>0</v>
      </c>
      <c r="G19" s="3">
        <v>0</v>
      </c>
      <c r="H19" s="3">
        <v>0</v>
      </c>
      <c r="I19" s="3">
        <v>0</v>
      </c>
      <c r="J19" s="3">
        <v>2933045.9305696478</v>
      </c>
      <c r="K19" s="3">
        <v>0</v>
      </c>
      <c r="L19" s="3">
        <v>100</v>
      </c>
      <c r="M19" s="3">
        <v>277178812.63085032</v>
      </c>
    </row>
    <row r="20" spans="1:13" x14ac:dyDescent="0.25">
      <c r="A20" s="2">
        <v>19</v>
      </c>
      <c r="B20" s="2" t="s">
        <v>70</v>
      </c>
      <c r="C20" s="2" t="s">
        <v>71</v>
      </c>
      <c r="D20" s="3">
        <v>104</v>
      </c>
      <c r="E20" s="3">
        <v>576920361.02483845</v>
      </c>
      <c r="F20" s="3">
        <v>0</v>
      </c>
      <c r="G20" s="3">
        <v>0</v>
      </c>
      <c r="H20" s="3">
        <v>29</v>
      </c>
      <c r="I20" s="3">
        <v>407509089</v>
      </c>
      <c r="J20" s="3">
        <v>9759468.8464126326</v>
      </c>
      <c r="K20" s="3">
        <v>371452072.45651418</v>
      </c>
      <c r="L20" s="3">
        <v>75</v>
      </c>
      <c r="M20" s="3">
        <v>205468288.56832421</v>
      </c>
    </row>
    <row r="21" spans="1:13" ht="15.75" customHeight="1" x14ac:dyDescent="0.25">
      <c r="A21" s="2">
        <v>20</v>
      </c>
      <c r="B21" s="2" t="s">
        <v>72</v>
      </c>
      <c r="C21" s="2" t="s">
        <v>73</v>
      </c>
      <c r="D21" s="3">
        <v>43</v>
      </c>
      <c r="E21" s="3">
        <v>521638477.28613371</v>
      </c>
      <c r="F21" s="3">
        <v>0</v>
      </c>
      <c r="G21" s="3">
        <v>0</v>
      </c>
      <c r="H21" s="3">
        <v>2</v>
      </c>
      <c r="I21" s="3">
        <v>34454546</v>
      </c>
      <c r="J21" s="3">
        <v>12635539.358317209</v>
      </c>
      <c r="K21" s="3">
        <v>33166709.455872372</v>
      </c>
      <c r="L21" s="3">
        <v>41</v>
      </c>
      <c r="M21" s="3">
        <v>488471767.83026129</v>
      </c>
    </row>
    <row r="22" spans="1:13" ht="15.75" customHeight="1" x14ac:dyDescent="0.25">
      <c r="A22" s="2">
        <v>21</v>
      </c>
      <c r="B22" s="2" t="s">
        <v>74</v>
      </c>
      <c r="C22" s="2" t="s">
        <v>75</v>
      </c>
      <c r="D22" s="3">
        <v>81</v>
      </c>
      <c r="E22" s="3">
        <v>680697997.66691995</v>
      </c>
      <c r="F22" s="3">
        <v>0</v>
      </c>
      <c r="G22" s="3">
        <v>0</v>
      </c>
      <c r="H22" s="3">
        <v>0</v>
      </c>
      <c r="I22" s="3">
        <v>0</v>
      </c>
      <c r="J22" s="3">
        <v>8607925.5287356321</v>
      </c>
      <c r="K22" s="3">
        <v>0</v>
      </c>
      <c r="L22" s="3">
        <v>81</v>
      </c>
      <c r="M22" s="3">
        <v>680697997.66691995</v>
      </c>
    </row>
    <row r="23" spans="1:13" ht="15.75" customHeight="1" x14ac:dyDescent="0.25">
      <c r="A23" s="2">
        <v>22</v>
      </c>
      <c r="B23" s="2" t="s">
        <v>76</v>
      </c>
      <c r="C23" s="2" t="s">
        <v>77</v>
      </c>
      <c r="D23" s="3">
        <v>46</v>
      </c>
      <c r="E23" s="3">
        <v>16766998.988642929</v>
      </c>
      <c r="F23" s="3">
        <v>0</v>
      </c>
      <c r="G23" s="3">
        <v>0</v>
      </c>
      <c r="H23" s="3">
        <v>0</v>
      </c>
      <c r="I23" s="3">
        <v>0</v>
      </c>
      <c r="J23" s="3">
        <v>372659.45652173908</v>
      </c>
      <c r="K23" s="3">
        <v>0</v>
      </c>
      <c r="L23" s="3">
        <v>46</v>
      </c>
      <c r="M23" s="3">
        <v>16766998.988642929</v>
      </c>
    </row>
    <row r="24" spans="1:13" ht="15.75" customHeight="1" x14ac:dyDescent="0.25">
      <c r="A24" s="2">
        <v>23</v>
      </c>
      <c r="B24" s="2" t="s">
        <v>78</v>
      </c>
      <c r="C24" s="2" t="s">
        <v>79</v>
      </c>
      <c r="D24" s="3">
        <v>108</v>
      </c>
      <c r="E24" s="3">
        <v>1256150154.7980039</v>
      </c>
      <c r="F24" s="3">
        <v>0</v>
      </c>
      <c r="G24" s="3">
        <v>0</v>
      </c>
      <c r="H24" s="3">
        <v>0</v>
      </c>
      <c r="I24" s="3">
        <v>0</v>
      </c>
      <c r="J24" s="3">
        <v>12067116.647338489</v>
      </c>
      <c r="K24" s="3">
        <v>0</v>
      </c>
      <c r="L24" s="3">
        <v>108</v>
      </c>
      <c r="M24" s="3">
        <v>1256150154.7980039</v>
      </c>
    </row>
    <row r="25" spans="1:13" ht="15.75" customHeight="1" x14ac:dyDescent="0.25">
      <c r="A25" s="2">
        <v>24</v>
      </c>
      <c r="B25" s="2" t="s">
        <v>80</v>
      </c>
      <c r="C25" s="2" t="s">
        <v>81</v>
      </c>
      <c r="D25" s="3">
        <v>22</v>
      </c>
      <c r="E25" s="3">
        <v>74385161.809035897</v>
      </c>
      <c r="F25" s="3">
        <v>1</v>
      </c>
      <c r="G25" s="3">
        <v>8095954.3387872288</v>
      </c>
      <c r="H25" s="3">
        <v>1</v>
      </c>
      <c r="I25" s="3">
        <v>9954546</v>
      </c>
      <c r="J25" s="3">
        <v>4492317.1538675101</v>
      </c>
      <c r="K25" s="3">
        <v>5895885.1538015492</v>
      </c>
      <c r="L25" s="3">
        <v>22</v>
      </c>
      <c r="M25" s="3">
        <v>76585230.99402158</v>
      </c>
    </row>
    <row r="26" spans="1:13" ht="15.75" customHeight="1" x14ac:dyDescent="0.25">
      <c r="A26" s="2">
        <v>25</v>
      </c>
      <c r="B26" s="2" t="s">
        <v>82</v>
      </c>
      <c r="C26" s="2" t="s">
        <v>83</v>
      </c>
      <c r="D26" s="3">
        <v>68</v>
      </c>
      <c r="E26" s="3">
        <v>1091540356.5248721</v>
      </c>
      <c r="F26" s="3">
        <v>0</v>
      </c>
      <c r="G26" s="3">
        <v>0</v>
      </c>
      <c r="H26" s="3">
        <v>0</v>
      </c>
      <c r="I26" s="3">
        <v>0</v>
      </c>
      <c r="J26" s="3">
        <v>16878626.22782984</v>
      </c>
      <c r="K26" s="3">
        <v>0</v>
      </c>
      <c r="L26" s="3">
        <v>68</v>
      </c>
      <c r="M26" s="3">
        <v>1091540356.5248721</v>
      </c>
    </row>
    <row r="27" spans="1:13" ht="15.75" customHeight="1" x14ac:dyDescent="0.25">
      <c r="A27" s="2">
        <v>26</v>
      </c>
      <c r="B27" s="2" t="s">
        <v>84</v>
      </c>
      <c r="C27" s="2" t="s">
        <v>85</v>
      </c>
      <c r="D27" s="3">
        <v>97</v>
      </c>
      <c r="E27" s="3">
        <v>342984326.51080543</v>
      </c>
      <c r="F27" s="3">
        <v>115</v>
      </c>
      <c r="G27" s="3">
        <v>454975053.89662892</v>
      </c>
      <c r="H27" s="3">
        <v>2</v>
      </c>
      <c r="I27" s="3">
        <v>16627273</v>
      </c>
      <c r="J27" s="3">
        <v>4465074.3199615972</v>
      </c>
      <c r="K27" s="3">
        <v>11720261.278088089</v>
      </c>
      <c r="L27" s="3">
        <v>210</v>
      </c>
      <c r="M27" s="3">
        <v>786239119.12934613</v>
      </c>
    </row>
    <row r="28" spans="1:13" ht="15.75" customHeight="1" x14ac:dyDescent="0.25">
      <c r="A28" s="2">
        <v>27</v>
      </c>
      <c r="B28" s="2" t="s">
        <v>86</v>
      </c>
      <c r="C28" s="2" t="s">
        <v>87</v>
      </c>
      <c r="D28" s="3">
        <v>67</v>
      </c>
      <c r="E28" s="3">
        <v>146329293.71623579</v>
      </c>
      <c r="F28" s="3">
        <v>30</v>
      </c>
      <c r="G28" s="3">
        <v>297825529.07591039</v>
      </c>
      <c r="H28" s="3">
        <v>13</v>
      </c>
      <c r="I28" s="3">
        <v>138698184</v>
      </c>
      <c r="J28" s="3">
        <v>10818459.570075011</v>
      </c>
      <c r="K28" s="3">
        <v>184581165.74579519</v>
      </c>
      <c r="L28" s="3">
        <v>84</v>
      </c>
      <c r="M28" s="3">
        <v>259573657.04635099</v>
      </c>
    </row>
    <row r="29" spans="1:13" ht="15.75" customHeight="1" x14ac:dyDescent="0.25">
      <c r="A29" s="2">
        <v>28</v>
      </c>
      <c r="B29" s="2" t="s">
        <v>88</v>
      </c>
      <c r="C29" s="2" t="s">
        <v>89</v>
      </c>
      <c r="D29" s="3">
        <v>38</v>
      </c>
      <c r="E29" s="3">
        <v>-146378552.63962641</v>
      </c>
      <c r="F29" s="3">
        <v>41</v>
      </c>
      <c r="G29" s="3">
        <v>457069441.82333392</v>
      </c>
      <c r="H29" s="3">
        <v>23</v>
      </c>
      <c r="I29" s="3">
        <v>383463636</v>
      </c>
      <c r="J29" s="3">
        <v>11054690.708744589</v>
      </c>
      <c r="K29" s="3">
        <v>333697565.36205143</v>
      </c>
      <c r="L29" s="3">
        <v>56</v>
      </c>
      <c r="M29" s="3">
        <v>-23006676.178343829</v>
      </c>
    </row>
    <row r="30" spans="1:13" ht="15.75" customHeight="1" x14ac:dyDescent="0.25">
      <c r="A30" s="2">
        <v>29</v>
      </c>
      <c r="B30" s="2" t="s">
        <v>90</v>
      </c>
      <c r="C30" s="2" t="s">
        <v>91</v>
      </c>
      <c r="D30" s="3">
        <v>108</v>
      </c>
      <c r="E30" s="3">
        <v>79370064.582638234</v>
      </c>
      <c r="F30" s="3">
        <v>0</v>
      </c>
      <c r="G30" s="3">
        <v>0</v>
      </c>
      <c r="H30" s="3">
        <v>0</v>
      </c>
      <c r="I30" s="3">
        <v>0</v>
      </c>
      <c r="J30" s="3">
        <v>787140.82299410377</v>
      </c>
      <c r="K30" s="3">
        <v>0</v>
      </c>
      <c r="L30" s="3">
        <v>108</v>
      </c>
      <c r="M30" s="3">
        <v>79370064.582638234</v>
      </c>
    </row>
    <row r="31" spans="1:13" ht="15.75" customHeight="1" x14ac:dyDescent="0.25">
      <c r="A31" s="2">
        <v>30</v>
      </c>
      <c r="B31" s="2" t="s">
        <v>92</v>
      </c>
      <c r="C31" s="2" t="s">
        <v>93</v>
      </c>
      <c r="D31" s="3">
        <v>28</v>
      </c>
      <c r="E31" s="3">
        <v>369976979.24709028</v>
      </c>
      <c r="F31" s="3">
        <v>0</v>
      </c>
      <c r="G31" s="3">
        <v>0</v>
      </c>
      <c r="H31" s="3">
        <v>0</v>
      </c>
      <c r="I31" s="3">
        <v>0</v>
      </c>
      <c r="J31" s="3">
        <v>14641518.91666667</v>
      </c>
      <c r="K31" s="3">
        <v>0</v>
      </c>
      <c r="L31" s="3">
        <v>28</v>
      </c>
      <c r="M31" s="3">
        <v>369976979.24709028</v>
      </c>
    </row>
    <row r="32" spans="1:13" ht="15.75" customHeight="1" x14ac:dyDescent="0.25">
      <c r="A32" s="2">
        <v>31</v>
      </c>
      <c r="B32" s="2" t="s">
        <v>94</v>
      </c>
      <c r="C32" s="2" t="s">
        <v>95</v>
      </c>
      <c r="D32" s="3">
        <v>91</v>
      </c>
      <c r="E32" s="3">
        <v>139630854.8718279</v>
      </c>
      <c r="F32" s="3">
        <v>0</v>
      </c>
      <c r="G32" s="3">
        <v>0</v>
      </c>
      <c r="H32" s="3">
        <v>2</v>
      </c>
      <c r="I32" s="3">
        <v>36181818</v>
      </c>
      <c r="J32" s="3">
        <v>1589204.979120879</v>
      </c>
      <c r="K32" s="3">
        <v>4171464.178427252</v>
      </c>
      <c r="L32" s="3">
        <v>89</v>
      </c>
      <c r="M32" s="3">
        <v>135459390.69340071</v>
      </c>
    </row>
    <row r="33" spans="1:13" ht="15.75" customHeight="1" x14ac:dyDescent="0.25">
      <c r="A33" s="2">
        <v>32</v>
      </c>
      <c r="B33" s="2" t="s">
        <v>96</v>
      </c>
      <c r="C33" s="2" t="s">
        <v>97</v>
      </c>
      <c r="D33" s="3">
        <v>28</v>
      </c>
      <c r="E33" s="3">
        <v>44726581.195181817</v>
      </c>
      <c r="F33" s="3">
        <v>0</v>
      </c>
      <c r="G33" s="3">
        <v>0</v>
      </c>
      <c r="H33" s="3">
        <v>0</v>
      </c>
      <c r="I33" s="3">
        <v>0</v>
      </c>
      <c r="J33" s="3">
        <v>1615403.3448275861</v>
      </c>
      <c r="K33" s="3">
        <v>0</v>
      </c>
      <c r="L33" s="3">
        <v>28</v>
      </c>
      <c r="M33" s="3">
        <v>44726581.195181817</v>
      </c>
    </row>
    <row r="34" spans="1:13" ht="15.75" customHeight="1" x14ac:dyDescent="0.25">
      <c r="A34" s="2">
        <v>33</v>
      </c>
      <c r="B34" s="2" t="s">
        <v>98</v>
      </c>
      <c r="C34" s="2" t="s">
        <v>99</v>
      </c>
      <c r="D34" s="3">
        <v>53</v>
      </c>
      <c r="E34" s="3">
        <v>166158447.52083051</v>
      </c>
      <c r="F34" s="3">
        <v>0</v>
      </c>
      <c r="G34" s="3">
        <v>0</v>
      </c>
      <c r="H34" s="3">
        <v>1</v>
      </c>
      <c r="I34" s="3">
        <v>2045455</v>
      </c>
      <c r="J34" s="3">
        <v>4301515.4612210216</v>
      </c>
      <c r="K34" s="3">
        <v>5645469.8717847504</v>
      </c>
      <c r="L34" s="3">
        <v>52</v>
      </c>
      <c r="M34" s="3">
        <v>160512977.6490458</v>
      </c>
    </row>
    <row r="35" spans="1:13" ht="15.75" customHeight="1" x14ac:dyDescent="0.25">
      <c r="A35" s="2">
        <v>34</v>
      </c>
      <c r="B35" s="2" t="s">
        <v>100</v>
      </c>
      <c r="C35" s="2" t="s">
        <v>101</v>
      </c>
      <c r="D35" s="3">
        <v>151</v>
      </c>
      <c r="E35" s="3">
        <v>1497852653.698782</v>
      </c>
      <c r="F35" s="3">
        <v>58</v>
      </c>
      <c r="G35" s="3">
        <v>782997619.25406361</v>
      </c>
      <c r="H35" s="3">
        <v>9</v>
      </c>
      <c r="I35" s="3">
        <v>126418182</v>
      </c>
      <c r="J35" s="3">
        <v>12789181.61367186</v>
      </c>
      <c r="K35" s="3">
        <v>151065005.16412371</v>
      </c>
      <c r="L35" s="3">
        <v>200</v>
      </c>
      <c r="M35" s="3">
        <v>2129785267.788722</v>
      </c>
    </row>
    <row r="36" spans="1:13" ht="15.75" customHeight="1" x14ac:dyDescent="0.25">
      <c r="A36" s="2">
        <v>35</v>
      </c>
      <c r="B36" s="2" t="s">
        <v>102</v>
      </c>
      <c r="C36" s="2" t="s">
        <v>103</v>
      </c>
      <c r="D36" s="3">
        <v>23</v>
      </c>
      <c r="E36" s="3">
        <v>291163231.74758011</v>
      </c>
      <c r="F36" s="3">
        <v>0</v>
      </c>
      <c r="G36" s="3">
        <v>0</v>
      </c>
      <c r="H36" s="3">
        <v>0</v>
      </c>
      <c r="I36" s="3">
        <v>0</v>
      </c>
      <c r="J36" s="3">
        <v>16924543.63173043</v>
      </c>
      <c r="K36" s="3">
        <v>0</v>
      </c>
      <c r="L36" s="3">
        <v>23</v>
      </c>
      <c r="M36" s="3">
        <v>291163231.74758011</v>
      </c>
    </row>
    <row r="37" spans="1:13" ht="15.75" customHeight="1" x14ac:dyDescent="0.25">
      <c r="A37" s="2">
        <v>36</v>
      </c>
      <c r="B37" s="2" t="s">
        <v>104</v>
      </c>
      <c r="C37" s="2" t="s">
        <v>105</v>
      </c>
      <c r="D37" s="3">
        <v>42</v>
      </c>
      <c r="E37" s="3">
        <v>152855253.61628091</v>
      </c>
      <c r="F37" s="3">
        <v>58</v>
      </c>
      <c r="G37" s="3">
        <v>277631584.25183219</v>
      </c>
      <c r="H37" s="3">
        <v>9</v>
      </c>
      <c r="I37" s="3">
        <v>31227272</v>
      </c>
      <c r="J37" s="3">
        <v>4605526.0105710328</v>
      </c>
      <c r="K37" s="3">
        <v>54400182.246741056</v>
      </c>
      <c r="L37" s="3">
        <v>91</v>
      </c>
      <c r="M37" s="3">
        <v>376086655.6213721</v>
      </c>
    </row>
    <row r="38" spans="1:13" ht="15.75" customHeight="1" x14ac:dyDescent="0.25">
      <c r="A38" s="2">
        <v>37</v>
      </c>
      <c r="B38" s="2" t="s">
        <v>106</v>
      </c>
      <c r="C38" s="2" t="s">
        <v>107</v>
      </c>
      <c r="D38" s="3">
        <v>158</v>
      </c>
      <c r="E38" s="3">
        <v>357883802.43218791</v>
      </c>
      <c r="F38" s="3">
        <v>203</v>
      </c>
      <c r="G38" s="3">
        <v>617831819.80553532</v>
      </c>
      <c r="H38" s="3">
        <v>126</v>
      </c>
      <c r="I38" s="3">
        <v>377613615</v>
      </c>
      <c r="J38" s="3">
        <v>3194704.1885794252</v>
      </c>
      <c r="K38" s="3">
        <v>528299016.35109699</v>
      </c>
      <c r="L38" s="3">
        <v>235</v>
      </c>
      <c r="M38" s="3">
        <v>447416605.88662612</v>
      </c>
    </row>
    <row r="39" spans="1:13" ht="15.75" customHeight="1" x14ac:dyDescent="0.25">
      <c r="A39" s="2">
        <v>38</v>
      </c>
      <c r="B39" s="2" t="s">
        <v>108</v>
      </c>
      <c r="C39" s="2" t="s">
        <v>109</v>
      </c>
      <c r="D39" s="3">
        <v>1096</v>
      </c>
      <c r="E39" s="3">
        <v>1617397446.8640411</v>
      </c>
      <c r="F39" s="3">
        <v>62</v>
      </c>
      <c r="G39" s="3">
        <v>111196174.51980311</v>
      </c>
      <c r="H39" s="3">
        <v>24</v>
      </c>
      <c r="I39" s="3">
        <v>110345455</v>
      </c>
      <c r="J39" s="3">
        <v>1691791.69866933</v>
      </c>
      <c r="K39" s="3">
        <v>53288897.740028366</v>
      </c>
      <c r="L39" s="3">
        <v>1134</v>
      </c>
      <c r="M39" s="3">
        <v>1675304723.643815</v>
      </c>
    </row>
    <row r="40" spans="1:13" ht="15.75" customHeight="1" x14ac:dyDescent="0.25">
      <c r="A40" s="2">
        <v>39</v>
      </c>
      <c r="B40" s="2" t="s">
        <v>110</v>
      </c>
      <c r="C40" s="2" t="s">
        <v>111</v>
      </c>
      <c r="D40" s="3">
        <v>29</v>
      </c>
      <c r="E40" s="3">
        <v>150122012.68055671</v>
      </c>
      <c r="F40" s="3">
        <v>0</v>
      </c>
      <c r="G40" s="3">
        <v>0</v>
      </c>
      <c r="H40" s="3">
        <v>0</v>
      </c>
      <c r="I40" s="3">
        <v>0</v>
      </c>
      <c r="J40" s="3">
        <v>5302768.5632183906</v>
      </c>
      <c r="K40" s="3">
        <v>0</v>
      </c>
      <c r="L40" s="3">
        <v>29</v>
      </c>
      <c r="M40" s="3">
        <v>150122012.68055671</v>
      </c>
    </row>
    <row r="41" spans="1:13" ht="15.75" customHeight="1" x14ac:dyDescent="0.25">
      <c r="A41" s="2">
        <v>40</v>
      </c>
      <c r="B41" s="2" t="s">
        <v>112</v>
      </c>
      <c r="C41" s="2" t="s">
        <v>113</v>
      </c>
      <c r="D41" s="3">
        <v>28</v>
      </c>
      <c r="E41" s="3">
        <v>139261288.82890511</v>
      </c>
      <c r="F41" s="3">
        <v>4</v>
      </c>
      <c r="G41" s="3">
        <v>21190280.352061238</v>
      </c>
      <c r="H41" s="3">
        <v>2</v>
      </c>
      <c r="I41" s="3">
        <v>12709090</v>
      </c>
      <c r="J41" s="3">
        <v>5529019.2154655177</v>
      </c>
      <c r="K41" s="3">
        <v>14512983.47423315</v>
      </c>
      <c r="L41" s="3">
        <v>30</v>
      </c>
      <c r="M41" s="3">
        <v>145938585.7067332</v>
      </c>
    </row>
    <row r="42" spans="1:13" ht="15.75" customHeight="1" x14ac:dyDescent="0.25">
      <c r="A42" s="2">
        <v>41</v>
      </c>
      <c r="B42" s="2" t="s">
        <v>114</v>
      </c>
      <c r="C42" s="2" t="s">
        <v>115</v>
      </c>
      <c r="D42" s="3">
        <v>33</v>
      </c>
      <c r="E42" s="3">
        <v>40441050.297998697</v>
      </c>
      <c r="F42" s="3">
        <v>8</v>
      </c>
      <c r="G42" s="3">
        <v>1520280.0197145031</v>
      </c>
      <c r="H42" s="3">
        <v>2</v>
      </c>
      <c r="I42" s="3">
        <v>872728</v>
      </c>
      <c r="J42" s="3">
        <v>1315014.5078526449</v>
      </c>
      <c r="K42" s="3">
        <v>3451748.506762139</v>
      </c>
      <c r="L42" s="3">
        <v>39</v>
      </c>
      <c r="M42" s="3">
        <v>38509581.810951069</v>
      </c>
    </row>
    <row r="43" spans="1:13" ht="15.75" customHeight="1" x14ac:dyDescent="0.25">
      <c r="A43" s="2">
        <v>42</v>
      </c>
      <c r="B43" s="2" t="s">
        <v>116</v>
      </c>
      <c r="C43" s="2" t="s">
        <v>117</v>
      </c>
      <c r="D43" s="3">
        <v>219</v>
      </c>
      <c r="E43" s="3">
        <v>129252244.6827684</v>
      </c>
      <c r="F43" s="3">
        <v>0</v>
      </c>
      <c r="G43" s="3">
        <v>0</v>
      </c>
      <c r="H43" s="3">
        <v>1</v>
      </c>
      <c r="I43" s="3">
        <v>545454</v>
      </c>
      <c r="J43" s="3">
        <v>631870.47163100587</v>
      </c>
      <c r="K43" s="3">
        <v>829290.45417186129</v>
      </c>
      <c r="L43" s="3">
        <v>218</v>
      </c>
      <c r="M43" s="3">
        <v>128422954.2285966</v>
      </c>
    </row>
    <row r="44" spans="1:13" ht="15.75" customHeight="1" x14ac:dyDescent="0.25">
      <c r="A44" s="2">
        <v>43</v>
      </c>
      <c r="B44" s="2" t="s">
        <v>118</v>
      </c>
      <c r="C44" s="2" t="s">
        <v>119</v>
      </c>
      <c r="D44" s="3">
        <v>446</v>
      </c>
      <c r="E44" s="3">
        <v>137097838.11151591</v>
      </c>
      <c r="F44" s="3">
        <v>0</v>
      </c>
      <c r="G44" s="3">
        <v>0</v>
      </c>
      <c r="H44" s="3">
        <v>44</v>
      </c>
      <c r="I44" s="3">
        <v>13309088</v>
      </c>
      <c r="J44" s="3">
        <v>342889.53906421812</v>
      </c>
      <c r="K44" s="3">
        <v>19800926.79008054</v>
      </c>
      <c r="L44" s="3">
        <v>402</v>
      </c>
      <c r="M44" s="3">
        <v>117296911.32143541</v>
      </c>
    </row>
    <row r="45" spans="1:13" ht="15.75" customHeight="1" x14ac:dyDescent="0.25">
      <c r="A45" s="2">
        <v>44</v>
      </c>
      <c r="B45" s="2" t="s">
        <v>120</v>
      </c>
      <c r="C45" s="2" t="s">
        <v>121</v>
      </c>
      <c r="D45" s="3">
        <v>21</v>
      </c>
      <c r="E45" s="3">
        <v>85928844.107377052</v>
      </c>
      <c r="F45" s="3">
        <v>2</v>
      </c>
      <c r="G45" s="3">
        <v>15135915.643466121</v>
      </c>
      <c r="H45" s="3">
        <v>6</v>
      </c>
      <c r="I45" s="3">
        <v>50372727</v>
      </c>
      <c r="J45" s="3">
        <v>8037658.5894682668</v>
      </c>
      <c r="K45" s="3">
        <v>63293543.611238651</v>
      </c>
      <c r="L45" s="3">
        <v>17</v>
      </c>
      <c r="M45" s="3">
        <v>37771216.139604516</v>
      </c>
    </row>
    <row r="46" spans="1:13" ht="15.75" customHeight="1" x14ac:dyDescent="0.25">
      <c r="A46" s="2">
        <v>45</v>
      </c>
      <c r="B46" s="2" t="s">
        <v>122</v>
      </c>
      <c r="C46" s="2" t="s">
        <v>123</v>
      </c>
      <c r="D46" s="3">
        <v>826</v>
      </c>
      <c r="E46" s="3">
        <v>228742121.3872619</v>
      </c>
      <c r="F46" s="3">
        <v>0</v>
      </c>
      <c r="G46" s="3">
        <v>0</v>
      </c>
      <c r="H46" s="3">
        <v>140</v>
      </c>
      <c r="I46" s="3">
        <v>51027265</v>
      </c>
      <c r="J46" s="3">
        <v>394073.60655514669</v>
      </c>
      <c r="K46" s="3">
        <v>72407572.874737054</v>
      </c>
      <c r="L46" s="3">
        <v>686</v>
      </c>
      <c r="M46" s="3">
        <v>156334548.51252481</v>
      </c>
    </row>
    <row r="47" spans="1:13" ht="15.75" customHeight="1" x14ac:dyDescent="0.25">
      <c r="A47" s="2">
        <v>46</v>
      </c>
      <c r="B47" s="2" t="s">
        <v>124</v>
      </c>
      <c r="C47" s="2" t="s">
        <v>125</v>
      </c>
      <c r="D47" s="3">
        <v>313</v>
      </c>
      <c r="E47" s="3">
        <v>212764591.18118271</v>
      </c>
      <c r="F47" s="3">
        <v>0</v>
      </c>
      <c r="G47" s="3">
        <v>0</v>
      </c>
      <c r="H47" s="3">
        <v>5</v>
      </c>
      <c r="I47" s="3">
        <v>3727273</v>
      </c>
      <c r="J47" s="3">
        <v>716187.62838659401</v>
      </c>
      <c r="K47" s="3">
        <v>4699757.2309710914</v>
      </c>
      <c r="L47" s="3">
        <v>308</v>
      </c>
      <c r="M47" s="3">
        <v>208064833.95021161</v>
      </c>
    </row>
    <row r="48" spans="1:13" ht="15.75" customHeight="1" x14ac:dyDescent="0.25">
      <c r="A48" s="2">
        <v>47</v>
      </c>
      <c r="B48" s="2" t="s">
        <v>126</v>
      </c>
      <c r="C48" s="2" t="s">
        <v>127</v>
      </c>
      <c r="D48" s="3">
        <v>218</v>
      </c>
      <c r="E48" s="3">
        <v>61622249.688841008</v>
      </c>
      <c r="F48" s="3">
        <v>2</v>
      </c>
      <c r="G48" s="3">
        <v>2516785.9147441131</v>
      </c>
      <c r="H48" s="3">
        <v>29</v>
      </c>
      <c r="I48" s="3">
        <v>15120000</v>
      </c>
      <c r="J48" s="3">
        <v>436384.86069247877</v>
      </c>
      <c r="K48" s="3">
        <v>16609106.852413541</v>
      </c>
      <c r="L48" s="3">
        <v>191</v>
      </c>
      <c r="M48" s="3">
        <v>47529928.751171581</v>
      </c>
    </row>
    <row r="49" spans="1:13" ht="15.75" customHeight="1" x14ac:dyDescent="0.25">
      <c r="A49" s="2">
        <v>48</v>
      </c>
      <c r="B49" s="2" t="s">
        <v>128</v>
      </c>
      <c r="C49" s="2" t="s">
        <v>129</v>
      </c>
      <c r="D49" s="3">
        <v>76</v>
      </c>
      <c r="E49" s="3">
        <v>67070592.952461436</v>
      </c>
      <c r="F49" s="3">
        <v>0</v>
      </c>
      <c r="G49" s="3">
        <v>0</v>
      </c>
      <c r="H49" s="3">
        <v>8</v>
      </c>
      <c r="I49" s="3">
        <v>8363636</v>
      </c>
      <c r="J49" s="3">
        <v>962345.272881301</v>
      </c>
      <c r="K49" s="3">
        <v>10104143.60852012</v>
      </c>
      <c r="L49" s="3">
        <v>68</v>
      </c>
      <c r="M49" s="3">
        <v>56966449.343941323</v>
      </c>
    </row>
    <row r="50" spans="1:13" ht="15.75" customHeight="1" x14ac:dyDescent="0.25">
      <c r="A50" s="2">
        <v>49</v>
      </c>
      <c r="B50" s="2" t="s">
        <v>130</v>
      </c>
      <c r="C50" s="2" t="s">
        <v>131</v>
      </c>
      <c r="D50" s="3">
        <v>189</v>
      </c>
      <c r="E50" s="3">
        <v>625452941.7691747</v>
      </c>
      <c r="F50" s="3">
        <v>0</v>
      </c>
      <c r="G50" s="3">
        <v>0</v>
      </c>
      <c r="H50" s="3">
        <v>0</v>
      </c>
      <c r="I50" s="3">
        <v>0</v>
      </c>
      <c r="J50" s="3">
        <v>3376250.5074626859</v>
      </c>
      <c r="K50" s="3">
        <v>0</v>
      </c>
      <c r="L50" s="3">
        <v>189</v>
      </c>
      <c r="M50" s="3">
        <v>625452941.7691747</v>
      </c>
    </row>
    <row r="51" spans="1:13" ht="15.75" customHeight="1" x14ac:dyDescent="0.25">
      <c r="A51" s="2">
        <v>50</v>
      </c>
      <c r="B51" s="2" t="s">
        <v>132</v>
      </c>
      <c r="C51" s="2" t="s">
        <v>133</v>
      </c>
      <c r="D51" s="3">
        <v>191</v>
      </c>
      <c r="E51" s="3">
        <v>60308339.760886081</v>
      </c>
      <c r="F51" s="3">
        <v>50</v>
      </c>
      <c r="G51" s="3">
        <v>26888249.783231519</v>
      </c>
      <c r="H51" s="3">
        <v>1</v>
      </c>
      <c r="I51" s="3">
        <v>409091</v>
      </c>
      <c r="J51" s="3">
        <v>378886.78132458992</v>
      </c>
      <c r="K51" s="3">
        <v>497265.19131894462</v>
      </c>
      <c r="L51" s="3">
        <v>240</v>
      </c>
      <c r="M51" s="3">
        <v>86699324.352798656</v>
      </c>
    </row>
    <row r="52" spans="1:13" ht="15.75" customHeight="1" x14ac:dyDescent="0.25">
      <c r="A52" s="2">
        <v>51</v>
      </c>
      <c r="B52" s="2" t="s">
        <v>134</v>
      </c>
      <c r="C52" s="2" t="s">
        <v>135</v>
      </c>
      <c r="D52" s="3">
        <v>2261</v>
      </c>
      <c r="E52" s="3">
        <v>58979421.84398564</v>
      </c>
      <c r="F52" s="3">
        <v>1154</v>
      </c>
      <c r="G52" s="3">
        <v>160317501.98705429</v>
      </c>
      <c r="H52" s="3">
        <v>306</v>
      </c>
      <c r="I52" s="3">
        <v>43277273</v>
      </c>
      <c r="J52" s="3">
        <v>68215.10003307373</v>
      </c>
      <c r="K52" s="3">
        <v>27395583.353319999</v>
      </c>
      <c r="L52" s="3">
        <v>3109</v>
      </c>
      <c r="M52" s="3">
        <v>191901340.4777199</v>
      </c>
    </row>
    <row r="53" spans="1:13" ht="15.75" customHeight="1" x14ac:dyDescent="0.25">
      <c r="A53" s="2">
        <v>52</v>
      </c>
      <c r="B53" s="2" t="s">
        <v>136</v>
      </c>
      <c r="C53" s="2" t="s">
        <v>137</v>
      </c>
      <c r="D53" s="3">
        <v>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6</v>
      </c>
      <c r="M53" s="3">
        <v>0</v>
      </c>
    </row>
    <row r="54" spans="1:13" ht="15.75" customHeight="1" x14ac:dyDescent="0.25">
      <c r="C54" s="4" t="s">
        <v>138</v>
      </c>
      <c r="D54" s="5">
        <f t="shared" ref="D54:M54" si="0">SUM(D2:D53)</f>
        <v>43330.245000000003</v>
      </c>
      <c r="E54" s="5">
        <f t="shared" si="0"/>
        <v>18700434627.209503</v>
      </c>
      <c r="F54" s="5">
        <f t="shared" si="0"/>
        <v>2614</v>
      </c>
      <c r="G54" s="5">
        <f t="shared" si="0"/>
        <v>3677579245.3349438</v>
      </c>
      <c r="H54" s="5">
        <f t="shared" si="0"/>
        <v>2008</v>
      </c>
      <c r="I54" s="5">
        <f t="shared" si="0"/>
        <v>2660806506</v>
      </c>
      <c r="J54" s="5">
        <f t="shared" si="0"/>
        <v>209385463.08436376</v>
      </c>
      <c r="K54" s="5">
        <f t="shared" si="0"/>
        <v>2472018199.5444374</v>
      </c>
      <c r="L54" s="5">
        <f t="shared" si="0"/>
        <v>43936.245000000003</v>
      </c>
      <c r="M54" s="5">
        <f t="shared" si="0"/>
        <v>19905995672.999996</v>
      </c>
    </row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3" x14ac:dyDescent="0.25">
      <c r="A1" s="1" t="s">
        <v>153</v>
      </c>
      <c r="B1" s="1" t="s">
        <v>154</v>
      </c>
      <c r="C1" s="1" t="s">
        <v>155</v>
      </c>
    </row>
    <row r="2" spans="1:3" x14ac:dyDescent="0.25">
      <c r="A2" s="2" t="s">
        <v>156</v>
      </c>
      <c r="B2" s="3">
        <v>911093055</v>
      </c>
      <c r="C2" s="3">
        <v>667212835</v>
      </c>
    </row>
    <row r="3" spans="1:3" x14ac:dyDescent="0.25">
      <c r="A3" s="2" t="s">
        <v>157</v>
      </c>
      <c r="B3" s="3">
        <v>1340690143</v>
      </c>
      <c r="C3" s="3">
        <v>384160170</v>
      </c>
    </row>
    <row r="4" spans="1:3" x14ac:dyDescent="0.25">
      <c r="A4" s="2" t="s">
        <v>158</v>
      </c>
      <c r="B4" s="3">
        <v>1921756200</v>
      </c>
      <c r="C4" s="3">
        <v>1637159838</v>
      </c>
    </row>
    <row r="5" spans="1:3" x14ac:dyDescent="0.25">
      <c r="A5" s="2" t="s">
        <v>159</v>
      </c>
      <c r="B5" s="3">
        <v>617578009</v>
      </c>
      <c r="C5" s="3">
        <v>1000000520</v>
      </c>
    </row>
    <row r="6" spans="1:3" x14ac:dyDescent="0.25">
      <c r="A6" s="2" t="s">
        <v>160</v>
      </c>
      <c r="B6" s="3">
        <v>735922478</v>
      </c>
      <c r="C6" s="3">
        <v>1650324554</v>
      </c>
    </row>
    <row r="7" spans="1:3" x14ac:dyDescent="0.25">
      <c r="A7" s="2" t="s">
        <v>161</v>
      </c>
      <c r="B7" s="3">
        <v>2689221754.8899999</v>
      </c>
      <c r="C7" s="3">
        <v>991577247</v>
      </c>
    </row>
    <row r="8" spans="1:3" x14ac:dyDescent="0.25">
      <c r="A8" s="2" t="s">
        <v>162</v>
      </c>
      <c r="B8" s="3">
        <v>1301480362</v>
      </c>
      <c r="C8" s="3">
        <v>2880039362</v>
      </c>
    </row>
    <row r="9" spans="1:3" x14ac:dyDescent="0.25">
      <c r="A9" s="2" t="s">
        <v>163</v>
      </c>
      <c r="B9" s="3">
        <v>1870591770</v>
      </c>
      <c r="C9" s="3">
        <v>1922645025</v>
      </c>
    </row>
    <row r="10" spans="1:3" x14ac:dyDescent="0.25">
      <c r="A10" s="2" t="s">
        <v>164</v>
      </c>
      <c r="B10" s="3">
        <v>2288697657</v>
      </c>
      <c r="C10" s="3">
        <v>1690133581</v>
      </c>
    </row>
    <row r="11" spans="1:3" x14ac:dyDescent="0.25">
      <c r="A11" s="2" t="s">
        <v>165</v>
      </c>
      <c r="B11" s="3">
        <v>1369825732</v>
      </c>
      <c r="C11" s="3">
        <v>1448234719</v>
      </c>
    </row>
    <row r="12" spans="1:3" x14ac:dyDescent="0.25">
      <c r="A12" s="2" t="s">
        <v>166</v>
      </c>
      <c r="B12" s="3">
        <v>2201404195</v>
      </c>
      <c r="C12" s="3">
        <v>1331304547</v>
      </c>
    </row>
    <row r="13" spans="1:3" x14ac:dyDescent="0.25">
      <c r="A13" s="2" t="s">
        <v>167</v>
      </c>
      <c r="B13" s="3">
        <v>3799173375</v>
      </c>
      <c r="C13" s="3">
        <v>2660806506</v>
      </c>
    </row>
    <row r="14" spans="1:3" x14ac:dyDescent="0.25">
      <c r="A14" s="4" t="s">
        <v>138</v>
      </c>
      <c r="B14" s="5">
        <f t="shared" ref="B14:C14" si="0">SUM(B2:B13)</f>
        <v>21047434730.889999</v>
      </c>
      <c r="C14" s="5">
        <f t="shared" si="0"/>
        <v>18263598904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xnt12thang</vt:lpstr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2026-03-28T08:23:33Z</dcterms:created>
  <dcterms:modified xsi:type="dcterms:W3CDTF">2026-04-01T07:15:14Z</dcterms:modified>
</cp:coreProperties>
</file>