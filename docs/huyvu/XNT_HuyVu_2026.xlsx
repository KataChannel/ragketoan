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adon" sheetId="1" state="visible" r:id="rId1"/>
    <sheet xmlns:r="http://schemas.openxmlformats.org/officeDocument/2006/relationships" name="xnt12thang" sheetId="2" state="visible" r:id="rId2"/>
    <sheet xmlns:r="http://schemas.openxmlformats.org/officeDocument/2006/relationships" name="Tháng 1" sheetId="3" state="visible" r:id="rId3"/>
    <sheet xmlns:r="http://schemas.openxmlformats.org/officeDocument/2006/relationships" name="Tháng 2" sheetId="4" state="visible" r:id="rId4"/>
    <sheet xmlns:r="http://schemas.openxmlformats.org/officeDocument/2006/relationships" name="Tháng 3" sheetId="5" state="visible" r:id="rId5"/>
    <sheet xmlns:r="http://schemas.openxmlformats.org/officeDocument/2006/relationships" name="Tháng 4" sheetId="6" state="visible" r:id="rId6"/>
    <sheet xmlns:r="http://schemas.openxmlformats.org/officeDocument/2006/relationships" name="Tháng 5" sheetId="7" state="visible" r:id="rId7"/>
    <sheet xmlns:r="http://schemas.openxmlformats.org/officeDocument/2006/relationships" name="Tháng 6" sheetId="8" state="visible" r:id="rId8"/>
    <sheet xmlns:r="http://schemas.openxmlformats.org/officeDocument/2006/relationships" name="Tháng 7" sheetId="9" state="visible" r:id="rId9"/>
    <sheet xmlns:r="http://schemas.openxmlformats.org/officeDocument/2006/relationships" name="Tháng 8" sheetId="10" state="visible" r:id="rId10"/>
    <sheet xmlns:r="http://schemas.openxmlformats.org/officeDocument/2006/relationships" name="Tháng 9" sheetId="11" state="visible" r:id="rId11"/>
    <sheet xmlns:r="http://schemas.openxmlformats.org/officeDocument/2006/relationships" name="Tháng 10" sheetId="12" state="visible" r:id="rId12"/>
    <sheet xmlns:r="http://schemas.openxmlformats.org/officeDocument/2006/relationships" name="Tháng 11" sheetId="13" state="visible" r:id="rId13"/>
    <sheet xmlns:r="http://schemas.openxmlformats.org/officeDocument/2006/relationships" name="Tháng 1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3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Tháng</t>
        </is>
      </c>
      <c r="B1" s="1" t="inlineStr">
        <is>
          <t>Loại HD</t>
        </is>
      </c>
      <c r="C1" s="1" t="inlineStr">
        <is>
          <t>Tình trạng (Mã)</t>
        </is>
      </c>
      <c r="D1" s="1" t="inlineStr">
        <is>
          <t>Số lượng</t>
        </is>
      </c>
      <c r="E1" s="1" t="inlineStr">
        <is>
          <t>Tổng giá tiền (VNĐ)</t>
        </is>
      </c>
    </row>
    <row r="2">
      <c r="A2" s="2" t="n">
        <v>1</v>
      </c>
      <c r="B2" s="2" t="inlineStr">
        <is>
          <t>muavao</t>
        </is>
      </c>
      <c r="C2" s="2" t="inlineStr">
        <is>
          <t>1</t>
        </is>
      </c>
      <c r="D2" s="2" t="n">
        <v>48</v>
      </c>
      <c r="E2" s="3" t="n">
        <v>1202620807</v>
      </c>
    </row>
    <row r="3">
      <c r="A3" s="2" t="n">
        <v>1</v>
      </c>
      <c r="B3" s="2" t="inlineStr">
        <is>
          <t>muavao</t>
        </is>
      </c>
      <c r="C3" s="2" t="inlineStr">
        <is>
          <t>5</t>
        </is>
      </c>
      <c r="D3" s="2" t="n">
        <v>1</v>
      </c>
      <c r="E3" s="3" t="n">
        <v>5351851</v>
      </c>
    </row>
    <row r="4">
      <c r="A4" s="2" t="n">
        <v>2</v>
      </c>
      <c r="B4" s="2" t="inlineStr">
        <is>
          <t>muavao</t>
        </is>
      </c>
      <c r="C4" s="2" t="inlineStr">
        <is>
          <t>1</t>
        </is>
      </c>
      <c r="D4" s="2" t="n">
        <v>14</v>
      </c>
      <c r="E4" s="3" t="n">
        <v>229907141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Tổng Tồn Đầu (VNĐ)</t>
        </is>
      </c>
      <c r="E1" s="4" t="inlineStr">
        <is>
          <t>Tổng Nhập (VNĐ)</t>
        </is>
      </c>
      <c r="F1" s="4" t="inlineStr">
        <is>
          <t>Tổng Xuất (VNĐ)</t>
        </is>
      </c>
      <c r="G1" s="4" t="inlineStr">
        <is>
          <t>Tổng Giá Vốn (VNĐ)</t>
        </is>
      </c>
      <c r="H1" s="4" t="inlineStr">
        <is>
          <t>Tổng Tồn Cuối (VNĐ)</t>
        </is>
      </c>
      <c r="I1" s="4" t="inlineStr">
        <is>
          <t>Nhập T1</t>
        </is>
      </c>
      <c r="J1" s="4" t="inlineStr">
        <is>
          <t>Xuất T1</t>
        </is>
      </c>
      <c r="K1" s="4" t="inlineStr">
        <is>
          <t>Nhập T2</t>
        </is>
      </c>
      <c r="L1" s="4" t="inlineStr">
        <is>
          <t>Xuất T2</t>
        </is>
      </c>
      <c r="M1" s="4" t="inlineStr">
        <is>
          <t>Nhập T3</t>
        </is>
      </c>
      <c r="N1" s="4" t="inlineStr">
        <is>
          <t>Xuất T3</t>
        </is>
      </c>
      <c r="O1" s="4" t="inlineStr">
        <is>
          <t>Nhập T4</t>
        </is>
      </c>
      <c r="P1" s="4" t="inlineStr">
        <is>
          <t>Xuất T4</t>
        </is>
      </c>
      <c r="Q1" s="4" t="inlineStr">
        <is>
          <t>Nhập T5</t>
        </is>
      </c>
      <c r="R1" s="4" t="inlineStr">
        <is>
          <t>Xuất T5</t>
        </is>
      </c>
      <c r="S1" s="4" t="inlineStr">
        <is>
          <t>Nhập T6</t>
        </is>
      </c>
      <c r="T1" s="4" t="inlineStr">
        <is>
          <t>Xuất T6</t>
        </is>
      </c>
      <c r="U1" s="4" t="inlineStr">
        <is>
          <t>Nhập T7</t>
        </is>
      </c>
      <c r="V1" s="4" t="inlineStr">
        <is>
          <t>Xuất T7</t>
        </is>
      </c>
      <c r="W1" s="4" t="inlineStr">
        <is>
          <t>Nhập T8</t>
        </is>
      </c>
      <c r="X1" s="4" t="inlineStr">
        <is>
          <t>Xuất T8</t>
        </is>
      </c>
      <c r="Y1" s="4" t="inlineStr">
        <is>
          <t>Nhập T9</t>
        </is>
      </c>
      <c r="Z1" s="4" t="inlineStr">
        <is>
          <t>Xuất T9</t>
        </is>
      </c>
      <c r="AA1" s="4" t="inlineStr">
        <is>
          <t>Nhập T10</t>
        </is>
      </c>
      <c r="AB1" s="4" t="inlineStr">
        <is>
          <t>Xuất T10</t>
        </is>
      </c>
      <c r="AC1" s="4" t="inlineStr">
        <is>
          <t>Nhập T11</t>
        </is>
      </c>
      <c r="AD1" s="4" t="inlineStr">
        <is>
          <t>Xuất T11</t>
        </is>
      </c>
      <c r="AE1" s="4" t="inlineStr">
        <is>
          <t>Nhập T12</t>
        </is>
      </c>
      <c r="AF1" s="4" t="inlineStr">
        <is>
          <t>Xuất T12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3" t="n">
        <v>291339673.6482478</v>
      </c>
      <c r="E2" s="3" t="n">
        <v>11327773</v>
      </c>
      <c r="F2" s="3" t="n">
        <v>0</v>
      </c>
      <c r="G2" s="3" t="n">
        <v>0</v>
      </c>
      <c r="H2" s="3" t="n">
        <v>302667446.6482478</v>
      </c>
      <c r="I2" s="3" t="n">
        <v>11327773</v>
      </c>
      <c r="J2" s="3" t="n">
        <v>0</v>
      </c>
      <c r="K2" s="3" t="n">
        <v>0</v>
      </c>
      <c r="L2" s="3" t="n">
        <v>0</v>
      </c>
      <c r="M2" s="3" t="n">
        <v>0</v>
      </c>
      <c r="N2" s="3" t="n">
        <v>0</v>
      </c>
      <c r="O2" s="3" t="n">
        <v>0</v>
      </c>
      <c r="P2" s="3" t="n">
        <v>0</v>
      </c>
      <c r="Q2" s="3" t="n">
        <v>0</v>
      </c>
      <c r="R2" s="3" t="n">
        <v>0</v>
      </c>
      <c r="S2" s="3" t="n">
        <v>0</v>
      </c>
      <c r="T2" s="3" t="n">
        <v>0</v>
      </c>
      <c r="U2" s="3" t="n">
        <v>0</v>
      </c>
      <c r="V2" s="3" t="n">
        <v>0</v>
      </c>
      <c r="W2" s="3" t="n">
        <v>0</v>
      </c>
      <c r="X2" s="3" t="n">
        <v>0</v>
      </c>
      <c r="Y2" s="3" t="n">
        <v>0</v>
      </c>
      <c r="Z2" s="3" t="n">
        <v>0</v>
      </c>
      <c r="AA2" s="3" t="n">
        <v>0</v>
      </c>
      <c r="AB2" s="3" t="n">
        <v>0</v>
      </c>
      <c r="AC2" s="3" t="n">
        <v>0</v>
      </c>
      <c r="AD2" s="3" t="n">
        <v>0</v>
      </c>
      <c r="AE2" s="3" t="n">
        <v>0</v>
      </c>
      <c r="AF2" s="3" t="n">
        <v>0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3" t="n">
        <v>86682748.31017932</v>
      </c>
      <c r="E3" s="3" t="n">
        <v>3370370</v>
      </c>
      <c r="F3" s="3" t="n">
        <v>0</v>
      </c>
      <c r="G3" s="3" t="n">
        <v>0</v>
      </c>
      <c r="H3" s="3" t="n">
        <v>90053118.31017932</v>
      </c>
      <c r="I3" s="3" t="n">
        <v>3370370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  <c r="AD3" s="3" t="n">
        <v>0</v>
      </c>
      <c r="AE3" s="3" t="n">
        <v>0</v>
      </c>
      <c r="AF3" s="3" t="n">
        <v>0</v>
      </c>
    </row>
    <row r="4">
      <c r="A4" s="2" t="n">
        <v>3</v>
      </c>
      <c r="B4" s="2" t="inlineStr">
        <is>
          <t>INK-CAN-12A</t>
        </is>
      </c>
      <c r="C4" s="2" t="inlineStr">
        <is>
          <t>Mực Canon 12A</t>
        </is>
      </c>
      <c r="D4" s="3" t="n">
        <v>124070648.7334269</v>
      </c>
      <c r="E4" s="3" t="n">
        <v>4824074</v>
      </c>
      <c r="F4" s="3" t="n">
        <v>0</v>
      </c>
      <c r="G4" s="3" t="n">
        <v>0</v>
      </c>
      <c r="H4" s="3" t="n">
        <v>128894722.7334269</v>
      </c>
      <c r="I4" s="3" t="n">
        <v>4824074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  <c r="AD4" s="3" t="n">
        <v>0</v>
      </c>
      <c r="AE4" s="3" t="n">
        <v>0</v>
      </c>
      <c r="AF4" s="3" t="n">
        <v>0</v>
      </c>
    </row>
    <row r="5">
      <c r="A5" s="2" t="n">
        <v>4</v>
      </c>
      <c r="B5" s="2" t="inlineStr">
        <is>
          <t>INK-CAN-35A</t>
        </is>
      </c>
      <c r="C5" s="2" t="inlineStr">
        <is>
          <t>Mực Canon 35A/85A</t>
        </is>
      </c>
      <c r="D5" s="3" t="n">
        <v>70723557.18830474</v>
      </c>
      <c r="E5" s="3" t="n">
        <v>2749850</v>
      </c>
      <c r="F5" s="3" t="n">
        <v>0</v>
      </c>
      <c r="G5" s="3" t="n">
        <v>0</v>
      </c>
      <c r="H5" s="3" t="n">
        <v>73473407.18830474</v>
      </c>
      <c r="I5" s="3" t="n">
        <v>2749850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</row>
    <row r="6">
      <c r="A6" s="2" t="n">
        <v>5</v>
      </c>
      <c r="B6" s="2" t="inlineStr">
        <is>
          <t>LCD-DELL-22</t>
        </is>
      </c>
      <c r="C6" s="2" t="inlineStr">
        <is>
          <t>Màn hình DELL 22"</t>
        </is>
      </c>
      <c r="D6" s="3" t="n">
        <v>179557154.5670201</v>
      </c>
      <c r="E6" s="3" t="n">
        <v>6981482</v>
      </c>
      <c r="F6" s="3" t="n">
        <v>0</v>
      </c>
      <c r="G6" s="3" t="n">
        <v>0</v>
      </c>
      <c r="H6" s="3" t="n">
        <v>186538636.5670201</v>
      </c>
      <c r="I6" s="3" t="n">
        <v>5638889</v>
      </c>
      <c r="J6" s="3" t="n">
        <v>0</v>
      </c>
      <c r="K6" s="3" t="n">
        <v>1342593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  <c r="AD6" s="3" t="n">
        <v>0</v>
      </c>
      <c r="AE6" s="3" t="n">
        <v>0</v>
      </c>
      <c r="AF6" s="3" t="n">
        <v>0</v>
      </c>
    </row>
    <row r="7">
      <c r="A7" s="2" t="n">
        <v>6</v>
      </c>
      <c r="B7" s="2" t="inlineStr">
        <is>
          <t>LCD-DELL-24</t>
        </is>
      </c>
      <c r="C7" s="2" t="inlineStr">
        <is>
          <t>Màn hình DELL 24"</t>
        </is>
      </c>
      <c r="D7" s="3" t="n">
        <v>1051385657.451038</v>
      </c>
      <c r="E7" s="3" t="n">
        <v>40879630</v>
      </c>
      <c r="F7" s="3" t="n">
        <v>0</v>
      </c>
      <c r="G7" s="3" t="n">
        <v>0</v>
      </c>
      <c r="H7" s="3" t="n">
        <v>1092265287.451038</v>
      </c>
      <c r="I7" s="3" t="n">
        <v>38657408</v>
      </c>
      <c r="J7" s="3" t="n">
        <v>0</v>
      </c>
      <c r="K7" s="3" t="n">
        <v>2222222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</row>
    <row r="8">
      <c r="A8" s="2" t="n">
        <v>7</v>
      </c>
      <c r="B8" s="2" t="inlineStr">
        <is>
          <t>LCD-LG-24</t>
        </is>
      </c>
      <c r="C8" s="2" t="inlineStr">
        <is>
          <t>Màn hình LG 24-27"</t>
        </is>
      </c>
      <c r="D8" s="3" t="n">
        <v>148675147.5657241</v>
      </c>
      <c r="E8" s="3" t="n">
        <v>5780738</v>
      </c>
      <c r="F8" s="3" t="n">
        <v>0</v>
      </c>
      <c r="G8" s="3" t="n">
        <v>0</v>
      </c>
      <c r="H8" s="3" t="n">
        <v>154455885.5657241</v>
      </c>
      <c r="I8" s="3" t="n">
        <v>5780738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0</v>
      </c>
    </row>
    <row r="9">
      <c r="A9" s="2" t="n">
        <v>8</v>
      </c>
      <c r="B9" s="2" t="inlineStr">
        <is>
          <t>LCD-VIEW-24</t>
        </is>
      </c>
      <c r="C9" s="2" t="inlineStr">
        <is>
          <t>Màn hình ViewSonic</t>
        </is>
      </c>
      <c r="D9" s="3" t="n">
        <v>405075195.2709419</v>
      </c>
      <c r="E9" s="3" t="n">
        <v>15750000</v>
      </c>
      <c r="F9" s="3" t="n">
        <v>0</v>
      </c>
      <c r="G9" s="3" t="n">
        <v>0</v>
      </c>
      <c r="H9" s="3" t="n">
        <v>420825195.2709419</v>
      </c>
      <c r="I9" s="3" t="n">
        <v>15750000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0</v>
      </c>
    </row>
    <row r="10">
      <c r="A10" s="2" t="n">
        <v>9</v>
      </c>
      <c r="B10" s="2" t="inlineStr">
        <is>
          <t>MS-LOGI</t>
        </is>
      </c>
      <c r="C10" s="2" t="inlineStr">
        <is>
          <t>Chuột Logitech</t>
        </is>
      </c>
      <c r="D10" s="3" t="n">
        <v>234448289.880275</v>
      </c>
      <c r="E10" s="3" t="n">
        <v>9115741</v>
      </c>
      <c r="F10" s="3" t="n">
        <v>0</v>
      </c>
      <c r="G10" s="3" t="n">
        <v>0</v>
      </c>
      <c r="H10" s="3" t="n">
        <v>243564030.880275</v>
      </c>
      <c r="I10" s="3" t="n">
        <v>9115741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</row>
    <row r="11">
      <c r="A11" s="2" t="n">
        <v>10</v>
      </c>
      <c r="B11" s="2" t="inlineStr">
        <is>
          <t>OTH-GEN</t>
        </is>
      </c>
      <c r="C11" s="2" t="inlineStr">
        <is>
          <t>Hàng hóa khác</t>
        </is>
      </c>
      <c r="D11" s="3" t="n">
        <v>3641475086.041586</v>
      </c>
      <c r="E11" s="3" t="n">
        <v>141586632</v>
      </c>
      <c r="F11" s="3" t="n">
        <v>0</v>
      </c>
      <c r="G11" s="3" t="n">
        <v>0</v>
      </c>
      <c r="H11" s="3" t="n">
        <v>3783061718.041586</v>
      </c>
      <c r="I11" s="3" t="n">
        <v>123233853</v>
      </c>
      <c r="J11" s="3" t="n">
        <v>0</v>
      </c>
      <c r="K11" s="3" t="n">
        <v>18352779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</row>
    <row r="12">
      <c r="A12" s="2" t="n">
        <v>11</v>
      </c>
      <c r="B12" s="2" t="inlineStr">
        <is>
          <t>PC-DELL-XPS</t>
        </is>
      </c>
      <c r="C12" s="2" t="inlineStr">
        <is>
          <t>Laptop DELL XPS</t>
        </is>
      </c>
      <c r="D12" s="3" t="n">
        <v>11754563010.40653</v>
      </c>
      <c r="E12" s="3" t="n">
        <v>457037038</v>
      </c>
      <c r="F12" s="3" t="n">
        <v>0</v>
      </c>
      <c r="G12" s="3" t="n">
        <v>0</v>
      </c>
      <c r="H12" s="3" t="n">
        <v>12211600048.40653</v>
      </c>
      <c r="I12" s="3" t="n">
        <v>273796297</v>
      </c>
      <c r="J12" s="3" t="n">
        <v>0</v>
      </c>
      <c r="K12" s="3" t="n">
        <v>183240741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</row>
    <row r="13">
      <c r="A13" s="2" t="n">
        <v>12</v>
      </c>
      <c r="B13" s="2" t="inlineStr">
        <is>
          <t>PC-HP-PRO</t>
        </is>
      </c>
      <c r="C13" s="2" t="inlineStr">
        <is>
          <t>Laptop HP ProBook</t>
        </is>
      </c>
      <c r="D13" s="3" t="n">
        <v>8563947110.077991</v>
      </c>
      <c r="E13" s="3" t="n">
        <v>332980564</v>
      </c>
      <c r="F13" s="3" t="n">
        <v>0</v>
      </c>
      <c r="G13" s="3" t="n">
        <v>0</v>
      </c>
      <c r="H13" s="3" t="n">
        <v>8896927674.077991</v>
      </c>
      <c r="I13" s="3" t="n">
        <v>332980564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</row>
    <row r="14">
      <c r="A14" s="2" t="n">
        <v>13</v>
      </c>
      <c r="B14" s="2" t="inlineStr">
        <is>
          <t>PC-LEN-V</t>
        </is>
      </c>
      <c r="C14" s="2" t="inlineStr">
        <is>
          <t>Laptop Lenovo V-Series</t>
        </is>
      </c>
      <c r="D14" s="3" t="n">
        <v>7596648273.333356</v>
      </c>
      <c r="E14" s="3" t="n">
        <v>295370370</v>
      </c>
      <c r="F14" s="3" t="n">
        <v>0</v>
      </c>
      <c r="G14" s="3" t="n">
        <v>0</v>
      </c>
      <c r="H14" s="3" t="n">
        <v>7892018643.333356</v>
      </c>
      <c r="I14" s="3" t="n">
        <v>295370370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</row>
    <row r="15">
      <c r="A15" s="2" t="n">
        <v>14</v>
      </c>
      <c r="B15" s="2" t="inlineStr">
        <is>
          <t>PC-MAC-AIR</t>
        </is>
      </c>
      <c r="C15" s="2" t="inlineStr">
        <is>
          <t>Apple MacBook Air</t>
        </is>
      </c>
      <c r="D15" s="3" t="n">
        <v>335300362.7685517</v>
      </c>
      <c r="E15" s="3" t="n">
        <v>13037038</v>
      </c>
      <c r="F15" s="3" t="n">
        <v>0</v>
      </c>
      <c r="G15" s="3" t="n">
        <v>0</v>
      </c>
      <c r="H15" s="3" t="n">
        <v>348337400.7685517</v>
      </c>
      <c r="I15" s="3" t="n">
        <v>13037038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  <c r="AD15" s="3" t="n">
        <v>0</v>
      </c>
      <c r="AE15" s="3" t="n">
        <v>0</v>
      </c>
      <c r="AF15" s="3" t="n">
        <v>0</v>
      </c>
    </row>
    <row r="16">
      <c r="A16" s="2" t="n">
        <v>15</v>
      </c>
      <c r="B16" s="2" t="inlineStr">
        <is>
          <t>PRN-BRO-HL</t>
        </is>
      </c>
      <c r="C16" s="2" t="inlineStr">
        <is>
          <t>Máy in Laser Brother</t>
        </is>
      </c>
      <c r="D16" s="3" t="n">
        <v>226685120.2093825</v>
      </c>
      <c r="E16" s="3" t="n">
        <v>8813896</v>
      </c>
      <c r="F16" s="3" t="n">
        <v>0</v>
      </c>
      <c r="G16" s="3" t="n">
        <v>0</v>
      </c>
      <c r="H16" s="3" t="n">
        <v>235499016.2093825</v>
      </c>
      <c r="I16" s="3" t="n">
        <v>8813896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</row>
    <row r="17">
      <c r="A17" s="2" t="n">
        <v>16</v>
      </c>
      <c r="B17" s="2" t="inlineStr">
        <is>
          <t>PRN-CAN-LBP</t>
        </is>
      </c>
      <c r="C17" s="2" t="inlineStr">
        <is>
          <t>Máy in Laser Canon</t>
        </is>
      </c>
      <c r="D17" s="3" t="n">
        <v>1758016728.547441</v>
      </c>
      <c r="E17" s="3" t="n">
        <v>68354626</v>
      </c>
      <c r="F17" s="3" t="n">
        <v>0</v>
      </c>
      <c r="G17" s="3" t="n">
        <v>0</v>
      </c>
      <c r="H17" s="3" t="n">
        <v>1826371354.547441</v>
      </c>
      <c r="I17" s="3" t="n">
        <v>44743516</v>
      </c>
      <c r="J17" s="3" t="n">
        <v>0</v>
      </c>
      <c r="K17" s="3" t="n">
        <v>23611110</v>
      </c>
      <c r="L17" s="3" t="n">
        <v>0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</row>
    <row r="18">
      <c r="C18" s="5" t="inlineStr">
        <is>
          <t>TỔNG CỘNG</t>
        </is>
      </c>
      <c r="D18" s="6">
        <f>SUM(D2:D17)</f>
        <v/>
      </c>
      <c r="E18" s="6">
        <f>SUM(E2:E17)</f>
        <v/>
      </c>
      <c r="F18" s="6">
        <f>SUM(F2:F17)</f>
        <v/>
      </c>
      <c r="G18" s="6">
        <f>SUM(G2:G17)</f>
        <v/>
      </c>
      <c r="H18" s="6">
        <f>SUM(H2:H17)</f>
        <v/>
      </c>
      <c r="I18" s="6">
        <f>SUM(I2:I17)</f>
        <v/>
      </c>
      <c r="J18" s="6">
        <f>SUM(J2:J17)</f>
        <v/>
      </c>
      <c r="K18" s="6">
        <f>SUM(K2:K17)</f>
        <v/>
      </c>
      <c r="L18" s="6">
        <f>SUM(L2:L17)</f>
        <v/>
      </c>
      <c r="M18" s="6">
        <f>SUM(M2:M17)</f>
        <v/>
      </c>
      <c r="N18" s="6">
        <f>SUM(N2:N17)</f>
        <v/>
      </c>
      <c r="O18" s="6">
        <f>SUM(O2:O17)</f>
        <v/>
      </c>
      <c r="P18" s="6">
        <f>SUM(P2:P17)</f>
        <v/>
      </c>
      <c r="Q18" s="6">
        <f>SUM(Q2:Q17)</f>
        <v/>
      </c>
      <c r="R18" s="6">
        <f>SUM(R2:R17)</f>
        <v/>
      </c>
      <c r="S18" s="6">
        <f>SUM(S2:S17)</f>
        <v/>
      </c>
      <c r="T18" s="6">
        <f>SUM(T2:T17)</f>
        <v/>
      </c>
      <c r="U18" s="6">
        <f>SUM(U2:U17)</f>
        <v/>
      </c>
      <c r="V18" s="6">
        <f>SUM(V2:V17)</f>
        <v/>
      </c>
      <c r="W18" s="6">
        <f>SUM(W2:W17)</f>
        <v/>
      </c>
      <c r="X18" s="6">
        <f>SUM(X2:X17)</f>
        <v/>
      </c>
      <c r="Y18" s="6">
        <f>SUM(Y2:Y17)</f>
        <v/>
      </c>
      <c r="Z18" s="6">
        <f>SUM(Z2:Z17)</f>
        <v/>
      </c>
      <c r="AA18" s="6">
        <f>SUM(AA2:AA17)</f>
        <v/>
      </c>
      <c r="AB18" s="6">
        <f>SUM(AB2:AB17)</f>
        <v/>
      </c>
      <c r="AC18" s="6">
        <f>SUM(AC2:AC17)</f>
        <v/>
      </c>
      <c r="AD18" s="6">
        <f>SUM(AD2:AD17)</f>
        <v/>
      </c>
      <c r="AE18" s="6">
        <f>SUM(AE2:AE17)</f>
        <v/>
      </c>
      <c r="AF18" s="6">
        <f>SUM(AF2:AF17)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823</v>
      </c>
      <c r="E2" s="7" t="n">
        <v>291339673.6482478</v>
      </c>
      <c r="F2" s="7" t="n">
        <v>32</v>
      </c>
      <c r="G2" s="7" t="n">
        <v>11327773</v>
      </c>
      <c r="H2" s="7" t="n">
        <v>0</v>
      </c>
      <c r="I2" s="7" t="n">
        <v>0</v>
      </c>
      <c r="J2" s="7" t="n">
        <v>353997.0136236817</v>
      </c>
      <c r="K2" s="7" t="n">
        <v>0</v>
      </c>
      <c r="L2" s="7" t="n">
        <v>855</v>
      </c>
      <c r="M2" s="7" t="n">
        <v>302667446.6482478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334</v>
      </c>
      <c r="E3" s="7" t="n">
        <v>86682748.31017932</v>
      </c>
      <c r="F3" s="7" t="n">
        <v>13</v>
      </c>
      <c r="G3" s="7" t="n">
        <v>3370370</v>
      </c>
      <c r="H3" s="7" t="n">
        <v>0</v>
      </c>
      <c r="I3" s="7" t="n">
        <v>0</v>
      </c>
      <c r="J3" s="7" t="n">
        <v>259519.0729399981</v>
      </c>
      <c r="K3" s="7" t="n">
        <v>0</v>
      </c>
      <c r="L3" s="7" t="n">
        <v>347</v>
      </c>
      <c r="M3" s="7" t="n">
        <v>90053118.31017932</v>
      </c>
    </row>
    <row r="4">
      <c r="A4" s="2" t="n">
        <v>3</v>
      </c>
      <c r="B4" s="2" t="inlineStr">
        <is>
          <t>INK-CAN-12A</t>
        </is>
      </c>
      <c r="C4" s="2" t="inlineStr">
        <is>
          <t>Mực Canon 12A</t>
        </is>
      </c>
      <c r="D4" s="7" t="n">
        <v>952</v>
      </c>
      <c r="E4" s="7" t="n">
        <v>124070648.7334269</v>
      </c>
      <c r="F4" s="7" t="n">
        <v>37</v>
      </c>
      <c r="G4" s="7" t="n">
        <v>4824074</v>
      </c>
      <c r="H4" s="7" t="n">
        <v>0</v>
      </c>
      <c r="I4" s="7" t="n">
        <v>0</v>
      </c>
      <c r="J4" s="7" t="n">
        <v>130328.3344119584</v>
      </c>
      <c r="K4" s="7" t="n">
        <v>0</v>
      </c>
      <c r="L4" s="7" t="n">
        <v>989</v>
      </c>
      <c r="M4" s="7" t="n">
        <v>128894722.7334269</v>
      </c>
    </row>
    <row r="5">
      <c r="A5" s="2" t="n">
        <v>4</v>
      </c>
      <c r="B5" s="2" t="inlineStr">
        <is>
          <t>INK-CAN-35A</t>
        </is>
      </c>
      <c r="C5" s="2" t="inlineStr">
        <is>
          <t>Mực Canon 35A/85A</t>
        </is>
      </c>
      <c r="D5" s="7" t="n">
        <v>2829</v>
      </c>
      <c r="E5" s="7" t="n">
        <v>70723557.18830474</v>
      </c>
      <c r="F5" s="7" t="n">
        <v>110</v>
      </c>
      <c r="G5" s="7" t="n">
        <v>2749850</v>
      </c>
      <c r="H5" s="7" t="n">
        <v>0</v>
      </c>
      <c r="I5" s="7" t="n">
        <v>0</v>
      </c>
      <c r="J5" s="7" t="n">
        <v>24999.45804297541</v>
      </c>
      <c r="K5" s="7" t="n">
        <v>0</v>
      </c>
      <c r="L5" s="7" t="n">
        <v>2939</v>
      </c>
      <c r="M5" s="7" t="n">
        <v>73473407.18830474</v>
      </c>
    </row>
    <row r="6">
      <c r="A6" s="2" t="n">
        <v>5</v>
      </c>
      <c r="B6" s="2" t="inlineStr">
        <is>
          <t>LCD-DELL-22</t>
        </is>
      </c>
      <c r="C6" s="2" t="inlineStr">
        <is>
          <t>Màn hình DELL 22"</t>
        </is>
      </c>
      <c r="D6" s="7" t="n">
        <v>103</v>
      </c>
      <c r="E6" s="7" t="n">
        <v>179557154.5670201</v>
      </c>
      <c r="F6" s="7" t="n">
        <v>3</v>
      </c>
      <c r="G6" s="7" t="n">
        <v>5638889</v>
      </c>
      <c r="H6" s="7" t="n">
        <v>0</v>
      </c>
      <c r="I6" s="7" t="n">
        <v>0</v>
      </c>
      <c r="J6" s="7" t="n">
        <v>1747132.486481321</v>
      </c>
      <c r="K6" s="7" t="n">
        <v>0</v>
      </c>
      <c r="L6" s="7" t="n">
        <v>106</v>
      </c>
      <c r="M6" s="7" t="n">
        <v>185196043.5670201</v>
      </c>
    </row>
    <row r="7">
      <c r="A7" s="2" t="n">
        <v>6</v>
      </c>
      <c r="B7" s="2" t="inlineStr">
        <is>
          <t>LCD-DELL-24</t>
        </is>
      </c>
      <c r="C7" s="2" t="inlineStr">
        <is>
          <t>Màn hình DELL 24"</t>
        </is>
      </c>
      <c r="D7" s="7" t="n">
        <v>1209</v>
      </c>
      <c r="E7" s="7" t="n">
        <v>1051385657.451038</v>
      </c>
      <c r="F7" s="7" t="n">
        <v>35</v>
      </c>
      <c r="G7" s="7" t="n">
        <v>38657408</v>
      </c>
      <c r="H7" s="7" t="n">
        <v>0</v>
      </c>
      <c r="I7" s="7" t="n">
        <v>0</v>
      </c>
      <c r="J7" s="7" t="n">
        <v>876240.4063111241</v>
      </c>
      <c r="K7" s="7" t="n">
        <v>0</v>
      </c>
      <c r="L7" s="7" t="n">
        <v>1244</v>
      </c>
      <c r="M7" s="7" t="n">
        <v>1090043065.451038</v>
      </c>
    </row>
    <row r="8">
      <c r="A8" s="2" t="n">
        <v>7</v>
      </c>
      <c r="B8" s="2" t="inlineStr">
        <is>
          <t>LCD-LG-24</t>
        </is>
      </c>
      <c r="C8" s="2" t="inlineStr">
        <is>
          <t>Màn hình LG 24-27"</t>
        </is>
      </c>
      <c r="D8" s="7" t="n">
        <v>360</v>
      </c>
      <c r="E8" s="7" t="n">
        <v>148675147.5657241</v>
      </c>
      <c r="F8" s="7" t="n">
        <v>14</v>
      </c>
      <c r="G8" s="7" t="n">
        <v>5780738</v>
      </c>
      <c r="H8" s="7" t="n">
        <v>0</v>
      </c>
      <c r="I8" s="7" t="n">
        <v>0</v>
      </c>
      <c r="J8" s="7" t="n">
        <v>412983.6512452515</v>
      </c>
      <c r="K8" s="7" t="n">
        <v>0</v>
      </c>
      <c r="L8" s="7" t="n">
        <v>374</v>
      </c>
      <c r="M8" s="7" t="n">
        <v>154455885.5657241</v>
      </c>
    </row>
    <row r="9">
      <c r="A9" s="2" t="n">
        <v>8</v>
      </c>
      <c r="B9" s="2" t="inlineStr">
        <is>
          <t>LCD-VIEW-24</t>
        </is>
      </c>
      <c r="C9" s="2" t="inlineStr">
        <is>
          <t>Màn hình ViewSonic</t>
        </is>
      </c>
      <c r="D9" s="7" t="n">
        <v>51</v>
      </c>
      <c r="E9" s="7" t="n">
        <v>405075195.2709419</v>
      </c>
      <c r="F9" s="7" t="n">
        <v>2</v>
      </c>
      <c r="G9" s="7" t="n">
        <v>15750000</v>
      </c>
      <c r="H9" s="7" t="n">
        <v>0</v>
      </c>
      <c r="I9" s="7" t="n">
        <v>0</v>
      </c>
      <c r="J9" s="7" t="n">
        <v>7940098.023980035</v>
      </c>
      <c r="K9" s="7" t="n">
        <v>0</v>
      </c>
      <c r="L9" s="7" t="n">
        <v>53</v>
      </c>
      <c r="M9" s="7" t="n">
        <v>420825195.2709419</v>
      </c>
    </row>
    <row r="10">
      <c r="A10" s="2" t="n">
        <v>9</v>
      </c>
      <c r="B10" s="2" t="inlineStr">
        <is>
          <t>MS-LOGI</t>
        </is>
      </c>
      <c r="C10" s="2" t="inlineStr">
        <is>
          <t>Chuột Logitech</t>
        </is>
      </c>
      <c r="D10" s="7" t="n">
        <v>1363</v>
      </c>
      <c r="E10" s="7" t="n">
        <v>234448289.880275</v>
      </c>
      <c r="F10" s="7" t="n">
        <v>53</v>
      </c>
      <c r="G10" s="7" t="n">
        <v>9115741</v>
      </c>
      <c r="H10" s="7" t="n">
        <v>0</v>
      </c>
      <c r="I10" s="7" t="n">
        <v>0</v>
      </c>
      <c r="J10" s="7" t="n">
        <v>172008.496384375</v>
      </c>
      <c r="K10" s="7" t="n">
        <v>0</v>
      </c>
      <c r="L10" s="7" t="n">
        <v>1416</v>
      </c>
      <c r="M10" s="7" t="n">
        <v>243564030.880275</v>
      </c>
    </row>
    <row r="11">
      <c r="A11" s="2" t="n">
        <v>10</v>
      </c>
      <c r="B11" s="2" t="inlineStr">
        <is>
          <t>OTH-GEN</t>
        </is>
      </c>
      <c r="C11" s="2" t="inlineStr">
        <is>
          <t>Hàng hóa khác</t>
        </is>
      </c>
      <c r="D11" s="7" t="n">
        <v>14326</v>
      </c>
      <c r="E11" s="7" t="n">
        <v>3641475086.041586</v>
      </c>
      <c r="F11" s="7" t="n">
        <v>507</v>
      </c>
      <c r="G11" s="7" t="n">
        <v>123233853</v>
      </c>
      <c r="H11" s="7" t="n">
        <v>0</v>
      </c>
      <c r="I11" s="7" t="n">
        <v>0</v>
      </c>
      <c r="J11" s="7" t="n">
        <v>253806.3061445147</v>
      </c>
      <c r="K11" s="7" t="n">
        <v>0</v>
      </c>
      <c r="L11" s="7" t="n">
        <v>14833</v>
      </c>
      <c r="M11" s="7" t="n">
        <v>3764708939.041586</v>
      </c>
    </row>
    <row r="12">
      <c r="A12" s="2" t="n">
        <v>11</v>
      </c>
      <c r="B12" s="2" t="inlineStr">
        <is>
          <t>PC-DELL-XPS</t>
        </is>
      </c>
      <c r="C12" s="2" t="inlineStr">
        <is>
          <t>Laptop DELL XPS</t>
        </is>
      </c>
      <c r="D12" s="7" t="n">
        <v>772</v>
      </c>
      <c r="E12" s="7" t="n">
        <v>11754563010.40653</v>
      </c>
      <c r="F12" s="7" t="n">
        <v>18</v>
      </c>
      <c r="G12" s="7" t="n">
        <v>273796297</v>
      </c>
      <c r="H12" s="7" t="n">
        <v>0</v>
      </c>
      <c r="I12" s="7" t="n">
        <v>0</v>
      </c>
      <c r="J12" s="7" t="n">
        <v>15225771.27519814</v>
      </c>
      <c r="K12" s="7" t="n">
        <v>0</v>
      </c>
      <c r="L12" s="7" t="n">
        <v>790</v>
      </c>
      <c r="M12" s="7" t="n">
        <v>12028359307.40653</v>
      </c>
    </row>
    <row r="13">
      <c r="A13" s="2" t="n">
        <v>12</v>
      </c>
      <c r="B13" s="2" t="inlineStr">
        <is>
          <t>PC-HP-PRO</t>
        </is>
      </c>
      <c r="C13" s="2" t="inlineStr">
        <is>
          <t>Laptop HP ProBook</t>
        </is>
      </c>
      <c r="D13" s="7" t="n">
        <v>643</v>
      </c>
      <c r="E13" s="7" t="n">
        <v>8563947110.077991</v>
      </c>
      <c r="F13" s="7" t="n">
        <v>25</v>
      </c>
      <c r="G13" s="7" t="n">
        <v>332980564</v>
      </c>
      <c r="H13" s="7" t="n">
        <v>0</v>
      </c>
      <c r="I13" s="7" t="n">
        <v>0</v>
      </c>
      <c r="J13" s="7" t="n">
        <v>13318754.00311077</v>
      </c>
      <c r="K13" s="7" t="n">
        <v>0</v>
      </c>
      <c r="L13" s="7" t="n">
        <v>668</v>
      </c>
      <c r="M13" s="7" t="n">
        <v>8896927674.077991</v>
      </c>
    </row>
    <row r="14">
      <c r="A14" s="2" t="n">
        <v>13</v>
      </c>
      <c r="B14" s="2" t="inlineStr">
        <is>
          <t>PC-LEN-V</t>
        </is>
      </c>
      <c r="C14" s="2" t="inlineStr">
        <is>
          <t>Laptop Lenovo V-Series</t>
        </is>
      </c>
      <c r="D14" s="7" t="n">
        <v>514</v>
      </c>
      <c r="E14" s="7" t="n">
        <v>7596648273.333356</v>
      </c>
      <c r="F14" s="7" t="n">
        <v>20</v>
      </c>
      <c r="G14" s="7" t="n">
        <v>295370370</v>
      </c>
      <c r="H14" s="7" t="n">
        <v>0</v>
      </c>
      <c r="I14" s="7" t="n">
        <v>0</v>
      </c>
      <c r="J14" s="7" t="n">
        <v>14779061.12983775</v>
      </c>
      <c r="K14" s="7" t="n">
        <v>0</v>
      </c>
      <c r="L14" s="7" t="n">
        <v>534</v>
      </c>
      <c r="M14" s="7" t="n">
        <v>7892018643.333356</v>
      </c>
    </row>
    <row r="15">
      <c r="A15" s="2" t="n">
        <v>14</v>
      </c>
      <c r="B15" s="2" t="inlineStr">
        <is>
          <t>PC-MAC-AIR</t>
        </is>
      </c>
      <c r="C15" s="2" t="inlineStr">
        <is>
          <t>Apple MacBook Air</t>
        </is>
      </c>
      <c r="D15" s="7" t="n">
        <v>2881</v>
      </c>
      <c r="E15" s="7" t="n">
        <v>335300362.7685517</v>
      </c>
      <c r="F15" s="7" t="n">
        <v>112</v>
      </c>
      <c r="G15" s="7" t="n">
        <v>13037038</v>
      </c>
      <c r="H15" s="7" t="n">
        <v>0</v>
      </c>
      <c r="I15" s="7" t="n">
        <v>0</v>
      </c>
      <c r="J15" s="7" t="n">
        <v>116384.0296587209</v>
      </c>
      <c r="K15" s="7" t="n">
        <v>0</v>
      </c>
      <c r="L15" s="7" t="n">
        <v>2993</v>
      </c>
      <c r="M15" s="7" t="n">
        <v>348337400.7685517</v>
      </c>
    </row>
    <row r="16">
      <c r="A16" s="2" t="n">
        <v>15</v>
      </c>
      <c r="B16" s="2" t="inlineStr">
        <is>
          <t>PRN-BRO-HL</t>
        </is>
      </c>
      <c r="C16" s="2" t="inlineStr">
        <is>
          <t>Máy in Laser Brother</t>
        </is>
      </c>
      <c r="D16" s="7" t="n">
        <v>617</v>
      </c>
      <c r="E16" s="7" t="n">
        <v>226685120.2093825</v>
      </c>
      <c r="F16" s="7" t="n">
        <v>24</v>
      </c>
      <c r="G16" s="7" t="n">
        <v>8813896</v>
      </c>
      <c r="H16" s="7" t="n">
        <v>0</v>
      </c>
      <c r="I16" s="7" t="n">
        <v>0</v>
      </c>
      <c r="J16" s="7" t="n">
        <v>367393.1610130772</v>
      </c>
      <c r="K16" s="7" t="n">
        <v>0</v>
      </c>
      <c r="L16" s="7" t="n">
        <v>641</v>
      </c>
      <c r="M16" s="7" t="n">
        <v>235499016.2093825</v>
      </c>
    </row>
    <row r="17">
      <c r="A17" s="2" t="n">
        <v>16</v>
      </c>
      <c r="B17" s="2" t="inlineStr">
        <is>
          <t>PRN-CAN-LBP</t>
        </is>
      </c>
      <c r="C17" s="2" t="inlineStr">
        <is>
          <t>Máy in Laser Canon</t>
        </is>
      </c>
      <c r="D17" s="7" t="n">
        <v>926</v>
      </c>
      <c r="E17" s="7" t="n">
        <v>1758016728.547441</v>
      </c>
      <c r="F17" s="7" t="n">
        <v>26</v>
      </c>
      <c r="G17" s="7" t="n">
        <v>44743516</v>
      </c>
      <c r="H17" s="7" t="n">
        <v>0</v>
      </c>
      <c r="I17" s="7" t="n">
        <v>0</v>
      </c>
      <c r="J17" s="7" t="n">
        <v>1893655.719062438</v>
      </c>
      <c r="K17" s="7" t="n">
        <v>0</v>
      </c>
      <c r="L17" s="7" t="n">
        <v>952</v>
      </c>
      <c r="M17" s="7" t="n">
        <v>1802760244.547441</v>
      </c>
    </row>
    <row r="18">
      <c r="C18" s="5" t="inlineStr">
        <is>
          <t>TỔNG CỘNG THÁNG 1</t>
        </is>
      </c>
      <c r="D18" s="6">
        <f>SUM(D2:D17)</f>
        <v/>
      </c>
      <c r="E18" s="6">
        <f>SUM(E2:E17)</f>
        <v/>
      </c>
      <c r="F18" s="6">
        <f>SUM(F2:F17)</f>
        <v/>
      </c>
      <c r="G18" s="6">
        <f>SUM(G2:G17)</f>
        <v/>
      </c>
      <c r="H18" s="6">
        <f>SUM(H2:H17)</f>
        <v/>
      </c>
      <c r="I18" s="6">
        <f>SUM(I2:I17)</f>
        <v/>
      </c>
      <c r="K18" s="6">
        <f>SUM(K2:K17)</f>
        <v/>
      </c>
      <c r="L18" s="6">
        <f>SUM(L2:L17)</f>
        <v/>
      </c>
      <c r="M18" s="6">
        <f>SUM(M2:M17)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855</v>
      </c>
      <c r="E2" s="7" t="n">
        <v>302667446.6482478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353997.0136236817</v>
      </c>
      <c r="K2" s="7" t="n">
        <v>0</v>
      </c>
      <c r="L2" s="7" t="n">
        <v>855</v>
      </c>
      <c r="M2" s="7" t="n">
        <v>302667446.6482478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347</v>
      </c>
      <c r="E3" s="7" t="n">
        <v>90053118.31017932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259519.0729399981</v>
      </c>
      <c r="K3" s="7" t="n">
        <v>0</v>
      </c>
      <c r="L3" s="7" t="n">
        <v>347</v>
      </c>
      <c r="M3" s="7" t="n">
        <v>90053118.31017932</v>
      </c>
    </row>
    <row r="4">
      <c r="A4" s="2" t="n">
        <v>3</v>
      </c>
      <c r="B4" s="2" t="inlineStr">
        <is>
          <t>INK-CAN-12A</t>
        </is>
      </c>
      <c r="C4" s="2" t="inlineStr">
        <is>
          <t>Mực Canon 12A</t>
        </is>
      </c>
      <c r="D4" s="7" t="n">
        <v>989</v>
      </c>
      <c r="E4" s="7" t="n">
        <v>128894722.7334269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130328.3344119584</v>
      </c>
      <c r="K4" s="7" t="n">
        <v>0</v>
      </c>
      <c r="L4" s="7" t="n">
        <v>989</v>
      </c>
      <c r="M4" s="7" t="n">
        <v>128894722.7334269</v>
      </c>
    </row>
    <row r="5">
      <c r="A5" s="2" t="n">
        <v>4</v>
      </c>
      <c r="B5" s="2" t="inlineStr">
        <is>
          <t>INK-CAN-35A</t>
        </is>
      </c>
      <c r="C5" s="2" t="inlineStr">
        <is>
          <t>Mực Canon 35A/85A</t>
        </is>
      </c>
      <c r="D5" s="7" t="n">
        <v>2939</v>
      </c>
      <c r="E5" s="7" t="n">
        <v>73473407.18830474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24999.45804297541</v>
      </c>
      <c r="K5" s="7" t="n">
        <v>0</v>
      </c>
      <c r="L5" s="7" t="n">
        <v>2939</v>
      </c>
      <c r="M5" s="7" t="n">
        <v>73473407.18830474</v>
      </c>
    </row>
    <row r="6">
      <c r="A6" s="2" t="n">
        <v>5</v>
      </c>
      <c r="B6" s="2" t="inlineStr">
        <is>
          <t>LCD-DELL-22</t>
        </is>
      </c>
      <c r="C6" s="2" t="inlineStr">
        <is>
          <t>Màn hình DELL 22"</t>
        </is>
      </c>
      <c r="D6" s="7" t="n">
        <v>106</v>
      </c>
      <c r="E6" s="7" t="n">
        <v>185196043.5670201</v>
      </c>
      <c r="F6" s="7" t="n">
        <v>1</v>
      </c>
      <c r="G6" s="7" t="n">
        <v>1342593</v>
      </c>
      <c r="H6" s="7" t="n">
        <v>0</v>
      </c>
      <c r="I6" s="7" t="n">
        <v>0</v>
      </c>
      <c r="J6" s="7" t="n">
        <v>1743351.74361701</v>
      </c>
      <c r="K6" s="7" t="n">
        <v>0</v>
      </c>
      <c r="L6" s="7" t="n">
        <v>107</v>
      </c>
      <c r="M6" s="7" t="n">
        <v>186538636.5670201</v>
      </c>
    </row>
    <row r="7">
      <c r="A7" s="2" t="n">
        <v>6</v>
      </c>
      <c r="B7" s="2" t="inlineStr">
        <is>
          <t>LCD-DELL-24</t>
        </is>
      </c>
      <c r="C7" s="2" t="inlineStr">
        <is>
          <t>Màn hình DELL 24"</t>
        </is>
      </c>
      <c r="D7" s="7" t="n">
        <v>1244</v>
      </c>
      <c r="E7" s="7" t="n">
        <v>1090043065.451038</v>
      </c>
      <c r="F7" s="7" t="n">
        <v>12</v>
      </c>
      <c r="G7" s="7" t="n">
        <v>2222222</v>
      </c>
      <c r="H7" s="7" t="n">
        <v>0</v>
      </c>
      <c r="I7" s="7" t="n">
        <v>0</v>
      </c>
      <c r="J7" s="7" t="n">
        <v>869637.9677157949</v>
      </c>
      <c r="K7" s="7" t="n">
        <v>0</v>
      </c>
      <c r="L7" s="7" t="n">
        <v>1256</v>
      </c>
      <c r="M7" s="7" t="n">
        <v>1092265287.451038</v>
      </c>
    </row>
    <row r="8">
      <c r="A8" s="2" t="n">
        <v>7</v>
      </c>
      <c r="B8" s="2" t="inlineStr">
        <is>
          <t>LCD-LG-24</t>
        </is>
      </c>
      <c r="C8" s="2" t="inlineStr">
        <is>
          <t>Màn hình LG 24-27"</t>
        </is>
      </c>
      <c r="D8" s="7" t="n">
        <v>374</v>
      </c>
      <c r="E8" s="7" t="n">
        <v>154455885.5657241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412983.6512452515</v>
      </c>
      <c r="K8" s="7" t="n">
        <v>0</v>
      </c>
      <c r="L8" s="7" t="n">
        <v>374</v>
      </c>
      <c r="M8" s="7" t="n">
        <v>154455885.5657241</v>
      </c>
    </row>
    <row r="9">
      <c r="A9" s="2" t="n">
        <v>8</v>
      </c>
      <c r="B9" s="2" t="inlineStr">
        <is>
          <t>LCD-VIEW-24</t>
        </is>
      </c>
      <c r="C9" s="2" t="inlineStr">
        <is>
          <t>Màn hình ViewSonic</t>
        </is>
      </c>
      <c r="D9" s="7" t="n">
        <v>53</v>
      </c>
      <c r="E9" s="7" t="n">
        <v>420825195.2709419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7940098.023980035</v>
      </c>
      <c r="K9" s="7" t="n">
        <v>0</v>
      </c>
      <c r="L9" s="7" t="n">
        <v>53</v>
      </c>
      <c r="M9" s="7" t="n">
        <v>420825195.2709419</v>
      </c>
    </row>
    <row r="10">
      <c r="A10" s="2" t="n">
        <v>9</v>
      </c>
      <c r="B10" s="2" t="inlineStr">
        <is>
          <t>MS-LOGI</t>
        </is>
      </c>
      <c r="C10" s="2" t="inlineStr">
        <is>
          <t>Chuột Logitech</t>
        </is>
      </c>
      <c r="D10" s="7" t="n">
        <v>1416</v>
      </c>
      <c r="E10" s="7" t="n">
        <v>243564030.880275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172008.496384375</v>
      </c>
      <c r="K10" s="7" t="n">
        <v>0</v>
      </c>
      <c r="L10" s="7" t="n">
        <v>1416</v>
      </c>
      <c r="M10" s="7" t="n">
        <v>243564030.880275</v>
      </c>
    </row>
    <row r="11">
      <c r="A11" s="2" t="n">
        <v>10</v>
      </c>
      <c r="B11" s="2" t="inlineStr">
        <is>
          <t>OTH-GEN</t>
        </is>
      </c>
      <c r="C11" s="2" t="inlineStr">
        <is>
          <t>Hàng hóa khác</t>
        </is>
      </c>
      <c r="D11" s="7" t="n">
        <v>14833</v>
      </c>
      <c r="E11" s="7" t="n">
        <v>3764708939.041586</v>
      </c>
      <c r="F11" s="7" t="n">
        <v>50</v>
      </c>
      <c r="G11" s="7" t="n">
        <v>18352779</v>
      </c>
      <c r="H11" s="7" t="n">
        <v>0</v>
      </c>
      <c r="I11" s="7" t="n">
        <v>0</v>
      </c>
      <c r="J11" s="7" t="n">
        <v>254186.7713526565</v>
      </c>
      <c r="K11" s="7" t="n">
        <v>0</v>
      </c>
      <c r="L11" s="7" t="n">
        <v>14883</v>
      </c>
      <c r="M11" s="7" t="n">
        <v>3783061718.041586</v>
      </c>
    </row>
    <row r="12">
      <c r="A12" s="2" t="n">
        <v>11</v>
      </c>
      <c r="B12" s="2" t="inlineStr">
        <is>
          <t>PC-DELL-XPS</t>
        </is>
      </c>
      <c r="C12" s="2" t="inlineStr">
        <is>
          <t>Laptop DELL XPS</t>
        </is>
      </c>
      <c r="D12" s="7" t="n">
        <v>790</v>
      </c>
      <c r="E12" s="7" t="n">
        <v>12028359307.40653</v>
      </c>
      <c r="F12" s="7" t="n">
        <v>12</v>
      </c>
      <c r="G12" s="7" t="n">
        <v>183240741</v>
      </c>
      <c r="H12" s="7" t="n">
        <v>0</v>
      </c>
      <c r="I12" s="7" t="n">
        <v>0</v>
      </c>
      <c r="J12" s="7" t="n">
        <v>15226433.97556924</v>
      </c>
      <c r="K12" s="7" t="n">
        <v>0</v>
      </c>
      <c r="L12" s="7" t="n">
        <v>802</v>
      </c>
      <c r="M12" s="7" t="n">
        <v>12211600048.40653</v>
      </c>
    </row>
    <row r="13">
      <c r="A13" s="2" t="n">
        <v>12</v>
      </c>
      <c r="B13" s="2" t="inlineStr">
        <is>
          <t>PC-HP-PRO</t>
        </is>
      </c>
      <c r="C13" s="2" t="inlineStr">
        <is>
          <t>Laptop HP ProBook</t>
        </is>
      </c>
      <c r="D13" s="7" t="n">
        <v>668</v>
      </c>
      <c r="E13" s="7" t="n">
        <v>8896927674.077991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13318754.00311077</v>
      </c>
      <c r="K13" s="7" t="n">
        <v>0</v>
      </c>
      <c r="L13" s="7" t="n">
        <v>668</v>
      </c>
      <c r="M13" s="7" t="n">
        <v>8896927674.077991</v>
      </c>
    </row>
    <row r="14">
      <c r="A14" s="2" t="n">
        <v>13</v>
      </c>
      <c r="B14" s="2" t="inlineStr">
        <is>
          <t>PC-LEN-V</t>
        </is>
      </c>
      <c r="C14" s="2" t="inlineStr">
        <is>
          <t>Laptop Lenovo V-Series</t>
        </is>
      </c>
      <c r="D14" s="7" t="n">
        <v>534</v>
      </c>
      <c r="E14" s="7" t="n">
        <v>7892018643.333356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14779061.12983775</v>
      </c>
      <c r="K14" s="7" t="n">
        <v>0</v>
      </c>
      <c r="L14" s="7" t="n">
        <v>534</v>
      </c>
      <c r="M14" s="7" t="n">
        <v>7892018643.333356</v>
      </c>
    </row>
    <row r="15">
      <c r="A15" s="2" t="n">
        <v>14</v>
      </c>
      <c r="B15" s="2" t="inlineStr">
        <is>
          <t>PC-MAC-AIR</t>
        </is>
      </c>
      <c r="C15" s="2" t="inlineStr">
        <is>
          <t>Apple MacBook Air</t>
        </is>
      </c>
      <c r="D15" s="7" t="n">
        <v>2993</v>
      </c>
      <c r="E15" s="7" t="n">
        <v>348337400.7685517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116384.0296587209</v>
      </c>
      <c r="K15" s="7" t="n">
        <v>0</v>
      </c>
      <c r="L15" s="7" t="n">
        <v>2993</v>
      </c>
      <c r="M15" s="7" t="n">
        <v>348337400.7685517</v>
      </c>
    </row>
    <row r="16">
      <c r="A16" s="2" t="n">
        <v>15</v>
      </c>
      <c r="B16" s="2" t="inlineStr">
        <is>
          <t>PRN-BRO-HL</t>
        </is>
      </c>
      <c r="C16" s="2" t="inlineStr">
        <is>
          <t>Máy in Laser Brother</t>
        </is>
      </c>
      <c r="D16" s="7" t="n">
        <v>641</v>
      </c>
      <c r="E16" s="7" t="n">
        <v>235499016.2093825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367393.1610130772</v>
      </c>
      <c r="K16" s="7" t="n">
        <v>0</v>
      </c>
      <c r="L16" s="7" t="n">
        <v>641</v>
      </c>
      <c r="M16" s="7" t="n">
        <v>235499016.2093825</v>
      </c>
    </row>
    <row r="17">
      <c r="A17" s="2" t="n">
        <v>16</v>
      </c>
      <c r="B17" s="2" t="inlineStr">
        <is>
          <t>PRN-CAN-LBP</t>
        </is>
      </c>
      <c r="C17" s="2" t="inlineStr">
        <is>
          <t>Máy in Laser Canon</t>
        </is>
      </c>
      <c r="D17" s="7" t="n">
        <v>952</v>
      </c>
      <c r="E17" s="7" t="n">
        <v>1802760244.547441</v>
      </c>
      <c r="F17" s="7" t="n">
        <v>10</v>
      </c>
      <c r="G17" s="7" t="n">
        <v>23611110</v>
      </c>
      <c r="H17" s="7" t="n">
        <v>0</v>
      </c>
      <c r="I17" s="7" t="n">
        <v>0</v>
      </c>
      <c r="J17" s="7" t="n">
        <v>1898514.921566987</v>
      </c>
      <c r="K17" s="7" t="n">
        <v>0</v>
      </c>
      <c r="L17" s="7" t="n">
        <v>962</v>
      </c>
      <c r="M17" s="7" t="n">
        <v>1826371354.547441</v>
      </c>
    </row>
    <row r="18">
      <c r="C18" s="5" t="inlineStr">
        <is>
          <t>TỔNG CỘNG THÁNG 2</t>
        </is>
      </c>
      <c r="D18" s="6">
        <f>SUM(D2:D17)</f>
        <v/>
      </c>
      <c r="E18" s="6">
        <f>SUM(E2:E17)</f>
        <v/>
      </c>
      <c r="F18" s="6">
        <f>SUM(F2:F17)</f>
        <v/>
      </c>
      <c r="G18" s="6">
        <f>SUM(G2:G17)</f>
        <v/>
      </c>
      <c r="H18" s="6">
        <f>SUM(H2:H17)</f>
        <v/>
      </c>
      <c r="I18" s="6">
        <f>SUM(I2:I17)</f>
        <v/>
      </c>
      <c r="K18" s="6">
        <f>SUM(K2:K17)</f>
        <v/>
      </c>
      <c r="L18" s="6">
        <f>SUM(L2:L17)</f>
        <v/>
      </c>
      <c r="M18" s="6">
        <f>SUM(M2:M17)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855</v>
      </c>
      <c r="E2" s="7" t="n">
        <v>302667446.6482478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353997.0136236817</v>
      </c>
      <c r="K2" s="7" t="n">
        <v>0</v>
      </c>
      <c r="L2" s="7" t="n">
        <v>855</v>
      </c>
      <c r="M2" s="7" t="n">
        <v>302667446.6482478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347</v>
      </c>
      <c r="E3" s="7" t="n">
        <v>90053118.31017932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259519.0729399981</v>
      </c>
      <c r="K3" s="7" t="n">
        <v>0</v>
      </c>
      <c r="L3" s="7" t="n">
        <v>347</v>
      </c>
      <c r="M3" s="7" t="n">
        <v>90053118.31017932</v>
      </c>
    </row>
    <row r="4">
      <c r="A4" s="2" t="n">
        <v>3</v>
      </c>
      <c r="B4" s="2" t="inlineStr">
        <is>
          <t>INK-CAN-12A</t>
        </is>
      </c>
      <c r="C4" s="2" t="inlineStr">
        <is>
          <t>Mực Canon 12A</t>
        </is>
      </c>
      <c r="D4" s="7" t="n">
        <v>989</v>
      </c>
      <c r="E4" s="7" t="n">
        <v>128894722.7334269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130328.3344119584</v>
      </c>
      <c r="K4" s="7" t="n">
        <v>0</v>
      </c>
      <c r="L4" s="7" t="n">
        <v>989</v>
      </c>
      <c r="M4" s="7" t="n">
        <v>128894722.7334269</v>
      </c>
    </row>
    <row r="5">
      <c r="A5" s="2" t="n">
        <v>4</v>
      </c>
      <c r="B5" s="2" t="inlineStr">
        <is>
          <t>INK-CAN-35A</t>
        </is>
      </c>
      <c r="C5" s="2" t="inlineStr">
        <is>
          <t>Mực Canon 35A/85A</t>
        </is>
      </c>
      <c r="D5" s="7" t="n">
        <v>2939</v>
      </c>
      <c r="E5" s="7" t="n">
        <v>73473407.18830474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24999.45804297541</v>
      </c>
      <c r="K5" s="7" t="n">
        <v>0</v>
      </c>
      <c r="L5" s="7" t="n">
        <v>2939</v>
      </c>
      <c r="M5" s="7" t="n">
        <v>73473407.18830474</v>
      </c>
    </row>
    <row r="6">
      <c r="A6" s="2" t="n">
        <v>5</v>
      </c>
      <c r="B6" s="2" t="inlineStr">
        <is>
          <t>LCD-DELL-22</t>
        </is>
      </c>
      <c r="C6" s="2" t="inlineStr">
        <is>
          <t>Màn hình DELL 22"</t>
        </is>
      </c>
      <c r="D6" s="7" t="n">
        <v>107</v>
      </c>
      <c r="E6" s="7" t="n">
        <v>186538636.5670201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1743351.74361701</v>
      </c>
      <c r="K6" s="7" t="n">
        <v>0</v>
      </c>
      <c r="L6" s="7" t="n">
        <v>107</v>
      </c>
      <c r="M6" s="7" t="n">
        <v>186538636.5670201</v>
      </c>
    </row>
    <row r="7">
      <c r="A7" s="2" t="n">
        <v>6</v>
      </c>
      <c r="B7" s="2" t="inlineStr">
        <is>
          <t>LCD-DELL-24</t>
        </is>
      </c>
      <c r="C7" s="2" t="inlineStr">
        <is>
          <t>Màn hình DELL 24"</t>
        </is>
      </c>
      <c r="D7" s="7" t="n">
        <v>1256</v>
      </c>
      <c r="E7" s="7" t="n">
        <v>1092265287.451038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869637.9677157949</v>
      </c>
      <c r="K7" s="7" t="n">
        <v>0</v>
      </c>
      <c r="L7" s="7" t="n">
        <v>1256</v>
      </c>
      <c r="M7" s="7" t="n">
        <v>1092265287.451038</v>
      </c>
    </row>
    <row r="8">
      <c r="A8" s="2" t="n">
        <v>7</v>
      </c>
      <c r="B8" s="2" t="inlineStr">
        <is>
          <t>LCD-LG-24</t>
        </is>
      </c>
      <c r="C8" s="2" t="inlineStr">
        <is>
          <t>Màn hình LG 24-27"</t>
        </is>
      </c>
      <c r="D8" s="7" t="n">
        <v>374</v>
      </c>
      <c r="E8" s="7" t="n">
        <v>154455885.5657241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412983.6512452515</v>
      </c>
      <c r="K8" s="7" t="n">
        <v>0</v>
      </c>
      <c r="L8" s="7" t="n">
        <v>374</v>
      </c>
      <c r="M8" s="7" t="n">
        <v>154455885.5657241</v>
      </c>
    </row>
    <row r="9">
      <c r="A9" s="2" t="n">
        <v>8</v>
      </c>
      <c r="B9" s="2" t="inlineStr">
        <is>
          <t>LCD-VIEW-24</t>
        </is>
      </c>
      <c r="C9" s="2" t="inlineStr">
        <is>
          <t>Màn hình ViewSonic</t>
        </is>
      </c>
      <c r="D9" s="7" t="n">
        <v>53</v>
      </c>
      <c r="E9" s="7" t="n">
        <v>420825195.2709419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7940098.023980035</v>
      </c>
      <c r="K9" s="7" t="n">
        <v>0</v>
      </c>
      <c r="L9" s="7" t="n">
        <v>53</v>
      </c>
      <c r="M9" s="7" t="n">
        <v>420825195.2709419</v>
      </c>
    </row>
    <row r="10">
      <c r="A10" s="2" t="n">
        <v>9</v>
      </c>
      <c r="B10" s="2" t="inlineStr">
        <is>
          <t>MS-LOGI</t>
        </is>
      </c>
      <c r="C10" s="2" t="inlineStr">
        <is>
          <t>Chuột Logitech</t>
        </is>
      </c>
      <c r="D10" s="7" t="n">
        <v>1416</v>
      </c>
      <c r="E10" s="7" t="n">
        <v>243564030.880275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172008.496384375</v>
      </c>
      <c r="K10" s="7" t="n">
        <v>0</v>
      </c>
      <c r="L10" s="7" t="n">
        <v>1416</v>
      </c>
      <c r="M10" s="7" t="n">
        <v>243564030.880275</v>
      </c>
    </row>
    <row r="11">
      <c r="A11" s="2" t="n">
        <v>10</v>
      </c>
      <c r="B11" s="2" t="inlineStr">
        <is>
          <t>OTH-GEN</t>
        </is>
      </c>
      <c r="C11" s="2" t="inlineStr">
        <is>
          <t>Hàng hóa khác</t>
        </is>
      </c>
      <c r="D11" s="7" t="n">
        <v>14883</v>
      </c>
      <c r="E11" s="7" t="n">
        <v>3783061718.041586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254186.7713526565</v>
      </c>
      <c r="K11" s="7" t="n">
        <v>0</v>
      </c>
      <c r="L11" s="7" t="n">
        <v>14883</v>
      </c>
      <c r="M11" s="7" t="n">
        <v>3783061718.041586</v>
      </c>
    </row>
    <row r="12">
      <c r="A12" s="2" t="n">
        <v>11</v>
      </c>
      <c r="B12" s="2" t="inlineStr">
        <is>
          <t>PC-DELL-XPS</t>
        </is>
      </c>
      <c r="C12" s="2" t="inlineStr">
        <is>
          <t>Laptop DELL XPS</t>
        </is>
      </c>
      <c r="D12" s="7" t="n">
        <v>802</v>
      </c>
      <c r="E12" s="7" t="n">
        <v>12211600048.40653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15226433.97556924</v>
      </c>
      <c r="K12" s="7" t="n">
        <v>0</v>
      </c>
      <c r="L12" s="7" t="n">
        <v>802</v>
      </c>
      <c r="M12" s="7" t="n">
        <v>12211600048.40653</v>
      </c>
    </row>
    <row r="13">
      <c r="A13" s="2" t="n">
        <v>12</v>
      </c>
      <c r="B13" s="2" t="inlineStr">
        <is>
          <t>PC-HP-PRO</t>
        </is>
      </c>
      <c r="C13" s="2" t="inlineStr">
        <is>
          <t>Laptop HP ProBook</t>
        </is>
      </c>
      <c r="D13" s="7" t="n">
        <v>668</v>
      </c>
      <c r="E13" s="7" t="n">
        <v>8896927674.077991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13318754.00311077</v>
      </c>
      <c r="K13" s="7" t="n">
        <v>0</v>
      </c>
      <c r="L13" s="7" t="n">
        <v>668</v>
      </c>
      <c r="M13" s="7" t="n">
        <v>8896927674.077991</v>
      </c>
    </row>
    <row r="14">
      <c r="A14" s="2" t="n">
        <v>13</v>
      </c>
      <c r="B14" s="2" t="inlineStr">
        <is>
          <t>PC-LEN-V</t>
        </is>
      </c>
      <c r="C14" s="2" t="inlineStr">
        <is>
          <t>Laptop Lenovo V-Series</t>
        </is>
      </c>
      <c r="D14" s="7" t="n">
        <v>534</v>
      </c>
      <c r="E14" s="7" t="n">
        <v>7892018643.333356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14779061.12983775</v>
      </c>
      <c r="K14" s="7" t="n">
        <v>0</v>
      </c>
      <c r="L14" s="7" t="n">
        <v>534</v>
      </c>
      <c r="M14" s="7" t="n">
        <v>7892018643.333356</v>
      </c>
    </row>
    <row r="15">
      <c r="A15" s="2" t="n">
        <v>14</v>
      </c>
      <c r="B15" s="2" t="inlineStr">
        <is>
          <t>PC-MAC-AIR</t>
        </is>
      </c>
      <c r="C15" s="2" t="inlineStr">
        <is>
          <t>Apple MacBook Air</t>
        </is>
      </c>
      <c r="D15" s="7" t="n">
        <v>2993</v>
      </c>
      <c r="E15" s="7" t="n">
        <v>348337400.7685517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116384.0296587209</v>
      </c>
      <c r="K15" s="7" t="n">
        <v>0</v>
      </c>
      <c r="L15" s="7" t="n">
        <v>2993</v>
      </c>
      <c r="M15" s="7" t="n">
        <v>348337400.7685517</v>
      </c>
    </row>
    <row r="16">
      <c r="A16" s="2" t="n">
        <v>15</v>
      </c>
      <c r="B16" s="2" t="inlineStr">
        <is>
          <t>PRN-BRO-HL</t>
        </is>
      </c>
      <c r="C16" s="2" t="inlineStr">
        <is>
          <t>Máy in Laser Brother</t>
        </is>
      </c>
      <c r="D16" s="7" t="n">
        <v>641</v>
      </c>
      <c r="E16" s="7" t="n">
        <v>235499016.2093825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367393.1610130772</v>
      </c>
      <c r="K16" s="7" t="n">
        <v>0</v>
      </c>
      <c r="L16" s="7" t="n">
        <v>641</v>
      </c>
      <c r="M16" s="7" t="n">
        <v>235499016.2093825</v>
      </c>
    </row>
    <row r="17">
      <c r="A17" s="2" t="n">
        <v>16</v>
      </c>
      <c r="B17" s="2" t="inlineStr">
        <is>
          <t>PRN-CAN-LBP</t>
        </is>
      </c>
      <c r="C17" s="2" t="inlineStr">
        <is>
          <t>Máy in Laser Canon</t>
        </is>
      </c>
      <c r="D17" s="7" t="n">
        <v>962</v>
      </c>
      <c r="E17" s="7" t="n">
        <v>1826371354.547441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1898514.921566987</v>
      </c>
      <c r="K17" s="7" t="n">
        <v>0</v>
      </c>
      <c r="L17" s="7" t="n">
        <v>962</v>
      </c>
      <c r="M17" s="7" t="n">
        <v>1826371354.547441</v>
      </c>
    </row>
    <row r="18">
      <c r="C18" s="5" t="inlineStr">
        <is>
          <t>TỔNG CỘNG THÁNG 3</t>
        </is>
      </c>
      <c r="D18" s="6">
        <f>SUM(D2:D17)</f>
        <v/>
      </c>
      <c r="E18" s="6">
        <f>SUM(E2:E17)</f>
        <v/>
      </c>
      <c r="F18" s="6">
        <f>SUM(F2:F17)</f>
        <v/>
      </c>
      <c r="G18" s="6">
        <f>SUM(G2:G17)</f>
        <v/>
      </c>
      <c r="H18" s="6">
        <f>SUM(H2:H17)</f>
        <v/>
      </c>
      <c r="I18" s="6">
        <f>SUM(I2:I17)</f>
        <v/>
      </c>
      <c r="K18" s="6">
        <f>SUM(K2:K17)</f>
        <v/>
      </c>
      <c r="L18" s="6">
        <f>SUM(L2:L17)</f>
        <v/>
      </c>
      <c r="M18" s="6">
        <f>SUM(M2:M17)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855</v>
      </c>
      <c r="E2" s="7" t="n">
        <v>302667446.6482478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353997.0136236817</v>
      </c>
      <c r="K2" s="7" t="n">
        <v>0</v>
      </c>
      <c r="L2" s="7" t="n">
        <v>855</v>
      </c>
      <c r="M2" s="7" t="n">
        <v>302667446.6482478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347</v>
      </c>
      <c r="E3" s="7" t="n">
        <v>90053118.31017932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259519.0729399981</v>
      </c>
      <c r="K3" s="7" t="n">
        <v>0</v>
      </c>
      <c r="L3" s="7" t="n">
        <v>347</v>
      </c>
      <c r="M3" s="7" t="n">
        <v>90053118.31017932</v>
      </c>
    </row>
    <row r="4">
      <c r="A4" s="2" t="n">
        <v>3</v>
      </c>
      <c r="B4" s="2" t="inlineStr">
        <is>
          <t>INK-CAN-12A</t>
        </is>
      </c>
      <c r="C4" s="2" t="inlineStr">
        <is>
          <t>Mực Canon 12A</t>
        </is>
      </c>
      <c r="D4" s="7" t="n">
        <v>989</v>
      </c>
      <c r="E4" s="7" t="n">
        <v>128894722.7334269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130328.3344119584</v>
      </c>
      <c r="K4" s="7" t="n">
        <v>0</v>
      </c>
      <c r="L4" s="7" t="n">
        <v>989</v>
      </c>
      <c r="M4" s="7" t="n">
        <v>128894722.7334269</v>
      </c>
    </row>
    <row r="5">
      <c r="A5" s="2" t="n">
        <v>4</v>
      </c>
      <c r="B5" s="2" t="inlineStr">
        <is>
          <t>INK-CAN-35A</t>
        </is>
      </c>
      <c r="C5" s="2" t="inlineStr">
        <is>
          <t>Mực Canon 35A/85A</t>
        </is>
      </c>
      <c r="D5" s="7" t="n">
        <v>2939</v>
      </c>
      <c r="E5" s="7" t="n">
        <v>73473407.18830474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24999.45804297541</v>
      </c>
      <c r="K5" s="7" t="n">
        <v>0</v>
      </c>
      <c r="L5" s="7" t="n">
        <v>2939</v>
      </c>
      <c r="M5" s="7" t="n">
        <v>73473407.18830474</v>
      </c>
    </row>
    <row r="6">
      <c r="A6" s="2" t="n">
        <v>5</v>
      </c>
      <c r="B6" s="2" t="inlineStr">
        <is>
          <t>LCD-DELL-22</t>
        </is>
      </c>
      <c r="C6" s="2" t="inlineStr">
        <is>
          <t>Màn hình DELL 22"</t>
        </is>
      </c>
      <c r="D6" s="7" t="n">
        <v>107</v>
      </c>
      <c r="E6" s="7" t="n">
        <v>186538636.5670201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1743351.74361701</v>
      </c>
      <c r="K6" s="7" t="n">
        <v>0</v>
      </c>
      <c r="L6" s="7" t="n">
        <v>107</v>
      </c>
      <c r="M6" s="7" t="n">
        <v>186538636.5670201</v>
      </c>
    </row>
    <row r="7">
      <c r="A7" s="2" t="n">
        <v>6</v>
      </c>
      <c r="B7" s="2" t="inlineStr">
        <is>
          <t>LCD-DELL-24</t>
        </is>
      </c>
      <c r="C7" s="2" t="inlineStr">
        <is>
          <t>Màn hình DELL 24"</t>
        </is>
      </c>
      <c r="D7" s="7" t="n">
        <v>1256</v>
      </c>
      <c r="E7" s="7" t="n">
        <v>1092265287.451038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869637.9677157949</v>
      </c>
      <c r="K7" s="7" t="n">
        <v>0</v>
      </c>
      <c r="L7" s="7" t="n">
        <v>1256</v>
      </c>
      <c r="M7" s="7" t="n">
        <v>1092265287.451038</v>
      </c>
    </row>
    <row r="8">
      <c r="A8" s="2" t="n">
        <v>7</v>
      </c>
      <c r="B8" s="2" t="inlineStr">
        <is>
          <t>LCD-LG-24</t>
        </is>
      </c>
      <c r="C8" s="2" t="inlineStr">
        <is>
          <t>Màn hình LG 24-27"</t>
        </is>
      </c>
      <c r="D8" s="7" t="n">
        <v>374</v>
      </c>
      <c r="E8" s="7" t="n">
        <v>154455885.5657241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412983.6512452515</v>
      </c>
      <c r="K8" s="7" t="n">
        <v>0</v>
      </c>
      <c r="L8" s="7" t="n">
        <v>374</v>
      </c>
      <c r="M8" s="7" t="n">
        <v>154455885.5657241</v>
      </c>
    </row>
    <row r="9">
      <c r="A9" s="2" t="n">
        <v>8</v>
      </c>
      <c r="B9" s="2" t="inlineStr">
        <is>
          <t>LCD-VIEW-24</t>
        </is>
      </c>
      <c r="C9" s="2" t="inlineStr">
        <is>
          <t>Màn hình ViewSonic</t>
        </is>
      </c>
      <c r="D9" s="7" t="n">
        <v>53</v>
      </c>
      <c r="E9" s="7" t="n">
        <v>420825195.2709419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7940098.023980035</v>
      </c>
      <c r="K9" s="7" t="n">
        <v>0</v>
      </c>
      <c r="L9" s="7" t="n">
        <v>53</v>
      </c>
      <c r="M9" s="7" t="n">
        <v>420825195.2709419</v>
      </c>
    </row>
    <row r="10">
      <c r="A10" s="2" t="n">
        <v>9</v>
      </c>
      <c r="B10" s="2" t="inlineStr">
        <is>
          <t>MS-LOGI</t>
        </is>
      </c>
      <c r="C10" s="2" t="inlineStr">
        <is>
          <t>Chuột Logitech</t>
        </is>
      </c>
      <c r="D10" s="7" t="n">
        <v>1416</v>
      </c>
      <c r="E10" s="7" t="n">
        <v>243564030.880275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172008.496384375</v>
      </c>
      <c r="K10" s="7" t="n">
        <v>0</v>
      </c>
      <c r="L10" s="7" t="n">
        <v>1416</v>
      </c>
      <c r="M10" s="7" t="n">
        <v>243564030.880275</v>
      </c>
    </row>
    <row r="11">
      <c r="A11" s="2" t="n">
        <v>10</v>
      </c>
      <c r="B11" s="2" t="inlineStr">
        <is>
          <t>OTH-GEN</t>
        </is>
      </c>
      <c r="C11" s="2" t="inlineStr">
        <is>
          <t>Hàng hóa khác</t>
        </is>
      </c>
      <c r="D11" s="7" t="n">
        <v>14883</v>
      </c>
      <c r="E11" s="7" t="n">
        <v>3783061718.041586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254186.7713526565</v>
      </c>
      <c r="K11" s="7" t="n">
        <v>0</v>
      </c>
      <c r="L11" s="7" t="n">
        <v>14883</v>
      </c>
      <c r="M11" s="7" t="n">
        <v>3783061718.041586</v>
      </c>
    </row>
    <row r="12">
      <c r="A12" s="2" t="n">
        <v>11</v>
      </c>
      <c r="B12" s="2" t="inlineStr">
        <is>
          <t>PC-DELL-XPS</t>
        </is>
      </c>
      <c r="C12" s="2" t="inlineStr">
        <is>
          <t>Laptop DELL XPS</t>
        </is>
      </c>
      <c r="D12" s="7" t="n">
        <v>802</v>
      </c>
      <c r="E12" s="7" t="n">
        <v>12211600048.40653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15226433.97556924</v>
      </c>
      <c r="K12" s="7" t="n">
        <v>0</v>
      </c>
      <c r="L12" s="7" t="n">
        <v>802</v>
      </c>
      <c r="M12" s="7" t="n">
        <v>12211600048.40653</v>
      </c>
    </row>
    <row r="13">
      <c r="A13" s="2" t="n">
        <v>12</v>
      </c>
      <c r="B13" s="2" t="inlineStr">
        <is>
          <t>PC-HP-PRO</t>
        </is>
      </c>
      <c r="C13" s="2" t="inlineStr">
        <is>
          <t>Laptop HP ProBook</t>
        </is>
      </c>
      <c r="D13" s="7" t="n">
        <v>668</v>
      </c>
      <c r="E13" s="7" t="n">
        <v>8896927674.077991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13318754.00311077</v>
      </c>
      <c r="K13" s="7" t="n">
        <v>0</v>
      </c>
      <c r="L13" s="7" t="n">
        <v>668</v>
      </c>
      <c r="M13" s="7" t="n">
        <v>8896927674.077991</v>
      </c>
    </row>
    <row r="14">
      <c r="A14" s="2" t="n">
        <v>13</v>
      </c>
      <c r="B14" s="2" t="inlineStr">
        <is>
          <t>PC-LEN-V</t>
        </is>
      </c>
      <c r="C14" s="2" t="inlineStr">
        <is>
          <t>Laptop Lenovo V-Series</t>
        </is>
      </c>
      <c r="D14" s="7" t="n">
        <v>534</v>
      </c>
      <c r="E14" s="7" t="n">
        <v>7892018643.333356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14779061.12983775</v>
      </c>
      <c r="K14" s="7" t="n">
        <v>0</v>
      </c>
      <c r="L14" s="7" t="n">
        <v>534</v>
      </c>
      <c r="M14" s="7" t="n">
        <v>7892018643.333356</v>
      </c>
    </row>
    <row r="15">
      <c r="A15" s="2" t="n">
        <v>14</v>
      </c>
      <c r="B15" s="2" t="inlineStr">
        <is>
          <t>PC-MAC-AIR</t>
        </is>
      </c>
      <c r="C15" s="2" t="inlineStr">
        <is>
          <t>Apple MacBook Air</t>
        </is>
      </c>
      <c r="D15" s="7" t="n">
        <v>2993</v>
      </c>
      <c r="E15" s="7" t="n">
        <v>348337400.7685517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116384.0296587209</v>
      </c>
      <c r="K15" s="7" t="n">
        <v>0</v>
      </c>
      <c r="L15" s="7" t="n">
        <v>2993</v>
      </c>
      <c r="M15" s="7" t="n">
        <v>348337400.7685517</v>
      </c>
    </row>
    <row r="16">
      <c r="A16" s="2" t="n">
        <v>15</v>
      </c>
      <c r="B16" s="2" t="inlineStr">
        <is>
          <t>PRN-BRO-HL</t>
        </is>
      </c>
      <c r="C16" s="2" t="inlineStr">
        <is>
          <t>Máy in Laser Brother</t>
        </is>
      </c>
      <c r="D16" s="7" t="n">
        <v>641</v>
      </c>
      <c r="E16" s="7" t="n">
        <v>235499016.2093825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367393.1610130772</v>
      </c>
      <c r="K16" s="7" t="n">
        <v>0</v>
      </c>
      <c r="L16" s="7" t="n">
        <v>641</v>
      </c>
      <c r="M16" s="7" t="n">
        <v>235499016.2093825</v>
      </c>
    </row>
    <row r="17">
      <c r="A17" s="2" t="n">
        <v>16</v>
      </c>
      <c r="B17" s="2" t="inlineStr">
        <is>
          <t>PRN-CAN-LBP</t>
        </is>
      </c>
      <c r="C17" s="2" t="inlineStr">
        <is>
          <t>Máy in Laser Canon</t>
        </is>
      </c>
      <c r="D17" s="7" t="n">
        <v>962</v>
      </c>
      <c r="E17" s="7" t="n">
        <v>1826371354.547441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1898514.921566987</v>
      </c>
      <c r="K17" s="7" t="n">
        <v>0</v>
      </c>
      <c r="L17" s="7" t="n">
        <v>962</v>
      </c>
      <c r="M17" s="7" t="n">
        <v>1826371354.547441</v>
      </c>
    </row>
    <row r="18">
      <c r="C18" s="5" t="inlineStr">
        <is>
          <t>TỔNG CỘNG THÁNG 4</t>
        </is>
      </c>
      <c r="D18" s="6">
        <f>SUM(D2:D17)</f>
        <v/>
      </c>
      <c r="E18" s="6">
        <f>SUM(E2:E17)</f>
        <v/>
      </c>
      <c r="F18" s="6">
        <f>SUM(F2:F17)</f>
        <v/>
      </c>
      <c r="G18" s="6">
        <f>SUM(G2:G17)</f>
        <v/>
      </c>
      <c r="H18" s="6">
        <f>SUM(H2:H17)</f>
        <v/>
      </c>
      <c r="I18" s="6">
        <f>SUM(I2:I17)</f>
        <v/>
      </c>
      <c r="K18" s="6">
        <f>SUM(K2:K17)</f>
        <v/>
      </c>
      <c r="L18" s="6">
        <f>SUM(L2:L17)</f>
        <v/>
      </c>
      <c r="M18" s="6">
        <f>SUM(M2:M17)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855</v>
      </c>
      <c r="E2" s="7" t="n">
        <v>302667446.6482478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353997.0136236817</v>
      </c>
      <c r="K2" s="7" t="n">
        <v>0</v>
      </c>
      <c r="L2" s="7" t="n">
        <v>855</v>
      </c>
      <c r="M2" s="7" t="n">
        <v>302667446.6482478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347</v>
      </c>
      <c r="E3" s="7" t="n">
        <v>90053118.31017932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259519.0729399981</v>
      </c>
      <c r="K3" s="7" t="n">
        <v>0</v>
      </c>
      <c r="L3" s="7" t="n">
        <v>347</v>
      </c>
      <c r="M3" s="7" t="n">
        <v>90053118.31017932</v>
      </c>
    </row>
    <row r="4">
      <c r="A4" s="2" t="n">
        <v>3</v>
      </c>
      <c r="B4" s="2" t="inlineStr">
        <is>
          <t>INK-CAN-12A</t>
        </is>
      </c>
      <c r="C4" s="2" t="inlineStr">
        <is>
          <t>Mực Canon 12A</t>
        </is>
      </c>
      <c r="D4" s="7" t="n">
        <v>989</v>
      </c>
      <c r="E4" s="7" t="n">
        <v>128894722.7334269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130328.3344119584</v>
      </c>
      <c r="K4" s="7" t="n">
        <v>0</v>
      </c>
      <c r="L4" s="7" t="n">
        <v>989</v>
      </c>
      <c r="M4" s="7" t="n">
        <v>128894722.7334269</v>
      </c>
    </row>
    <row r="5">
      <c r="A5" s="2" t="n">
        <v>4</v>
      </c>
      <c r="B5" s="2" t="inlineStr">
        <is>
          <t>INK-CAN-35A</t>
        </is>
      </c>
      <c r="C5" s="2" t="inlineStr">
        <is>
          <t>Mực Canon 35A/85A</t>
        </is>
      </c>
      <c r="D5" s="7" t="n">
        <v>2939</v>
      </c>
      <c r="E5" s="7" t="n">
        <v>73473407.18830474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24999.45804297541</v>
      </c>
      <c r="K5" s="7" t="n">
        <v>0</v>
      </c>
      <c r="L5" s="7" t="n">
        <v>2939</v>
      </c>
      <c r="M5" s="7" t="n">
        <v>73473407.18830474</v>
      </c>
    </row>
    <row r="6">
      <c r="A6" s="2" t="n">
        <v>5</v>
      </c>
      <c r="B6" s="2" t="inlineStr">
        <is>
          <t>LCD-DELL-22</t>
        </is>
      </c>
      <c r="C6" s="2" t="inlineStr">
        <is>
          <t>Màn hình DELL 22"</t>
        </is>
      </c>
      <c r="D6" s="7" t="n">
        <v>107</v>
      </c>
      <c r="E6" s="7" t="n">
        <v>186538636.5670201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1743351.74361701</v>
      </c>
      <c r="K6" s="7" t="n">
        <v>0</v>
      </c>
      <c r="L6" s="7" t="n">
        <v>107</v>
      </c>
      <c r="M6" s="7" t="n">
        <v>186538636.5670201</v>
      </c>
    </row>
    <row r="7">
      <c r="A7" s="2" t="n">
        <v>6</v>
      </c>
      <c r="B7" s="2" t="inlineStr">
        <is>
          <t>LCD-DELL-24</t>
        </is>
      </c>
      <c r="C7" s="2" t="inlineStr">
        <is>
          <t>Màn hình DELL 24"</t>
        </is>
      </c>
      <c r="D7" s="7" t="n">
        <v>1256</v>
      </c>
      <c r="E7" s="7" t="n">
        <v>1092265287.451038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869637.9677157949</v>
      </c>
      <c r="K7" s="7" t="n">
        <v>0</v>
      </c>
      <c r="L7" s="7" t="n">
        <v>1256</v>
      </c>
      <c r="M7" s="7" t="n">
        <v>1092265287.451038</v>
      </c>
    </row>
    <row r="8">
      <c r="A8" s="2" t="n">
        <v>7</v>
      </c>
      <c r="B8" s="2" t="inlineStr">
        <is>
          <t>LCD-LG-24</t>
        </is>
      </c>
      <c r="C8" s="2" t="inlineStr">
        <is>
          <t>Màn hình LG 24-27"</t>
        </is>
      </c>
      <c r="D8" s="7" t="n">
        <v>374</v>
      </c>
      <c r="E8" s="7" t="n">
        <v>154455885.5657241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412983.6512452515</v>
      </c>
      <c r="K8" s="7" t="n">
        <v>0</v>
      </c>
      <c r="L8" s="7" t="n">
        <v>374</v>
      </c>
      <c r="M8" s="7" t="n">
        <v>154455885.5657241</v>
      </c>
    </row>
    <row r="9">
      <c r="A9" s="2" t="n">
        <v>8</v>
      </c>
      <c r="B9" s="2" t="inlineStr">
        <is>
          <t>LCD-VIEW-24</t>
        </is>
      </c>
      <c r="C9" s="2" t="inlineStr">
        <is>
          <t>Màn hình ViewSonic</t>
        </is>
      </c>
      <c r="D9" s="7" t="n">
        <v>53</v>
      </c>
      <c r="E9" s="7" t="n">
        <v>420825195.2709419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7940098.023980035</v>
      </c>
      <c r="K9" s="7" t="n">
        <v>0</v>
      </c>
      <c r="L9" s="7" t="n">
        <v>53</v>
      </c>
      <c r="M9" s="7" t="n">
        <v>420825195.2709419</v>
      </c>
    </row>
    <row r="10">
      <c r="A10" s="2" t="n">
        <v>9</v>
      </c>
      <c r="B10" s="2" t="inlineStr">
        <is>
          <t>MS-LOGI</t>
        </is>
      </c>
      <c r="C10" s="2" t="inlineStr">
        <is>
          <t>Chuột Logitech</t>
        </is>
      </c>
      <c r="D10" s="7" t="n">
        <v>1416</v>
      </c>
      <c r="E10" s="7" t="n">
        <v>243564030.880275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172008.496384375</v>
      </c>
      <c r="K10" s="7" t="n">
        <v>0</v>
      </c>
      <c r="L10" s="7" t="n">
        <v>1416</v>
      </c>
      <c r="M10" s="7" t="n">
        <v>243564030.880275</v>
      </c>
    </row>
    <row r="11">
      <c r="A11" s="2" t="n">
        <v>10</v>
      </c>
      <c r="B11" s="2" t="inlineStr">
        <is>
          <t>OTH-GEN</t>
        </is>
      </c>
      <c r="C11" s="2" t="inlineStr">
        <is>
          <t>Hàng hóa khác</t>
        </is>
      </c>
      <c r="D11" s="7" t="n">
        <v>14883</v>
      </c>
      <c r="E11" s="7" t="n">
        <v>3783061718.041586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254186.7713526565</v>
      </c>
      <c r="K11" s="7" t="n">
        <v>0</v>
      </c>
      <c r="L11" s="7" t="n">
        <v>14883</v>
      </c>
      <c r="M11" s="7" t="n">
        <v>3783061718.041586</v>
      </c>
    </row>
    <row r="12">
      <c r="A12" s="2" t="n">
        <v>11</v>
      </c>
      <c r="B12" s="2" t="inlineStr">
        <is>
          <t>PC-DELL-XPS</t>
        </is>
      </c>
      <c r="C12" s="2" t="inlineStr">
        <is>
          <t>Laptop DELL XPS</t>
        </is>
      </c>
      <c r="D12" s="7" t="n">
        <v>802</v>
      </c>
      <c r="E12" s="7" t="n">
        <v>12211600048.40653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15226433.97556924</v>
      </c>
      <c r="K12" s="7" t="n">
        <v>0</v>
      </c>
      <c r="L12" s="7" t="n">
        <v>802</v>
      </c>
      <c r="M12" s="7" t="n">
        <v>12211600048.40653</v>
      </c>
    </row>
    <row r="13">
      <c r="A13" s="2" t="n">
        <v>12</v>
      </c>
      <c r="B13" s="2" t="inlineStr">
        <is>
          <t>PC-HP-PRO</t>
        </is>
      </c>
      <c r="C13" s="2" t="inlineStr">
        <is>
          <t>Laptop HP ProBook</t>
        </is>
      </c>
      <c r="D13" s="7" t="n">
        <v>668</v>
      </c>
      <c r="E13" s="7" t="n">
        <v>8896927674.077991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13318754.00311077</v>
      </c>
      <c r="K13" s="7" t="n">
        <v>0</v>
      </c>
      <c r="L13" s="7" t="n">
        <v>668</v>
      </c>
      <c r="M13" s="7" t="n">
        <v>8896927674.077991</v>
      </c>
    </row>
    <row r="14">
      <c r="A14" s="2" t="n">
        <v>13</v>
      </c>
      <c r="B14" s="2" t="inlineStr">
        <is>
          <t>PC-LEN-V</t>
        </is>
      </c>
      <c r="C14" s="2" t="inlineStr">
        <is>
          <t>Laptop Lenovo V-Series</t>
        </is>
      </c>
      <c r="D14" s="7" t="n">
        <v>534</v>
      </c>
      <c r="E14" s="7" t="n">
        <v>7892018643.333356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14779061.12983775</v>
      </c>
      <c r="K14" s="7" t="n">
        <v>0</v>
      </c>
      <c r="L14" s="7" t="n">
        <v>534</v>
      </c>
      <c r="M14" s="7" t="n">
        <v>7892018643.333356</v>
      </c>
    </row>
    <row r="15">
      <c r="A15" s="2" t="n">
        <v>14</v>
      </c>
      <c r="B15" s="2" t="inlineStr">
        <is>
          <t>PC-MAC-AIR</t>
        </is>
      </c>
      <c r="C15" s="2" t="inlineStr">
        <is>
          <t>Apple MacBook Air</t>
        </is>
      </c>
      <c r="D15" s="7" t="n">
        <v>2993</v>
      </c>
      <c r="E15" s="7" t="n">
        <v>348337400.7685517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116384.0296587209</v>
      </c>
      <c r="K15" s="7" t="n">
        <v>0</v>
      </c>
      <c r="L15" s="7" t="n">
        <v>2993</v>
      </c>
      <c r="M15" s="7" t="n">
        <v>348337400.7685517</v>
      </c>
    </row>
    <row r="16">
      <c r="A16" s="2" t="n">
        <v>15</v>
      </c>
      <c r="B16" s="2" t="inlineStr">
        <is>
          <t>PRN-BRO-HL</t>
        </is>
      </c>
      <c r="C16" s="2" t="inlineStr">
        <is>
          <t>Máy in Laser Brother</t>
        </is>
      </c>
      <c r="D16" s="7" t="n">
        <v>641</v>
      </c>
      <c r="E16" s="7" t="n">
        <v>235499016.2093825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367393.1610130772</v>
      </c>
      <c r="K16" s="7" t="n">
        <v>0</v>
      </c>
      <c r="L16" s="7" t="n">
        <v>641</v>
      </c>
      <c r="M16" s="7" t="n">
        <v>235499016.2093825</v>
      </c>
    </row>
    <row r="17">
      <c r="A17" s="2" t="n">
        <v>16</v>
      </c>
      <c r="B17" s="2" t="inlineStr">
        <is>
          <t>PRN-CAN-LBP</t>
        </is>
      </c>
      <c r="C17" s="2" t="inlineStr">
        <is>
          <t>Máy in Laser Canon</t>
        </is>
      </c>
      <c r="D17" s="7" t="n">
        <v>962</v>
      </c>
      <c r="E17" s="7" t="n">
        <v>1826371354.547441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1898514.921566987</v>
      </c>
      <c r="K17" s="7" t="n">
        <v>0</v>
      </c>
      <c r="L17" s="7" t="n">
        <v>962</v>
      </c>
      <c r="M17" s="7" t="n">
        <v>1826371354.547441</v>
      </c>
    </row>
    <row r="18">
      <c r="C18" s="5" t="inlineStr">
        <is>
          <t>TỔNG CỘNG THÁNG 5</t>
        </is>
      </c>
      <c r="D18" s="6">
        <f>SUM(D2:D17)</f>
        <v/>
      </c>
      <c r="E18" s="6">
        <f>SUM(E2:E17)</f>
        <v/>
      </c>
      <c r="F18" s="6">
        <f>SUM(F2:F17)</f>
        <v/>
      </c>
      <c r="G18" s="6">
        <f>SUM(G2:G17)</f>
        <v/>
      </c>
      <c r="H18" s="6">
        <f>SUM(H2:H17)</f>
        <v/>
      </c>
      <c r="I18" s="6">
        <f>SUM(I2:I17)</f>
        <v/>
      </c>
      <c r="K18" s="6">
        <f>SUM(K2:K17)</f>
        <v/>
      </c>
      <c r="L18" s="6">
        <f>SUM(L2:L17)</f>
        <v/>
      </c>
      <c r="M18" s="6">
        <f>SUM(M2:M17)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855</v>
      </c>
      <c r="E2" s="7" t="n">
        <v>302667446.6482478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353997.0136236817</v>
      </c>
      <c r="K2" s="7" t="n">
        <v>0</v>
      </c>
      <c r="L2" s="7" t="n">
        <v>855</v>
      </c>
      <c r="M2" s="7" t="n">
        <v>302667446.6482478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347</v>
      </c>
      <c r="E3" s="7" t="n">
        <v>90053118.31017932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259519.0729399981</v>
      </c>
      <c r="K3" s="7" t="n">
        <v>0</v>
      </c>
      <c r="L3" s="7" t="n">
        <v>347</v>
      </c>
      <c r="M3" s="7" t="n">
        <v>90053118.31017932</v>
      </c>
    </row>
    <row r="4">
      <c r="A4" s="2" t="n">
        <v>3</v>
      </c>
      <c r="B4" s="2" t="inlineStr">
        <is>
          <t>INK-CAN-12A</t>
        </is>
      </c>
      <c r="C4" s="2" t="inlineStr">
        <is>
          <t>Mực Canon 12A</t>
        </is>
      </c>
      <c r="D4" s="7" t="n">
        <v>989</v>
      </c>
      <c r="E4" s="7" t="n">
        <v>128894722.7334269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130328.3344119584</v>
      </c>
      <c r="K4" s="7" t="n">
        <v>0</v>
      </c>
      <c r="L4" s="7" t="n">
        <v>989</v>
      </c>
      <c r="M4" s="7" t="n">
        <v>128894722.7334269</v>
      </c>
    </row>
    <row r="5">
      <c r="A5" s="2" t="n">
        <v>4</v>
      </c>
      <c r="B5" s="2" t="inlineStr">
        <is>
          <t>INK-CAN-35A</t>
        </is>
      </c>
      <c r="C5" s="2" t="inlineStr">
        <is>
          <t>Mực Canon 35A/85A</t>
        </is>
      </c>
      <c r="D5" s="7" t="n">
        <v>2939</v>
      </c>
      <c r="E5" s="7" t="n">
        <v>73473407.18830474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24999.45804297541</v>
      </c>
      <c r="K5" s="7" t="n">
        <v>0</v>
      </c>
      <c r="L5" s="7" t="n">
        <v>2939</v>
      </c>
      <c r="M5" s="7" t="n">
        <v>73473407.18830474</v>
      </c>
    </row>
    <row r="6">
      <c r="A6" s="2" t="n">
        <v>5</v>
      </c>
      <c r="B6" s="2" t="inlineStr">
        <is>
          <t>LCD-DELL-22</t>
        </is>
      </c>
      <c r="C6" s="2" t="inlineStr">
        <is>
          <t>Màn hình DELL 22"</t>
        </is>
      </c>
      <c r="D6" s="7" t="n">
        <v>107</v>
      </c>
      <c r="E6" s="7" t="n">
        <v>186538636.5670201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1743351.74361701</v>
      </c>
      <c r="K6" s="7" t="n">
        <v>0</v>
      </c>
      <c r="L6" s="7" t="n">
        <v>107</v>
      </c>
      <c r="M6" s="7" t="n">
        <v>186538636.5670201</v>
      </c>
    </row>
    <row r="7">
      <c r="A7" s="2" t="n">
        <v>6</v>
      </c>
      <c r="B7" s="2" t="inlineStr">
        <is>
          <t>LCD-DELL-24</t>
        </is>
      </c>
      <c r="C7" s="2" t="inlineStr">
        <is>
          <t>Màn hình DELL 24"</t>
        </is>
      </c>
      <c r="D7" s="7" t="n">
        <v>1256</v>
      </c>
      <c r="E7" s="7" t="n">
        <v>1092265287.451038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869637.9677157949</v>
      </c>
      <c r="K7" s="7" t="n">
        <v>0</v>
      </c>
      <c r="L7" s="7" t="n">
        <v>1256</v>
      </c>
      <c r="M7" s="7" t="n">
        <v>1092265287.451038</v>
      </c>
    </row>
    <row r="8">
      <c r="A8" s="2" t="n">
        <v>7</v>
      </c>
      <c r="B8" s="2" t="inlineStr">
        <is>
          <t>LCD-LG-24</t>
        </is>
      </c>
      <c r="C8" s="2" t="inlineStr">
        <is>
          <t>Màn hình LG 24-27"</t>
        </is>
      </c>
      <c r="D8" s="7" t="n">
        <v>374</v>
      </c>
      <c r="E8" s="7" t="n">
        <v>154455885.5657241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412983.6512452515</v>
      </c>
      <c r="K8" s="7" t="n">
        <v>0</v>
      </c>
      <c r="L8" s="7" t="n">
        <v>374</v>
      </c>
      <c r="M8" s="7" t="n">
        <v>154455885.5657241</v>
      </c>
    </row>
    <row r="9">
      <c r="A9" s="2" t="n">
        <v>8</v>
      </c>
      <c r="B9" s="2" t="inlineStr">
        <is>
          <t>LCD-VIEW-24</t>
        </is>
      </c>
      <c r="C9" s="2" t="inlineStr">
        <is>
          <t>Màn hình ViewSonic</t>
        </is>
      </c>
      <c r="D9" s="7" t="n">
        <v>53</v>
      </c>
      <c r="E9" s="7" t="n">
        <v>420825195.2709419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7940098.023980035</v>
      </c>
      <c r="K9" s="7" t="n">
        <v>0</v>
      </c>
      <c r="L9" s="7" t="n">
        <v>53</v>
      </c>
      <c r="M9" s="7" t="n">
        <v>420825195.2709419</v>
      </c>
    </row>
    <row r="10">
      <c r="A10" s="2" t="n">
        <v>9</v>
      </c>
      <c r="B10" s="2" t="inlineStr">
        <is>
          <t>MS-LOGI</t>
        </is>
      </c>
      <c r="C10" s="2" t="inlineStr">
        <is>
          <t>Chuột Logitech</t>
        </is>
      </c>
      <c r="D10" s="7" t="n">
        <v>1416</v>
      </c>
      <c r="E10" s="7" t="n">
        <v>243564030.880275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172008.496384375</v>
      </c>
      <c r="K10" s="7" t="n">
        <v>0</v>
      </c>
      <c r="L10" s="7" t="n">
        <v>1416</v>
      </c>
      <c r="M10" s="7" t="n">
        <v>243564030.880275</v>
      </c>
    </row>
    <row r="11">
      <c r="A11" s="2" t="n">
        <v>10</v>
      </c>
      <c r="B11" s="2" t="inlineStr">
        <is>
          <t>OTH-GEN</t>
        </is>
      </c>
      <c r="C11" s="2" t="inlineStr">
        <is>
          <t>Hàng hóa khác</t>
        </is>
      </c>
      <c r="D11" s="7" t="n">
        <v>14883</v>
      </c>
      <c r="E11" s="7" t="n">
        <v>3783061718.041586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254186.7713526565</v>
      </c>
      <c r="K11" s="7" t="n">
        <v>0</v>
      </c>
      <c r="L11" s="7" t="n">
        <v>14883</v>
      </c>
      <c r="M11" s="7" t="n">
        <v>3783061718.041586</v>
      </c>
    </row>
    <row r="12">
      <c r="A12" s="2" t="n">
        <v>11</v>
      </c>
      <c r="B12" s="2" t="inlineStr">
        <is>
          <t>PC-DELL-XPS</t>
        </is>
      </c>
      <c r="C12" s="2" t="inlineStr">
        <is>
          <t>Laptop DELL XPS</t>
        </is>
      </c>
      <c r="D12" s="7" t="n">
        <v>802</v>
      </c>
      <c r="E12" s="7" t="n">
        <v>12211600048.40653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15226433.97556924</v>
      </c>
      <c r="K12" s="7" t="n">
        <v>0</v>
      </c>
      <c r="L12" s="7" t="n">
        <v>802</v>
      </c>
      <c r="M12" s="7" t="n">
        <v>12211600048.40653</v>
      </c>
    </row>
    <row r="13">
      <c r="A13" s="2" t="n">
        <v>12</v>
      </c>
      <c r="B13" s="2" t="inlineStr">
        <is>
          <t>PC-HP-PRO</t>
        </is>
      </c>
      <c r="C13" s="2" t="inlineStr">
        <is>
          <t>Laptop HP ProBook</t>
        </is>
      </c>
      <c r="D13" s="7" t="n">
        <v>668</v>
      </c>
      <c r="E13" s="7" t="n">
        <v>8896927674.077991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13318754.00311077</v>
      </c>
      <c r="K13" s="7" t="n">
        <v>0</v>
      </c>
      <c r="L13" s="7" t="n">
        <v>668</v>
      </c>
      <c r="M13" s="7" t="n">
        <v>8896927674.077991</v>
      </c>
    </row>
    <row r="14">
      <c r="A14" s="2" t="n">
        <v>13</v>
      </c>
      <c r="B14" s="2" t="inlineStr">
        <is>
          <t>PC-LEN-V</t>
        </is>
      </c>
      <c r="C14" s="2" t="inlineStr">
        <is>
          <t>Laptop Lenovo V-Series</t>
        </is>
      </c>
      <c r="D14" s="7" t="n">
        <v>534</v>
      </c>
      <c r="E14" s="7" t="n">
        <v>7892018643.333356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14779061.12983775</v>
      </c>
      <c r="K14" s="7" t="n">
        <v>0</v>
      </c>
      <c r="L14" s="7" t="n">
        <v>534</v>
      </c>
      <c r="M14" s="7" t="n">
        <v>7892018643.333356</v>
      </c>
    </row>
    <row r="15">
      <c r="A15" s="2" t="n">
        <v>14</v>
      </c>
      <c r="B15" s="2" t="inlineStr">
        <is>
          <t>PC-MAC-AIR</t>
        </is>
      </c>
      <c r="C15" s="2" t="inlineStr">
        <is>
          <t>Apple MacBook Air</t>
        </is>
      </c>
      <c r="D15" s="7" t="n">
        <v>2993</v>
      </c>
      <c r="E15" s="7" t="n">
        <v>348337400.7685517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116384.0296587209</v>
      </c>
      <c r="K15" s="7" t="n">
        <v>0</v>
      </c>
      <c r="L15" s="7" t="n">
        <v>2993</v>
      </c>
      <c r="M15" s="7" t="n">
        <v>348337400.7685517</v>
      </c>
    </row>
    <row r="16">
      <c r="A16" s="2" t="n">
        <v>15</v>
      </c>
      <c r="B16" s="2" t="inlineStr">
        <is>
          <t>PRN-BRO-HL</t>
        </is>
      </c>
      <c r="C16" s="2" t="inlineStr">
        <is>
          <t>Máy in Laser Brother</t>
        </is>
      </c>
      <c r="D16" s="7" t="n">
        <v>641</v>
      </c>
      <c r="E16" s="7" t="n">
        <v>235499016.2093825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367393.1610130772</v>
      </c>
      <c r="K16" s="7" t="n">
        <v>0</v>
      </c>
      <c r="L16" s="7" t="n">
        <v>641</v>
      </c>
      <c r="M16" s="7" t="n">
        <v>235499016.2093825</v>
      </c>
    </row>
    <row r="17">
      <c r="A17" s="2" t="n">
        <v>16</v>
      </c>
      <c r="B17" s="2" t="inlineStr">
        <is>
          <t>PRN-CAN-LBP</t>
        </is>
      </c>
      <c r="C17" s="2" t="inlineStr">
        <is>
          <t>Máy in Laser Canon</t>
        </is>
      </c>
      <c r="D17" s="7" t="n">
        <v>962</v>
      </c>
      <c r="E17" s="7" t="n">
        <v>1826371354.547441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1898514.921566987</v>
      </c>
      <c r="K17" s="7" t="n">
        <v>0</v>
      </c>
      <c r="L17" s="7" t="n">
        <v>962</v>
      </c>
      <c r="M17" s="7" t="n">
        <v>1826371354.547441</v>
      </c>
    </row>
    <row r="18">
      <c r="C18" s="5" t="inlineStr">
        <is>
          <t>TỔNG CỘNG THÁNG 6</t>
        </is>
      </c>
      <c r="D18" s="6">
        <f>SUM(D2:D17)</f>
        <v/>
      </c>
      <c r="E18" s="6">
        <f>SUM(E2:E17)</f>
        <v/>
      </c>
      <c r="F18" s="6">
        <f>SUM(F2:F17)</f>
        <v/>
      </c>
      <c r="G18" s="6">
        <f>SUM(G2:G17)</f>
        <v/>
      </c>
      <c r="H18" s="6">
        <f>SUM(H2:H17)</f>
        <v/>
      </c>
      <c r="I18" s="6">
        <f>SUM(I2:I17)</f>
        <v/>
      </c>
      <c r="K18" s="6">
        <f>SUM(K2:K17)</f>
        <v/>
      </c>
      <c r="L18" s="6">
        <f>SUM(L2:L17)</f>
        <v/>
      </c>
      <c r="M18" s="6">
        <f>SUM(M2:M17)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855</v>
      </c>
      <c r="E2" s="7" t="n">
        <v>302667446.6482478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353997.0136236817</v>
      </c>
      <c r="K2" s="7" t="n">
        <v>0</v>
      </c>
      <c r="L2" s="7" t="n">
        <v>855</v>
      </c>
      <c r="M2" s="7" t="n">
        <v>302667446.6482478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347</v>
      </c>
      <c r="E3" s="7" t="n">
        <v>90053118.31017932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259519.0729399981</v>
      </c>
      <c r="K3" s="7" t="n">
        <v>0</v>
      </c>
      <c r="L3" s="7" t="n">
        <v>347</v>
      </c>
      <c r="M3" s="7" t="n">
        <v>90053118.31017932</v>
      </c>
    </row>
    <row r="4">
      <c r="A4" s="2" t="n">
        <v>3</v>
      </c>
      <c r="B4" s="2" t="inlineStr">
        <is>
          <t>INK-CAN-12A</t>
        </is>
      </c>
      <c r="C4" s="2" t="inlineStr">
        <is>
          <t>Mực Canon 12A</t>
        </is>
      </c>
      <c r="D4" s="7" t="n">
        <v>989</v>
      </c>
      <c r="E4" s="7" t="n">
        <v>128894722.7334269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130328.3344119584</v>
      </c>
      <c r="K4" s="7" t="n">
        <v>0</v>
      </c>
      <c r="L4" s="7" t="n">
        <v>989</v>
      </c>
      <c r="M4" s="7" t="n">
        <v>128894722.7334269</v>
      </c>
    </row>
    <row r="5">
      <c r="A5" s="2" t="n">
        <v>4</v>
      </c>
      <c r="B5" s="2" t="inlineStr">
        <is>
          <t>INK-CAN-35A</t>
        </is>
      </c>
      <c r="C5" s="2" t="inlineStr">
        <is>
          <t>Mực Canon 35A/85A</t>
        </is>
      </c>
      <c r="D5" s="7" t="n">
        <v>2939</v>
      </c>
      <c r="E5" s="7" t="n">
        <v>73473407.18830474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24999.45804297541</v>
      </c>
      <c r="K5" s="7" t="n">
        <v>0</v>
      </c>
      <c r="L5" s="7" t="n">
        <v>2939</v>
      </c>
      <c r="M5" s="7" t="n">
        <v>73473407.18830474</v>
      </c>
    </row>
    <row r="6">
      <c r="A6" s="2" t="n">
        <v>5</v>
      </c>
      <c r="B6" s="2" t="inlineStr">
        <is>
          <t>LCD-DELL-22</t>
        </is>
      </c>
      <c r="C6" s="2" t="inlineStr">
        <is>
          <t>Màn hình DELL 22"</t>
        </is>
      </c>
      <c r="D6" s="7" t="n">
        <v>107</v>
      </c>
      <c r="E6" s="7" t="n">
        <v>186538636.5670201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1743351.74361701</v>
      </c>
      <c r="K6" s="7" t="n">
        <v>0</v>
      </c>
      <c r="L6" s="7" t="n">
        <v>107</v>
      </c>
      <c r="M6" s="7" t="n">
        <v>186538636.5670201</v>
      </c>
    </row>
    <row r="7">
      <c r="A7" s="2" t="n">
        <v>6</v>
      </c>
      <c r="B7" s="2" t="inlineStr">
        <is>
          <t>LCD-DELL-24</t>
        </is>
      </c>
      <c r="C7" s="2" t="inlineStr">
        <is>
          <t>Màn hình DELL 24"</t>
        </is>
      </c>
      <c r="D7" s="7" t="n">
        <v>1256</v>
      </c>
      <c r="E7" s="7" t="n">
        <v>1092265287.451038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869637.9677157949</v>
      </c>
      <c r="K7" s="7" t="n">
        <v>0</v>
      </c>
      <c r="L7" s="7" t="n">
        <v>1256</v>
      </c>
      <c r="M7" s="7" t="n">
        <v>1092265287.451038</v>
      </c>
    </row>
    <row r="8">
      <c r="A8" s="2" t="n">
        <v>7</v>
      </c>
      <c r="B8" s="2" t="inlineStr">
        <is>
          <t>LCD-LG-24</t>
        </is>
      </c>
      <c r="C8" s="2" t="inlineStr">
        <is>
          <t>Màn hình LG 24-27"</t>
        </is>
      </c>
      <c r="D8" s="7" t="n">
        <v>374</v>
      </c>
      <c r="E8" s="7" t="n">
        <v>154455885.5657241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412983.6512452515</v>
      </c>
      <c r="K8" s="7" t="n">
        <v>0</v>
      </c>
      <c r="L8" s="7" t="n">
        <v>374</v>
      </c>
      <c r="M8" s="7" t="n">
        <v>154455885.5657241</v>
      </c>
    </row>
    <row r="9">
      <c r="A9" s="2" t="n">
        <v>8</v>
      </c>
      <c r="B9" s="2" t="inlineStr">
        <is>
          <t>LCD-VIEW-24</t>
        </is>
      </c>
      <c r="C9" s="2" t="inlineStr">
        <is>
          <t>Màn hình ViewSonic</t>
        </is>
      </c>
      <c r="D9" s="7" t="n">
        <v>53</v>
      </c>
      <c r="E9" s="7" t="n">
        <v>420825195.2709419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7940098.023980035</v>
      </c>
      <c r="K9" s="7" t="n">
        <v>0</v>
      </c>
      <c r="L9" s="7" t="n">
        <v>53</v>
      </c>
      <c r="M9" s="7" t="n">
        <v>420825195.2709419</v>
      </c>
    </row>
    <row r="10">
      <c r="A10" s="2" t="n">
        <v>9</v>
      </c>
      <c r="B10" s="2" t="inlineStr">
        <is>
          <t>MS-LOGI</t>
        </is>
      </c>
      <c r="C10" s="2" t="inlineStr">
        <is>
          <t>Chuột Logitech</t>
        </is>
      </c>
      <c r="D10" s="7" t="n">
        <v>1416</v>
      </c>
      <c r="E10" s="7" t="n">
        <v>243564030.880275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172008.496384375</v>
      </c>
      <c r="K10" s="7" t="n">
        <v>0</v>
      </c>
      <c r="L10" s="7" t="n">
        <v>1416</v>
      </c>
      <c r="M10" s="7" t="n">
        <v>243564030.880275</v>
      </c>
    </row>
    <row r="11">
      <c r="A11" s="2" t="n">
        <v>10</v>
      </c>
      <c r="B11" s="2" t="inlineStr">
        <is>
          <t>OTH-GEN</t>
        </is>
      </c>
      <c r="C11" s="2" t="inlineStr">
        <is>
          <t>Hàng hóa khác</t>
        </is>
      </c>
      <c r="D11" s="7" t="n">
        <v>14883</v>
      </c>
      <c r="E11" s="7" t="n">
        <v>3783061718.041586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254186.7713526565</v>
      </c>
      <c r="K11" s="7" t="n">
        <v>0</v>
      </c>
      <c r="L11" s="7" t="n">
        <v>14883</v>
      </c>
      <c r="M11" s="7" t="n">
        <v>3783061718.041586</v>
      </c>
    </row>
    <row r="12">
      <c r="A12" s="2" t="n">
        <v>11</v>
      </c>
      <c r="B12" s="2" t="inlineStr">
        <is>
          <t>PC-DELL-XPS</t>
        </is>
      </c>
      <c r="C12" s="2" t="inlineStr">
        <is>
          <t>Laptop DELL XPS</t>
        </is>
      </c>
      <c r="D12" s="7" t="n">
        <v>802</v>
      </c>
      <c r="E12" s="7" t="n">
        <v>12211600048.40653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15226433.97556924</v>
      </c>
      <c r="K12" s="7" t="n">
        <v>0</v>
      </c>
      <c r="L12" s="7" t="n">
        <v>802</v>
      </c>
      <c r="M12" s="7" t="n">
        <v>12211600048.40653</v>
      </c>
    </row>
    <row r="13">
      <c r="A13" s="2" t="n">
        <v>12</v>
      </c>
      <c r="B13" s="2" t="inlineStr">
        <is>
          <t>PC-HP-PRO</t>
        </is>
      </c>
      <c r="C13" s="2" t="inlineStr">
        <is>
          <t>Laptop HP ProBook</t>
        </is>
      </c>
      <c r="D13" s="7" t="n">
        <v>668</v>
      </c>
      <c r="E13" s="7" t="n">
        <v>8896927674.077991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13318754.00311077</v>
      </c>
      <c r="K13" s="7" t="n">
        <v>0</v>
      </c>
      <c r="L13" s="7" t="n">
        <v>668</v>
      </c>
      <c r="M13" s="7" t="n">
        <v>8896927674.077991</v>
      </c>
    </row>
    <row r="14">
      <c r="A14" s="2" t="n">
        <v>13</v>
      </c>
      <c r="B14" s="2" t="inlineStr">
        <is>
          <t>PC-LEN-V</t>
        </is>
      </c>
      <c r="C14" s="2" t="inlineStr">
        <is>
          <t>Laptop Lenovo V-Series</t>
        </is>
      </c>
      <c r="D14" s="7" t="n">
        <v>534</v>
      </c>
      <c r="E14" s="7" t="n">
        <v>7892018643.333356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14779061.12983775</v>
      </c>
      <c r="K14" s="7" t="n">
        <v>0</v>
      </c>
      <c r="L14" s="7" t="n">
        <v>534</v>
      </c>
      <c r="M14" s="7" t="n">
        <v>7892018643.333356</v>
      </c>
    </row>
    <row r="15">
      <c r="A15" s="2" t="n">
        <v>14</v>
      </c>
      <c r="B15" s="2" t="inlineStr">
        <is>
          <t>PC-MAC-AIR</t>
        </is>
      </c>
      <c r="C15" s="2" t="inlineStr">
        <is>
          <t>Apple MacBook Air</t>
        </is>
      </c>
      <c r="D15" s="7" t="n">
        <v>2993</v>
      </c>
      <c r="E15" s="7" t="n">
        <v>348337400.7685517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116384.0296587209</v>
      </c>
      <c r="K15" s="7" t="n">
        <v>0</v>
      </c>
      <c r="L15" s="7" t="n">
        <v>2993</v>
      </c>
      <c r="M15" s="7" t="n">
        <v>348337400.7685517</v>
      </c>
    </row>
    <row r="16">
      <c r="A16" s="2" t="n">
        <v>15</v>
      </c>
      <c r="B16" s="2" t="inlineStr">
        <is>
          <t>PRN-BRO-HL</t>
        </is>
      </c>
      <c r="C16" s="2" t="inlineStr">
        <is>
          <t>Máy in Laser Brother</t>
        </is>
      </c>
      <c r="D16" s="7" t="n">
        <v>641</v>
      </c>
      <c r="E16" s="7" t="n">
        <v>235499016.2093825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367393.1610130772</v>
      </c>
      <c r="K16" s="7" t="n">
        <v>0</v>
      </c>
      <c r="L16" s="7" t="n">
        <v>641</v>
      </c>
      <c r="M16" s="7" t="n">
        <v>235499016.2093825</v>
      </c>
    </row>
    <row r="17">
      <c r="A17" s="2" t="n">
        <v>16</v>
      </c>
      <c r="B17" s="2" t="inlineStr">
        <is>
          <t>PRN-CAN-LBP</t>
        </is>
      </c>
      <c r="C17" s="2" t="inlineStr">
        <is>
          <t>Máy in Laser Canon</t>
        </is>
      </c>
      <c r="D17" s="7" t="n">
        <v>962</v>
      </c>
      <c r="E17" s="7" t="n">
        <v>1826371354.547441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1898514.921566987</v>
      </c>
      <c r="K17" s="7" t="n">
        <v>0</v>
      </c>
      <c r="L17" s="7" t="n">
        <v>962</v>
      </c>
      <c r="M17" s="7" t="n">
        <v>1826371354.547441</v>
      </c>
    </row>
    <row r="18">
      <c r="C18" s="5" t="inlineStr">
        <is>
          <t>TỔNG CỘNG THÁNG 7</t>
        </is>
      </c>
      <c r="D18" s="6">
        <f>SUM(D2:D17)</f>
        <v/>
      </c>
      <c r="E18" s="6">
        <f>SUM(E2:E17)</f>
        <v/>
      </c>
      <c r="F18" s="6">
        <f>SUM(F2:F17)</f>
        <v/>
      </c>
      <c r="G18" s="6">
        <f>SUM(G2:G17)</f>
        <v/>
      </c>
      <c r="H18" s="6">
        <f>SUM(H2:H17)</f>
        <v/>
      </c>
      <c r="I18" s="6">
        <f>SUM(I2:I17)</f>
        <v/>
      </c>
      <c r="K18" s="6">
        <f>SUM(K2:K17)</f>
        <v/>
      </c>
      <c r="L18" s="6">
        <f>SUM(L2:L17)</f>
        <v/>
      </c>
      <c r="M18" s="6">
        <f>SUM(M2:M17)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855</v>
      </c>
      <c r="E2" s="7" t="n">
        <v>302667446.6482478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353997.0136236817</v>
      </c>
      <c r="K2" s="7" t="n">
        <v>0</v>
      </c>
      <c r="L2" s="7" t="n">
        <v>855</v>
      </c>
      <c r="M2" s="7" t="n">
        <v>302667446.6482478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347</v>
      </c>
      <c r="E3" s="7" t="n">
        <v>90053118.31017932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259519.0729399981</v>
      </c>
      <c r="K3" s="7" t="n">
        <v>0</v>
      </c>
      <c r="L3" s="7" t="n">
        <v>347</v>
      </c>
      <c r="M3" s="7" t="n">
        <v>90053118.31017932</v>
      </c>
    </row>
    <row r="4">
      <c r="A4" s="2" t="n">
        <v>3</v>
      </c>
      <c r="B4" s="2" t="inlineStr">
        <is>
          <t>INK-CAN-12A</t>
        </is>
      </c>
      <c r="C4" s="2" t="inlineStr">
        <is>
          <t>Mực Canon 12A</t>
        </is>
      </c>
      <c r="D4" s="7" t="n">
        <v>989</v>
      </c>
      <c r="E4" s="7" t="n">
        <v>128894722.7334269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130328.3344119584</v>
      </c>
      <c r="K4" s="7" t="n">
        <v>0</v>
      </c>
      <c r="L4" s="7" t="n">
        <v>989</v>
      </c>
      <c r="M4" s="7" t="n">
        <v>128894722.7334269</v>
      </c>
    </row>
    <row r="5">
      <c r="A5" s="2" t="n">
        <v>4</v>
      </c>
      <c r="B5" s="2" t="inlineStr">
        <is>
          <t>INK-CAN-35A</t>
        </is>
      </c>
      <c r="C5" s="2" t="inlineStr">
        <is>
          <t>Mực Canon 35A/85A</t>
        </is>
      </c>
      <c r="D5" s="7" t="n">
        <v>2939</v>
      </c>
      <c r="E5" s="7" t="n">
        <v>73473407.18830474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24999.45804297541</v>
      </c>
      <c r="K5" s="7" t="n">
        <v>0</v>
      </c>
      <c r="L5" s="7" t="n">
        <v>2939</v>
      </c>
      <c r="M5" s="7" t="n">
        <v>73473407.18830474</v>
      </c>
    </row>
    <row r="6">
      <c r="A6" s="2" t="n">
        <v>5</v>
      </c>
      <c r="B6" s="2" t="inlineStr">
        <is>
          <t>LCD-DELL-22</t>
        </is>
      </c>
      <c r="C6" s="2" t="inlineStr">
        <is>
          <t>Màn hình DELL 22"</t>
        </is>
      </c>
      <c r="D6" s="7" t="n">
        <v>107</v>
      </c>
      <c r="E6" s="7" t="n">
        <v>186538636.5670201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1743351.74361701</v>
      </c>
      <c r="K6" s="7" t="n">
        <v>0</v>
      </c>
      <c r="L6" s="7" t="n">
        <v>107</v>
      </c>
      <c r="M6" s="7" t="n">
        <v>186538636.5670201</v>
      </c>
    </row>
    <row r="7">
      <c r="A7" s="2" t="n">
        <v>6</v>
      </c>
      <c r="B7" s="2" t="inlineStr">
        <is>
          <t>LCD-DELL-24</t>
        </is>
      </c>
      <c r="C7" s="2" t="inlineStr">
        <is>
          <t>Màn hình DELL 24"</t>
        </is>
      </c>
      <c r="D7" s="7" t="n">
        <v>1256</v>
      </c>
      <c r="E7" s="7" t="n">
        <v>1092265287.451038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869637.9677157949</v>
      </c>
      <c r="K7" s="7" t="n">
        <v>0</v>
      </c>
      <c r="L7" s="7" t="n">
        <v>1256</v>
      </c>
      <c r="M7" s="7" t="n">
        <v>1092265287.451038</v>
      </c>
    </row>
    <row r="8">
      <c r="A8" s="2" t="n">
        <v>7</v>
      </c>
      <c r="B8" s="2" t="inlineStr">
        <is>
          <t>LCD-LG-24</t>
        </is>
      </c>
      <c r="C8" s="2" t="inlineStr">
        <is>
          <t>Màn hình LG 24-27"</t>
        </is>
      </c>
      <c r="D8" s="7" t="n">
        <v>374</v>
      </c>
      <c r="E8" s="7" t="n">
        <v>154455885.5657241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412983.6512452515</v>
      </c>
      <c r="K8" s="7" t="n">
        <v>0</v>
      </c>
      <c r="L8" s="7" t="n">
        <v>374</v>
      </c>
      <c r="M8" s="7" t="n">
        <v>154455885.5657241</v>
      </c>
    </row>
    <row r="9">
      <c r="A9" s="2" t="n">
        <v>8</v>
      </c>
      <c r="B9" s="2" t="inlineStr">
        <is>
          <t>LCD-VIEW-24</t>
        </is>
      </c>
      <c r="C9" s="2" t="inlineStr">
        <is>
          <t>Màn hình ViewSonic</t>
        </is>
      </c>
      <c r="D9" s="7" t="n">
        <v>53</v>
      </c>
      <c r="E9" s="7" t="n">
        <v>420825195.2709419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7940098.023980035</v>
      </c>
      <c r="K9" s="7" t="n">
        <v>0</v>
      </c>
      <c r="L9" s="7" t="n">
        <v>53</v>
      </c>
      <c r="M9" s="7" t="n">
        <v>420825195.2709419</v>
      </c>
    </row>
    <row r="10">
      <c r="A10" s="2" t="n">
        <v>9</v>
      </c>
      <c r="B10" s="2" t="inlineStr">
        <is>
          <t>MS-LOGI</t>
        </is>
      </c>
      <c r="C10" s="2" t="inlineStr">
        <is>
          <t>Chuột Logitech</t>
        </is>
      </c>
      <c r="D10" s="7" t="n">
        <v>1416</v>
      </c>
      <c r="E10" s="7" t="n">
        <v>243564030.880275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172008.496384375</v>
      </c>
      <c r="K10" s="7" t="n">
        <v>0</v>
      </c>
      <c r="L10" s="7" t="n">
        <v>1416</v>
      </c>
      <c r="M10" s="7" t="n">
        <v>243564030.880275</v>
      </c>
    </row>
    <row r="11">
      <c r="A11" s="2" t="n">
        <v>10</v>
      </c>
      <c r="B11" s="2" t="inlineStr">
        <is>
          <t>OTH-GEN</t>
        </is>
      </c>
      <c r="C11" s="2" t="inlineStr">
        <is>
          <t>Hàng hóa khác</t>
        </is>
      </c>
      <c r="D11" s="7" t="n">
        <v>14883</v>
      </c>
      <c r="E11" s="7" t="n">
        <v>3783061718.041586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254186.7713526565</v>
      </c>
      <c r="K11" s="7" t="n">
        <v>0</v>
      </c>
      <c r="L11" s="7" t="n">
        <v>14883</v>
      </c>
      <c r="M11" s="7" t="n">
        <v>3783061718.041586</v>
      </c>
    </row>
    <row r="12">
      <c r="A12" s="2" t="n">
        <v>11</v>
      </c>
      <c r="B12" s="2" t="inlineStr">
        <is>
          <t>PC-DELL-XPS</t>
        </is>
      </c>
      <c r="C12" s="2" t="inlineStr">
        <is>
          <t>Laptop DELL XPS</t>
        </is>
      </c>
      <c r="D12" s="7" t="n">
        <v>802</v>
      </c>
      <c r="E12" s="7" t="n">
        <v>12211600048.40653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15226433.97556924</v>
      </c>
      <c r="K12" s="7" t="n">
        <v>0</v>
      </c>
      <c r="L12" s="7" t="n">
        <v>802</v>
      </c>
      <c r="M12" s="7" t="n">
        <v>12211600048.40653</v>
      </c>
    </row>
    <row r="13">
      <c r="A13" s="2" t="n">
        <v>12</v>
      </c>
      <c r="B13" s="2" t="inlineStr">
        <is>
          <t>PC-HP-PRO</t>
        </is>
      </c>
      <c r="C13" s="2" t="inlineStr">
        <is>
          <t>Laptop HP ProBook</t>
        </is>
      </c>
      <c r="D13" s="7" t="n">
        <v>668</v>
      </c>
      <c r="E13" s="7" t="n">
        <v>8896927674.077991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13318754.00311077</v>
      </c>
      <c r="K13" s="7" t="n">
        <v>0</v>
      </c>
      <c r="L13" s="7" t="n">
        <v>668</v>
      </c>
      <c r="M13" s="7" t="n">
        <v>8896927674.077991</v>
      </c>
    </row>
    <row r="14">
      <c r="A14" s="2" t="n">
        <v>13</v>
      </c>
      <c r="B14" s="2" t="inlineStr">
        <is>
          <t>PC-LEN-V</t>
        </is>
      </c>
      <c r="C14" s="2" t="inlineStr">
        <is>
          <t>Laptop Lenovo V-Series</t>
        </is>
      </c>
      <c r="D14" s="7" t="n">
        <v>534</v>
      </c>
      <c r="E14" s="7" t="n">
        <v>7892018643.333356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14779061.12983775</v>
      </c>
      <c r="K14" s="7" t="n">
        <v>0</v>
      </c>
      <c r="L14" s="7" t="n">
        <v>534</v>
      </c>
      <c r="M14" s="7" t="n">
        <v>7892018643.333356</v>
      </c>
    </row>
    <row r="15">
      <c r="A15" s="2" t="n">
        <v>14</v>
      </c>
      <c r="B15" s="2" t="inlineStr">
        <is>
          <t>PC-MAC-AIR</t>
        </is>
      </c>
      <c r="C15" s="2" t="inlineStr">
        <is>
          <t>Apple MacBook Air</t>
        </is>
      </c>
      <c r="D15" s="7" t="n">
        <v>2993</v>
      </c>
      <c r="E15" s="7" t="n">
        <v>348337400.7685517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116384.0296587209</v>
      </c>
      <c r="K15" s="7" t="n">
        <v>0</v>
      </c>
      <c r="L15" s="7" t="n">
        <v>2993</v>
      </c>
      <c r="M15" s="7" t="n">
        <v>348337400.7685517</v>
      </c>
    </row>
    <row r="16">
      <c r="A16" s="2" t="n">
        <v>15</v>
      </c>
      <c r="B16" s="2" t="inlineStr">
        <is>
          <t>PRN-BRO-HL</t>
        </is>
      </c>
      <c r="C16" s="2" t="inlineStr">
        <is>
          <t>Máy in Laser Brother</t>
        </is>
      </c>
      <c r="D16" s="7" t="n">
        <v>641</v>
      </c>
      <c r="E16" s="7" t="n">
        <v>235499016.2093825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367393.1610130772</v>
      </c>
      <c r="K16" s="7" t="n">
        <v>0</v>
      </c>
      <c r="L16" s="7" t="n">
        <v>641</v>
      </c>
      <c r="M16" s="7" t="n">
        <v>235499016.2093825</v>
      </c>
    </row>
    <row r="17">
      <c r="A17" s="2" t="n">
        <v>16</v>
      </c>
      <c r="B17" s="2" t="inlineStr">
        <is>
          <t>PRN-CAN-LBP</t>
        </is>
      </c>
      <c r="C17" s="2" t="inlineStr">
        <is>
          <t>Máy in Laser Canon</t>
        </is>
      </c>
      <c r="D17" s="7" t="n">
        <v>962</v>
      </c>
      <c r="E17" s="7" t="n">
        <v>1826371354.547441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1898514.921566987</v>
      </c>
      <c r="K17" s="7" t="n">
        <v>0</v>
      </c>
      <c r="L17" s="7" t="n">
        <v>962</v>
      </c>
      <c r="M17" s="7" t="n">
        <v>1826371354.547441</v>
      </c>
    </row>
    <row r="18">
      <c r="C18" s="5" t="inlineStr">
        <is>
          <t>TỔNG CỘNG THÁNG 8</t>
        </is>
      </c>
      <c r="D18" s="6">
        <f>SUM(D2:D17)</f>
        <v/>
      </c>
      <c r="E18" s="6">
        <f>SUM(E2:E17)</f>
        <v/>
      </c>
      <c r="F18" s="6">
        <f>SUM(F2:F17)</f>
        <v/>
      </c>
      <c r="G18" s="6">
        <f>SUM(G2:G17)</f>
        <v/>
      </c>
      <c r="H18" s="6">
        <f>SUM(H2:H17)</f>
        <v/>
      </c>
      <c r="I18" s="6">
        <f>SUM(I2:I17)</f>
        <v/>
      </c>
      <c r="K18" s="6">
        <f>SUM(K2:K17)</f>
        <v/>
      </c>
      <c r="L18" s="6">
        <f>SUM(L2:L17)</f>
        <v/>
      </c>
      <c r="M18" s="6">
        <f>SUM(M2:M17)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855</v>
      </c>
      <c r="E2" s="7" t="n">
        <v>302667446.6482478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353997.0136236817</v>
      </c>
      <c r="K2" s="7" t="n">
        <v>0</v>
      </c>
      <c r="L2" s="7" t="n">
        <v>855</v>
      </c>
      <c r="M2" s="7" t="n">
        <v>302667446.6482478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347</v>
      </c>
      <c r="E3" s="7" t="n">
        <v>90053118.31017932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259519.0729399981</v>
      </c>
      <c r="K3" s="7" t="n">
        <v>0</v>
      </c>
      <c r="L3" s="7" t="n">
        <v>347</v>
      </c>
      <c r="M3" s="7" t="n">
        <v>90053118.31017932</v>
      </c>
    </row>
    <row r="4">
      <c r="A4" s="2" t="n">
        <v>3</v>
      </c>
      <c r="B4" s="2" t="inlineStr">
        <is>
          <t>INK-CAN-12A</t>
        </is>
      </c>
      <c r="C4" s="2" t="inlineStr">
        <is>
          <t>Mực Canon 12A</t>
        </is>
      </c>
      <c r="D4" s="7" t="n">
        <v>989</v>
      </c>
      <c r="E4" s="7" t="n">
        <v>128894722.7334269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130328.3344119584</v>
      </c>
      <c r="K4" s="7" t="n">
        <v>0</v>
      </c>
      <c r="L4" s="7" t="n">
        <v>989</v>
      </c>
      <c r="M4" s="7" t="n">
        <v>128894722.7334269</v>
      </c>
    </row>
    <row r="5">
      <c r="A5" s="2" t="n">
        <v>4</v>
      </c>
      <c r="B5" s="2" t="inlineStr">
        <is>
          <t>INK-CAN-35A</t>
        </is>
      </c>
      <c r="C5" s="2" t="inlineStr">
        <is>
          <t>Mực Canon 35A/85A</t>
        </is>
      </c>
      <c r="D5" s="7" t="n">
        <v>2939</v>
      </c>
      <c r="E5" s="7" t="n">
        <v>73473407.18830474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24999.45804297541</v>
      </c>
      <c r="K5" s="7" t="n">
        <v>0</v>
      </c>
      <c r="L5" s="7" t="n">
        <v>2939</v>
      </c>
      <c r="M5" s="7" t="n">
        <v>73473407.18830474</v>
      </c>
    </row>
    <row r="6">
      <c r="A6" s="2" t="n">
        <v>5</v>
      </c>
      <c r="B6" s="2" t="inlineStr">
        <is>
          <t>LCD-DELL-22</t>
        </is>
      </c>
      <c r="C6" s="2" t="inlineStr">
        <is>
          <t>Màn hình DELL 22"</t>
        </is>
      </c>
      <c r="D6" s="7" t="n">
        <v>107</v>
      </c>
      <c r="E6" s="7" t="n">
        <v>186538636.5670201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1743351.74361701</v>
      </c>
      <c r="K6" s="7" t="n">
        <v>0</v>
      </c>
      <c r="L6" s="7" t="n">
        <v>107</v>
      </c>
      <c r="M6" s="7" t="n">
        <v>186538636.5670201</v>
      </c>
    </row>
    <row r="7">
      <c r="A7" s="2" t="n">
        <v>6</v>
      </c>
      <c r="B7" s="2" t="inlineStr">
        <is>
          <t>LCD-DELL-24</t>
        </is>
      </c>
      <c r="C7" s="2" t="inlineStr">
        <is>
          <t>Màn hình DELL 24"</t>
        </is>
      </c>
      <c r="D7" s="7" t="n">
        <v>1256</v>
      </c>
      <c r="E7" s="7" t="n">
        <v>1092265287.451038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869637.9677157949</v>
      </c>
      <c r="K7" s="7" t="n">
        <v>0</v>
      </c>
      <c r="L7" s="7" t="n">
        <v>1256</v>
      </c>
      <c r="M7" s="7" t="n">
        <v>1092265287.451038</v>
      </c>
    </row>
    <row r="8">
      <c r="A8" s="2" t="n">
        <v>7</v>
      </c>
      <c r="B8" s="2" t="inlineStr">
        <is>
          <t>LCD-LG-24</t>
        </is>
      </c>
      <c r="C8" s="2" t="inlineStr">
        <is>
          <t>Màn hình LG 24-27"</t>
        </is>
      </c>
      <c r="D8" s="7" t="n">
        <v>374</v>
      </c>
      <c r="E8" s="7" t="n">
        <v>154455885.5657241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412983.6512452515</v>
      </c>
      <c r="K8" s="7" t="n">
        <v>0</v>
      </c>
      <c r="L8" s="7" t="n">
        <v>374</v>
      </c>
      <c r="M8" s="7" t="n">
        <v>154455885.5657241</v>
      </c>
    </row>
    <row r="9">
      <c r="A9" s="2" t="n">
        <v>8</v>
      </c>
      <c r="B9" s="2" t="inlineStr">
        <is>
          <t>LCD-VIEW-24</t>
        </is>
      </c>
      <c r="C9" s="2" t="inlineStr">
        <is>
          <t>Màn hình ViewSonic</t>
        </is>
      </c>
      <c r="D9" s="7" t="n">
        <v>53</v>
      </c>
      <c r="E9" s="7" t="n">
        <v>420825195.2709419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7940098.023980035</v>
      </c>
      <c r="K9" s="7" t="n">
        <v>0</v>
      </c>
      <c r="L9" s="7" t="n">
        <v>53</v>
      </c>
      <c r="M9" s="7" t="n">
        <v>420825195.2709419</v>
      </c>
    </row>
    <row r="10">
      <c r="A10" s="2" t="n">
        <v>9</v>
      </c>
      <c r="B10" s="2" t="inlineStr">
        <is>
          <t>MS-LOGI</t>
        </is>
      </c>
      <c r="C10" s="2" t="inlineStr">
        <is>
          <t>Chuột Logitech</t>
        </is>
      </c>
      <c r="D10" s="7" t="n">
        <v>1416</v>
      </c>
      <c r="E10" s="7" t="n">
        <v>243564030.880275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172008.496384375</v>
      </c>
      <c r="K10" s="7" t="n">
        <v>0</v>
      </c>
      <c r="L10" s="7" t="n">
        <v>1416</v>
      </c>
      <c r="M10" s="7" t="n">
        <v>243564030.880275</v>
      </c>
    </row>
    <row r="11">
      <c r="A11" s="2" t="n">
        <v>10</v>
      </c>
      <c r="B11" s="2" t="inlineStr">
        <is>
          <t>OTH-GEN</t>
        </is>
      </c>
      <c r="C11" s="2" t="inlineStr">
        <is>
          <t>Hàng hóa khác</t>
        </is>
      </c>
      <c r="D11" s="7" t="n">
        <v>14883</v>
      </c>
      <c r="E11" s="7" t="n">
        <v>3783061718.041586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254186.7713526565</v>
      </c>
      <c r="K11" s="7" t="n">
        <v>0</v>
      </c>
      <c r="L11" s="7" t="n">
        <v>14883</v>
      </c>
      <c r="M11" s="7" t="n">
        <v>3783061718.041586</v>
      </c>
    </row>
    <row r="12">
      <c r="A12" s="2" t="n">
        <v>11</v>
      </c>
      <c r="B12" s="2" t="inlineStr">
        <is>
          <t>PC-DELL-XPS</t>
        </is>
      </c>
      <c r="C12" s="2" t="inlineStr">
        <is>
          <t>Laptop DELL XPS</t>
        </is>
      </c>
      <c r="D12" s="7" t="n">
        <v>802</v>
      </c>
      <c r="E12" s="7" t="n">
        <v>12211600048.40653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15226433.97556924</v>
      </c>
      <c r="K12" s="7" t="n">
        <v>0</v>
      </c>
      <c r="L12" s="7" t="n">
        <v>802</v>
      </c>
      <c r="M12" s="7" t="n">
        <v>12211600048.40653</v>
      </c>
    </row>
    <row r="13">
      <c r="A13" s="2" t="n">
        <v>12</v>
      </c>
      <c r="B13" s="2" t="inlineStr">
        <is>
          <t>PC-HP-PRO</t>
        </is>
      </c>
      <c r="C13" s="2" t="inlineStr">
        <is>
          <t>Laptop HP ProBook</t>
        </is>
      </c>
      <c r="D13" s="7" t="n">
        <v>668</v>
      </c>
      <c r="E13" s="7" t="n">
        <v>8896927674.077991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13318754.00311077</v>
      </c>
      <c r="K13" s="7" t="n">
        <v>0</v>
      </c>
      <c r="L13" s="7" t="n">
        <v>668</v>
      </c>
      <c r="M13" s="7" t="n">
        <v>8896927674.077991</v>
      </c>
    </row>
    <row r="14">
      <c r="A14" s="2" t="n">
        <v>13</v>
      </c>
      <c r="B14" s="2" t="inlineStr">
        <is>
          <t>PC-LEN-V</t>
        </is>
      </c>
      <c r="C14" s="2" t="inlineStr">
        <is>
          <t>Laptop Lenovo V-Series</t>
        </is>
      </c>
      <c r="D14" s="7" t="n">
        <v>534</v>
      </c>
      <c r="E14" s="7" t="n">
        <v>7892018643.333356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14779061.12983775</v>
      </c>
      <c r="K14" s="7" t="n">
        <v>0</v>
      </c>
      <c r="L14" s="7" t="n">
        <v>534</v>
      </c>
      <c r="M14" s="7" t="n">
        <v>7892018643.333356</v>
      </c>
    </row>
    <row r="15">
      <c r="A15" s="2" t="n">
        <v>14</v>
      </c>
      <c r="B15" s="2" t="inlineStr">
        <is>
          <t>PC-MAC-AIR</t>
        </is>
      </c>
      <c r="C15" s="2" t="inlineStr">
        <is>
          <t>Apple MacBook Air</t>
        </is>
      </c>
      <c r="D15" s="7" t="n">
        <v>2993</v>
      </c>
      <c r="E15" s="7" t="n">
        <v>348337400.7685517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116384.0296587209</v>
      </c>
      <c r="K15" s="7" t="n">
        <v>0</v>
      </c>
      <c r="L15" s="7" t="n">
        <v>2993</v>
      </c>
      <c r="M15" s="7" t="n">
        <v>348337400.7685517</v>
      </c>
    </row>
    <row r="16">
      <c r="A16" s="2" t="n">
        <v>15</v>
      </c>
      <c r="B16" s="2" t="inlineStr">
        <is>
          <t>PRN-BRO-HL</t>
        </is>
      </c>
      <c r="C16" s="2" t="inlineStr">
        <is>
          <t>Máy in Laser Brother</t>
        </is>
      </c>
      <c r="D16" s="7" t="n">
        <v>641</v>
      </c>
      <c r="E16" s="7" t="n">
        <v>235499016.2093825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367393.1610130772</v>
      </c>
      <c r="K16" s="7" t="n">
        <v>0</v>
      </c>
      <c r="L16" s="7" t="n">
        <v>641</v>
      </c>
      <c r="M16" s="7" t="n">
        <v>235499016.2093825</v>
      </c>
    </row>
    <row r="17">
      <c r="A17" s="2" t="n">
        <v>16</v>
      </c>
      <c r="B17" s="2" t="inlineStr">
        <is>
          <t>PRN-CAN-LBP</t>
        </is>
      </c>
      <c r="C17" s="2" t="inlineStr">
        <is>
          <t>Máy in Laser Canon</t>
        </is>
      </c>
      <c r="D17" s="7" t="n">
        <v>962</v>
      </c>
      <c r="E17" s="7" t="n">
        <v>1826371354.547441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1898514.921566987</v>
      </c>
      <c r="K17" s="7" t="n">
        <v>0</v>
      </c>
      <c r="L17" s="7" t="n">
        <v>962</v>
      </c>
      <c r="M17" s="7" t="n">
        <v>1826371354.547441</v>
      </c>
    </row>
    <row r="18">
      <c r="C18" s="5" t="inlineStr">
        <is>
          <t>TỔNG CỘNG THÁNG 9</t>
        </is>
      </c>
      <c r="D18" s="6">
        <f>SUM(D2:D17)</f>
        <v/>
      </c>
      <c r="E18" s="6">
        <f>SUM(E2:E17)</f>
        <v/>
      </c>
      <c r="F18" s="6">
        <f>SUM(F2:F17)</f>
        <v/>
      </c>
      <c r="G18" s="6">
        <f>SUM(G2:G17)</f>
        <v/>
      </c>
      <c r="H18" s="6">
        <f>SUM(H2:H17)</f>
        <v/>
      </c>
      <c r="I18" s="6">
        <f>SUM(I2:I17)</f>
        <v/>
      </c>
      <c r="K18" s="6">
        <f>SUM(K2:K17)</f>
        <v/>
      </c>
      <c r="L18" s="6">
        <f>SUM(L2:L17)</f>
        <v/>
      </c>
      <c r="M18" s="6">
        <f>SUM(M2:M17)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855</v>
      </c>
      <c r="E2" s="7" t="n">
        <v>302667446.6482478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353997.0136236817</v>
      </c>
      <c r="K2" s="7" t="n">
        <v>0</v>
      </c>
      <c r="L2" s="7" t="n">
        <v>855</v>
      </c>
      <c r="M2" s="7" t="n">
        <v>302667446.6482478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347</v>
      </c>
      <c r="E3" s="7" t="n">
        <v>90053118.31017932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259519.0729399981</v>
      </c>
      <c r="K3" s="7" t="n">
        <v>0</v>
      </c>
      <c r="L3" s="7" t="n">
        <v>347</v>
      </c>
      <c r="M3" s="7" t="n">
        <v>90053118.31017932</v>
      </c>
    </row>
    <row r="4">
      <c r="A4" s="2" t="n">
        <v>3</v>
      </c>
      <c r="B4" s="2" t="inlineStr">
        <is>
          <t>INK-CAN-12A</t>
        </is>
      </c>
      <c r="C4" s="2" t="inlineStr">
        <is>
          <t>Mực Canon 12A</t>
        </is>
      </c>
      <c r="D4" s="7" t="n">
        <v>989</v>
      </c>
      <c r="E4" s="7" t="n">
        <v>128894722.7334269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130328.3344119584</v>
      </c>
      <c r="K4" s="7" t="n">
        <v>0</v>
      </c>
      <c r="L4" s="7" t="n">
        <v>989</v>
      </c>
      <c r="M4" s="7" t="n">
        <v>128894722.7334269</v>
      </c>
    </row>
    <row r="5">
      <c r="A5" s="2" t="n">
        <v>4</v>
      </c>
      <c r="B5" s="2" t="inlineStr">
        <is>
          <t>INK-CAN-35A</t>
        </is>
      </c>
      <c r="C5" s="2" t="inlineStr">
        <is>
          <t>Mực Canon 35A/85A</t>
        </is>
      </c>
      <c r="D5" s="7" t="n">
        <v>2939</v>
      </c>
      <c r="E5" s="7" t="n">
        <v>73473407.18830474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24999.45804297541</v>
      </c>
      <c r="K5" s="7" t="n">
        <v>0</v>
      </c>
      <c r="L5" s="7" t="n">
        <v>2939</v>
      </c>
      <c r="M5" s="7" t="n">
        <v>73473407.18830474</v>
      </c>
    </row>
    <row r="6">
      <c r="A6" s="2" t="n">
        <v>5</v>
      </c>
      <c r="B6" s="2" t="inlineStr">
        <is>
          <t>LCD-DELL-22</t>
        </is>
      </c>
      <c r="C6" s="2" t="inlineStr">
        <is>
          <t>Màn hình DELL 22"</t>
        </is>
      </c>
      <c r="D6" s="7" t="n">
        <v>107</v>
      </c>
      <c r="E6" s="7" t="n">
        <v>186538636.5670201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1743351.74361701</v>
      </c>
      <c r="K6" s="7" t="n">
        <v>0</v>
      </c>
      <c r="L6" s="7" t="n">
        <v>107</v>
      </c>
      <c r="M6" s="7" t="n">
        <v>186538636.5670201</v>
      </c>
    </row>
    <row r="7">
      <c r="A7" s="2" t="n">
        <v>6</v>
      </c>
      <c r="B7" s="2" t="inlineStr">
        <is>
          <t>LCD-DELL-24</t>
        </is>
      </c>
      <c r="C7" s="2" t="inlineStr">
        <is>
          <t>Màn hình DELL 24"</t>
        </is>
      </c>
      <c r="D7" s="7" t="n">
        <v>1256</v>
      </c>
      <c r="E7" s="7" t="n">
        <v>1092265287.451038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869637.9677157949</v>
      </c>
      <c r="K7" s="7" t="n">
        <v>0</v>
      </c>
      <c r="L7" s="7" t="n">
        <v>1256</v>
      </c>
      <c r="M7" s="7" t="n">
        <v>1092265287.451038</v>
      </c>
    </row>
    <row r="8">
      <c r="A8" s="2" t="n">
        <v>7</v>
      </c>
      <c r="B8" s="2" t="inlineStr">
        <is>
          <t>LCD-LG-24</t>
        </is>
      </c>
      <c r="C8" s="2" t="inlineStr">
        <is>
          <t>Màn hình LG 24-27"</t>
        </is>
      </c>
      <c r="D8" s="7" t="n">
        <v>374</v>
      </c>
      <c r="E8" s="7" t="n">
        <v>154455885.5657241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412983.6512452515</v>
      </c>
      <c r="K8" s="7" t="n">
        <v>0</v>
      </c>
      <c r="L8" s="7" t="n">
        <v>374</v>
      </c>
      <c r="M8" s="7" t="n">
        <v>154455885.5657241</v>
      </c>
    </row>
    <row r="9">
      <c r="A9" s="2" t="n">
        <v>8</v>
      </c>
      <c r="B9" s="2" t="inlineStr">
        <is>
          <t>LCD-VIEW-24</t>
        </is>
      </c>
      <c r="C9" s="2" t="inlineStr">
        <is>
          <t>Màn hình ViewSonic</t>
        </is>
      </c>
      <c r="D9" s="7" t="n">
        <v>53</v>
      </c>
      <c r="E9" s="7" t="n">
        <v>420825195.2709419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7940098.023980035</v>
      </c>
      <c r="K9" s="7" t="n">
        <v>0</v>
      </c>
      <c r="L9" s="7" t="n">
        <v>53</v>
      </c>
      <c r="M9" s="7" t="n">
        <v>420825195.2709419</v>
      </c>
    </row>
    <row r="10">
      <c r="A10" s="2" t="n">
        <v>9</v>
      </c>
      <c r="B10" s="2" t="inlineStr">
        <is>
          <t>MS-LOGI</t>
        </is>
      </c>
      <c r="C10" s="2" t="inlineStr">
        <is>
          <t>Chuột Logitech</t>
        </is>
      </c>
      <c r="D10" s="7" t="n">
        <v>1416</v>
      </c>
      <c r="E10" s="7" t="n">
        <v>243564030.880275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172008.496384375</v>
      </c>
      <c r="K10" s="7" t="n">
        <v>0</v>
      </c>
      <c r="L10" s="7" t="n">
        <v>1416</v>
      </c>
      <c r="M10" s="7" t="n">
        <v>243564030.880275</v>
      </c>
    </row>
    <row r="11">
      <c r="A11" s="2" t="n">
        <v>10</v>
      </c>
      <c r="B11" s="2" t="inlineStr">
        <is>
          <t>OTH-GEN</t>
        </is>
      </c>
      <c r="C11" s="2" t="inlineStr">
        <is>
          <t>Hàng hóa khác</t>
        </is>
      </c>
      <c r="D11" s="7" t="n">
        <v>14883</v>
      </c>
      <c r="E11" s="7" t="n">
        <v>3783061718.041586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254186.7713526565</v>
      </c>
      <c r="K11" s="7" t="n">
        <v>0</v>
      </c>
      <c r="L11" s="7" t="n">
        <v>14883</v>
      </c>
      <c r="M11" s="7" t="n">
        <v>3783061718.041586</v>
      </c>
    </row>
    <row r="12">
      <c r="A12" s="2" t="n">
        <v>11</v>
      </c>
      <c r="B12" s="2" t="inlineStr">
        <is>
          <t>PC-DELL-XPS</t>
        </is>
      </c>
      <c r="C12" s="2" t="inlineStr">
        <is>
          <t>Laptop DELL XPS</t>
        </is>
      </c>
      <c r="D12" s="7" t="n">
        <v>802</v>
      </c>
      <c r="E12" s="7" t="n">
        <v>12211600048.40653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15226433.97556924</v>
      </c>
      <c r="K12" s="7" t="n">
        <v>0</v>
      </c>
      <c r="L12" s="7" t="n">
        <v>802</v>
      </c>
      <c r="M12" s="7" t="n">
        <v>12211600048.40653</v>
      </c>
    </row>
    <row r="13">
      <c r="A13" s="2" t="n">
        <v>12</v>
      </c>
      <c r="B13" s="2" t="inlineStr">
        <is>
          <t>PC-HP-PRO</t>
        </is>
      </c>
      <c r="C13" s="2" t="inlineStr">
        <is>
          <t>Laptop HP ProBook</t>
        </is>
      </c>
      <c r="D13" s="7" t="n">
        <v>668</v>
      </c>
      <c r="E13" s="7" t="n">
        <v>8896927674.077991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13318754.00311077</v>
      </c>
      <c r="K13" s="7" t="n">
        <v>0</v>
      </c>
      <c r="L13" s="7" t="n">
        <v>668</v>
      </c>
      <c r="M13" s="7" t="n">
        <v>8896927674.077991</v>
      </c>
    </row>
    <row r="14">
      <c r="A14" s="2" t="n">
        <v>13</v>
      </c>
      <c r="B14" s="2" t="inlineStr">
        <is>
          <t>PC-LEN-V</t>
        </is>
      </c>
      <c r="C14" s="2" t="inlineStr">
        <is>
          <t>Laptop Lenovo V-Series</t>
        </is>
      </c>
      <c r="D14" s="7" t="n">
        <v>534</v>
      </c>
      <c r="E14" s="7" t="n">
        <v>7892018643.333356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14779061.12983775</v>
      </c>
      <c r="K14" s="7" t="n">
        <v>0</v>
      </c>
      <c r="L14" s="7" t="n">
        <v>534</v>
      </c>
      <c r="M14" s="7" t="n">
        <v>7892018643.333356</v>
      </c>
    </row>
    <row r="15">
      <c r="A15" s="2" t="n">
        <v>14</v>
      </c>
      <c r="B15" s="2" t="inlineStr">
        <is>
          <t>PC-MAC-AIR</t>
        </is>
      </c>
      <c r="C15" s="2" t="inlineStr">
        <is>
          <t>Apple MacBook Air</t>
        </is>
      </c>
      <c r="D15" s="7" t="n">
        <v>2993</v>
      </c>
      <c r="E15" s="7" t="n">
        <v>348337400.7685517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116384.0296587209</v>
      </c>
      <c r="K15" s="7" t="n">
        <v>0</v>
      </c>
      <c r="L15" s="7" t="n">
        <v>2993</v>
      </c>
      <c r="M15" s="7" t="n">
        <v>348337400.7685517</v>
      </c>
    </row>
    <row r="16">
      <c r="A16" s="2" t="n">
        <v>15</v>
      </c>
      <c r="B16" s="2" t="inlineStr">
        <is>
          <t>PRN-BRO-HL</t>
        </is>
      </c>
      <c r="C16" s="2" t="inlineStr">
        <is>
          <t>Máy in Laser Brother</t>
        </is>
      </c>
      <c r="D16" s="7" t="n">
        <v>641</v>
      </c>
      <c r="E16" s="7" t="n">
        <v>235499016.2093825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367393.1610130772</v>
      </c>
      <c r="K16" s="7" t="n">
        <v>0</v>
      </c>
      <c r="L16" s="7" t="n">
        <v>641</v>
      </c>
      <c r="M16" s="7" t="n">
        <v>235499016.2093825</v>
      </c>
    </row>
    <row r="17">
      <c r="A17" s="2" t="n">
        <v>16</v>
      </c>
      <c r="B17" s="2" t="inlineStr">
        <is>
          <t>PRN-CAN-LBP</t>
        </is>
      </c>
      <c r="C17" s="2" t="inlineStr">
        <is>
          <t>Máy in Laser Canon</t>
        </is>
      </c>
      <c r="D17" s="7" t="n">
        <v>962</v>
      </c>
      <c r="E17" s="7" t="n">
        <v>1826371354.547441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1898514.921566987</v>
      </c>
      <c r="K17" s="7" t="n">
        <v>0</v>
      </c>
      <c r="L17" s="7" t="n">
        <v>962</v>
      </c>
      <c r="M17" s="7" t="n">
        <v>1826371354.547441</v>
      </c>
    </row>
    <row r="18">
      <c r="C18" s="5" t="inlineStr">
        <is>
          <t>TỔNG CỘNG THÁNG 10</t>
        </is>
      </c>
      <c r="D18" s="6">
        <f>SUM(D2:D17)</f>
        <v/>
      </c>
      <c r="E18" s="6">
        <f>SUM(E2:E17)</f>
        <v/>
      </c>
      <c r="F18" s="6">
        <f>SUM(F2:F17)</f>
        <v/>
      </c>
      <c r="G18" s="6">
        <f>SUM(G2:G17)</f>
        <v/>
      </c>
      <c r="H18" s="6">
        <f>SUM(H2:H17)</f>
        <v/>
      </c>
      <c r="I18" s="6">
        <f>SUM(I2:I17)</f>
        <v/>
      </c>
      <c r="K18" s="6">
        <f>SUM(K2:K17)</f>
        <v/>
      </c>
      <c r="L18" s="6">
        <f>SUM(L2:L17)</f>
        <v/>
      </c>
      <c r="M18" s="6">
        <f>SUM(M2:M17)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855</v>
      </c>
      <c r="E2" s="7" t="n">
        <v>302667446.6482478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353997.0136236817</v>
      </c>
      <c r="K2" s="7" t="n">
        <v>0</v>
      </c>
      <c r="L2" s="7" t="n">
        <v>855</v>
      </c>
      <c r="M2" s="7" t="n">
        <v>302667446.6482478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347</v>
      </c>
      <c r="E3" s="7" t="n">
        <v>90053118.31017932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259519.0729399981</v>
      </c>
      <c r="K3" s="7" t="n">
        <v>0</v>
      </c>
      <c r="L3" s="7" t="n">
        <v>347</v>
      </c>
      <c r="M3" s="7" t="n">
        <v>90053118.31017932</v>
      </c>
    </row>
    <row r="4">
      <c r="A4" s="2" t="n">
        <v>3</v>
      </c>
      <c r="B4" s="2" t="inlineStr">
        <is>
          <t>INK-CAN-12A</t>
        </is>
      </c>
      <c r="C4" s="2" t="inlineStr">
        <is>
          <t>Mực Canon 12A</t>
        </is>
      </c>
      <c r="D4" s="7" t="n">
        <v>989</v>
      </c>
      <c r="E4" s="7" t="n">
        <v>128894722.7334269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130328.3344119584</v>
      </c>
      <c r="K4" s="7" t="n">
        <v>0</v>
      </c>
      <c r="L4" s="7" t="n">
        <v>989</v>
      </c>
      <c r="M4" s="7" t="n">
        <v>128894722.7334269</v>
      </c>
    </row>
    <row r="5">
      <c r="A5" s="2" t="n">
        <v>4</v>
      </c>
      <c r="B5" s="2" t="inlineStr">
        <is>
          <t>INK-CAN-35A</t>
        </is>
      </c>
      <c r="C5" s="2" t="inlineStr">
        <is>
          <t>Mực Canon 35A/85A</t>
        </is>
      </c>
      <c r="D5" s="7" t="n">
        <v>2939</v>
      </c>
      <c r="E5" s="7" t="n">
        <v>73473407.18830474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24999.45804297541</v>
      </c>
      <c r="K5" s="7" t="n">
        <v>0</v>
      </c>
      <c r="L5" s="7" t="n">
        <v>2939</v>
      </c>
      <c r="M5" s="7" t="n">
        <v>73473407.18830474</v>
      </c>
    </row>
    <row r="6">
      <c r="A6" s="2" t="n">
        <v>5</v>
      </c>
      <c r="B6" s="2" t="inlineStr">
        <is>
          <t>LCD-DELL-22</t>
        </is>
      </c>
      <c r="C6" s="2" t="inlineStr">
        <is>
          <t>Màn hình DELL 22"</t>
        </is>
      </c>
      <c r="D6" s="7" t="n">
        <v>107</v>
      </c>
      <c r="E6" s="7" t="n">
        <v>186538636.5670201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1743351.74361701</v>
      </c>
      <c r="K6" s="7" t="n">
        <v>0</v>
      </c>
      <c r="L6" s="7" t="n">
        <v>107</v>
      </c>
      <c r="M6" s="7" t="n">
        <v>186538636.5670201</v>
      </c>
    </row>
    <row r="7">
      <c r="A7" s="2" t="n">
        <v>6</v>
      </c>
      <c r="B7" s="2" t="inlineStr">
        <is>
          <t>LCD-DELL-24</t>
        </is>
      </c>
      <c r="C7" s="2" t="inlineStr">
        <is>
          <t>Màn hình DELL 24"</t>
        </is>
      </c>
      <c r="D7" s="7" t="n">
        <v>1256</v>
      </c>
      <c r="E7" s="7" t="n">
        <v>1092265287.451038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869637.9677157949</v>
      </c>
      <c r="K7" s="7" t="n">
        <v>0</v>
      </c>
      <c r="L7" s="7" t="n">
        <v>1256</v>
      </c>
      <c r="M7" s="7" t="n">
        <v>1092265287.451038</v>
      </c>
    </row>
    <row r="8">
      <c r="A8" s="2" t="n">
        <v>7</v>
      </c>
      <c r="B8" s="2" t="inlineStr">
        <is>
          <t>LCD-LG-24</t>
        </is>
      </c>
      <c r="C8" s="2" t="inlineStr">
        <is>
          <t>Màn hình LG 24-27"</t>
        </is>
      </c>
      <c r="D8" s="7" t="n">
        <v>374</v>
      </c>
      <c r="E8" s="7" t="n">
        <v>154455885.5657241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412983.6512452515</v>
      </c>
      <c r="K8" s="7" t="n">
        <v>0</v>
      </c>
      <c r="L8" s="7" t="n">
        <v>374</v>
      </c>
      <c r="M8" s="7" t="n">
        <v>154455885.5657241</v>
      </c>
    </row>
    <row r="9">
      <c r="A9" s="2" t="n">
        <v>8</v>
      </c>
      <c r="B9" s="2" t="inlineStr">
        <is>
          <t>LCD-VIEW-24</t>
        </is>
      </c>
      <c r="C9" s="2" t="inlineStr">
        <is>
          <t>Màn hình ViewSonic</t>
        </is>
      </c>
      <c r="D9" s="7" t="n">
        <v>53</v>
      </c>
      <c r="E9" s="7" t="n">
        <v>420825195.2709419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7940098.023980035</v>
      </c>
      <c r="K9" s="7" t="n">
        <v>0</v>
      </c>
      <c r="L9" s="7" t="n">
        <v>53</v>
      </c>
      <c r="M9" s="7" t="n">
        <v>420825195.2709419</v>
      </c>
    </row>
    <row r="10">
      <c r="A10" s="2" t="n">
        <v>9</v>
      </c>
      <c r="B10" s="2" t="inlineStr">
        <is>
          <t>MS-LOGI</t>
        </is>
      </c>
      <c r="C10" s="2" t="inlineStr">
        <is>
          <t>Chuột Logitech</t>
        </is>
      </c>
      <c r="D10" s="7" t="n">
        <v>1416</v>
      </c>
      <c r="E10" s="7" t="n">
        <v>243564030.880275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172008.496384375</v>
      </c>
      <c r="K10" s="7" t="n">
        <v>0</v>
      </c>
      <c r="L10" s="7" t="n">
        <v>1416</v>
      </c>
      <c r="M10" s="7" t="n">
        <v>243564030.880275</v>
      </c>
    </row>
    <row r="11">
      <c r="A11" s="2" t="n">
        <v>10</v>
      </c>
      <c r="B11" s="2" t="inlineStr">
        <is>
          <t>OTH-GEN</t>
        </is>
      </c>
      <c r="C11" s="2" t="inlineStr">
        <is>
          <t>Hàng hóa khác</t>
        </is>
      </c>
      <c r="D11" s="7" t="n">
        <v>14883</v>
      </c>
      <c r="E11" s="7" t="n">
        <v>3783061718.041586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254186.7713526565</v>
      </c>
      <c r="K11" s="7" t="n">
        <v>0</v>
      </c>
      <c r="L11" s="7" t="n">
        <v>14883</v>
      </c>
      <c r="M11" s="7" t="n">
        <v>3783061718.041586</v>
      </c>
    </row>
    <row r="12">
      <c r="A12" s="2" t="n">
        <v>11</v>
      </c>
      <c r="B12" s="2" t="inlineStr">
        <is>
          <t>PC-DELL-XPS</t>
        </is>
      </c>
      <c r="C12" s="2" t="inlineStr">
        <is>
          <t>Laptop DELL XPS</t>
        </is>
      </c>
      <c r="D12" s="7" t="n">
        <v>802</v>
      </c>
      <c r="E12" s="7" t="n">
        <v>12211600048.40653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15226433.97556924</v>
      </c>
      <c r="K12" s="7" t="n">
        <v>0</v>
      </c>
      <c r="L12" s="7" t="n">
        <v>802</v>
      </c>
      <c r="M12" s="7" t="n">
        <v>12211600048.40653</v>
      </c>
    </row>
    <row r="13">
      <c r="A13" s="2" t="n">
        <v>12</v>
      </c>
      <c r="B13" s="2" t="inlineStr">
        <is>
          <t>PC-HP-PRO</t>
        </is>
      </c>
      <c r="C13" s="2" t="inlineStr">
        <is>
          <t>Laptop HP ProBook</t>
        </is>
      </c>
      <c r="D13" s="7" t="n">
        <v>668</v>
      </c>
      <c r="E13" s="7" t="n">
        <v>8896927674.077991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13318754.00311077</v>
      </c>
      <c r="K13" s="7" t="n">
        <v>0</v>
      </c>
      <c r="L13" s="7" t="n">
        <v>668</v>
      </c>
      <c r="M13" s="7" t="n">
        <v>8896927674.077991</v>
      </c>
    </row>
    <row r="14">
      <c r="A14" s="2" t="n">
        <v>13</v>
      </c>
      <c r="B14" s="2" t="inlineStr">
        <is>
          <t>PC-LEN-V</t>
        </is>
      </c>
      <c r="C14" s="2" t="inlineStr">
        <is>
          <t>Laptop Lenovo V-Series</t>
        </is>
      </c>
      <c r="D14" s="7" t="n">
        <v>534</v>
      </c>
      <c r="E14" s="7" t="n">
        <v>7892018643.333356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14779061.12983775</v>
      </c>
      <c r="K14" s="7" t="n">
        <v>0</v>
      </c>
      <c r="L14" s="7" t="n">
        <v>534</v>
      </c>
      <c r="M14" s="7" t="n">
        <v>7892018643.333356</v>
      </c>
    </row>
    <row r="15">
      <c r="A15" s="2" t="n">
        <v>14</v>
      </c>
      <c r="B15" s="2" t="inlineStr">
        <is>
          <t>PC-MAC-AIR</t>
        </is>
      </c>
      <c r="C15" s="2" t="inlineStr">
        <is>
          <t>Apple MacBook Air</t>
        </is>
      </c>
      <c r="D15" s="7" t="n">
        <v>2993</v>
      </c>
      <c r="E15" s="7" t="n">
        <v>348337400.7685517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116384.0296587209</v>
      </c>
      <c r="K15" s="7" t="n">
        <v>0</v>
      </c>
      <c r="L15" s="7" t="n">
        <v>2993</v>
      </c>
      <c r="M15" s="7" t="n">
        <v>348337400.7685517</v>
      </c>
    </row>
    <row r="16">
      <c r="A16" s="2" t="n">
        <v>15</v>
      </c>
      <c r="B16" s="2" t="inlineStr">
        <is>
          <t>PRN-BRO-HL</t>
        </is>
      </c>
      <c r="C16" s="2" t="inlineStr">
        <is>
          <t>Máy in Laser Brother</t>
        </is>
      </c>
      <c r="D16" s="7" t="n">
        <v>641</v>
      </c>
      <c r="E16" s="7" t="n">
        <v>235499016.2093825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367393.1610130772</v>
      </c>
      <c r="K16" s="7" t="n">
        <v>0</v>
      </c>
      <c r="L16" s="7" t="n">
        <v>641</v>
      </c>
      <c r="M16" s="7" t="n">
        <v>235499016.2093825</v>
      </c>
    </row>
    <row r="17">
      <c r="A17" s="2" t="n">
        <v>16</v>
      </c>
      <c r="B17" s="2" t="inlineStr">
        <is>
          <t>PRN-CAN-LBP</t>
        </is>
      </c>
      <c r="C17" s="2" t="inlineStr">
        <is>
          <t>Máy in Laser Canon</t>
        </is>
      </c>
      <c r="D17" s="7" t="n">
        <v>962</v>
      </c>
      <c r="E17" s="7" t="n">
        <v>1826371354.547441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1898514.921566987</v>
      </c>
      <c r="K17" s="7" t="n">
        <v>0</v>
      </c>
      <c r="L17" s="7" t="n">
        <v>962</v>
      </c>
      <c r="M17" s="7" t="n">
        <v>1826371354.547441</v>
      </c>
    </row>
    <row r="18">
      <c r="C18" s="5" t="inlineStr">
        <is>
          <t>TỔNG CỘNG THÁNG 11</t>
        </is>
      </c>
      <c r="D18" s="6">
        <f>SUM(D2:D17)</f>
        <v/>
      </c>
      <c r="E18" s="6">
        <f>SUM(E2:E17)</f>
        <v/>
      </c>
      <c r="F18" s="6">
        <f>SUM(F2:F17)</f>
        <v/>
      </c>
      <c r="G18" s="6">
        <f>SUM(G2:G17)</f>
        <v/>
      </c>
      <c r="H18" s="6">
        <f>SUM(H2:H17)</f>
        <v/>
      </c>
      <c r="I18" s="6">
        <f>SUM(I2:I17)</f>
        <v/>
      </c>
      <c r="K18" s="6">
        <f>SUM(K2:K17)</f>
        <v/>
      </c>
      <c r="L18" s="6">
        <f>SUM(L2:L17)</f>
        <v/>
      </c>
      <c r="M18" s="6">
        <f>SUM(M2:M17)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4" t="inlineStr">
        <is>
          <t>STT</t>
        </is>
      </c>
      <c r="B1" s="4" t="inlineStr">
        <is>
          <t>Mã Nhóm</t>
        </is>
      </c>
      <c r="C1" s="4" t="inlineStr">
        <is>
          <t>Tên Nhóm Sản Phẩm</t>
        </is>
      </c>
      <c r="D1" s="4" t="inlineStr">
        <is>
          <t>Tồn Đầu Kỳ (SL)</t>
        </is>
      </c>
      <c r="E1" s="4" t="inlineStr">
        <is>
          <t>Tồn Đầu Kỳ (VNĐ)</t>
        </is>
      </c>
      <c r="F1" s="4" t="inlineStr">
        <is>
          <t>Nhập (SL)</t>
        </is>
      </c>
      <c r="G1" s="4" t="inlineStr">
        <is>
          <t>Nhập (VNĐ)</t>
        </is>
      </c>
      <c r="H1" s="4" t="inlineStr">
        <is>
          <t>Xuất (SL)</t>
        </is>
      </c>
      <c r="I1" s="4" t="inlineStr">
        <is>
          <t>Xuất (VNĐố)</t>
        </is>
      </c>
      <c r="J1" s="4" t="inlineStr">
        <is>
          <t>Giá Vốn (WAP)</t>
        </is>
      </c>
      <c r="K1" s="4" t="inlineStr">
        <is>
          <t>Xuất Theo Giá Vốn</t>
        </is>
      </c>
      <c r="L1" s="4" t="inlineStr">
        <is>
          <t>Tồn Cuối (SL)</t>
        </is>
      </c>
      <c r="M1" s="4" t="inlineStr">
        <is>
          <t>Tồn Cuối (VNĐ)</t>
        </is>
      </c>
    </row>
    <row r="2">
      <c r="A2" s="2" t="n">
        <v>1</v>
      </c>
      <c r="B2" s="2" t="inlineStr">
        <is>
          <t>CAB-LAN-C5</t>
        </is>
      </c>
      <c r="C2" s="2" t="inlineStr">
        <is>
          <t>Cáp mạng Cat5e</t>
        </is>
      </c>
      <c r="D2" s="7" t="n">
        <v>855</v>
      </c>
      <c r="E2" s="7" t="n">
        <v>302667446.6482478</v>
      </c>
      <c r="F2" s="7" t="n">
        <v>0</v>
      </c>
      <c r="G2" s="7" t="n">
        <v>0</v>
      </c>
      <c r="H2" s="7" t="n">
        <v>0</v>
      </c>
      <c r="I2" s="7" t="n">
        <v>0</v>
      </c>
      <c r="J2" s="7" t="n">
        <v>353997.0136236817</v>
      </c>
      <c r="K2" s="7" t="n">
        <v>0</v>
      </c>
      <c r="L2" s="7" t="n">
        <v>855</v>
      </c>
      <c r="M2" s="7" t="n">
        <v>302667446.6482478</v>
      </c>
    </row>
    <row r="3">
      <c r="A3" s="2" t="n">
        <v>2</v>
      </c>
      <c r="B3" s="2" t="inlineStr">
        <is>
          <t>CAM-WIFI-2M</t>
        </is>
      </c>
      <c r="C3" s="2" t="inlineStr">
        <is>
          <t>Camera WiFi 2MP</t>
        </is>
      </c>
      <c r="D3" s="7" t="n">
        <v>347</v>
      </c>
      <c r="E3" s="7" t="n">
        <v>90053118.31017932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259519.0729399981</v>
      </c>
      <c r="K3" s="7" t="n">
        <v>0</v>
      </c>
      <c r="L3" s="7" t="n">
        <v>347</v>
      </c>
      <c r="M3" s="7" t="n">
        <v>90053118.31017932</v>
      </c>
    </row>
    <row r="4">
      <c r="A4" s="2" t="n">
        <v>3</v>
      </c>
      <c r="B4" s="2" t="inlineStr">
        <is>
          <t>INK-CAN-12A</t>
        </is>
      </c>
      <c r="C4" s="2" t="inlineStr">
        <is>
          <t>Mực Canon 12A</t>
        </is>
      </c>
      <c r="D4" s="7" t="n">
        <v>989</v>
      </c>
      <c r="E4" s="7" t="n">
        <v>128894722.7334269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130328.3344119584</v>
      </c>
      <c r="K4" s="7" t="n">
        <v>0</v>
      </c>
      <c r="L4" s="7" t="n">
        <v>989</v>
      </c>
      <c r="M4" s="7" t="n">
        <v>128894722.7334269</v>
      </c>
    </row>
    <row r="5">
      <c r="A5" s="2" t="n">
        <v>4</v>
      </c>
      <c r="B5" s="2" t="inlineStr">
        <is>
          <t>INK-CAN-35A</t>
        </is>
      </c>
      <c r="C5" s="2" t="inlineStr">
        <is>
          <t>Mực Canon 35A/85A</t>
        </is>
      </c>
      <c r="D5" s="7" t="n">
        <v>2939</v>
      </c>
      <c r="E5" s="7" t="n">
        <v>73473407.18830474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24999.45804297541</v>
      </c>
      <c r="K5" s="7" t="n">
        <v>0</v>
      </c>
      <c r="L5" s="7" t="n">
        <v>2939</v>
      </c>
      <c r="M5" s="7" t="n">
        <v>73473407.18830474</v>
      </c>
    </row>
    <row r="6">
      <c r="A6" s="2" t="n">
        <v>5</v>
      </c>
      <c r="B6" s="2" t="inlineStr">
        <is>
          <t>LCD-DELL-22</t>
        </is>
      </c>
      <c r="C6" s="2" t="inlineStr">
        <is>
          <t>Màn hình DELL 22"</t>
        </is>
      </c>
      <c r="D6" s="7" t="n">
        <v>107</v>
      </c>
      <c r="E6" s="7" t="n">
        <v>186538636.5670201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1743351.74361701</v>
      </c>
      <c r="K6" s="7" t="n">
        <v>0</v>
      </c>
      <c r="L6" s="7" t="n">
        <v>107</v>
      </c>
      <c r="M6" s="7" t="n">
        <v>186538636.5670201</v>
      </c>
    </row>
    <row r="7">
      <c r="A7" s="2" t="n">
        <v>6</v>
      </c>
      <c r="B7" s="2" t="inlineStr">
        <is>
          <t>LCD-DELL-24</t>
        </is>
      </c>
      <c r="C7" s="2" t="inlineStr">
        <is>
          <t>Màn hình DELL 24"</t>
        </is>
      </c>
      <c r="D7" s="7" t="n">
        <v>1256</v>
      </c>
      <c r="E7" s="7" t="n">
        <v>1092265287.451038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869637.9677157949</v>
      </c>
      <c r="K7" s="7" t="n">
        <v>0</v>
      </c>
      <c r="L7" s="7" t="n">
        <v>1256</v>
      </c>
      <c r="M7" s="7" t="n">
        <v>1092265287.451038</v>
      </c>
    </row>
    <row r="8">
      <c r="A8" s="2" t="n">
        <v>7</v>
      </c>
      <c r="B8" s="2" t="inlineStr">
        <is>
          <t>LCD-LG-24</t>
        </is>
      </c>
      <c r="C8" s="2" t="inlineStr">
        <is>
          <t>Màn hình LG 24-27"</t>
        </is>
      </c>
      <c r="D8" s="7" t="n">
        <v>374</v>
      </c>
      <c r="E8" s="7" t="n">
        <v>154455885.5657241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412983.6512452515</v>
      </c>
      <c r="K8" s="7" t="n">
        <v>0</v>
      </c>
      <c r="L8" s="7" t="n">
        <v>374</v>
      </c>
      <c r="M8" s="7" t="n">
        <v>154455885.5657241</v>
      </c>
    </row>
    <row r="9">
      <c r="A9" s="2" t="n">
        <v>8</v>
      </c>
      <c r="B9" s="2" t="inlineStr">
        <is>
          <t>LCD-VIEW-24</t>
        </is>
      </c>
      <c r="C9" s="2" t="inlineStr">
        <is>
          <t>Màn hình ViewSonic</t>
        </is>
      </c>
      <c r="D9" s="7" t="n">
        <v>53</v>
      </c>
      <c r="E9" s="7" t="n">
        <v>420825195.2709419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7940098.023980035</v>
      </c>
      <c r="K9" s="7" t="n">
        <v>0</v>
      </c>
      <c r="L9" s="7" t="n">
        <v>53</v>
      </c>
      <c r="M9" s="7" t="n">
        <v>420825195.2709419</v>
      </c>
    </row>
    <row r="10">
      <c r="A10" s="2" t="n">
        <v>9</v>
      </c>
      <c r="B10" s="2" t="inlineStr">
        <is>
          <t>MS-LOGI</t>
        </is>
      </c>
      <c r="C10" s="2" t="inlineStr">
        <is>
          <t>Chuột Logitech</t>
        </is>
      </c>
      <c r="D10" s="7" t="n">
        <v>1416</v>
      </c>
      <c r="E10" s="7" t="n">
        <v>243564030.880275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172008.496384375</v>
      </c>
      <c r="K10" s="7" t="n">
        <v>0</v>
      </c>
      <c r="L10" s="7" t="n">
        <v>1416</v>
      </c>
      <c r="M10" s="7" t="n">
        <v>243564030.880275</v>
      </c>
    </row>
    <row r="11">
      <c r="A11" s="2" t="n">
        <v>10</v>
      </c>
      <c r="B11" s="2" t="inlineStr">
        <is>
          <t>OTH-GEN</t>
        </is>
      </c>
      <c r="C11" s="2" t="inlineStr">
        <is>
          <t>Hàng hóa khác</t>
        </is>
      </c>
      <c r="D11" s="7" t="n">
        <v>14883</v>
      </c>
      <c r="E11" s="7" t="n">
        <v>3783061718.041586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254186.7713526565</v>
      </c>
      <c r="K11" s="7" t="n">
        <v>0</v>
      </c>
      <c r="L11" s="7" t="n">
        <v>14883</v>
      </c>
      <c r="M11" s="7" t="n">
        <v>3783061718.041586</v>
      </c>
    </row>
    <row r="12">
      <c r="A12" s="2" t="n">
        <v>11</v>
      </c>
      <c r="B12" s="2" t="inlineStr">
        <is>
          <t>PC-DELL-XPS</t>
        </is>
      </c>
      <c r="C12" s="2" t="inlineStr">
        <is>
          <t>Laptop DELL XPS</t>
        </is>
      </c>
      <c r="D12" s="7" t="n">
        <v>802</v>
      </c>
      <c r="E12" s="7" t="n">
        <v>12211600048.40653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15226433.97556924</v>
      </c>
      <c r="K12" s="7" t="n">
        <v>0</v>
      </c>
      <c r="L12" s="7" t="n">
        <v>802</v>
      </c>
      <c r="M12" s="7" t="n">
        <v>12211600048.40653</v>
      </c>
    </row>
    <row r="13">
      <c r="A13" s="2" t="n">
        <v>12</v>
      </c>
      <c r="B13" s="2" t="inlineStr">
        <is>
          <t>PC-HP-PRO</t>
        </is>
      </c>
      <c r="C13" s="2" t="inlineStr">
        <is>
          <t>Laptop HP ProBook</t>
        </is>
      </c>
      <c r="D13" s="7" t="n">
        <v>668</v>
      </c>
      <c r="E13" s="7" t="n">
        <v>8896927674.077991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13318754.00311077</v>
      </c>
      <c r="K13" s="7" t="n">
        <v>0</v>
      </c>
      <c r="L13" s="7" t="n">
        <v>668</v>
      </c>
      <c r="M13" s="7" t="n">
        <v>8896927674.077991</v>
      </c>
    </row>
    <row r="14">
      <c r="A14" s="2" t="n">
        <v>13</v>
      </c>
      <c r="B14" s="2" t="inlineStr">
        <is>
          <t>PC-LEN-V</t>
        </is>
      </c>
      <c r="C14" s="2" t="inlineStr">
        <is>
          <t>Laptop Lenovo V-Series</t>
        </is>
      </c>
      <c r="D14" s="7" t="n">
        <v>534</v>
      </c>
      <c r="E14" s="7" t="n">
        <v>7892018643.333356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14779061.12983775</v>
      </c>
      <c r="K14" s="7" t="n">
        <v>0</v>
      </c>
      <c r="L14" s="7" t="n">
        <v>534</v>
      </c>
      <c r="M14" s="7" t="n">
        <v>7892018643.333356</v>
      </c>
    </row>
    <row r="15">
      <c r="A15" s="2" t="n">
        <v>14</v>
      </c>
      <c r="B15" s="2" t="inlineStr">
        <is>
          <t>PC-MAC-AIR</t>
        </is>
      </c>
      <c r="C15" s="2" t="inlineStr">
        <is>
          <t>Apple MacBook Air</t>
        </is>
      </c>
      <c r="D15" s="7" t="n">
        <v>2993</v>
      </c>
      <c r="E15" s="7" t="n">
        <v>348337400.7685517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116384.0296587209</v>
      </c>
      <c r="K15" s="7" t="n">
        <v>0</v>
      </c>
      <c r="L15" s="7" t="n">
        <v>2993</v>
      </c>
      <c r="M15" s="7" t="n">
        <v>348337400.7685517</v>
      </c>
    </row>
    <row r="16">
      <c r="A16" s="2" t="n">
        <v>15</v>
      </c>
      <c r="B16" s="2" t="inlineStr">
        <is>
          <t>PRN-BRO-HL</t>
        </is>
      </c>
      <c r="C16" s="2" t="inlineStr">
        <is>
          <t>Máy in Laser Brother</t>
        </is>
      </c>
      <c r="D16" s="7" t="n">
        <v>641</v>
      </c>
      <c r="E16" s="7" t="n">
        <v>235499016.2093825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367393.1610130772</v>
      </c>
      <c r="K16" s="7" t="n">
        <v>0</v>
      </c>
      <c r="L16" s="7" t="n">
        <v>641</v>
      </c>
      <c r="M16" s="7" t="n">
        <v>235499016.2093825</v>
      </c>
    </row>
    <row r="17">
      <c r="A17" s="2" t="n">
        <v>16</v>
      </c>
      <c r="B17" s="2" t="inlineStr">
        <is>
          <t>PRN-CAN-LBP</t>
        </is>
      </c>
      <c r="C17" s="2" t="inlineStr">
        <is>
          <t>Máy in Laser Canon</t>
        </is>
      </c>
      <c r="D17" s="7" t="n">
        <v>962</v>
      </c>
      <c r="E17" s="7" t="n">
        <v>1826371354.547441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1898514.921566987</v>
      </c>
      <c r="K17" s="7" t="n">
        <v>0</v>
      </c>
      <c r="L17" s="7" t="n">
        <v>962</v>
      </c>
      <c r="M17" s="7" t="n">
        <v>1826371354.547441</v>
      </c>
    </row>
    <row r="18">
      <c r="C18" s="5" t="inlineStr">
        <is>
          <t>TỔNG CỘNG THÁNG 12</t>
        </is>
      </c>
      <c r="D18" s="6">
        <f>SUM(D2:D17)</f>
        <v/>
      </c>
      <c r="E18" s="6">
        <f>SUM(E2:E17)</f>
        <v/>
      </c>
      <c r="F18" s="6">
        <f>SUM(F2:F17)</f>
        <v/>
      </c>
      <c r="G18" s="6">
        <f>SUM(G2:G17)</f>
        <v/>
      </c>
      <c r="H18" s="6">
        <f>SUM(H2:H17)</f>
        <v/>
      </c>
      <c r="I18" s="6">
        <f>SUM(I2:I17)</f>
        <v/>
      </c>
      <c r="K18" s="6">
        <f>SUM(K2:K17)</f>
        <v/>
      </c>
      <c r="L18" s="6">
        <f>SUM(L2:L17)</f>
        <v/>
      </c>
      <c r="M18" s="6">
        <f>SUM(M2:M17)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2026-03-27T16:15:08Z</dcterms:created>
  <dcterms:modified xmlns:dcterms="http://purl.org/dc/terms/" xmlns:xsi="http://www.w3.org/2001/XMLSchema-instance" xsi:type="dcterms:W3CDTF">2026-03-27T16:15:08Z</dcterms:modified>
</cp:coreProperties>
</file>