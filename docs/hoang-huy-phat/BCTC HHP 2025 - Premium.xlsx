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20E294D-86BA-4F26-9C63-190628A26FA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shboard" sheetId="1" r:id="rId1"/>
    <sheet name="BCĐ Tài Khoản" sheetId="2" r:id="rId2"/>
    <sheet name="BCĐ Kế Toán" sheetId="3" r:id="rId3"/>
    <sheet name="Kết quả kinh doan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H20" i="2" s="1"/>
  <c r="H32" i="2"/>
  <c r="F32" i="2"/>
  <c r="D32" i="2"/>
  <c r="H21" i="2"/>
  <c r="F33" i="2" l="1"/>
  <c r="H52" i="2" s="1"/>
  <c r="H30" i="2"/>
  <c r="E19" i="2"/>
  <c r="H19" i="2" s="1"/>
  <c r="G17" i="2"/>
  <c r="G16" i="2"/>
  <c r="G13" i="2"/>
  <c r="F8" i="2"/>
  <c r="F52" i="2" s="1"/>
  <c r="E52" i="2" l="1"/>
  <c r="G6" i="2"/>
  <c r="G7" i="2"/>
  <c r="G8" i="2"/>
  <c r="G5" i="2"/>
  <c r="D52" i="2"/>
  <c r="C52" i="2"/>
  <c r="C8" i="3"/>
  <c r="F53" i="2"/>
  <c r="C13" i="4"/>
  <c r="C12" i="4"/>
  <c r="C11" i="4"/>
  <c r="C10" i="4"/>
  <c r="C8" i="4"/>
  <c r="C6" i="4"/>
  <c r="C5" i="4"/>
  <c r="C17" i="3"/>
  <c r="C16" i="3"/>
  <c r="C15" i="3"/>
  <c r="C14" i="3"/>
  <c r="C10" i="3"/>
  <c r="C9" i="3"/>
  <c r="C7" i="4" l="1"/>
  <c r="C9" i="4" s="1"/>
  <c r="C6" i="3"/>
  <c r="G52" i="2"/>
  <c r="H53" i="2" s="1"/>
  <c r="C14" i="4"/>
  <c r="F3" i="1" s="1"/>
  <c r="C18" i="3"/>
  <c r="C7" i="3"/>
  <c r="D3" i="1"/>
  <c r="C11" i="3" l="1"/>
  <c r="B3" i="1" s="1"/>
</calcChain>
</file>

<file path=xl/sharedStrings.xml><?xml version="1.0" encoding="utf-8"?>
<sst xmlns="http://schemas.openxmlformats.org/spreadsheetml/2006/main" count="151" uniqueCount="141">
  <si>
    <t>TỔNG TÀI SẢN 2025</t>
  </si>
  <si>
    <t>DOANH THU 2025</t>
  </si>
  <si>
    <t>LỢI NHUẬN (LỖ) 2025</t>
  </si>
  <si>
    <t>BẢNG CÂN ĐỐI TÀI KHOẢN 2025</t>
  </si>
  <si>
    <t>Số hiệu TK</t>
  </si>
  <si>
    <t>Tên tài khoản</t>
  </si>
  <si>
    <t>Đầu năm</t>
  </si>
  <si>
    <t>Phát sinh</t>
  </si>
  <si>
    <t>Cuối năm</t>
  </si>
  <si>
    <t>Nợ</t>
  </si>
  <si>
    <t>Có</t>
  </si>
  <si>
    <t>1111</t>
  </si>
  <si>
    <t>Tiền Việt Nam</t>
  </si>
  <si>
    <t>112</t>
  </si>
  <si>
    <t>Tiền gửi Ngân hàng</t>
  </si>
  <si>
    <t>131</t>
  </si>
  <si>
    <t>Phải thu của khách hàng</t>
  </si>
  <si>
    <t>133</t>
  </si>
  <si>
    <t>Thuế GTGT được khấu trừ</t>
  </si>
  <si>
    <t>1331</t>
  </si>
  <si>
    <t>Thuế GTGT được khấu trừ của hàng hóa, dịch vụ</t>
  </si>
  <si>
    <t>152</t>
  </si>
  <si>
    <t>Nguyên liệu, vật liệu</t>
  </si>
  <si>
    <t>153</t>
  </si>
  <si>
    <t>Công cụ, dụng cụ</t>
  </si>
  <si>
    <t>1531</t>
  </si>
  <si>
    <t>156</t>
  </si>
  <si>
    <t>Hàng hóa</t>
  </si>
  <si>
    <t>1561</t>
  </si>
  <si>
    <t>Giá mua hàng hóa</t>
  </si>
  <si>
    <t>211</t>
  </si>
  <si>
    <t>Tài sản cố định hữu hình</t>
  </si>
  <si>
    <t>2113</t>
  </si>
  <si>
    <t>Phương tiện vận tải, truyền dẫn</t>
  </si>
  <si>
    <t>214</t>
  </si>
  <si>
    <t>Hao mòn tài sản cố định</t>
  </si>
  <si>
    <t>2141</t>
  </si>
  <si>
    <t>Hao mòn TSCĐ hữu hình</t>
  </si>
  <si>
    <t>331</t>
  </si>
  <si>
    <t>Phải trả cho người bán</t>
  </si>
  <si>
    <t>333</t>
  </si>
  <si>
    <t>Thuế và các khoản phải nộp Nhà nước</t>
  </si>
  <si>
    <t>3331</t>
  </si>
  <si>
    <t>Thuế giá trị gia tăng phải nộp</t>
  </si>
  <si>
    <t>3334</t>
  </si>
  <si>
    <t>Thuế thu nhập doanh nghiệp</t>
  </si>
  <si>
    <t>3338</t>
  </si>
  <si>
    <t>Thuế bảo vệ môi trường và các loại thuế khác</t>
  </si>
  <si>
    <t>334</t>
  </si>
  <si>
    <t>Phải trả người lao động</t>
  </si>
  <si>
    <t>3348</t>
  </si>
  <si>
    <t>Phải trả người lao động khác</t>
  </si>
  <si>
    <t>338</t>
  </si>
  <si>
    <t>Phải trả, phải nộp khác</t>
  </si>
  <si>
    <t>3388</t>
  </si>
  <si>
    <t>341</t>
  </si>
  <si>
    <t>Vay và nợ thuê tài chính</t>
  </si>
  <si>
    <t>3411</t>
  </si>
  <si>
    <t>Các khoản đi vay</t>
  </si>
  <si>
    <t>411</t>
  </si>
  <si>
    <t>Vốn đầu tư của chủ sở hữu</t>
  </si>
  <si>
    <t>4118</t>
  </si>
  <si>
    <t>Vốn khác</t>
  </si>
  <si>
    <t>421</t>
  </si>
  <si>
    <t>Lợi nhuận sau thuế chưa phân phối</t>
  </si>
  <si>
    <t>4211</t>
  </si>
  <si>
    <t>Lợi nhuận sau thuế chưa phân phối năm trước</t>
  </si>
  <si>
    <t>4212</t>
  </si>
  <si>
    <t>Lợi nhuận sau thuế chưa phân phối năm nay</t>
  </si>
  <si>
    <t>511</t>
  </si>
  <si>
    <t>Doanh thu bán hàng và cung cấp dịch vụ</t>
  </si>
  <si>
    <t>5111</t>
  </si>
  <si>
    <t>Doanh thu bán hàng hóa</t>
  </si>
  <si>
    <t>515</t>
  </si>
  <si>
    <t>Doanh thu hoạt động tài chính</t>
  </si>
  <si>
    <t>521</t>
  </si>
  <si>
    <t>Các khoản giảm trừ doanh thu</t>
  </si>
  <si>
    <t>5211</t>
  </si>
  <si>
    <t>Chiết khấu thương mại</t>
  </si>
  <si>
    <t>632</t>
  </si>
  <si>
    <t>Giá vốn hàng bán</t>
  </si>
  <si>
    <t>635</t>
  </si>
  <si>
    <t>Chi phí tài chính</t>
  </si>
  <si>
    <t>635 (01)</t>
  </si>
  <si>
    <t>Lãi vay ngân hàng</t>
  </si>
  <si>
    <t>635 (02)</t>
  </si>
  <si>
    <t>Phí ngân hàng</t>
  </si>
  <si>
    <t>641</t>
  </si>
  <si>
    <t>Chi phí bán hàng</t>
  </si>
  <si>
    <t>6411</t>
  </si>
  <si>
    <t>Chi phí nhân viên</t>
  </si>
  <si>
    <t>6418</t>
  </si>
  <si>
    <t>Chi phí bằng tiền khác</t>
  </si>
  <si>
    <t>642</t>
  </si>
  <si>
    <t>Chi phí quản lý doanh nghiệp</t>
  </si>
  <si>
    <t>6423</t>
  </si>
  <si>
    <t>6428</t>
  </si>
  <si>
    <t>711</t>
  </si>
  <si>
    <t>Thu nhập khác</t>
  </si>
  <si>
    <t>911</t>
  </si>
  <si>
    <t>Xác định kết quả kinh doanh</t>
  </si>
  <si>
    <t>CỘNG</t>
  </si>
  <si>
    <t>BẢNG CÂN ĐỐI KẾ TOÁN 2025</t>
  </si>
  <si>
    <t>CHỈ TIÊU</t>
  </si>
  <si>
    <t>MÃ SỐ</t>
  </si>
  <si>
    <t>SỐ CUỐI NĂM</t>
  </si>
  <si>
    <t>TÀI SẢN (ASSETS)</t>
  </si>
  <si>
    <t>1. Tiền và tương đương tiền</t>
  </si>
  <si>
    <t>110</t>
  </si>
  <si>
    <t>2. Phải thu khách hàng</t>
  </si>
  <si>
    <t>130</t>
  </si>
  <si>
    <t>3. Hàng tồn kho</t>
  </si>
  <si>
    <t>140</t>
  </si>
  <si>
    <t>4. Thuế GTGT được khấu trừ (Overpaid)</t>
  </si>
  <si>
    <t>150</t>
  </si>
  <si>
    <t>5. Tài sản cố định</t>
  </si>
  <si>
    <t>210</t>
  </si>
  <si>
    <t>TỔNG CỘNG TÀI SẢN</t>
  </si>
  <si>
    <t>270</t>
  </si>
  <si>
    <t>NGUỒN VỐN (RESOURCES)</t>
  </si>
  <si>
    <t>1. Phải trả người bán</t>
  </si>
  <si>
    <t>310</t>
  </si>
  <si>
    <t>2. Vay và nợ tài chính</t>
  </si>
  <si>
    <t>320</t>
  </si>
  <si>
    <t>3. Vốn chủ sở hữu</t>
  </si>
  <si>
    <t>410</t>
  </si>
  <si>
    <t>4. Lợi nhuận chưa phân phối</t>
  </si>
  <si>
    <t>420</t>
  </si>
  <si>
    <t>TỔNG CỘNG NGUỒN VỐN</t>
  </si>
  <si>
    <t>440</t>
  </si>
  <si>
    <t>NĂM NAY</t>
  </si>
  <si>
    <t>1. Doanh thu bán hàng</t>
  </si>
  <si>
    <t>2. Các khoản giảm trừ</t>
  </si>
  <si>
    <t>3. Doanh thu thuần</t>
  </si>
  <si>
    <t>4. Giá vốn hàng bán</t>
  </si>
  <si>
    <t>5. Lợi nhuận gộp</t>
  </si>
  <si>
    <t>6. Chi phí tài chính</t>
  </si>
  <si>
    <t>7. Chi phí bán hàng</t>
  </si>
  <si>
    <t>8. Chi phí quản lý DN</t>
  </si>
  <si>
    <t>9. Chi phí khác/ Thu nhập khác (Net)</t>
  </si>
  <si>
    <t>10. Lợi nhuận trước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</si>
</sst>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Times New Roman"/>
      <family val="1"/>
    </font>
    <font>
      <b/>
      <sz val="11"/>
      <color theme="1"/>
      <name val="Times New Roman"/>
      <family val="2"/>
    </font>
    <font>
      <sz val="12"/>
      <color rgb="FF0070C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3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164" fontId="3" fillId="0" borderId="1" xfId="0" applyNumberFormat="1" applyFont="1" applyBorder="1"/>
    <xf numFmtId="0" fontId="3" fillId="0" borderId="1" xfId="0" applyFont="1" applyBorder="1"/>
    <xf numFmtId="0" fontId="0" fillId="0" borderId="1" xfId="0" applyBorder="1" applyAlignment="1">
      <alignment horizontal="center" vertical="center" wrapText="1"/>
    </xf>
    <xf numFmtId="0" fontId="4" fillId="0" borderId="1" xfId="0" applyFont="1" applyBorder="1"/>
    <xf numFmtId="164" fontId="0" fillId="0" borderId="0" xfId="0" applyNumberFormat="1"/>
    <xf numFmtId="3" fontId="0" fillId="0" borderId="0" xfId="0" applyNumberFormat="1"/>
    <xf numFmtId="3" fontId="5" fillId="0" borderId="0" xfId="0" applyNumberFormat="1" applyFont="1"/>
    <xf numFmtId="37" fontId="6" fillId="0" borderId="1" xfId="0" applyNumberFormat="1" applyFont="1" applyBorder="1" applyAlignment="1">
      <alignment horizontal="right" wrapText="1"/>
    </xf>
    <xf numFmtId="37" fontId="6" fillId="3" borderId="1" xfId="0" applyNumberFormat="1" applyFont="1" applyFill="1" applyBorder="1" applyAlignment="1">
      <alignment horizontal="right" vertical="center" wrapText="1"/>
    </xf>
    <xf numFmtId="37" fontId="0" fillId="0" borderId="0" xfId="0" applyNumberFormat="1"/>
    <xf numFmtId="3" fontId="7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Cơ cấu Tài sản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'BCĐ Kế Toán'!$A$6:$A$9</c:f>
              <c:strCache>
                <c:ptCount val="4"/>
                <c:pt idx="0">
                  <c:v>1. Tiền và tương đương tiền</c:v>
                </c:pt>
                <c:pt idx="1">
                  <c:v>2. Phải thu khách hàng</c:v>
                </c:pt>
                <c:pt idx="2">
                  <c:v>3. Hàng tồn kho</c:v>
                </c:pt>
                <c:pt idx="3">
                  <c:v>4. Thuế GTGT được khấu trừ (Overpaid)</c:v>
                </c:pt>
              </c:strCache>
            </c:strRef>
          </c:cat>
          <c:val>
            <c:numRef>
              <c:f>'BCĐ Kế Toán'!$C$6:$C$9</c:f>
              <c:numCache>
                <c:formatCode>#,##0;\(#,##0\);\-</c:formatCode>
                <c:ptCount val="4"/>
                <c:pt idx="0">
                  <c:v>0</c:v>
                </c:pt>
                <c:pt idx="1">
                  <c:v>149082092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3-4B50-A7E7-02BD91E04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"/>
  <sheetViews>
    <sheetView showGridLines="0" workbookViewId="0"/>
  </sheetViews>
  <sheetFormatPr defaultRowHeight="15" x14ac:dyDescent="0.25"/>
  <sheetData>
    <row r="2" spans="2:6" ht="45" x14ac:dyDescent="0.25">
      <c r="B2" s="1" t="s">
        <v>0</v>
      </c>
      <c r="D2" s="1" t="s">
        <v>1</v>
      </c>
      <c r="F2" s="1" t="s">
        <v>2</v>
      </c>
    </row>
    <row r="3" spans="2:6" ht="18.75" x14ac:dyDescent="0.3">
      <c r="B3" s="2" t="e">
        <f>'BCĐ Kế Toán'!C11</f>
        <v>#REF!</v>
      </c>
      <c r="D3" s="2">
        <f>'Kết quả kinh doanh'!C5</f>
        <v>0</v>
      </c>
      <c r="F3" s="2">
        <f>'Kết quả kinh doanh'!C14</f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tabSelected="1" topLeftCell="B7" workbookViewId="0">
      <selection activeCell="J16" sqref="J16"/>
    </sheetView>
  </sheetViews>
  <sheetFormatPr defaultRowHeight="15" x14ac:dyDescent="0.25"/>
  <cols>
    <col min="1" max="1" width="16.42578125" customWidth="1"/>
    <col min="2" max="2" width="41.140625" customWidth="1"/>
    <col min="3" max="4" width="16.42578125" customWidth="1"/>
    <col min="5" max="6" width="17.28515625" bestFit="1" customWidth="1"/>
    <col min="7" max="8" width="16.42578125" customWidth="1"/>
    <col min="9" max="9" width="10.140625" bestFit="1" customWidth="1"/>
    <col min="10" max="11" width="14.5703125" bestFit="1" customWidth="1"/>
  </cols>
  <sheetData>
    <row r="1" spans="1:11" ht="18.75" x14ac:dyDescent="0.3">
      <c r="A1" s="19" t="s">
        <v>3</v>
      </c>
      <c r="B1" s="20"/>
      <c r="C1" s="20"/>
      <c r="D1" s="20"/>
      <c r="E1" s="20"/>
      <c r="F1" s="20"/>
      <c r="G1" s="20"/>
      <c r="H1" s="20"/>
    </row>
    <row r="3" spans="1:11" x14ac:dyDescent="0.25">
      <c r="A3" s="18" t="s">
        <v>4</v>
      </c>
      <c r="B3" s="18" t="s">
        <v>5</v>
      </c>
      <c r="C3" s="18" t="s">
        <v>6</v>
      </c>
      <c r="D3" s="18"/>
      <c r="E3" s="18" t="s">
        <v>7</v>
      </c>
      <c r="F3" s="18"/>
      <c r="G3" s="18" t="s">
        <v>8</v>
      </c>
      <c r="H3" s="18"/>
    </row>
    <row r="4" spans="1:11" x14ac:dyDescent="0.25">
      <c r="A4" s="18"/>
      <c r="B4" s="18"/>
      <c r="C4" s="3" t="s">
        <v>9</v>
      </c>
      <c r="D4" s="3" t="s">
        <v>10</v>
      </c>
      <c r="E4" s="3" t="s">
        <v>9</v>
      </c>
      <c r="F4" s="3" t="s">
        <v>10</v>
      </c>
      <c r="G4" s="3" t="s">
        <v>9</v>
      </c>
      <c r="H4" s="3" t="s">
        <v>10</v>
      </c>
    </row>
    <row r="5" spans="1:11" ht="15.75" x14ac:dyDescent="0.25">
      <c r="A5" s="4" t="s">
        <v>11</v>
      </c>
      <c r="B5" s="4" t="s">
        <v>12</v>
      </c>
      <c r="C5" s="13">
        <v>182946123</v>
      </c>
      <c r="D5" s="5"/>
      <c r="E5" s="15">
        <v>99344647138</v>
      </c>
      <c r="F5" s="15">
        <v>99515376180</v>
      </c>
      <c r="G5" s="5">
        <f>C5+E5-F5</f>
        <v>12217081</v>
      </c>
      <c r="H5" s="5"/>
      <c r="J5" s="16"/>
      <c r="K5" s="16"/>
    </row>
    <row r="6" spans="1:11" ht="15.75" x14ac:dyDescent="0.25">
      <c r="A6" s="4" t="s">
        <v>13</v>
      </c>
      <c r="B6" s="4" t="s">
        <v>14</v>
      </c>
      <c r="C6" s="13">
        <v>3344179</v>
      </c>
      <c r="D6" s="5"/>
      <c r="E6" s="14">
        <v>185645165545</v>
      </c>
      <c r="F6" s="14">
        <v>185633591295</v>
      </c>
      <c r="G6" s="5">
        <f t="shared" ref="G6:G8" si="0">C6+E6-F6</f>
        <v>14918429</v>
      </c>
      <c r="H6" s="5"/>
      <c r="J6" s="12"/>
    </row>
    <row r="7" spans="1:11" ht="15.75" x14ac:dyDescent="0.25">
      <c r="A7" s="4" t="s">
        <v>15</v>
      </c>
      <c r="B7" s="4" t="s">
        <v>16</v>
      </c>
      <c r="C7" s="13">
        <v>249714141</v>
      </c>
      <c r="D7" s="5"/>
      <c r="E7" s="14">
        <v>14753597975</v>
      </c>
      <c r="F7" s="14">
        <v>14854230024</v>
      </c>
      <c r="G7" s="5">
        <f t="shared" si="0"/>
        <v>149082092</v>
      </c>
      <c r="H7" s="5"/>
      <c r="J7" s="16"/>
    </row>
    <row r="8" spans="1:11" ht="15.75" x14ac:dyDescent="0.25">
      <c r="A8" s="4" t="s">
        <v>17</v>
      </c>
      <c r="B8" s="4" t="s">
        <v>18</v>
      </c>
      <c r="C8" s="13">
        <v>10573436</v>
      </c>
      <c r="D8" s="5"/>
      <c r="E8" s="5"/>
      <c r="F8" s="5">
        <f>C8</f>
        <v>10573436</v>
      </c>
      <c r="G8" s="5">
        <f t="shared" si="0"/>
        <v>0</v>
      </c>
      <c r="H8" s="5"/>
    </row>
    <row r="9" spans="1:11" x14ac:dyDescent="0.25">
      <c r="A9" s="4" t="s">
        <v>19</v>
      </c>
      <c r="B9" s="4" t="s">
        <v>20</v>
      </c>
      <c r="C9" s="5"/>
      <c r="D9" s="5"/>
      <c r="E9" s="5"/>
      <c r="F9" s="5"/>
      <c r="G9" s="5"/>
      <c r="H9" s="5"/>
    </row>
    <row r="10" spans="1:11" x14ac:dyDescent="0.25">
      <c r="A10" s="4" t="s">
        <v>21</v>
      </c>
      <c r="B10" s="4" t="s">
        <v>22</v>
      </c>
      <c r="C10" s="5"/>
      <c r="D10" s="5"/>
      <c r="E10" s="5"/>
      <c r="F10" s="5"/>
      <c r="G10" s="5"/>
      <c r="H10" s="5"/>
    </row>
    <row r="11" spans="1:11" x14ac:dyDescent="0.25">
      <c r="A11" s="4" t="s">
        <v>23</v>
      </c>
      <c r="B11" s="4" t="s">
        <v>24</v>
      </c>
      <c r="C11" s="5"/>
      <c r="D11" s="5"/>
      <c r="E11" s="5"/>
      <c r="F11" s="5"/>
      <c r="G11" s="5"/>
      <c r="H11" s="5"/>
    </row>
    <row r="12" spans="1:11" x14ac:dyDescent="0.25">
      <c r="A12" s="4" t="s">
        <v>25</v>
      </c>
      <c r="B12" s="4" t="s">
        <v>24</v>
      </c>
      <c r="C12" s="5"/>
      <c r="D12" s="5"/>
      <c r="E12" s="5"/>
      <c r="F12" s="5"/>
      <c r="G12" s="5"/>
      <c r="H12" s="5"/>
    </row>
    <row r="13" spans="1:11" ht="15.75" x14ac:dyDescent="0.25">
      <c r="A13" s="4" t="s">
        <v>26</v>
      </c>
      <c r="B13" s="4" t="s">
        <v>27</v>
      </c>
      <c r="C13" s="13">
        <v>18429715261</v>
      </c>
      <c r="D13" s="5"/>
      <c r="E13" s="14">
        <v>97293351210</v>
      </c>
      <c r="F13" s="14">
        <v>94217380834</v>
      </c>
      <c r="G13" s="5">
        <f>C13+E13-F13</f>
        <v>21505685637</v>
      </c>
      <c r="H13" s="5"/>
    </row>
    <row r="14" spans="1:11" x14ac:dyDescent="0.25">
      <c r="A14" s="4" t="s">
        <v>28</v>
      </c>
      <c r="B14" s="4" t="s">
        <v>29</v>
      </c>
      <c r="C14" s="5"/>
      <c r="D14" s="5"/>
      <c r="E14" s="5"/>
      <c r="F14" s="5"/>
      <c r="G14" s="5"/>
      <c r="H14" s="5"/>
    </row>
    <row r="15" spans="1:11" x14ac:dyDescent="0.25">
      <c r="A15" s="4" t="s">
        <v>30</v>
      </c>
      <c r="B15" s="4" t="s">
        <v>31</v>
      </c>
      <c r="C15" s="5"/>
      <c r="D15" s="5"/>
      <c r="E15" s="5"/>
      <c r="F15" s="5"/>
      <c r="G15" s="5"/>
      <c r="H15" s="5"/>
      <c r="K15" s="11"/>
    </row>
    <row r="16" spans="1:11" ht="15.75" x14ac:dyDescent="0.25">
      <c r="A16" s="4" t="s">
        <v>32</v>
      </c>
      <c r="B16" s="4" t="s">
        <v>33</v>
      </c>
      <c r="C16" s="13">
        <v>4110323379</v>
      </c>
      <c r="D16" s="5"/>
      <c r="E16" s="5"/>
      <c r="F16" s="5"/>
      <c r="G16" s="5">
        <f>C16</f>
        <v>4110323379</v>
      </c>
      <c r="H16" s="5"/>
    </row>
    <row r="17" spans="1:10" ht="15.75" x14ac:dyDescent="0.25">
      <c r="A17" s="4" t="s">
        <v>34</v>
      </c>
      <c r="B17" s="4" t="s">
        <v>35</v>
      </c>
      <c r="C17" s="13">
        <v>-2254566057</v>
      </c>
      <c r="D17" s="5"/>
      <c r="E17" s="5"/>
      <c r="F17" s="5"/>
      <c r="G17" s="5">
        <f>C17</f>
        <v>-2254566057</v>
      </c>
      <c r="H17" s="5"/>
    </row>
    <row r="18" spans="1:10" x14ac:dyDescent="0.25">
      <c r="A18" s="4" t="s">
        <v>36</v>
      </c>
      <c r="B18" s="4" t="s">
        <v>37</v>
      </c>
      <c r="C18" s="5"/>
      <c r="D18" s="5"/>
      <c r="E18" s="5"/>
      <c r="F18" s="5"/>
      <c r="G18" s="5"/>
      <c r="H18" s="5"/>
    </row>
    <row r="19" spans="1:10" ht="15.75" x14ac:dyDescent="0.25">
      <c r="A19" s="4" t="s">
        <v>38</v>
      </c>
      <c r="B19" s="4" t="s">
        <v>39</v>
      </c>
      <c r="C19" s="13">
        <v>272315245</v>
      </c>
      <c r="D19" s="5"/>
      <c r="E19" s="14">
        <f>99787323707.1+4000000000</f>
        <v>103787323707.10001</v>
      </c>
      <c r="F19" s="14">
        <v>104807024217</v>
      </c>
      <c r="G19" s="5"/>
      <c r="H19" s="5">
        <f>F19-C19-E19</f>
        <v>747385264.8999939</v>
      </c>
      <c r="J19" s="12"/>
    </row>
    <row r="20" spans="1:10" ht="15.75" x14ac:dyDescent="0.25">
      <c r="A20" s="4" t="s">
        <v>40</v>
      </c>
      <c r="B20" s="4" t="s">
        <v>41</v>
      </c>
      <c r="C20" s="13">
        <v>139549502</v>
      </c>
      <c r="D20" s="5"/>
      <c r="E20" s="5">
        <v>30000000</v>
      </c>
      <c r="F20" s="5">
        <f>71879770+30000000</f>
        <v>101879770</v>
      </c>
      <c r="G20" s="5"/>
      <c r="H20" s="5">
        <f>C20+E20-F20</f>
        <v>67669732</v>
      </c>
      <c r="I20" s="11"/>
      <c r="J20" s="16"/>
    </row>
    <row r="21" spans="1:10" ht="15.75" x14ac:dyDescent="0.25">
      <c r="A21" s="4" t="s">
        <v>42</v>
      </c>
      <c r="B21" s="4" t="s">
        <v>43</v>
      </c>
      <c r="C21" s="5"/>
      <c r="D21" s="5"/>
      <c r="E21" s="17">
        <v>9119473</v>
      </c>
      <c r="F21" s="17">
        <v>25840730</v>
      </c>
      <c r="G21" s="5"/>
      <c r="H21" s="5">
        <f>F21-E21</f>
        <v>16721257</v>
      </c>
    </row>
    <row r="22" spans="1:10" x14ac:dyDescent="0.25">
      <c r="A22" s="4" t="s">
        <v>44</v>
      </c>
      <c r="B22" s="4" t="s">
        <v>45</v>
      </c>
      <c r="C22" s="5"/>
      <c r="D22" s="5"/>
      <c r="E22" s="5"/>
      <c r="F22" s="5"/>
      <c r="G22" s="5"/>
      <c r="H22" s="5"/>
    </row>
    <row r="23" spans="1:10" x14ac:dyDescent="0.25">
      <c r="A23" s="4" t="s">
        <v>46</v>
      </c>
      <c r="B23" s="4" t="s">
        <v>47</v>
      </c>
      <c r="C23" s="5"/>
      <c r="D23" s="5"/>
      <c r="E23" s="5"/>
      <c r="F23" s="5"/>
      <c r="G23" s="5"/>
      <c r="H23" s="5"/>
    </row>
    <row r="24" spans="1:10" x14ac:dyDescent="0.25">
      <c r="A24" s="4" t="s">
        <v>48</v>
      </c>
      <c r="B24" s="4" t="s">
        <v>49</v>
      </c>
      <c r="C24" s="5"/>
      <c r="D24" s="5"/>
      <c r="E24" s="5"/>
      <c r="F24" s="5"/>
      <c r="G24" s="5"/>
      <c r="H24" s="5"/>
    </row>
    <row r="25" spans="1:10" x14ac:dyDescent="0.25">
      <c r="A25" s="4" t="s">
        <v>50</v>
      </c>
      <c r="B25" s="4" t="s">
        <v>51</v>
      </c>
      <c r="C25" s="5"/>
      <c r="D25" s="5"/>
      <c r="E25" s="5"/>
      <c r="F25" s="5"/>
      <c r="G25" s="5"/>
      <c r="H25" s="5"/>
    </row>
    <row r="26" spans="1:10" x14ac:dyDescent="0.25">
      <c r="A26" s="4" t="s">
        <v>52</v>
      </c>
      <c r="B26" s="4" t="s">
        <v>53</v>
      </c>
      <c r="C26" s="5"/>
      <c r="D26" s="5"/>
      <c r="E26" s="5"/>
      <c r="F26" s="5"/>
      <c r="G26" s="5"/>
      <c r="H26" s="5"/>
    </row>
    <row r="27" spans="1:10" x14ac:dyDescent="0.25">
      <c r="A27" s="4" t="s">
        <v>54</v>
      </c>
      <c r="B27" s="4" t="s">
        <v>53</v>
      </c>
      <c r="C27" s="5"/>
      <c r="D27" s="5"/>
      <c r="E27" s="5"/>
      <c r="F27" s="5"/>
      <c r="G27" s="5"/>
      <c r="H27" s="5"/>
    </row>
    <row r="28" spans="1:10" x14ac:dyDescent="0.25">
      <c r="A28" s="4" t="s">
        <v>55</v>
      </c>
      <c r="B28" s="4" t="s">
        <v>56</v>
      </c>
      <c r="C28" s="5"/>
      <c r="D28" s="5"/>
      <c r="E28" s="5"/>
      <c r="F28" s="5"/>
      <c r="G28" s="5"/>
      <c r="H28" s="5"/>
    </row>
    <row r="29" spans="1:10" ht="15.75" x14ac:dyDescent="0.25">
      <c r="A29" s="4" t="s">
        <v>57</v>
      </c>
      <c r="B29" s="4" t="s">
        <v>58</v>
      </c>
      <c r="C29" s="13"/>
      <c r="D29" s="13">
        <v>24841692221</v>
      </c>
      <c r="E29" s="14">
        <v>82229424534</v>
      </c>
      <c r="F29" s="14">
        <v>92051059440</v>
      </c>
      <c r="G29" s="5"/>
      <c r="H29" s="14">
        <v>34663327127</v>
      </c>
      <c r="J29" s="16"/>
    </row>
    <row r="30" spans="1:10" ht="15.75" x14ac:dyDescent="0.25">
      <c r="A30" s="4" t="s">
        <v>59</v>
      </c>
      <c r="B30" s="4" t="s">
        <v>60</v>
      </c>
      <c r="C30" s="5"/>
      <c r="D30" s="13">
        <v>3000000000</v>
      </c>
      <c r="E30" s="5"/>
      <c r="F30" s="5"/>
      <c r="G30" s="5"/>
      <c r="H30" s="5">
        <f>D30</f>
        <v>3000000000</v>
      </c>
    </row>
    <row r="31" spans="1:10" x14ac:dyDescent="0.25">
      <c r="A31" s="4" t="s">
        <v>61</v>
      </c>
      <c r="B31" s="4" t="s">
        <v>62</v>
      </c>
      <c r="C31" s="5"/>
      <c r="D31" s="5"/>
      <c r="E31" s="5"/>
      <c r="F31" s="5"/>
      <c r="G31" s="5"/>
      <c r="H31" s="5"/>
    </row>
    <row r="32" spans="1:10" x14ac:dyDescent="0.25">
      <c r="A32" s="4" t="s">
        <v>63</v>
      </c>
      <c r="B32" s="4" t="s">
        <v>64</v>
      </c>
      <c r="C32" s="5"/>
      <c r="D32" s="5">
        <f>D33</f>
        <v>-6697777012</v>
      </c>
      <c r="E32" s="5"/>
      <c r="F32" s="5">
        <f>F33+F34</f>
        <v>-6687027295</v>
      </c>
      <c r="G32" s="5"/>
      <c r="H32" s="5">
        <f>F32</f>
        <v>-6687027295</v>
      </c>
    </row>
    <row r="33" spans="1:8" ht="15.75" x14ac:dyDescent="0.25">
      <c r="A33" s="4" t="s">
        <v>65</v>
      </c>
      <c r="B33" s="4" t="s">
        <v>66</v>
      </c>
      <c r="C33" s="5"/>
      <c r="D33" s="13">
        <v>-6697777012</v>
      </c>
      <c r="E33" s="5"/>
      <c r="F33" s="5">
        <f>D33</f>
        <v>-6697777012</v>
      </c>
      <c r="G33" s="5"/>
      <c r="H33" s="5"/>
    </row>
    <row r="34" spans="1:8" ht="15.75" x14ac:dyDescent="0.25">
      <c r="A34" s="4" t="s">
        <v>67</v>
      </c>
      <c r="B34" s="4" t="s">
        <v>68</v>
      </c>
      <c r="C34" s="5"/>
      <c r="D34" s="5"/>
      <c r="E34" s="5"/>
      <c r="F34" s="13">
        <v>10749717</v>
      </c>
      <c r="G34" s="5"/>
      <c r="H34" s="5"/>
    </row>
    <row r="35" spans="1:8" x14ac:dyDescent="0.25">
      <c r="A35" s="4" t="s">
        <v>69</v>
      </c>
      <c r="B35" s="4" t="s">
        <v>70</v>
      </c>
      <c r="C35" s="5"/>
      <c r="D35" s="5"/>
      <c r="E35" s="5"/>
      <c r="F35" s="5"/>
      <c r="G35" s="5"/>
      <c r="H35" s="5"/>
    </row>
    <row r="36" spans="1:8" x14ac:dyDescent="0.25">
      <c r="A36" s="4" t="s">
        <v>71</v>
      </c>
      <c r="B36" s="4" t="s">
        <v>72</v>
      </c>
      <c r="C36" s="5"/>
      <c r="D36" s="5"/>
      <c r="E36" s="5"/>
      <c r="F36" s="5"/>
      <c r="G36" s="5"/>
      <c r="H36" s="5"/>
    </row>
    <row r="37" spans="1:8" x14ac:dyDescent="0.25">
      <c r="A37" s="4" t="s">
        <v>73</v>
      </c>
      <c r="B37" s="4" t="s">
        <v>74</v>
      </c>
      <c r="C37" s="5"/>
      <c r="D37" s="5"/>
      <c r="E37" s="5"/>
      <c r="F37" s="5"/>
      <c r="G37" s="5"/>
      <c r="H37" s="5"/>
    </row>
    <row r="38" spans="1:8" x14ac:dyDescent="0.25">
      <c r="A38" s="4" t="s">
        <v>75</v>
      </c>
      <c r="B38" s="4" t="s">
        <v>76</v>
      </c>
      <c r="C38" s="5"/>
      <c r="D38" s="5"/>
      <c r="E38" s="5"/>
      <c r="F38" s="5"/>
      <c r="G38" s="5"/>
      <c r="H38" s="5"/>
    </row>
    <row r="39" spans="1:8" x14ac:dyDescent="0.25">
      <c r="A39" s="4" t="s">
        <v>77</v>
      </c>
      <c r="B39" s="4" t="s">
        <v>78</v>
      </c>
      <c r="C39" s="5"/>
      <c r="D39" s="5"/>
      <c r="E39" s="5"/>
      <c r="F39" s="5"/>
      <c r="G39" s="5"/>
      <c r="H39" s="5"/>
    </row>
    <row r="40" spans="1:8" x14ac:dyDescent="0.25">
      <c r="A40" s="4" t="s">
        <v>79</v>
      </c>
      <c r="B40" s="4" t="s">
        <v>80</v>
      </c>
      <c r="C40" s="5"/>
      <c r="D40" s="5"/>
      <c r="E40" s="5"/>
      <c r="F40" s="5"/>
      <c r="G40" s="5"/>
      <c r="H40" s="5"/>
    </row>
    <row r="41" spans="1:8" x14ac:dyDescent="0.25">
      <c r="A41" s="4" t="s">
        <v>81</v>
      </c>
      <c r="B41" s="4" t="s">
        <v>82</v>
      </c>
      <c r="C41" s="5"/>
      <c r="D41" s="5"/>
      <c r="E41" s="5"/>
      <c r="F41" s="5"/>
      <c r="G41" s="5"/>
      <c r="H41" s="5"/>
    </row>
    <row r="42" spans="1:8" x14ac:dyDescent="0.25">
      <c r="A42" s="4" t="s">
        <v>83</v>
      </c>
      <c r="B42" s="4" t="s">
        <v>84</v>
      </c>
      <c r="C42" s="5"/>
      <c r="D42" s="5"/>
      <c r="E42" s="5"/>
      <c r="F42" s="5"/>
      <c r="G42" s="5"/>
      <c r="H42" s="5"/>
    </row>
    <row r="43" spans="1:8" x14ac:dyDescent="0.25">
      <c r="A43" s="4" t="s">
        <v>85</v>
      </c>
      <c r="B43" s="4" t="s">
        <v>86</v>
      </c>
      <c r="C43" s="5"/>
      <c r="D43" s="5"/>
      <c r="E43" s="5"/>
      <c r="F43" s="5"/>
      <c r="G43" s="5"/>
      <c r="H43" s="5"/>
    </row>
    <row r="44" spans="1:8" x14ac:dyDescent="0.25">
      <c r="A44" s="4" t="s">
        <v>87</v>
      </c>
      <c r="B44" s="4" t="s">
        <v>88</v>
      </c>
      <c r="C44" s="5"/>
      <c r="D44" s="5"/>
      <c r="E44" s="5"/>
      <c r="F44" s="5"/>
      <c r="G44" s="5"/>
      <c r="H44" s="5"/>
    </row>
    <row r="45" spans="1:8" x14ac:dyDescent="0.25">
      <c r="A45" s="4" t="s">
        <v>89</v>
      </c>
      <c r="B45" s="4" t="s">
        <v>90</v>
      </c>
      <c r="C45" s="5"/>
      <c r="D45" s="5"/>
      <c r="E45" s="5"/>
      <c r="F45" s="5"/>
      <c r="G45" s="5"/>
      <c r="H45" s="5"/>
    </row>
    <row r="46" spans="1:8" x14ac:dyDescent="0.25">
      <c r="A46" s="4" t="s">
        <v>91</v>
      </c>
      <c r="B46" s="4" t="s">
        <v>92</v>
      </c>
      <c r="C46" s="5"/>
      <c r="D46" s="5"/>
      <c r="E46" s="5"/>
      <c r="F46" s="5"/>
      <c r="G46" s="5"/>
      <c r="H46" s="5"/>
    </row>
    <row r="47" spans="1:8" x14ac:dyDescent="0.25">
      <c r="A47" s="4" t="s">
        <v>93</v>
      </c>
      <c r="B47" s="4" t="s">
        <v>94</v>
      </c>
      <c r="C47" s="5"/>
      <c r="D47" s="5"/>
      <c r="E47" s="5"/>
      <c r="F47" s="5"/>
      <c r="G47" s="5"/>
      <c r="H47" s="5"/>
    </row>
    <row r="48" spans="1:8" x14ac:dyDescent="0.25">
      <c r="A48" s="4" t="s">
        <v>95</v>
      </c>
      <c r="B48" s="4" t="s">
        <v>90</v>
      </c>
      <c r="C48" s="5"/>
      <c r="D48" s="5"/>
      <c r="E48" s="5"/>
      <c r="F48" s="5"/>
      <c r="G48" s="5"/>
      <c r="H48" s="5"/>
    </row>
    <row r="49" spans="1:8" x14ac:dyDescent="0.25">
      <c r="A49" s="4" t="s">
        <v>96</v>
      </c>
      <c r="B49" s="4" t="s">
        <v>92</v>
      </c>
      <c r="C49" s="5"/>
      <c r="D49" s="5"/>
      <c r="E49" s="5"/>
      <c r="F49" s="5"/>
      <c r="G49" s="5"/>
      <c r="H49" s="5"/>
    </row>
    <row r="50" spans="1:8" x14ac:dyDescent="0.25">
      <c r="A50" s="4" t="s">
        <v>97</v>
      </c>
      <c r="B50" s="4" t="s">
        <v>98</v>
      </c>
      <c r="C50" s="5"/>
      <c r="D50" s="5"/>
      <c r="E50" s="5"/>
      <c r="F50" s="5"/>
      <c r="G50" s="5"/>
      <c r="H50" s="5"/>
    </row>
    <row r="51" spans="1:8" x14ac:dyDescent="0.25">
      <c r="A51" s="4" t="s">
        <v>99</v>
      </c>
      <c r="B51" s="4" t="s">
        <v>100</v>
      </c>
      <c r="C51" s="5"/>
      <c r="D51" s="5"/>
      <c r="E51" s="5"/>
      <c r="F51" s="5"/>
      <c r="G51" s="5"/>
      <c r="H51" s="5"/>
    </row>
    <row r="52" spans="1:8" x14ac:dyDescent="0.25">
      <c r="A52" s="6" t="s">
        <v>101</v>
      </c>
      <c r="C52" s="7">
        <f>SUM(C5:C51)</f>
        <v>21143915209</v>
      </c>
      <c r="D52" s="7">
        <f>SUM(D5:D51)</f>
        <v>14446138197</v>
      </c>
      <c r="E52" s="7">
        <f t="shared" ref="E52:H52" si="1">SUM(E5:E51)</f>
        <v>583092629582.09998</v>
      </c>
      <c r="F52" s="7">
        <f t="shared" si="1"/>
        <v>577842901336</v>
      </c>
      <c r="G52" s="7">
        <f t="shared" si="1"/>
        <v>23537660561</v>
      </c>
      <c r="H52" s="7">
        <f t="shared" si="1"/>
        <v>31808076085.899994</v>
      </c>
    </row>
    <row r="53" spans="1:8" x14ac:dyDescent="0.25">
      <c r="D53" s="11"/>
      <c r="F53" s="11">
        <f>E52-F52</f>
        <v>5249728246.0999756</v>
      </c>
      <c r="H53" s="11">
        <f>G52-H52</f>
        <v>-8270415524.8999939</v>
      </c>
    </row>
  </sheetData>
  <mergeCells count="6">
    <mergeCell ref="B3:B4"/>
    <mergeCell ref="A3:A4"/>
    <mergeCell ref="A1:H1"/>
    <mergeCell ref="C3:D3"/>
    <mergeCell ref="G3:H3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5" x14ac:dyDescent="0.25"/>
  <sheetData>
    <row r="1" spans="1:3" ht="18.75" x14ac:dyDescent="0.3">
      <c r="A1" s="21" t="s">
        <v>102</v>
      </c>
      <c r="B1" s="20"/>
      <c r="C1" s="20"/>
    </row>
    <row r="3" spans="1:3" ht="30" x14ac:dyDescent="0.25">
      <c r="A3" s="3" t="s">
        <v>103</v>
      </c>
      <c r="B3" s="3" t="s">
        <v>104</v>
      </c>
      <c r="C3" s="3" t="s">
        <v>105</v>
      </c>
    </row>
    <row r="5" spans="1:3" x14ac:dyDescent="0.25">
      <c r="A5" s="8" t="s">
        <v>106</v>
      </c>
      <c r="B5" s="9"/>
      <c r="C5" s="4"/>
    </row>
    <row r="6" spans="1:3" x14ac:dyDescent="0.25">
      <c r="A6" s="10" t="s">
        <v>107</v>
      </c>
      <c r="B6" s="9" t="s">
        <v>108</v>
      </c>
      <c r="C6" s="5" t="e">
        <f>'BCĐ Tài Khoản'!G5+'BCĐ Tài Khoản'!#REF!</f>
        <v>#REF!</v>
      </c>
    </row>
    <row r="7" spans="1:3" x14ac:dyDescent="0.25">
      <c r="A7" s="10" t="s">
        <v>109</v>
      </c>
      <c r="B7" s="9" t="s">
        <v>110</v>
      </c>
      <c r="C7" s="5">
        <f>'BCĐ Tài Khoản'!G7</f>
        <v>149082092</v>
      </c>
    </row>
    <row r="8" spans="1:3" x14ac:dyDescent="0.25">
      <c r="A8" s="10" t="s">
        <v>111</v>
      </c>
      <c r="B8" s="9" t="s">
        <v>112</v>
      </c>
      <c r="C8" s="5">
        <f>'BCĐ Tài Khoản'!G14</f>
        <v>0</v>
      </c>
    </row>
    <row r="9" spans="1:3" x14ac:dyDescent="0.25">
      <c r="A9" s="10" t="s">
        <v>113</v>
      </c>
      <c r="B9" s="9" t="s">
        <v>114</v>
      </c>
      <c r="C9" s="5">
        <f>'BCĐ Tài Khoản'!G22</f>
        <v>0</v>
      </c>
    </row>
    <row r="10" spans="1:3" x14ac:dyDescent="0.25">
      <c r="A10" s="10" t="s">
        <v>115</v>
      </c>
      <c r="B10" s="9" t="s">
        <v>116</v>
      </c>
      <c r="C10" s="5">
        <f>'BCĐ Tài Khoản'!G16</f>
        <v>4110323379</v>
      </c>
    </row>
    <row r="11" spans="1:3" x14ac:dyDescent="0.25">
      <c r="A11" s="10" t="s">
        <v>117</v>
      </c>
      <c r="B11" s="9" t="s">
        <v>118</v>
      </c>
      <c r="C11" s="5" t="e">
        <f>SUM(C5:C9)</f>
        <v>#REF!</v>
      </c>
    </row>
    <row r="12" spans="1:3" x14ac:dyDescent="0.25">
      <c r="A12" s="8"/>
      <c r="B12" s="9"/>
      <c r="C12" s="4"/>
    </row>
    <row r="13" spans="1:3" x14ac:dyDescent="0.25">
      <c r="A13" s="8" t="s">
        <v>119</v>
      </c>
      <c r="B13" s="9"/>
      <c r="C13" s="4"/>
    </row>
    <row r="14" spans="1:3" x14ac:dyDescent="0.25">
      <c r="A14" s="10" t="s">
        <v>120</v>
      </c>
      <c r="B14" s="9" t="s">
        <v>121</v>
      </c>
      <c r="C14" s="5">
        <f>'BCĐ Tài Khoản'!H19</f>
        <v>747385264.8999939</v>
      </c>
    </row>
    <row r="15" spans="1:3" x14ac:dyDescent="0.25">
      <c r="A15" s="10" t="s">
        <v>122</v>
      </c>
      <c r="B15" s="9" t="s">
        <v>123</v>
      </c>
      <c r="C15" s="5">
        <f>'BCĐ Tài Khoản'!H29</f>
        <v>34663327127</v>
      </c>
    </row>
    <row r="16" spans="1:3" x14ac:dyDescent="0.25">
      <c r="A16" s="10" t="s">
        <v>124</v>
      </c>
      <c r="B16" s="9" t="s">
        <v>125</v>
      </c>
      <c r="C16" s="5">
        <f>'BCĐ Tài Khoản'!H31</f>
        <v>0</v>
      </c>
    </row>
    <row r="17" spans="1:3" x14ac:dyDescent="0.25">
      <c r="A17" s="10" t="s">
        <v>126</v>
      </c>
      <c r="B17" s="9" t="s">
        <v>127</v>
      </c>
      <c r="C17" s="5">
        <f>'BCĐ Tài Khoản'!H33 - 'BCĐ Tài Khoản'!G33</f>
        <v>0</v>
      </c>
    </row>
    <row r="18" spans="1:3" x14ac:dyDescent="0.25">
      <c r="A18" s="10" t="s">
        <v>128</v>
      </c>
      <c r="B18" s="9" t="s">
        <v>129</v>
      </c>
      <c r="C18" s="5">
        <f>SUM(C14:C17)</f>
        <v>35410712391.899994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4"/>
  <sheetViews>
    <sheetView workbookViewId="0"/>
  </sheetViews>
  <sheetFormatPr defaultRowHeight="15" x14ac:dyDescent="0.25"/>
  <sheetData>
    <row r="3" spans="1:3" ht="30" x14ac:dyDescent="0.25">
      <c r="A3" s="1" t="s">
        <v>103</v>
      </c>
      <c r="B3" s="1" t="s">
        <v>104</v>
      </c>
      <c r="C3" s="1" t="s">
        <v>130</v>
      </c>
    </row>
    <row r="5" spans="1:3" x14ac:dyDescent="0.25">
      <c r="A5" s="10" t="s">
        <v>131</v>
      </c>
      <c r="B5" s="4"/>
      <c r="C5" s="5">
        <f>'BCĐ Tài Khoản'!F36</f>
        <v>0</v>
      </c>
    </row>
    <row r="6" spans="1:3" x14ac:dyDescent="0.25">
      <c r="A6" s="10" t="s">
        <v>132</v>
      </c>
      <c r="B6" s="4"/>
      <c r="C6" s="5">
        <f>'BCĐ Tài Khoản'!E39</f>
        <v>0</v>
      </c>
    </row>
    <row r="7" spans="1:3" x14ac:dyDescent="0.25">
      <c r="A7" s="8" t="s">
        <v>133</v>
      </c>
      <c r="B7" s="4"/>
      <c r="C7" s="5">
        <f>C5-C6</f>
        <v>0</v>
      </c>
    </row>
    <row r="8" spans="1:3" x14ac:dyDescent="0.25">
      <c r="A8" s="10" t="s">
        <v>134</v>
      </c>
      <c r="B8" s="4"/>
      <c r="C8" s="5">
        <f>'BCĐ Tài Khoản'!E40</f>
        <v>0</v>
      </c>
    </row>
    <row r="9" spans="1:3" x14ac:dyDescent="0.25">
      <c r="A9" s="10" t="s">
        <v>135</v>
      </c>
      <c r="B9" s="4"/>
      <c r="C9" s="5">
        <f>C7-C8</f>
        <v>0</v>
      </c>
    </row>
    <row r="10" spans="1:3" x14ac:dyDescent="0.25">
      <c r="A10" s="10" t="s">
        <v>136</v>
      </c>
      <c r="B10" s="4"/>
      <c r="C10" s="5">
        <f>'BCĐ Tài Khoản'!E42</f>
        <v>0</v>
      </c>
    </row>
    <row r="11" spans="1:3" x14ac:dyDescent="0.25">
      <c r="A11" s="10" t="s">
        <v>137</v>
      </c>
      <c r="B11" s="4"/>
      <c r="C11" s="5">
        <f>'BCĐ Tài Khoản'!E45</f>
        <v>0</v>
      </c>
    </row>
    <row r="12" spans="1:3" x14ac:dyDescent="0.25">
      <c r="A12" s="10" t="s">
        <v>138</v>
      </c>
      <c r="B12" s="4"/>
      <c r="C12" s="5">
        <f>'BCĐ Tài Khoản'!E47</f>
        <v>0</v>
      </c>
    </row>
    <row r="13" spans="1:3" x14ac:dyDescent="0.25">
      <c r="A13" s="10" t="s">
        <v>139</v>
      </c>
      <c r="B13" s="4"/>
      <c r="C13" s="5">
        <f>'BCĐ Tài Khoản'!F50 - 'BCĐ Tài Khoản'!E50</f>
        <v>0</v>
      </c>
    </row>
    <row r="14" spans="1:3" x14ac:dyDescent="0.25">
      <c r="A14" s="8" t="s">
        <v>140</v>
      </c>
      <c r="B14" s="4"/>
      <c r="C14" s="5">
        <f>C9 - C10 - C11 - C12 + C13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BCĐ Tài Khoản</vt:lpstr>
      <vt:lpstr>BCĐ Kế Toán</vt:lpstr>
      <vt:lpstr>Kết quả kinh doanh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2026-03-26T15:55:15Z</dcterms:created>
  <dcterms:modified xsi:type="dcterms:W3CDTF">2026-03-30T08:32:42Z</dcterms:modified>
</cp:coreProperties>
</file>