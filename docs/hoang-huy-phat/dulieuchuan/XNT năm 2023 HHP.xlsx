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Admin\Desktop\XNT HHP\"/>
    </mc:Choice>
  </mc:AlternateContent>
  <xr:revisionPtr revIDLastSave="0" documentId="13_ncr:1_{AE6E4429-0D3F-4CC1-88C2-33B036A99C63}" xr6:coauthVersionLast="47" xr6:coauthVersionMax="47" xr10:uidLastSave="{00000000-0000-0000-0000-000000000000}"/>
  <bookViews>
    <workbookView xWindow="-120" yWindow="-120" windowWidth="20730" windowHeight="11160" firstSheet="11" activeTab="14" xr2:uid="{00000000-000D-0000-FFFF-FFFF00000000}"/>
  </bookViews>
  <sheets>
    <sheet name="Tháng 1" sheetId="1" r:id="rId1"/>
    <sheet name="Tháng 2" sheetId="2" r:id="rId2"/>
    <sheet name="Tháng 3" sheetId="3" r:id="rId3"/>
    <sheet name="Tháng 4" sheetId="4" r:id="rId4"/>
    <sheet name="Tháng 5" sheetId="5" r:id="rId5"/>
    <sheet name="Tháng 6" sheetId="6" r:id="rId6"/>
    <sheet name="Tháng 7" sheetId="7" r:id="rId7"/>
    <sheet name="Tháng 8" sheetId="8" r:id="rId8"/>
    <sheet name="Tháng 9" sheetId="9" r:id="rId9"/>
    <sheet name="Tháng 10" sheetId="10" r:id="rId10"/>
    <sheet name="Tháng 11" sheetId="11" r:id="rId11"/>
    <sheet name="GV CTY" sheetId="14" r:id="rId12"/>
    <sheet name="ĐC TH" sheetId="17" r:id="rId13"/>
    <sheet name="CHỈN LẦN 3" sheetId="19" r:id="rId14"/>
    <sheet name="ĐC theo Lý" sheetId="18" r:id="rId15"/>
    <sheet name="ĐC Chính" sheetId="16" r:id="rId16"/>
    <sheet name="T 12 ĐC lan 2" sheetId="15" r:id="rId17"/>
    <sheet name="T12 đc" sheetId="13" r:id="rId18"/>
    <sheet name="Tháng 12" sheetId="12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89" i="18" l="1"/>
  <c r="J288" i="18"/>
  <c r="H287" i="1"/>
  <c r="Q3" i="15"/>
  <c r="Q4" i="15"/>
  <c r="Q5" i="15"/>
  <c r="Q6" i="15"/>
  <c r="R5" i="15" s="1"/>
  <c r="Q7" i="15"/>
  <c r="S7" i="15"/>
  <c r="Q8" i="15"/>
  <c r="S8" i="15"/>
  <c r="Q9" i="15"/>
  <c r="R9" i="15" s="1"/>
  <c r="Q10" i="15"/>
  <c r="R10" i="15" s="1"/>
  <c r="Q11" i="15"/>
  <c r="Q12" i="15"/>
  <c r="Q13" i="15"/>
  <c r="Q14" i="15"/>
  <c r="R14" i="15"/>
  <c r="Q15" i="15"/>
  <c r="R15" i="15" s="1"/>
  <c r="Q16" i="15"/>
  <c r="Q17" i="15"/>
  <c r="Q18" i="15"/>
  <c r="R16" i="15" s="1"/>
  <c r="Q19" i="15"/>
  <c r="Q20" i="15"/>
  <c r="Q21" i="15"/>
  <c r="Q22" i="15"/>
  <c r="Q23" i="15"/>
  <c r="Q24" i="15"/>
  <c r="Q25" i="15"/>
  <c r="R30" i="15" s="1"/>
  <c r="S30" i="15" s="1"/>
  <c r="Q26" i="15"/>
  <c r="Q27" i="15"/>
  <c r="Q28" i="15"/>
  <c r="Q29" i="15"/>
  <c r="Q30" i="15"/>
  <c r="Q31" i="15"/>
  <c r="R31" i="15" s="1"/>
  <c r="S31" i="15" s="1"/>
  <c r="Q32" i="15"/>
  <c r="R34" i="15" s="1"/>
  <c r="Q33" i="15"/>
  <c r="Q34" i="15"/>
  <c r="Q35" i="15"/>
  <c r="Q36" i="15"/>
  <c r="R19" i="15" s="1"/>
  <c r="Q37" i="15"/>
  <c r="R42" i="15" s="1"/>
  <c r="Q38" i="15"/>
  <c r="R39" i="15" s="1"/>
  <c r="Q39" i="15"/>
  <c r="Q40" i="15"/>
  <c r="R40" i="15" s="1"/>
  <c r="Q41" i="15"/>
  <c r="Q42" i="15"/>
  <c r="Q43" i="15"/>
  <c r="Q44" i="15"/>
  <c r="R44" i="15"/>
  <c r="Q45" i="15"/>
  <c r="Q46" i="15"/>
  <c r="Q47" i="15"/>
  <c r="Q48" i="15"/>
  <c r="Q49" i="15"/>
  <c r="R17" i="15" s="1"/>
  <c r="Q50" i="15"/>
  <c r="R18" i="15" s="1"/>
  <c r="R50" i="15"/>
  <c r="Q51" i="15"/>
  <c r="Q52" i="15"/>
  <c r="Q53" i="15"/>
  <c r="Q54" i="15"/>
  <c r="R123" i="15" s="1"/>
  <c r="Q55" i="15"/>
  <c r="R124" i="15" s="1"/>
  <c r="Q56" i="15"/>
  <c r="Q57" i="15"/>
  <c r="Q58" i="15"/>
  <c r="R46" i="15" s="1"/>
  <c r="Q59" i="15"/>
  <c r="R47" i="15" s="1"/>
  <c r="Q60" i="15"/>
  <c r="Q61" i="15"/>
  <c r="Q62" i="15"/>
  <c r="R48" i="15" s="1"/>
  <c r="Q63" i="15"/>
  <c r="R49" i="15" s="1"/>
  <c r="Q64" i="15"/>
  <c r="Q65" i="15"/>
  <c r="Q66" i="15"/>
  <c r="R51" i="15" s="1"/>
  <c r="Q67" i="15"/>
  <c r="R52" i="15" s="1"/>
  <c r="Q68" i="15"/>
  <c r="Q69" i="15"/>
  <c r="R41" i="15" s="1"/>
  <c r="Q70" i="15"/>
  <c r="Q71" i="15"/>
  <c r="R54" i="15" s="1"/>
  <c r="Q72" i="15"/>
  <c r="Q73" i="15"/>
  <c r="Q74" i="15"/>
  <c r="Q75" i="15"/>
  <c r="R58" i="15" s="1"/>
  <c r="Q76" i="15"/>
  <c r="R128" i="15" s="1"/>
  <c r="Q77" i="15"/>
  <c r="Q78" i="15"/>
  <c r="Q79" i="15"/>
  <c r="Q80" i="15"/>
  <c r="R170" i="15" s="1"/>
  <c r="Q81" i="15"/>
  <c r="Q82" i="15"/>
  <c r="R59" i="15" s="1"/>
  <c r="Q83" i="15"/>
  <c r="R60" i="15" s="1"/>
  <c r="Q84" i="15"/>
  <c r="R61" i="15" s="1"/>
  <c r="Q85" i="15"/>
  <c r="Q86" i="15"/>
  <c r="R63" i="15" s="1"/>
  <c r="Q87" i="15"/>
  <c r="R68" i="15" s="1"/>
  <c r="Q88" i="15"/>
  <c r="R64" i="15" s="1"/>
  <c r="Q89" i="15"/>
  <c r="Q90" i="15"/>
  <c r="R65" i="15" s="1"/>
  <c r="Q91" i="15"/>
  <c r="R69" i="15" s="1"/>
  <c r="Q92" i="15"/>
  <c r="R70" i="15" s="1"/>
  <c r="Q93" i="15"/>
  <c r="R71" i="15" s="1"/>
  <c r="Q94" i="15"/>
  <c r="Q95" i="15"/>
  <c r="R66" i="15" s="1"/>
  <c r="Q96" i="15"/>
  <c r="Q97" i="15"/>
  <c r="R171" i="15" s="1"/>
  <c r="Q98" i="15"/>
  <c r="R72" i="15" s="1"/>
  <c r="Q99" i="15"/>
  <c r="R73" i="15" s="1"/>
  <c r="Q100" i="15"/>
  <c r="Q101" i="15"/>
  <c r="Q102" i="15"/>
  <c r="Q103" i="15"/>
  <c r="R74" i="15" s="1"/>
  <c r="Q104" i="15"/>
  <c r="R75" i="15" s="1"/>
  <c r="Q105" i="15"/>
  <c r="R76" i="15" s="1"/>
  <c r="Q106" i="15"/>
  <c r="R77" i="15" s="1"/>
  <c r="Q107" i="15"/>
  <c r="R78" i="15" s="1"/>
  <c r="Q108" i="15"/>
  <c r="R79" i="15" s="1"/>
  <c r="Q109" i="15"/>
  <c r="R117" i="15" s="1"/>
  <c r="Q110" i="15"/>
  <c r="R102" i="15" s="1"/>
  <c r="Q111" i="15"/>
  <c r="R81" i="15" s="1"/>
  <c r="Q112" i="15"/>
  <c r="R82" i="15" s="1"/>
  <c r="Q113" i="15"/>
  <c r="R83" i="15" s="1"/>
  <c r="Q114" i="15"/>
  <c r="R84" i="15" s="1"/>
  <c r="Q115" i="15"/>
  <c r="R86" i="15" s="1"/>
  <c r="Q116" i="15"/>
  <c r="R85" i="15" s="1"/>
  <c r="Q117" i="15"/>
  <c r="Q118" i="15"/>
  <c r="Q119" i="15"/>
  <c r="Q120" i="15"/>
  <c r="R99" i="15" s="1"/>
  <c r="Q121" i="15"/>
  <c r="R100" i="15" s="1"/>
  <c r="Q122" i="15"/>
  <c r="R122" i="15"/>
  <c r="Q123" i="15"/>
  <c r="Q124" i="15"/>
  <c r="R80" i="15" s="1"/>
  <c r="Q125" i="15"/>
  <c r="R125" i="15"/>
  <c r="Q126" i="15"/>
  <c r="R88" i="15" s="1"/>
  <c r="Q127" i="15"/>
  <c r="Q128" i="15"/>
  <c r="R89" i="15" s="1"/>
  <c r="Q129" i="15"/>
  <c r="R90" i="15" s="1"/>
  <c r="Q130" i="15"/>
  <c r="R91" i="15" s="1"/>
  <c r="Q131" i="15"/>
  <c r="R92" i="15" s="1"/>
  <c r="Q132" i="15"/>
  <c r="Q133" i="15"/>
  <c r="R93" i="15" s="1"/>
  <c r="Q134" i="15"/>
  <c r="R94" i="15" s="1"/>
  <c r="Q135" i="15"/>
  <c r="R95" i="15" s="1"/>
  <c r="Q136" i="15"/>
  <c r="R96" i="15" s="1"/>
  <c r="Q137" i="15"/>
  <c r="R97" i="15" s="1"/>
  <c r="Q138" i="15"/>
  <c r="R98" i="15" s="1"/>
  <c r="Q139" i="15"/>
  <c r="R104" i="15" s="1"/>
  <c r="Q140" i="15"/>
  <c r="R103" i="15" s="1"/>
  <c r="Q141" i="15"/>
  <c r="R106" i="15" s="1"/>
  <c r="Q142" i="15"/>
  <c r="Q143" i="15"/>
  <c r="R107" i="15" s="1"/>
  <c r="Q144" i="15"/>
  <c r="R108" i="15" s="1"/>
  <c r="Q145" i="15"/>
  <c r="R109" i="15" s="1"/>
  <c r="Q146" i="15"/>
  <c r="R110" i="15" s="1"/>
  <c r="Q147" i="15"/>
  <c r="R111" i="15" s="1"/>
  <c r="Q148" i="15"/>
  <c r="R112" i="15" s="1"/>
  <c r="Q149" i="15"/>
  <c r="R113" i="15" s="1"/>
  <c r="Q150" i="15"/>
  <c r="R114" i="15" s="1"/>
  <c r="Q151" i="15"/>
  <c r="Q152" i="15"/>
  <c r="Q153" i="15"/>
  <c r="Q154" i="15"/>
  <c r="Q155" i="15"/>
  <c r="R281" i="15" s="1"/>
  <c r="Q156" i="15"/>
  <c r="R118" i="15" s="1"/>
  <c r="Q157" i="15"/>
  <c r="R119" i="15" s="1"/>
  <c r="Q158" i="15"/>
  <c r="R120" i="15" s="1"/>
  <c r="Q159" i="15"/>
  <c r="Q160" i="15"/>
  <c r="R160" i="15" s="1"/>
  <c r="Q161" i="15"/>
  <c r="R139" i="15" s="1"/>
  <c r="Q162" i="15"/>
  <c r="Q163" i="15"/>
  <c r="Q164" i="15"/>
  <c r="Q165" i="15"/>
  <c r="R133" i="15" s="1"/>
  <c r="Q166" i="15"/>
  <c r="Q167" i="15"/>
  <c r="Q168" i="15"/>
  <c r="Q169" i="15"/>
  <c r="R138" i="15" s="1"/>
  <c r="Q170" i="15"/>
  <c r="R141" i="15" s="1"/>
  <c r="Q171" i="15"/>
  <c r="Q172" i="15"/>
  <c r="Q173" i="15"/>
  <c r="Q174" i="15"/>
  <c r="Q175" i="15"/>
  <c r="R230" i="15" s="1"/>
  <c r="Q176" i="15"/>
  <c r="Q177" i="15"/>
  <c r="Q178" i="15"/>
  <c r="Q179" i="15"/>
  <c r="Q180" i="15"/>
  <c r="Q181" i="15"/>
  <c r="Q182" i="15"/>
  <c r="Q183" i="15"/>
  <c r="Q184" i="15"/>
  <c r="Q185" i="15"/>
  <c r="Q186" i="15"/>
  <c r="Q187" i="15"/>
  <c r="R36" i="15" s="1"/>
  <c r="Q188" i="15"/>
  <c r="Q189" i="15"/>
  <c r="R38" i="15" s="1"/>
  <c r="Q190" i="15"/>
  <c r="Q191" i="15"/>
  <c r="R25" i="15" s="1"/>
  <c r="Q192" i="15"/>
  <c r="Q193" i="15"/>
  <c r="Q194" i="15"/>
  <c r="Q195" i="15"/>
  <c r="R153" i="15" s="1"/>
  <c r="Q196" i="15"/>
  <c r="Q197" i="15"/>
  <c r="R26" i="15" s="1"/>
  <c r="Q198" i="15"/>
  <c r="R148" i="15" s="1"/>
  <c r="Q199" i="15"/>
  <c r="Q200" i="15"/>
  <c r="Q201" i="15"/>
  <c r="Q202" i="15"/>
  <c r="Q203" i="15"/>
  <c r="Q204" i="15"/>
  <c r="Q205" i="15"/>
  <c r="Q206" i="15"/>
  <c r="Q207" i="15"/>
  <c r="Q208" i="15"/>
  <c r="Q209" i="15"/>
  <c r="R165" i="15" s="1"/>
  <c r="Q210" i="15"/>
  <c r="Q211" i="15"/>
  <c r="Q212" i="15"/>
  <c r="R129" i="15" s="1"/>
  <c r="Q213" i="15"/>
  <c r="R213" i="15" s="1"/>
  <c r="Q214" i="15"/>
  <c r="Q215" i="15"/>
  <c r="Q216" i="15"/>
  <c r="Q217" i="15"/>
  <c r="Q218" i="15"/>
  <c r="Q219" i="15"/>
  <c r="Q220" i="15"/>
  <c r="Q221" i="15"/>
  <c r="Q222" i="15"/>
  <c r="Q223" i="15"/>
  <c r="Q224" i="15"/>
  <c r="Q225" i="15"/>
  <c r="R151" i="15" s="1"/>
  <c r="Q226" i="15"/>
  <c r="Q227" i="15"/>
  <c r="Q228" i="15"/>
  <c r="Q229" i="15"/>
  <c r="Q230" i="15"/>
  <c r="Q231" i="15"/>
  <c r="Q232" i="15"/>
  <c r="Q233" i="15"/>
  <c r="Q234" i="15"/>
  <c r="Q235" i="15"/>
  <c r="Q236" i="15"/>
  <c r="R161" i="15" s="1"/>
  <c r="Q237" i="15"/>
  <c r="Q238" i="15"/>
  <c r="Q239" i="15"/>
  <c r="Q240" i="15"/>
  <c r="Q241" i="15"/>
  <c r="R241" i="15" s="1"/>
  <c r="Q242" i="15"/>
  <c r="R187" i="15" s="1"/>
  <c r="Q243" i="15"/>
  <c r="Q244" i="15"/>
  <c r="Q245" i="15"/>
  <c r="Q246" i="15"/>
  <c r="Q247" i="15"/>
  <c r="Q248" i="15"/>
  <c r="Q249" i="15"/>
  <c r="Q250" i="15"/>
  <c r="Q251" i="15"/>
  <c r="Q252" i="15"/>
  <c r="Q253" i="15"/>
  <c r="Q254" i="15"/>
  <c r="Q255" i="15"/>
  <c r="Q256" i="15"/>
  <c r="Q257" i="15"/>
  <c r="Q258" i="15"/>
  <c r="Q259" i="15"/>
  <c r="Q260" i="15"/>
  <c r="Q261" i="15"/>
  <c r="Q262" i="15"/>
  <c r="Q263" i="15"/>
  <c r="Q264" i="15"/>
  <c r="Q265" i="15"/>
  <c r="Q266" i="15"/>
  <c r="Q267" i="15"/>
  <c r="Q268" i="15"/>
  <c r="Q269" i="15"/>
  <c r="Q270" i="15"/>
  <c r="Q271" i="15"/>
  <c r="Q272" i="15"/>
  <c r="Q273" i="15"/>
  <c r="Q274" i="15"/>
  <c r="R3" i="15" s="1"/>
  <c r="Q275" i="15"/>
  <c r="Q276" i="15"/>
  <c r="R203" i="15" s="1"/>
  <c r="Q277" i="15"/>
  <c r="Q278" i="15"/>
  <c r="Q279" i="15"/>
  <c r="Q280" i="15"/>
  <c r="Q281" i="15"/>
  <c r="R206" i="15" s="1"/>
  <c r="Q282" i="15"/>
  <c r="Q283" i="15"/>
  <c r="Q284" i="15"/>
  <c r="Q285" i="15"/>
  <c r="Q286" i="15"/>
  <c r="Q287" i="15"/>
  <c r="Q288" i="15"/>
  <c r="Q289" i="15"/>
  <c r="Q290" i="15"/>
  <c r="R273" i="15" s="1"/>
  <c r="Q291" i="15"/>
  <c r="R274" i="15" s="1"/>
  <c r="Q292" i="15"/>
  <c r="R225" i="15" s="1"/>
  <c r="Q293" i="15"/>
  <c r="Q294" i="15"/>
  <c r="Q295" i="15"/>
  <c r="Q296" i="15"/>
  <c r="Q297" i="15"/>
  <c r="Q298" i="15"/>
  <c r="R279" i="15" s="1"/>
  <c r="Q299" i="15"/>
  <c r="Q300" i="15"/>
  <c r="Q301" i="15"/>
  <c r="Q302" i="15"/>
  <c r="Q303" i="15"/>
  <c r="R175" i="15" s="1"/>
  <c r="Q304" i="15"/>
  <c r="R176" i="15" s="1"/>
  <c r="Q305" i="15"/>
  <c r="R181" i="15" s="1"/>
  <c r="Q306" i="15"/>
  <c r="Q307" i="15"/>
  <c r="R178" i="15" s="1"/>
  <c r="Q308" i="15"/>
  <c r="Q309" i="15"/>
  <c r="R177" i="15" s="1"/>
  <c r="Q310" i="15"/>
  <c r="R180" i="15" s="1"/>
  <c r="Q311" i="15"/>
  <c r="Q312" i="15"/>
  <c r="R184" i="15" s="1"/>
  <c r="Q313" i="15"/>
  <c r="R182" i="15" s="1"/>
  <c r="Q314" i="15"/>
  <c r="R179" i="15" s="1"/>
  <c r="Q315" i="15"/>
  <c r="R186" i="15" s="1"/>
  <c r="Q316" i="15"/>
  <c r="R183" i="15" s="1"/>
  <c r="Q317" i="15"/>
  <c r="Q318" i="15"/>
  <c r="Q319" i="15"/>
  <c r="Q320" i="15"/>
  <c r="Q321" i="15"/>
  <c r="R189" i="15" s="1"/>
  <c r="Q322" i="15"/>
  <c r="Q323" i="15"/>
  <c r="Q324" i="15"/>
  <c r="Q325" i="15"/>
  <c r="Q326" i="15"/>
  <c r="Q327" i="15"/>
  <c r="Q328" i="15"/>
  <c r="Q329" i="15"/>
  <c r="Q330" i="15"/>
  <c r="R195" i="15" s="1"/>
  <c r="Q331" i="15"/>
  <c r="R212" i="15" s="1"/>
  <c r="Q332" i="15"/>
  <c r="R196" i="15" s="1"/>
  <c r="Q333" i="15"/>
  <c r="R197" i="15" s="1"/>
  <c r="Q334" i="15"/>
  <c r="Q335" i="15"/>
  <c r="Q336" i="15"/>
  <c r="Q337" i="15"/>
  <c r="Q338" i="15"/>
  <c r="R198" i="15" s="1"/>
  <c r="Q339" i="15"/>
  <c r="R199" i="15" s="1"/>
  <c r="Q340" i="15"/>
  <c r="R250" i="15" s="1"/>
  <c r="Q341" i="15"/>
  <c r="R200" i="15" s="1"/>
  <c r="Q342" i="15"/>
  <c r="R251" i="15" s="1"/>
  <c r="Q343" i="15"/>
  <c r="Q344" i="15"/>
  <c r="Q345" i="15"/>
  <c r="Q346" i="15"/>
  <c r="Q347" i="15"/>
  <c r="Q348" i="15"/>
  <c r="Q349" i="15"/>
  <c r="R205" i="15" s="1"/>
  <c r="Q350" i="15"/>
  <c r="R204" i="15" s="1"/>
  <c r="Q351" i="15"/>
  <c r="Q352" i="15"/>
  <c r="R207" i="15" s="1"/>
  <c r="Q353" i="15"/>
  <c r="Q354" i="15"/>
  <c r="Q355" i="15"/>
  <c r="Q356" i="15"/>
  <c r="Q357" i="15"/>
  <c r="Q358" i="15"/>
  <c r="Q359" i="15"/>
  <c r="R209" i="15" s="1"/>
  <c r="Q360" i="15"/>
  <c r="Q361" i="15"/>
  <c r="Q362" i="15"/>
  <c r="Q363" i="15"/>
  <c r="Q364" i="15"/>
  <c r="Q365" i="15"/>
  <c r="Q366" i="15"/>
  <c r="R214" i="15" s="1"/>
  <c r="Q367" i="15"/>
  <c r="Q368" i="15"/>
  <c r="Q369" i="15"/>
  <c r="Q370" i="15"/>
  <c r="Q371" i="15"/>
  <c r="Q372" i="15"/>
  <c r="Q373" i="15"/>
  <c r="R226" i="15" s="1"/>
  <c r="Q374" i="15"/>
  <c r="Q375" i="15"/>
  <c r="R222" i="15" s="1"/>
  <c r="Q376" i="15"/>
  <c r="Q377" i="15"/>
  <c r="Q378" i="15"/>
  <c r="R378" i="15" s="1"/>
  <c r="Q379" i="15"/>
  <c r="Q380" i="15"/>
  <c r="R228" i="15" s="1"/>
  <c r="Q381" i="15"/>
  <c r="Q382" i="15"/>
  <c r="Q383" i="15"/>
  <c r="Q384" i="15"/>
  <c r="R233" i="15" s="1"/>
  <c r="Q385" i="15"/>
  <c r="R234" i="15" s="1"/>
  <c r="Q386" i="15"/>
  <c r="Q387" i="15"/>
  <c r="Q388" i="15"/>
  <c r="Q389" i="15"/>
  <c r="Q390" i="15"/>
  <c r="Q391" i="15"/>
  <c r="Q392" i="15"/>
  <c r="Q393" i="15"/>
  <c r="Q394" i="15"/>
  <c r="Q395" i="15"/>
  <c r="R239" i="15" s="1"/>
  <c r="Q396" i="15"/>
  <c r="Q397" i="15"/>
  <c r="Q398" i="15"/>
  <c r="Q399" i="15"/>
  <c r="Q400" i="15"/>
  <c r="Q401" i="15"/>
  <c r="Q402" i="15"/>
  <c r="Q403" i="15"/>
  <c r="R242" i="15" s="1"/>
  <c r="Q404" i="15"/>
  <c r="Q405" i="15"/>
  <c r="Q406" i="15"/>
  <c r="J122" i="18"/>
  <c r="J50" i="18"/>
  <c r="J46" i="18"/>
  <c r="I41" i="19"/>
  <c r="I43" i="19"/>
  <c r="I42" i="19"/>
  <c r="I40" i="19"/>
  <c r="I35" i="19"/>
  <c r="I34" i="19"/>
  <c r="I28" i="19"/>
  <c r="I26" i="19"/>
  <c r="I21" i="19"/>
  <c r="I18" i="19"/>
  <c r="I17" i="19"/>
  <c r="I13" i="19"/>
  <c r="I12" i="19"/>
  <c r="I9" i="19"/>
  <c r="L412" i="19"/>
  <c r="L410" i="19"/>
  <c r="L409" i="19"/>
  <c r="L408" i="19"/>
  <c r="L407" i="19"/>
  <c r="L406" i="19"/>
  <c r="L405" i="19"/>
  <c r="L404" i="19"/>
  <c r="L403" i="19"/>
  <c r="L402" i="19"/>
  <c r="L401" i="19"/>
  <c r="L400" i="19"/>
  <c r="L399" i="19"/>
  <c r="L398" i="19"/>
  <c r="L397" i="19"/>
  <c r="L396" i="19"/>
  <c r="L395" i="19"/>
  <c r="L394" i="19"/>
  <c r="L393" i="19"/>
  <c r="L392" i="19"/>
  <c r="L391" i="19"/>
  <c r="L390" i="19"/>
  <c r="L389" i="19"/>
  <c r="L388" i="19"/>
  <c r="L387" i="19"/>
  <c r="L386" i="19"/>
  <c r="L385" i="19"/>
  <c r="L384" i="19"/>
  <c r="L383" i="19"/>
  <c r="L382" i="19"/>
  <c r="L381" i="19"/>
  <c r="L380" i="19"/>
  <c r="L379" i="19"/>
  <c r="L378" i="19"/>
  <c r="L377" i="19"/>
  <c r="L376" i="19"/>
  <c r="L375" i="19"/>
  <c r="L374" i="19"/>
  <c r="L373" i="19"/>
  <c r="L372" i="19"/>
  <c r="L371" i="19"/>
  <c r="L370" i="19"/>
  <c r="L369" i="19"/>
  <c r="L368" i="19"/>
  <c r="L367" i="19"/>
  <c r="L366" i="19"/>
  <c r="L365" i="19"/>
  <c r="L364" i="19"/>
  <c r="L363" i="19"/>
  <c r="L362" i="19"/>
  <c r="L361" i="19"/>
  <c r="L360" i="19"/>
  <c r="L359" i="19"/>
  <c r="L358" i="19"/>
  <c r="L357" i="19"/>
  <c r="L356" i="19"/>
  <c r="L355" i="19"/>
  <c r="L354" i="19"/>
  <c r="L353" i="19"/>
  <c r="L352" i="19"/>
  <c r="L351" i="19"/>
  <c r="L350" i="19"/>
  <c r="L349" i="19"/>
  <c r="L348" i="19"/>
  <c r="L347" i="19"/>
  <c r="L346" i="19"/>
  <c r="L345" i="19"/>
  <c r="L344" i="19"/>
  <c r="L343" i="19"/>
  <c r="L342" i="19"/>
  <c r="L341" i="19"/>
  <c r="L340" i="19"/>
  <c r="L339" i="19"/>
  <c r="L338" i="19"/>
  <c r="L337" i="19"/>
  <c r="L336" i="19"/>
  <c r="L335" i="19"/>
  <c r="L334" i="19"/>
  <c r="L333" i="19"/>
  <c r="L332" i="19"/>
  <c r="L331" i="19"/>
  <c r="L330" i="19"/>
  <c r="L329" i="19"/>
  <c r="L328" i="19"/>
  <c r="L327" i="19"/>
  <c r="L326" i="19"/>
  <c r="L325" i="19"/>
  <c r="L324" i="19"/>
  <c r="L323" i="19"/>
  <c r="L322" i="19"/>
  <c r="L321" i="19"/>
  <c r="L320" i="19"/>
  <c r="L319" i="19"/>
  <c r="L318" i="19"/>
  <c r="L317" i="19"/>
  <c r="L316" i="19"/>
  <c r="L315" i="19"/>
  <c r="L314" i="19"/>
  <c r="L313" i="19"/>
  <c r="L312" i="19"/>
  <c r="L311" i="19"/>
  <c r="L310" i="19"/>
  <c r="L309" i="19"/>
  <c r="L308" i="19"/>
  <c r="L307" i="19"/>
  <c r="L306" i="19"/>
  <c r="L305" i="19"/>
  <c r="L304" i="19"/>
  <c r="L303" i="19"/>
  <c r="L302" i="19"/>
  <c r="L301" i="19"/>
  <c r="L300" i="19"/>
  <c r="L299" i="19"/>
  <c r="L298" i="19"/>
  <c r="L297" i="19"/>
  <c r="L296" i="19"/>
  <c r="L295" i="19"/>
  <c r="L294" i="19"/>
  <c r="L293" i="19"/>
  <c r="L292" i="19"/>
  <c r="L291" i="19"/>
  <c r="L290" i="19"/>
  <c r="L289" i="19"/>
  <c r="L288" i="19"/>
  <c r="L287" i="19"/>
  <c r="L286" i="19"/>
  <c r="L285" i="19"/>
  <c r="L284" i="19"/>
  <c r="L283" i="19"/>
  <c r="L282" i="19"/>
  <c r="L281" i="19"/>
  <c r="L280" i="19"/>
  <c r="L279" i="19"/>
  <c r="L278" i="19"/>
  <c r="L277" i="19"/>
  <c r="L276" i="19"/>
  <c r="L275" i="19"/>
  <c r="L274" i="19"/>
  <c r="L273" i="19"/>
  <c r="L272" i="19"/>
  <c r="L271" i="19"/>
  <c r="L270" i="19"/>
  <c r="L269" i="19"/>
  <c r="L268" i="19"/>
  <c r="L267" i="19"/>
  <c r="L266" i="19"/>
  <c r="L265" i="19"/>
  <c r="L264" i="19"/>
  <c r="L263" i="19"/>
  <c r="L262" i="19"/>
  <c r="L261" i="19"/>
  <c r="L260" i="19"/>
  <c r="L259" i="19"/>
  <c r="L258" i="19"/>
  <c r="L257" i="19"/>
  <c r="L256" i="19"/>
  <c r="L255" i="19"/>
  <c r="L254" i="19"/>
  <c r="L253" i="19"/>
  <c r="L252" i="19"/>
  <c r="L251" i="19"/>
  <c r="L250" i="19"/>
  <c r="L249" i="19"/>
  <c r="L248" i="19"/>
  <c r="L247" i="19"/>
  <c r="L246" i="19"/>
  <c r="L245" i="19"/>
  <c r="L244" i="19"/>
  <c r="L243" i="19"/>
  <c r="L242" i="19"/>
  <c r="L241" i="19"/>
  <c r="L240" i="19"/>
  <c r="L239" i="19"/>
  <c r="L238" i="19"/>
  <c r="L237" i="19"/>
  <c r="L236" i="19"/>
  <c r="L235" i="19"/>
  <c r="L234" i="19"/>
  <c r="L233" i="19"/>
  <c r="L232" i="19"/>
  <c r="L231" i="19"/>
  <c r="L230" i="19"/>
  <c r="L229" i="19"/>
  <c r="L228" i="19"/>
  <c r="L227" i="19"/>
  <c r="L226" i="19"/>
  <c r="L225" i="19"/>
  <c r="L224" i="19"/>
  <c r="L223" i="19"/>
  <c r="L222" i="19"/>
  <c r="L221" i="19"/>
  <c r="L220" i="19"/>
  <c r="L219" i="19"/>
  <c r="L218" i="19"/>
  <c r="L217" i="19"/>
  <c r="L216" i="19"/>
  <c r="L215" i="19"/>
  <c r="L214" i="19"/>
  <c r="L213" i="19"/>
  <c r="L212" i="19"/>
  <c r="L211" i="19"/>
  <c r="L210" i="19"/>
  <c r="L209" i="19"/>
  <c r="L208" i="19"/>
  <c r="L207" i="19"/>
  <c r="L206" i="19"/>
  <c r="L205" i="19"/>
  <c r="L204" i="19"/>
  <c r="L203" i="19"/>
  <c r="L202" i="19"/>
  <c r="L201" i="19"/>
  <c r="L200" i="19"/>
  <c r="L199" i="19"/>
  <c r="L198" i="19"/>
  <c r="L197" i="19"/>
  <c r="L196" i="19"/>
  <c r="L195" i="19"/>
  <c r="L194" i="19"/>
  <c r="L193" i="19"/>
  <c r="L192" i="19"/>
  <c r="L191" i="19"/>
  <c r="L190" i="19"/>
  <c r="L189" i="19"/>
  <c r="L188" i="19"/>
  <c r="L187" i="19"/>
  <c r="L186" i="19"/>
  <c r="L185" i="19"/>
  <c r="L184" i="19"/>
  <c r="L183" i="19"/>
  <c r="L182" i="19"/>
  <c r="L181" i="19"/>
  <c r="L180" i="19"/>
  <c r="L179" i="19"/>
  <c r="L178" i="19"/>
  <c r="L177" i="19"/>
  <c r="L176" i="19"/>
  <c r="L175" i="19"/>
  <c r="L174" i="19"/>
  <c r="L173" i="19"/>
  <c r="L172" i="19"/>
  <c r="L171" i="19"/>
  <c r="L170" i="19"/>
  <c r="L169" i="19"/>
  <c r="L168" i="19"/>
  <c r="L167" i="19"/>
  <c r="L166" i="19"/>
  <c r="L165" i="19"/>
  <c r="L164" i="19"/>
  <c r="L163" i="19"/>
  <c r="L162" i="19"/>
  <c r="L161" i="19"/>
  <c r="L160" i="19"/>
  <c r="L159" i="19"/>
  <c r="L158" i="19"/>
  <c r="L157" i="19"/>
  <c r="L156" i="19"/>
  <c r="L155" i="19"/>
  <c r="L154" i="19"/>
  <c r="L153" i="19"/>
  <c r="L152" i="19"/>
  <c r="L151" i="19"/>
  <c r="L150" i="19"/>
  <c r="L149" i="19"/>
  <c r="L148" i="19"/>
  <c r="L147" i="19"/>
  <c r="L146" i="19"/>
  <c r="L145" i="19"/>
  <c r="L144" i="19"/>
  <c r="L143" i="19"/>
  <c r="L142" i="19"/>
  <c r="L141" i="19"/>
  <c r="L140" i="19"/>
  <c r="L139" i="19"/>
  <c r="L138" i="19"/>
  <c r="L137" i="19"/>
  <c r="L136" i="19"/>
  <c r="L135" i="19"/>
  <c r="L134" i="19"/>
  <c r="L133" i="19"/>
  <c r="L132" i="19"/>
  <c r="L131" i="19"/>
  <c r="L130" i="19"/>
  <c r="L129" i="19"/>
  <c r="L128" i="19"/>
  <c r="L127" i="19"/>
  <c r="L126" i="19"/>
  <c r="L125" i="19"/>
  <c r="L124" i="19"/>
  <c r="L123" i="19"/>
  <c r="L122" i="19"/>
  <c r="L121" i="19"/>
  <c r="L120" i="19"/>
  <c r="L119" i="19"/>
  <c r="L118" i="19"/>
  <c r="L117" i="19"/>
  <c r="L116" i="19"/>
  <c r="L115" i="19"/>
  <c r="L114" i="19"/>
  <c r="L113" i="19"/>
  <c r="L112" i="19"/>
  <c r="L111" i="19"/>
  <c r="L110" i="19"/>
  <c r="L109" i="19"/>
  <c r="L108" i="19"/>
  <c r="L107" i="19"/>
  <c r="L106" i="19"/>
  <c r="L105" i="19"/>
  <c r="L104" i="19"/>
  <c r="L103" i="19"/>
  <c r="L102" i="19"/>
  <c r="L101" i="19"/>
  <c r="L100" i="19"/>
  <c r="L99" i="19"/>
  <c r="L98" i="19"/>
  <c r="L97" i="19"/>
  <c r="L96" i="19"/>
  <c r="L95" i="19"/>
  <c r="L94" i="19"/>
  <c r="L93" i="19"/>
  <c r="L92" i="19"/>
  <c r="L91" i="19"/>
  <c r="L90" i="19"/>
  <c r="L89" i="19"/>
  <c r="L88" i="19"/>
  <c r="L87" i="19"/>
  <c r="L86" i="19"/>
  <c r="L85" i="19"/>
  <c r="L84" i="19"/>
  <c r="L83" i="19"/>
  <c r="L82" i="19"/>
  <c r="L81" i="19"/>
  <c r="L80" i="19"/>
  <c r="L79" i="19"/>
  <c r="L78" i="19"/>
  <c r="L77" i="19"/>
  <c r="L76" i="19"/>
  <c r="L75" i="19"/>
  <c r="L74" i="19"/>
  <c r="L73" i="19"/>
  <c r="L72" i="19"/>
  <c r="L71" i="19"/>
  <c r="L70" i="19"/>
  <c r="L69" i="19"/>
  <c r="L68" i="19"/>
  <c r="L67" i="19"/>
  <c r="L66" i="19"/>
  <c r="L65" i="19"/>
  <c r="L64" i="19"/>
  <c r="L63" i="19"/>
  <c r="L62" i="19"/>
  <c r="L61" i="19"/>
  <c r="L60" i="19"/>
  <c r="L59" i="19"/>
  <c r="L58" i="19"/>
  <c r="L57" i="19"/>
  <c r="L56" i="19"/>
  <c r="L55" i="19"/>
  <c r="L54" i="19"/>
  <c r="L53" i="19"/>
  <c r="L52" i="19"/>
  <c r="L51" i="19"/>
  <c r="L50" i="19"/>
  <c r="L49" i="19"/>
  <c r="L48" i="19"/>
  <c r="L47" i="19"/>
  <c r="L46" i="19"/>
  <c r="L45" i="19"/>
  <c r="L44" i="19"/>
  <c r="L43" i="19"/>
  <c r="L42" i="19"/>
  <c r="L41" i="19"/>
  <c r="L40" i="19"/>
  <c r="L39" i="19"/>
  <c r="L38" i="19"/>
  <c r="L37" i="19"/>
  <c r="L36" i="19"/>
  <c r="L35" i="19"/>
  <c r="L34" i="19"/>
  <c r="L33" i="19"/>
  <c r="L32" i="19"/>
  <c r="L31" i="19"/>
  <c r="L30" i="19"/>
  <c r="L29" i="19"/>
  <c r="L28" i="19"/>
  <c r="L27" i="19"/>
  <c r="L26" i="19"/>
  <c r="L25" i="19"/>
  <c r="L24" i="19"/>
  <c r="L23" i="19"/>
  <c r="L22" i="19"/>
  <c r="L21" i="19"/>
  <c r="L20" i="19"/>
  <c r="L19" i="19"/>
  <c r="L18" i="19"/>
  <c r="L17" i="19"/>
  <c r="L16" i="19"/>
  <c r="L15" i="19"/>
  <c r="L14" i="19"/>
  <c r="L13" i="19"/>
  <c r="L12" i="19"/>
  <c r="L11" i="19"/>
  <c r="L10" i="19"/>
  <c r="L9" i="19"/>
  <c r="L8" i="19"/>
  <c r="L7" i="19"/>
  <c r="L6" i="19"/>
  <c r="Q407" i="15" l="1"/>
  <c r="R185" i="15"/>
  <c r="R130" i="15"/>
  <c r="L411" i="19"/>
  <c r="L413" i="19" s="1"/>
  <c r="J45" i="18" l="1"/>
  <c r="J44" i="18"/>
  <c r="H44" i="18" s="1"/>
  <c r="J40" i="18"/>
  <c r="J43" i="18"/>
  <c r="H43" i="18" s="1"/>
  <c r="J35" i="18"/>
  <c r="H35" i="18" s="1"/>
  <c r="J32" i="18"/>
  <c r="H32" i="18" s="1"/>
  <c r="J31" i="18"/>
  <c r="H31" i="18" s="1"/>
  <c r="J30" i="18"/>
  <c r="H30" i="18" s="1"/>
  <c r="J14" i="18"/>
  <c r="H14" i="18" s="1"/>
  <c r="J12" i="18"/>
  <c r="H12" i="18" s="1"/>
  <c r="J11" i="18"/>
  <c r="H11" i="18" s="1"/>
  <c r="J9" i="18"/>
  <c r="J8" i="18"/>
  <c r="J6" i="18"/>
  <c r="F286" i="18"/>
  <c r="D286" i="18"/>
  <c r="H285" i="18"/>
  <c r="K284" i="18"/>
  <c r="H284" i="18"/>
  <c r="K283" i="18"/>
  <c r="H283" i="18"/>
  <c r="K282" i="18"/>
  <c r="H282" i="18"/>
  <c r="K281" i="18"/>
  <c r="H281" i="18"/>
  <c r="K280" i="18"/>
  <c r="H280" i="18"/>
  <c r="H279" i="18"/>
  <c r="H278" i="18"/>
  <c r="K277" i="18"/>
  <c r="H277" i="18"/>
  <c r="K276" i="18"/>
  <c r="H276" i="18"/>
  <c r="K275" i="18"/>
  <c r="H275" i="18"/>
  <c r="K274" i="18"/>
  <c r="H274" i="18"/>
  <c r="H273" i="18"/>
  <c r="H272" i="18"/>
  <c r="H271" i="18"/>
  <c r="H270" i="18"/>
  <c r="H269" i="18"/>
  <c r="H268" i="18"/>
  <c r="K267" i="18"/>
  <c r="H267" i="18"/>
  <c r="H266" i="18"/>
  <c r="H265" i="18"/>
  <c r="H264" i="18"/>
  <c r="H263" i="18"/>
  <c r="H262" i="18"/>
  <c r="H261" i="18"/>
  <c r="K260" i="18"/>
  <c r="H260" i="18"/>
  <c r="K259" i="18"/>
  <c r="H259" i="18"/>
  <c r="K258" i="18"/>
  <c r="H258" i="18"/>
  <c r="H257" i="18"/>
  <c r="H256" i="18"/>
  <c r="K255" i="18"/>
  <c r="H255" i="18"/>
  <c r="H254" i="18"/>
  <c r="K253" i="18"/>
  <c r="H253" i="18"/>
  <c r="K252" i="18"/>
  <c r="H252" i="18"/>
  <c r="K251" i="18"/>
  <c r="H251" i="18"/>
  <c r="H250" i="18"/>
  <c r="H249" i="18"/>
  <c r="H248" i="18"/>
  <c r="H247" i="18"/>
  <c r="H246" i="18"/>
  <c r="H245" i="18"/>
  <c r="H244" i="18"/>
  <c r="K243" i="18"/>
  <c r="H243" i="18"/>
  <c r="K242" i="18"/>
  <c r="H242" i="18"/>
  <c r="K241" i="18"/>
  <c r="H241" i="18"/>
  <c r="K240" i="18"/>
  <c r="H240" i="18"/>
  <c r="K239" i="18"/>
  <c r="H239" i="18"/>
  <c r="H238" i="18"/>
  <c r="H237" i="18"/>
  <c r="K236" i="18"/>
  <c r="H236" i="18"/>
  <c r="K235" i="18"/>
  <c r="H235" i="18"/>
  <c r="K234" i="18"/>
  <c r="H234" i="18"/>
  <c r="K233" i="18"/>
  <c r="H233" i="18"/>
  <c r="H232" i="18"/>
  <c r="K231" i="18"/>
  <c r="H231" i="18"/>
  <c r="K230" i="18"/>
  <c r="H230" i="18"/>
  <c r="K229" i="18"/>
  <c r="H229" i="18"/>
  <c r="K228" i="18"/>
  <c r="H228" i="18"/>
  <c r="K227" i="18"/>
  <c r="H227" i="18"/>
  <c r="K226" i="18"/>
  <c r="H226" i="18"/>
  <c r="K225" i="18"/>
  <c r="H225" i="18"/>
  <c r="K224" i="18"/>
  <c r="H224" i="18"/>
  <c r="K223" i="18"/>
  <c r="H223" i="18"/>
  <c r="K222" i="18"/>
  <c r="H222" i="18"/>
  <c r="K221" i="18"/>
  <c r="H221" i="18"/>
  <c r="H220" i="18"/>
  <c r="H219" i="18"/>
  <c r="K218" i="18"/>
  <c r="H218" i="18"/>
  <c r="H217" i="18"/>
  <c r="K216" i="18"/>
  <c r="H216" i="18"/>
  <c r="K215" i="18"/>
  <c r="H215" i="18"/>
  <c r="K214" i="18"/>
  <c r="H214" i="18"/>
  <c r="K213" i="18"/>
  <c r="H213" i="18"/>
  <c r="K212" i="18"/>
  <c r="H212" i="18"/>
  <c r="K211" i="18"/>
  <c r="H211" i="18"/>
  <c r="K210" i="18"/>
  <c r="H210" i="18"/>
  <c r="H209" i="18"/>
  <c r="K208" i="18"/>
  <c r="H208" i="18"/>
  <c r="K207" i="18"/>
  <c r="H207" i="18"/>
  <c r="K206" i="18"/>
  <c r="H206" i="18"/>
  <c r="K205" i="18"/>
  <c r="H205" i="18"/>
  <c r="K204" i="18"/>
  <c r="H204" i="18"/>
  <c r="K203" i="18"/>
  <c r="H203" i="18"/>
  <c r="K202" i="18"/>
  <c r="H202" i="18"/>
  <c r="K201" i="18"/>
  <c r="H201" i="18"/>
  <c r="K200" i="18"/>
  <c r="H200" i="18"/>
  <c r="K199" i="18"/>
  <c r="H199" i="18"/>
  <c r="K198" i="18"/>
  <c r="H198" i="18"/>
  <c r="K197" i="18"/>
  <c r="H197" i="18"/>
  <c r="K196" i="18"/>
  <c r="H196" i="18"/>
  <c r="K195" i="18"/>
  <c r="H195" i="18"/>
  <c r="K194" i="18"/>
  <c r="H194" i="18"/>
  <c r="K193" i="18"/>
  <c r="H193" i="18"/>
  <c r="K192" i="18"/>
  <c r="H192" i="18"/>
  <c r="H191" i="18"/>
  <c r="K190" i="18"/>
  <c r="H190" i="18"/>
  <c r="H189" i="18"/>
  <c r="K188" i="18"/>
  <c r="H188" i="18"/>
  <c r="K187" i="18"/>
  <c r="H187" i="18"/>
  <c r="K186" i="18"/>
  <c r="H186" i="18"/>
  <c r="K185" i="18"/>
  <c r="H185" i="18"/>
  <c r="K184" i="18"/>
  <c r="H184" i="18"/>
  <c r="K183" i="18"/>
  <c r="H183" i="18"/>
  <c r="K182" i="18"/>
  <c r="H182" i="18"/>
  <c r="K181" i="18"/>
  <c r="H181" i="18"/>
  <c r="K180" i="18"/>
  <c r="H180" i="18"/>
  <c r="K179" i="18"/>
  <c r="H179" i="18"/>
  <c r="K178" i="18"/>
  <c r="H178" i="18"/>
  <c r="K177" i="18"/>
  <c r="H177" i="18"/>
  <c r="K176" i="18"/>
  <c r="H176" i="18"/>
  <c r="H175" i="18"/>
  <c r="K174" i="18"/>
  <c r="H174" i="18"/>
  <c r="H173" i="18"/>
  <c r="K172" i="18"/>
  <c r="H172" i="18"/>
  <c r="K171" i="18"/>
  <c r="H171" i="18"/>
  <c r="K170" i="18"/>
  <c r="H170" i="18"/>
  <c r="H169" i="18"/>
  <c r="H168" i="18"/>
  <c r="K167" i="18"/>
  <c r="H167" i="18"/>
  <c r="K166" i="18"/>
  <c r="H166" i="18"/>
  <c r="K165" i="18"/>
  <c r="H165" i="18"/>
  <c r="H164" i="18"/>
  <c r="H163" i="18"/>
  <c r="K162" i="18"/>
  <c r="H162" i="18"/>
  <c r="K161" i="18"/>
  <c r="H161" i="18"/>
  <c r="H160" i="18"/>
  <c r="H159" i="18"/>
  <c r="K158" i="18"/>
  <c r="H158" i="18"/>
  <c r="H157" i="18"/>
  <c r="K156" i="18"/>
  <c r="H156" i="18"/>
  <c r="H155" i="18"/>
  <c r="K154" i="18"/>
  <c r="H154" i="18"/>
  <c r="K153" i="18"/>
  <c r="H153" i="18"/>
  <c r="K152" i="18"/>
  <c r="H152" i="18"/>
  <c r="H151" i="18"/>
  <c r="K150" i="18"/>
  <c r="H150" i="18"/>
  <c r="K149" i="18"/>
  <c r="H149" i="18"/>
  <c r="H148" i="18"/>
  <c r="K147" i="18"/>
  <c r="H147" i="18"/>
  <c r="H146" i="18"/>
  <c r="H145" i="18"/>
  <c r="K144" i="18"/>
  <c r="H144" i="18"/>
  <c r="H143" i="18"/>
  <c r="K142" i="18"/>
  <c r="H142" i="18"/>
  <c r="H141" i="18"/>
  <c r="K140" i="18"/>
  <c r="H140" i="18"/>
  <c r="K139" i="18"/>
  <c r="H139" i="18"/>
  <c r="H138" i="18"/>
  <c r="K137" i="18"/>
  <c r="H137" i="18"/>
  <c r="H136" i="18"/>
  <c r="K135" i="18"/>
  <c r="H135" i="18"/>
  <c r="K134" i="18"/>
  <c r="H134" i="18"/>
  <c r="K133" i="18"/>
  <c r="H133" i="18"/>
  <c r="K132" i="18"/>
  <c r="H132" i="18"/>
  <c r="K131" i="18"/>
  <c r="H131" i="18"/>
  <c r="K130" i="18"/>
  <c r="H130" i="18"/>
  <c r="K129" i="18"/>
  <c r="H129" i="18"/>
  <c r="K128" i="18"/>
  <c r="H128" i="18"/>
  <c r="K127" i="18"/>
  <c r="H127" i="18"/>
  <c r="K126" i="18"/>
  <c r="H126" i="18"/>
  <c r="K125" i="18"/>
  <c r="H125" i="18"/>
  <c r="K124" i="18"/>
  <c r="H124" i="18"/>
  <c r="K123" i="18"/>
  <c r="H123" i="18"/>
  <c r="H122" i="18"/>
  <c r="K121" i="18"/>
  <c r="H121" i="18"/>
  <c r="K120" i="18"/>
  <c r="H120" i="18"/>
  <c r="K119" i="18"/>
  <c r="H119" i="18"/>
  <c r="K118" i="18"/>
  <c r="H118" i="18"/>
  <c r="K117" i="18"/>
  <c r="H117" i="18"/>
  <c r="K116" i="18"/>
  <c r="H116" i="18"/>
  <c r="K115" i="18"/>
  <c r="H115" i="18"/>
  <c r="K114" i="18"/>
  <c r="H114" i="18"/>
  <c r="K113" i="18"/>
  <c r="H113" i="18"/>
  <c r="K112" i="18"/>
  <c r="H112" i="18"/>
  <c r="K111" i="18"/>
  <c r="H111" i="18"/>
  <c r="K110" i="18"/>
  <c r="H110" i="18"/>
  <c r="K109" i="18"/>
  <c r="H109" i="18"/>
  <c r="K108" i="18"/>
  <c r="H108" i="18"/>
  <c r="K107" i="18"/>
  <c r="H107" i="18"/>
  <c r="K106" i="18"/>
  <c r="H106" i="18"/>
  <c r="K105" i="18"/>
  <c r="H105" i="18"/>
  <c r="K104" i="18"/>
  <c r="H104" i="18"/>
  <c r="K103" i="18"/>
  <c r="H103" i="18"/>
  <c r="K102" i="18"/>
  <c r="H102" i="18"/>
  <c r="K101" i="18"/>
  <c r="H101" i="18"/>
  <c r="K100" i="18"/>
  <c r="H100" i="18"/>
  <c r="K99" i="18"/>
  <c r="H99" i="18"/>
  <c r="K98" i="18"/>
  <c r="H98" i="18"/>
  <c r="K97" i="18"/>
  <c r="H97" i="18"/>
  <c r="K96" i="18"/>
  <c r="H96" i="18"/>
  <c r="K95" i="18"/>
  <c r="H95" i="18"/>
  <c r="K94" i="18"/>
  <c r="H94" i="18"/>
  <c r="K93" i="18"/>
  <c r="H93" i="18"/>
  <c r="K92" i="18"/>
  <c r="H92" i="18"/>
  <c r="K91" i="18"/>
  <c r="H91" i="18"/>
  <c r="K90" i="18"/>
  <c r="H90" i="18"/>
  <c r="K89" i="18"/>
  <c r="H89" i="18"/>
  <c r="K88" i="18"/>
  <c r="H88" i="18"/>
  <c r="K87" i="18"/>
  <c r="H87" i="18"/>
  <c r="K86" i="18"/>
  <c r="H86" i="18"/>
  <c r="K85" i="18"/>
  <c r="H85" i="18"/>
  <c r="K84" i="18"/>
  <c r="H84" i="18"/>
  <c r="K83" i="18"/>
  <c r="H83" i="18"/>
  <c r="K82" i="18"/>
  <c r="H82" i="18"/>
  <c r="K81" i="18"/>
  <c r="H81" i="18"/>
  <c r="K80" i="18"/>
  <c r="H80" i="18"/>
  <c r="K79" i="18"/>
  <c r="H79" i="18"/>
  <c r="K78" i="18"/>
  <c r="H78" i="18"/>
  <c r="K77" i="18"/>
  <c r="H77" i="18"/>
  <c r="K76" i="18"/>
  <c r="H76" i="18"/>
  <c r="K75" i="18"/>
  <c r="H75" i="18"/>
  <c r="K74" i="18"/>
  <c r="H74" i="18"/>
  <c r="K73" i="18"/>
  <c r="H73" i="18"/>
  <c r="K72" i="18"/>
  <c r="H72" i="18"/>
  <c r="K71" i="18"/>
  <c r="H71" i="18"/>
  <c r="K70" i="18"/>
  <c r="H70" i="18"/>
  <c r="K69" i="18"/>
  <c r="H69" i="18"/>
  <c r="K68" i="18"/>
  <c r="H68" i="18"/>
  <c r="K67" i="18"/>
  <c r="H67" i="18"/>
  <c r="K66" i="18"/>
  <c r="H66" i="18"/>
  <c r="K65" i="18"/>
  <c r="H65" i="18"/>
  <c r="K64" i="18"/>
  <c r="H64" i="18"/>
  <c r="K63" i="18"/>
  <c r="H63" i="18"/>
  <c r="K62" i="18"/>
  <c r="H62" i="18"/>
  <c r="K61" i="18"/>
  <c r="H61" i="18"/>
  <c r="K60" i="18"/>
  <c r="H60" i="18"/>
  <c r="K59" i="18"/>
  <c r="H59" i="18"/>
  <c r="K58" i="18"/>
  <c r="H58" i="18"/>
  <c r="K57" i="18"/>
  <c r="H57" i="18"/>
  <c r="H56" i="18"/>
  <c r="K55" i="18"/>
  <c r="H55" i="18"/>
  <c r="H54" i="18"/>
  <c r="K53" i="18"/>
  <c r="H53" i="18"/>
  <c r="K52" i="18"/>
  <c r="H52" i="18"/>
  <c r="K51" i="18"/>
  <c r="H51" i="18"/>
  <c r="H50" i="18"/>
  <c r="K49" i="18"/>
  <c r="H49" i="18"/>
  <c r="K48" i="18"/>
  <c r="H48" i="18"/>
  <c r="K47" i="18"/>
  <c r="H47" i="18"/>
  <c r="H46" i="18"/>
  <c r="H45" i="18"/>
  <c r="K42" i="18"/>
  <c r="H42" i="18"/>
  <c r="K41" i="18"/>
  <c r="H41" i="18"/>
  <c r="H40" i="18"/>
  <c r="K39" i="18"/>
  <c r="H39" i="18"/>
  <c r="K38" i="18"/>
  <c r="H38" i="18"/>
  <c r="K37" i="18"/>
  <c r="H37" i="18"/>
  <c r="H36" i="18"/>
  <c r="H34" i="18"/>
  <c r="K33" i="18"/>
  <c r="H33" i="18"/>
  <c r="K29" i="18"/>
  <c r="H29" i="18"/>
  <c r="K28" i="18"/>
  <c r="H28" i="18"/>
  <c r="K27" i="18"/>
  <c r="H27" i="18"/>
  <c r="K26" i="18"/>
  <c r="H26" i="18"/>
  <c r="K25" i="18"/>
  <c r="H25" i="18"/>
  <c r="K24" i="18"/>
  <c r="H24" i="18"/>
  <c r="K23" i="18"/>
  <c r="H23" i="18"/>
  <c r="K22" i="18"/>
  <c r="H22" i="18"/>
  <c r="K21" i="18"/>
  <c r="H21" i="18"/>
  <c r="K20" i="18"/>
  <c r="H20" i="18"/>
  <c r="K19" i="18"/>
  <c r="H19" i="18"/>
  <c r="K18" i="18"/>
  <c r="H18" i="18"/>
  <c r="H17" i="18"/>
  <c r="H16" i="18"/>
  <c r="H15" i="18"/>
  <c r="K13" i="18"/>
  <c r="H13" i="18"/>
  <c r="H10" i="18"/>
  <c r="H9" i="18"/>
  <c r="H8" i="18"/>
  <c r="H7" i="18"/>
  <c r="H5" i="18"/>
  <c r="K4" i="18"/>
  <c r="H4" i="18"/>
  <c r="J189" i="17"/>
  <c r="J190" i="17"/>
  <c r="J187" i="17"/>
  <c r="J184" i="17"/>
  <c r="J183" i="17"/>
  <c r="J182" i="17"/>
  <c r="J179" i="17"/>
  <c r="Q176" i="17"/>
  <c r="Q177" i="17"/>
  <c r="Q178" i="17"/>
  <c r="Q179" i="17"/>
  <c r="Q180" i="17"/>
  <c r="Q181" i="17"/>
  <c r="Q182" i="17"/>
  <c r="Q183" i="17"/>
  <c r="Q184" i="17"/>
  <c r="Q185" i="17"/>
  <c r="Q186" i="17"/>
  <c r="Q187" i="17"/>
  <c r="Q188" i="17"/>
  <c r="Q189" i="17"/>
  <c r="Q190" i="17"/>
  <c r="Q192" i="17"/>
  <c r="Q194" i="17"/>
  <c r="Q195" i="17"/>
  <c r="Q196" i="17"/>
  <c r="Q197" i="17"/>
  <c r="Q198" i="17"/>
  <c r="Q199" i="17"/>
  <c r="Q200" i="17"/>
  <c r="Q201" i="17"/>
  <c r="Q202" i="17"/>
  <c r="Q175" i="17"/>
  <c r="J178" i="17"/>
  <c r="J177" i="17"/>
  <c r="J176" i="17"/>
  <c r="J175" i="17"/>
  <c r="P203" i="17"/>
  <c r="K288" i="17"/>
  <c r="F288" i="17"/>
  <c r="D288" i="17"/>
  <c r="H287" i="17"/>
  <c r="L286" i="17"/>
  <c r="H286" i="17"/>
  <c r="L285" i="17"/>
  <c r="H285" i="17"/>
  <c r="L284" i="17"/>
  <c r="H284" i="17"/>
  <c r="L283" i="17"/>
  <c r="H283" i="17"/>
  <c r="L282" i="17"/>
  <c r="H282" i="17"/>
  <c r="H281" i="17"/>
  <c r="H280" i="17"/>
  <c r="L279" i="17"/>
  <c r="H279" i="17"/>
  <c r="L278" i="17"/>
  <c r="H278" i="17"/>
  <c r="L277" i="17"/>
  <c r="H277" i="17"/>
  <c r="L276" i="17"/>
  <c r="H276" i="17"/>
  <c r="H275" i="17"/>
  <c r="H274" i="17"/>
  <c r="H273" i="17"/>
  <c r="H272" i="17"/>
  <c r="H271" i="17"/>
  <c r="H270" i="17"/>
  <c r="L269" i="17"/>
  <c r="H269" i="17"/>
  <c r="H268" i="17"/>
  <c r="H267" i="17"/>
  <c r="H266" i="17"/>
  <c r="H265" i="17"/>
  <c r="H264" i="17"/>
  <c r="H263" i="17"/>
  <c r="L262" i="17"/>
  <c r="H262" i="17"/>
  <c r="L261" i="17"/>
  <c r="H261" i="17"/>
  <c r="L260" i="17"/>
  <c r="H260" i="17"/>
  <c r="H259" i="17"/>
  <c r="H258" i="17"/>
  <c r="L257" i="17"/>
  <c r="H257" i="17"/>
  <c r="H256" i="17"/>
  <c r="L255" i="17"/>
  <c r="H255" i="17"/>
  <c r="L254" i="17"/>
  <c r="H254" i="17"/>
  <c r="L253" i="17"/>
  <c r="H253" i="17"/>
  <c r="H252" i="17"/>
  <c r="H251" i="17"/>
  <c r="H250" i="17"/>
  <c r="H249" i="17"/>
  <c r="H248" i="17"/>
  <c r="H247" i="17"/>
  <c r="H246" i="17"/>
  <c r="L245" i="17"/>
  <c r="H245" i="17"/>
  <c r="L244" i="17"/>
  <c r="H244" i="17"/>
  <c r="L243" i="17"/>
  <c r="H243" i="17"/>
  <c r="L242" i="17"/>
  <c r="H242" i="17"/>
  <c r="L241" i="17"/>
  <c r="H241" i="17"/>
  <c r="H240" i="17"/>
  <c r="H239" i="17"/>
  <c r="L238" i="17"/>
  <c r="H238" i="17"/>
  <c r="L237" i="17"/>
  <c r="H237" i="17"/>
  <c r="L236" i="17"/>
  <c r="H236" i="17"/>
  <c r="L235" i="17"/>
  <c r="H235" i="17"/>
  <c r="H234" i="17"/>
  <c r="L233" i="17"/>
  <c r="H233" i="17"/>
  <c r="L232" i="17"/>
  <c r="H232" i="17"/>
  <c r="L231" i="17"/>
  <c r="H231" i="17"/>
  <c r="L230" i="17"/>
  <c r="H230" i="17"/>
  <c r="L229" i="17"/>
  <c r="H229" i="17"/>
  <c r="L228" i="17"/>
  <c r="H228" i="17"/>
  <c r="L227" i="17"/>
  <c r="H227" i="17"/>
  <c r="L226" i="17"/>
  <c r="H226" i="17"/>
  <c r="L225" i="17"/>
  <c r="H225" i="17"/>
  <c r="L224" i="17"/>
  <c r="H224" i="17"/>
  <c r="L223" i="17"/>
  <c r="H223" i="17"/>
  <c r="H222" i="17"/>
  <c r="H221" i="17"/>
  <c r="L220" i="17"/>
  <c r="H220" i="17"/>
  <c r="H219" i="17"/>
  <c r="L218" i="17"/>
  <c r="H218" i="17"/>
  <c r="L217" i="17"/>
  <c r="H217" i="17"/>
  <c r="L216" i="17"/>
  <c r="H216" i="17"/>
  <c r="L215" i="17"/>
  <c r="H215" i="17"/>
  <c r="L214" i="17"/>
  <c r="H214" i="17"/>
  <c r="L213" i="17"/>
  <c r="H213" i="17"/>
  <c r="L212" i="17"/>
  <c r="H212" i="17"/>
  <c r="H211" i="17"/>
  <c r="L210" i="17"/>
  <c r="H210" i="17"/>
  <c r="L209" i="17"/>
  <c r="H209" i="17"/>
  <c r="L208" i="17"/>
  <c r="H208" i="17"/>
  <c r="L207" i="17"/>
  <c r="H207" i="17"/>
  <c r="L206" i="17"/>
  <c r="H206" i="17"/>
  <c r="L205" i="17"/>
  <c r="H205" i="17"/>
  <c r="L204" i="17"/>
  <c r="H204" i="17"/>
  <c r="L203" i="17"/>
  <c r="H203" i="17"/>
  <c r="L202" i="17"/>
  <c r="H202" i="17"/>
  <c r="L201" i="17"/>
  <c r="H201" i="17"/>
  <c r="L200" i="17"/>
  <c r="H200" i="17"/>
  <c r="L199" i="17"/>
  <c r="H199" i="17"/>
  <c r="L198" i="17"/>
  <c r="H198" i="17"/>
  <c r="L197" i="17"/>
  <c r="H197" i="17"/>
  <c r="L196" i="17"/>
  <c r="H196" i="17"/>
  <c r="L195" i="17"/>
  <c r="H195" i="17"/>
  <c r="L194" i="17"/>
  <c r="H194" i="17"/>
  <c r="H192" i="17"/>
  <c r="L190" i="17"/>
  <c r="H190" i="17"/>
  <c r="H189" i="17"/>
  <c r="L188" i="17"/>
  <c r="H188" i="17"/>
  <c r="L187" i="17"/>
  <c r="H187" i="17"/>
  <c r="L186" i="17"/>
  <c r="H186" i="17"/>
  <c r="L185" i="17"/>
  <c r="H185" i="17"/>
  <c r="L184" i="17"/>
  <c r="H184" i="17"/>
  <c r="L183" i="17"/>
  <c r="H183" i="17"/>
  <c r="L182" i="17"/>
  <c r="H182" i="17"/>
  <c r="L181" i="17"/>
  <c r="H181" i="17"/>
  <c r="L180" i="17"/>
  <c r="H180" i="17"/>
  <c r="L179" i="17"/>
  <c r="H179" i="17"/>
  <c r="L178" i="17"/>
  <c r="H178" i="17"/>
  <c r="L177" i="17"/>
  <c r="H177" i="17"/>
  <c r="L176" i="17"/>
  <c r="H176" i="17"/>
  <c r="H175" i="17"/>
  <c r="H193" i="17" s="1"/>
  <c r="L174" i="17"/>
  <c r="H174" i="17"/>
  <c r="H173" i="17"/>
  <c r="L172" i="17"/>
  <c r="H172" i="17"/>
  <c r="L171" i="17"/>
  <c r="H171" i="17"/>
  <c r="L170" i="17"/>
  <c r="H170" i="17"/>
  <c r="H169" i="17"/>
  <c r="H168" i="17"/>
  <c r="L167" i="17"/>
  <c r="H167" i="17"/>
  <c r="L166" i="17"/>
  <c r="H166" i="17"/>
  <c r="L165" i="17"/>
  <c r="H165" i="17"/>
  <c r="H164" i="17"/>
  <c r="H163" i="17"/>
  <c r="L162" i="17"/>
  <c r="H162" i="17"/>
  <c r="L161" i="17"/>
  <c r="H161" i="17"/>
  <c r="H160" i="17"/>
  <c r="H159" i="17"/>
  <c r="L158" i="17"/>
  <c r="H158" i="17"/>
  <c r="H157" i="17"/>
  <c r="L156" i="17"/>
  <c r="H156" i="17"/>
  <c r="H155" i="17"/>
  <c r="L154" i="17"/>
  <c r="H154" i="17"/>
  <c r="L153" i="17"/>
  <c r="H153" i="17"/>
  <c r="L152" i="17"/>
  <c r="H152" i="17"/>
  <c r="H151" i="17"/>
  <c r="L150" i="17"/>
  <c r="H150" i="17"/>
  <c r="L149" i="17"/>
  <c r="H149" i="17"/>
  <c r="H148" i="17"/>
  <c r="L147" i="17"/>
  <c r="H147" i="17"/>
  <c r="H146" i="17"/>
  <c r="H145" i="17"/>
  <c r="L144" i="17"/>
  <c r="H144" i="17"/>
  <c r="H143" i="17"/>
  <c r="L142" i="17"/>
  <c r="H142" i="17"/>
  <c r="H141" i="17"/>
  <c r="L140" i="17"/>
  <c r="H140" i="17"/>
  <c r="L139" i="17"/>
  <c r="H139" i="17"/>
  <c r="H138" i="17"/>
  <c r="L137" i="17"/>
  <c r="H137" i="17"/>
  <c r="H136" i="17"/>
  <c r="L135" i="17"/>
  <c r="H135" i="17"/>
  <c r="L134" i="17"/>
  <c r="H134" i="17"/>
  <c r="L133" i="17"/>
  <c r="H133" i="17"/>
  <c r="L132" i="17"/>
  <c r="H132" i="17"/>
  <c r="L131" i="17"/>
  <c r="H131" i="17"/>
  <c r="L130" i="17"/>
  <c r="H130" i="17"/>
  <c r="L129" i="17"/>
  <c r="H129" i="17"/>
  <c r="L128" i="17"/>
  <c r="H128" i="17"/>
  <c r="L127" i="17"/>
  <c r="H127" i="17"/>
  <c r="L126" i="17"/>
  <c r="H126" i="17"/>
  <c r="L125" i="17"/>
  <c r="H125" i="17"/>
  <c r="L124" i="17"/>
  <c r="H124" i="17"/>
  <c r="L123" i="17"/>
  <c r="H123" i="17"/>
  <c r="L122" i="17"/>
  <c r="H122" i="17"/>
  <c r="L121" i="17"/>
  <c r="H121" i="17"/>
  <c r="L120" i="17"/>
  <c r="H120" i="17"/>
  <c r="L119" i="17"/>
  <c r="H119" i="17"/>
  <c r="L118" i="17"/>
  <c r="H118" i="17"/>
  <c r="L117" i="17"/>
  <c r="H117" i="17"/>
  <c r="L116" i="17"/>
  <c r="H116" i="17"/>
  <c r="L115" i="17"/>
  <c r="H115" i="17"/>
  <c r="L114" i="17"/>
  <c r="H114" i="17"/>
  <c r="L113" i="17"/>
  <c r="H113" i="17"/>
  <c r="L112" i="17"/>
  <c r="H112" i="17"/>
  <c r="L111" i="17"/>
  <c r="H111" i="17"/>
  <c r="L110" i="17"/>
  <c r="H110" i="17"/>
  <c r="L109" i="17"/>
  <c r="H109" i="17"/>
  <c r="L108" i="17"/>
  <c r="H108" i="17"/>
  <c r="L107" i="17"/>
  <c r="H107" i="17"/>
  <c r="L106" i="17"/>
  <c r="H106" i="17"/>
  <c r="L105" i="17"/>
  <c r="H105" i="17"/>
  <c r="L104" i="17"/>
  <c r="H104" i="17"/>
  <c r="L103" i="17"/>
  <c r="H103" i="17"/>
  <c r="L102" i="17"/>
  <c r="H102" i="17"/>
  <c r="L101" i="17"/>
  <c r="H101" i="17"/>
  <c r="L100" i="17"/>
  <c r="H100" i="17"/>
  <c r="L99" i="17"/>
  <c r="H99" i="17"/>
  <c r="L98" i="17"/>
  <c r="H98" i="17"/>
  <c r="L97" i="17"/>
  <c r="H97" i="17"/>
  <c r="L96" i="17"/>
  <c r="H96" i="17"/>
  <c r="L95" i="17"/>
  <c r="H95" i="17"/>
  <c r="L94" i="17"/>
  <c r="H94" i="17"/>
  <c r="L93" i="17"/>
  <c r="H93" i="17"/>
  <c r="L92" i="17"/>
  <c r="H92" i="17"/>
  <c r="L91" i="17"/>
  <c r="H91" i="17"/>
  <c r="L90" i="17"/>
  <c r="H90" i="17"/>
  <c r="L89" i="17"/>
  <c r="H89" i="17"/>
  <c r="L88" i="17"/>
  <c r="H88" i="17"/>
  <c r="L87" i="17"/>
  <c r="H87" i="17"/>
  <c r="L86" i="17"/>
  <c r="H86" i="17"/>
  <c r="L85" i="17"/>
  <c r="H85" i="17"/>
  <c r="L84" i="17"/>
  <c r="H84" i="17"/>
  <c r="L83" i="17"/>
  <c r="H83" i="17"/>
  <c r="L82" i="17"/>
  <c r="H82" i="17"/>
  <c r="L81" i="17"/>
  <c r="H81" i="17"/>
  <c r="L80" i="17"/>
  <c r="H80" i="17"/>
  <c r="L79" i="17"/>
  <c r="H79" i="17"/>
  <c r="L78" i="17"/>
  <c r="H78" i="17"/>
  <c r="L77" i="17"/>
  <c r="H77" i="17"/>
  <c r="L76" i="17"/>
  <c r="H76" i="17"/>
  <c r="L75" i="17"/>
  <c r="H75" i="17"/>
  <c r="L74" i="17"/>
  <c r="H74" i="17"/>
  <c r="L73" i="17"/>
  <c r="H73" i="17"/>
  <c r="L72" i="17"/>
  <c r="H72" i="17"/>
  <c r="L71" i="17"/>
  <c r="H71" i="17"/>
  <c r="L70" i="17"/>
  <c r="H70" i="17"/>
  <c r="L69" i="17"/>
  <c r="H69" i="17"/>
  <c r="L68" i="17"/>
  <c r="H68" i="17"/>
  <c r="L67" i="17"/>
  <c r="H67" i="17"/>
  <c r="L66" i="17"/>
  <c r="H66" i="17"/>
  <c r="L65" i="17"/>
  <c r="H65" i="17"/>
  <c r="L64" i="17"/>
  <c r="H64" i="17"/>
  <c r="L63" i="17"/>
  <c r="H63" i="17"/>
  <c r="L62" i="17"/>
  <c r="H62" i="17"/>
  <c r="L61" i="17"/>
  <c r="H61" i="17"/>
  <c r="L60" i="17"/>
  <c r="H60" i="17"/>
  <c r="L59" i="17"/>
  <c r="H59" i="17"/>
  <c r="L58" i="17"/>
  <c r="H58" i="17"/>
  <c r="L57" i="17"/>
  <c r="H57" i="17"/>
  <c r="H56" i="17"/>
  <c r="L55" i="17"/>
  <c r="H55" i="17"/>
  <c r="H54" i="17"/>
  <c r="L53" i="17"/>
  <c r="H53" i="17"/>
  <c r="L52" i="17"/>
  <c r="H52" i="17"/>
  <c r="L51" i="17"/>
  <c r="H51" i="17"/>
  <c r="L50" i="17"/>
  <c r="H50" i="17"/>
  <c r="L49" i="17"/>
  <c r="H49" i="17"/>
  <c r="L48" i="17"/>
  <c r="H48" i="17"/>
  <c r="L47" i="17"/>
  <c r="H47" i="17"/>
  <c r="L46" i="17"/>
  <c r="H46" i="17"/>
  <c r="L45" i="17"/>
  <c r="H45" i="17"/>
  <c r="L44" i="17"/>
  <c r="H44" i="17"/>
  <c r="L43" i="17"/>
  <c r="H43" i="17"/>
  <c r="L42" i="17"/>
  <c r="H42" i="17"/>
  <c r="L41" i="17"/>
  <c r="H41" i="17"/>
  <c r="L40" i="17"/>
  <c r="H40" i="17"/>
  <c r="L39" i="17"/>
  <c r="H39" i="17"/>
  <c r="L38" i="17"/>
  <c r="H38" i="17"/>
  <c r="L37" i="17"/>
  <c r="H37" i="17"/>
  <c r="H36" i="17"/>
  <c r="L35" i="17"/>
  <c r="H35" i="17"/>
  <c r="H34" i="17"/>
  <c r="L33" i="17"/>
  <c r="H33" i="17"/>
  <c r="L32" i="17"/>
  <c r="H32" i="17"/>
  <c r="L31" i="17"/>
  <c r="H31" i="17"/>
  <c r="H30" i="17"/>
  <c r="L29" i="17"/>
  <c r="H29" i="17"/>
  <c r="L28" i="17"/>
  <c r="H28" i="17"/>
  <c r="L27" i="17"/>
  <c r="H27" i="17"/>
  <c r="L26" i="17"/>
  <c r="H26" i="17"/>
  <c r="L25" i="17"/>
  <c r="H25" i="17"/>
  <c r="L24" i="17"/>
  <c r="H24" i="17"/>
  <c r="L23" i="17"/>
  <c r="H23" i="17"/>
  <c r="L22" i="17"/>
  <c r="H22" i="17"/>
  <c r="L21" i="17"/>
  <c r="H21" i="17"/>
  <c r="L20" i="17"/>
  <c r="H20" i="17"/>
  <c r="L19" i="17"/>
  <c r="H19" i="17"/>
  <c r="L18" i="17"/>
  <c r="H18" i="17"/>
  <c r="H17" i="17"/>
  <c r="H16" i="17"/>
  <c r="H15" i="17"/>
  <c r="L14" i="17"/>
  <c r="H14" i="17"/>
  <c r="L13" i="17"/>
  <c r="H13" i="17"/>
  <c r="L12" i="17"/>
  <c r="H12" i="17"/>
  <c r="L11" i="17"/>
  <c r="H11" i="17"/>
  <c r="H10" i="17"/>
  <c r="L9" i="17"/>
  <c r="H9" i="17"/>
  <c r="L8" i="17"/>
  <c r="H8" i="17"/>
  <c r="H7" i="17"/>
  <c r="L6" i="17"/>
  <c r="H6" i="17"/>
  <c r="H5" i="17"/>
  <c r="L4" i="17"/>
  <c r="H4" i="17"/>
  <c r="K6" i="16"/>
  <c r="K8" i="16"/>
  <c r="K9" i="16"/>
  <c r="K11" i="16"/>
  <c r="K12" i="16"/>
  <c r="K13" i="16"/>
  <c r="K14" i="16"/>
  <c r="K18" i="16"/>
  <c r="K19" i="16"/>
  <c r="K20" i="16"/>
  <c r="K21" i="16"/>
  <c r="K22" i="16"/>
  <c r="K23" i="16"/>
  <c r="K24" i="16"/>
  <c r="K25" i="16"/>
  <c r="K26" i="16"/>
  <c r="K27" i="16"/>
  <c r="K28" i="16"/>
  <c r="K29" i="16"/>
  <c r="K31" i="16"/>
  <c r="K32" i="16"/>
  <c r="K33" i="16"/>
  <c r="K35" i="16"/>
  <c r="K37" i="16"/>
  <c r="K38" i="16"/>
  <c r="K39" i="16"/>
  <c r="K40" i="16"/>
  <c r="K41" i="16"/>
  <c r="K42" i="16"/>
  <c r="K43" i="16"/>
  <c r="K44" i="16"/>
  <c r="K45" i="16"/>
  <c r="K46" i="16"/>
  <c r="K47" i="16"/>
  <c r="K48" i="16"/>
  <c r="K49" i="16"/>
  <c r="K50" i="16"/>
  <c r="K51" i="16"/>
  <c r="K52" i="16"/>
  <c r="K53" i="16"/>
  <c r="K55" i="16"/>
  <c r="K57" i="16"/>
  <c r="K58" i="16"/>
  <c r="K59" i="16"/>
  <c r="K60" i="16"/>
  <c r="K61" i="16"/>
  <c r="K62" i="16"/>
  <c r="K63" i="16"/>
  <c r="K64" i="16"/>
  <c r="K65" i="16"/>
  <c r="K66" i="16"/>
  <c r="K67" i="16"/>
  <c r="K68" i="16"/>
  <c r="K69" i="16"/>
  <c r="K70" i="16"/>
  <c r="K71" i="16"/>
  <c r="K72" i="16"/>
  <c r="K73" i="16"/>
  <c r="K74" i="16"/>
  <c r="K75" i="16"/>
  <c r="K76" i="16"/>
  <c r="K77" i="16"/>
  <c r="K78" i="16"/>
  <c r="K79" i="16"/>
  <c r="K80" i="16"/>
  <c r="K81" i="16"/>
  <c r="K82" i="16"/>
  <c r="K83" i="16"/>
  <c r="K84" i="16"/>
  <c r="K85" i="16"/>
  <c r="K86" i="16"/>
  <c r="K87" i="16"/>
  <c r="K88" i="16"/>
  <c r="K89" i="16"/>
  <c r="K90" i="16"/>
  <c r="K91" i="16"/>
  <c r="K92" i="16"/>
  <c r="K93" i="16"/>
  <c r="K94" i="16"/>
  <c r="K95" i="16"/>
  <c r="K96" i="16"/>
  <c r="K97" i="16"/>
  <c r="K98" i="16"/>
  <c r="K99" i="16"/>
  <c r="K100" i="16"/>
  <c r="K101" i="16"/>
  <c r="K102" i="16"/>
  <c r="K103" i="16"/>
  <c r="K104" i="16"/>
  <c r="K105" i="16"/>
  <c r="K106" i="16"/>
  <c r="K107" i="16"/>
  <c r="K108" i="16"/>
  <c r="K109" i="16"/>
  <c r="K110" i="16"/>
  <c r="K111" i="16"/>
  <c r="K112" i="16"/>
  <c r="K113" i="16"/>
  <c r="K114" i="16"/>
  <c r="K115" i="16"/>
  <c r="K116" i="16"/>
  <c r="K117" i="16"/>
  <c r="K118" i="16"/>
  <c r="K119" i="16"/>
  <c r="K120" i="16"/>
  <c r="K121" i="16"/>
  <c r="K122" i="16"/>
  <c r="K123" i="16"/>
  <c r="K124" i="16"/>
  <c r="K125" i="16"/>
  <c r="K126" i="16"/>
  <c r="K127" i="16"/>
  <c r="K128" i="16"/>
  <c r="K129" i="16"/>
  <c r="K130" i="16"/>
  <c r="K131" i="16"/>
  <c r="K132" i="16"/>
  <c r="K133" i="16"/>
  <c r="K134" i="16"/>
  <c r="K135" i="16"/>
  <c r="K137" i="16"/>
  <c r="K139" i="16"/>
  <c r="K140" i="16"/>
  <c r="K142" i="16"/>
  <c r="K144" i="16"/>
  <c r="K147" i="16"/>
  <c r="K149" i="16"/>
  <c r="K150" i="16"/>
  <c r="K152" i="16"/>
  <c r="K153" i="16"/>
  <c r="K154" i="16"/>
  <c r="K156" i="16"/>
  <c r="K158" i="16"/>
  <c r="K161" i="16"/>
  <c r="K162" i="16"/>
  <c r="K165" i="16"/>
  <c r="K166" i="16"/>
  <c r="K167" i="16"/>
  <c r="K170" i="16"/>
  <c r="K171" i="16"/>
  <c r="K172" i="16"/>
  <c r="K174" i="16"/>
  <c r="K176" i="16"/>
  <c r="K177" i="16"/>
  <c r="K178" i="16"/>
  <c r="K179" i="16"/>
  <c r="K180" i="16"/>
  <c r="K181" i="16"/>
  <c r="K182" i="16"/>
  <c r="K183" i="16"/>
  <c r="K184" i="16"/>
  <c r="K185" i="16"/>
  <c r="K186" i="16"/>
  <c r="K187" i="16"/>
  <c r="K188" i="16"/>
  <c r="K190" i="16"/>
  <c r="K192" i="16"/>
  <c r="K193" i="16"/>
  <c r="K194" i="16"/>
  <c r="K195" i="16"/>
  <c r="K196" i="16"/>
  <c r="K197" i="16"/>
  <c r="K198" i="16"/>
  <c r="K199" i="16"/>
  <c r="K200" i="16"/>
  <c r="K201" i="16"/>
  <c r="K202" i="16"/>
  <c r="K203" i="16"/>
  <c r="K204" i="16"/>
  <c r="K205" i="16"/>
  <c r="K206" i="16"/>
  <c r="K207" i="16"/>
  <c r="K208" i="16"/>
  <c r="K210" i="16"/>
  <c r="K211" i="16"/>
  <c r="K212" i="16"/>
  <c r="K213" i="16"/>
  <c r="K214" i="16"/>
  <c r="K215" i="16"/>
  <c r="K216" i="16"/>
  <c r="K218" i="16"/>
  <c r="K221" i="16"/>
  <c r="K222" i="16"/>
  <c r="K223" i="16"/>
  <c r="K224" i="16"/>
  <c r="K225" i="16"/>
  <c r="K226" i="16"/>
  <c r="K227" i="16"/>
  <c r="K228" i="16"/>
  <c r="K229" i="16"/>
  <c r="K230" i="16"/>
  <c r="K231" i="16"/>
  <c r="K233" i="16"/>
  <c r="K234" i="16"/>
  <c r="K235" i="16"/>
  <c r="K236" i="16"/>
  <c r="K239" i="16"/>
  <c r="K240" i="16"/>
  <c r="K241" i="16"/>
  <c r="K242" i="16"/>
  <c r="K243" i="16"/>
  <c r="K251" i="16"/>
  <c r="K252" i="16"/>
  <c r="K253" i="16"/>
  <c r="K255" i="16"/>
  <c r="K258" i="16"/>
  <c r="K259" i="16"/>
  <c r="K260" i="16"/>
  <c r="K267" i="16"/>
  <c r="K274" i="16"/>
  <c r="K275" i="16"/>
  <c r="K276" i="16"/>
  <c r="K277" i="16"/>
  <c r="K280" i="16"/>
  <c r="K281" i="16"/>
  <c r="K282" i="16"/>
  <c r="K283" i="16"/>
  <c r="K284" i="16"/>
  <c r="K4" i="16"/>
  <c r="H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86" i="16"/>
  <c r="H87" i="16"/>
  <c r="H88" i="16"/>
  <c r="H89" i="16"/>
  <c r="H90" i="16"/>
  <c r="H91" i="16"/>
  <c r="H92" i="16"/>
  <c r="H93" i="16"/>
  <c r="H94" i="16"/>
  <c r="H95" i="16"/>
  <c r="H96" i="16"/>
  <c r="H97" i="16"/>
  <c r="H98" i="16"/>
  <c r="H99" i="16"/>
  <c r="H100" i="16"/>
  <c r="H101" i="16"/>
  <c r="H102" i="16"/>
  <c r="H103" i="16"/>
  <c r="H104" i="16"/>
  <c r="H105" i="16"/>
  <c r="H106" i="16"/>
  <c r="H107" i="16"/>
  <c r="H108" i="16"/>
  <c r="H109" i="16"/>
  <c r="H110" i="16"/>
  <c r="H111" i="16"/>
  <c r="H112" i="16"/>
  <c r="H113" i="16"/>
  <c r="H114" i="16"/>
  <c r="H115" i="16"/>
  <c r="H116" i="16"/>
  <c r="H117" i="16"/>
  <c r="H118" i="16"/>
  <c r="H119" i="16"/>
  <c r="H120" i="16"/>
  <c r="H121" i="16"/>
  <c r="H122" i="16"/>
  <c r="H123" i="16"/>
  <c r="H124" i="16"/>
  <c r="H125" i="16"/>
  <c r="H126" i="16"/>
  <c r="H127" i="16"/>
  <c r="H128" i="16"/>
  <c r="H129" i="16"/>
  <c r="H130" i="16"/>
  <c r="H131" i="16"/>
  <c r="H132" i="16"/>
  <c r="H133" i="16"/>
  <c r="H134" i="16"/>
  <c r="H135" i="16"/>
  <c r="H136" i="16"/>
  <c r="H137" i="16"/>
  <c r="H138" i="16"/>
  <c r="H139" i="16"/>
  <c r="H140" i="16"/>
  <c r="H141" i="16"/>
  <c r="H142" i="16"/>
  <c r="H143" i="16"/>
  <c r="H144" i="16"/>
  <c r="H145" i="16"/>
  <c r="H146" i="16"/>
  <c r="H147" i="16"/>
  <c r="H148" i="16"/>
  <c r="H149" i="16"/>
  <c r="H150" i="16"/>
  <c r="H151" i="16"/>
  <c r="H152" i="16"/>
  <c r="H153" i="16"/>
  <c r="H154" i="16"/>
  <c r="H155" i="16"/>
  <c r="H156" i="16"/>
  <c r="H157" i="16"/>
  <c r="H158" i="16"/>
  <c r="H159" i="16"/>
  <c r="H160" i="16"/>
  <c r="H161" i="16"/>
  <c r="H162" i="16"/>
  <c r="H163" i="16"/>
  <c r="H164" i="16"/>
  <c r="H165" i="16"/>
  <c r="H166" i="16"/>
  <c r="H167" i="16"/>
  <c r="H168" i="16"/>
  <c r="H169" i="16"/>
  <c r="H170" i="16"/>
  <c r="H171" i="16"/>
  <c r="H172" i="16"/>
  <c r="H173" i="16"/>
  <c r="H174" i="16"/>
  <c r="H175" i="16"/>
  <c r="H176" i="16"/>
  <c r="H177" i="16"/>
  <c r="H178" i="16"/>
  <c r="H179" i="16"/>
  <c r="H180" i="16"/>
  <c r="H181" i="16"/>
  <c r="H182" i="16"/>
  <c r="H183" i="16"/>
  <c r="H184" i="16"/>
  <c r="H185" i="16"/>
  <c r="H186" i="16"/>
  <c r="H187" i="16"/>
  <c r="H188" i="16"/>
  <c r="H189" i="16"/>
  <c r="H190" i="16"/>
  <c r="H191" i="16"/>
  <c r="H192" i="16"/>
  <c r="H193" i="16"/>
  <c r="H194" i="16"/>
  <c r="H195" i="16"/>
  <c r="H196" i="16"/>
  <c r="H197" i="16"/>
  <c r="H198" i="16"/>
  <c r="H199" i="16"/>
  <c r="H200" i="16"/>
  <c r="H201" i="16"/>
  <c r="H202" i="16"/>
  <c r="H203" i="16"/>
  <c r="H204" i="16"/>
  <c r="H205" i="16"/>
  <c r="H206" i="16"/>
  <c r="H207" i="16"/>
  <c r="H208" i="16"/>
  <c r="H209" i="16"/>
  <c r="H210" i="16"/>
  <c r="H211" i="16"/>
  <c r="H212" i="16"/>
  <c r="H213" i="16"/>
  <c r="H214" i="16"/>
  <c r="H215" i="16"/>
  <c r="H216" i="16"/>
  <c r="H217" i="16"/>
  <c r="H218" i="16"/>
  <c r="H219" i="16"/>
  <c r="H220" i="16"/>
  <c r="H221" i="16"/>
  <c r="H222" i="16"/>
  <c r="H223" i="16"/>
  <c r="H224" i="16"/>
  <c r="H225" i="16"/>
  <c r="H226" i="16"/>
  <c r="H227" i="16"/>
  <c r="H228" i="16"/>
  <c r="H229" i="16"/>
  <c r="H230" i="16"/>
  <c r="H231" i="16"/>
  <c r="H232" i="16"/>
  <c r="H233" i="16"/>
  <c r="H234" i="16"/>
  <c r="H235" i="16"/>
  <c r="H236" i="16"/>
  <c r="H237" i="16"/>
  <c r="H238" i="16"/>
  <c r="H239" i="16"/>
  <c r="H240" i="16"/>
  <c r="H241" i="16"/>
  <c r="H242" i="16"/>
  <c r="H243" i="16"/>
  <c r="H244" i="16"/>
  <c r="H245" i="16"/>
  <c r="H246" i="16"/>
  <c r="H247" i="16"/>
  <c r="H248" i="16"/>
  <c r="H249" i="16"/>
  <c r="H250" i="16"/>
  <c r="H251" i="16"/>
  <c r="H252" i="16"/>
  <c r="H253" i="16"/>
  <c r="H254" i="16"/>
  <c r="H255" i="16"/>
  <c r="H256" i="16"/>
  <c r="H257" i="16"/>
  <c r="H258" i="16"/>
  <c r="H259" i="16"/>
  <c r="H260" i="16"/>
  <c r="H261" i="16"/>
  <c r="H262" i="16"/>
  <c r="H263" i="16"/>
  <c r="H264" i="16"/>
  <c r="H265" i="16"/>
  <c r="H266" i="16"/>
  <c r="H267" i="16"/>
  <c r="H268" i="16"/>
  <c r="H269" i="16"/>
  <c r="H270" i="16"/>
  <c r="H271" i="16"/>
  <c r="H272" i="16"/>
  <c r="H273" i="16"/>
  <c r="H274" i="16"/>
  <c r="H275" i="16"/>
  <c r="H276" i="16"/>
  <c r="H277" i="16"/>
  <c r="H278" i="16"/>
  <c r="H279" i="16"/>
  <c r="H280" i="16"/>
  <c r="H281" i="16"/>
  <c r="H282" i="16"/>
  <c r="H283" i="16"/>
  <c r="H284" i="16"/>
  <c r="H285" i="16"/>
  <c r="H4" i="16"/>
  <c r="F286" i="16"/>
  <c r="J286" i="16"/>
  <c r="D286" i="16"/>
  <c r="H275" i="15"/>
  <c r="G275" i="15"/>
  <c r="F242" i="15"/>
  <c r="H242" i="15"/>
  <c r="E242" i="15"/>
  <c r="G242" i="15" s="1"/>
  <c r="H239" i="15"/>
  <c r="G239" i="15"/>
  <c r="H234" i="15"/>
  <c r="G234" i="15"/>
  <c r="H233" i="15"/>
  <c r="G233" i="15"/>
  <c r="J221" i="15"/>
  <c r="H228" i="15"/>
  <c r="G228" i="15"/>
  <c r="H229" i="15"/>
  <c r="J229" i="15" s="1"/>
  <c r="F229" i="15"/>
  <c r="H222" i="15"/>
  <c r="G222" i="15"/>
  <c r="H226" i="15"/>
  <c r="G226" i="15"/>
  <c r="H214" i="15"/>
  <c r="G214" i="15"/>
  <c r="H207" i="15"/>
  <c r="G207" i="15"/>
  <c r="H204" i="15"/>
  <c r="G204" i="15"/>
  <c r="H205" i="15"/>
  <c r="G205" i="15"/>
  <c r="H250" i="15"/>
  <c r="G250" i="15"/>
  <c r="H199" i="15"/>
  <c r="G199" i="15"/>
  <c r="H197" i="15"/>
  <c r="G197" i="15"/>
  <c r="H196" i="15"/>
  <c r="G196" i="15"/>
  <c r="H195" i="15"/>
  <c r="G195" i="15"/>
  <c r="H183" i="15"/>
  <c r="G183" i="15"/>
  <c r="H186" i="15"/>
  <c r="G186" i="15"/>
  <c r="H182" i="15"/>
  <c r="G182" i="15"/>
  <c r="H184" i="15"/>
  <c r="G184" i="15"/>
  <c r="H180" i="15"/>
  <c r="G180" i="15"/>
  <c r="H177" i="15"/>
  <c r="G177" i="15"/>
  <c r="F178" i="15"/>
  <c r="F179" i="15" s="1"/>
  <c r="E178" i="15"/>
  <c r="G178" i="15" s="1"/>
  <c r="H181" i="15"/>
  <c r="G181" i="15"/>
  <c r="H176" i="15"/>
  <c r="G176" i="15"/>
  <c r="H175" i="15"/>
  <c r="G175" i="15"/>
  <c r="J202" i="15"/>
  <c r="H225" i="15"/>
  <c r="G225" i="15"/>
  <c r="H274" i="15"/>
  <c r="G274" i="15"/>
  <c r="H206" i="15"/>
  <c r="G206" i="15"/>
  <c r="H187" i="15"/>
  <c r="G187" i="15"/>
  <c r="H161" i="15"/>
  <c r="G161" i="15"/>
  <c r="H151" i="15"/>
  <c r="G151" i="15"/>
  <c r="E165" i="15"/>
  <c r="H148" i="15"/>
  <c r="G148" i="15"/>
  <c r="H26" i="15"/>
  <c r="G26" i="15"/>
  <c r="H153" i="15"/>
  <c r="G153" i="15"/>
  <c r="H25" i="15"/>
  <c r="G25" i="15"/>
  <c r="H38" i="15"/>
  <c r="G38" i="15"/>
  <c r="H36" i="15"/>
  <c r="G36" i="15"/>
  <c r="J32" i="15"/>
  <c r="G32" i="15"/>
  <c r="H230" i="15"/>
  <c r="G230" i="15"/>
  <c r="E141" i="15"/>
  <c r="G141" i="15" s="1"/>
  <c r="D140" i="15"/>
  <c r="D285" i="15" s="1"/>
  <c r="H138" i="15"/>
  <c r="G138" i="15"/>
  <c r="H133" i="15"/>
  <c r="G133" i="15"/>
  <c r="E139" i="15"/>
  <c r="G139" i="15" s="1"/>
  <c r="F159" i="15"/>
  <c r="H160" i="15"/>
  <c r="G160" i="15"/>
  <c r="H120" i="15"/>
  <c r="G120" i="15"/>
  <c r="H119" i="15"/>
  <c r="G119" i="15"/>
  <c r="H118" i="15"/>
  <c r="G118" i="15"/>
  <c r="E281" i="15"/>
  <c r="G281" i="15" s="1"/>
  <c r="H114" i="15"/>
  <c r="G114" i="15"/>
  <c r="H113" i="15"/>
  <c r="G113" i="15"/>
  <c r="H112" i="15"/>
  <c r="G112" i="15"/>
  <c r="H111" i="15"/>
  <c r="G111" i="15"/>
  <c r="H110" i="15"/>
  <c r="E110" i="15"/>
  <c r="G109" i="15"/>
  <c r="H109" i="15" s="1"/>
  <c r="G108" i="15"/>
  <c r="H108" i="15" s="1"/>
  <c r="G107" i="15"/>
  <c r="H107" i="15" s="1"/>
  <c r="E105" i="15"/>
  <c r="G106" i="15"/>
  <c r="E106" i="15"/>
  <c r="G103" i="15"/>
  <c r="H103" i="15" s="1"/>
  <c r="G104" i="15"/>
  <c r="H104" i="15" s="1"/>
  <c r="G98" i="15"/>
  <c r="H98" i="15" s="1"/>
  <c r="G97" i="15"/>
  <c r="H97" i="15" s="1"/>
  <c r="F96" i="15"/>
  <c r="H96" i="15"/>
  <c r="E96" i="15"/>
  <c r="G96" i="15" s="1"/>
  <c r="G95" i="15"/>
  <c r="H95" i="15" s="1"/>
  <c r="G94" i="15"/>
  <c r="H94" i="15" s="1"/>
  <c r="G93" i="15"/>
  <c r="H93" i="15" s="1"/>
  <c r="G91" i="15"/>
  <c r="H91" i="15" s="1"/>
  <c r="G90" i="15"/>
  <c r="H90" i="15" s="1"/>
  <c r="G89" i="15"/>
  <c r="H89" i="15" s="1"/>
  <c r="F88" i="15"/>
  <c r="G88" i="15"/>
  <c r="G80" i="15"/>
  <c r="H80" i="15" s="1"/>
  <c r="E99" i="15"/>
  <c r="E101" i="15"/>
  <c r="G87" i="15"/>
  <c r="J87" i="15"/>
  <c r="G99" i="15"/>
  <c r="H99" i="15" s="1"/>
  <c r="F100" i="15"/>
  <c r="G100" i="15"/>
  <c r="H100" i="15" s="1"/>
  <c r="G85" i="15"/>
  <c r="H85" i="15" s="1"/>
  <c r="G86" i="15"/>
  <c r="H86" i="15" s="1"/>
  <c r="G84" i="15"/>
  <c r="H84" i="15" s="1"/>
  <c r="G83" i="15"/>
  <c r="H83" i="15" s="1"/>
  <c r="G82" i="15"/>
  <c r="H82" i="15" s="1"/>
  <c r="G81" i="15"/>
  <c r="H81" i="15" s="1"/>
  <c r="G102" i="15"/>
  <c r="H102" i="15" s="1"/>
  <c r="G117" i="15"/>
  <c r="H117" i="15" s="1"/>
  <c r="G79" i="15"/>
  <c r="H79" i="15" s="1"/>
  <c r="G77" i="15"/>
  <c r="H77" i="15" s="1"/>
  <c r="G76" i="15"/>
  <c r="H76" i="15" s="1"/>
  <c r="F75" i="15"/>
  <c r="G75" i="15"/>
  <c r="G74" i="15"/>
  <c r="H74" i="15" s="1"/>
  <c r="G171" i="15"/>
  <c r="H171" i="15" s="1"/>
  <c r="G66" i="15"/>
  <c r="H66" i="15" s="1"/>
  <c r="G73" i="15"/>
  <c r="H73" i="15" s="1"/>
  <c r="E72" i="15"/>
  <c r="G72" i="15" s="1"/>
  <c r="G71" i="15"/>
  <c r="H71" i="15" s="1"/>
  <c r="G70" i="15"/>
  <c r="H70" i="15" s="1"/>
  <c r="G69" i="15"/>
  <c r="H69" i="15" s="1"/>
  <c r="G65" i="15"/>
  <c r="H65" i="15" s="1"/>
  <c r="G64" i="15"/>
  <c r="H64" i="15" s="1"/>
  <c r="E68" i="15"/>
  <c r="G63" i="15"/>
  <c r="H63" i="15" s="1"/>
  <c r="J62" i="15"/>
  <c r="I61" i="15"/>
  <c r="G59" i="15"/>
  <c r="H59" i="15" s="1"/>
  <c r="E170" i="15"/>
  <c r="G128" i="15"/>
  <c r="H128" i="15" s="1"/>
  <c r="G58" i="15"/>
  <c r="H58" i="15" s="1"/>
  <c r="G54" i="15"/>
  <c r="H54" i="15" s="1"/>
  <c r="G41" i="15"/>
  <c r="H41" i="15" s="1"/>
  <c r="G52" i="15"/>
  <c r="H52" i="15" s="1"/>
  <c r="G51" i="15"/>
  <c r="H51" i="15" s="1"/>
  <c r="G50" i="15"/>
  <c r="H50" i="15" s="1"/>
  <c r="G49" i="15"/>
  <c r="H49" i="15" s="1"/>
  <c r="F48" i="15"/>
  <c r="I47" i="15"/>
  <c r="F47" i="15"/>
  <c r="G46" i="15"/>
  <c r="H46" i="15" s="1"/>
  <c r="G125" i="15"/>
  <c r="H125" i="15" s="1"/>
  <c r="G124" i="15"/>
  <c r="H124" i="15" s="1"/>
  <c r="G123" i="15"/>
  <c r="H123" i="15" s="1"/>
  <c r="G122" i="15"/>
  <c r="G18" i="15"/>
  <c r="G17" i="15"/>
  <c r="G44" i="15"/>
  <c r="G39" i="15"/>
  <c r="G42" i="15"/>
  <c r="H42" i="15" s="1"/>
  <c r="G19" i="15"/>
  <c r="G34" i="15"/>
  <c r="G31" i="15"/>
  <c r="G30" i="15"/>
  <c r="G13" i="15"/>
  <c r="H13" i="15" s="1"/>
  <c r="G11" i="15"/>
  <c r="G10" i="15"/>
  <c r="H10" i="15" s="1"/>
  <c r="G8" i="15"/>
  <c r="G7" i="15"/>
  <c r="G5" i="15"/>
  <c r="I5" i="15" s="1"/>
  <c r="M34" i="13"/>
  <c r="M31" i="13"/>
  <c r="N101" i="13"/>
  <c r="L30" i="13"/>
  <c r="M30" i="13"/>
  <c r="M13" i="13"/>
  <c r="L12" i="13"/>
  <c r="L13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31" i="13"/>
  <c r="L32" i="13"/>
  <c r="L34" i="13"/>
  <c r="L36" i="13"/>
  <c r="L37" i="13"/>
  <c r="L38" i="13"/>
  <c r="L39" i="13"/>
  <c r="L40" i="13"/>
  <c r="L41" i="13"/>
  <c r="L42" i="13"/>
  <c r="L43" i="13"/>
  <c r="L44" i="13"/>
  <c r="L45" i="13"/>
  <c r="L46" i="13"/>
  <c r="L47" i="13"/>
  <c r="L48" i="13"/>
  <c r="L49" i="13"/>
  <c r="L50" i="13"/>
  <c r="L51" i="13"/>
  <c r="L52" i="13"/>
  <c r="L54" i="13"/>
  <c r="L56" i="13"/>
  <c r="L57" i="13"/>
  <c r="L58" i="13"/>
  <c r="L59" i="13"/>
  <c r="L60" i="13"/>
  <c r="L61" i="13"/>
  <c r="L62" i="13"/>
  <c r="L63" i="13"/>
  <c r="L64" i="13"/>
  <c r="L65" i="13"/>
  <c r="L66" i="13"/>
  <c r="L67" i="13"/>
  <c r="L68" i="13"/>
  <c r="L69" i="13"/>
  <c r="L70" i="13"/>
  <c r="L71" i="13"/>
  <c r="L72" i="13"/>
  <c r="L73" i="13"/>
  <c r="L74" i="13"/>
  <c r="L75" i="13"/>
  <c r="L76" i="13"/>
  <c r="L77" i="13"/>
  <c r="L78" i="13"/>
  <c r="L79" i="13"/>
  <c r="L80" i="13"/>
  <c r="L81" i="13"/>
  <c r="L82" i="13"/>
  <c r="L83" i="13"/>
  <c r="L84" i="13"/>
  <c r="L85" i="13"/>
  <c r="L86" i="13"/>
  <c r="L87" i="13"/>
  <c r="L88" i="13"/>
  <c r="L89" i="13"/>
  <c r="L90" i="13"/>
  <c r="L91" i="13"/>
  <c r="L92" i="13"/>
  <c r="L93" i="13"/>
  <c r="L94" i="13"/>
  <c r="L95" i="13"/>
  <c r="L96" i="13"/>
  <c r="L97" i="13"/>
  <c r="L98" i="13"/>
  <c r="L99" i="13"/>
  <c r="L100" i="13"/>
  <c r="L102" i="13"/>
  <c r="L103" i="13"/>
  <c r="L104" i="13"/>
  <c r="L105" i="13"/>
  <c r="L106" i="13"/>
  <c r="L107" i="13"/>
  <c r="L108" i="13"/>
  <c r="L109" i="13"/>
  <c r="L110" i="13"/>
  <c r="L111" i="13"/>
  <c r="L112" i="13"/>
  <c r="L113" i="13"/>
  <c r="L114" i="13"/>
  <c r="L115" i="13"/>
  <c r="L116" i="13"/>
  <c r="L117" i="13"/>
  <c r="L118" i="13"/>
  <c r="L119" i="13"/>
  <c r="L120" i="13"/>
  <c r="L121" i="13"/>
  <c r="L122" i="13"/>
  <c r="L123" i="13"/>
  <c r="L124" i="13"/>
  <c r="L125" i="13"/>
  <c r="L126" i="13"/>
  <c r="L127" i="13"/>
  <c r="L128" i="13"/>
  <c r="L129" i="13"/>
  <c r="L130" i="13"/>
  <c r="L131" i="13"/>
  <c r="L132" i="13"/>
  <c r="L133" i="13"/>
  <c r="L134" i="13"/>
  <c r="L136" i="13"/>
  <c r="L138" i="13"/>
  <c r="L139" i="13"/>
  <c r="L141" i="13"/>
  <c r="L143" i="13"/>
  <c r="L146" i="13"/>
  <c r="L148" i="13"/>
  <c r="L149" i="13"/>
  <c r="L151" i="13"/>
  <c r="L152" i="13"/>
  <c r="L153" i="13"/>
  <c r="L155" i="13"/>
  <c r="L157" i="13"/>
  <c r="L160" i="13"/>
  <c r="L161" i="13"/>
  <c r="L164" i="13"/>
  <c r="L165" i="13"/>
  <c r="L166" i="13"/>
  <c r="L169" i="13"/>
  <c r="L170" i="13"/>
  <c r="L171" i="13"/>
  <c r="L173" i="13"/>
  <c r="L175" i="13"/>
  <c r="L176" i="13"/>
  <c r="L177" i="13"/>
  <c r="L178" i="13"/>
  <c r="L179" i="13"/>
  <c r="L180" i="13"/>
  <c r="L181" i="13"/>
  <c r="L182" i="13"/>
  <c r="L183" i="13"/>
  <c r="L184" i="13"/>
  <c r="L185" i="13"/>
  <c r="L186" i="13"/>
  <c r="L187" i="13"/>
  <c r="L189" i="13"/>
  <c r="L191" i="13"/>
  <c r="L192" i="13"/>
  <c r="L194" i="13"/>
  <c r="L195" i="13"/>
  <c r="L196" i="13"/>
  <c r="L197" i="13"/>
  <c r="L198" i="13"/>
  <c r="L199" i="13"/>
  <c r="L200" i="13"/>
  <c r="L201" i="13"/>
  <c r="L202" i="13"/>
  <c r="L203" i="13"/>
  <c r="L204" i="13"/>
  <c r="L205" i="13"/>
  <c r="L206" i="13"/>
  <c r="L207" i="13"/>
  <c r="L209" i="13"/>
  <c r="L210" i="13"/>
  <c r="L211" i="13"/>
  <c r="L212" i="13"/>
  <c r="L213" i="13"/>
  <c r="L214" i="13"/>
  <c r="L215" i="13"/>
  <c r="L217" i="13"/>
  <c r="L219" i="13"/>
  <c r="L220" i="13"/>
  <c r="L221" i="13"/>
  <c r="L222" i="13"/>
  <c r="L224" i="13"/>
  <c r="L225" i="13"/>
  <c r="L226" i="13"/>
  <c r="L227" i="13"/>
  <c r="L228" i="13"/>
  <c r="L229" i="13"/>
  <c r="L230" i="13"/>
  <c r="L232" i="13"/>
  <c r="L233" i="13"/>
  <c r="L234" i="13"/>
  <c r="L235" i="13"/>
  <c r="L238" i="13"/>
  <c r="L239" i="13"/>
  <c r="L240" i="13"/>
  <c r="L241" i="13"/>
  <c r="L242" i="13"/>
  <c r="L250" i="13"/>
  <c r="L251" i="13"/>
  <c r="L252" i="13"/>
  <c r="L253" i="13"/>
  <c r="L254" i="13"/>
  <c r="L257" i="13"/>
  <c r="L258" i="13"/>
  <c r="L259" i="13"/>
  <c r="L266" i="13"/>
  <c r="L273" i="13"/>
  <c r="L274" i="13"/>
  <c r="L275" i="13"/>
  <c r="L276" i="13"/>
  <c r="L279" i="13"/>
  <c r="L280" i="13"/>
  <c r="L281" i="13"/>
  <c r="L282" i="13"/>
  <c r="L283" i="13"/>
  <c r="L11" i="13"/>
  <c r="L10" i="13"/>
  <c r="L8" i="13"/>
  <c r="L7" i="13"/>
  <c r="M5" i="13"/>
  <c r="L5" i="13"/>
  <c r="F409" i="14"/>
  <c r="F408" i="14"/>
  <c r="F407" i="14"/>
  <c r="F406" i="14"/>
  <c r="F405" i="14"/>
  <c r="F404" i="14"/>
  <c r="F403" i="14"/>
  <c r="F402" i="14"/>
  <c r="F401" i="14"/>
  <c r="F400" i="14"/>
  <c r="F399" i="14"/>
  <c r="F398" i="14"/>
  <c r="F397" i="14"/>
  <c r="F396" i="14"/>
  <c r="F395" i="14"/>
  <c r="F394" i="14"/>
  <c r="F393" i="14"/>
  <c r="F392" i="14"/>
  <c r="F391" i="14"/>
  <c r="F390" i="14"/>
  <c r="F389" i="14"/>
  <c r="F388" i="14"/>
  <c r="F387" i="14"/>
  <c r="F386" i="14"/>
  <c r="F385" i="14"/>
  <c r="F384" i="14"/>
  <c r="F383" i="14"/>
  <c r="F382" i="14"/>
  <c r="F381" i="14"/>
  <c r="F380" i="14"/>
  <c r="F379" i="14"/>
  <c r="F378" i="14"/>
  <c r="F377" i="14"/>
  <c r="F376" i="14"/>
  <c r="F375" i="14"/>
  <c r="F374" i="14"/>
  <c r="F373" i="14"/>
  <c r="F372" i="14"/>
  <c r="F371" i="14"/>
  <c r="F370" i="14"/>
  <c r="F369" i="14"/>
  <c r="F368" i="14"/>
  <c r="F367" i="14"/>
  <c r="F366" i="14"/>
  <c r="F365" i="14"/>
  <c r="F364" i="14"/>
  <c r="F363" i="14"/>
  <c r="F362" i="14"/>
  <c r="F361" i="14"/>
  <c r="F360" i="14"/>
  <c r="F359" i="14"/>
  <c r="F358" i="14"/>
  <c r="F357" i="14"/>
  <c r="F356" i="14"/>
  <c r="F355" i="14"/>
  <c r="F354" i="14"/>
  <c r="F353" i="14"/>
  <c r="F352" i="14"/>
  <c r="F351" i="14"/>
  <c r="F350" i="14"/>
  <c r="F349" i="14"/>
  <c r="F348" i="14"/>
  <c r="F347" i="14"/>
  <c r="F346" i="14"/>
  <c r="F345" i="14"/>
  <c r="F344" i="14"/>
  <c r="F343" i="14"/>
  <c r="F342" i="14"/>
  <c r="F341" i="14"/>
  <c r="F340" i="14"/>
  <c r="F339" i="14"/>
  <c r="F338" i="14"/>
  <c r="F337" i="14"/>
  <c r="F336" i="14"/>
  <c r="F335" i="14"/>
  <c r="F334" i="14"/>
  <c r="F333" i="14"/>
  <c r="F332" i="14"/>
  <c r="F331" i="14"/>
  <c r="F330" i="14"/>
  <c r="F329" i="14"/>
  <c r="F328" i="14"/>
  <c r="F327" i="14"/>
  <c r="F326" i="14"/>
  <c r="F325" i="14"/>
  <c r="F324" i="14"/>
  <c r="F323" i="14"/>
  <c r="F322" i="14"/>
  <c r="F321" i="14"/>
  <c r="F320" i="14"/>
  <c r="F319" i="14"/>
  <c r="F318" i="14"/>
  <c r="F317" i="14"/>
  <c r="F316" i="14"/>
  <c r="F315" i="14"/>
  <c r="F314" i="14"/>
  <c r="F313" i="14"/>
  <c r="F312" i="14"/>
  <c r="F311" i="14"/>
  <c r="F310" i="14"/>
  <c r="F309" i="14"/>
  <c r="F308" i="14"/>
  <c r="F307" i="14"/>
  <c r="F306" i="14"/>
  <c r="F305" i="14"/>
  <c r="F304" i="14"/>
  <c r="F303" i="14"/>
  <c r="F302" i="14"/>
  <c r="F301" i="14"/>
  <c r="F300" i="14"/>
  <c r="F299" i="14"/>
  <c r="F298" i="14"/>
  <c r="F297" i="14"/>
  <c r="F296" i="14"/>
  <c r="F295" i="14"/>
  <c r="F294" i="14"/>
  <c r="F293" i="14"/>
  <c r="F292" i="14"/>
  <c r="F291" i="14"/>
  <c r="F290" i="14"/>
  <c r="F289" i="14"/>
  <c r="F288" i="14"/>
  <c r="F287" i="14"/>
  <c r="F286" i="14"/>
  <c r="F285" i="14"/>
  <c r="F284" i="14"/>
  <c r="F283" i="14"/>
  <c r="F282" i="14"/>
  <c r="F281" i="14"/>
  <c r="F280" i="14"/>
  <c r="F279" i="14"/>
  <c r="F278" i="14"/>
  <c r="F277" i="14"/>
  <c r="F276" i="14"/>
  <c r="F275" i="14"/>
  <c r="F274" i="14"/>
  <c r="F273" i="14"/>
  <c r="F272" i="14"/>
  <c r="F271" i="14"/>
  <c r="F270" i="14"/>
  <c r="F269" i="14"/>
  <c r="F268" i="14"/>
  <c r="F267" i="14"/>
  <c r="F266" i="14"/>
  <c r="F265" i="14"/>
  <c r="F264" i="14"/>
  <c r="F263" i="14"/>
  <c r="F262" i="14"/>
  <c r="F261" i="14"/>
  <c r="F260" i="14"/>
  <c r="F259" i="14"/>
  <c r="F258" i="14"/>
  <c r="F257" i="14"/>
  <c r="F256" i="14"/>
  <c r="F255" i="14"/>
  <c r="F254" i="14"/>
  <c r="F253" i="14"/>
  <c r="F252" i="14"/>
  <c r="F251" i="14"/>
  <c r="F250" i="14"/>
  <c r="F249" i="14"/>
  <c r="F248" i="14"/>
  <c r="F247" i="14"/>
  <c r="F246" i="14"/>
  <c r="F245" i="14"/>
  <c r="F244" i="14"/>
  <c r="F243" i="14"/>
  <c r="F242" i="14"/>
  <c r="F241" i="14"/>
  <c r="F240" i="14"/>
  <c r="F239" i="14"/>
  <c r="F238" i="14"/>
  <c r="F237" i="14"/>
  <c r="F236" i="14"/>
  <c r="F235" i="14"/>
  <c r="F234" i="14"/>
  <c r="F233" i="14"/>
  <c r="F232" i="14"/>
  <c r="F231" i="14"/>
  <c r="F230" i="14"/>
  <c r="F229" i="14"/>
  <c r="F228" i="14"/>
  <c r="F227" i="14"/>
  <c r="F226" i="14"/>
  <c r="F225" i="14"/>
  <c r="F224" i="14"/>
  <c r="F223" i="14"/>
  <c r="F222" i="14"/>
  <c r="F221" i="14"/>
  <c r="F220" i="14"/>
  <c r="F219" i="14"/>
  <c r="F218" i="14"/>
  <c r="F217" i="14"/>
  <c r="F216" i="14"/>
  <c r="F215" i="14"/>
  <c r="F214" i="14"/>
  <c r="F213" i="14"/>
  <c r="F212" i="14"/>
  <c r="F211" i="14"/>
  <c r="F210" i="14"/>
  <c r="F209" i="14"/>
  <c r="F208" i="14"/>
  <c r="F207" i="14"/>
  <c r="F206" i="14"/>
  <c r="F205" i="14"/>
  <c r="F204" i="14"/>
  <c r="F203" i="14"/>
  <c r="F202" i="14"/>
  <c r="F201" i="14"/>
  <c r="F200" i="14"/>
  <c r="F199" i="14"/>
  <c r="F198" i="14"/>
  <c r="F197" i="14"/>
  <c r="F196" i="14"/>
  <c r="F195" i="14"/>
  <c r="F194" i="14"/>
  <c r="F193" i="14"/>
  <c r="F192" i="14"/>
  <c r="F191" i="14"/>
  <c r="F190" i="14"/>
  <c r="F189" i="14"/>
  <c r="F188" i="14"/>
  <c r="F187" i="14"/>
  <c r="F186" i="14"/>
  <c r="F185" i="14"/>
  <c r="F184" i="14"/>
  <c r="F183" i="14"/>
  <c r="F182" i="14"/>
  <c r="F181" i="14"/>
  <c r="F180" i="14"/>
  <c r="F179" i="14"/>
  <c r="F178" i="14"/>
  <c r="F177" i="14"/>
  <c r="F176" i="14"/>
  <c r="F175" i="14"/>
  <c r="F174" i="14"/>
  <c r="F173" i="14"/>
  <c r="F172" i="14"/>
  <c r="F171" i="14"/>
  <c r="F170" i="14"/>
  <c r="F169" i="14"/>
  <c r="F168" i="14"/>
  <c r="F167" i="14"/>
  <c r="F166" i="14"/>
  <c r="F165" i="14"/>
  <c r="F164" i="14"/>
  <c r="F163" i="14"/>
  <c r="F162" i="14"/>
  <c r="F161" i="14"/>
  <c r="F160" i="14"/>
  <c r="F159" i="14"/>
  <c r="F158" i="14"/>
  <c r="F157" i="14"/>
  <c r="F156" i="14"/>
  <c r="F155" i="14"/>
  <c r="F154" i="14"/>
  <c r="F153" i="14"/>
  <c r="F152" i="14"/>
  <c r="F151" i="14"/>
  <c r="F150" i="14"/>
  <c r="F149" i="14"/>
  <c r="F148" i="14"/>
  <c r="F147" i="14"/>
  <c r="F146" i="14"/>
  <c r="F145" i="14"/>
  <c r="F144" i="14"/>
  <c r="F143" i="14"/>
  <c r="F142" i="14"/>
  <c r="F141" i="14"/>
  <c r="F140" i="14"/>
  <c r="F139" i="14"/>
  <c r="F138" i="14"/>
  <c r="F137" i="14"/>
  <c r="F136" i="14"/>
  <c r="F135" i="14"/>
  <c r="F134" i="14"/>
  <c r="F133" i="14"/>
  <c r="F132" i="14"/>
  <c r="F131" i="14"/>
  <c r="F130" i="14"/>
  <c r="F129" i="14"/>
  <c r="F128" i="14"/>
  <c r="F127" i="14"/>
  <c r="F126" i="14"/>
  <c r="F125" i="14"/>
  <c r="F124" i="14"/>
  <c r="F123" i="14"/>
  <c r="F122" i="14"/>
  <c r="F121" i="14"/>
  <c r="F120" i="14"/>
  <c r="F119" i="14"/>
  <c r="F118" i="14"/>
  <c r="F117" i="14"/>
  <c r="F116" i="14"/>
  <c r="F115" i="14"/>
  <c r="F114" i="14"/>
  <c r="F113" i="14"/>
  <c r="F112" i="14"/>
  <c r="F111" i="14"/>
  <c r="F110" i="14"/>
  <c r="F109" i="14"/>
  <c r="F108" i="14"/>
  <c r="F107" i="14"/>
  <c r="F106" i="14"/>
  <c r="F105" i="14"/>
  <c r="F104" i="14"/>
  <c r="F103" i="14"/>
  <c r="F102" i="14"/>
  <c r="F101" i="14"/>
  <c r="F100" i="14"/>
  <c r="F99" i="14"/>
  <c r="F98" i="14"/>
  <c r="F97" i="14"/>
  <c r="F96" i="14"/>
  <c r="F95" i="14"/>
  <c r="F94" i="14"/>
  <c r="F93" i="14"/>
  <c r="F92" i="14"/>
  <c r="F91" i="14"/>
  <c r="F90" i="14"/>
  <c r="F89" i="14"/>
  <c r="F88" i="14"/>
  <c r="F87" i="14"/>
  <c r="F86" i="14"/>
  <c r="F85" i="14"/>
  <c r="F84" i="14"/>
  <c r="F83" i="14"/>
  <c r="F82" i="14"/>
  <c r="F81" i="14"/>
  <c r="F80" i="14"/>
  <c r="F79" i="14"/>
  <c r="F78" i="14"/>
  <c r="F77" i="14"/>
  <c r="F76" i="14"/>
  <c r="F75" i="14"/>
  <c r="F74" i="14"/>
  <c r="F73" i="14"/>
  <c r="F72" i="14"/>
  <c r="F71" i="14"/>
  <c r="F70" i="14"/>
  <c r="F69" i="14"/>
  <c r="F68" i="14"/>
  <c r="F67" i="14"/>
  <c r="F66" i="14"/>
  <c r="F65" i="14"/>
  <c r="F64" i="14"/>
  <c r="F63" i="14"/>
  <c r="F62" i="14"/>
  <c r="F61" i="14"/>
  <c r="F60" i="14"/>
  <c r="F59" i="14"/>
  <c r="F58" i="14"/>
  <c r="F57" i="14"/>
  <c r="F56" i="14"/>
  <c r="F55" i="14"/>
  <c r="F54" i="14"/>
  <c r="F53" i="14"/>
  <c r="F52" i="14"/>
  <c r="F51" i="14"/>
  <c r="F50" i="14"/>
  <c r="F49" i="14"/>
  <c r="F48" i="14"/>
  <c r="F47" i="14"/>
  <c r="F46" i="14"/>
  <c r="F45" i="14"/>
  <c r="F44" i="14"/>
  <c r="F43" i="14"/>
  <c r="F42" i="14"/>
  <c r="F41" i="14"/>
  <c r="F40" i="14"/>
  <c r="F39" i="14"/>
  <c r="F38" i="14"/>
  <c r="F37" i="14"/>
  <c r="F36" i="14"/>
  <c r="F35" i="14"/>
  <c r="F34" i="14"/>
  <c r="F33" i="14"/>
  <c r="F32" i="14"/>
  <c r="F31" i="14"/>
  <c r="F30" i="14"/>
  <c r="F29" i="14"/>
  <c r="F28" i="14"/>
  <c r="F27" i="14"/>
  <c r="F26" i="14"/>
  <c r="F25" i="14"/>
  <c r="F24" i="14"/>
  <c r="F23" i="14"/>
  <c r="F22" i="14"/>
  <c r="F21" i="14"/>
  <c r="F20" i="14"/>
  <c r="F19" i="14"/>
  <c r="F18" i="14"/>
  <c r="F17" i="14"/>
  <c r="F16" i="14"/>
  <c r="F15" i="14"/>
  <c r="F14" i="14"/>
  <c r="F13" i="14"/>
  <c r="F12" i="14"/>
  <c r="F11" i="14"/>
  <c r="F10" i="14"/>
  <c r="F9" i="14"/>
  <c r="F8" i="14"/>
  <c r="F7" i="14"/>
  <c r="F6" i="14"/>
  <c r="F5" i="14"/>
  <c r="F410" i="14" s="1"/>
  <c r="G68" i="15" l="1"/>
  <c r="H68" i="15" s="1"/>
  <c r="E285" i="15"/>
  <c r="S5" i="15"/>
  <c r="R202" i="15"/>
  <c r="R87" i="15"/>
  <c r="H32" i="15"/>
  <c r="R32" i="15"/>
  <c r="F170" i="15"/>
  <c r="R229" i="15"/>
  <c r="R62" i="15"/>
  <c r="H87" i="15"/>
  <c r="H221" i="15"/>
  <c r="F281" i="15"/>
  <c r="H281" i="15" s="1"/>
  <c r="F139" i="15"/>
  <c r="H139" i="15" s="1"/>
  <c r="F72" i="15"/>
  <c r="J285" i="15"/>
  <c r="J286" i="18"/>
  <c r="H6" i="18"/>
  <c r="H286" i="18"/>
  <c r="J287" i="18" s="1"/>
  <c r="H288" i="17"/>
  <c r="K289" i="17" s="1"/>
  <c r="H286" i="16"/>
  <c r="J287" i="16" s="1"/>
  <c r="H178" i="15"/>
  <c r="F140" i="15"/>
  <c r="G110" i="15"/>
  <c r="G285" i="15" s="1"/>
  <c r="H106" i="15"/>
  <c r="H11" i="15"/>
  <c r="H122" i="15"/>
  <c r="H44" i="15"/>
  <c r="H31" i="15"/>
  <c r="H19" i="15"/>
  <c r="H8" i="15"/>
  <c r="H39" i="15"/>
  <c r="H18" i="15"/>
  <c r="H34" i="15"/>
  <c r="H17" i="15"/>
  <c r="H5" i="15"/>
  <c r="I285" i="15"/>
  <c r="H30" i="15"/>
  <c r="L193" i="12"/>
  <c r="K193" i="12"/>
  <c r="K193" i="13"/>
  <c r="J193" i="13"/>
  <c r="L285" i="13"/>
  <c r="K187" i="12"/>
  <c r="J285" i="8"/>
  <c r="I285" i="8"/>
  <c r="H285" i="8"/>
  <c r="G285" i="8"/>
  <c r="F285" i="8"/>
  <c r="E285" i="8"/>
  <c r="D285" i="8"/>
  <c r="C285" i="8"/>
  <c r="R407" i="15" l="1"/>
  <c r="S409" i="15" s="1"/>
  <c r="F285" i="15"/>
  <c r="H285" i="15"/>
  <c r="L193" i="13"/>
  <c r="K285" i="13"/>
  <c r="M285" i="13" s="1"/>
  <c r="R409" i="15" l="1"/>
</calcChain>
</file>

<file path=xl/sharedStrings.xml><?xml version="1.0" encoding="utf-8"?>
<sst xmlns="http://schemas.openxmlformats.org/spreadsheetml/2006/main" count="10194" uniqueCount="960">
  <si>
    <t>Tồn Đầu Kỳ</t>
  </si>
  <si>
    <t>Nhập</t>
  </si>
  <si>
    <t>Xuất</t>
  </si>
  <si>
    <t>Tồn cuối kỳ</t>
  </si>
  <si>
    <t>Tên Hàng</t>
  </si>
  <si>
    <t>Tháng</t>
  </si>
  <si>
    <t xml:space="preserve">Số Lượng </t>
  </si>
  <si>
    <t>T,Tiền</t>
  </si>
  <si>
    <t>Số Lượng</t>
  </si>
  <si>
    <t>T.Tiền</t>
  </si>
  <si>
    <t>T. Tiền</t>
  </si>
  <si>
    <t xml:space="preserve"> Cá viên Funny 500g</t>
  </si>
  <si>
    <t>AL Anlene Concentrate Choco 4x125ml</t>
  </si>
  <si>
    <t>AL Anlene Concentrate Vanilla 4x125ml</t>
  </si>
  <si>
    <t>AL Anlene Gold Vanilla Movepro 1Kg</t>
  </si>
  <si>
    <t>AL Anlene Gold Vanilla Movepro 400g</t>
  </si>
  <si>
    <t>AL Anlene Gold Vanilla Movepro 440g</t>
  </si>
  <si>
    <t>AL Anlene Gold Vanilla Movepro 800g</t>
  </si>
  <si>
    <t>AL Anlene Movepro UHT 180ml - Có đường</t>
  </si>
  <si>
    <t>AL Anlene Movepro UHT 180ml - Không béo</t>
  </si>
  <si>
    <t>AL Anlene Vanilla Movepro 440g</t>
  </si>
  <si>
    <t>AL Anlene Vanilla Movepro 800g</t>
  </si>
  <si>
    <t>AL Anlene Vanilla Movepro Sachet 20gx3</t>
  </si>
  <si>
    <t>AL Anmum Concentrate Choco 4x125ml</t>
  </si>
  <si>
    <t>AL Anmum Concentrate Vanilla 4x125ml</t>
  </si>
  <si>
    <t>Bánh bao chay 300gr</t>
  </si>
  <si>
    <t>Bánh bao nhân thịt 400gr</t>
  </si>
  <si>
    <t>Bánh bao nhân xá xíu 280g</t>
  </si>
  <si>
    <t>Bánh kem xốp phô mai – Richeese Nabati Cheese Cream Wafer 6g</t>
  </si>
  <si>
    <t>Bánh Kem Xốp Phủ Sô Cô La - Nabati Richoco Time Break 48g</t>
  </si>
  <si>
    <t>Bánh kem xốp sữa chua hương phúc bồn tử- Nabati Richberry 110g</t>
  </si>
  <si>
    <t>Bánh ống lớn nhân phô mai - Nabati Cheese Wafer Stick- Big rolls cheese 14g</t>
  </si>
  <si>
    <t>Bánh Quy Nhân Kem Hương Vani - Nabati Cookies &amp; Cream - Sandwich Cookies with Vanilla Flavour Cream 16g</t>
  </si>
  <si>
    <t>Bánh quy nhân kem hương Vani - Nabati Cookies &amp; Cream 112g</t>
  </si>
  <si>
    <t>Bánh Quy Nhân Phô Mai - Nabati Richeese Cookies 112g</t>
  </si>
  <si>
    <t>Bánh sôcôla (dạng xốp) – Richoco Nabati Chocolate Cream Wafer 6g</t>
  </si>
  <si>
    <t>Bánh xếp kiểu nhật mini 360g</t>
  </si>
  <si>
    <t>BEL Phô mai CBC 16M</t>
  </si>
  <si>
    <t>BEL Phô mai CBC 8M</t>
  </si>
  <si>
    <t>BEL Pho mai Cube vị sữa 78g</t>
  </si>
  <si>
    <t>BEL Phô mai vuông LeCube Tổ yến 78g</t>
  </si>
  <si>
    <t>BEL Phomai Cube Country (truyền thống ) 78g</t>
  </si>
  <si>
    <t>BEL PM Lát CBC Burger 200gx32</t>
  </si>
  <si>
    <t>BEL PM Vuông  LeCube 9C/ 47G (12/LỐ )</t>
  </si>
  <si>
    <t>BEL PM vuông Belcube vị ngọt Dâu 78g</t>
  </si>
  <si>
    <t>BEL PM vuông Belcube vị ngọt Socola 78g</t>
  </si>
  <si>
    <t>BEL PM vuông Belcube vị ngọt Vani 78g</t>
  </si>
  <si>
    <t>Bột canh nấm bào ngư 180g</t>
  </si>
  <si>
    <t>Cá Saba xốt Siracha 185g</t>
  </si>
  <si>
    <t>CLM  Gia vị kho cá 50g</t>
  </si>
  <si>
    <t>CLM Bột canh 180g</t>
  </si>
  <si>
    <t>CLM Bột canh nấm hương 180g</t>
  </si>
  <si>
    <t>CLM Cá Ngừ ngâm dầu 185g</t>
  </si>
  <si>
    <t>CLM cá xốt cà KOS 155g</t>
  </si>
  <si>
    <t>CLM Dầu dấm trộn salad pet 270g</t>
  </si>
  <si>
    <t>CLM Dầu hào 2,25kg</t>
  </si>
  <si>
    <t>CLM Dầu hào chay pet 170g</t>
  </si>
  <si>
    <t>CLM Dầu hào chay pet 350g</t>
  </si>
  <si>
    <t>CLM Dầu hào pet 170g</t>
  </si>
  <si>
    <t>CLM Dầu hào pet 350gr</t>
  </si>
  <si>
    <t>CLM Dầu hào pet 820g</t>
  </si>
  <si>
    <t>CLM Gia vị kho cá gói 50g</t>
  </si>
  <si>
    <t>CLM Gia vị kho thịt 50g</t>
  </si>
  <si>
    <t>CLM Gia vị kho thịt gói 50g</t>
  </si>
  <si>
    <t>CLM Hộp quà Gia vị Tết 2024</t>
  </si>
  <si>
    <t>CLM Hộp quà Như Ý</t>
  </si>
  <si>
    <t>CLM Lẩu chua hải sản TT200g</t>
  </si>
  <si>
    <t>CLM Nước mắm cao đạm 150ml</t>
  </si>
  <si>
    <t>CLM Nước mắm cao đạm 500ml</t>
  </si>
  <si>
    <t>CLM Nước mắm cao đạm 500ml (Xuân)</t>
  </si>
  <si>
    <t>CLM Nước mắm cao đạm 750ml (Xuân)</t>
  </si>
  <si>
    <t>CLM Nước mắm chay tt 245ml</t>
  </si>
  <si>
    <t>CLM Nước Mắm Hương Việt 500ml hàng onpack chén</t>
  </si>
  <si>
    <t>CLM Nước Mắm Hương Việt pet 750ml Hàng onpack chén</t>
  </si>
  <si>
    <t>CLM Nước tương Hảo Vị 500ml</t>
  </si>
  <si>
    <t>CLM Nước tương Hảo Vị gói 7ml</t>
  </si>
  <si>
    <t>CLM Nước tương Hương Việt 4.9 lít(3 bình/T)</t>
  </si>
  <si>
    <t>CLM Nước tương đậu nành pet 150ml</t>
  </si>
  <si>
    <t>CLM Nước tương đậu nành pet 300ml</t>
  </si>
  <si>
    <t>CLM Nước tương đậu nành pet 700ml</t>
  </si>
  <si>
    <t>CLM Ớt khô sa tế hũ TT 100g</t>
  </si>
  <si>
    <t>CLM Ớt Sate hũ TT 150g</t>
  </si>
  <si>
    <t>CLM Sa tế chay pet 90gr</t>
  </si>
  <si>
    <t>CLM Sa tế nướng ngũ vị pet 100g</t>
  </si>
  <si>
    <t>CLM Sa tế tôm 450g</t>
  </si>
  <si>
    <t>CLM Sa tế tôm hũ nhựa 100g</t>
  </si>
  <si>
    <t>CLM Sa tế tôm pet 90g</t>
  </si>
  <si>
    <t>CLM Sauce ướp thịt nướng 200g</t>
  </si>
  <si>
    <t>CLM Thịt heo bằm 150g</t>
  </si>
  <si>
    <t>CLM Tương cà 830g</t>
  </si>
  <si>
    <t>CLM Tương cà chai pet 2.1Kg</t>
  </si>
  <si>
    <t>CLM Tương cà chai pet 270g</t>
  </si>
  <si>
    <t>CLM Tương cà gói 10g</t>
  </si>
  <si>
    <t>CLM Tương chua ngọt pet 2.1 kg</t>
  </si>
  <si>
    <t>CLM Tương chua ngọt pet 270g</t>
  </si>
  <si>
    <t>CLM Tương hột 250g</t>
  </si>
  <si>
    <t>CLM Tương ớt 5kg (3b/T)</t>
  </si>
  <si>
    <t>CLM Tương ớt gói 10g</t>
  </si>
  <si>
    <t>CLM Tương ớt nắp xuôi 250g</t>
  </si>
  <si>
    <t>CLM Tương ớt pet 130g</t>
  </si>
  <si>
    <t>CLM Tương ớt pet 2.1Kg</t>
  </si>
  <si>
    <t>CLM Tương ớt pet 270g</t>
  </si>
  <si>
    <t>CLM Tương ớt pet 830g</t>
  </si>
  <si>
    <t>CLM Tương ớt siêu cay 330g</t>
  </si>
  <si>
    <t>CLM Tương ớt tự nhiên 330g</t>
  </si>
  <si>
    <t>CLM Tương xí muội pet 2.1Kg</t>
  </si>
  <si>
    <t>CLM Tương xí muội pet 270g</t>
  </si>
  <si>
    <t>CLM Tương đen 230g</t>
  </si>
  <si>
    <t>CLM Tương đen phở 230g</t>
  </si>
  <si>
    <t>CLM Tương đen phở 520g</t>
  </si>
  <si>
    <t>CLM Xốt  ướp xá xíu TT 200G</t>
  </si>
  <si>
    <t>CLM Xốt bò kho gói 90g</t>
  </si>
  <si>
    <t>CLM Xốt bún bò gói 90g</t>
  </si>
  <si>
    <t>CLM Xốt cá chiên PET 280g</t>
  </si>
  <si>
    <t>CLM Xốt cà chua KetChup TT 330g</t>
  </si>
  <si>
    <t>CLM Xốt gà chiên nước mắm 90g</t>
  </si>
  <si>
    <t>CLM Xốt lẩu kim chi pet 280g</t>
  </si>
  <si>
    <t>CLM Xốt lẩu nấm pet 270g</t>
  </si>
  <si>
    <t>CLM Xốt Lẩu Thái pet 890g</t>
  </si>
  <si>
    <t>CLM Xốt mì Ý bò bằm 140g</t>
  </si>
  <si>
    <t>CLM Xốt mì Ý cà chua 140g</t>
  </si>
  <si>
    <t>CLM Xốt rang me pet 280g</t>
  </si>
  <si>
    <t>CLM Xốt sườn xào chua ngọt 90g</t>
  </si>
  <si>
    <t>CLM Xốt ướp thịt HQ 190g vị truyền thống</t>
  </si>
  <si>
    <t>CLM Xốt ướp thịt HQ vị cay 190g</t>
  </si>
  <si>
    <t>CLM Xốt ướp thịt nướng 600g</t>
  </si>
  <si>
    <t>CLM Xốt ướp thịt nướng gói 70g</t>
  </si>
  <si>
    <t>CLM Xốt ướp xá xíu 70g</t>
  </si>
  <si>
    <t>CLM Xúc xích heo Tini 35g (5 cây/gói)</t>
  </si>
  <si>
    <t>CLM ĐL Bánh xếp tôm thịt 300gr</t>
  </si>
  <si>
    <t>CLM ĐL Chả giò rế thập cẩm 500gr</t>
  </si>
  <si>
    <t>CLM ĐL Chả giò rế tôm cua 500gr</t>
  </si>
  <si>
    <t>CLM ĐL Chả giò tôm thịt 500gr/gói</t>
  </si>
  <si>
    <t>CLM ĐL Chả giò xốp chay 500gr</t>
  </si>
  <si>
    <t>CLM ĐL Há cảo 300gr/gói</t>
  </si>
  <si>
    <t>Lạp xưởng MQL</t>
  </si>
  <si>
    <t>Lẩu Thái 280g</t>
  </si>
  <si>
    <t>Mì Súp Phô Mai Cay Cấp Độ 1 - Nabati Spicy Cheese Ramen Noodles Level 1 67g</t>
  </si>
  <si>
    <t>Mì Trộn Phô Mai Cay Cấp Độ 0 - Nabati Cheese Fried Noodles Level 0 74g</t>
  </si>
  <si>
    <t>NBT Bánh kem xốp sữa chua hương phúc bồn tử 130g</t>
  </si>
  <si>
    <t>NBT Bánh KX Richoco Nabati Chocolate Cream Wafer 110g</t>
  </si>
  <si>
    <t>NBT Bánh KXPM Richeese Nabati Cheese Cream Wafer 110g</t>
  </si>
  <si>
    <t>NBT Bánh KXPM Richeese Nabati Cheese Cream Wafer 110g Tết</t>
  </si>
  <si>
    <t>NBT Bánh KXPM Richeese Nabati Cheese Wafer 120g</t>
  </si>
  <si>
    <t>NBT Bánh KXPM Richeese Nabati Cheese Wafer 15g</t>
  </si>
  <si>
    <t>NBT Bánh KXPM Richeese Nabati Cheese Wafer 16g</t>
  </si>
  <si>
    <t>NBT Bánh KXPM Richeese Nabati Cheese Wafer 17g</t>
  </si>
  <si>
    <t>NBT Bánh KXPM Richeese Nabati Cheese Wafer 50g</t>
  </si>
  <si>
    <t>NBT Bánh KXPM Richeese Nabati Cheese Wafer 7.5g</t>
  </si>
  <si>
    <t>NBT Bánh KXPM Richoco Nabati Chocolate Wafer 17g</t>
  </si>
  <si>
    <t>NBT Bánh Nabati Gaito Cheese Sandwich 32g</t>
  </si>
  <si>
    <t>NBT Bánh Nabati Kem xốp sữa chua hương phúc bồn tử 20g</t>
  </si>
  <si>
    <t>NBT Bánh Nabati Sandwich Green Tea Gream Wafer 40g</t>
  </si>
  <si>
    <t>NBT Bánh NBT Gaito Cat Tongue Sandwich Richoco 260g</t>
  </si>
  <si>
    <t>NBT Bánh Quế Nhân Kem - Nabati Cookies and Cream Long Stick 105</t>
  </si>
  <si>
    <t>NBT Bánh Quế nhân kem- Cookies &amp; Cream Long Stik 130g</t>
  </si>
  <si>
    <t>NBT Bánh Quế Nhân Phô Mai - Nabati Richeese Long Stick 105g</t>
  </si>
  <si>
    <t>NBT Bánh Quế Nhân Sô Cô La - Nabati Richoco Long Stick 105g</t>
  </si>
  <si>
    <t>NBT Bánh quế sô co la- Nabati Richoco bánh quế 130g</t>
  </si>
  <si>
    <t>NBT Bánh quy giòn PM- Cheese Crackers 10g(24PCSX10g)</t>
  </si>
  <si>
    <t>NBT Bánh quy giòn SCL- Chocolate Crackers 10g(24PCSX10g)</t>
  </si>
  <si>
    <t>NBT Bánh quy nhân kem sô co la- Nabati Richoco Cookies 112g.</t>
  </si>
  <si>
    <t>NBT Bánh Richeese Ahh Triple Cheese 15g</t>
  </si>
  <si>
    <t>NBT Bánh snack phủ phô mai - Nabati Richeese Ahh Cheese cream coated snack 9g</t>
  </si>
  <si>
    <t>NBT Bánh snack vị bắp rang- Nabati SiiP Bite- Roasted Corn Flavour Snack 40g</t>
  </si>
  <si>
    <t>NBT Bánh Snack vị phô mai-Nabati Richeese SiiP Bite- Cheese Flavour Snack 40g</t>
  </si>
  <si>
    <t>NBT Bánh Snack vị sô cô la -Nabati Richoco SiiP Bite- Chocolate Flavour Snack 40g</t>
  </si>
  <si>
    <t>NBT Bánh Socola Richoco Nabati Chocolate Wafer 120g</t>
  </si>
  <si>
    <t>NBT Bánh Socola Richoco Nabati Chocolate Wafer 15g</t>
  </si>
  <si>
    <t>NBT Bánh Socola Richoco Nabati Chocolate Wafer 16g</t>
  </si>
  <si>
    <t>NBT Bánh Socola Richoco Nabati Chocolate Wafer 50g</t>
  </si>
  <si>
    <t>NBT Bánh xốp nhân kem- nabati Cookies &amp; Cream Wafer 50g.</t>
  </si>
  <si>
    <t>NBT Bánh xốp phủ Sô Cô La - Nabati Richoco Coated Wafer - Chocolate Coated Wafer 14g</t>
  </si>
  <si>
    <t>NBT Bánh xốp phủ Socola Dừa - Nabati Coconut Chocolate Wafer 14g</t>
  </si>
  <si>
    <t>NBT PM Richeese Nabati Cheese Black Wafer 50g</t>
  </si>
  <si>
    <t>Ngũ cốc 2 trong 1 - Simba Sereal 2 in 1 24gr</t>
  </si>
  <si>
    <t>Ngũ cốc sô cô la - Simba Cereal with Chocolate Flavor (Choco Chips) 30gr</t>
  </si>
  <si>
    <t>Nồi Chưng Điện Cách Thủy</t>
  </si>
  <si>
    <t>Nước mắm Cholimex 30 độ đạm 500ml</t>
  </si>
  <si>
    <t>Nước tương thanh vị 500ml</t>
  </si>
  <si>
    <t>PM CON BÒ CƯỜI 24M 336GX24 HRC6 VN</t>
  </si>
  <si>
    <t>PM vuông Belcube vị sữa 24C 125Gx15</t>
  </si>
  <si>
    <t>SN Nước Sanna 1500ml</t>
  </si>
  <si>
    <t>SN Nước Sanna 330ml</t>
  </si>
  <si>
    <t>SN Nước Sanna 500ml</t>
  </si>
  <si>
    <t>SN Nước Yến Sannest  Hộp 6 Lọ K</t>
  </si>
  <si>
    <t>SN Nước Yến Sannest  Hộp 6 Lon T</t>
  </si>
  <si>
    <t>SN Nước Yến Sannest  Lọ Nhân Sâm</t>
  </si>
  <si>
    <t>SN Nước Yến Sannest Hộp 6 Lọ T</t>
  </si>
  <si>
    <t>SN Nước Yến Sannest Hộp 6 Lon K</t>
  </si>
  <si>
    <t>SN Nước Yến Sannest Lọ K</t>
  </si>
  <si>
    <t>SN Nước Yến Sannest Lọ T</t>
  </si>
  <si>
    <t>SN Nước Yến Sannest Lon K</t>
  </si>
  <si>
    <t>SN Nước Yến Sannest Lon K thùng 30 lon</t>
  </si>
  <si>
    <t>SN Nước Yến Sannest Lon T</t>
  </si>
  <si>
    <t>SN Nước yến Sannest Lon T (30lon/Thùng)</t>
  </si>
  <si>
    <t>SN Nước Yến Sào Sanest Trẻ Em hộp 6 lọ</t>
  </si>
  <si>
    <t xml:space="preserve">SN Nước Yến Sào Sanest Trẻ Em lon x190ml </t>
  </si>
  <si>
    <t>SN Yến Sanest không đường người cao tuổi hộp 1 lọ</t>
  </si>
  <si>
    <t>Tương chua ngọt pet 830 g</t>
  </si>
  <si>
    <t>Tương ớt Phở 230gr</t>
  </si>
  <si>
    <t>Tương đen phở 520g</t>
  </si>
  <si>
    <t>VS Bò 2  lát hộp 170g</t>
  </si>
  <si>
    <t>VS Bò 2 lát 3B.Mai 150g</t>
  </si>
  <si>
    <t>VS Bò Hầm 150g</t>
  </si>
  <si>
    <t>VS Bò Hầm 397g</t>
  </si>
  <si>
    <t>VS Cá Ngừ xốt dầu hộp 170g</t>
  </si>
  <si>
    <t>VS Cá xốt cà hộp 170g</t>
  </si>
  <si>
    <t>VS Cá xốt cà mai vàng hộp 150g</t>
  </si>
  <si>
    <t>VS Chả Giò ALN Hũ 250g</t>
  </si>
  <si>
    <t>VS Hạt Nêm Chuẩn Vị Thịt gói 200g 1/24g</t>
  </si>
  <si>
    <t>VS Heo 2 lát (Lon in) hộp 150g</t>
  </si>
  <si>
    <t>VS Heo 2 Lát 3 B.Mai 150g</t>
  </si>
  <si>
    <t>VS Heo 2 lát hộp 150g</t>
  </si>
  <si>
    <t>VS Heo hầm (Lon in ) hộp 150g</t>
  </si>
  <si>
    <t>VS Heo hầm 397g</t>
  </si>
  <si>
    <t>VS Heo hầm 3BM 150g</t>
  </si>
  <si>
    <t>VS Lạp Xưởng MQL Hộp 500gr</t>
  </si>
  <si>
    <t>VS Lạp Xưởng Tôm Gói 200g</t>
  </si>
  <si>
    <t>VS Lạp Xưởng Tôm Hộp 500g</t>
  </si>
  <si>
    <t>VS Mắm chưng trứng vịt muối 200g</t>
  </si>
  <si>
    <t>VS Patê Gan Heo 170g</t>
  </si>
  <si>
    <t>VS Patê Thịt Heo 170g</t>
  </si>
  <si>
    <t>VS Patê Thịt Heo 397g</t>
  </si>
  <si>
    <t>VS Sườn heo nấu  đậu 200g</t>
  </si>
  <si>
    <t>VS Sườn nấu đậu hộp 170g</t>
  </si>
  <si>
    <t>VS Sườn nấu đậu hộp 170g (Lon in)</t>
  </si>
  <si>
    <t>VS XX Tokbokki xốt chua ngọt_69g</t>
  </si>
  <si>
    <t>VS XXTT Bò 40g- cây 40gd</t>
  </si>
  <si>
    <t>VS XXTT Bò 70 - cây 70g</t>
  </si>
  <si>
    <t>VS XXTT Boom Boom 18g-Ca nhựa 900g</t>
  </si>
  <si>
    <t>VS XXTT Boom Boom 20g( Hũ 0.5 Kg)</t>
  </si>
  <si>
    <t>VS XXTT Boom Boom 20g( Hũ 1 Kg)</t>
  </si>
  <si>
    <t>VS XXTT Boom Boom 20g-gói 100g</t>
  </si>
  <si>
    <t>VS XXTT Boom Boom 23g</t>
  </si>
  <si>
    <t>VS XXTT Boom Boom 23g( Hũ 1,15 Kg)</t>
  </si>
  <si>
    <t>VS XXTT Boom Boom 35g (5+1)-gói 210g</t>
  </si>
  <si>
    <t>VS XXTT Boom Boom 38g</t>
  </si>
  <si>
    <t>VS XXTT Boom Boom 38g (5+1)-gói 228gr</t>
  </si>
  <si>
    <t>VS XXTT Boom Boom 38g-hũ 1.9kg</t>
  </si>
  <si>
    <t>VS XXTT Dinh dưỡng Bò 175g (DHA Bò 35g)</t>
  </si>
  <si>
    <t>VS XXTT Dinh dưỡng Golden 3</t>
  </si>
  <si>
    <t>VS XXTT Dzui Dzui Thùng 2.1Kg</t>
  </si>
  <si>
    <t>VS XXTT Heo 70 - cây 70g</t>
  </si>
  <si>
    <t>VS XXTT Heo cây 40g</t>
  </si>
  <si>
    <t>VS XXTT Heo- Bò hộp nhựa 1kg</t>
  </si>
  <si>
    <t>VS XXTT Lắc Kêu Vị Bơ Tái 56g</t>
  </si>
  <si>
    <t>VS XXTT Lắc Kêu Vị Phômai 56g</t>
  </si>
  <si>
    <t>VS XXTT trộn đều xốt BBQ_62g</t>
  </si>
  <si>
    <t>VS XXTT Trộn Đều Xốt Chanh Dây 62g</t>
  </si>
  <si>
    <t>VS XXTT Trộn Đều Xốt Tamarind 62g</t>
  </si>
  <si>
    <t>VS ĐL Ba rọi sốt tiêu đen gói 500g</t>
  </si>
  <si>
    <t>VS ĐL Ba rọi ướp gia vị gói 500g</t>
  </si>
  <si>
    <t>VS ĐL Ba Rọi Xốt Mật Ong gói 500g</t>
  </si>
  <si>
    <t>VS ĐL Bò viên 3 ngon gói 500g</t>
  </si>
  <si>
    <t>VS ĐL Bò viên gói 200g</t>
  </si>
  <si>
    <t>VS ĐL Cá viên 3 ngon gói 500g</t>
  </si>
  <si>
    <t>VS ĐL Cá Viên Funny gói 250g (1T=30G)</t>
  </si>
  <si>
    <t>VS ĐL Cá viên gói 200g</t>
  </si>
  <si>
    <t>VS ĐL Cá Viên ớt xiêm xanh gói 500g</t>
  </si>
  <si>
    <t>VS ĐL Chả giò chay gói 500g</t>
  </si>
  <si>
    <t>VS ĐL Chả Giò con tôm gói 250g</t>
  </si>
  <si>
    <t>VS ĐL Chả giò da xốp gói 400g</t>
  </si>
  <si>
    <t>VS ĐL Chả giò hải sản gói 500g</t>
  </si>
  <si>
    <t>VS ĐL Chả giò rế con tôm gói 300g</t>
  </si>
  <si>
    <t>VS ĐL Chả giò rế thịt gói 500g</t>
  </si>
  <si>
    <t>VS ĐL Chả Giò rế tôm cua gói 500g</t>
  </si>
  <si>
    <t>VS ĐL Chả giò tôm cua gói 500g</t>
  </si>
  <si>
    <t>VS ĐL Cốt lết ướp gia vị gói 500g</t>
  </si>
  <si>
    <t>VS ĐL Cốt lết xốt mật ong gói 500g</t>
  </si>
  <si>
    <t>VS ĐL Cốt lết xốt tiêu đen gói 500g</t>
  </si>
  <si>
    <t>VS ĐL Dồi sụn giòn gói 250g</t>
  </si>
  <si>
    <t>VS ĐL Dồi sụn giòn gói 500g</t>
  </si>
  <si>
    <t>VS ĐL Há Cảo gói 250g</t>
  </si>
  <si>
    <t>VS ĐL Há Cảo Thanh Long gói 300g</t>
  </si>
  <si>
    <t>VS ĐL Há Cảo Thịt gói 300g</t>
  </si>
  <si>
    <t>VS ĐL Há Cảo Tôm gói 300g</t>
  </si>
  <si>
    <t>VS ĐL Hoành thánh đặc biệt gói 200g</t>
  </si>
  <si>
    <t>VS ĐL Nem lụi- hộp 300g</t>
  </si>
  <si>
    <t>VS ĐL Sườn non ướp gia vị gói 500g</t>
  </si>
  <si>
    <t>VS ĐL Sườn Non Xốt Mật Ong gói 500g</t>
  </si>
  <si>
    <t xml:space="preserve">VS ĐL Tôm viên Funny gói 250g ( ĐL) </t>
  </si>
  <si>
    <t>VS ĐL Tôm viên Funny gói 500g ( ĐL)</t>
  </si>
  <si>
    <t>VS ĐL Xúc Xích Funny gói 500g</t>
  </si>
  <si>
    <t>VS ĐL Xúc Xích Happy gói 500g</t>
  </si>
  <si>
    <t>VS ĐL Xúc Xích Lucky gói 500g</t>
  </si>
  <si>
    <t>VS ĐL Xúc xích sụn giòn 500g</t>
  </si>
  <si>
    <t>VS ĐL Xúc xích sụn giòn- gói 250g ĐL</t>
  </si>
  <si>
    <t>Xốt tiêu đen TT 190g</t>
  </si>
  <si>
    <t>Xốt ướp thịt HQ vị cay 90g</t>
  </si>
  <si>
    <t>XXTT Bò 18g gói (T-3.6kg)</t>
  </si>
  <si>
    <t>XXTT Dinh dưỡng heo gói 175g</t>
  </si>
  <si>
    <t>XXTT Heo 18g gói (T-3.6KG)</t>
  </si>
  <si>
    <t>Tổng Cộng</t>
  </si>
  <si>
    <t xml:space="preserve">DANH SÁCH HÀNG HÓA </t>
  </si>
  <si>
    <t>masp</t>
  </si>
  <si>
    <t>tensp</t>
  </si>
  <si>
    <t>dvt</t>
  </si>
  <si>
    <t>SỐ LƯỢNG</t>
  </si>
  <si>
    <t xml:space="preserve">Gía vốn </t>
  </si>
  <si>
    <t>Trị giá kho</t>
  </si>
  <si>
    <t xml:space="preserve"> VB2L(IH1</t>
  </si>
  <si>
    <t>VS Bò 2 lát (Lon in) hộp 170g</t>
  </si>
  <si>
    <t>Hộp</t>
  </si>
  <si>
    <t>AACC4</t>
  </si>
  <si>
    <t>Lốc</t>
  </si>
  <si>
    <t>AACCC4</t>
  </si>
  <si>
    <t>AACV4</t>
  </si>
  <si>
    <t>AACV4S</t>
  </si>
  <si>
    <t>AAGVM1</t>
  </si>
  <si>
    <t>AAGVM4</t>
  </si>
  <si>
    <t>Lon</t>
  </si>
  <si>
    <t>AAGVM4G</t>
  </si>
  <si>
    <t>AAGVM8</t>
  </si>
  <si>
    <t>AAMC4</t>
  </si>
  <si>
    <t>AL Anmum Materna Choco 400g</t>
  </si>
  <si>
    <t>AAMC8</t>
  </si>
  <si>
    <t>AL Anmum Materna Choco 800g</t>
  </si>
  <si>
    <t>AAMU1-CĐ</t>
  </si>
  <si>
    <t>AAMU1-KB</t>
  </si>
  <si>
    <t>AAMV4</t>
  </si>
  <si>
    <t>AL Anmum Materna Vanilla 400g</t>
  </si>
  <si>
    <t>AAVM4</t>
  </si>
  <si>
    <t>AAVM8</t>
  </si>
  <si>
    <t>AAVMS2</t>
  </si>
  <si>
    <t>BBQNPC3</t>
  </si>
  <si>
    <t>BEL Bánh que nhúng PM C.DIPPERS 30gx48</t>
  </si>
  <si>
    <t>Gói</t>
  </si>
  <si>
    <t>BPBCC13</t>
  </si>
  <si>
    <t>BEL Phomai Bánh Chấm C.Dippers1D 35g</t>
  </si>
  <si>
    <t>BPKSK1X6</t>
  </si>
  <si>
    <t>BEL PM kem sữa Kiri 108G x 60</t>
  </si>
  <si>
    <t>BPMBC1M</t>
  </si>
  <si>
    <t xml:space="preserve">BEL Phô mai CBC 16M </t>
  </si>
  <si>
    <t>BPMBC4M</t>
  </si>
  <si>
    <t xml:space="preserve">BEL Phô mai CBC 4M </t>
  </si>
  <si>
    <t>BPMBC8M</t>
  </si>
  <si>
    <t>BPMC12T</t>
  </si>
  <si>
    <t>BEL Phô mai CBC 16M 240g Tết</t>
  </si>
  <si>
    <t>BPMC2</t>
  </si>
  <si>
    <t xml:space="preserve">BEL Phô mai CBC 24M </t>
  </si>
  <si>
    <t>BPMC2H</t>
  </si>
  <si>
    <t>BEL pho mai CBC 24m HRC6</t>
  </si>
  <si>
    <t>BPMC81T</t>
  </si>
  <si>
    <t>BEL Phô mai CBC 8M 120g Tết</t>
  </si>
  <si>
    <t>BPMCVS1</t>
  </si>
  <si>
    <t>BEL PM vuông Belcube vị sữa 125g</t>
  </si>
  <si>
    <t>BPMCVS7</t>
  </si>
  <si>
    <t>BEL PM vuông Belcube vị sữa 78g</t>
  </si>
  <si>
    <t>BPMLB2</t>
  </si>
  <si>
    <t>BPMLSC2</t>
  </si>
  <si>
    <t>BEL PM Lát Sandwich cheddar 200g</t>
  </si>
  <si>
    <t>BPTTVH7</t>
  </si>
  <si>
    <t>BXPMC1</t>
  </si>
  <si>
    <t>BEL Xốt PM CBC 15Gx10x12</t>
  </si>
  <si>
    <t>Dây</t>
  </si>
  <si>
    <t>CBBNXX2</t>
  </si>
  <si>
    <t>CLM ĐL Bánh bao nhân xá xíu 280g</t>
  </si>
  <si>
    <t>CBC1</t>
  </si>
  <si>
    <t>CBCNBN1</t>
  </si>
  <si>
    <t>CLM Bột canh nấm bào ngư 180g</t>
  </si>
  <si>
    <t>CBCNH1</t>
  </si>
  <si>
    <t>CCNND1</t>
  </si>
  <si>
    <t>CCNXC1</t>
  </si>
  <si>
    <t>CLM Cá ngừ xốt cay 185g</t>
  </si>
  <si>
    <t>CCPGNHHT</t>
  </si>
  <si>
    <t>CS Chí Phí Giao Nhận Hàng Hóa T11/2023</t>
  </si>
  <si>
    <t>Tiền</t>
  </si>
  <si>
    <t>CCPGNHHT1.24</t>
  </si>
  <si>
    <t>CS Chí Phí Giao Nhận Hàng Hóa T1/2024</t>
  </si>
  <si>
    <t>CCPGNHHT12</t>
  </si>
  <si>
    <t>CS Chí Phí Giao Nhận Hàng Hóa T12/2023</t>
  </si>
  <si>
    <t>CCSKT1</t>
  </si>
  <si>
    <t>CLM Cá Saba kho tiêu 185gr</t>
  </si>
  <si>
    <t>CCSXC1</t>
  </si>
  <si>
    <t>CLM Cá Saba xốt cà 185gr</t>
  </si>
  <si>
    <t>CCSXS1</t>
  </si>
  <si>
    <t>CLM cá Saba xốt Siracha 185g</t>
  </si>
  <si>
    <t>CCXCK1</t>
  </si>
  <si>
    <t>CĐBBC3</t>
  </si>
  <si>
    <t>CLM ĐL Bánh bao chay 300gr</t>
  </si>
  <si>
    <t>CĐBBNT4</t>
  </si>
  <si>
    <t>CLM ĐL Bánh bao nhân thịt 400gr</t>
  </si>
  <si>
    <t>CĐBXKNM3</t>
  </si>
  <si>
    <t>CLM ĐL Bánh xếp kiểu nhật mini 360g</t>
  </si>
  <si>
    <t>CĐBXTT3</t>
  </si>
  <si>
    <t>CĐCGRTC5</t>
  </si>
  <si>
    <t>CĐCGRTCUA5</t>
  </si>
  <si>
    <t>CĐCGTT5</t>
  </si>
  <si>
    <t>CĐCGX5</t>
  </si>
  <si>
    <t>CLM ĐL Chả giò xốp 500gr/gói</t>
  </si>
  <si>
    <t>CĐCGXC5</t>
  </si>
  <si>
    <t>CDDTSP2D</t>
  </si>
  <si>
    <t>Chai</t>
  </si>
  <si>
    <t>CDH2</t>
  </si>
  <si>
    <t>Bình</t>
  </si>
  <si>
    <t>CĐHC3</t>
  </si>
  <si>
    <t>CĐHCHM3</t>
  </si>
  <si>
    <t>CLM ĐL Há cảo hai mùa 300gr/gói</t>
  </si>
  <si>
    <t>CDHCP1</t>
  </si>
  <si>
    <t>CDHCP3</t>
  </si>
  <si>
    <t>CDHCP8</t>
  </si>
  <si>
    <t>CLM Dầu hào chay pet 820g</t>
  </si>
  <si>
    <t>CDHP1</t>
  </si>
  <si>
    <t>CDHP3</t>
  </si>
  <si>
    <t>CDHP8</t>
  </si>
  <si>
    <t>CĐHT3</t>
  </si>
  <si>
    <t>CLM ĐL Hoành thánh 300gr/gói</t>
  </si>
  <si>
    <t>CGVKC5</t>
  </si>
  <si>
    <t>CGVKCG5C</t>
  </si>
  <si>
    <t>CLM  (ko làm toa) Gia vị kho cá gói 50g</t>
  </si>
  <si>
    <t>CGVKT5</t>
  </si>
  <si>
    <t>CH2L1</t>
  </si>
  <si>
    <t>CLM Heo 2 lát 160g</t>
  </si>
  <si>
    <t>CHQGVT2</t>
  </si>
  <si>
    <t>CHQNÝ</t>
  </si>
  <si>
    <t>CLCHST</t>
  </si>
  <si>
    <t>CLT2</t>
  </si>
  <si>
    <t>CLM Lẩu thái 280g</t>
  </si>
  <si>
    <t>CN3ĐĐ7(1</t>
  </si>
  <si>
    <t>CLM nmắm 30 độ đạm 750ml (12c/th)</t>
  </si>
  <si>
    <t>CN4ĐĐ7(1</t>
  </si>
  <si>
    <t>CLM nmắm 40 độ đạm 750ml (12c/th)</t>
  </si>
  <si>
    <t>CN4ĐĐ7(1KM</t>
  </si>
  <si>
    <t>CLM (KM) nmắm 40 độ đạm 750ml (12c/th)</t>
  </si>
  <si>
    <t>CNM3ĐĐ5(</t>
  </si>
  <si>
    <t>CLM nmắm 30 độ đạm 500ml (12c/th)</t>
  </si>
  <si>
    <t>CNM4ĐĐ5(</t>
  </si>
  <si>
    <t>CLM nmắm 40 độ đạm 500ml (12c/th)</t>
  </si>
  <si>
    <t>CNMCĐ1</t>
  </si>
  <si>
    <t>CNMCĐ5</t>
  </si>
  <si>
    <t>CNMCĐ5(</t>
  </si>
  <si>
    <t>CNMCĐ7(</t>
  </si>
  <si>
    <t>CNMCT2</t>
  </si>
  <si>
    <t>CNMHV4L</t>
  </si>
  <si>
    <t>CLM Nước mắm Hương Việt 4.9 Lít</t>
  </si>
  <si>
    <t>CNMHV5</t>
  </si>
  <si>
    <t>CNMHV50</t>
  </si>
  <si>
    <t>CLM Nước Mắm Hương Việt 500ml</t>
  </si>
  <si>
    <t>CNMHVP7</t>
  </si>
  <si>
    <t>CNTĐNP1</t>
  </si>
  <si>
    <t>CNTĐNP3</t>
  </si>
  <si>
    <t>CNTĐNP7</t>
  </si>
  <si>
    <t>CNTHV4LB</t>
  </si>
  <si>
    <t>CNTHV5</t>
  </si>
  <si>
    <t>CLM Nước tương Hảo Vị 500ml hàng onpack chén</t>
  </si>
  <si>
    <t>CNTHVG7</t>
  </si>
  <si>
    <t>CNTTV5TV</t>
  </si>
  <si>
    <t>CLM Nước tương thanh vị 500ml</t>
  </si>
  <si>
    <t>CỚKSTHT1</t>
  </si>
  <si>
    <t>CỚSHT15</t>
  </si>
  <si>
    <t>Hũ</t>
  </si>
  <si>
    <t>CPGNHHT1.24</t>
  </si>
  <si>
    <t>Chí Phí Giao Nhận Hàng Hóa T1/2024</t>
  </si>
  <si>
    <t>CPGNHHT12</t>
  </si>
  <si>
    <t>Chí Phí Giao Nhận Hàng Hóa T12/2023</t>
  </si>
  <si>
    <t>CPHTTB</t>
  </si>
  <si>
    <t xml:space="preserve">Chi phí hỗ trợ trưng bày </t>
  </si>
  <si>
    <t>CT</t>
  </si>
  <si>
    <t>CSTCP9</t>
  </si>
  <si>
    <t>CSTNNVP1</t>
  </si>
  <si>
    <t>CSTT4</t>
  </si>
  <si>
    <t>CSTTHN1</t>
  </si>
  <si>
    <t>CSTTP9</t>
  </si>
  <si>
    <t>CSƯTN2</t>
  </si>
  <si>
    <t>CLM Xốt ướp thịt nướng 200g</t>
  </si>
  <si>
    <t>CSƯTN6</t>
  </si>
  <si>
    <t>CSƯXXTT</t>
  </si>
  <si>
    <t>CTC8</t>
  </si>
  <si>
    <t>CTCCP2</t>
  </si>
  <si>
    <t>CTCCP270</t>
  </si>
  <si>
    <t>CTCG1</t>
  </si>
  <si>
    <t>CTCNP2</t>
  </si>
  <si>
    <t>CTCNP2K</t>
  </si>
  <si>
    <t>CTCNP8</t>
  </si>
  <si>
    <t>CLM Tương chua ngọt pet 830g</t>
  </si>
  <si>
    <t>CTĐ2</t>
  </si>
  <si>
    <t>CTĐ2K(6</t>
  </si>
  <si>
    <t>CLM Tương đen 2.1 kg ( 6c/T)</t>
  </si>
  <si>
    <t>CTĐP2</t>
  </si>
  <si>
    <t>CTĐP2K</t>
  </si>
  <si>
    <t>CLM Tương đen phở 2.1 kg</t>
  </si>
  <si>
    <t>CTĐP5</t>
  </si>
  <si>
    <t>CLM Tương đen phở 520gr</t>
  </si>
  <si>
    <t>CTH2</t>
  </si>
  <si>
    <t>CTHB1</t>
  </si>
  <si>
    <t>CTHBXC1</t>
  </si>
  <si>
    <t>CLM Thịt heo bằm xốt cà 150g</t>
  </si>
  <si>
    <t>CTỚ5(</t>
  </si>
  <si>
    <t>CTỚCNP2</t>
  </si>
  <si>
    <t>CLM Tương ớt cay nồng pet 270g</t>
  </si>
  <si>
    <t>CTỚG10G</t>
  </si>
  <si>
    <t>CTỚNX2</t>
  </si>
  <si>
    <t>CTỚP1</t>
  </si>
  <si>
    <t>CTỚP2</t>
  </si>
  <si>
    <t>CTỚP23</t>
  </si>
  <si>
    <t>CLM Tương ớt Phở 230gr</t>
  </si>
  <si>
    <t>CTỚP270</t>
  </si>
  <si>
    <t>CTỚP8</t>
  </si>
  <si>
    <t>CTỚSC3</t>
  </si>
  <si>
    <t>CTỚTN3</t>
  </si>
  <si>
    <t>CTXMP2</t>
  </si>
  <si>
    <t>CTXMP270</t>
  </si>
  <si>
    <t>CXBBG9</t>
  </si>
  <si>
    <t>CXBKG9</t>
  </si>
  <si>
    <t>CXCCKT3</t>
  </si>
  <si>
    <t>CXCCP2</t>
  </si>
  <si>
    <t>CXGCNM9</t>
  </si>
  <si>
    <t>CXLKCP2</t>
  </si>
  <si>
    <t>CXLNP2</t>
  </si>
  <si>
    <t>CXLTP8</t>
  </si>
  <si>
    <t>CXMÝBB1</t>
  </si>
  <si>
    <t>CXMÝCC1</t>
  </si>
  <si>
    <t>CXRMP2ME</t>
  </si>
  <si>
    <t>CXSXCN9</t>
  </si>
  <si>
    <t>CXTĐT1</t>
  </si>
  <si>
    <t>CLM Xốt tiêu đen TT 190g</t>
  </si>
  <si>
    <t>CXƯTH1VTT</t>
  </si>
  <si>
    <t>CXƯTH9VTT</t>
  </si>
  <si>
    <t>CLM Xốt ướp thịt HQ 90g vị truyền thống</t>
  </si>
  <si>
    <t>CXƯTHVC1</t>
  </si>
  <si>
    <t>CXƯTHVC9</t>
  </si>
  <si>
    <t>CLM Xốt ướp thịt HQ vị cay 90g</t>
  </si>
  <si>
    <t>CXƯTNG7</t>
  </si>
  <si>
    <t>CXƯXX7</t>
  </si>
  <si>
    <t>CXXHT3(C</t>
  </si>
  <si>
    <t>HQN</t>
  </si>
  <si>
    <t>NBT Hộp quà Nabati</t>
  </si>
  <si>
    <t>Thùng</t>
  </si>
  <si>
    <t>NA15GSCLH</t>
  </si>
  <si>
    <t>NA50GGOI</t>
  </si>
  <si>
    <t>NBKRNBCCW3</t>
  </si>
  <si>
    <t>NBT Bánh KXPM Richeese Nabati Bites Cheese Cream Wafer 300gr</t>
  </si>
  <si>
    <t>NBKRNCCW110</t>
  </si>
  <si>
    <t>NBKRNCCW1T</t>
  </si>
  <si>
    <t>NBKRNCCW1V</t>
  </si>
  <si>
    <t>NBKRNCW1</t>
  </si>
  <si>
    <t>NBKRNCW11</t>
  </si>
  <si>
    <t>NBKRNCW15</t>
  </si>
  <si>
    <t>NBKRNCW17G</t>
  </si>
  <si>
    <t>NBKRNCW1NBT</t>
  </si>
  <si>
    <t>NBKRNCW1TET</t>
  </si>
  <si>
    <t>NBT Bánh KXPM Richeese Nabati Cheese Wafer 15g Tết</t>
  </si>
  <si>
    <t>NBKRNCW7H</t>
  </si>
  <si>
    <t>NBKRNCWNBT</t>
  </si>
  <si>
    <t>NBKXPM-RNCCW3</t>
  </si>
  <si>
    <t>NBT Bánh kem xốp phô mai - Richeese Nabati Cheese Cream Wafer 330g</t>
  </si>
  <si>
    <t>NBKXPM-RNCCW6</t>
  </si>
  <si>
    <t>NBT Bánh kem xốp phô mai - Richeese Nabati Cheese Cream Wafer 6g</t>
  </si>
  <si>
    <t>NBKXPSRTB4</t>
  </si>
  <si>
    <t>NBT Bánh kem xốp phủ SCL-Nabati Richoco Time Break 48g</t>
  </si>
  <si>
    <t>NBKXSCHPBT</t>
  </si>
  <si>
    <t>NBKXSCHPBT1</t>
  </si>
  <si>
    <t>NBT Bánh kem xốp sữa chua hương phúc bồn tử 16g</t>
  </si>
  <si>
    <t>NBKXSCHPBT1H</t>
  </si>
  <si>
    <t>NBKXSCHPBT-NR1</t>
  </si>
  <si>
    <t>NBT Bánh kem xốp sữa chua hương phúc bồn tử - Nabati Richberry 110g</t>
  </si>
  <si>
    <t>NBNR2</t>
  </si>
  <si>
    <t>NBỐLNP-NCWSBRC1</t>
  </si>
  <si>
    <t>NBT Bánh ống lớn nhân phomai - Nabati cheese Wafer Stick- Big rolls cheese 14g</t>
  </si>
  <si>
    <t>NBỐSR-NCCWS6</t>
  </si>
  <si>
    <t>NBT b ống SCL roll,s - NBT chocolate Cream Wafer Stick 6g</t>
  </si>
  <si>
    <t>NBPLCT2</t>
  </si>
  <si>
    <t>BEL PM Lát CBC Toast 200gx32</t>
  </si>
  <si>
    <t>NBPMVLTY7</t>
  </si>
  <si>
    <t>NBPV L94()</t>
  </si>
  <si>
    <t>NBPVBVND7</t>
  </si>
  <si>
    <t>NBPVBVNS7</t>
  </si>
  <si>
    <t>NBPVBVNV7</t>
  </si>
  <si>
    <t>NBPVBVNVQ</t>
  </si>
  <si>
    <t>BEL PM vuông Belcube vị Việt Quất 78g</t>
  </si>
  <si>
    <t>NBQNKHVCC1</t>
  </si>
  <si>
    <t>NBT Bánh quy nhân kem hương vani-Nabati Cookies Cream 112g.</t>
  </si>
  <si>
    <t>NBQNKHV-NC&amp;C-SC1</t>
  </si>
  <si>
    <t>NBT Bánh Quy Nhân Kem Hương Vani - Nabati Cookies &amp; Cream - Sandwich Cookies 16g</t>
  </si>
  <si>
    <t>NBQNKNCACLS1</t>
  </si>
  <si>
    <t>NBQNK-NCACLS1</t>
  </si>
  <si>
    <t>NBT Bánh Quế Nhân Kem - Nabati Cookies and Cream Long Stick 105g</t>
  </si>
  <si>
    <t>NBQNKSCLNRC1</t>
  </si>
  <si>
    <t>NBQNKSCL-NRC-CSC1</t>
  </si>
  <si>
    <t>NBT Bánh Quy Nhân Kem Sô Cô La - Nabati Richoco Cookies - Chocolate Sandwich Cookies 16g</t>
  </si>
  <si>
    <t>NBQNPM-NRC1</t>
  </si>
  <si>
    <t>NBT Bánh quy nhân Phô Mai - Nabati Richeese Cookies 112g</t>
  </si>
  <si>
    <t>NBQNPM-NRLS1</t>
  </si>
  <si>
    <t>NBQNSCL-NRLS1</t>
  </si>
  <si>
    <t>NBS(X-RNCCW6</t>
  </si>
  <si>
    <t>NBT Bánh sôcôla (dạng xốp) - Richoco Nabati Chocolate Cream Wafer 6g</t>
  </si>
  <si>
    <t>NBSPPM-NRACCCS9</t>
  </si>
  <si>
    <t>NBSRNCW11</t>
  </si>
  <si>
    <t>NBSRNCW15G</t>
  </si>
  <si>
    <t>NBSVBRNSB4</t>
  </si>
  <si>
    <t>NBSVPMRSBCFS4</t>
  </si>
  <si>
    <t>NBSVSCL-RSBCFS4</t>
  </si>
  <si>
    <t>NBXNKNCACW5</t>
  </si>
  <si>
    <t>NBXPSCL-NRCW-CCW1</t>
  </si>
  <si>
    <t>NBXPSD-NCCW1</t>
  </si>
  <si>
    <t>NKRNW14</t>
  </si>
  <si>
    <t>NMSPMCCĐ0-NCRNL06</t>
  </si>
  <si>
    <t>NBT Mì Súp Phô Mai Cay Cấp Độ 0 - Nabati Cheese Ramen Noodles Level 0 65g</t>
  </si>
  <si>
    <t>NMSPMCCĐ1-NSCRNL16</t>
  </si>
  <si>
    <t>NBT Mì Súp Phô Mai Cay Cấp Độ 1 - Nabati Spicy Cheese Ramen Noodles Level 1 67g</t>
  </si>
  <si>
    <t>NMTPMCCĐ0-NCFNL07</t>
  </si>
  <si>
    <t>NBT Mì Trộn Phô Mai Cay Cấp Độ 0 - Nabati Cheese Fried Noodles Level 0 74g</t>
  </si>
  <si>
    <t>NMTPMCCĐ1-NSCFNL17</t>
  </si>
  <si>
    <t>NBT Mì Trộn Phô Mai Cay Cấp Độ 1 - Nabati Spicy Cheese Fried Noodles Level 1 75g</t>
  </si>
  <si>
    <t>NNBKR1T</t>
  </si>
  <si>
    <t>NBT Bánh KXPM Richeese 130g Tết</t>
  </si>
  <si>
    <t>NNBKRNCW1</t>
  </si>
  <si>
    <t>NBT Bánh KXPM Richeese Nabati Cheese Wafer 130g</t>
  </si>
  <si>
    <t>NNBKRNCW2</t>
  </si>
  <si>
    <t>NBT Bánh KXPM Richeese Nabati Cheese Wafer 20g</t>
  </si>
  <si>
    <t>NNBKRNCW5</t>
  </si>
  <si>
    <t>NNBKRNCW5(</t>
  </si>
  <si>
    <t>NBT(KM) Bánh KXPM Richeese Nabati Cheese Wafer 50g</t>
  </si>
  <si>
    <t>NNBKRNCW7</t>
  </si>
  <si>
    <t>NNBKSRPC8</t>
  </si>
  <si>
    <t>NBT Bánh Kem Socola Richoco Pasta Chocolate 8g</t>
  </si>
  <si>
    <t>NNBKXPBTW5</t>
  </si>
  <si>
    <t>NBT Bánh kem xốp sữa chua hương phúc bồn tử Wafer 50g</t>
  </si>
  <si>
    <t>NNBNGCS3</t>
  </si>
  <si>
    <t>NNBNGCTSR2</t>
  </si>
  <si>
    <t>NNBQGPCC1</t>
  </si>
  <si>
    <t>NNBQGSCC1</t>
  </si>
  <si>
    <t>NNBSNRBQ1</t>
  </si>
  <si>
    <t>NNBSRNCW1</t>
  </si>
  <si>
    <t>NBT Bánh Socola Richoco Nabati Chocolate Wafer 130g</t>
  </si>
  <si>
    <t>NNBSRNCW2</t>
  </si>
  <si>
    <t>NBT Bánh Socola Richoco Nabati Chocolate Wafer 20g</t>
  </si>
  <si>
    <t>NNBSRNCW5</t>
  </si>
  <si>
    <t xml:space="preserve">NBT Bánh Socola Richoco Nabati Chocolate Wafer 50g </t>
  </si>
  <si>
    <t>NNNC2T1S2I12</t>
  </si>
  <si>
    <t>NBT Ngũ cốc 2 trong 1-Simba Seral 2 in 1 24g</t>
  </si>
  <si>
    <t>NNNCS-SCWCF3</t>
  </si>
  <si>
    <t>NBT Ngũ cốc SCL - Simba Cereal with Chocolate Flavor 30g</t>
  </si>
  <si>
    <t>NNPRNCBW5</t>
  </si>
  <si>
    <t>NRATC15</t>
  </si>
  <si>
    <t>NRNW1-T</t>
  </si>
  <si>
    <t>NBT Bánh KXPM Richeese Nabati Cheese Wafer 16g-tết</t>
  </si>
  <si>
    <t>NRWC16</t>
  </si>
  <si>
    <t>NSGTGW4</t>
  </si>
  <si>
    <t>NSL1ST</t>
  </si>
  <si>
    <t>SN Lon 190ml Sanvinest thường</t>
  </si>
  <si>
    <t>NSNYSH1</t>
  </si>
  <si>
    <t>SN Nước Yến Sanvinest hộp 100g</t>
  </si>
  <si>
    <t>NSNYSH5</t>
  </si>
  <si>
    <t>SN Nước Yến Sanvinest hộp 50g</t>
  </si>
  <si>
    <t>NSNYSLKT3L</t>
  </si>
  <si>
    <t>NSNYSLT(</t>
  </si>
  <si>
    <t>NSYSSKCHTCH5</t>
  </si>
  <si>
    <t>SN Yến sào Sanvinest KH chính hiệu tinh chế hộp 50g</t>
  </si>
  <si>
    <t>NVBH(LI)H1</t>
  </si>
  <si>
    <t>VS Bò Hầm ( Lon in ) hộp 150g</t>
  </si>
  <si>
    <t>NVBRHN(</t>
  </si>
  <si>
    <t>VS ĐL Ba rọi heo NKĐL (Wrap)</t>
  </si>
  <si>
    <t>Kg</t>
  </si>
  <si>
    <t>NVBRSTĐG5</t>
  </si>
  <si>
    <t>NVBRƯGVG5</t>
  </si>
  <si>
    <t>NVBRXMOG5</t>
  </si>
  <si>
    <t>NVBRXSTG5</t>
  </si>
  <si>
    <t>VS ĐL Ba rọi xốt sa tế gói 500g</t>
  </si>
  <si>
    <t>NVBV3NG5</t>
  </si>
  <si>
    <t>NVBXCH1</t>
  </si>
  <si>
    <t>VS Bò xốt cà hộp 170g</t>
  </si>
  <si>
    <t>NVCGCG5</t>
  </si>
  <si>
    <t>NVCGCTG2</t>
  </si>
  <si>
    <t>NVCGDXG4</t>
  </si>
  <si>
    <t>NVCGHSG5</t>
  </si>
  <si>
    <t>NVCGNNVVG4</t>
  </si>
  <si>
    <t>VS ĐL Chả giò nấm ngũ vị Vissan gói 400g</t>
  </si>
  <si>
    <t>NVCGPG1</t>
  </si>
  <si>
    <t>VS ĐL Chả giò Party gói 1.4kg</t>
  </si>
  <si>
    <t>NVCGRCG5</t>
  </si>
  <si>
    <t>VS ĐL Chả giò rế chay gói 500g</t>
  </si>
  <si>
    <t>NVCGRCTG3</t>
  </si>
  <si>
    <t>NVCGRTCG2</t>
  </si>
  <si>
    <t>VS ĐL Chả giò rế tôm cua gói 250g</t>
  </si>
  <si>
    <t>NVCGRTCG5</t>
  </si>
  <si>
    <t>NVCGRTG5</t>
  </si>
  <si>
    <t>NVCGTCG5</t>
  </si>
  <si>
    <t>NVCGTĐG4</t>
  </si>
  <si>
    <t>VS ĐL Chả giò thịt ĐB gói 400g</t>
  </si>
  <si>
    <t>NVCGTG5</t>
  </si>
  <si>
    <t>VS ĐL Chả giò thịt gói 500g</t>
  </si>
  <si>
    <t>NVCGTHSG3</t>
  </si>
  <si>
    <t>VS ĐL Chả giò tôm- hạt sen gói 320g</t>
  </si>
  <si>
    <t>NVCLHCLN(W</t>
  </si>
  <si>
    <t>VS ĐL Cốt lết heo cắt lát NKĐL ( Wrap)</t>
  </si>
  <si>
    <t>NVCLƯGVG2</t>
  </si>
  <si>
    <t>VS ĐL Cốt lết ướp gia vị gói 200g</t>
  </si>
  <si>
    <t>NVCLƯGVG5</t>
  </si>
  <si>
    <t>NVCLXMOG5</t>
  </si>
  <si>
    <t>NVCLXSTG5</t>
  </si>
  <si>
    <t>VS ĐL Cốt lết xốt sa tế gói 500g</t>
  </si>
  <si>
    <t>NVCLXTĐG5</t>
  </si>
  <si>
    <t>NVCVFG2(</t>
  </si>
  <si>
    <t>NVCVFG5(</t>
  </si>
  <si>
    <t>VS ĐL Cá Viên Funny gói 500g (1T=30G)</t>
  </si>
  <si>
    <t>NVGLĐBC5</t>
  </si>
  <si>
    <t>VS ĐL Giò lụa đặc biệt cây 500g</t>
  </si>
  <si>
    <t>Cây</t>
  </si>
  <si>
    <t>NVH2L(IH1</t>
  </si>
  <si>
    <t>NVHCG2</t>
  </si>
  <si>
    <t>NVHCTG3</t>
  </si>
  <si>
    <t>NVHCTG3(</t>
  </si>
  <si>
    <t>NVHCTLG3</t>
  </si>
  <si>
    <t>NVHH(I)H1</t>
  </si>
  <si>
    <t>NVHTĐBG2</t>
  </si>
  <si>
    <t>NVHTG2</t>
  </si>
  <si>
    <t>VS ĐL Hoành thánh gói 200g</t>
  </si>
  <si>
    <t>NVNLH3</t>
  </si>
  <si>
    <t>NVNNĐLG4</t>
  </si>
  <si>
    <t>VS ĐL Nem nướng đông lạnh gói 400g</t>
  </si>
  <si>
    <t>NVPGHLI)</t>
  </si>
  <si>
    <t>VS Patê gan heo( Lon in )170g</t>
  </si>
  <si>
    <t>NVPTH(LI1</t>
  </si>
  <si>
    <t>VS Patê thịt heo ( Lon in) 170g</t>
  </si>
  <si>
    <t>NVSNƯGVG5</t>
  </si>
  <si>
    <t>NVSNXMOG5</t>
  </si>
  <si>
    <t>NVTVFG2(Đ</t>
  </si>
  <si>
    <t>VS ĐL Tôm viên Funny gói 250g ( ĐL)</t>
  </si>
  <si>
    <t>NVTVFG5(Đ</t>
  </si>
  <si>
    <t>NVXBB21</t>
  </si>
  <si>
    <t>NVXHBHN1</t>
  </si>
  <si>
    <t>NVXPM31</t>
  </si>
  <si>
    <t>VS ĐL XXTT Phô mai 35-gói 175</t>
  </si>
  <si>
    <t>NVXTĐXMVCC5</t>
  </si>
  <si>
    <t>VS XXTT Trộn đều Xốt Mayonnaise Vị Cà Chua 55g</t>
  </si>
  <si>
    <t>NVXXHLG2</t>
  </si>
  <si>
    <t>VS ĐL Xúc xích hồ lô gói 200g</t>
  </si>
  <si>
    <t>NVXXLPM1CG5</t>
  </si>
  <si>
    <t>VS ĐL Xúc Xích Lucky Phô mai 10 cây- gói 500g</t>
  </si>
  <si>
    <t>NVXXSGG2Đ</t>
  </si>
  <si>
    <t>PBT50GHOP</t>
  </si>
  <si>
    <t>SHNCVTG21G</t>
  </si>
  <si>
    <t>SNCĐCT</t>
  </si>
  <si>
    <t>SN Nồi Chưng Điện Cách Thủy</t>
  </si>
  <si>
    <t>Cái</t>
  </si>
  <si>
    <t>SNS1</t>
  </si>
  <si>
    <t>SNS3</t>
  </si>
  <si>
    <t>SNS5</t>
  </si>
  <si>
    <t>SNYS H6LK</t>
  </si>
  <si>
    <t>SNYS H6LNS</t>
  </si>
  <si>
    <t>SN Nước Yến Sannest  Hộp 6 Lọ Nhân Sâm</t>
  </si>
  <si>
    <t>SNYS H6LT</t>
  </si>
  <si>
    <t>SNYS H6LTH</t>
  </si>
  <si>
    <t>SN Nước Yến Sannest  Hộp 6 Lon T (HQ)</t>
  </si>
  <si>
    <t>SNYSH6LK</t>
  </si>
  <si>
    <t>SNYSH6LT</t>
  </si>
  <si>
    <t>SN Nước Yến Sannest  Hộp 6 Lọ T</t>
  </si>
  <si>
    <t>SNYSH6LTX1(QT</t>
  </si>
  <si>
    <t>SN Nước Yến Sannest Hộp 6 Lon T x 190ml (QT)</t>
  </si>
  <si>
    <t>SNYSLK</t>
  </si>
  <si>
    <t>SNYSLKL</t>
  </si>
  <si>
    <t>Lọ</t>
  </si>
  <si>
    <t>SNYSLNS</t>
  </si>
  <si>
    <t>SN Nước Yến Sannest Lọ Nhân Sâm</t>
  </si>
  <si>
    <t>SNYSLT</t>
  </si>
  <si>
    <t>SNYSLT1</t>
  </si>
  <si>
    <t>SNYSSDNCTL</t>
  </si>
  <si>
    <t>SN Yến Sanest dành người cao tuổi hộp 1 lọ</t>
  </si>
  <si>
    <t>SNYSSKĐNCTL</t>
  </si>
  <si>
    <t>SNYSSTE</t>
  </si>
  <si>
    <t xml:space="preserve">SN Nước Yến Sào Sannest Trẻ Em </t>
  </si>
  <si>
    <t>SNYSSTEH6L</t>
  </si>
  <si>
    <t>SNYSSTELX</t>
  </si>
  <si>
    <t>SN Nước Yến Sào Sanest Trẻ Em lon x190ml</t>
  </si>
  <si>
    <t>SSLĐTHTX7</t>
  </si>
  <si>
    <t>SN Yến Sanest lọ Đông Trùng Hạ Thảo x 70ml</t>
  </si>
  <si>
    <t>SYH1</t>
  </si>
  <si>
    <t>SN yến hộp 100g</t>
  </si>
  <si>
    <t>SYHNC10</t>
  </si>
  <si>
    <t>SN Yến Nguyên Chất 100g( 014)</t>
  </si>
  <si>
    <t>SYHNC30</t>
  </si>
  <si>
    <t>SN Yến Nguyên Chất 3g( 011)</t>
  </si>
  <si>
    <t>SYHNC50</t>
  </si>
  <si>
    <t>SN Yến Nguyên Chất 5g( 012)</t>
  </si>
  <si>
    <t>SYHNC50H</t>
  </si>
  <si>
    <t>SN Yến Nguyên Chất 50g( 015)</t>
  </si>
  <si>
    <t>SYSSNTSC5(</t>
  </si>
  <si>
    <t>SN Yến sào Sanvinest nguyên tổ sơ chế 50g (S250)</t>
  </si>
  <si>
    <t>SYSSTCDT1(</t>
  </si>
  <si>
    <t>SN Yến sào Sanvinest tinh chế dạng tổ 100g (V610)</t>
  </si>
  <si>
    <t>VB 2L3BM1</t>
  </si>
  <si>
    <t>VB2L1</t>
  </si>
  <si>
    <t>VBH1</t>
  </si>
  <si>
    <t>VBH3</t>
  </si>
  <si>
    <t>VBTLLG2</t>
  </si>
  <si>
    <t>VS ĐL Bò trộn lá lốt gói 200g</t>
  </si>
  <si>
    <t>VBVG2</t>
  </si>
  <si>
    <t>VCGAH2</t>
  </si>
  <si>
    <t>VCGĂLR1K</t>
  </si>
  <si>
    <t>VS chả giò ăn liền rời 1 kg</t>
  </si>
  <si>
    <t>VCNXD1</t>
  </si>
  <si>
    <t>VCSC1</t>
  </si>
  <si>
    <t>VCVG2</t>
  </si>
  <si>
    <t>VCXCMV1(</t>
  </si>
  <si>
    <t>VĐCVỚXXG5</t>
  </si>
  <si>
    <t xml:space="preserve">VS ĐL Cá Viên ớt xiêm xanh gói 500g </t>
  </si>
  <si>
    <t>VĐCVPMG2PM</t>
  </si>
  <si>
    <t>VS ĐL Cá viên phô mai gói 200g</t>
  </si>
  <si>
    <t>VĐDSGG2SUN</t>
  </si>
  <si>
    <t xml:space="preserve">VS ĐL Dồi sụn giòn gói 250g </t>
  </si>
  <si>
    <t>VĐDSGG5</t>
  </si>
  <si>
    <t xml:space="preserve">VS ĐL Dồi sụn giòn gói 500g </t>
  </si>
  <si>
    <t>VĐGSỚXX5</t>
  </si>
  <si>
    <t>VS ĐL Giò sụn ớt xiêm xanh_cây 500g</t>
  </si>
  <si>
    <t>VĐNCV3NG5</t>
  </si>
  <si>
    <t>VĐXXSG5</t>
  </si>
  <si>
    <t>VH2L1</t>
  </si>
  <si>
    <t>VH2L3BM1</t>
  </si>
  <si>
    <t>VHH1</t>
  </si>
  <si>
    <t>VS Heo hầm 150g</t>
  </si>
  <si>
    <t>VHH3</t>
  </si>
  <si>
    <t>VHH3BM1</t>
  </si>
  <si>
    <t>VHNCVTG11GG</t>
  </si>
  <si>
    <t>VS Hạt Nêm Chuẩn Vị Thịt gói 1kg 1/10g</t>
  </si>
  <si>
    <t>VHNCVTG11K</t>
  </si>
  <si>
    <t>VHNCVTG41</t>
  </si>
  <si>
    <t>VS Hạt Nêm Chuẩn Vị Thịt gói 400g 1/24g</t>
  </si>
  <si>
    <t>VHXBB3</t>
  </si>
  <si>
    <t>VLXMG2</t>
  </si>
  <si>
    <t>VS Lạp Xưởng MQL Gói 200g</t>
  </si>
  <si>
    <t>VLXMH5</t>
  </si>
  <si>
    <t>VLXTG2</t>
  </si>
  <si>
    <t>VLXTH5</t>
  </si>
  <si>
    <t>VMCTVM2</t>
  </si>
  <si>
    <t>VMCVMH1</t>
  </si>
  <si>
    <t>VS Mắm chưng vịt muối hộp 150g</t>
  </si>
  <si>
    <t>VNNH1</t>
  </si>
  <si>
    <t>VS ĐL Nem lụi nướng hộp 1KG</t>
  </si>
  <si>
    <t>VPGH1</t>
  </si>
  <si>
    <t>VPTH1</t>
  </si>
  <si>
    <t>VPTH3</t>
  </si>
  <si>
    <t>VSNĐ2</t>
  </si>
  <si>
    <t>VSNĐH1</t>
  </si>
  <si>
    <t>VSNĐH1(I</t>
  </si>
  <si>
    <t>VXB1</t>
  </si>
  <si>
    <t>VS XXTT Bò 18g T-3.6Kg</t>
  </si>
  <si>
    <t>VXB4</t>
  </si>
  <si>
    <t>VS XXTT Bò 40g- cây 40g</t>
  </si>
  <si>
    <t>VXBB 2</t>
  </si>
  <si>
    <t>VXBB 2H1K</t>
  </si>
  <si>
    <t>VXBB1N9</t>
  </si>
  <si>
    <t xml:space="preserve">VS XXTT Boom Boom 18g-Ca nhựa 900g </t>
  </si>
  <si>
    <t>Ca</t>
  </si>
  <si>
    <t>VXBB2H0K</t>
  </si>
  <si>
    <t>VXBB2H1K</t>
  </si>
  <si>
    <t>VXBB3</t>
  </si>
  <si>
    <t>VXBB3(2</t>
  </si>
  <si>
    <t>VXBB3(25</t>
  </si>
  <si>
    <t>VXBB31(KM</t>
  </si>
  <si>
    <t>VS XXTT Boom Boom 38g-hũ 1.9kg (km)</t>
  </si>
  <si>
    <t>VXBC7</t>
  </si>
  <si>
    <t>VXDB3</t>
  </si>
  <si>
    <t>VXDDG3</t>
  </si>
  <si>
    <t>VXDDT2</t>
  </si>
  <si>
    <t>VXDH3</t>
  </si>
  <si>
    <t>VS XXTT Dinh dưỡng Heo 175g( DHA Heo 35g)</t>
  </si>
  <si>
    <t>VXH1</t>
  </si>
  <si>
    <t>VS XXTT Heo 18g T-3.6Kg</t>
  </si>
  <si>
    <t>VXH4</t>
  </si>
  <si>
    <t>VXH7</t>
  </si>
  <si>
    <t>VXLKVBT4</t>
  </si>
  <si>
    <t>VS XXTT Lắc Kêu Vị Bơ Tỏi 49g</t>
  </si>
  <si>
    <t>Ly</t>
  </si>
  <si>
    <t>VXLKVBT56</t>
  </si>
  <si>
    <t>VS XXTT Lắc Kêu Vị Bơ Tỏi 56g</t>
  </si>
  <si>
    <t>VXLKVBT56LY</t>
  </si>
  <si>
    <t>VXLKVP4</t>
  </si>
  <si>
    <t>VS XXTT Lắc Kêu Vị Phômai 49g</t>
  </si>
  <si>
    <t>VXLKVP5</t>
  </si>
  <si>
    <t>VXLKVP5LY</t>
  </si>
  <si>
    <t>VXTĐXB</t>
  </si>
  <si>
    <t>VXTĐXCD5</t>
  </si>
  <si>
    <t>VS XXTT Trộn Đều Xốt Chanh Dây 55g</t>
  </si>
  <si>
    <t>VXTĐXBly</t>
  </si>
  <si>
    <t>VXTĐXCD62</t>
  </si>
  <si>
    <t>VXTĐXT5</t>
  </si>
  <si>
    <t>VS XXTT Lắc Kêu Trộn Đều Xốt Tamarind 55g</t>
  </si>
  <si>
    <t>VXTĐXCD62ly</t>
  </si>
  <si>
    <t>VXTĐXT6</t>
  </si>
  <si>
    <t>VS XXTT Lắc Kêu Trộn Đều Xốt Tamarind 62g</t>
  </si>
  <si>
    <t>VXTĐXT6LY</t>
  </si>
  <si>
    <t>VXTXCN</t>
  </si>
  <si>
    <t>VXXFG5</t>
  </si>
  <si>
    <t>VXXHG5</t>
  </si>
  <si>
    <t>VXXLG5</t>
  </si>
  <si>
    <t>ĐVT</t>
  </si>
  <si>
    <t>CLM cá xốt cà KOS 155g ( cá saba sốt cải)</t>
  </si>
  <si>
    <t>BEL (KM) Pho mai Cube vị sữa 78g ( km)</t>
  </si>
  <si>
    <t>BEL (KM) PM vuông Belcube vị Dâu 26g (km)</t>
  </si>
  <si>
    <t>BEL (KM) PM vuông Belcube vị ngọt Dâu 78g</t>
  </si>
  <si>
    <t>CLM (KM) Dầu hào pet 820g (km)</t>
  </si>
  <si>
    <t>CLM (KM) Lẩu thái 280g (km)</t>
  </si>
  <si>
    <t>CLM (KM) Nước Mắm Hương Việt 500ml (km)</t>
  </si>
  <si>
    <t>CLM (KM) Nước Mắm Hương Việt 500ml hàng onpack chén (km)</t>
  </si>
  <si>
    <t>CLM (KM) Sa tế tôm hũ nhựa 100g (km)</t>
  </si>
  <si>
    <t>CLM (KM) Sa tế tôm pet 90g (km)</t>
  </si>
  <si>
    <t>CLM (KM) Tương cà chai pet 270g (km)</t>
  </si>
  <si>
    <t>CLM (KM) Tương đen 230g (km)</t>
  </si>
  <si>
    <t>CLM (KM) Tương ớt pet 2.1Kg (km)</t>
  </si>
  <si>
    <t>CLM (KM) Tương ớt pet 270g (km)</t>
  </si>
  <si>
    <t>CLM (KM) Tương ớt siêu cay 330g (km)</t>
  </si>
  <si>
    <t>CLM (KM) Xốt gà chiên nước mắm 90g (km)</t>
  </si>
  <si>
    <t>CLM (KM) Xốt rang me pet 280g (km)</t>
  </si>
  <si>
    <t>CLM (KM) Xốt ướp thịt HQ 90g vị truyền thống (km)</t>
  </si>
  <si>
    <t>CLM (KM) Xốt ướp thịt nướng 200g (km)</t>
  </si>
  <si>
    <t>HT (KM) Bánh OHO Butter Cookies 681g (km)</t>
  </si>
  <si>
    <t>HT(KM) Kem xua muỗi hương cam Soffell 30ml chai xịt (km)</t>
  </si>
  <si>
    <t>NBT (KM) B. quy nhân Phô Mai - Nabati Richeese Cookies 112g</t>
  </si>
  <si>
    <t>NBT (KM) Bánh kem xốp phô mai - Richeese Nabati Cheese Cream Wafer 6g</t>
  </si>
  <si>
    <t>NBT (KM) Bánh KXPM Richeese Nabati Cheese Wafer 17g (km)</t>
  </si>
  <si>
    <t>NBT (KM) Bánh Quế Nhân Phô Mai - Nabati Richeese Long Stick 105g (km)</t>
  </si>
  <si>
    <t>NBT (KM) Bánh xốp phủ Socola Dừa - Nabati Coconut Chocolate Wafer 14g (km)</t>
  </si>
  <si>
    <t>NBT (KM) Mì Trộn Phô Mai Cay Cấp Độ 0 - Nabati Cheese Fried Noodles Level 0 74g</t>
  </si>
  <si>
    <t>NBT Bánh quy giòn PM - Cheese Crackers 10g(24PCSX10g)</t>
  </si>
  <si>
    <t>SN (KM) Nước Sanna 330ml (km)</t>
  </si>
  <si>
    <t>SN (KM) Nước Sanna 500ml (km)</t>
  </si>
  <si>
    <t>SN (KM) Nước Yến Sanest  Hộp 6 Lon T (km)</t>
  </si>
  <si>
    <t>SN (KM) Nước Yến Sannest Lọ T (km)</t>
  </si>
  <si>
    <t>SN (KM) Nước Yến Sannest Lon T (km)</t>
  </si>
  <si>
    <t>SN (KM) Tinh chất Yến sào thiên nhiên Khánh Hòa gói 5g (km)</t>
  </si>
  <si>
    <t>SN Nước Yến Sào Sannest Trẻ Em</t>
  </si>
  <si>
    <t>VS (KM) Bò Hầm 150g (km)</t>
  </si>
  <si>
    <t>VS (KM) XXTT Boom Boom 18g-Ca nhựa 900g (km)</t>
  </si>
  <si>
    <t>VS (KM) XXTT Boom Boom 20g( Hũ 1 Kg) (km)</t>
  </si>
  <si>
    <t>VS (KM) XXTT Boom Boom 20g-gói 100g</t>
  </si>
  <si>
    <t>VS (KM) XXTT Boom Boom 23g gói</t>
  </si>
  <si>
    <t>VS (KM) XXTT Boom Boom 35g (5+1)-gói 210g</t>
  </si>
  <si>
    <t>VS (KM) XXTT Heo 18g T-3.6Kg (km)</t>
  </si>
  <si>
    <t>VS ĐL Chả lụa bì ớt xiêm 80g</t>
  </si>
  <si>
    <t>VS ĐL Chả lụa que 80g</t>
  </si>
  <si>
    <t>VS KM Cá xốt cà 170g</t>
  </si>
  <si>
    <t>VS KM ĐL Chả lụa bì ớt xiêm 80g</t>
  </si>
  <si>
    <t>VS KM ĐL Chả lụa que 80g</t>
  </si>
  <si>
    <t>VS KM ĐL Xúc Xích Funny gói 500g</t>
  </si>
  <si>
    <t>VS KM Heo 2 Lát 3 B.Mai 150g</t>
  </si>
  <si>
    <t>VS KM XXTT Bò 40g (gói) (km)</t>
  </si>
  <si>
    <t>VS KM XXTT Bò 70g (gói)</t>
  </si>
  <si>
    <t>VS KM XXTT Dinh dưỡng Golden 3 (km)</t>
  </si>
  <si>
    <t>VS KM XXTT Dinh dưỡng Heo 175g( DHA Heo 35g) KM</t>
  </si>
  <si>
    <t>VS KM XXTT Heo 70g (gói)</t>
  </si>
  <si>
    <t>VS KM XXTT Lắc Kêu Vị Phômai 56g</t>
  </si>
  <si>
    <t>timg k ra</t>
  </si>
  <si>
    <t>kk đc</t>
  </si>
  <si>
    <t xml:space="preserve">K đc </t>
  </si>
  <si>
    <t>K tìm thấy</t>
  </si>
  <si>
    <t>HÀNG TỒN KHO 31/12/2023 ĐÃ ĐIỀU CHỈNH GIÁ</t>
  </si>
  <si>
    <t>Đơn Giá</t>
  </si>
  <si>
    <t>km</t>
  </si>
  <si>
    <t>Số ĐV</t>
  </si>
  <si>
    <t>XUẤT NHẬP TỒN THÁNG 12 NĂM 2023</t>
  </si>
  <si>
    <t>MHH</t>
  </si>
  <si>
    <t>TÊN HÀNG HOÁ</t>
  </si>
  <si>
    <t>TỒN ĐẦU KỲ</t>
  </si>
  <si>
    <t>SL</t>
  </si>
  <si>
    <t>T.TIỀN</t>
  </si>
  <si>
    <t>NHẬP TRONG KỲ</t>
  </si>
  <si>
    <t>XUẤT TRONG KỲ</t>
  </si>
  <si>
    <t>TỒN CUỐI KỲ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</si>
</sst>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  <numFmt numFmtId="166" formatCode="_(* #,##0.0_);_(* \(#,##0.0\);_(* &quot;-&quot;??_);_(@_)"/>
  </numFmts>
  <fonts count="53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0"/>
      <color rgb="FFFF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rgb="FFC00000"/>
      <name val="Times New Roman"/>
      <family val="1"/>
    </font>
    <font>
      <sz val="11"/>
      <color theme="1"/>
      <name val="Times New Roman"/>
      <family val="1"/>
    </font>
    <font>
      <sz val="10"/>
      <color indexed="8"/>
      <name val="Arial"/>
      <family val="2"/>
    </font>
    <font>
      <sz val="11"/>
      <color indexed="8"/>
      <name val="Times New Roman"/>
      <family val="1"/>
    </font>
    <font>
      <sz val="11"/>
      <color indexed="18"/>
      <name val="Arial"/>
      <family val="2"/>
    </font>
    <font>
      <sz val="11"/>
      <name val="Times New Roman"/>
      <family val="1"/>
    </font>
    <font>
      <sz val="10"/>
      <color indexed="18"/>
      <name val="Arial"/>
      <family val="2"/>
    </font>
    <font>
      <sz val="11"/>
      <color theme="0"/>
      <name val="Times New Roman"/>
      <family val="1"/>
    </font>
    <font>
      <sz val="11"/>
      <color rgb="FFFF0000"/>
      <name val="Arial"/>
      <family val="2"/>
      <scheme val="minor"/>
    </font>
    <font>
      <sz val="11"/>
      <color rgb="FFFF0000"/>
      <name val="Times New Roman"/>
      <family val="1"/>
    </font>
    <font>
      <sz val="11"/>
      <color rgb="FFFF0000"/>
      <name val="Arial"/>
      <family val="2"/>
    </font>
    <font>
      <sz val="11"/>
      <color theme="4"/>
      <name val="Arial"/>
      <family val="2"/>
      <scheme val="minor"/>
    </font>
    <font>
      <sz val="11"/>
      <color theme="4"/>
      <name val="Arial"/>
      <family val="2"/>
    </font>
    <font>
      <sz val="11"/>
      <color theme="4"/>
      <name val="Times New Roman"/>
      <family val="1"/>
    </font>
    <font>
      <sz val="11"/>
      <color rgb="FF00B0F0"/>
      <name val="Arial"/>
      <family val="2"/>
      <scheme val="minor"/>
    </font>
    <font>
      <sz val="11"/>
      <color rgb="FF00B0F0"/>
      <name val="Arial"/>
      <family val="2"/>
    </font>
    <font>
      <sz val="11"/>
      <color rgb="FF00B0F0"/>
      <name val="Times New Roman"/>
      <family val="1"/>
    </font>
    <font>
      <sz val="11"/>
      <color rgb="FF7030A0"/>
      <name val="Arial"/>
      <family val="2"/>
      <scheme val="minor"/>
    </font>
    <font>
      <sz val="11"/>
      <color rgb="FF7030A0"/>
      <name val="Arial"/>
      <family val="2"/>
    </font>
    <font>
      <sz val="11"/>
      <color rgb="FF7030A0"/>
      <name val="Times New Roman"/>
      <family val="1"/>
    </font>
    <font>
      <sz val="11"/>
      <color rgb="FF0070C0"/>
      <name val="Arial"/>
      <family val="2"/>
      <scheme val="minor"/>
    </font>
    <font>
      <sz val="11"/>
      <color rgb="FF0070C0"/>
      <name val="Arial"/>
      <family val="2"/>
    </font>
    <font>
      <sz val="11"/>
      <color rgb="FF0070C0"/>
      <name val="Times New Roman"/>
      <family val="1"/>
    </font>
    <font>
      <sz val="10"/>
      <color rgb="FFFF0000"/>
      <name val="Arial"/>
      <family val="2"/>
    </font>
    <font>
      <b/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sz val="14"/>
      <color rgb="FF000000"/>
      <name val="Times New Roman"/>
      <family val="1"/>
    </font>
    <font>
      <sz val="10"/>
      <color indexed="18"/>
      <name val="Tahoma"/>
      <family val="2"/>
    </font>
    <font>
      <b/>
      <sz val="11"/>
      <color rgb="FFFF0000"/>
      <name val="Times New Roman"/>
      <family val="1"/>
    </font>
    <font>
      <sz val="10"/>
      <color rgb="FFFF0000"/>
      <name val="Times New Roman"/>
      <family val="1"/>
    </font>
    <font>
      <sz val="10"/>
      <color rgb="FFFF0000"/>
      <name val="Tahoma"/>
      <family val="2"/>
    </font>
    <font>
      <sz val="10"/>
      <color rgb="FF0070C0"/>
      <name val="Times New Roman"/>
      <family val="1"/>
    </font>
    <font>
      <sz val="11"/>
      <color theme="1"/>
      <name val="Arial"/>
      <family val="2"/>
    </font>
    <font>
      <sz val="11"/>
      <name val="Arial"/>
      <family val="2"/>
      <scheme val="minor"/>
    </font>
    <font>
      <sz val="9"/>
      <color indexed="18"/>
      <name val="Arial"/>
      <family val="2"/>
    </font>
    <font>
      <sz val="9"/>
      <color rgb="FFFF0000"/>
      <name val="Arial"/>
      <family val="2"/>
    </font>
    <font>
      <b/>
      <sz val="10"/>
      <color rgb="FF000000"/>
      <name val="Arial"/>
      <family val="2"/>
      <scheme val="minor"/>
    </font>
    <font>
      <b/>
      <sz val="11"/>
      <color indexed="8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0"/>
      </patternFill>
    </fill>
    <fill>
      <patternFill patternType="solid">
        <fgColor indexed="22"/>
        <bgColor indexed="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13" fillId="0" borderId="0"/>
  </cellStyleXfs>
  <cellXfs count="224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3" fontId="4" fillId="0" borderId="1" xfId="0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3" fontId="5" fillId="0" borderId="1" xfId="0" applyNumberFormat="1" applyFont="1" applyBorder="1"/>
    <xf numFmtId="0" fontId="5" fillId="0" borderId="0" xfId="0" applyFont="1" applyAlignment="1">
      <alignment horizontal="center"/>
    </xf>
    <xf numFmtId="0" fontId="7" fillId="0" borderId="1" xfId="0" applyFont="1" applyBorder="1"/>
    <xf numFmtId="3" fontId="7" fillId="0" borderId="1" xfId="0" applyNumberFormat="1" applyFont="1" applyBorder="1"/>
    <xf numFmtId="0" fontId="7" fillId="0" borderId="0" xfId="0" applyFont="1"/>
    <xf numFmtId="164" fontId="0" fillId="0" borderId="0" xfId="1" applyNumberFormat="1" applyFont="1"/>
    <xf numFmtId="3" fontId="7" fillId="0" borderId="0" xfId="0" applyNumberFormat="1" applyFont="1"/>
    <xf numFmtId="164" fontId="7" fillId="0" borderId="0" xfId="1" applyNumberFormat="1" applyFont="1"/>
    <xf numFmtId="3" fontId="5" fillId="0" borderId="4" xfId="0" applyNumberFormat="1" applyFont="1" applyBorder="1"/>
    <xf numFmtId="0" fontId="9" fillId="0" borderId="1" xfId="0" applyFont="1" applyBorder="1"/>
    <xf numFmtId="3" fontId="9" fillId="0" borderId="1" xfId="0" applyNumberFormat="1" applyFont="1" applyBorder="1"/>
    <xf numFmtId="0" fontId="9" fillId="0" borderId="0" xfId="0" applyFont="1"/>
    <xf numFmtId="164" fontId="4" fillId="0" borderId="0" xfId="1" applyNumberFormat="1" applyFont="1"/>
    <xf numFmtId="164" fontId="7" fillId="0" borderId="1" xfId="1" applyNumberFormat="1" applyFont="1" applyBorder="1"/>
    <xf numFmtId="164" fontId="9" fillId="0" borderId="0" xfId="1" applyNumberFormat="1" applyFont="1"/>
    <xf numFmtId="164" fontId="5" fillId="0" borderId="4" xfId="1" applyNumberFormat="1" applyFont="1" applyBorder="1"/>
    <xf numFmtId="0" fontId="11" fillId="0" borderId="0" xfId="0" applyFont="1" applyAlignment="1">
      <alignment horizontal="center"/>
    </xf>
    <xf numFmtId="164" fontId="11" fillId="0" borderId="0" xfId="1" applyNumberFormat="1" applyFont="1" applyAlignment="1">
      <alignment horizontal="center"/>
    </xf>
    <xf numFmtId="0" fontId="12" fillId="0" borderId="0" xfId="0" applyFont="1"/>
    <xf numFmtId="0" fontId="12" fillId="2" borderId="0" xfId="0" applyFont="1" applyFill="1"/>
    <xf numFmtId="164" fontId="12" fillId="0" borderId="0" xfId="1" applyNumberFormat="1" applyFont="1" applyBorder="1" applyAlignment="1"/>
    <xf numFmtId="0" fontId="14" fillId="3" borderId="5" xfId="2" applyFont="1" applyFill="1" applyBorder="1" applyAlignment="1">
      <alignment horizontal="center"/>
    </xf>
    <xf numFmtId="0" fontId="14" fillId="4" borderId="5" xfId="2" applyFont="1" applyFill="1" applyBorder="1" applyAlignment="1">
      <alignment horizontal="center"/>
    </xf>
    <xf numFmtId="164" fontId="14" fillId="4" borderId="5" xfId="1" applyNumberFormat="1" applyFont="1" applyFill="1" applyBorder="1" applyAlignment="1">
      <alignment horizontal="center"/>
    </xf>
    <xf numFmtId="0" fontId="14" fillId="0" borderId="5" xfId="2" applyFont="1" applyBorder="1" applyAlignment="1">
      <alignment wrapText="1"/>
    </xf>
    <xf numFmtId="164" fontId="14" fillId="0" borderId="5" xfId="1" applyNumberFormat="1" applyFont="1" applyFill="1" applyBorder="1" applyAlignment="1">
      <alignment wrapText="1"/>
    </xf>
    <xf numFmtId="0" fontId="14" fillId="5" borderId="5" xfId="2" applyFont="1" applyFill="1" applyBorder="1" applyAlignment="1">
      <alignment wrapText="1"/>
    </xf>
    <xf numFmtId="165" fontId="14" fillId="5" borderId="5" xfId="2" applyNumberFormat="1" applyFont="1" applyFill="1" applyBorder="1" applyAlignment="1">
      <alignment wrapText="1"/>
    </xf>
    <xf numFmtId="3" fontId="3" fillId="5" borderId="5" xfId="0" applyNumberFormat="1" applyFont="1" applyFill="1" applyBorder="1"/>
    <xf numFmtId="0" fontId="14" fillId="6" borderId="5" xfId="2" applyFont="1" applyFill="1" applyBorder="1" applyAlignment="1">
      <alignment wrapText="1"/>
    </xf>
    <xf numFmtId="3" fontId="15" fillId="0" borderId="5" xfId="0" applyNumberFormat="1" applyFont="1" applyBorder="1" applyAlignment="1">
      <alignment vertical="top" wrapText="1"/>
    </xf>
    <xf numFmtId="0" fontId="14" fillId="7" borderId="5" xfId="2" applyFont="1" applyFill="1" applyBorder="1" applyAlignment="1">
      <alignment wrapText="1"/>
    </xf>
    <xf numFmtId="3" fontId="3" fillId="7" borderId="5" xfId="0" applyNumberFormat="1" applyFont="1" applyFill="1" applyBorder="1"/>
    <xf numFmtId="0" fontId="14" fillId="2" borderId="5" xfId="2" applyFont="1" applyFill="1" applyBorder="1" applyAlignment="1">
      <alignment wrapText="1"/>
    </xf>
    <xf numFmtId="0" fontId="14" fillId="5" borderId="5" xfId="2" applyFont="1" applyFill="1" applyBorder="1" applyAlignment="1">
      <alignment vertical="center" wrapText="1"/>
    </xf>
    <xf numFmtId="0" fontId="12" fillId="0" borderId="0" xfId="0" applyFont="1" applyAlignment="1">
      <alignment vertical="center"/>
    </xf>
    <xf numFmtId="0" fontId="12" fillId="7" borderId="0" xfId="0" applyFont="1" applyFill="1"/>
    <xf numFmtId="0" fontId="16" fillId="5" borderId="5" xfId="2" applyFont="1" applyFill="1" applyBorder="1" applyAlignment="1">
      <alignment wrapText="1"/>
    </xf>
    <xf numFmtId="3" fontId="17" fillId="0" borderId="0" xfId="0" applyNumberFormat="1" applyFont="1" applyAlignment="1">
      <alignment vertical="top" wrapText="1"/>
    </xf>
    <xf numFmtId="0" fontId="18" fillId="8" borderId="5" xfId="2" applyFont="1" applyFill="1" applyBorder="1" applyAlignment="1">
      <alignment wrapText="1"/>
    </xf>
    <xf numFmtId="3" fontId="10" fillId="8" borderId="5" xfId="0" applyNumberFormat="1" applyFont="1" applyFill="1" applyBorder="1"/>
    <xf numFmtId="0" fontId="14" fillId="9" borderId="5" xfId="2" applyFont="1" applyFill="1" applyBorder="1" applyAlignment="1">
      <alignment wrapText="1"/>
    </xf>
    <xf numFmtId="164" fontId="12" fillId="10" borderId="0" xfId="1" applyNumberFormat="1" applyFont="1" applyFill="1" applyAlignment="1"/>
    <xf numFmtId="164" fontId="12" fillId="0" borderId="0" xfId="1" applyNumberFormat="1" applyFont="1" applyAlignment="1"/>
    <xf numFmtId="165" fontId="20" fillId="5" borderId="5" xfId="2" applyNumberFormat="1" applyFont="1" applyFill="1" applyBorder="1" applyAlignment="1">
      <alignment wrapText="1"/>
    </xf>
    <xf numFmtId="0" fontId="20" fillId="0" borderId="5" xfId="2" applyFont="1" applyBorder="1" applyAlignment="1">
      <alignment wrapText="1"/>
    </xf>
    <xf numFmtId="0" fontId="20" fillId="7" borderId="5" xfId="2" applyFont="1" applyFill="1" applyBorder="1" applyAlignment="1">
      <alignment wrapText="1"/>
    </xf>
    <xf numFmtId="3" fontId="19" fillId="7" borderId="5" xfId="0" applyNumberFormat="1" applyFont="1" applyFill="1" applyBorder="1"/>
    <xf numFmtId="3" fontId="21" fillId="0" borderId="5" xfId="0" applyNumberFormat="1" applyFont="1" applyBorder="1" applyAlignment="1">
      <alignment vertical="top" wrapText="1"/>
    </xf>
    <xf numFmtId="164" fontId="20" fillId="0" borderId="5" xfId="1" applyNumberFormat="1" applyFont="1" applyFill="1" applyBorder="1" applyAlignment="1">
      <alignment wrapText="1"/>
    </xf>
    <xf numFmtId="0" fontId="20" fillId="0" borderId="0" xfId="0" applyFont="1"/>
    <xf numFmtId="0" fontId="20" fillId="5" borderId="5" xfId="2" applyFont="1" applyFill="1" applyBorder="1" applyAlignment="1">
      <alignment wrapText="1"/>
    </xf>
    <xf numFmtId="3" fontId="19" fillId="5" borderId="5" xfId="0" applyNumberFormat="1" applyFont="1" applyFill="1" applyBorder="1"/>
    <xf numFmtId="0" fontId="19" fillId="0" borderId="5" xfId="0" applyFont="1" applyBorder="1"/>
    <xf numFmtId="3" fontId="19" fillId="6" borderId="5" xfId="0" applyNumberFormat="1" applyFont="1" applyFill="1" applyBorder="1"/>
    <xf numFmtId="3" fontId="22" fillId="7" borderId="5" xfId="0" applyNumberFormat="1" applyFont="1" applyFill="1" applyBorder="1"/>
    <xf numFmtId="3" fontId="23" fillId="0" borderId="5" xfId="0" applyNumberFormat="1" applyFont="1" applyBorder="1" applyAlignment="1">
      <alignment vertical="top" wrapText="1"/>
    </xf>
    <xf numFmtId="164" fontId="24" fillId="0" borderId="5" xfId="1" applyNumberFormat="1" applyFont="1" applyFill="1" applyBorder="1" applyAlignment="1">
      <alignment wrapText="1"/>
    </xf>
    <xf numFmtId="3" fontId="25" fillId="5" borderId="5" xfId="0" applyNumberFormat="1" applyFont="1" applyFill="1" applyBorder="1"/>
    <xf numFmtId="3" fontId="26" fillId="0" borderId="5" xfId="0" applyNumberFormat="1" applyFont="1" applyBorder="1" applyAlignment="1">
      <alignment vertical="top" wrapText="1"/>
    </xf>
    <xf numFmtId="164" fontId="27" fillId="0" borderId="5" xfId="1" applyNumberFormat="1" applyFont="1" applyFill="1" applyBorder="1" applyAlignment="1">
      <alignment wrapText="1"/>
    </xf>
    <xf numFmtId="0" fontId="27" fillId="0" borderId="5" xfId="2" applyFont="1" applyBorder="1" applyAlignment="1">
      <alignment wrapText="1"/>
    </xf>
    <xf numFmtId="0" fontId="24" fillId="0" borderId="5" xfId="2" applyFont="1" applyBorder="1" applyAlignment="1">
      <alignment wrapText="1"/>
    </xf>
    <xf numFmtId="3" fontId="22" fillId="5" borderId="5" xfId="0" applyNumberFormat="1" applyFont="1" applyFill="1" applyBorder="1"/>
    <xf numFmtId="3" fontId="28" fillId="7" borderId="5" xfId="0" applyNumberFormat="1" applyFont="1" applyFill="1" applyBorder="1"/>
    <xf numFmtId="3" fontId="29" fillId="0" borderId="5" xfId="0" applyNumberFormat="1" applyFont="1" applyBorder="1" applyAlignment="1">
      <alignment vertical="top" wrapText="1"/>
    </xf>
    <xf numFmtId="164" fontId="30" fillId="0" borderId="5" xfId="1" applyNumberFormat="1" applyFont="1" applyFill="1" applyBorder="1" applyAlignment="1">
      <alignment wrapText="1"/>
    </xf>
    <xf numFmtId="3" fontId="28" fillId="5" borderId="5" xfId="0" applyNumberFormat="1" applyFont="1" applyFill="1" applyBorder="1"/>
    <xf numFmtId="3" fontId="25" fillId="5" borderId="5" xfId="0" applyNumberFormat="1" applyFont="1" applyFill="1" applyBorder="1" applyAlignment="1">
      <alignment vertical="center"/>
    </xf>
    <xf numFmtId="165" fontId="27" fillId="5" borderId="5" xfId="2" applyNumberFormat="1" applyFont="1" applyFill="1" applyBorder="1" applyAlignment="1">
      <alignment wrapText="1"/>
    </xf>
    <xf numFmtId="3" fontId="19" fillId="5" borderId="5" xfId="0" applyNumberFormat="1" applyFont="1" applyFill="1" applyBorder="1" applyAlignment="1">
      <alignment vertical="center"/>
    </xf>
    <xf numFmtId="3" fontId="25" fillId="7" borderId="5" xfId="0" applyNumberFormat="1" applyFont="1" applyFill="1" applyBorder="1"/>
    <xf numFmtId="0" fontId="20" fillId="6" borderId="5" xfId="2" applyFont="1" applyFill="1" applyBorder="1" applyAlignment="1">
      <alignment wrapText="1"/>
    </xf>
    <xf numFmtId="0" fontId="12" fillId="0" borderId="5" xfId="2" applyFont="1" applyBorder="1" applyAlignment="1">
      <alignment wrapText="1"/>
    </xf>
    <xf numFmtId="164" fontId="12" fillId="0" borderId="5" xfId="1" applyNumberFormat="1" applyFont="1" applyFill="1" applyBorder="1" applyAlignment="1">
      <alignment wrapText="1"/>
    </xf>
    <xf numFmtId="3" fontId="31" fillId="7" borderId="5" xfId="0" applyNumberFormat="1" applyFont="1" applyFill="1" applyBorder="1"/>
    <xf numFmtId="3" fontId="32" fillId="0" borderId="5" xfId="0" applyNumberFormat="1" applyFont="1" applyBorder="1" applyAlignment="1">
      <alignment vertical="top" wrapText="1"/>
    </xf>
    <xf numFmtId="164" fontId="33" fillId="0" borderId="5" xfId="1" applyNumberFormat="1" applyFont="1" applyFill="1" applyBorder="1" applyAlignment="1">
      <alignment wrapText="1"/>
    </xf>
    <xf numFmtId="3" fontId="31" fillId="5" borderId="5" xfId="0" applyNumberFormat="1" applyFont="1" applyFill="1" applyBorder="1"/>
    <xf numFmtId="3" fontId="34" fillId="0" borderId="0" xfId="0" applyNumberFormat="1" applyFont="1" applyAlignment="1">
      <alignment vertical="top" wrapText="1"/>
    </xf>
    <xf numFmtId="0" fontId="35" fillId="0" borderId="0" xfId="0" applyFont="1"/>
    <xf numFmtId="0" fontId="35" fillId="0" borderId="0" xfId="0" applyFont="1" applyAlignment="1">
      <alignment horizontal="center"/>
    </xf>
    <xf numFmtId="0" fontId="36" fillId="0" borderId="0" xfId="0" applyFont="1"/>
    <xf numFmtId="164" fontId="35" fillId="0" borderId="0" xfId="1" applyNumberFormat="1" applyFont="1"/>
    <xf numFmtId="0" fontId="35" fillId="0" borderId="1" xfId="0" applyFont="1" applyBorder="1"/>
    <xf numFmtId="0" fontId="35" fillId="0" borderId="1" xfId="0" applyFont="1" applyBorder="1" applyAlignment="1">
      <alignment horizontal="center"/>
    </xf>
    <xf numFmtId="3" fontId="35" fillId="0" borderId="1" xfId="0" applyNumberFormat="1" applyFont="1" applyBorder="1"/>
    <xf numFmtId="3" fontId="35" fillId="0" borderId="0" xfId="0" applyNumberFormat="1" applyFont="1"/>
    <xf numFmtId="0" fontId="19" fillId="0" borderId="1" xfId="0" applyFont="1" applyBorder="1"/>
    <xf numFmtId="3" fontId="19" fillId="0" borderId="1" xfId="0" applyNumberFormat="1" applyFont="1" applyBorder="1"/>
    <xf numFmtId="0" fontId="19" fillId="0" borderId="0" xfId="0" applyFont="1"/>
    <xf numFmtId="164" fontId="19" fillId="0" borderId="0" xfId="1" applyNumberFormat="1" applyFont="1"/>
    <xf numFmtId="164" fontId="36" fillId="0" borderId="0" xfId="1" applyNumberFormat="1" applyFont="1"/>
    <xf numFmtId="0" fontId="2" fillId="0" borderId="1" xfId="0" applyFont="1" applyBorder="1"/>
    <xf numFmtId="3" fontId="2" fillId="0" borderId="1" xfId="0" applyNumberFormat="1" applyFont="1" applyBorder="1"/>
    <xf numFmtId="165" fontId="19" fillId="0" borderId="0" xfId="0" applyNumberFormat="1" applyFont="1"/>
    <xf numFmtId="0" fontId="25" fillId="0" borderId="1" xfId="0" applyFont="1" applyBorder="1"/>
    <xf numFmtId="3" fontId="25" fillId="0" borderId="1" xfId="0" applyNumberFormat="1" applyFont="1" applyBorder="1"/>
    <xf numFmtId="0" fontId="22" fillId="0" borderId="0" xfId="0" applyFont="1"/>
    <xf numFmtId="164" fontId="22" fillId="0" borderId="0" xfId="1" applyNumberFormat="1" applyFont="1"/>
    <xf numFmtId="0" fontId="22" fillId="0" borderId="1" xfId="0" applyFont="1" applyBorder="1"/>
    <xf numFmtId="3" fontId="22" fillId="0" borderId="1" xfId="0" applyNumberFormat="1" applyFont="1" applyBorder="1"/>
    <xf numFmtId="164" fontId="19" fillId="0" borderId="0" xfId="0" applyNumberFormat="1" applyFont="1"/>
    <xf numFmtId="0" fontId="25" fillId="0" borderId="0" xfId="0" applyFont="1"/>
    <xf numFmtId="164" fontId="25" fillId="0" borderId="0" xfId="1" applyNumberFormat="1" applyFont="1"/>
    <xf numFmtId="0" fontId="2" fillId="0" borderId="0" xfId="0" applyFont="1"/>
    <xf numFmtId="164" fontId="2" fillId="0" borderId="0" xfId="1" applyNumberFormat="1" applyFont="1"/>
    <xf numFmtId="0" fontId="31" fillId="0" borderId="1" xfId="0" applyFont="1" applyBorder="1"/>
    <xf numFmtId="3" fontId="31" fillId="0" borderId="1" xfId="0" applyNumberFormat="1" applyFont="1" applyBorder="1"/>
    <xf numFmtId="3" fontId="2" fillId="5" borderId="5" xfId="0" applyNumberFormat="1" applyFont="1" applyFill="1" applyBorder="1"/>
    <xf numFmtId="3" fontId="2" fillId="7" borderId="5" xfId="0" applyNumberFormat="1" applyFont="1" applyFill="1" applyBorder="1"/>
    <xf numFmtId="3" fontId="32" fillId="0" borderId="0" xfId="0" applyNumberFormat="1" applyFont="1" applyAlignment="1">
      <alignment vertical="top" wrapText="1"/>
    </xf>
    <xf numFmtId="3" fontId="21" fillId="0" borderId="0" xfId="0" applyNumberFormat="1" applyFont="1" applyAlignment="1">
      <alignment vertical="top" wrapText="1"/>
    </xf>
    <xf numFmtId="164" fontId="36" fillId="0" borderId="0" xfId="0" applyNumberFormat="1" applyFont="1"/>
    <xf numFmtId="3" fontId="19" fillId="8" borderId="5" xfId="0" applyNumberFormat="1" applyFont="1" applyFill="1" applyBorder="1"/>
    <xf numFmtId="0" fontId="37" fillId="0" borderId="5" xfId="0" applyFont="1" applyBorder="1"/>
    <xf numFmtId="0" fontId="38" fillId="0" borderId="0" xfId="0" applyFont="1"/>
    <xf numFmtId="164" fontId="37" fillId="0" borderId="5" xfId="1" applyNumberFormat="1" applyFont="1" applyBorder="1"/>
    <xf numFmtId="0" fontId="39" fillId="0" borderId="5" xfId="0" applyFont="1" applyBorder="1"/>
    <xf numFmtId="164" fontId="39" fillId="0" borderId="5" xfId="1" applyNumberFormat="1" applyFont="1" applyBorder="1"/>
    <xf numFmtId="0" fontId="40" fillId="0" borderId="0" xfId="0" applyFont="1"/>
    <xf numFmtId="164" fontId="38" fillId="0" borderId="0" xfId="0" applyNumberFormat="1" applyFont="1"/>
    <xf numFmtId="164" fontId="38" fillId="0" borderId="0" xfId="1" applyNumberFormat="1" applyFont="1"/>
    <xf numFmtId="164" fontId="38" fillId="0" borderId="5" xfId="1" applyNumberFormat="1" applyFont="1" applyBorder="1"/>
    <xf numFmtId="164" fontId="40" fillId="0" borderId="5" xfId="1" applyNumberFormat="1" applyFont="1" applyBorder="1"/>
    <xf numFmtId="164" fontId="42" fillId="2" borderId="5" xfId="1" applyNumberFormat="1" applyFont="1" applyFill="1" applyBorder="1" applyAlignment="1">
      <alignment vertical="top" wrapText="1"/>
    </xf>
    <xf numFmtId="0" fontId="42" fillId="2" borderId="5" xfId="0" applyFont="1" applyFill="1" applyBorder="1" applyAlignment="1">
      <alignment vertical="top" wrapText="1"/>
    </xf>
    <xf numFmtId="0" fontId="42" fillId="2" borderId="5" xfId="0" applyFont="1" applyFill="1" applyBorder="1" applyAlignment="1">
      <alignment horizontal="center" vertical="top" wrapText="1"/>
    </xf>
    <xf numFmtId="164" fontId="20" fillId="0" borderId="5" xfId="1" applyNumberFormat="1" applyFont="1" applyBorder="1"/>
    <xf numFmtId="0" fontId="43" fillId="0" borderId="5" xfId="0" applyFont="1" applyBorder="1"/>
    <xf numFmtId="164" fontId="43" fillId="0" borderId="5" xfId="1" applyNumberFormat="1" applyFont="1" applyBorder="1"/>
    <xf numFmtId="0" fontId="44" fillId="0" borderId="0" xfId="0" applyFont="1"/>
    <xf numFmtId="164" fontId="40" fillId="0" borderId="0" xfId="1" applyNumberFormat="1" applyFont="1"/>
    <xf numFmtId="0" fontId="45" fillId="2" borderId="5" xfId="0" applyFont="1" applyFill="1" applyBorder="1" applyAlignment="1">
      <alignment vertical="top" wrapText="1"/>
    </xf>
    <xf numFmtId="0" fontId="45" fillId="2" borderId="5" xfId="0" applyFont="1" applyFill="1" applyBorder="1" applyAlignment="1">
      <alignment horizontal="center" vertical="top" wrapText="1"/>
    </xf>
    <xf numFmtId="164" fontId="45" fillId="2" borderId="5" xfId="1" applyNumberFormat="1" applyFont="1" applyFill="1" applyBorder="1" applyAlignment="1">
      <alignment vertical="top" wrapText="1"/>
    </xf>
    <xf numFmtId="0" fontId="28" fillId="0" borderId="1" xfId="0" applyFont="1" applyBorder="1"/>
    <xf numFmtId="3" fontId="28" fillId="0" borderId="1" xfId="0" applyNumberFormat="1" applyFont="1" applyBorder="1"/>
    <xf numFmtId="0" fontId="28" fillId="0" borderId="0" xfId="0" applyFont="1"/>
    <xf numFmtId="164" fontId="28" fillId="0" borderId="0" xfId="1" applyNumberFormat="1" applyFont="1"/>
    <xf numFmtId="0" fontId="12" fillId="10" borderId="0" xfId="0" applyFont="1" applyFill="1"/>
    <xf numFmtId="164" fontId="40" fillId="0" borderId="6" xfId="1" applyNumberFormat="1" applyFont="1" applyBorder="1"/>
    <xf numFmtId="164" fontId="38" fillId="0" borderId="6" xfId="1" applyNumberFormat="1" applyFont="1" applyBorder="1"/>
    <xf numFmtId="0" fontId="12" fillId="0" borderId="5" xfId="0" applyFont="1" applyBorder="1"/>
    <xf numFmtId="0" fontId="38" fillId="0" borderId="5" xfId="0" applyFont="1" applyBorder="1"/>
    <xf numFmtId="0" fontId="20" fillId="0" borderId="5" xfId="0" applyFont="1" applyBorder="1"/>
    <xf numFmtId="0" fontId="12" fillId="10" borderId="5" xfId="0" applyFont="1" applyFill="1" applyBorder="1"/>
    <xf numFmtId="0" fontId="12" fillId="0" borderId="5" xfId="0" applyFont="1" applyBorder="1" applyAlignment="1">
      <alignment vertical="center"/>
    </xf>
    <xf numFmtId="0" fontId="40" fillId="0" borderId="5" xfId="0" applyFont="1" applyBorder="1"/>
    <xf numFmtId="166" fontId="38" fillId="0" borderId="0" xfId="1" applyNumberFormat="1" applyFont="1"/>
    <xf numFmtId="166" fontId="38" fillId="0" borderId="5" xfId="1" applyNumberFormat="1" applyFont="1" applyBorder="1"/>
    <xf numFmtId="166" fontId="40" fillId="0" borderId="5" xfId="1" applyNumberFormat="1" applyFont="1" applyBorder="1"/>
    <xf numFmtId="164" fontId="44" fillId="0" borderId="6" xfId="1" applyNumberFormat="1" applyFont="1" applyBorder="1"/>
    <xf numFmtId="0" fontId="44" fillId="0" borderId="5" xfId="0" applyFont="1" applyBorder="1"/>
    <xf numFmtId="164" fontId="44" fillId="0" borderId="5" xfId="1" applyNumberFormat="1" applyFont="1" applyBorder="1"/>
    <xf numFmtId="164" fontId="33" fillId="0" borderId="5" xfId="1" applyNumberFormat="1" applyFont="1" applyBorder="1"/>
    <xf numFmtId="164" fontId="46" fillId="0" borderId="6" xfId="1" applyNumberFormat="1" applyFont="1" applyBorder="1"/>
    <xf numFmtId="0" fontId="46" fillId="0" borderId="5" xfId="0" applyFont="1" applyBorder="1"/>
    <xf numFmtId="164" fontId="46" fillId="0" borderId="5" xfId="1" applyNumberFormat="1" applyFont="1" applyBorder="1"/>
    <xf numFmtId="166" fontId="44" fillId="0" borderId="5" xfId="1" applyNumberFormat="1" applyFont="1" applyBorder="1"/>
    <xf numFmtId="166" fontId="46" fillId="0" borderId="5" xfId="1" applyNumberFormat="1" applyFont="1" applyBorder="1"/>
    <xf numFmtId="164" fontId="16" fillId="0" borderId="5" xfId="1" applyNumberFormat="1" applyFont="1" applyFill="1" applyBorder="1" applyAlignment="1">
      <alignment wrapText="1"/>
    </xf>
    <xf numFmtId="0" fontId="14" fillId="0" borderId="5" xfId="2" applyFont="1" applyBorder="1" applyAlignment="1">
      <alignment horizontal="center"/>
    </xf>
    <xf numFmtId="0" fontId="51" fillId="0" borderId="5" xfId="0" applyFont="1" applyBorder="1"/>
    <xf numFmtId="0" fontId="52" fillId="0" borderId="7" xfId="2" applyFont="1" applyBorder="1" applyAlignment="1">
      <alignment horizontal="center"/>
    </xf>
    <xf numFmtId="165" fontId="52" fillId="0" borderId="5" xfId="1" applyNumberFormat="1" applyFont="1" applyFill="1" applyBorder="1" applyAlignment="1">
      <alignment horizontal="center"/>
    </xf>
    <xf numFmtId="164" fontId="52" fillId="0" borderId="5" xfId="1" applyNumberFormat="1" applyFont="1" applyFill="1" applyBorder="1" applyAlignment="1">
      <alignment horizontal="center"/>
    </xf>
    <xf numFmtId="0" fontId="0" fillId="0" borderId="5" xfId="0" applyBorder="1"/>
    <xf numFmtId="0" fontId="14" fillId="0" borderId="7" xfId="2" applyFont="1" applyBorder="1" applyAlignment="1">
      <alignment wrapText="1"/>
    </xf>
    <xf numFmtId="165" fontId="14" fillId="0" borderId="5" xfId="1" applyNumberFormat="1" applyFont="1" applyFill="1" applyBorder="1" applyAlignment="1">
      <alignment wrapText="1"/>
    </xf>
    <xf numFmtId="0" fontId="16" fillId="0" borderId="5" xfId="2" applyFont="1" applyBorder="1" applyAlignment="1">
      <alignment wrapText="1"/>
    </xf>
    <xf numFmtId="164" fontId="37" fillId="0" borderId="5" xfId="1" applyNumberFormat="1" applyFont="1" applyFill="1" applyBorder="1"/>
    <xf numFmtId="0" fontId="16" fillId="0" borderId="7" xfId="2" applyFont="1" applyBorder="1" applyAlignment="1">
      <alignment wrapText="1"/>
    </xf>
    <xf numFmtId="165" fontId="16" fillId="0" borderId="5" xfId="1" applyNumberFormat="1" applyFont="1" applyFill="1" applyBorder="1" applyAlignment="1">
      <alignment wrapText="1"/>
    </xf>
    <xf numFmtId="3" fontId="1" fillId="0" borderId="7" xfId="0" applyNumberFormat="1" applyFont="1" applyBorder="1"/>
    <xf numFmtId="0" fontId="1" fillId="0" borderId="7" xfId="0" applyFont="1" applyBorder="1"/>
    <xf numFmtId="165" fontId="1" fillId="0" borderId="5" xfId="1" applyNumberFormat="1" applyFont="1" applyFill="1" applyBorder="1" applyAlignment="1"/>
    <xf numFmtId="0" fontId="20" fillId="0" borderId="7" xfId="2" applyFont="1" applyBorder="1" applyAlignment="1">
      <alignment wrapText="1"/>
    </xf>
    <xf numFmtId="165" fontId="20" fillId="0" borderId="5" xfId="1" applyNumberFormat="1" applyFont="1" applyFill="1" applyBorder="1" applyAlignment="1">
      <alignment wrapText="1"/>
    </xf>
    <xf numFmtId="3" fontId="19" fillId="0" borderId="7" xfId="0" applyNumberFormat="1" applyFont="1" applyBorder="1"/>
    <xf numFmtId="165" fontId="21" fillId="0" borderId="5" xfId="1" applyNumberFormat="1" applyFont="1" applyFill="1" applyBorder="1" applyAlignment="1">
      <alignment vertical="top" wrapText="1"/>
    </xf>
    <xf numFmtId="165" fontId="15" fillId="0" borderId="5" xfId="1" applyNumberFormat="1" applyFont="1" applyFill="1" applyBorder="1" applyAlignment="1">
      <alignment vertical="top" wrapText="1"/>
    </xf>
    <xf numFmtId="0" fontId="12" fillId="0" borderId="7" xfId="2" applyFont="1" applyBorder="1" applyAlignment="1">
      <alignment wrapText="1"/>
    </xf>
    <xf numFmtId="165" fontId="12" fillId="0" borderId="5" xfId="1" applyNumberFormat="1" applyFont="1" applyFill="1" applyBorder="1" applyAlignment="1">
      <alignment wrapText="1"/>
    </xf>
    <xf numFmtId="165" fontId="47" fillId="0" borderId="5" xfId="1" applyNumberFormat="1" applyFont="1" applyFill="1" applyBorder="1" applyAlignment="1">
      <alignment vertical="top" wrapText="1"/>
    </xf>
    <xf numFmtId="3" fontId="48" fillId="0" borderId="7" xfId="0" applyNumberFormat="1" applyFont="1" applyBorder="1"/>
    <xf numFmtId="3" fontId="5" fillId="0" borderId="3" xfId="0" applyNumberFormat="1" applyFont="1" applyBorder="1"/>
    <xf numFmtId="165" fontId="49" fillId="0" borderId="0" xfId="1" applyNumberFormat="1" applyFont="1" applyFill="1" applyAlignment="1">
      <alignment horizontal="right" vertical="top" wrapText="1"/>
    </xf>
    <xf numFmtId="0" fontId="14" fillId="0" borderId="5" xfId="2" applyFont="1" applyBorder="1" applyAlignment="1">
      <alignment vertical="center" wrapText="1"/>
    </xf>
    <xf numFmtId="3" fontId="1" fillId="0" borderId="7" xfId="0" applyNumberFormat="1" applyFont="1" applyBorder="1" applyAlignment="1">
      <alignment vertical="center"/>
    </xf>
    <xf numFmtId="3" fontId="0" fillId="0" borderId="7" xfId="0" applyNumberFormat="1" applyBorder="1"/>
    <xf numFmtId="3" fontId="50" fillId="0" borderId="0" xfId="0" applyNumberFormat="1" applyFont="1" applyAlignment="1">
      <alignment horizontal="right" vertical="top" wrapText="1"/>
    </xf>
    <xf numFmtId="165" fontId="17" fillId="0" borderId="0" xfId="1" applyNumberFormat="1" applyFont="1" applyFill="1" applyAlignment="1">
      <alignment vertical="top" wrapText="1"/>
    </xf>
    <xf numFmtId="0" fontId="18" fillId="0" borderId="5" xfId="2" applyFont="1" applyBorder="1" applyAlignment="1">
      <alignment wrapText="1"/>
    </xf>
    <xf numFmtId="3" fontId="10" fillId="0" borderId="7" xfId="0" applyNumberFormat="1" applyFont="1" applyBorder="1"/>
    <xf numFmtId="165" fontId="10" fillId="0" borderId="5" xfId="1" applyNumberFormat="1" applyFont="1" applyFill="1" applyBorder="1" applyAlignment="1"/>
    <xf numFmtId="165" fontId="48" fillId="0" borderId="5" xfId="1" applyNumberFormat="1" applyFont="1" applyFill="1" applyBorder="1" applyAlignment="1"/>
    <xf numFmtId="165" fontId="19" fillId="0" borderId="5" xfId="1" applyNumberFormat="1" applyFont="1" applyFill="1" applyBorder="1" applyAlignment="1"/>
    <xf numFmtId="165" fontId="12" fillId="0" borderId="0" xfId="1" applyNumberFormat="1" applyFont="1" applyFill="1" applyAlignment="1"/>
    <xf numFmtId="164" fontId="12" fillId="0" borderId="0" xfId="1" applyNumberFormat="1" applyFont="1" applyFill="1" applyAlignment="1"/>
    <xf numFmtId="3" fontId="31" fillId="0" borderId="7" xfId="0" applyNumberFormat="1" applyFont="1" applyBorder="1"/>
    <xf numFmtId="165" fontId="32" fillId="0" borderId="5" xfId="1" applyNumberFormat="1" applyFont="1" applyFill="1" applyBorder="1" applyAlignment="1">
      <alignment vertical="top" wrapText="1"/>
    </xf>
    <xf numFmtId="3" fontId="4" fillId="0" borderId="0" xfId="0" applyNumberFormat="1" applyFont="1" applyAlignment="1">
      <alignment horizontal="center"/>
    </xf>
    <xf numFmtId="0" fontId="0" fillId="0" borderId="0" xfId="0"/>
    <xf numFmtId="3" fontId="4" fillId="0" borderId="2" xfId="0" applyNumberFormat="1" applyFont="1" applyBorder="1" applyAlignment="1">
      <alignment horizontal="center"/>
    </xf>
    <xf numFmtId="0" fontId="6" fillId="0" borderId="3" xfId="0" applyFont="1" applyBorder="1"/>
    <xf numFmtId="0" fontId="11" fillId="2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41" fillId="0" borderId="0" xfId="0" applyFont="1" applyAlignment="1">
      <alignment horizontal="center" vertical="center"/>
    </xf>
    <xf numFmtId="0" fontId="51" fillId="0" borderId="0" xfId="0" applyFont="1" applyAlignment="1">
      <alignment horizontal="center"/>
    </xf>
    <xf numFmtId="0" fontId="51" fillId="0" borderId="6" xfId="0" applyFont="1" applyBorder="1" applyAlignment="1">
      <alignment horizontal="center"/>
    </xf>
    <xf numFmtId="0" fontId="51" fillId="0" borderId="7" xfId="0" applyFont="1" applyBorder="1" applyAlignment="1">
      <alignment horizontal="center"/>
    </xf>
    <xf numFmtId="0" fontId="51" fillId="0" borderId="8" xfId="0" applyFont="1" applyBorder="1" applyAlignment="1">
      <alignment horizontal="center"/>
    </xf>
    <xf numFmtId="3" fontId="35" fillId="0" borderId="0" xfId="0" applyNumberFormat="1" applyFont="1" applyAlignment="1">
      <alignment horizontal="center"/>
    </xf>
    <xf numFmtId="0" fontId="36" fillId="0" borderId="0" xfId="0" applyFont="1"/>
    <xf numFmtId="3" fontId="0" fillId="0" borderId="0" xfId="0" applyNumberFormat="1"/>
  </cellXfs>
  <cellStyles count="3">
    <cellStyle name="Comma" xfId="1" builtinId="3"/>
    <cellStyle name="Normal" xfId="0" builtinId="0"/>
    <cellStyle name="Normal_Sheet2" xfId="2" xr:uid="{BA9EDB48-6255-42B4-B12C-892E44E0C0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001"/>
  <sheetViews>
    <sheetView topLeftCell="A160" workbookViewId="0">
      <selection activeCell="D285" sqref="D285"/>
    </sheetView>
  </sheetViews>
  <sheetFormatPr defaultColWidth="12.5703125" defaultRowHeight="15.75" customHeight="1" x14ac:dyDescent="0.2"/>
  <cols>
    <col min="1" max="1" width="56.42578125" customWidth="1"/>
    <col min="2" max="2" width="6" customWidth="1"/>
    <col min="3" max="3" width="11.5703125" customWidth="1"/>
    <col min="4" max="4" width="13.85546875" bestFit="1" customWidth="1"/>
    <col min="5" max="5" width="13.5703125" customWidth="1"/>
    <col min="6" max="6" width="13.85546875" bestFit="1" customWidth="1"/>
    <col min="7" max="7" width="13.140625" customWidth="1"/>
    <col min="8" max="8" width="14.85546875" bestFit="1" customWidth="1"/>
    <col min="9" max="9" width="12.42578125" customWidth="1"/>
    <col min="10" max="10" width="13.85546875" bestFit="1" customWidth="1"/>
  </cols>
  <sheetData>
    <row r="1" spans="1:23" x14ac:dyDescent="0.2">
      <c r="A1" s="1"/>
      <c r="B1" s="2"/>
      <c r="C1" s="210" t="s">
        <v>0</v>
      </c>
      <c r="D1" s="211"/>
      <c r="E1" s="210" t="s">
        <v>1</v>
      </c>
      <c r="F1" s="211"/>
      <c r="G1" s="210" t="s">
        <v>2</v>
      </c>
      <c r="H1" s="211"/>
      <c r="I1" s="210" t="s">
        <v>3</v>
      </c>
      <c r="J1" s="21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">
      <c r="A2" s="3" t="s">
        <v>4</v>
      </c>
      <c r="B2" s="4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6</v>
      </c>
      <c r="H2" s="5" t="s">
        <v>10</v>
      </c>
      <c r="I2" s="5" t="s">
        <v>6</v>
      </c>
      <c r="J2" s="5" t="s">
        <v>9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">
      <c r="A3" s="6" t="s">
        <v>11</v>
      </c>
      <c r="B3" s="7">
        <v>1</v>
      </c>
      <c r="C3" s="8">
        <v>250</v>
      </c>
      <c r="D3" s="8">
        <v>6861365</v>
      </c>
      <c r="E3" s="8">
        <v>100</v>
      </c>
      <c r="F3" s="8">
        <v>2716600</v>
      </c>
      <c r="G3" s="8">
        <v>135</v>
      </c>
      <c r="H3" s="8">
        <v>3694358</v>
      </c>
      <c r="I3" s="8">
        <v>215</v>
      </c>
      <c r="J3" s="8">
        <v>5883607</v>
      </c>
    </row>
    <row r="4" spans="1:23" x14ac:dyDescent="0.2">
      <c r="A4" s="6" t="s">
        <v>12</v>
      </c>
      <c r="B4" s="7">
        <v>1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</row>
    <row r="5" spans="1:23" x14ac:dyDescent="0.2">
      <c r="A5" s="6" t="s">
        <v>13</v>
      </c>
      <c r="B5" s="7">
        <v>1</v>
      </c>
      <c r="C5" s="8">
        <v>1221</v>
      </c>
      <c r="D5" s="8">
        <v>40068502</v>
      </c>
      <c r="E5" s="8">
        <v>0</v>
      </c>
      <c r="F5" s="8">
        <v>0</v>
      </c>
      <c r="G5" s="8">
        <v>94</v>
      </c>
      <c r="H5" s="8">
        <v>3084717</v>
      </c>
      <c r="I5" s="8">
        <v>1127</v>
      </c>
      <c r="J5" s="8">
        <v>36983785</v>
      </c>
    </row>
    <row r="6" spans="1:23" x14ac:dyDescent="0.2">
      <c r="A6" s="6" t="s">
        <v>14</v>
      </c>
      <c r="B6" s="7">
        <v>1</v>
      </c>
      <c r="C6" s="8">
        <v>125</v>
      </c>
      <c r="D6" s="8">
        <v>37241817</v>
      </c>
      <c r="E6" s="8">
        <v>0</v>
      </c>
      <c r="F6" s="8">
        <v>0</v>
      </c>
      <c r="G6" s="8">
        <v>0</v>
      </c>
      <c r="H6" s="8">
        <v>0</v>
      </c>
      <c r="I6" s="8">
        <v>125</v>
      </c>
      <c r="J6" s="8">
        <v>37241817</v>
      </c>
    </row>
    <row r="7" spans="1:23" x14ac:dyDescent="0.2">
      <c r="A7" s="6" t="s">
        <v>15</v>
      </c>
      <c r="B7" s="7">
        <v>1</v>
      </c>
      <c r="C7" s="8">
        <v>510</v>
      </c>
      <c r="D7" s="8">
        <v>69373706</v>
      </c>
      <c r="E7" s="8">
        <v>0</v>
      </c>
      <c r="F7" s="8">
        <v>0</v>
      </c>
      <c r="G7" s="8">
        <v>0</v>
      </c>
      <c r="H7" s="8">
        <v>0</v>
      </c>
      <c r="I7" s="8">
        <v>510</v>
      </c>
      <c r="J7" s="8">
        <v>69373706</v>
      </c>
    </row>
    <row r="8" spans="1:23" x14ac:dyDescent="0.2">
      <c r="A8" s="6" t="s">
        <v>16</v>
      </c>
      <c r="B8" s="7">
        <v>1</v>
      </c>
      <c r="C8" s="8">
        <v>354</v>
      </c>
      <c r="D8" s="8">
        <v>55405030</v>
      </c>
      <c r="E8" s="8">
        <v>0</v>
      </c>
      <c r="F8" s="8">
        <v>0</v>
      </c>
      <c r="G8" s="8">
        <v>0</v>
      </c>
      <c r="H8" s="8">
        <v>0</v>
      </c>
      <c r="I8" s="8">
        <v>354</v>
      </c>
      <c r="J8" s="8">
        <v>55405030</v>
      </c>
    </row>
    <row r="9" spans="1:23" x14ac:dyDescent="0.2">
      <c r="A9" s="6" t="s">
        <v>17</v>
      </c>
      <c r="B9" s="7">
        <v>1</v>
      </c>
      <c r="C9" s="8">
        <v>169</v>
      </c>
      <c r="D9" s="8">
        <v>40442640</v>
      </c>
      <c r="E9" s="8">
        <v>0</v>
      </c>
      <c r="F9" s="8">
        <v>0</v>
      </c>
      <c r="G9" s="8">
        <v>0</v>
      </c>
      <c r="H9" s="8">
        <v>0</v>
      </c>
      <c r="I9" s="8">
        <v>169</v>
      </c>
      <c r="J9" s="8">
        <v>40442640</v>
      </c>
    </row>
    <row r="10" spans="1:23" x14ac:dyDescent="0.2">
      <c r="A10" s="6" t="s">
        <v>18</v>
      </c>
      <c r="B10" s="7">
        <v>1</v>
      </c>
      <c r="C10" s="8">
        <v>894</v>
      </c>
      <c r="D10" s="8">
        <v>19467870</v>
      </c>
      <c r="E10" s="8">
        <v>0</v>
      </c>
      <c r="F10" s="8">
        <v>0</v>
      </c>
      <c r="G10" s="8">
        <v>0</v>
      </c>
      <c r="H10" s="8">
        <v>0</v>
      </c>
      <c r="I10" s="8">
        <v>894</v>
      </c>
      <c r="J10" s="8">
        <v>19467870</v>
      </c>
    </row>
    <row r="11" spans="1:23" x14ac:dyDescent="0.2">
      <c r="A11" s="6" t="s">
        <v>19</v>
      </c>
      <c r="B11" s="7">
        <v>1</v>
      </c>
      <c r="C11" s="8">
        <v>180</v>
      </c>
      <c r="D11" s="8">
        <v>3904035</v>
      </c>
      <c r="E11" s="8">
        <v>0</v>
      </c>
      <c r="F11" s="8">
        <v>0</v>
      </c>
      <c r="G11" s="8">
        <v>0</v>
      </c>
      <c r="H11" s="8">
        <v>0</v>
      </c>
      <c r="I11" s="8">
        <v>180</v>
      </c>
      <c r="J11" s="8">
        <v>3904035</v>
      </c>
    </row>
    <row r="12" spans="1:23" x14ac:dyDescent="0.2">
      <c r="A12" s="6" t="s">
        <v>20</v>
      </c>
      <c r="B12" s="7">
        <v>1</v>
      </c>
      <c r="C12" s="8">
        <v>307</v>
      </c>
      <c r="D12" s="8">
        <v>32682234</v>
      </c>
      <c r="E12" s="8">
        <v>0</v>
      </c>
      <c r="F12" s="8">
        <v>0</v>
      </c>
      <c r="G12" s="8">
        <v>0</v>
      </c>
      <c r="H12" s="8">
        <v>0</v>
      </c>
      <c r="I12" s="8">
        <v>307</v>
      </c>
      <c r="J12" s="8">
        <v>32682234</v>
      </c>
    </row>
    <row r="13" spans="1:23" x14ac:dyDescent="0.2">
      <c r="A13" s="6" t="s">
        <v>21</v>
      </c>
      <c r="B13" s="7">
        <v>1</v>
      </c>
      <c r="C13" s="8">
        <v>192</v>
      </c>
      <c r="D13" s="8">
        <v>45946668</v>
      </c>
      <c r="E13" s="8">
        <v>0</v>
      </c>
      <c r="F13" s="8">
        <v>0</v>
      </c>
      <c r="G13" s="8">
        <v>0</v>
      </c>
      <c r="H13" s="8">
        <v>0</v>
      </c>
      <c r="I13" s="8">
        <v>192</v>
      </c>
      <c r="J13" s="8">
        <v>45946668</v>
      </c>
    </row>
    <row r="14" spans="1:23" x14ac:dyDescent="0.2">
      <c r="A14" s="6" t="s">
        <v>22</v>
      </c>
      <c r="B14" s="7">
        <v>1</v>
      </c>
      <c r="C14" s="8">
        <v>18</v>
      </c>
      <c r="D14" s="8">
        <v>407934</v>
      </c>
      <c r="E14" s="8">
        <v>0</v>
      </c>
      <c r="F14" s="8">
        <v>0</v>
      </c>
      <c r="G14" s="8">
        <v>0</v>
      </c>
      <c r="H14" s="8">
        <v>0</v>
      </c>
      <c r="I14" s="8">
        <v>18</v>
      </c>
      <c r="J14" s="8">
        <v>407934</v>
      </c>
    </row>
    <row r="15" spans="1:23" x14ac:dyDescent="0.2">
      <c r="A15" s="6" t="s">
        <v>23</v>
      </c>
      <c r="B15" s="7">
        <v>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</row>
    <row r="16" spans="1:23" x14ac:dyDescent="0.2">
      <c r="A16" s="6" t="s">
        <v>24</v>
      </c>
      <c r="B16" s="7">
        <v>1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</row>
    <row r="17" spans="1:10" x14ac:dyDescent="0.2">
      <c r="A17" s="6" t="s">
        <v>25</v>
      </c>
      <c r="B17" s="7">
        <v>1</v>
      </c>
      <c r="C17" s="8">
        <v>0</v>
      </c>
      <c r="D17" s="8">
        <v>0</v>
      </c>
      <c r="E17" s="8">
        <v>35</v>
      </c>
      <c r="F17" s="8">
        <v>731815</v>
      </c>
      <c r="G17" s="8">
        <v>0</v>
      </c>
      <c r="H17" s="8">
        <v>0</v>
      </c>
      <c r="I17" s="8">
        <v>35</v>
      </c>
      <c r="J17" s="8">
        <v>731815</v>
      </c>
    </row>
    <row r="18" spans="1:10" x14ac:dyDescent="0.2">
      <c r="A18" s="6" t="s">
        <v>26</v>
      </c>
      <c r="B18" s="7">
        <v>1</v>
      </c>
      <c r="C18" s="8">
        <v>0</v>
      </c>
      <c r="D18" s="8">
        <v>0</v>
      </c>
      <c r="E18" s="8">
        <v>48</v>
      </c>
      <c r="F18" s="8">
        <v>1221840</v>
      </c>
      <c r="G18" s="8">
        <v>0</v>
      </c>
      <c r="H18" s="8">
        <v>0</v>
      </c>
      <c r="I18" s="8">
        <v>48</v>
      </c>
      <c r="J18" s="8">
        <v>1221840</v>
      </c>
    </row>
    <row r="19" spans="1:10" x14ac:dyDescent="0.2">
      <c r="A19" s="6" t="s">
        <v>27</v>
      </c>
      <c r="B19" s="7">
        <v>1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</row>
    <row r="20" spans="1:10" x14ac:dyDescent="0.2">
      <c r="A20" s="6" t="s">
        <v>28</v>
      </c>
      <c r="B20" s="7">
        <v>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</row>
    <row r="21" spans="1:10" x14ac:dyDescent="0.2">
      <c r="A21" s="6" t="s">
        <v>29</v>
      </c>
      <c r="B21" s="7">
        <v>1</v>
      </c>
      <c r="C21" s="8">
        <v>0</v>
      </c>
      <c r="D21" s="8">
        <v>0</v>
      </c>
      <c r="E21" s="8">
        <v>150</v>
      </c>
      <c r="F21" s="8">
        <v>39640950</v>
      </c>
      <c r="G21" s="8">
        <v>0</v>
      </c>
      <c r="H21" s="8">
        <v>0</v>
      </c>
      <c r="I21" s="8">
        <v>150</v>
      </c>
      <c r="J21" s="8">
        <v>39640950</v>
      </c>
    </row>
    <row r="22" spans="1:10" x14ac:dyDescent="0.2">
      <c r="A22" s="6" t="s">
        <v>30</v>
      </c>
      <c r="B22" s="7">
        <v>1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</row>
    <row r="23" spans="1:10" x14ac:dyDescent="0.2">
      <c r="A23" s="6" t="s">
        <v>31</v>
      </c>
      <c r="B23" s="7">
        <v>1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</row>
    <row r="24" spans="1:10" x14ac:dyDescent="0.2">
      <c r="A24" s="6" t="s">
        <v>32</v>
      </c>
      <c r="B24" s="7">
        <v>1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</row>
    <row r="25" spans="1:10" x14ac:dyDescent="0.2">
      <c r="A25" s="6" t="s">
        <v>33</v>
      </c>
      <c r="B25" s="7">
        <v>1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</row>
    <row r="26" spans="1:10" x14ac:dyDescent="0.2">
      <c r="A26" s="6" t="s">
        <v>34</v>
      </c>
      <c r="B26" s="7">
        <v>1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</row>
    <row r="27" spans="1:10" x14ac:dyDescent="0.2">
      <c r="A27" s="6" t="s">
        <v>35</v>
      </c>
      <c r="B27" s="7">
        <v>1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</row>
    <row r="28" spans="1:10" x14ac:dyDescent="0.2">
      <c r="A28" s="6" t="s">
        <v>36</v>
      </c>
      <c r="B28" s="7">
        <v>1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</row>
    <row r="29" spans="1:10" x14ac:dyDescent="0.2">
      <c r="A29" s="6" t="s">
        <v>37</v>
      </c>
      <c r="B29" s="7">
        <v>1</v>
      </c>
      <c r="C29" s="8">
        <v>7735</v>
      </c>
      <c r="D29" s="8">
        <v>419285251</v>
      </c>
      <c r="E29" s="8">
        <v>3520</v>
      </c>
      <c r="F29" s="8">
        <v>186528320</v>
      </c>
      <c r="G29" s="8">
        <v>2784</v>
      </c>
      <c r="H29" s="8">
        <v>149852064</v>
      </c>
      <c r="I29" s="8">
        <v>8471</v>
      </c>
      <c r="J29" s="8">
        <v>455961507</v>
      </c>
    </row>
    <row r="30" spans="1:10" x14ac:dyDescent="0.2">
      <c r="A30" s="6" t="s">
        <v>38</v>
      </c>
      <c r="B30" s="7">
        <v>1</v>
      </c>
      <c r="C30" s="8">
        <v>7629</v>
      </c>
      <c r="D30" s="8">
        <v>238731747</v>
      </c>
      <c r="E30" s="8">
        <v>7920</v>
      </c>
      <c r="F30" s="8">
        <v>234653760</v>
      </c>
      <c r="G30" s="8">
        <v>7164</v>
      </c>
      <c r="H30" s="8">
        <v>218106230</v>
      </c>
      <c r="I30" s="8">
        <v>8385</v>
      </c>
      <c r="J30" s="8">
        <v>255279277</v>
      </c>
    </row>
    <row r="31" spans="1:10" x14ac:dyDescent="0.2">
      <c r="A31" s="6" t="s">
        <v>39</v>
      </c>
      <c r="B31" s="7">
        <v>1</v>
      </c>
      <c r="C31" s="8">
        <v>2385</v>
      </c>
      <c r="D31" s="8">
        <v>81090000</v>
      </c>
      <c r="E31" s="8">
        <v>2640</v>
      </c>
      <c r="F31" s="8">
        <v>88912560</v>
      </c>
      <c r="G31" s="8">
        <v>2415</v>
      </c>
      <c r="H31" s="8">
        <v>81702723</v>
      </c>
      <c r="I31" s="8">
        <v>2610</v>
      </c>
      <c r="J31" s="8">
        <v>88299837</v>
      </c>
    </row>
    <row r="32" spans="1:10" x14ac:dyDescent="0.2">
      <c r="A32" s="6" t="s">
        <v>40</v>
      </c>
      <c r="B32" s="7">
        <v>1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</row>
    <row r="33" spans="1:10" x14ac:dyDescent="0.2">
      <c r="A33" s="6" t="s">
        <v>41</v>
      </c>
      <c r="B33" s="7">
        <v>1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</row>
    <row r="34" spans="1:10" x14ac:dyDescent="0.2">
      <c r="A34" s="6" t="s">
        <v>42</v>
      </c>
      <c r="B34" s="7">
        <v>1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</row>
    <row r="35" spans="1:10" x14ac:dyDescent="0.2">
      <c r="A35" s="6" t="s">
        <v>43</v>
      </c>
      <c r="B35" s="7">
        <v>1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</row>
    <row r="36" spans="1:10" x14ac:dyDescent="0.2">
      <c r="A36" s="6" t="s">
        <v>44</v>
      </c>
      <c r="B36" s="7">
        <v>1</v>
      </c>
      <c r="C36" s="8">
        <v>1145</v>
      </c>
      <c r="D36" s="8">
        <v>38562218</v>
      </c>
      <c r="E36" s="8">
        <v>225</v>
      </c>
      <c r="F36" s="8">
        <v>7577775</v>
      </c>
      <c r="G36" s="8">
        <v>435</v>
      </c>
      <c r="H36" s="8">
        <v>14650290</v>
      </c>
      <c r="I36" s="8">
        <v>935</v>
      </c>
      <c r="J36" s="8">
        <v>31489703</v>
      </c>
    </row>
    <row r="37" spans="1:10" x14ac:dyDescent="0.2">
      <c r="A37" s="6" t="s">
        <v>45</v>
      </c>
      <c r="B37" s="7">
        <v>1</v>
      </c>
      <c r="C37" s="8">
        <v>1092</v>
      </c>
      <c r="D37" s="8">
        <v>36775281</v>
      </c>
      <c r="E37" s="8">
        <v>0</v>
      </c>
      <c r="F37" s="8">
        <v>0</v>
      </c>
      <c r="G37" s="8">
        <v>30</v>
      </c>
      <c r="H37" s="8">
        <v>1010310</v>
      </c>
      <c r="I37" s="8">
        <v>1062</v>
      </c>
      <c r="J37" s="8">
        <v>35764971</v>
      </c>
    </row>
    <row r="38" spans="1:10" x14ac:dyDescent="0.2">
      <c r="A38" s="6" t="s">
        <v>46</v>
      </c>
      <c r="B38" s="7">
        <v>1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</row>
    <row r="39" spans="1:10" x14ac:dyDescent="0.2">
      <c r="A39" s="6" t="s">
        <v>47</v>
      </c>
      <c r="B39" s="7">
        <v>1</v>
      </c>
      <c r="C39" s="8">
        <v>0</v>
      </c>
      <c r="D39" s="8">
        <v>0</v>
      </c>
      <c r="E39" s="8">
        <v>1250</v>
      </c>
      <c r="F39" s="8">
        <v>5681250</v>
      </c>
      <c r="G39" s="8">
        <v>0</v>
      </c>
      <c r="H39" s="8">
        <v>0</v>
      </c>
      <c r="I39" s="8">
        <v>1250</v>
      </c>
      <c r="J39" s="8">
        <v>5681250</v>
      </c>
    </row>
    <row r="40" spans="1:10" x14ac:dyDescent="0.2">
      <c r="A40" s="6" t="s">
        <v>48</v>
      </c>
      <c r="B40" s="7">
        <v>1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</row>
    <row r="41" spans="1:10" x14ac:dyDescent="0.2">
      <c r="A41" s="6" t="s">
        <v>49</v>
      </c>
      <c r="B41" s="7">
        <v>1</v>
      </c>
      <c r="C41" s="8">
        <v>0</v>
      </c>
      <c r="D41" s="8">
        <v>0</v>
      </c>
      <c r="E41" s="8">
        <v>1200</v>
      </c>
      <c r="F41" s="8">
        <v>5672400</v>
      </c>
      <c r="G41" s="8">
        <v>0</v>
      </c>
      <c r="H41" s="8">
        <v>0</v>
      </c>
      <c r="I41" s="8">
        <v>1200</v>
      </c>
      <c r="J41" s="8">
        <v>5672400</v>
      </c>
    </row>
    <row r="42" spans="1:10" x14ac:dyDescent="0.2">
      <c r="A42" s="6" t="s">
        <v>50</v>
      </c>
      <c r="B42" s="7">
        <v>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</row>
    <row r="43" spans="1:10" x14ac:dyDescent="0.2">
      <c r="A43" s="6" t="s">
        <v>51</v>
      </c>
      <c r="B43" s="7">
        <v>1</v>
      </c>
      <c r="C43" s="8">
        <v>0</v>
      </c>
      <c r="D43" s="8">
        <v>0</v>
      </c>
      <c r="E43" s="8">
        <v>500</v>
      </c>
      <c r="F43" s="8">
        <v>1818000</v>
      </c>
      <c r="G43" s="8">
        <v>0</v>
      </c>
      <c r="H43" s="8">
        <v>0</v>
      </c>
      <c r="I43" s="8">
        <v>500</v>
      </c>
      <c r="J43" s="8">
        <v>1818000</v>
      </c>
    </row>
    <row r="44" spans="1:10" x14ac:dyDescent="0.2">
      <c r="A44" s="6" t="s">
        <v>52</v>
      </c>
      <c r="B44" s="7">
        <v>1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</row>
    <row r="45" spans="1:10" x14ac:dyDescent="0.2">
      <c r="A45" s="6" t="s">
        <v>53</v>
      </c>
      <c r="B45" s="7">
        <v>1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</row>
    <row r="46" spans="1:10" x14ac:dyDescent="0.2">
      <c r="A46" s="6" t="s">
        <v>54</v>
      </c>
      <c r="B46" s="7">
        <v>1</v>
      </c>
      <c r="C46" s="8">
        <v>1680</v>
      </c>
      <c r="D46" s="8">
        <v>23136000</v>
      </c>
      <c r="E46" s="8">
        <v>7920</v>
      </c>
      <c r="F46" s="8">
        <v>107997120</v>
      </c>
      <c r="G46" s="8">
        <v>1680</v>
      </c>
      <c r="H46" s="8">
        <v>22948296</v>
      </c>
      <c r="I46" s="8">
        <v>7920</v>
      </c>
      <c r="J46" s="8">
        <v>108184824</v>
      </c>
    </row>
    <row r="47" spans="1:10" x14ac:dyDescent="0.2">
      <c r="A47" s="6" t="s">
        <v>55</v>
      </c>
      <c r="B47" s="7">
        <v>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</row>
    <row r="48" spans="1:10" x14ac:dyDescent="0.2">
      <c r="A48" s="6" t="s">
        <v>56</v>
      </c>
      <c r="B48" s="7">
        <v>1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</row>
    <row r="49" spans="1:10" x14ac:dyDescent="0.2">
      <c r="A49" s="6" t="s">
        <v>57</v>
      </c>
      <c r="B49" s="7">
        <v>1</v>
      </c>
      <c r="C49" s="8">
        <v>0</v>
      </c>
      <c r="D49" s="8">
        <v>0</v>
      </c>
      <c r="E49" s="8">
        <v>240</v>
      </c>
      <c r="F49" s="8">
        <v>3818160</v>
      </c>
      <c r="G49" s="8">
        <v>0</v>
      </c>
      <c r="H49" s="8">
        <v>0</v>
      </c>
      <c r="I49" s="8">
        <v>240</v>
      </c>
      <c r="J49" s="8">
        <v>3818160</v>
      </c>
    </row>
    <row r="50" spans="1:10" x14ac:dyDescent="0.2">
      <c r="A50" s="6" t="s">
        <v>58</v>
      </c>
      <c r="B50" s="7">
        <v>1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</row>
    <row r="51" spans="1:10" x14ac:dyDescent="0.2">
      <c r="A51" s="6" t="s">
        <v>59</v>
      </c>
      <c r="B51" s="7">
        <v>1</v>
      </c>
      <c r="C51" s="8">
        <v>120</v>
      </c>
      <c r="D51" s="8">
        <v>1683000</v>
      </c>
      <c r="E51" s="8">
        <v>960</v>
      </c>
      <c r="F51" s="8">
        <v>13963200</v>
      </c>
      <c r="G51" s="8">
        <v>120</v>
      </c>
      <c r="H51" s="8">
        <v>1738467</v>
      </c>
      <c r="I51" s="8">
        <v>960</v>
      </c>
      <c r="J51" s="8">
        <v>13907733</v>
      </c>
    </row>
    <row r="52" spans="1:10" x14ac:dyDescent="0.2">
      <c r="A52" s="6" t="s">
        <v>60</v>
      </c>
      <c r="B52" s="7">
        <v>1</v>
      </c>
      <c r="C52" s="8">
        <v>0</v>
      </c>
      <c r="D52" s="8">
        <v>0</v>
      </c>
      <c r="E52" s="8">
        <v>180</v>
      </c>
      <c r="F52" s="8">
        <v>5727240</v>
      </c>
      <c r="G52" s="8">
        <v>0</v>
      </c>
      <c r="H52" s="8">
        <v>0</v>
      </c>
      <c r="I52" s="8">
        <v>180</v>
      </c>
      <c r="J52" s="8">
        <v>5727240</v>
      </c>
    </row>
    <row r="53" spans="1:10" x14ac:dyDescent="0.2">
      <c r="A53" s="6" t="s">
        <v>61</v>
      </c>
      <c r="B53" s="7">
        <v>1</v>
      </c>
      <c r="C53" s="8">
        <v>36</v>
      </c>
      <c r="D53" s="8">
        <v>1635876</v>
      </c>
      <c r="E53" s="8">
        <v>0</v>
      </c>
      <c r="F53" s="8">
        <v>0</v>
      </c>
      <c r="G53" s="8">
        <v>36</v>
      </c>
      <c r="H53" s="8">
        <v>1635876</v>
      </c>
      <c r="I53" s="8">
        <v>0</v>
      </c>
      <c r="J53" s="8">
        <v>0</v>
      </c>
    </row>
    <row r="54" spans="1:10" x14ac:dyDescent="0.2">
      <c r="A54" s="6" t="s">
        <v>62</v>
      </c>
      <c r="B54" s="7">
        <v>1</v>
      </c>
      <c r="C54" s="8">
        <v>0</v>
      </c>
      <c r="D54" s="8">
        <v>0</v>
      </c>
      <c r="E54" s="8">
        <v>1800</v>
      </c>
      <c r="F54" s="8">
        <v>8508600</v>
      </c>
      <c r="G54" s="8">
        <v>0</v>
      </c>
      <c r="H54" s="8">
        <v>0</v>
      </c>
      <c r="I54" s="8">
        <v>1800</v>
      </c>
      <c r="J54" s="8">
        <v>8508600</v>
      </c>
    </row>
    <row r="55" spans="1:10" x14ac:dyDescent="0.2">
      <c r="A55" s="6" t="s">
        <v>63</v>
      </c>
      <c r="B55" s="7">
        <v>1</v>
      </c>
      <c r="C55" s="8">
        <v>36</v>
      </c>
      <c r="D55" s="8">
        <v>1635876</v>
      </c>
      <c r="E55" s="8">
        <v>0</v>
      </c>
      <c r="F55" s="8">
        <v>0</v>
      </c>
      <c r="G55" s="8">
        <v>36</v>
      </c>
      <c r="H55" s="8">
        <v>1635876</v>
      </c>
      <c r="I55" s="8">
        <v>0</v>
      </c>
      <c r="J55" s="8">
        <v>0</v>
      </c>
    </row>
    <row r="56" spans="1:10" x14ac:dyDescent="0.2">
      <c r="A56" s="6" t="s">
        <v>64</v>
      </c>
      <c r="B56" s="7">
        <v>1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</row>
    <row r="57" spans="1:10" x14ac:dyDescent="0.2">
      <c r="A57" s="6" t="s">
        <v>65</v>
      </c>
      <c r="B57" s="7">
        <v>1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</row>
    <row r="58" spans="1:10" x14ac:dyDescent="0.2">
      <c r="A58" s="6" t="s">
        <v>66</v>
      </c>
      <c r="B58" s="7">
        <v>1</v>
      </c>
      <c r="C58" s="8">
        <v>216</v>
      </c>
      <c r="D58" s="8">
        <v>3029220</v>
      </c>
      <c r="E58" s="8">
        <v>3240</v>
      </c>
      <c r="F58" s="8">
        <v>47125800</v>
      </c>
      <c r="G58" s="8">
        <v>216</v>
      </c>
      <c r="H58" s="8">
        <v>3134689</v>
      </c>
      <c r="I58" s="8">
        <v>3240</v>
      </c>
      <c r="J58" s="8">
        <v>47020331</v>
      </c>
    </row>
    <row r="59" spans="1:10" x14ac:dyDescent="0.2">
      <c r="A59" s="6" t="s">
        <v>67</v>
      </c>
      <c r="B59" s="7">
        <v>1</v>
      </c>
      <c r="C59" s="8">
        <v>0</v>
      </c>
      <c r="D59" s="8">
        <v>0</v>
      </c>
      <c r="E59" s="8">
        <v>120</v>
      </c>
      <c r="F59" s="8">
        <v>1854600</v>
      </c>
      <c r="G59" s="8">
        <v>0</v>
      </c>
      <c r="H59" s="8">
        <v>0</v>
      </c>
      <c r="I59" s="8">
        <v>120</v>
      </c>
      <c r="J59" s="8">
        <v>1854600</v>
      </c>
    </row>
    <row r="60" spans="1:10" x14ac:dyDescent="0.2">
      <c r="A60" s="6" t="s">
        <v>68</v>
      </c>
      <c r="B60" s="7">
        <v>1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</row>
    <row r="61" spans="1:10" x14ac:dyDescent="0.2">
      <c r="A61" s="6" t="s">
        <v>69</v>
      </c>
      <c r="B61" s="7">
        <v>1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</row>
    <row r="62" spans="1:10" x14ac:dyDescent="0.2">
      <c r="A62" s="6" t="s">
        <v>70</v>
      </c>
      <c r="B62" s="7">
        <v>1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</row>
    <row r="63" spans="1:10" x14ac:dyDescent="0.2">
      <c r="A63" s="6" t="s">
        <v>71</v>
      </c>
      <c r="B63" s="7">
        <v>1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</row>
    <row r="64" spans="1:10" x14ac:dyDescent="0.2">
      <c r="A64" s="6" t="s">
        <v>72</v>
      </c>
      <c r="B64" s="7">
        <v>1</v>
      </c>
      <c r="C64" s="8">
        <v>588</v>
      </c>
      <c r="D64" s="8">
        <v>9702000</v>
      </c>
      <c r="E64" s="8">
        <v>240</v>
      </c>
      <c r="F64" s="8">
        <v>5018160</v>
      </c>
      <c r="G64" s="8">
        <v>588</v>
      </c>
      <c r="H64" s="8">
        <v>10453447</v>
      </c>
      <c r="I64" s="8">
        <v>240</v>
      </c>
      <c r="J64" s="8">
        <v>4266713</v>
      </c>
    </row>
    <row r="65" spans="1:10" x14ac:dyDescent="0.2">
      <c r="A65" s="6" t="s">
        <v>73</v>
      </c>
      <c r="B65" s="7">
        <v>1</v>
      </c>
      <c r="C65" s="8">
        <v>0</v>
      </c>
      <c r="D65" s="8">
        <v>0</v>
      </c>
      <c r="E65" s="8">
        <v>360</v>
      </c>
      <c r="F65" s="8">
        <v>11127240</v>
      </c>
      <c r="G65" s="8">
        <v>0</v>
      </c>
      <c r="H65" s="8">
        <v>0</v>
      </c>
      <c r="I65" s="8">
        <v>360</v>
      </c>
      <c r="J65" s="8">
        <v>11127240</v>
      </c>
    </row>
    <row r="66" spans="1:10" x14ac:dyDescent="0.2">
      <c r="A66" s="6" t="s">
        <v>74</v>
      </c>
      <c r="B66" s="7">
        <v>1</v>
      </c>
      <c r="C66" s="8">
        <v>1320</v>
      </c>
      <c r="D66" s="8">
        <v>14520000</v>
      </c>
      <c r="E66" s="8">
        <v>1080</v>
      </c>
      <c r="F66" s="8">
        <v>14726880</v>
      </c>
      <c r="G66" s="8">
        <v>1320</v>
      </c>
      <c r="H66" s="8">
        <v>16085784</v>
      </c>
      <c r="I66" s="8">
        <v>1080</v>
      </c>
      <c r="J66" s="8">
        <v>13161096</v>
      </c>
    </row>
    <row r="67" spans="1:10" x14ac:dyDescent="0.2">
      <c r="A67" s="6" t="s">
        <v>75</v>
      </c>
      <c r="B67" s="7">
        <v>1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</row>
    <row r="68" spans="1:10" x14ac:dyDescent="0.2">
      <c r="A68" s="6" t="s">
        <v>76</v>
      </c>
      <c r="B68" s="7">
        <v>1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</row>
    <row r="69" spans="1:10" x14ac:dyDescent="0.2">
      <c r="A69" s="6" t="s">
        <v>77</v>
      </c>
      <c r="B69" s="7">
        <v>1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</row>
    <row r="70" spans="1:10" x14ac:dyDescent="0.2">
      <c r="A70" s="6" t="s">
        <v>78</v>
      </c>
      <c r="B70" s="7">
        <v>1</v>
      </c>
      <c r="C70" s="8">
        <v>240</v>
      </c>
      <c r="D70" s="8">
        <v>2311320</v>
      </c>
      <c r="E70" s="8">
        <v>1200</v>
      </c>
      <c r="F70" s="8">
        <v>12000000</v>
      </c>
      <c r="G70" s="8">
        <v>240</v>
      </c>
      <c r="H70" s="8">
        <v>2385220</v>
      </c>
      <c r="I70" s="8">
        <v>1200</v>
      </c>
      <c r="J70" s="8">
        <v>11926100</v>
      </c>
    </row>
    <row r="71" spans="1:10" x14ac:dyDescent="0.2">
      <c r="A71" s="6" t="s">
        <v>79</v>
      </c>
      <c r="B71" s="7">
        <v>1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</row>
    <row r="72" spans="1:10" x14ac:dyDescent="0.2">
      <c r="A72" s="6" t="s">
        <v>80</v>
      </c>
      <c r="B72" s="7">
        <v>1</v>
      </c>
      <c r="C72" s="8">
        <v>432</v>
      </c>
      <c r="D72" s="8">
        <v>4968000</v>
      </c>
      <c r="E72" s="8">
        <v>108</v>
      </c>
      <c r="F72" s="8">
        <v>1472688</v>
      </c>
      <c r="G72" s="8">
        <v>432</v>
      </c>
      <c r="H72" s="8">
        <v>5152550</v>
      </c>
      <c r="I72" s="8">
        <v>108</v>
      </c>
      <c r="J72" s="8">
        <v>1288138</v>
      </c>
    </row>
    <row r="73" spans="1:10" x14ac:dyDescent="0.2">
      <c r="A73" s="6" t="s">
        <v>81</v>
      </c>
      <c r="B73" s="7">
        <v>1</v>
      </c>
      <c r="C73" s="8">
        <v>0</v>
      </c>
      <c r="D73" s="8">
        <v>0</v>
      </c>
      <c r="E73" s="8">
        <v>540</v>
      </c>
      <c r="F73" s="8">
        <v>7854300</v>
      </c>
      <c r="G73" s="8">
        <v>0</v>
      </c>
      <c r="H73" s="8">
        <v>0</v>
      </c>
      <c r="I73" s="8">
        <v>540</v>
      </c>
      <c r="J73" s="8">
        <v>7854300</v>
      </c>
    </row>
    <row r="74" spans="1:10" x14ac:dyDescent="0.2">
      <c r="A74" s="6" t="s">
        <v>82</v>
      </c>
      <c r="B74" s="7">
        <v>1</v>
      </c>
      <c r="C74" s="8">
        <v>0</v>
      </c>
      <c r="D74" s="8">
        <v>0</v>
      </c>
      <c r="E74" s="8">
        <v>720</v>
      </c>
      <c r="F74" s="8">
        <v>5105520</v>
      </c>
      <c r="G74" s="8">
        <v>0</v>
      </c>
      <c r="H74" s="8">
        <v>0</v>
      </c>
      <c r="I74" s="8">
        <v>720</v>
      </c>
      <c r="J74" s="8">
        <v>5105520</v>
      </c>
    </row>
    <row r="75" spans="1:10" x14ac:dyDescent="0.2">
      <c r="A75" s="6" t="s">
        <v>83</v>
      </c>
      <c r="B75" s="7">
        <v>1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</row>
    <row r="76" spans="1:10" x14ac:dyDescent="0.2">
      <c r="A76" s="6" t="s">
        <v>84</v>
      </c>
      <c r="B76" s="7">
        <v>1</v>
      </c>
      <c r="C76" s="8">
        <v>4680</v>
      </c>
      <c r="D76" s="8">
        <v>134580000</v>
      </c>
      <c r="E76" s="8">
        <v>11520</v>
      </c>
      <c r="F76" s="8">
        <v>329886720</v>
      </c>
      <c r="G76" s="8">
        <v>4680</v>
      </c>
      <c r="H76" s="8">
        <v>134179275</v>
      </c>
      <c r="I76" s="8">
        <v>11520</v>
      </c>
      <c r="J76" s="8">
        <v>330287445</v>
      </c>
    </row>
    <row r="77" spans="1:10" x14ac:dyDescent="0.2">
      <c r="A77" s="6" t="s">
        <v>85</v>
      </c>
      <c r="B77" s="7">
        <v>1</v>
      </c>
      <c r="C77" s="8">
        <v>0</v>
      </c>
      <c r="D77" s="8">
        <v>0</v>
      </c>
      <c r="E77" s="8">
        <v>7200</v>
      </c>
      <c r="F77" s="8">
        <v>63489600</v>
      </c>
      <c r="G77" s="8">
        <v>0</v>
      </c>
      <c r="H77" s="8">
        <v>0</v>
      </c>
      <c r="I77" s="8">
        <v>7200</v>
      </c>
      <c r="J77" s="8">
        <v>63489600</v>
      </c>
    </row>
    <row r="78" spans="1:10" x14ac:dyDescent="0.2">
      <c r="A78" s="6" t="s">
        <v>86</v>
      </c>
      <c r="B78" s="7">
        <v>1</v>
      </c>
      <c r="C78" s="8">
        <v>22140</v>
      </c>
      <c r="D78" s="8">
        <v>158553000</v>
      </c>
      <c r="E78" s="8">
        <v>28080</v>
      </c>
      <c r="F78" s="8">
        <v>199115280</v>
      </c>
      <c r="G78" s="8">
        <v>22140</v>
      </c>
      <c r="H78" s="8">
        <v>157681715</v>
      </c>
      <c r="I78" s="8">
        <v>28080</v>
      </c>
      <c r="J78" s="8">
        <v>199986565</v>
      </c>
    </row>
    <row r="79" spans="1:10" x14ac:dyDescent="0.2">
      <c r="A79" s="6" t="s">
        <v>87</v>
      </c>
      <c r="B79" s="7">
        <v>1</v>
      </c>
      <c r="C79" s="8">
        <v>28</v>
      </c>
      <c r="D79" s="8">
        <v>453257</v>
      </c>
      <c r="E79" s="8">
        <v>8280</v>
      </c>
      <c r="F79" s="8">
        <v>139253040</v>
      </c>
      <c r="G79" s="8">
        <v>1288</v>
      </c>
      <c r="H79" s="8">
        <v>21658848</v>
      </c>
      <c r="I79" s="8">
        <v>7020</v>
      </c>
      <c r="J79" s="8">
        <v>118047449</v>
      </c>
    </row>
    <row r="80" spans="1:10" x14ac:dyDescent="0.2">
      <c r="A80" s="6" t="s">
        <v>88</v>
      </c>
      <c r="B80" s="7">
        <v>1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</row>
    <row r="81" spans="1:10" x14ac:dyDescent="0.2">
      <c r="A81" s="6" t="s">
        <v>89</v>
      </c>
      <c r="B81" s="7">
        <v>1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</row>
    <row r="82" spans="1:10" x14ac:dyDescent="0.2">
      <c r="A82" s="6" t="s">
        <v>90</v>
      </c>
      <c r="B82" s="7">
        <v>1</v>
      </c>
      <c r="C82" s="8">
        <v>246</v>
      </c>
      <c r="D82" s="8">
        <v>11830200</v>
      </c>
      <c r="E82" s="8">
        <v>2280</v>
      </c>
      <c r="F82" s="8">
        <v>114000000</v>
      </c>
      <c r="G82" s="8">
        <v>246</v>
      </c>
      <c r="H82" s="8">
        <v>12254248</v>
      </c>
      <c r="I82" s="8">
        <v>2280</v>
      </c>
      <c r="J82" s="8">
        <v>113575952</v>
      </c>
    </row>
    <row r="83" spans="1:10" x14ac:dyDescent="0.2">
      <c r="A83" s="6" t="s">
        <v>91</v>
      </c>
      <c r="B83" s="7">
        <v>1</v>
      </c>
      <c r="C83" s="8">
        <v>528</v>
      </c>
      <c r="D83" s="8">
        <v>4771200</v>
      </c>
      <c r="E83" s="8">
        <v>7200</v>
      </c>
      <c r="F83" s="8">
        <v>63489600</v>
      </c>
      <c r="G83" s="8">
        <v>528</v>
      </c>
      <c r="H83" s="8">
        <v>4663781</v>
      </c>
      <c r="I83" s="8">
        <v>7200</v>
      </c>
      <c r="J83" s="8">
        <v>63597019</v>
      </c>
    </row>
    <row r="84" spans="1:10" x14ac:dyDescent="0.2">
      <c r="A84" s="6" t="s">
        <v>92</v>
      </c>
      <c r="B84" s="7">
        <v>1</v>
      </c>
      <c r="C84" s="8">
        <v>0</v>
      </c>
      <c r="D84" s="8">
        <v>0</v>
      </c>
      <c r="E84" s="8">
        <v>8000</v>
      </c>
      <c r="F84" s="8">
        <v>3856000</v>
      </c>
      <c r="G84" s="8">
        <v>0</v>
      </c>
      <c r="H84" s="8">
        <v>0</v>
      </c>
      <c r="I84" s="8">
        <v>8000</v>
      </c>
      <c r="J84" s="8">
        <v>3856000</v>
      </c>
    </row>
    <row r="85" spans="1:10" x14ac:dyDescent="0.2">
      <c r="A85" s="6" t="s">
        <v>93</v>
      </c>
      <c r="B85" s="7">
        <v>1</v>
      </c>
      <c r="C85" s="8">
        <v>0</v>
      </c>
      <c r="D85" s="8">
        <v>0</v>
      </c>
      <c r="E85" s="8">
        <v>90</v>
      </c>
      <c r="F85" s="8">
        <v>4500000</v>
      </c>
      <c r="G85" s="8">
        <v>0</v>
      </c>
      <c r="H85" s="8">
        <v>0</v>
      </c>
      <c r="I85" s="8">
        <v>90</v>
      </c>
      <c r="J85" s="8">
        <v>4500000</v>
      </c>
    </row>
    <row r="86" spans="1:10" x14ac:dyDescent="0.2">
      <c r="A86" s="6" t="s">
        <v>94</v>
      </c>
      <c r="B86" s="7">
        <v>1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</row>
    <row r="87" spans="1:10" x14ac:dyDescent="0.2">
      <c r="A87" s="6" t="s">
        <v>95</v>
      </c>
      <c r="B87" s="7">
        <v>1</v>
      </c>
      <c r="C87" s="8">
        <v>0</v>
      </c>
      <c r="D87" s="8">
        <v>0</v>
      </c>
      <c r="E87" s="8">
        <v>180</v>
      </c>
      <c r="F87" s="8">
        <v>1440000</v>
      </c>
      <c r="G87" s="8">
        <v>0</v>
      </c>
      <c r="H87" s="8">
        <v>0</v>
      </c>
      <c r="I87" s="8">
        <v>180</v>
      </c>
      <c r="J87" s="8">
        <v>1440000</v>
      </c>
    </row>
    <row r="88" spans="1:10" x14ac:dyDescent="0.2">
      <c r="A88" s="6" t="s">
        <v>96</v>
      </c>
      <c r="B88" s="7">
        <v>1</v>
      </c>
      <c r="C88" s="8">
        <v>36</v>
      </c>
      <c r="D88" s="8">
        <v>3716064</v>
      </c>
      <c r="E88" s="8">
        <v>30</v>
      </c>
      <c r="F88" s="8">
        <v>3218190</v>
      </c>
      <c r="G88" s="8">
        <v>36</v>
      </c>
      <c r="H88" s="8">
        <v>3782320</v>
      </c>
      <c r="I88" s="8">
        <v>30</v>
      </c>
      <c r="J88" s="8">
        <v>3151934</v>
      </c>
    </row>
    <row r="89" spans="1:10" x14ac:dyDescent="0.2">
      <c r="A89" s="6" t="s">
        <v>97</v>
      </c>
      <c r="B89" s="7">
        <v>1</v>
      </c>
      <c r="C89" s="8">
        <v>0</v>
      </c>
      <c r="D89" s="8">
        <v>0</v>
      </c>
      <c r="E89" s="8">
        <v>20000</v>
      </c>
      <c r="F89" s="8">
        <v>9640000</v>
      </c>
      <c r="G89" s="8">
        <v>0</v>
      </c>
      <c r="H89" s="8">
        <v>0</v>
      </c>
      <c r="I89" s="8">
        <v>20000</v>
      </c>
      <c r="J89" s="8">
        <v>9640000</v>
      </c>
    </row>
    <row r="90" spans="1:10" x14ac:dyDescent="0.2">
      <c r="A90" s="6" t="s">
        <v>98</v>
      </c>
      <c r="B90" s="7">
        <v>1</v>
      </c>
      <c r="C90" s="8">
        <v>0</v>
      </c>
      <c r="D90" s="8">
        <v>0</v>
      </c>
      <c r="E90" s="8">
        <v>240</v>
      </c>
      <c r="F90" s="8">
        <v>2334480</v>
      </c>
      <c r="G90" s="8">
        <v>0</v>
      </c>
      <c r="H90" s="8">
        <v>0</v>
      </c>
      <c r="I90" s="8">
        <v>240</v>
      </c>
      <c r="J90" s="8">
        <v>2334480</v>
      </c>
    </row>
    <row r="91" spans="1:10" x14ac:dyDescent="0.2">
      <c r="A91" s="6" t="s">
        <v>99</v>
      </c>
      <c r="B91" s="7">
        <v>1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</row>
    <row r="92" spans="1:10" x14ac:dyDescent="0.2">
      <c r="A92" s="6" t="s">
        <v>100</v>
      </c>
      <c r="B92" s="7">
        <v>1</v>
      </c>
      <c r="C92" s="8">
        <v>48</v>
      </c>
      <c r="D92" s="8">
        <v>2456400</v>
      </c>
      <c r="E92" s="8">
        <v>2220</v>
      </c>
      <c r="F92" s="8">
        <v>109989900</v>
      </c>
      <c r="G92" s="8">
        <v>48</v>
      </c>
      <c r="H92" s="8">
        <v>2379816</v>
      </c>
      <c r="I92" s="8">
        <v>2220</v>
      </c>
      <c r="J92" s="8">
        <v>110066484</v>
      </c>
    </row>
    <row r="93" spans="1:10" x14ac:dyDescent="0.2">
      <c r="A93" s="6" t="s">
        <v>101</v>
      </c>
      <c r="B93" s="7">
        <v>1</v>
      </c>
      <c r="C93" s="8">
        <v>528</v>
      </c>
      <c r="D93" s="8">
        <v>4785600</v>
      </c>
      <c r="E93" s="8">
        <v>7200</v>
      </c>
      <c r="F93" s="8">
        <v>63489600</v>
      </c>
      <c r="G93" s="8">
        <v>528</v>
      </c>
      <c r="H93" s="8">
        <v>4664765</v>
      </c>
      <c r="I93" s="8">
        <v>7200</v>
      </c>
      <c r="J93" s="8">
        <v>63610435</v>
      </c>
    </row>
    <row r="94" spans="1:10" x14ac:dyDescent="0.2">
      <c r="A94" s="6" t="s">
        <v>102</v>
      </c>
      <c r="B94" s="7">
        <v>1</v>
      </c>
      <c r="C94" s="8">
        <v>24</v>
      </c>
      <c r="D94" s="8">
        <v>547200</v>
      </c>
      <c r="E94" s="8">
        <v>360</v>
      </c>
      <c r="F94" s="8">
        <v>8181720</v>
      </c>
      <c r="G94" s="8">
        <v>24</v>
      </c>
      <c r="H94" s="8">
        <v>545558</v>
      </c>
      <c r="I94" s="8">
        <v>360</v>
      </c>
      <c r="J94" s="8">
        <v>8183362</v>
      </c>
    </row>
    <row r="95" spans="1:10" x14ac:dyDescent="0.2">
      <c r="A95" s="6" t="s">
        <v>103</v>
      </c>
      <c r="B95" s="7">
        <v>1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</row>
    <row r="96" spans="1:10" x14ac:dyDescent="0.2">
      <c r="A96" s="6" t="s">
        <v>104</v>
      </c>
      <c r="B96" s="7">
        <v>1</v>
      </c>
      <c r="C96" s="8">
        <v>0</v>
      </c>
      <c r="D96" s="8">
        <v>0</v>
      </c>
      <c r="E96" s="8">
        <v>72</v>
      </c>
      <c r="F96" s="8">
        <v>1309104</v>
      </c>
      <c r="G96" s="8">
        <v>0</v>
      </c>
      <c r="H96" s="8">
        <v>0</v>
      </c>
      <c r="I96" s="8">
        <v>72</v>
      </c>
      <c r="J96" s="8">
        <v>1309104</v>
      </c>
    </row>
    <row r="97" spans="1:10" x14ac:dyDescent="0.2">
      <c r="A97" s="6" t="s">
        <v>105</v>
      </c>
      <c r="B97" s="7">
        <v>1</v>
      </c>
      <c r="C97" s="8">
        <v>30</v>
      </c>
      <c r="D97" s="8">
        <v>1441770</v>
      </c>
      <c r="E97" s="8">
        <v>60</v>
      </c>
      <c r="F97" s="8">
        <v>3000000</v>
      </c>
      <c r="G97" s="8">
        <v>30</v>
      </c>
      <c r="H97" s="8">
        <v>1480590</v>
      </c>
      <c r="I97" s="8">
        <v>60</v>
      </c>
      <c r="J97" s="8">
        <v>2961180</v>
      </c>
    </row>
    <row r="98" spans="1:10" x14ac:dyDescent="0.2">
      <c r="A98" s="6" t="s">
        <v>106</v>
      </c>
      <c r="B98" s="7">
        <v>1</v>
      </c>
      <c r="C98" s="8">
        <v>0</v>
      </c>
      <c r="D98" s="8">
        <v>0</v>
      </c>
      <c r="E98" s="8">
        <v>120</v>
      </c>
      <c r="F98" s="8">
        <v>1058160</v>
      </c>
      <c r="G98" s="8">
        <v>0</v>
      </c>
      <c r="H98" s="8">
        <v>0</v>
      </c>
      <c r="I98" s="8">
        <v>120</v>
      </c>
      <c r="J98" s="8">
        <v>1058160</v>
      </c>
    </row>
    <row r="99" spans="1:10" x14ac:dyDescent="0.2">
      <c r="A99" s="6" t="s">
        <v>107</v>
      </c>
      <c r="B99" s="7">
        <v>1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</row>
    <row r="100" spans="1:10" x14ac:dyDescent="0.2">
      <c r="A100" s="6" t="s">
        <v>108</v>
      </c>
      <c r="B100" s="7">
        <v>1</v>
      </c>
      <c r="C100" s="8">
        <v>7380</v>
      </c>
      <c r="D100" s="8">
        <v>48708000</v>
      </c>
      <c r="E100" s="8">
        <v>14400</v>
      </c>
      <c r="F100" s="8">
        <v>94248000</v>
      </c>
      <c r="G100" s="8">
        <v>7380</v>
      </c>
      <c r="H100" s="8">
        <v>48439636</v>
      </c>
      <c r="I100" s="8">
        <v>14400</v>
      </c>
      <c r="J100" s="8">
        <v>94516364</v>
      </c>
    </row>
    <row r="101" spans="1:10" x14ac:dyDescent="0.2">
      <c r="A101" s="6" t="s">
        <v>109</v>
      </c>
      <c r="B101" s="7">
        <v>1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</row>
    <row r="102" spans="1:10" x14ac:dyDescent="0.2">
      <c r="A102" s="6" t="s">
        <v>110</v>
      </c>
      <c r="B102" s="7">
        <v>1</v>
      </c>
      <c r="C102" s="8">
        <v>360</v>
      </c>
      <c r="D102" s="8">
        <v>5823180</v>
      </c>
      <c r="E102" s="8">
        <v>720</v>
      </c>
      <c r="F102" s="8">
        <v>12108960</v>
      </c>
      <c r="G102" s="8">
        <v>360</v>
      </c>
      <c r="H102" s="8">
        <v>5977380</v>
      </c>
      <c r="I102" s="8">
        <v>720</v>
      </c>
      <c r="J102" s="8">
        <v>11954760</v>
      </c>
    </row>
    <row r="103" spans="1:10" x14ac:dyDescent="0.2">
      <c r="A103" s="6" t="s">
        <v>111</v>
      </c>
      <c r="B103" s="7">
        <v>1</v>
      </c>
      <c r="C103" s="8">
        <v>0</v>
      </c>
      <c r="D103" s="8">
        <v>0</v>
      </c>
      <c r="E103" s="8">
        <v>4800</v>
      </c>
      <c r="F103" s="8">
        <v>37526400</v>
      </c>
      <c r="G103" s="8">
        <v>0</v>
      </c>
      <c r="H103" s="8">
        <v>0</v>
      </c>
      <c r="I103" s="8">
        <v>4800</v>
      </c>
      <c r="J103" s="8">
        <v>37526400</v>
      </c>
    </row>
    <row r="104" spans="1:10" x14ac:dyDescent="0.2">
      <c r="A104" s="6" t="s">
        <v>112</v>
      </c>
      <c r="B104" s="7">
        <v>1</v>
      </c>
      <c r="C104" s="8">
        <v>0</v>
      </c>
      <c r="D104" s="8">
        <v>0</v>
      </c>
      <c r="E104" s="8">
        <v>1200</v>
      </c>
      <c r="F104" s="8">
        <v>9381600</v>
      </c>
      <c r="G104" s="8">
        <v>0</v>
      </c>
      <c r="H104" s="8">
        <v>0</v>
      </c>
      <c r="I104" s="8">
        <v>1200</v>
      </c>
      <c r="J104" s="8">
        <v>9381600</v>
      </c>
    </row>
    <row r="105" spans="1:10" x14ac:dyDescent="0.2">
      <c r="A105" s="6" t="s">
        <v>113</v>
      </c>
      <c r="B105" s="7">
        <v>1</v>
      </c>
      <c r="C105" s="8">
        <v>0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</row>
    <row r="106" spans="1:10" x14ac:dyDescent="0.2">
      <c r="A106" s="6" t="s">
        <v>114</v>
      </c>
      <c r="B106" s="7">
        <v>1</v>
      </c>
      <c r="C106" s="8">
        <v>0</v>
      </c>
      <c r="D106" s="8">
        <v>0</v>
      </c>
      <c r="E106" s="8">
        <v>72</v>
      </c>
      <c r="F106" s="8">
        <v>1309104</v>
      </c>
      <c r="G106" s="8">
        <v>0</v>
      </c>
      <c r="H106" s="8">
        <v>0</v>
      </c>
      <c r="I106" s="8">
        <v>72</v>
      </c>
      <c r="J106" s="8">
        <v>1309104</v>
      </c>
    </row>
    <row r="107" spans="1:10" x14ac:dyDescent="0.2">
      <c r="A107" s="6" t="s">
        <v>115</v>
      </c>
      <c r="B107" s="7">
        <v>1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</row>
    <row r="108" spans="1:10" x14ac:dyDescent="0.2">
      <c r="A108" s="6" t="s">
        <v>116</v>
      </c>
      <c r="B108" s="7">
        <v>1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</row>
    <row r="109" spans="1:10" x14ac:dyDescent="0.2">
      <c r="A109" s="6" t="s">
        <v>117</v>
      </c>
      <c r="B109" s="7">
        <v>1</v>
      </c>
      <c r="C109" s="8">
        <v>0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</row>
    <row r="110" spans="1:10" x14ac:dyDescent="0.2">
      <c r="A110" s="6" t="s">
        <v>118</v>
      </c>
      <c r="B110" s="7">
        <v>1</v>
      </c>
      <c r="C110" s="8">
        <v>0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</row>
    <row r="111" spans="1:10" x14ac:dyDescent="0.2">
      <c r="A111" s="6" t="s">
        <v>119</v>
      </c>
      <c r="B111" s="7">
        <v>1</v>
      </c>
      <c r="C111" s="8">
        <v>0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</row>
    <row r="112" spans="1:10" x14ac:dyDescent="0.2">
      <c r="A112" s="6" t="s">
        <v>120</v>
      </c>
      <c r="B112" s="7">
        <v>1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</row>
    <row r="113" spans="1:10" x14ac:dyDescent="0.2">
      <c r="A113" s="6" t="s">
        <v>121</v>
      </c>
      <c r="B113" s="7">
        <v>1</v>
      </c>
      <c r="C113" s="8">
        <v>360</v>
      </c>
      <c r="D113" s="8">
        <v>3769920</v>
      </c>
      <c r="E113" s="8">
        <v>6000</v>
      </c>
      <c r="F113" s="8">
        <v>65454000</v>
      </c>
      <c r="G113" s="8">
        <v>360</v>
      </c>
      <c r="H113" s="8">
        <v>3918335</v>
      </c>
      <c r="I113" s="8">
        <v>6000</v>
      </c>
      <c r="J113" s="8">
        <v>65305585</v>
      </c>
    </row>
    <row r="114" spans="1:10" x14ac:dyDescent="0.2">
      <c r="A114" s="6" t="s">
        <v>122</v>
      </c>
      <c r="B114" s="7">
        <v>1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</row>
    <row r="115" spans="1:10" x14ac:dyDescent="0.2">
      <c r="A115" s="6" t="s">
        <v>123</v>
      </c>
      <c r="B115" s="7">
        <v>1</v>
      </c>
      <c r="C115" s="8">
        <v>0</v>
      </c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</row>
    <row r="116" spans="1:10" x14ac:dyDescent="0.2">
      <c r="A116" s="6" t="s">
        <v>124</v>
      </c>
      <c r="B116" s="7">
        <v>1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</row>
    <row r="117" spans="1:10" x14ac:dyDescent="0.2">
      <c r="A117" s="6" t="s">
        <v>125</v>
      </c>
      <c r="B117" s="7">
        <v>1</v>
      </c>
      <c r="C117" s="8">
        <v>60</v>
      </c>
      <c r="D117" s="8">
        <v>2412300</v>
      </c>
      <c r="E117" s="8">
        <v>300</v>
      </c>
      <c r="F117" s="8">
        <v>12545400</v>
      </c>
      <c r="G117" s="8">
        <v>60</v>
      </c>
      <c r="H117" s="8">
        <v>2492950</v>
      </c>
      <c r="I117" s="8">
        <v>300</v>
      </c>
      <c r="J117" s="8">
        <v>12464750</v>
      </c>
    </row>
    <row r="118" spans="1:10" x14ac:dyDescent="0.2">
      <c r="A118" s="6" t="s">
        <v>126</v>
      </c>
      <c r="B118" s="7">
        <v>1</v>
      </c>
      <c r="C118" s="8">
        <v>120</v>
      </c>
      <c r="D118" s="8">
        <v>6608580</v>
      </c>
      <c r="E118" s="8">
        <v>34800</v>
      </c>
      <c r="F118" s="8">
        <v>199299600</v>
      </c>
      <c r="G118" s="8">
        <v>26520</v>
      </c>
      <c r="H118" s="8">
        <v>156377003</v>
      </c>
      <c r="I118" s="8">
        <v>8400</v>
      </c>
      <c r="J118" s="8">
        <v>49531177</v>
      </c>
    </row>
    <row r="119" spans="1:10" x14ac:dyDescent="0.2">
      <c r="A119" s="6" t="s">
        <v>127</v>
      </c>
      <c r="B119" s="7">
        <v>1</v>
      </c>
      <c r="C119" s="8">
        <v>0</v>
      </c>
      <c r="D119" s="8">
        <v>0</v>
      </c>
      <c r="E119" s="8">
        <v>1200</v>
      </c>
      <c r="F119" s="8">
        <v>6872400</v>
      </c>
      <c r="G119" s="8">
        <v>0</v>
      </c>
      <c r="H119" s="8">
        <v>0</v>
      </c>
      <c r="I119" s="8">
        <v>1200</v>
      </c>
      <c r="J119" s="8">
        <v>6872400</v>
      </c>
    </row>
    <row r="120" spans="1:10" x14ac:dyDescent="0.2">
      <c r="A120" s="6" t="s">
        <v>128</v>
      </c>
      <c r="B120" s="7">
        <v>1</v>
      </c>
      <c r="C120" s="8">
        <v>0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</row>
    <row r="121" spans="1:10" x14ac:dyDescent="0.2">
      <c r="A121" s="6" t="s">
        <v>129</v>
      </c>
      <c r="B121" s="7">
        <v>1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</row>
    <row r="122" spans="1:10" x14ac:dyDescent="0.2">
      <c r="A122" s="6" t="s">
        <v>130</v>
      </c>
      <c r="B122" s="7">
        <v>1</v>
      </c>
      <c r="C122" s="8">
        <v>0</v>
      </c>
      <c r="D122" s="8">
        <v>0</v>
      </c>
      <c r="E122" s="8">
        <v>6</v>
      </c>
      <c r="F122" s="8">
        <v>280908</v>
      </c>
      <c r="G122" s="8">
        <v>0</v>
      </c>
      <c r="H122" s="8">
        <v>0</v>
      </c>
      <c r="I122" s="8">
        <v>6</v>
      </c>
      <c r="J122" s="8">
        <v>280908</v>
      </c>
    </row>
    <row r="123" spans="1:10" x14ac:dyDescent="0.2">
      <c r="A123" s="6" t="s">
        <v>131</v>
      </c>
      <c r="B123" s="7">
        <v>1</v>
      </c>
      <c r="C123" s="8">
        <v>0</v>
      </c>
      <c r="D123" s="8">
        <v>0</v>
      </c>
      <c r="E123" s="8">
        <v>33</v>
      </c>
      <c r="F123" s="8">
        <v>1620003</v>
      </c>
      <c r="G123" s="8">
        <v>0</v>
      </c>
      <c r="H123" s="8">
        <v>0</v>
      </c>
      <c r="I123" s="8">
        <v>33</v>
      </c>
      <c r="J123" s="8">
        <v>1620003</v>
      </c>
    </row>
    <row r="124" spans="1:10" x14ac:dyDescent="0.2">
      <c r="A124" s="6" t="s">
        <v>132</v>
      </c>
      <c r="B124" s="7">
        <v>1</v>
      </c>
      <c r="C124" s="8">
        <v>0</v>
      </c>
      <c r="D124" s="8">
        <v>0</v>
      </c>
      <c r="E124" s="8">
        <v>100</v>
      </c>
      <c r="F124" s="8">
        <v>4363600</v>
      </c>
      <c r="G124" s="8">
        <v>0</v>
      </c>
      <c r="H124" s="8">
        <v>0</v>
      </c>
      <c r="I124" s="8">
        <v>100</v>
      </c>
      <c r="J124" s="8">
        <v>4363600</v>
      </c>
    </row>
    <row r="125" spans="1:10" x14ac:dyDescent="0.2">
      <c r="A125" s="6" t="s">
        <v>133</v>
      </c>
      <c r="B125" s="7">
        <v>1</v>
      </c>
      <c r="C125" s="8">
        <v>0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</row>
    <row r="126" spans="1:10" x14ac:dyDescent="0.2">
      <c r="A126" s="6" t="s">
        <v>134</v>
      </c>
      <c r="B126" s="7">
        <v>1</v>
      </c>
      <c r="C126" s="8">
        <v>0</v>
      </c>
      <c r="D126" s="8">
        <v>0</v>
      </c>
      <c r="E126" s="8">
        <v>8</v>
      </c>
      <c r="F126" s="8">
        <v>229088</v>
      </c>
      <c r="G126" s="8">
        <v>0</v>
      </c>
      <c r="H126" s="8">
        <v>0</v>
      </c>
      <c r="I126" s="8">
        <v>8</v>
      </c>
      <c r="J126" s="8">
        <v>229088</v>
      </c>
    </row>
    <row r="127" spans="1:10" x14ac:dyDescent="0.2">
      <c r="A127" s="6" t="s">
        <v>135</v>
      </c>
      <c r="B127" s="7">
        <v>1</v>
      </c>
      <c r="C127" s="8">
        <v>935</v>
      </c>
      <c r="D127" s="8">
        <v>171530382</v>
      </c>
      <c r="E127" s="8">
        <v>100</v>
      </c>
      <c r="F127" s="8">
        <v>18371800</v>
      </c>
      <c r="G127" s="8">
        <v>255</v>
      </c>
      <c r="H127" s="8">
        <v>46787494</v>
      </c>
      <c r="I127" s="8">
        <v>780</v>
      </c>
      <c r="J127" s="8">
        <v>143114688</v>
      </c>
    </row>
    <row r="128" spans="1:10" x14ac:dyDescent="0.2">
      <c r="A128" s="6" t="s">
        <v>136</v>
      </c>
      <c r="B128" s="7">
        <v>1</v>
      </c>
      <c r="C128" s="8">
        <v>2808</v>
      </c>
      <c r="D128" s="8">
        <v>39772800</v>
      </c>
      <c r="E128" s="8">
        <v>7680</v>
      </c>
      <c r="F128" s="8">
        <v>111705600</v>
      </c>
      <c r="G128" s="8">
        <v>2808</v>
      </c>
      <c r="H128" s="8">
        <v>40556002</v>
      </c>
      <c r="I128" s="8">
        <v>7680</v>
      </c>
      <c r="J128" s="8">
        <v>110922398</v>
      </c>
    </row>
    <row r="129" spans="1:10" x14ac:dyDescent="0.2">
      <c r="A129" s="6" t="s">
        <v>137</v>
      </c>
      <c r="B129" s="7">
        <v>1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</row>
    <row r="130" spans="1:10" x14ac:dyDescent="0.2">
      <c r="A130" s="6" t="s">
        <v>138</v>
      </c>
      <c r="B130" s="7">
        <v>1</v>
      </c>
      <c r="C130" s="8">
        <v>0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</row>
    <row r="131" spans="1:10" x14ac:dyDescent="0.2">
      <c r="A131" s="6" t="s">
        <v>139</v>
      </c>
      <c r="B131" s="7">
        <v>1</v>
      </c>
      <c r="C131" s="8">
        <v>1217</v>
      </c>
      <c r="D131" s="8">
        <v>220988080</v>
      </c>
      <c r="E131" s="8">
        <v>0</v>
      </c>
      <c r="F131" s="8">
        <v>0</v>
      </c>
      <c r="G131" s="8">
        <v>30</v>
      </c>
      <c r="H131" s="8">
        <v>5447529</v>
      </c>
      <c r="I131" s="8">
        <v>1187</v>
      </c>
      <c r="J131" s="8">
        <v>215540551</v>
      </c>
    </row>
    <row r="132" spans="1:10" x14ac:dyDescent="0.2">
      <c r="A132" s="6" t="s">
        <v>140</v>
      </c>
      <c r="B132" s="7">
        <v>1</v>
      </c>
      <c r="C132" s="8">
        <v>4206</v>
      </c>
      <c r="D132" s="8">
        <v>772503402</v>
      </c>
      <c r="E132" s="8">
        <v>1625</v>
      </c>
      <c r="F132" s="8">
        <v>298458875</v>
      </c>
      <c r="G132" s="8">
        <v>295</v>
      </c>
      <c r="H132" s="8">
        <v>54181765</v>
      </c>
      <c r="I132" s="8">
        <v>5536</v>
      </c>
      <c r="J132" s="8">
        <v>1016780512</v>
      </c>
    </row>
    <row r="133" spans="1:10" x14ac:dyDescent="0.2">
      <c r="A133" s="6" t="s">
        <v>141</v>
      </c>
      <c r="B133" s="7">
        <v>1</v>
      </c>
      <c r="C133" s="8">
        <v>0</v>
      </c>
      <c r="D133" s="8">
        <v>0</v>
      </c>
      <c r="E133" s="8">
        <v>2329</v>
      </c>
      <c r="F133" s="8">
        <v>427760443</v>
      </c>
      <c r="G133" s="8">
        <v>0</v>
      </c>
      <c r="H133" s="8">
        <v>0</v>
      </c>
      <c r="I133" s="8">
        <v>2329</v>
      </c>
      <c r="J133" s="8">
        <v>427760443</v>
      </c>
    </row>
    <row r="134" spans="1:10" x14ac:dyDescent="0.2">
      <c r="A134" s="6" t="s">
        <v>142</v>
      </c>
      <c r="B134" s="7">
        <v>1</v>
      </c>
      <c r="C134" s="8">
        <v>5185</v>
      </c>
      <c r="D134" s="8">
        <v>952313395</v>
      </c>
      <c r="E134" s="8">
        <v>0</v>
      </c>
      <c r="F134" s="8">
        <v>0</v>
      </c>
      <c r="G134" s="8">
        <v>2755</v>
      </c>
      <c r="H134" s="8">
        <v>506002585</v>
      </c>
      <c r="I134" s="8">
        <v>2430</v>
      </c>
      <c r="J134" s="8">
        <v>446310810</v>
      </c>
    </row>
    <row r="135" spans="1:10" x14ac:dyDescent="0.2">
      <c r="A135" s="6" t="s">
        <v>143</v>
      </c>
      <c r="B135" s="7">
        <v>1</v>
      </c>
      <c r="C135" s="8">
        <v>3727</v>
      </c>
      <c r="D135" s="8">
        <v>683888216</v>
      </c>
      <c r="E135" s="8">
        <v>0</v>
      </c>
      <c r="F135" s="8">
        <v>0</v>
      </c>
      <c r="G135" s="8">
        <v>1516</v>
      </c>
      <c r="H135" s="8">
        <v>278179376</v>
      </c>
      <c r="I135" s="8">
        <v>2211</v>
      </c>
      <c r="J135" s="8">
        <v>405708840</v>
      </c>
    </row>
    <row r="136" spans="1:10" x14ac:dyDescent="0.2">
      <c r="A136" s="6" t="s">
        <v>144</v>
      </c>
      <c r="B136" s="7">
        <v>1</v>
      </c>
      <c r="C136" s="8">
        <v>1500</v>
      </c>
      <c r="D136" s="8">
        <v>273124500</v>
      </c>
      <c r="E136" s="8">
        <v>260</v>
      </c>
      <c r="F136" s="8">
        <v>47341580</v>
      </c>
      <c r="G136" s="8">
        <v>210</v>
      </c>
      <c r="H136" s="8">
        <v>38237430</v>
      </c>
      <c r="I136" s="8">
        <v>1550</v>
      </c>
      <c r="J136" s="8">
        <v>282228650</v>
      </c>
    </row>
    <row r="137" spans="1:10" x14ac:dyDescent="0.2">
      <c r="A137" s="6" t="s">
        <v>145</v>
      </c>
      <c r="B137" s="7">
        <v>1</v>
      </c>
      <c r="C137" s="8">
        <v>583</v>
      </c>
      <c r="D137" s="8">
        <v>104200927</v>
      </c>
      <c r="E137" s="8">
        <v>0</v>
      </c>
      <c r="F137" s="8">
        <v>0</v>
      </c>
      <c r="G137" s="8">
        <v>20</v>
      </c>
      <c r="H137" s="8">
        <v>3574646</v>
      </c>
      <c r="I137" s="8">
        <v>563</v>
      </c>
      <c r="J137" s="8">
        <v>100626281</v>
      </c>
    </row>
    <row r="138" spans="1:10" x14ac:dyDescent="0.2">
      <c r="A138" s="6" t="s">
        <v>146</v>
      </c>
      <c r="B138" s="7">
        <v>1</v>
      </c>
      <c r="C138" s="8">
        <v>0</v>
      </c>
      <c r="D138" s="8">
        <v>0</v>
      </c>
      <c r="E138" s="8">
        <v>1400</v>
      </c>
      <c r="F138" s="8">
        <v>265758500</v>
      </c>
      <c r="G138" s="8">
        <v>0</v>
      </c>
      <c r="H138" s="8">
        <v>0</v>
      </c>
      <c r="I138" s="8">
        <v>1400</v>
      </c>
      <c r="J138" s="8">
        <v>265758500</v>
      </c>
    </row>
    <row r="139" spans="1:10" x14ac:dyDescent="0.2">
      <c r="A139" s="6" t="s">
        <v>147</v>
      </c>
      <c r="B139" s="7">
        <v>1</v>
      </c>
      <c r="C139" s="8">
        <v>0</v>
      </c>
      <c r="D139" s="8">
        <v>0</v>
      </c>
      <c r="E139" s="8">
        <v>48</v>
      </c>
      <c r="F139" s="8">
        <v>8507764</v>
      </c>
      <c r="G139" s="8">
        <v>0</v>
      </c>
      <c r="H139" s="8">
        <v>0</v>
      </c>
      <c r="I139" s="8">
        <v>48</v>
      </c>
      <c r="J139" s="8">
        <v>8507764</v>
      </c>
    </row>
    <row r="140" spans="1:10" x14ac:dyDescent="0.2">
      <c r="A140" s="6" t="s">
        <v>148</v>
      </c>
      <c r="B140" s="7">
        <v>1</v>
      </c>
      <c r="C140" s="8">
        <v>0</v>
      </c>
      <c r="D140" s="8">
        <v>0</v>
      </c>
      <c r="E140" s="8">
        <v>264</v>
      </c>
      <c r="F140" s="8">
        <v>30000960</v>
      </c>
      <c r="G140" s="8">
        <v>0</v>
      </c>
      <c r="H140" s="8">
        <v>0</v>
      </c>
      <c r="I140" s="8">
        <v>264</v>
      </c>
      <c r="J140" s="8">
        <v>30000960</v>
      </c>
    </row>
    <row r="141" spans="1:10" x14ac:dyDescent="0.2">
      <c r="A141" s="6" t="s">
        <v>149</v>
      </c>
      <c r="B141" s="7">
        <v>1</v>
      </c>
      <c r="C141" s="8">
        <v>3924</v>
      </c>
      <c r="D141" s="8">
        <v>745560000</v>
      </c>
      <c r="E141" s="8">
        <v>2050</v>
      </c>
      <c r="F141" s="8">
        <v>389051500</v>
      </c>
      <c r="G141" s="8">
        <v>95</v>
      </c>
      <c r="H141" s="8">
        <v>18042868</v>
      </c>
      <c r="I141" s="8">
        <v>5879</v>
      </c>
      <c r="J141" s="8">
        <v>1116568632</v>
      </c>
    </row>
    <row r="142" spans="1:10" x14ac:dyDescent="0.2">
      <c r="A142" s="6" t="s">
        <v>150</v>
      </c>
      <c r="B142" s="7">
        <v>1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</row>
    <row r="143" spans="1:10" x14ac:dyDescent="0.2">
      <c r="A143" s="6" t="s">
        <v>151</v>
      </c>
      <c r="B143" s="7">
        <v>1</v>
      </c>
      <c r="C143" s="8">
        <v>0</v>
      </c>
      <c r="D143" s="8">
        <v>0</v>
      </c>
      <c r="E143" s="8">
        <v>239</v>
      </c>
      <c r="F143" s="8">
        <v>45410000</v>
      </c>
      <c r="G143" s="8">
        <v>0</v>
      </c>
      <c r="H143" s="8">
        <v>0</v>
      </c>
      <c r="I143" s="8">
        <v>239</v>
      </c>
      <c r="J143" s="8">
        <v>45410000</v>
      </c>
    </row>
    <row r="144" spans="1:10" x14ac:dyDescent="0.2">
      <c r="A144" s="6" t="s">
        <v>152</v>
      </c>
      <c r="B144" s="7">
        <v>1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</row>
    <row r="145" spans="1:10" x14ac:dyDescent="0.2">
      <c r="A145" s="6" t="s">
        <v>153</v>
      </c>
      <c r="B145" s="7">
        <v>1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</row>
    <row r="146" spans="1:10" x14ac:dyDescent="0.2">
      <c r="A146" s="6" t="s">
        <v>154</v>
      </c>
      <c r="B146" s="7">
        <v>1</v>
      </c>
      <c r="C146" s="8">
        <v>0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</row>
    <row r="147" spans="1:10" x14ac:dyDescent="0.2">
      <c r="A147" s="6" t="s">
        <v>155</v>
      </c>
      <c r="B147" s="7">
        <v>1</v>
      </c>
      <c r="C147" s="8">
        <v>299</v>
      </c>
      <c r="D147" s="8">
        <v>86652979</v>
      </c>
      <c r="E147" s="8">
        <v>40</v>
      </c>
      <c r="F147" s="8">
        <v>11611120</v>
      </c>
      <c r="G147" s="8">
        <v>185</v>
      </c>
      <c r="H147" s="8">
        <v>53624951</v>
      </c>
      <c r="I147" s="8">
        <v>154</v>
      </c>
      <c r="J147" s="8">
        <v>44639148</v>
      </c>
    </row>
    <row r="148" spans="1:10" x14ac:dyDescent="0.2">
      <c r="A148" s="6" t="s">
        <v>156</v>
      </c>
      <c r="B148" s="7">
        <v>1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</row>
    <row r="149" spans="1:10" x14ac:dyDescent="0.2">
      <c r="A149" s="6" t="s">
        <v>157</v>
      </c>
      <c r="B149" s="7">
        <v>1</v>
      </c>
      <c r="C149" s="8">
        <v>0</v>
      </c>
      <c r="D149" s="8">
        <v>0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</row>
    <row r="150" spans="1:10" x14ac:dyDescent="0.2">
      <c r="A150" s="6" t="s">
        <v>158</v>
      </c>
      <c r="B150" s="7">
        <v>1</v>
      </c>
      <c r="C150" s="8">
        <v>0</v>
      </c>
      <c r="D150" s="8">
        <v>0</v>
      </c>
      <c r="E150" s="8">
        <v>157</v>
      </c>
      <c r="F150" s="8">
        <v>34833360</v>
      </c>
      <c r="G150" s="8">
        <v>0</v>
      </c>
      <c r="H150" s="8">
        <v>0</v>
      </c>
      <c r="I150" s="8">
        <v>157</v>
      </c>
      <c r="J150" s="8">
        <v>34833360</v>
      </c>
    </row>
    <row r="151" spans="1:10" x14ac:dyDescent="0.2">
      <c r="A151" s="6" t="s">
        <v>159</v>
      </c>
      <c r="B151" s="7">
        <v>1</v>
      </c>
      <c r="C151" s="8">
        <v>0</v>
      </c>
      <c r="D151" s="8">
        <v>0</v>
      </c>
      <c r="E151" s="8">
        <v>108</v>
      </c>
      <c r="F151" s="8">
        <v>23773050</v>
      </c>
      <c r="G151" s="8">
        <v>0</v>
      </c>
      <c r="H151" s="8">
        <v>0</v>
      </c>
      <c r="I151" s="8">
        <v>108</v>
      </c>
      <c r="J151" s="8">
        <v>23773050</v>
      </c>
    </row>
    <row r="152" spans="1:10" x14ac:dyDescent="0.2">
      <c r="A152" s="6" t="s">
        <v>160</v>
      </c>
      <c r="B152" s="7">
        <v>1</v>
      </c>
      <c r="C152" s="8">
        <v>0</v>
      </c>
      <c r="D152" s="8">
        <v>0</v>
      </c>
      <c r="E152" s="8">
        <v>100</v>
      </c>
      <c r="F152" s="8">
        <v>26411940</v>
      </c>
      <c r="G152" s="8">
        <v>0</v>
      </c>
      <c r="H152" s="8">
        <v>0</v>
      </c>
      <c r="I152" s="8">
        <v>100</v>
      </c>
      <c r="J152" s="8">
        <v>26411940</v>
      </c>
    </row>
    <row r="153" spans="1:10" x14ac:dyDescent="0.2">
      <c r="A153" s="6" t="s">
        <v>161</v>
      </c>
      <c r="B153" s="7">
        <v>1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</row>
    <row r="154" spans="1:10" x14ac:dyDescent="0.2">
      <c r="A154" s="6" t="s">
        <v>162</v>
      </c>
      <c r="B154" s="7">
        <v>1</v>
      </c>
      <c r="C154" s="8">
        <v>0</v>
      </c>
      <c r="D154" s="8">
        <v>0</v>
      </c>
      <c r="E154" s="8">
        <v>105</v>
      </c>
      <c r="F154" s="8">
        <v>33189555</v>
      </c>
      <c r="G154" s="8">
        <v>0</v>
      </c>
      <c r="H154" s="8">
        <v>0</v>
      </c>
      <c r="I154" s="8">
        <v>105</v>
      </c>
      <c r="J154" s="8">
        <v>33189555</v>
      </c>
    </row>
    <row r="155" spans="1:10" x14ac:dyDescent="0.2">
      <c r="A155" s="6" t="s">
        <v>163</v>
      </c>
      <c r="B155" s="7">
        <v>1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</row>
    <row r="156" spans="1:10" x14ac:dyDescent="0.2">
      <c r="A156" s="6" t="s">
        <v>164</v>
      </c>
      <c r="B156" s="7">
        <v>1</v>
      </c>
      <c r="C156" s="8">
        <v>135</v>
      </c>
      <c r="D156" s="8">
        <v>20923247</v>
      </c>
      <c r="E156" s="8">
        <v>64</v>
      </c>
      <c r="F156" s="8">
        <v>9502290</v>
      </c>
      <c r="G156" s="8">
        <v>50</v>
      </c>
      <c r="H156" s="8">
        <v>7644607</v>
      </c>
      <c r="I156" s="8">
        <v>149</v>
      </c>
      <c r="J156" s="8">
        <v>22780930</v>
      </c>
    </row>
    <row r="157" spans="1:10" x14ac:dyDescent="0.2">
      <c r="A157" s="6" t="s">
        <v>165</v>
      </c>
      <c r="B157" s="7">
        <v>1</v>
      </c>
      <c r="C157" s="8">
        <v>0</v>
      </c>
      <c r="D157" s="8">
        <v>0</v>
      </c>
      <c r="E157" s="8">
        <v>70</v>
      </c>
      <c r="F157" s="8">
        <v>9502290</v>
      </c>
      <c r="G157" s="8">
        <v>0</v>
      </c>
      <c r="H157" s="8">
        <v>0</v>
      </c>
      <c r="I157" s="8">
        <v>70</v>
      </c>
      <c r="J157" s="8">
        <v>9502290</v>
      </c>
    </row>
    <row r="158" spans="1:10" x14ac:dyDescent="0.2">
      <c r="A158" s="6" t="s">
        <v>166</v>
      </c>
      <c r="B158" s="7">
        <v>1</v>
      </c>
      <c r="C158" s="8">
        <v>0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</row>
    <row r="159" spans="1:10" x14ac:dyDescent="0.2">
      <c r="A159" s="6" t="s">
        <v>167</v>
      </c>
      <c r="B159" s="7">
        <v>1</v>
      </c>
      <c r="C159" s="8">
        <v>2166</v>
      </c>
      <c r="D159" s="8">
        <v>402148258</v>
      </c>
      <c r="E159" s="8">
        <v>0</v>
      </c>
      <c r="F159" s="8">
        <v>0</v>
      </c>
      <c r="G159" s="8">
        <v>140</v>
      </c>
      <c r="H159" s="8">
        <v>25992962</v>
      </c>
      <c r="I159" s="8">
        <v>2026</v>
      </c>
      <c r="J159" s="8">
        <v>376155296</v>
      </c>
    </row>
    <row r="160" spans="1:10" x14ac:dyDescent="0.2">
      <c r="A160" s="6" t="s">
        <v>168</v>
      </c>
      <c r="B160" s="7">
        <v>1</v>
      </c>
      <c r="C160" s="8">
        <v>0</v>
      </c>
      <c r="D160" s="8">
        <v>0</v>
      </c>
      <c r="E160" s="8">
        <v>10</v>
      </c>
      <c r="F160" s="8">
        <v>1820830</v>
      </c>
      <c r="G160" s="8">
        <v>0</v>
      </c>
      <c r="H160" s="8">
        <v>0</v>
      </c>
      <c r="I160" s="8">
        <v>10</v>
      </c>
      <c r="J160" s="8">
        <v>1820830</v>
      </c>
    </row>
    <row r="161" spans="1:10" x14ac:dyDescent="0.2">
      <c r="A161" s="6" t="s">
        <v>169</v>
      </c>
      <c r="B161" s="7">
        <v>1</v>
      </c>
      <c r="C161" s="8">
        <v>1024</v>
      </c>
      <c r="D161" s="8">
        <v>181338997</v>
      </c>
      <c r="E161" s="8">
        <v>0</v>
      </c>
      <c r="F161" s="8">
        <v>0</v>
      </c>
      <c r="G161" s="8">
        <v>20</v>
      </c>
      <c r="H161" s="8">
        <v>3541777</v>
      </c>
      <c r="I161" s="8">
        <v>1004</v>
      </c>
      <c r="J161" s="8">
        <v>177797220</v>
      </c>
    </row>
    <row r="162" spans="1:10" x14ac:dyDescent="0.2">
      <c r="A162" s="6" t="s">
        <v>170</v>
      </c>
      <c r="B162" s="7">
        <v>1</v>
      </c>
      <c r="C162" s="8">
        <v>0</v>
      </c>
      <c r="D162" s="8">
        <v>0</v>
      </c>
      <c r="E162" s="8">
        <v>17</v>
      </c>
      <c r="F162" s="8">
        <v>4668812</v>
      </c>
      <c r="G162" s="8">
        <v>0</v>
      </c>
      <c r="H162" s="8">
        <v>0</v>
      </c>
      <c r="I162" s="8">
        <v>17</v>
      </c>
      <c r="J162" s="8">
        <v>4668812</v>
      </c>
    </row>
    <row r="163" spans="1:10" x14ac:dyDescent="0.2">
      <c r="A163" s="6" t="s">
        <v>171</v>
      </c>
      <c r="B163" s="7">
        <v>1</v>
      </c>
      <c r="C163" s="8">
        <v>0</v>
      </c>
      <c r="D163" s="8">
        <v>0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</row>
    <row r="164" spans="1:10" x14ac:dyDescent="0.2">
      <c r="A164" s="6" t="s">
        <v>172</v>
      </c>
      <c r="B164" s="7">
        <v>1</v>
      </c>
      <c r="C164" s="8">
        <v>0</v>
      </c>
      <c r="D164" s="8">
        <v>0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</row>
    <row r="165" spans="1:10" x14ac:dyDescent="0.2">
      <c r="A165" s="6" t="s">
        <v>173</v>
      </c>
      <c r="B165" s="7">
        <v>1</v>
      </c>
      <c r="C165" s="8">
        <v>0</v>
      </c>
      <c r="D165" s="8">
        <v>0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</row>
    <row r="166" spans="1:10" x14ac:dyDescent="0.2">
      <c r="A166" s="6" t="s">
        <v>174</v>
      </c>
      <c r="B166" s="7">
        <v>1</v>
      </c>
      <c r="C166" s="8">
        <v>0</v>
      </c>
      <c r="D166" s="8">
        <v>0</v>
      </c>
      <c r="E166" s="8">
        <v>30</v>
      </c>
      <c r="F166" s="8">
        <v>8233320</v>
      </c>
      <c r="G166" s="8">
        <v>0</v>
      </c>
      <c r="H166" s="8">
        <v>0</v>
      </c>
      <c r="I166" s="8">
        <v>30</v>
      </c>
      <c r="J166" s="8">
        <v>8233320</v>
      </c>
    </row>
    <row r="167" spans="1:10" x14ac:dyDescent="0.2">
      <c r="A167" s="6" t="s">
        <v>175</v>
      </c>
      <c r="B167" s="7">
        <v>1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</row>
    <row r="168" spans="1:10" x14ac:dyDescent="0.2">
      <c r="A168" s="6" t="s">
        <v>176</v>
      </c>
      <c r="B168" s="7">
        <v>1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</row>
    <row r="169" spans="1:10" x14ac:dyDescent="0.2">
      <c r="A169" s="6" t="s">
        <v>177</v>
      </c>
      <c r="B169" s="7">
        <v>1</v>
      </c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</row>
    <row r="170" spans="1:10" x14ac:dyDescent="0.2">
      <c r="A170" s="6" t="s">
        <v>178</v>
      </c>
      <c r="B170" s="7">
        <v>1</v>
      </c>
      <c r="C170" s="8">
        <v>0</v>
      </c>
      <c r="D170" s="8">
        <v>0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</row>
    <row r="171" spans="1:10" x14ac:dyDescent="0.2">
      <c r="A171" s="6" t="s">
        <v>179</v>
      </c>
      <c r="B171" s="7">
        <v>1</v>
      </c>
      <c r="C171" s="8">
        <v>7248</v>
      </c>
      <c r="D171" s="8">
        <v>40116000</v>
      </c>
      <c r="E171" s="8">
        <v>13368</v>
      </c>
      <c r="F171" s="8">
        <v>72922440</v>
      </c>
      <c r="G171" s="8">
        <v>7248</v>
      </c>
      <c r="H171" s="8">
        <v>39741105</v>
      </c>
      <c r="I171" s="8">
        <v>13368</v>
      </c>
      <c r="J171" s="8">
        <v>73297335</v>
      </c>
    </row>
    <row r="172" spans="1:10" x14ac:dyDescent="0.2">
      <c r="A172" s="6" t="s">
        <v>180</v>
      </c>
      <c r="B172" s="7">
        <v>1</v>
      </c>
      <c r="C172" s="8">
        <v>0</v>
      </c>
      <c r="D172" s="8">
        <v>0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</row>
    <row r="173" spans="1:10" x14ac:dyDescent="0.2">
      <c r="A173" s="6" t="s">
        <v>181</v>
      </c>
      <c r="B173" s="7">
        <v>1</v>
      </c>
      <c r="C173" s="8">
        <v>1530</v>
      </c>
      <c r="D173" s="8">
        <v>73718460</v>
      </c>
      <c r="E173" s="8">
        <v>900</v>
      </c>
      <c r="F173" s="8">
        <v>43242300</v>
      </c>
      <c r="G173" s="8">
        <v>1530</v>
      </c>
      <c r="H173" s="8">
        <v>73641960</v>
      </c>
      <c r="I173" s="8">
        <v>900</v>
      </c>
      <c r="J173" s="8">
        <v>43318800</v>
      </c>
    </row>
    <row r="174" spans="1:10" x14ac:dyDescent="0.2">
      <c r="A174" s="6" t="s">
        <v>182</v>
      </c>
      <c r="B174" s="7">
        <v>1</v>
      </c>
      <c r="C174" s="8">
        <v>0</v>
      </c>
      <c r="D174" s="8">
        <v>0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</row>
    <row r="175" spans="1:10" x14ac:dyDescent="0.2">
      <c r="A175" s="6" t="s">
        <v>183</v>
      </c>
      <c r="B175" s="7">
        <v>1</v>
      </c>
      <c r="C175" s="8">
        <v>2302</v>
      </c>
      <c r="D175" s="8">
        <v>125545601</v>
      </c>
      <c r="E175" s="8">
        <v>208</v>
      </c>
      <c r="F175" s="8">
        <v>10880000</v>
      </c>
      <c r="G175" s="8">
        <v>50</v>
      </c>
      <c r="H175" s="8">
        <v>2717641</v>
      </c>
      <c r="I175" s="8">
        <v>2460</v>
      </c>
      <c r="J175" s="8">
        <v>133707960</v>
      </c>
    </row>
    <row r="176" spans="1:10" x14ac:dyDescent="0.2">
      <c r="A176" s="6" t="s">
        <v>184</v>
      </c>
      <c r="B176" s="7">
        <v>1</v>
      </c>
      <c r="C176" s="8">
        <v>2688</v>
      </c>
      <c r="D176" s="8">
        <v>147556845</v>
      </c>
      <c r="E176" s="8">
        <v>312</v>
      </c>
      <c r="F176" s="8">
        <v>16320000</v>
      </c>
      <c r="G176" s="8">
        <v>337</v>
      </c>
      <c r="H176" s="8">
        <v>18408832</v>
      </c>
      <c r="I176" s="8">
        <v>2663</v>
      </c>
      <c r="J176" s="8">
        <v>145468013</v>
      </c>
    </row>
    <row r="177" spans="1:10" x14ac:dyDescent="0.2">
      <c r="A177" s="6" t="s">
        <v>185</v>
      </c>
      <c r="B177" s="7">
        <v>1</v>
      </c>
      <c r="C177" s="8">
        <v>0</v>
      </c>
      <c r="D177" s="8">
        <v>0</v>
      </c>
      <c r="E177" s="8">
        <v>200</v>
      </c>
      <c r="F177" s="8">
        <v>36046800</v>
      </c>
      <c r="G177" s="8">
        <v>110</v>
      </c>
      <c r="H177" s="8">
        <v>19825740</v>
      </c>
      <c r="I177" s="8">
        <v>90</v>
      </c>
      <c r="J177" s="8">
        <v>16221060</v>
      </c>
    </row>
    <row r="178" spans="1:10" x14ac:dyDescent="0.2">
      <c r="A178" s="6" t="s">
        <v>186</v>
      </c>
      <c r="B178" s="7">
        <v>1</v>
      </c>
      <c r="C178" s="8">
        <v>1500</v>
      </c>
      <c r="D178" s="8">
        <v>81000000</v>
      </c>
      <c r="E178" s="8">
        <v>16800</v>
      </c>
      <c r="F178" s="8">
        <v>730252910</v>
      </c>
      <c r="G178" s="8">
        <v>17110</v>
      </c>
      <c r="H178" s="8">
        <v>758499305</v>
      </c>
      <c r="I178" s="8">
        <v>1190</v>
      </c>
      <c r="J178" s="8">
        <v>52753605</v>
      </c>
    </row>
    <row r="179" spans="1:10" x14ac:dyDescent="0.2">
      <c r="A179" s="6" t="s">
        <v>187</v>
      </c>
      <c r="B179" s="7">
        <v>1</v>
      </c>
      <c r="C179" s="8">
        <v>1470</v>
      </c>
      <c r="D179" s="8">
        <v>59535000</v>
      </c>
      <c r="E179" s="8">
        <v>525</v>
      </c>
      <c r="F179" s="8">
        <v>18553500</v>
      </c>
      <c r="G179" s="8">
        <v>1470</v>
      </c>
      <c r="H179" s="8">
        <v>57538895</v>
      </c>
      <c r="I179" s="8">
        <v>525</v>
      </c>
      <c r="J179" s="8">
        <v>20549605</v>
      </c>
    </row>
    <row r="180" spans="1:10" x14ac:dyDescent="0.2">
      <c r="A180" s="6" t="s">
        <v>188</v>
      </c>
      <c r="B180" s="7">
        <v>1</v>
      </c>
      <c r="C180" s="8">
        <v>6507</v>
      </c>
      <c r="D180" s="8">
        <v>1320921000</v>
      </c>
      <c r="E180" s="8">
        <v>6050</v>
      </c>
      <c r="F180" s="8">
        <v>1082287500</v>
      </c>
      <c r="G180" s="8">
        <v>6617</v>
      </c>
      <c r="H180" s="8">
        <v>1266387724</v>
      </c>
      <c r="I180" s="8">
        <v>5940</v>
      </c>
      <c r="J180" s="8">
        <v>1136820776</v>
      </c>
    </row>
    <row r="181" spans="1:10" x14ac:dyDescent="0.2">
      <c r="A181" s="6" t="s">
        <v>189</v>
      </c>
      <c r="B181" s="7">
        <v>1</v>
      </c>
      <c r="C181" s="8">
        <v>170</v>
      </c>
      <c r="D181" s="8">
        <v>8500000</v>
      </c>
      <c r="E181" s="8">
        <v>250</v>
      </c>
      <c r="F181" s="8">
        <v>10842955</v>
      </c>
      <c r="G181" s="8">
        <v>170</v>
      </c>
      <c r="H181" s="8">
        <v>7829291</v>
      </c>
      <c r="I181" s="8">
        <v>250</v>
      </c>
      <c r="J181" s="8">
        <v>11513664</v>
      </c>
    </row>
    <row r="182" spans="1:10" x14ac:dyDescent="0.2">
      <c r="A182" s="6" t="s">
        <v>190</v>
      </c>
      <c r="B182" s="7">
        <v>1</v>
      </c>
      <c r="C182" s="8">
        <v>14840</v>
      </c>
      <c r="D182" s="8">
        <v>482300000</v>
      </c>
      <c r="E182" s="8">
        <v>5250</v>
      </c>
      <c r="F182" s="8">
        <v>148428000</v>
      </c>
      <c r="G182" s="8">
        <v>14840</v>
      </c>
      <c r="H182" s="8">
        <v>465903610</v>
      </c>
      <c r="I182" s="8">
        <v>5250</v>
      </c>
      <c r="J182" s="8">
        <v>164824390</v>
      </c>
    </row>
    <row r="183" spans="1:10" x14ac:dyDescent="0.2">
      <c r="A183" s="6" t="s">
        <v>191</v>
      </c>
      <c r="B183" s="7">
        <v>1</v>
      </c>
      <c r="C183" s="8">
        <v>38675</v>
      </c>
      <c r="D183" s="8">
        <v>1245257650</v>
      </c>
      <c r="E183" s="8">
        <v>53025</v>
      </c>
      <c r="F183" s="8">
        <v>1480569300</v>
      </c>
      <c r="G183" s="8">
        <v>69710</v>
      </c>
      <c r="H183" s="8">
        <v>2114639847</v>
      </c>
      <c r="I183" s="8">
        <v>21990</v>
      </c>
      <c r="J183" s="8">
        <v>611187103</v>
      </c>
    </row>
    <row r="184" spans="1:10" x14ac:dyDescent="0.2">
      <c r="A184" s="6" t="s">
        <v>192</v>
      </c>
      <c r="B184" s="7">
        <v>1</v>
      </c>
      <c r="C184" s="8">
        <v>3450</v>
      </c>
      <c r="D184" s="8">
        <v>27945000</v>
      </c>
      <c r="E184" s="8">
        <v>3900</v>
      </c>
      <c r="F184" s="8">
        <v>27565200</v>
      </c>
      <c r="G184" s="8">
        <v>3450</v>
      </c>
      <c r="H184" s="8">
        <v>26055808</v>
      </c>
      <c r="I184" s="8">
        <v>3900</v>
      </c>
      <c r="J184" s="8">
        <v>29454392</v>
      </c>
    </row>
    <row r="185" spans="1:10" x14ac:dyDescent="0.2">
      <c r="A185" s="6" t="s">
        <v>193</v>
      </c>
      <c r="B185" s="7">
        <v>1</v>
      </c>
      <c r="C185" s="8">
        <v>80</v>
      </c>
      <c r="D185" s="8">
        <v>19360000</v>
      </c>
      <c r="E185" s="8">
        <v>100</v>
      </c>
      <c r="F185" s="8">
        <v>21364636</v>
      </c>
      <c r="G185" s="8">
        <v>80</v>
      </c>
      <c r="H185" s="8">
        <v>18099838</v>
      </c>
      <c r="I185" s="8">
        <v>100</v>
      </c>
      <c r="J185" s="8">
        <v>22624798</v>
      </c>
    </row>
    <row r="186" spans="1:10" x14ac:dyDescent="0.2">
      <c r="A186" s="6" t="s">
        <v>194</v>
      </c>
      <c r="B186" s="7">
        <v>1</v>
      </c>
      <c r="C186" s="8">
        <v>87340</v>
      </c>
      <c r="D186" s="8">
        <v>890780660</v>
      </c>
      <c r="E186" s="8">
        <v>116700</v>
      </c>
      <c r="F186" s="8">
        <v>824835600</v>
      </c>
      <c r="G186" s="8">
        <v>122460</v>
      </c>
      <c r="H186" s="8">
        <v>1065402000</v>
      </c>
      <c r="I186" s="8">
        <v>81580</v>
      </c>
      <c r="J186" s="8">
        <v>650214260</v>
      </c>
    </row>
    <row r="187" spans="1:10" x14ac:dyDescent="0.2">
      <c r="A187" s="6" t="s">
        <v>195</v>
      </c>
      <c r="B187" s="7">
        <v>1</v>
      </c>
      <c r="C187" s="8">
        <v>5290</v>
      </c>
      <c r="D187" s="8">
        <v>1183380000</v>
      </c>
      <c r="E187" s="8">
        <v>5400</v>
      </c>
      <c r="F187" s="8">
        <v>1153690363</v>
      </c>
      <c r="G187" s="8">
        <v>9435</v>
      </c>
      <c r="H187" s="8">
        <v>2182179068</v>
      </c>
      <c r="I187" s="8">
        <v>1255</v>
      </c>
      <c r="J187" s="8">
        <v>154891295</v>
      </c>
    </row>
    <row r="188" spans="1:10" x14ac:dyDescent="0.2">
      <c r="A188" s="6" t="s">
        <v>196</v>
      </c>
      <c r="B188" s="7">
        <v>1</v>
      </c>
      <c r="C188" s="8">
        <v>430</v>
      </c>
      <c r="D188" s="8">
        <v>72719239</v>
      </c>
      <c r="E188" s="8">
        <v>150</v>
      </c>
      <c r="F188" s="8">
        <v>24649650</v>
      </c>
      <c r="G188" s="8">
        <v>400</v>
      </c>
      <c r="H188" s="8">
        <v>67150958</v>
      </c>
      <c r="I188" s="8">
        <v>180</v>
      </c>
      <c r="J188" s="8">
        <v>30217931</v>
      </c>
    </row>
    <row r="189" spans="1:10" x14ac:dyDescent="0.2">
      <c r="A189" s="6" t="s">
        <v>197</v>
      </c>
      <c r="B189" s="7">
        <v>1</v>
      </c>
      <c r="C189" s="8">
        <v>1510</v>
      </c>
      <c r="D189" s="8">
        <v>10892800</v>
      </c>
      <c r="E189" s="8">
        <v>1200</v>
      </c>
      <c r="F189" s="8">
        <v>8481600</v>
      </c>
      <c r="G189" s="8">
        <v>1510</v>
      </c>
      <c r="H189" s="8">
        <v>10795330</v>
      </c>
      <c r="I189" s="8">
        <v>1200</v>
      </c>
      <c r="J189" s="8">
        <v>8579070</v>
      </c>
    </row>
    <row r="190" spans="1:10" x14ac:dyDescent="0.2">
      <c r="A190" s="6" t="s">
        <v>198</v>
      </c>
      <c r="B190" s="7">
        <v>1</v>
      </c>
      <c r="C190" s="8">
        <v>0</v>
      </c>
      <c r="D190" s="8">
        <v>0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</row>
    <row r="191" spans="1:10" x14ac:dyDescent="0.2">
      <c r="A191" s="6" t="s">
        <v>199</v>
      </c>
      <c r="B191" s="7">
        <v>1</v>
      </c>
      <c r="C191" s="8">
        <v>77660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77660</v>
      </c>
      <c r="J191" s="8">
        <v>0</v>
      </c>
    </row>
    <row r="192" spans="1:10" x14ac:dyDescent="0.2">
      <c r="A192" s="6" t="s">
        <v>200</v>
      </c>
      <c r="B192" s="7">
        <v>1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</row>
    <row r="193" spans="1:10" x14ac:dyDescent="0.2">
      <c r="A193" s="6" t="s">
        <v>201</v>
      </c>
      <c r="B193" s="7">
        <v>1</v>
      </c>
      <c r="C193" s="8">
        <v>288</v>
      </c>
      <c r="D193" s="8">
        <v>4146912</v>
      </c>
      <c r="E193" s="8">
        <v>240</v>
      </c>
      <c r="F193" s="8">
        <v>3600000</v>
      </c>
      <c r="G193" s="8">
        <v>288</v>
      </c>
      <c r="H193" s="8">
        <v>4225588</v>
      </c>
      <c r="I193" s="8">
        <v>240</v>
      </c>
      <c r="J193" s="8">
        <v>3521324</v>
      </c>
    </row>
    <row r="194" spans="1:10" x14ac:dyDescent="0.2">
      <c r="A194" s="6" t="s">
        <v>202</v>
      </c>
      <c r="B194" s="7">
        <v>1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</row>
    <row r="195" spans="1:10" x14ac:dyDescent="0.2">
      <c r="A195" s="6" t="s">
        <v>203</v>
      </c>
      <c r="B195" s="7">
        <v>1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</row>
    <row r="196" spans="1:10" x14ac:dyDescent="0.2">
      <c r="A196" s="6" t="s">
        <v>204</v>
      </c>
      <c r="B196" s="7">
        <v>1</v>
      </c>
      <c r="C196" s="8">
        <v>1005</v>
      </c>
      <c r="D196" s="8">
        <v>29800377</v>
      </c>
      <c r="E196" s="8">
        <v>1800</v>
      </c>
      <c r="F196" s="8">
        <v>54999000</v>
      </c>
      <c r="G196" s="8">
        <v>246</v>
      </c>
      <c r="H196" s="8">
        <v>7436951</v>
      </c>
      <c r="I196" s="8">
        <v>2559</v>
      </c>
      <c r="J196" s="8">
        <v>77362426</v>
      </c>
    </row>
    <row r="197" spans="1:10" x14ac:dyDescent="0.2">
      <c r="A197" s="6" t="s">
        <v>205</v>
      </c>
      <c r="B197" s="7">
        <v>1</v>
      </c>
      <c r="C197" s="8">
        <v>0</v>
      </c>
      <c r="D197" s="8">
        <v>0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</row>
    <row r="198" spans="1:10" x14ac:dyDescent="0.2">
      <c r="A198" s="6" t="s">
        <v>206</v>
      </c>
      <c r="B198" s="7">
        <v>1</v>
      </c>
      <c r="C198" s="8">
        <v>794</v>
      </c>
      <c r="D198" s="8">
        <v>21565040</v>
      </c>
      <c r="E198" s="8">
        <v>144</v>
      </c>
      <c r="F198" s="8">
        <v>4302144</v>
      </c>
      <c r="G198" s="8">
        <v>98</v>
      </c>
      <c r="H198" s="8">
        <v>2702542</v>
      </c>
      <c r="I198" s="8">
        <v>840</v>
      </c>
      <c r="J198" s="8">
        <v>23164642</v>
      </c>
    </row>
    <row r="199" spans="1:10" x14ac:dyDescent="0.2">
      <c r="A199" s="6" t="s">
        <v>207</v>
      </c>
      <c r="B199" s="7">
        <v>1</v>
      </c>
      <c r="C199" s="8">
        <v>0</v>
      </c>
      <c r="D199" s="8">
        <v>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</row>
    <row r="200" spans="1:10" x14ac:dyDescent="0.2">
      <c r="A200" s="6" t="s">
        <v>208</v>
      </c>
      <c r="B200" s="7">
        <v>1</v>
      </c>
      <c r="C200" s="8">
        <v>0</v>
      </c>
      <c r="D200" s="8">
        <v>0</v>
      </c>
      <c r="E200" s="8">
        <v>0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</row>
    <row r="201" spans="1:10" x14ac:dyDescent="0.2">
      <c r="A201" s="6" t="s">
        <v>209</v>
      </c>
      <c r="B201" s="7">
        <v>1</v>
      </c>
      <c r="C201" s="8">
        <v>0</v>
      </c>
      <c r="D201" s="8">
        <v>0</v>
      </c>
      <c r="E201" s="8">
        <v>24</v>
      </c>
      <c r="F201" s="8">
        <v>1401840</v>
      </c>
      <c r="G201" s="8">
        <v>0</v>
      </c>
      <c r="H201" s="8">
        <v>0</v>
      </c>
      <c r="I201" s="8">
        <v>24</v>
      </c>
      <c r="J201" s="8">
        <v>1401840</v>
      </c>
    </row>
    <row r="202" spans="1:10" x14ac:dyDescent="0.2">
      <c r="A202" s="6" t="s">
        <v>210</v>
      </c>
      <c r="B202" s="7">
        <v>1</v>
      </c>
      <c r="C202" s="8">
        <v>0</v>
      </c>
      <c r="D202" s="8">
        <v>0</v>
      </c>
      <c r="E202" s="8">
        <v>240</v>
      </c>
      <c r="F202" s="8">
        <v>3156480</v>
      </c>
      <c r="G202" s="8">
        <v>0</v>
      </c>
      <c r="H202" s="8">
        <v>0</v>
      </c>
      <c r="I202" s="8">
        <v>240</v>
      </c>
      <c r="J202" s="8">
        <v>3156480</v>
      </c>
    </row>
    <row r="203" spans="1:10" x14ac:dyDescent="0.2">
      <c r="A203" s="6" t="s">
        <v>211</v>
      </c>
      <c r="B203" s="7">
        <v>1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</row>
    <row r="204" spans="1:10" x14ac:dyDescent="0.2">
      <c r="A204" s="6" t="s">
        <v>212</v>
      </c>
      <c r="B204" s="7">
        <v>1</v>
      </c>
      <c r="C204" s="8">
        <v>1199</v>
      </c>
      <c r="D204" s="8">
        <v>14886462</v>
      </c>
      <c r="E204" s="8">
        <v>1440</v>
      </c>
      <c r="F204" s="8">
        <v>17879040</v>
      </c>
      <c r="G204" s="8">
        <v>792</v>
      </c>
      <c r="H204" s="8">
        <v>9833375</v>
      </c>
      <c r="I204" s="8">
        <v>1847</v>
      </c>
      <c r="J204" s="8">
        <v>22932127</v>
      </c>
    </row>
    <row r="205" spans="1:10" x14ac:dyDescent="0.2">
      <c r="A205" s="6" t="s">
        <v>213</v>
      </c>
      <c r="B205" s="7">
        <v>1</v>
      </c>
      <c r="C205" s="8">
        <v>0</v>
      </c>
      <c r="D205" s="8">
        <v>0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</row>
    <row r="206" spans="1:10" x14ac:dyDescent="0.2">
      <c r="A206" s="6" t="s">
        <v>214</v>
      </c>
      <c r="B206" s="7">
        <v>1</v>
      </c>
      <c r="C206" s="8">
        <v>980</v>
      </c>
      <c r="D206" s="8">
        <v>24110728</v>
      </c>
      <c r="E206" s="8">
        <v>1800</v>
      </c>
      <c r="F206" s="8">
        <v>44348400</v>
      </c>
      <c r="G206" s="8">
        <v>328</v>
      </c>
      <c r="H206" s="8">
        <v>8077192</v>
      </c>
      <c r="I206" s="8">
        <v>2452</v>
      </c>
      <c r="J206" s="8">
        <v>60381936</v>
      </c>
    </row>
    <row r="207" spans="1:10" x14ac:dyDescent="0.2">
      <c r="A207" s="6" t="s">
        <v>215</v>
      </c>
      <c r="B207" s="7">
        <v>1</v>
      </c>
      <c r="C207" s="8">
        <v>736</v>
      </c>
      <c r="D207" s="8">
        <v>31412480</v>
      </c>
      <c r="E207" s="8">
        <v>0</v>
      </c>
      <c r="F207" s="8">
        <v>0</v>
      </c>
      <c r="G207" s="8">
        <v>48</v>
      </c>
      <c r="H207" s="8">
        <v>2048640</v>
      </c>
      <c r="I207" s="8">
        <v>688</v>
      </c>
      <c r="J207" s="8">
        <v>29363840</v>
      </c>
    </row>
    <row r="208" spans="1:10" x14ac:dyDescent="0.2">
      <c r="A208" s="6" t="s">
        <v>216</v>
      </c>
      <c r="B208" s="7">
        <v>1</v>
      </c>
      <c r="C208" s="8">
        <v>0</v>
      </c>
      <c r="D208" s="8">
        <v>0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</row>
    <row r="209" spans="1:10" x14ac:dyDescent="0.2">
      <c r="A209" s="6" t="s">
        <v>217</v>
      </c>
      <c r="B209" s="7">
        <v>1</v>
      </c>
      <c r="C209" s="8">
        <v>190</v>
      </c>
      <c r="D209" s="8">
        <v>33725054</v>
      </c>
      <c r="E209" s="8">
        <v>0</v>
      </c>
      <c r="F209" s="8">
        <v>0</v>
      </c>
      <c r="G209" s="8">
        <v>23</v>
      </c>
      <c r="H209" s="8">
        <v>4082507</v>
      </c>
      <c r="I209" s="8">
        <v>167</v>
      </c>
      <c r="J209" s="8">
        <v>29642547</v>
      </c>
    </row>
    <row r="210" spans="1:10" x14ac:dyDescent="0.2">
      <c r="A210" s="6" t="s">
        <v>218</v>
      </c>
      <c r="B210" s="7">
        <v>1</v>
      </c>
      <c r="C210" s="8">
        <v>150</v>
      </c>
      <c r="D210" s="8">
        <v>34779065</v>
      </c>
      <c r="E210" s="8">
        <v>0</v>
      </c>
      <c r="F210" s="8">
        <v>0</v>
      </c>
      <c r="G210" s="8">
        <v>40</v>
      </c>
      <c r="H210" s="8">
        <v>9274417</v>
      </c>
      <c r="I210" s="8">
        <v>110</v>
      </c>
      <c r="J210" s="8">
        <v>25504648</v>
      </c>
    </row>
    <row r="211" spans="1:10" x14ac:dyDescent="0.2">
      <c r="A211" s="6" t="s">
        <v>219</v>
      </c>
      <c r="B211" s="7">
        <v>1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</row>
    <row r="212" spans="1:10" x14ac:dyDescent="0.2">
      <c r="A212" s="6" t="s">
        <v>220</v>
      </c>
      <c r="B212" s="7">
        <v>1</v>
      </c>
      <c r="C212" s="8">
        <v>0</v>
      </c>
      <c r="D212" s="8">
        <v>0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</row>
    <row r="213" spans="1:10" x14ac:dyDescent="0.2">
      <c r="A213" s="6" t="s">
        <v>221</v>
      </c>
      <c r="B213" s="7">
        <v>1</v>
      </c>
      <c r="C213" s="8">
        <v>1386</v>
      </c>
      <c r="D213" s="8">
        <v>27482240</v>
      </c>
      <c r="E213" s="8">
        <v>1800</v>
      </c>
      <c r="F213" s="8">
        <v>35443800</v>
      </c>
      <c r="G213" s="8">
        <v>120</v>
      </c>
      <c r="H213" s="8">
        <v>2370096</v>
      </c>
      <c r="I213" s="8">
        <v>3066</v>
      </c>
      <c r="J213" s="8">
        <v>60555944</v>
      </c>
    </row>
    <row r="214" spans="1:10" x14ac:dyDescent="0.2">
      <c r="A214" s="6" t="s">
        <v>222</v>
      </c>
      <c r="B214" s="7">
        <v>1</v>
      </c>
      <c r="C214" s="8">
        <v>1001</v>
      </c>
      <c r="D214" s="8">
        <v>21845794</v>
      </c>
      <c r="E214" s="8">
        <v>0</v>
      </c>
      <c r="F214" s="8">
        <v>0</v>
      </c>
      <c r="G214" s="8">
        <v>72</v>
      </c>
      <c r="H214" s="8">
        <v>1571326</v>
      </c>
      <c r="I214" s="8">
        <v>929</v>
      </c>
      <c r="J214" s="8">
        <v>20274468</v>
      </c>
    </row>
    <row r="215" spans="1:10" x14ac:dyDescent="0.2">
      <c r="A215" s="6" t="s">
        <v>223</v>
      </c>
      <c r="B215" s="7">
        <v>1</v>
      </c>
      <c r="C215" s="8">
        <v>913</v>
      </c>
      <c r="D215" s="8">
        <v>39483212</v>
      </c>
      <c r="E215" s="8">
        <v>0</v>
      </c>
      <c r="F215" s="8">
        <v>0</v>
      </c>
      <c r="G215" s="8">
        <v>48</v>
      </c>
      <c r="H215" s="8">
        <v>2075788</v>
      </c>
      <c r="I215" s="8">
        <v>865</v>
      </c>
      <c r="J215" s="8">
        <v>37407424</v>
      </c>
    </row>
    <row r="216" spans="1:10" x14ac:dyDescent="0.2">
      <c r="A216" s="6" t="s">
        <v>224</v>
      </c>
      <c r="B216" s="7">
        <v>1</v>
      </c>
      <c r="C216" s="8">
        <v>0</v>
      </c>
      <c r="D216" s="8">
        <v>0</v>
      </c>
      <c r="E216" s="8">
        <v>96</v>
      </c>
      <c r="F216" s="8">
        <v>1918272</v>
      </c>
      <c r="G216" s="8">
        <v>0</v>
      </c>
      <c r="H216" s="8">
        <v>0</v>
      </c>
      <c r="I216" s="8">
        <v>96</v>
      </c>
      <c r="J216" s="8">
        <v>1918272</v>
      </c>
    </row>
    <row r="217" spans="1:10" x14ac:dyDescent="0.2">
      <c r="A217" s="6" t="s">
        <v>225</v>
      </c>
      <c r="B217" s="7">
        <v>1</v>
      </c>
      <c r="C217" s="8">
        <v>0</v>
      </c>
      <c r="D217" s="8">
        <v>0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</row>
    <row r="218" spans="1:10" x14ac:dyDescent="0.2">
      <c r="A218" s="6" t="s">
        <v>226</v>
      </c>
      <c r="B218" s="7">
        <v>1</v>
      </c>
      <c r="C218" s="8">
        <v>0</v>
      </c>
      <c r="D218" s="8">
        <v>0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</row>
    <row r="219" spans="1:10" x14ac:dyDescent="0.2">
      <c r="A219" s="6" t="s">
        <v>227</v>
      </c>
      <c r="B219" s="7">
        <v>1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</row>
    <row r="220" spans="1:10" x14ac:dyDescent="0.2">
      <c r="A220" s="6" t="s">
        <v>228</v>
      </c>
      <c r="B220" s="7">
        <v>1</v>
      </c>
      <c r="C220" s="8">
        <v>992</v>
      </c>
      <c r="D220" s="8">
        <v>88489189</v>
      </c>
      <c r="E220" s="8">
        <v>120</v>
      </c>
      <c r="F220" s="8">
        <v>10536960</v>
      </c>
      <c r="G220" s="8">
        <v>120</v>
      </c>
      <c r="H220" s="8">
        <v>10686275</v>
      </c>
      <c r="I220" s="8">
        <v>992</v>
      </c>
      <c r="J220" s="8">
        <v>88339874</v>
      </c>
    </row>
    <row r="221" spans="1:10" x14ac:dyDescent="0.2">
      <c r="A221" s="6" t="s">
        <v>229</v>
      </c>
      <c r="B221" s="7">
        <v>1</v>
      </c>
      <c r="C221" s="8">
        <v>1753</v>
      </c>
      <c r="D221" s="8">
        <v>162504488</v>
      </c>
      <c r="E221" s="8">
        <v>70</v>
      </c>
      <c r="F221" s="8">
        <v>6537580</v>
      </c>
      <c r="G221" s="8">
        <v>1057</v>
      </c>
      <c r="H221" s="8">
        <v>98012872</v>
      </c>
      <c r="I221" s="8">
        <v>766</v>
      </c>
      <c r="J221" s="8">
        <v>71029196</v>
      </c>
    </row>
    <row r="222" spans="1:10" x14ac:dyDescent="0.2">
      <c r="A222" s="6" t="s">
        <v>230</v>
      </c>
      <c r="B222" s="7">
        <v>1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</row>
    <row r="223" spans="1:10" x14ac:dyDescent="0.2">
      <c r="A223" s="6" t="s">
        <v>231</v>
      </c>
      <c r="B223" s="7">
        <v>1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</row>
    <row r="224" spans="1:10" x14ac:dyDescent="0.2">
      <c r="A224" s="6" t="s">
        <v>232</v>
      </c>
      <c r="B224" s="7">
        <v>1</v>
      </c>
      <c r="C224" s="8">
        <v>784</v>
      </c>
      <c r="D224" s="8">
        <v>49798661</v>
      </c>
      <c r="E224" s="8">
        <v>560</v>
      </c>
      <c r="F224" s="8">
        <v>35570472</v>
      </c>
      <c r="G224" s="8">
        <v>16</v>
      </c>
      <c r="H224" s="8">
        <v>1016299</v>
      </c>
      <c r="I224" s="8">
        <v>1328</v>
      </c>
      <c r="J224" s="8">
        <v>84352834</v>
      </c>
    </row>
    <row r="225" spans="1:10" x14ac:dyDescent="0.2">
      <c r="A225" s="6" t="s">
        <v>233</v>
      </c>
      <c r="B225" s="7">
        <v>1</v>
      </c>
      <c r="C225" s="8">
        <v>3007</v>
      </c>
      <c r="D225" s="8">
        <v>187609134</v>
      </c>
      <c r="E225" s="8">
        <v>2400</v>
      </c>
      <c r="F225" s="8">
        <v>150528000</v>
      </c>
      <c r="G225" s="8">
        <v>1755</v>
      </c>
      <c r="H225" s="8">
        <v>109752297</v>
      </c>
      <c r="I225" s="8">
        <v>3652</v>
      </c>
      <c r="J225" s="8">
        <v>228384837</v>
      </c>
    </row>
    <row r="226" spans="1:10" x14ac:dyDescent="0.2">
      <c r="A226" s="6" t="s">
        <v>234</v>
      </c>
      <c r="B226" s="7">
        <v>1</v>
      </c>
      <c r="C226" s="8">
        <v>11592</v>
      </c>
      <c r="D226" s="8">
        <v>691833744</v>
      </c>
      <c r="E226" s="8">
        <v>16054</v>
      </c>
      <c r="F226" s="8">
        <v>958134828</v>
      </c>
      <c r="G226" s="8">
        <v>12328</v>
      </c>
      <c r="H226" s="8">
        <v>735759696</v>
      </c>
      <c r="I226" s="8">
        <v>15318</v>
      </c>
      <c r="J226" s="8">
        <v>914208876</v>
      </c>
    </row>
    <row r="227" spans="1:10" x14ac:dyDescent="0.2">
      <c r="A227" s="6" t="s">
        <v>235</v>
      </c>
      <c r="B227" s="7">
        <v>1</v>
      </c>
      <c r="C227" s="8">
        <v>1421</v>
      </c>
      <c r="D227" s="8">
        <v>99072708</v>
      </c>
      <c r="E227" s="8">
        <v>560</v>
      </c>
      <c r="F227" s="8">
        <v>39513600</v>
      </c>
      <c r="G227" s="8">
        <v>373</v>
      </c>
      <c r="H227" s="8">
        <v>26094242</v>
      </c>
      <c r="I227" s="8">
        <v>1608</v>
      </c>
      <c r="J227" s="8">
        <v>112492066</v>
      </c>
    </row>
    <row r="228" spans="1:10" x14ac:dyDescent="0.2">
      <c r="A228" s="6" t="s">
        <v>236</v>
      </c>
      <c r="B228" s="7">
        <v>1</v>
      </c>
      <c r="C228" s="8">
        <v>0</v>
      </c>
      <c r="D228" s="8">
        <v>0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</row>
    <row r="229" spans="1:10" x14ac:dyDescent="0.2">
      <c r="A229" s="6" t="s">
        <v>237</v>
      </c>
      <c r="B229" s="7">
        <v>1</v>
      </c>
      <c r="C229" s="8">
        <v>0</v>
      </c>
      <c r="D229" s="8">
        <v>0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</row>
    <row r="230" spans="1:10" x14ac:dyDescent="0.2">
      <c r="A230" s="6" t="s">
        <v>238</v>
      </c>
      <c r="B230" s="7">
        <v>1</v>
      </c>
      <c r="C230" s="8">
        <v>0</v>
      </c>
      <c r="D230" s="8">
        <v>0</v>
      </c>
      <c r="E230" s="8">
        <v>23</v>
      </c>
      <c r="F230" s="8">
        <v>1347500</v>
      </c>
      <c r="G230" s="8">
        <v>0</v>
      </c>
      <c r="H230" s="8">
        <v>0</v>
      </c>
      <c r="I230" s="8">
        <v>23</v>
      </c>
      <c r="J230" s="8">
        <v>1347500</v>
      </c>
    </row>
    <row r="231" spans="1:10" x14ac:dyDescent="0.2">
      <c r="A231" s="6" t="s">
        <v>239</v>
      </c>
      <c r="B231" s="7">
        <v>1</v>
      </c>
      <c r="C231" s="8">
        <v>0</v>
      </c>
      <c r="D231" s="8">
        <v>0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</row>
    <row r="232" spans="1:10" x14ac:dyDescent="0.2">
      <c r="A232" s="6" t="s">
        <v>240</v>
      </c>
      <c r="B232" s="7">
        <v>1</v>
      </c>
      <c r="C232" s="8">
        <v>7839</v>
      </c>
      <c r="D232" s="8">
        <v>748718280</v>
      </c>
      <c r="E232" s="8">
        <v>1890</v>
      </c>
      <c r="F232" s="8">
        <v>176699880</v>
      </c>
      <c r="G232" s="8">
        <v>3816</v>
      </c>
      <c r="H232" s="8">
        <v>362976226</v>
      </c>
      <c r="I232" s="8">
        <v>5913</v>
      </c>
      <c r="J232" s="8">
        <v>562441934</v>
      </c>
    </row>
    <row r="233" spans="1:10" x14ac:dyDescent="0.2">
      <c r="A233" s="6" t="s">
        <v>241</v>
      </c>
      <c r="B233" s="7">
        <v>1</v>
      </c>
      <c r="C233" s="8">
        <v>0</v>
      </c>
      <c r="D233" s="8">
        <v>0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</row>
    <row r="234" spans="1:10" x14ac:dyDescent="0.2">
      <c r="A234" s="6" t="s">
        <v>242</v>
      </c>
      <c r="B234" s="7">
        <v>1</v>
      </c>
      <c r="C234" s="8">
        <v>1819</v>
      </c>
      <c r="D234" s="8">
        <v>123704942</v>
      </c>
      <c r="E234" s="8">
        <v>63</v>
      </c>
      <c r="F234" s="8">
        <v>4556412</v>
      </c>
      <c r="G234" s="8">
        <v>21</v>
      </c>
      <c r="H234" s="8">
        <v>1431184</v>
      </c>
      <c r="I234" s="8">
        <v>1861</v>
      </c>
      <c r="J234" s="8">
        <v>126830170</v>
      </c>
    </row>
    <row r="235" spans="1:10" x14ac:dyDescent="0.2">
      <c r="A235" s="6" t="s">
        <v>243</v>
      </c>
      <c r="B235" s="7">
        <v>1</v>
      </c>
      <c r="C235" s="8">
        <v>1015</v>
      </c>
      <c r="D235" s="8">
        <v>96448750</v>
      </c>
      <c r="E235" s="8">
        <v>42</v>
      </c>
      <c r="F235" s="8">
        <v>3922548</v>
      </c>
      <c r="G235" s="8">
        <v>315</v>
      </c>
      <c r="H235" s="8">
        <v>29911976</v>
      </c>
      <c r="I235" s="8">
        <v>742</v>
      </c>
      <c r="J235" s="8">
        <v>70459322</v>
      </c>
    </row>
    <row r="236" spans="1:10" x14ac:dyDescent="0.2">
      <c r="A236" s="6" t="s">
        <v>244</v>
      </c>
      <c r="B236" s="7">
        <v>1</v>
      </c>
      <c r="C236" s="8">
        <v>0</v>
      </c>
      <c r="D236" s="8">
        <v>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</row>
    <row r="237" spans="1:10" x14ac:dyDescent="0.2">
      <c r="A237" s="6" t="s">
        <v>245</v>
      </c>
      <c r="B237" s="7">
        <v>1</v>
      </c>
      <c r="C237" s="8">
        <v>0</v>
      </c>
      <c r="D237" s="8">
        <v>0</v>
      </c>
      <c r="E237" s="8">
        <v>48</v>
      </c>
      <c r="F237" s="8">
        <v>4536726</v>
      </c>
      <c r="G237" s="8">
        <v>0</v>
      </c>
      <c r="H237" s="8">
        <v>0</v>
      </c>
      <c r="I237" s="8">
        <v>48</v>
      </c>
      <c r="J237" s="8">
        <v>4536726</v>
      </c>
    </row>
    <row r="238" spans="1:10" x14ac:dyDescent="0.2">
      <c r="A238" s="6" t="s">
        <v>246</v>
      </c>
      <c r="B238" s="7">
        <v>1</v>
      </c>
      <c r="C238" s="8">
        <v>0</v>
      </c>
      <c r="D238" s="8">
        <v>0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</row>
    <row r="239" spans="1:10" x14ac:dyDescent="0.2">
      <c r="A239" s="6" t="s">
        <v>247</v>
      </c>
      <c r="B239" s="7">
        <v>1</v>
      </c>
      <c r="C239" s="8">
        <v>0</v>
      </c>
      <c r="D239" s="8">
        <v>0</v>
      </c>
      <c r="E239" s="8">
        <v>2880</v>
      </c>
      <c r="F239" s="8">
        <v>20527314</v>
      </c>
      <c r="G239" s="8">
        <v>0</v>
      </c>
      <c r="H239" s="8">
        <v>0</v>
      </c>
      <c r="I239" s="8">
        <v>2880</v>
      </c>
      <c r="J239" s="8">
        <v>20527314</v>
      </c>
    </row>
    <row r="240" spans="1:10" x14ac:dyDescent="0.2">
      <c r="A240" s="6" t="s">
        <v>248</v>
      </c>
      <c r="B240" s="7">
        <v>1</v>
      </c>
      <c r="C240" s="8">
        <v>0</v>
      </c>
      <c r="D240" s="8">
        <v>0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</row>
    <row r="241" spans="1:10" x14ac:dyDescent="0.2">
      <c r="A241" s="6" t="s">
        <v>249</v>
      </c>
      <c r="B241" s="7">
        <v>1</v>
      </c>
      <c r="C241" s="8">
        <v>0</v>
      </c>
      <c r="D241" s="8">
        <v>0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</row>
    <row r="242" spans="1:10" x14ac:dyDescent="0.2">
      <c r="A242" s="6" t="s">
        <v>250</v>
      </c>
      <c r="B242" s="7">
        <v>1</v>
      </c>
      <c r="C242" s="8">
        <v>167</v>
      </c>
      <c r="D242" s="8">
        <v>57134347</v>
      </c>
      <c r="E242" s="8">
        <v>1440</v>
      </c>
      <c r="F242" s="8">
        <v>10263657</v>
      </c>
      <c r="G242" s="8">
        <v>46</v>
      </c>
      <c r="H242" s="8">
        <v>1929252</v>
      </c>
      <c r="I242" s="8">
        <v>1561</v>
      </c>
      <c r="J242" s="8">
        <v>65468752</v>
      </c>
    </row>
    <row r="243" spans="1:10" x14ac:dyDescent="0.2">
      <c r="A243" s="6" t="s">
        <v>251</v>
      </c>
      <c r="B243" s="7">
        <v>1</v>
      </c>
      <c r="C243" s="8">
        <v>0</v>
      </c>
      <c r="D243" s="8">
        <v>0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</row>
    <row r="244" spans="1:10" x14ac:dyDescent="0.2">
      <c r="A244" s="6" t="s">
        <v>252</v>
      </c>
      <c r="B244" s="7">
        <v>1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</row>
    <row r="245" spans="1:10" x14ac:dyDescent="0.2">
      <c r="A245" s="6" t="s">
        <v>253</v>
      </c>
      <c r="B245" s="7">
        <v>1</v>
      </c>
      <c r="C245" s="8">
        <v>0</v>
      </c>
      <c r="D245" s="8">
        <v>0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</row>
    <row r="246" spans="1:10" x14ac:dyDescent="0.2">
      <c r="A246" s="6" t="s">
        <v>254</v>
      </c>
      <c r="B246" s="7">
        <v>1</v>
      </c>
      <c r="C246" s="8">
        <v>170</v>
      </c>
      <c r="D246" s="8">
        <v>5700903</v>
      </c>
      <c r="E246" s="8">
        <v>90</v>
      </c>
      <c r="F246" s="8">
        <v>3028680</v>
      </c>
      <c r="G246" s="8">
        <v>135</v>
      </c>
      <c r="H246" s="8">
        <v>4532668</v>
      </c>
      <c r="I246" s="8">
        <v>125</v>
      </c>
      <c r="J246" s="8">
        <v>4196915</v>
      </c>
    </row>
    <row r="247" spans="1:10" x14ac:dyDescent="0.2">
      <c r="A247" s="6" t="s">
        <v>255</v>
      </c>
      <c r="B247" s="7">
        <v>1</v>
      </c>
      <c r="C247" s="8">
        <v>0</v>
      </c>
      <c r="D247" s="8">
        <v>0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</row>
    <row r="248" spans="1:10" x14ac:dyDescent="0.2">
      <c r="A248" s="6" t="s">
        <v>256</v>
      </c>
      <c r="B248" s="7">
        <v>1</v>
      </c>
      <c r="C248" s="8">
        <v>148</v>
      </c>
      <c r="D248" s="8">
        <v>3161852</v>
      </c>
      <c r="E248" s="8">
        <v>0</v>
      </c>
      <c r="F248" s="8">
        <v>0</v>
      </c>
      <c r="G248" s="8">
        <v>45</v>
      </c>
      <c r="H248" s="8">
        <v>961374</v>
      </c>
      <c r="I248" s="8">
        <v>103</v>
      </c>
      <c r="J248" s="8">
        <v>2200478</v>
      </c>
    </row>
    <row r="249" spans="1:10" x14ac:dyDescent="0.2">
      <c r="A249" s="6" t="s">
        <v>257</v>
      </c>
      <c r="B249" s="7">
        <v>1</v>
      </c>
      <c r="C249" s="8">
        <v>0</v>
      </c>
      <c r="D249" s="8">
        <v>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</row>
    <row r="250" spans="1:10" x14ac:dyDescent="0.2">
      <c r="A250" s="6" t="s">
        <v>258</v>
      </c>
      <c r="B250" s="7">
        <v>1</v>
      </c>
      <c r="C250" s="8">
        <v>320</v>
      </c>
      <c r="D250" s="8">
        <v>4864000</v>
      </c>
      <c r="E250" s="8">
        <v>270</v>
      </c>
      <c r="F250" s="8">
        <v>4050648</v>
      </c>
      <c r="G250" s="8">
        <v>320</v>
      </c>
      <c r="H250" s="8">
        <v>4835063</v>
      </c>
      <c r="I250" s="8">
        <v>270</v>
      </c>
      <c r="J250" s="8">
        <v>4079585</v>
      </c>
    </row>
    <row r="251" spans="1:10" x14ac:dyDescent="0.2">
      <c r="A251" s="6" t="s">
        <v>259</v>
      </c>
      <c r="B251" s="7">
        <v>1</v>
      </c>
      <c r="C251" s="8">
        <v>221</v>
      </c>
      <c r="D251" s="8">
        <v>4721416</v>
      </c>
      <c r="E251" s="8">
        <v>0</v>
      </c>
      <c r="F251" s="8">
        <v>0</v>
      </c>
      <c r="G251" s="8">
        <v>60</v>
      </c>
      <c r="H251" s="8">
        <v>1281832</v>
      </c>
      <c r="I251" s="8">
        <v>161</v>
      </c>
      <c r="J251" s="8">
        <v>3439584</v>
      </c>
    </row>
    <row r="252" spans="1:10" x14ac:dyDescent="0.2">
      <c r="A252" s="6" t="s">
        <v>260</v>
      </c>
      <c r="B252" s="7">
        <v>1</v>
      </c>
      <c r="C252" s="8">
        <v>0</v>
      </c>
      <c r="D252" s="8">
        <v>0</v>
      </c>
      <c r="E252" s="8">
        <v>5</v>
      </c>
      <c r="F252" s="8">
        <v>274480</v>
      </c>
      <c r="G252" s="8">
        <v>0</v>
      </c>
      <c r="H252" s="8">
        <v>0</v>
      </c>
      <c r="I252" s="8">
        <v>5</v>
      </c>
      <c r="J252" s="8">
        <v>274480</v>
      </c>
    </row>
    <row r="253" spans="1:10" x14ac:dyDescent="0.2">
      <c r="A253" s="6" t="s">
        <v>261</v>
      </c>
      <c r="B253" s="7">
        <v>1</v>
      </c>
      <c r="C253" s="8">
        <v>0</v>
      </c>
      <c r="D253" s="8">
        <v>0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</row>
    <row r="254" spans="1:10" x14ac:dyDescent="0.2">
      <c r="A254" s="6" t="s">
        <v>262</v>
      </c>
      <c r="B254" s="7">
        <v>1</v>
      </c>
      <c r="C254" s="8">
        <v>0</v>
      </c>
      <c r="D254" s="8">
        <v>0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</row>
    <row r="255" spans="1:10" x14ac:dyDescent="0.2">
      <c r="A255" s="6" t="s">
        <v>263</v>
      </c>
      <c r="B255" s="7">
        <v>1</v>
      </c>
      <c r="C255" s="8">
        <v>0</v>
      </c>
      <c r="D255" s="8">
        <v>0</v>
      </c>
      <c r="E255" s="8">
        <v>2</v>
      </c>
      <c r="F255" s="8">
        <v>118440</v>
      </c>
      <c r="G255" s="8">
        <v>0</v>
      </c>
      <c r="H255" s="8">
        <v>0</v>
      </c>
      <c r="I255" s="8">
        <v>2</v>
      </c>
      <c r="J255" s="8">
        <v>118440</v>
      </c>
    </row>
    <row r="256" spans="1:10" x14ac:dyDescent="0.2">
      <c r="A256" s="6" t="s">
        <v>264</v>
      </c>
      <c r="B256" s="7">
        <v>1</v>
      </c>
      <c r="C256" s="8">
        <v>0</v>
      </c>
      <c r="D256" s="8">
        <v>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</row>
    <row r="257" spans="1:10" x14ac:dyDescent="0.2">
      <c r="A257" s="6" t="s">
        <v>265</v>
      </c>
      <c r="B257" s="7">
        <v>1</v>
      </c>
      <c r="C257" s="8">
        <v>0</v>
      </c>
      <c r="D257" s="8">
        <v>0</v>
      </c>
      <c r="E257" s="8">
        <v>5</v>
      </c>
      <c r="F257" s="8">
        <v>323360</v>
      </c>
      <c r="G257" s="8">
        <v>0</v>
      </c>
      <c r="H257" s="8">
        <v>0</v>
      </c>
      <c r="I257" s="8">
        <v>5</v>
      </c>
      <c r="J257" s="8">
        <v>323360</v>
      </c>
    </row>
    <row r="258" spans="1:10" x14ac:dyDescent="0.2">
      <c r="A258" s="6" t="s">
        <v>266</v>
      </c>
      <c r="B258" s="7">
        <v>1</v>
      </c>
      <c r="C258" s="8">
        <v>0</v>
      </c>
      <c r="D258" s="8">
        <v>0</v>
      </c>
      <c r="E258" s="8">
        <v>2</v>
      </c>
      <c r="F258" s="8">
        <v>129720</v>
      </c>
      <c r="G258" s="8">
        <v>0</v>
      </c>
      <c r="H258" s="8">
        <v>0</v>
      </c>
      <c r="I258" s="8">
        <v>2</v>
      </c>
      <c r="J258" s="8">
        <v>129720</v>
      </c>
    </row>
    <row r="259" spans="1:10" x14ac:dyDescent="0.2">
      <c r="A259" s="6" t="s">
        <v>267</v>
      </c>
      <c r="B259" s="7">
        <v>1</v>
      </c>
      <c r="C259" s="8">
        <v>0</v>
      </c>
      <c r="D259" s="8">
        <v>0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</row>
    <row r="260" spans="1:10" x14ac:dyDescent="0.2">
      <c r="A260" s="6" t="s">
        <v>268</v>
      </c>
      <c r="B260" s="7">
        <v>1</v>
      </c>
      <c r="C260" s="8">
        <v>95</v>
      </c>
      <c r="D260" s="8">
        <v>5247849</v>
      </c>
      <c r="E260" s="8">
        <v>0</v>
      </c>
      <c r="F260" s="8">
        <v>0</v>
      </c>
      <c r="G260" s="8">
        <v>15</v>
      </c>
      <c r="H260" s="8">
        <v>828608</v>
      </c>
      <c r="I260" s="8">
        <v>80</v>
      </c>
      <c r="J260" s="8">
        <v>4419241</v>
      </c>
    </row>
    <row r="261" spans="1:10" x14ac:dyDescent="0.2">
      <c r="A261" s="6" t="s">
        <v>269</v>
      </c>
      <c r="B261" s="7">
        <v>1</v>
      </c>
      <c r="C261" s="8">
        <v>0</v>
      </c>
      <c r="D261" s="8">
        <v>0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</row>
    <row r="262" spans="1:10" x14ac:dyDescent="0.2">
      <c r="A262" s="6" t="s">
        <v>270</v>
      </c>
      <c r="B262" s="7">
        <v>1</v>
      </c>
      <c r="C262" s="8">
        <v>0</v>
      </c>
      <c r="D262" s="8">
        <v>0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</row>
    <row r="263" spans="1:10" x14ac:dyDescent="0.2">
      <c r="A263" s="6" t="s">
        <v>271</v>
      </c>
      <c r="B263" s="7">
        <v>1</v>
      </c>
      <c r="C263" s="8">
        <v>0</v>
      </c>
      <c r="D263" s="8">
        <v>0</v>
      </c>
      <c r="E263" s="8">
        <v>1</v>
      </c>
      <c r="F263" s="8">
        <v>134195</v>
      </c>
      <c r="G263" s="8">
        <v>0</v>
      </c>
      <c r="H263" s="8">
        <v>0</v>
      </c>
      <c r="I263" s="8">
        <v>1</v>
      </c>
      <c r="J263" s="8">
        <v>134195</v>
      </c>
    </row>
    <row r="264" spans="1:10" x14ac:dyDescent="0.2">
      <c r="A264" s="6" t="s">
        <v>272</v>
      </c>
      <c r="B264" s="7">
        <v>1</v>
      </c>
      <c r="C264" s="8">
        <v>0</v>
      </c>
      <c r="D264" s="8">
        <v>0</v>
      </c>
      <c r="E264" s="8">
        <v>0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</row>
    <row r="265" spans="1:10" x14ac:dyDescent="0.2">
      <c r="A265" s="6" t="s">
        <v>273</v>
      </c>
      <c r="B265" s="7">
        <v>1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</row>
    <row r="266" spans="1:10" x14ac:dyDescent="0.2">
      <c r="A266" s="6" t="s">
        <v>274</v>
      </c>
      <c r="B266" s="7">
        <v>1</v>
      </c>
      <c r="C266" s="8">
        <v>0</v>
      </c>
      <c r="D266" s="8">
        <v>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</row>
    <row r="267" spans="1:10" x14ac:dyDescent="0.2">
      <c r="A267" s="6" t="s">
        <v>275</v>
      </c>
      <c r="B267" s="7">
        <v>1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</row>
    <row r="268" spans="1:10" x14ac:dyDescent="0.2">
      <c r="A268" s="6" t="s">
        <v>276</v>
      </c>
      <c r="B268" s="7">
        <v>1</v>
      </c>
      <c r="C268" s="8">
        <v>0</v>
      </c>
      <c r="D268" s="8">
        <v>0</v>
      </c>
      <c r="E268" s="8">
        <v>1</v>
      </c>
      <c r="F268" s="8">
        <v>75576</v>
      </c>
      <c r="G268" s="8">
        <v>0</v>
      </c>
      <c r="H268" s="8">
        <v>0</v>
      </c>
      <c r="I268" s="8">
        <v>1</v>
      </c>
      <c r="J268" s="8">
        <v>75576</v>
      </c>
    </row>
    <row r="269" spans="1:10" x14ac:dyDescent="0.2">
      <c r="A269" s="6" t="s">
        <v>277</v>
      </c>
      <c r="B269" s="7">
        <v>1</v>
      </c>
      <c r="C269" s="8">
        <v>30</v>
      </c>
      <c r="D269" s="8">
        <v>639576</v>
      </c>
      <c r="E269" s="8">
        <v>0</v>
      </c>
      <c r="F269" s="8">
        <v>0</v>
      </c>
      <c r="G269" s="8">
        <v>20</v>
      </c>
      <c r="H269" s="8">
        <v>426384</v>
      </c>
      <c r="I269" s="8">
        <v>10</v>
      </c>
      <c r="J269" s="8">
        <v>213192</v>
      </c>
    </row>
    <row r="270" spans="1:10" x14ac:dyDescent="0.2">
      <c r="A270" s="6" t="s">
        <v>278</v>
      </c>
      <c r="B270" s="7">
        <v>1</v>
      </c>
      <c r="C270" s="8">
        <v>109</v>
      </c>
      <c r="D270" s="8">
        <v>5133246</v>
      </c>
      <c r="E270" s="8">
        <v>0</v>
      </c>
      <c r="F270" s="8">
        <v>0</v>
      </c>
      <c r="G270" s="8">
        <v>24</v>
      </c>
      <c r="H270" s="8">
        <v>1130256</v>
      </c>
      <c r="I270" s="8">
        <v>85</v>
      </c>
      <c r="J270" s="8">
        <v>4002990</v>
      </c>
    </row>
    <row r="271" spans="1:10" x14ac:dyDescent="0.2">
      <c r="A271" s="6" t="s">
        <v>279</v>
      </c>
      <c r="B271" s="7">
        <v>1</v>
      </c>
      <c r="C271" s="8">
        <v>0</v>
      </c>
      <c r="D271" s="8">
        <v>0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</row>
    <row r="272" spans="1:10" x14ac:dyDescent="0.2">
      <c r="A272" s="6" t="s">
        <v>280</v>
      </c>
      <c r="B272" s="7">
        <v>1</v>
      </c>
      <c r="C272" s="8">
        <v>0</v>
      </c>
      <c r="D272" s="8">
        <v>0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</row>
    <row r="273" spans="1:23" x14ac:dyDescent="0.2">
      <c r="A273" s="6" t="s">
        <v>281</v>
      </c>
      <c r="B273" s="7">
        <v>1</v>
      </c>
      <c r="C273" s="8">
        <v>104</v>
      </c>
      <c r="D273" s="8">
        <v>1795254</v>
      </c>
      <c r="E273" s="8">
        <v>32</v>
      </c>
      <c r="F273" s="8">
        <v>518175</v>
      </c>
      <c r="G273" s="8">
        <v>70</v>
      </c>
      <c r="H273" s="8">
        <v>1190736</v>
      </c>
      <c r="I273" s="8">
        <v>66</v>
      </c>
      <c r="J273" s="8">
        <v>1122693</v>
      </c>
    </row>
    <row r="274" spans="1:23" x14ac:dyDescent="0.2">
      <c r="A274" s="6" t="s">
        <v>282</v>
      </c>
      <c r="B274" s="7">
        <v>1</v>
      </c>
      <c r="C274" s="8">
        <v>5</v>
      </c>
      <c r="D274" s="8">
        <v>176500</v>
      </c>
      <c r="E274" s="8">
        <v>0</v>
      </c>
      <c r="F274" s="8">
        <v>0</v>
      </c>
      <c r="G274" s="8">
        <v>5</v>
      </c>
      <c r="H274" s="8">
        <v>176500</v>
      </c>
      <c r="I274" s="8">
        <v>0</v>
      </c>
      <c r="J274" s="8">
        <v>0</v>
      </c>
    </row>
    <row r="275" spans="1:23" x14ac:dyDescent="0.2">
      <c r="A275" s="6" t="s">
        <v>283</v>
      </c>
      <c r="B275" s="7">
        <v>1</v>
      </c>
      <c r="C275" s="8">
        <v>620</v>
      </c>
      <c r="D275" s="8">
        <v>21886000</v>
      </c>
      <c r="E275" s="8">
        <v>680</v>
      </c>
      <c r="F275" s="8">
        <v>23938040</v>
      </c>
      <c r="G275" s="8">
        <v>620</v>
      </c>
      <c r="H275" s="8">
        <v>21854542</v>
      </c>
      <c r="I275" s="8">
        <v>680</v>
      </c>
      <c r="J275" s="8">
        <v>23969498</v>
      </c>
    </row>
    <row r="276" spans="1:23" x14ac:dyDescent="0.2">
      <c r="A276" s="6" t="s">
        <v>284</v>
      </c>
      <c r="B276" s="7">
        <v>1</v>
      </c>
      <c r="C276" s="8">
        <v>200</v>
      </c>
      <c r="D276" s="8">
        <v>8713925</v>
      </c>
      <c r="E276" s="8">
        <v>100</v>
      </c>
      <c r="F276" s="8">
        <v>4507300</v>
      </c>
      <c r="G276" s="8">
        <v>130</v>
      </c>
      <c r="H276" s="8">
        <v>5729198</v>
      </c>
      <c r="I276" s="8">
        <v>170</v>
      </c>
      <c r="J276" s="8">
        <v>7492027</v>
      </c>
    </row>
    <row r="277" spans="1:23" x14ac:dyDescent="0.2">
      <c r="A277" s="6" t="s">
        <v>285</v>
      </c>
      <c r="B277" s="7">
        <v>1</v>
      </c>
      <c r="C277" s="8">
        <v>108</v>
      </c>
      <c r="D277" s="8">
        <v>5721944</v>
      </c>
      <c r="E277" s="8">
        <v>0</v>
      </c>
      <c r="F277" s="8">
        <v>0</v>
      </c>
      <c r="G277" s="8">
        <v>5</v>
      </c>
      <c r="H277" s="8">
        <v>264905</v>
      </c>
      <c r="I277" s="8">
        <v>103</v>
      </c>
      <c r="J277" s="8">
        <v>5457039</v>
      </c>
    </row>
    <row r="278" spans="1:23" x14ac:dyDescent="0.2">
      <c r="A278" s="6" t="s">
        <v>286</v>
      </c>
      <c r="B278" s="7">
        <v>1</v>
      </c>
      <c r="C278" s="8">
        <v>0</v>
      </c>
      <c r="D278" s="8">
        <v>0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</row>
    <row r="279" spans="1:23" x14ac:dyDescent="0.2">
      <c r="A279" s="6" t="s">
        <v>287</v>
      </c>
      <c r="B279" s="7">
        <v>1</v>
      </c>
      <c r="C279" s="8">
        <v>0</v>
      </c>
      <c r="D279" s="8">
        <v>0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</row>
    <row r="280" spans="1:23" x14ac:dyDescent="0.2">
      <c r="A280" s="6" t="s">
        <v>288</v>
      </c>
      <c r="B280" s="7">
        <v>1</v>
      </c>
      <c r="C280" s="8">
        <v>0</v>
      </c>
      <c r="D280" s="8">
        <v>0</v>
      </c>
      <c r="E280" s="8">
        <v>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</row>
    <row r="281" spans="1:23" x14ac:dyDescent="0.2">
      <c r="A281" s="6" t="s">
        <v>289</v>
      </c>
      <c r="B281" s="7">
        <v>1</v>
      </c>
      <c r="C281" s="8">
        <v>0</v>
      </c>
      <c r="D281" s="8">
        <v>0</v>
      </c>
      <c r="E281" s="8">
        <v>0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</row>
    <row r="282" spans="1:23" x14ac:dyDescent="0.2">
      <c r="A282" s="6" t="s">
        <v>290</v>
      </c>
      <c r="B282" s="7">
        <v>1</v>
      </c>
      <c r="C282" s="8">
        <v>860</v>
      </c>
      <c r="D282" s="8">
        <v>76544025</v>
      </c>
      <c r="E282" s="8">
        <v>540</v>
      </c>
      <c r="F282" s="8">
        <v>48051360</v>
      </c>
      <c r="G282" s="8">
        <v>36</v>
      </c>
      <c r="H282" s="8">
        <v>3203881</v>
      </c>
      <c r="I282" s="8">
        <v>1364</v>
      </c>
      <c r="J282" s="8">
        <v>121391504</v>
      </c>
    </row>
    <row r="283" spans="1:23" x14ac:dyDescent="0.2">
      <c r="A283" s="6" t="s">
        <v>291</v>
      </c>
      <c r="B283" s="7">
        <v>1</v>
      </c>
      <c r="C283" s="8">
        <v>6975</v>
      </c>
      <c r="D283" s="8">
        <v>650978758</v>
      </c>
      <c r="E283" s="8">
        <v>1155</v>
      </c>
      <c r="F283" s="8">
        <v>107983260</v>
      </c>
      <c r="G283" s="8">
        <v>1663</v>
      </c>
      <c r="H283" s="8">
        <v>155246474</v>
      </c>
      <c r="I283" s="8">
        <v>6467</v>
      </c>
      <c r="J283" s="8">
        <v>603715544</v>
      </c>
    </row>
    <row r="284" spans="1:23" x14ac:dyDescent="0.2">
      <c r="A284" s="6" t="s">
        <v>292</v>
      </c>
      <c r="B284" s="7">
        <v>1</v>
      </c>
      <c r="C284" s="8">
        <v>0</v>
      </c>
      <c r="D284" s="8">
        <v>0</v>
      </c>
      <c r="E284" s="8">
        <v>216</v>
      </c>
      <c r="F284" s="8">
        <v>19220544</v>
      </c>
      <c r="G284" s="8">
        <v>0</v>
      </c>
      <c r="H284" s="8">
        <v>0</v>
      </c>
      <c r="I284" s="8">
        <v>216</v>
      </c>
      <c r="J284" s="8">
        <v>19220544</v>
      </c>
    </row>
    <row r="285" spans="1:23" x14ac:dyDescent="0.2">
      <c r="A285" s="3" t="s">
        <v>293</v>
      </c>
      <c r="B285" s="4"/>
      <c r="C285" s="5"/>
      <c r="D285" s="5">
        <v>15447634554</v>
      </c>
      <c r="E285" s="5">
        <v>480934</v>
      </c>
      <c r="F285" s="5">
        <v>11706869809</v>
      </c>
      <c r="G285" s="5">
        <v>371957</v>
      </c>
      <c r="H285" s="5">
        <v>12007329223</v>
      </c>
      <c r="I285" s="5"/>
      <c r="J285" s="5">
        <v>15147175140</v>
      </c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x14ac:dyDescent="0.2">
      <c r="B286" s="9"/>
    </row>
    <row r="287" spans="1:23" x14ac:dyDescent="0.2">
      <c r="B287" s="9"/>
      <c r="H287" s="223">
        <f>H285+'Tháng 2'!H285+'Tháng 3'!H285+'Tháng 4'!H285+'Tháng 5'!H285+'Tháng 6'!H285+'Tháng 7'!H285+'Tháng 8'!H285+'Tháng 9'!H285+'Tháng 10'!H285+'Tháng 11'!H285+'Tháng 12'!H285</f>
        <v>112087384096</v>
      </c>
    </row>
    <row r="288" spans="1:23" x14ac:dyDescent="0.2">
      <c r="B288" s="9"/>
    </row>
    <row r="289" spans="2:2" x14ac:dyDescent="0.2">
      <c r="B289" s="9"/>
    </row>
    <row r="290" spans="2:2" x14ac:dyDescent="0.2">
      <c r="B290" s="9"/>
    </row>
    <row r="291" spans="2:2" x14ac:dyDescent="0.2">
      <c r="B291" s="9"/>
    </row>
    <row r="292" spans="2:2" x14ac:dyDescent="0.2">
      <c r="B292" s="9"/>
    </row>
    <row r="293" spans="2:2" x14ac:dyDescent="0.2">
      <c r="B293" s="9"/>
    </row>
    <row r="294" spans="2:2" x14ac:dyDescent="0.2">
      <c r="B294" s="9"/>
    </row>
    <row r="295" spans="2:2" x14ac:dyDescent="0.2">
      <c r="B295" s="9"/>
    </row>
    <row r="296" spans="2:2" x14ac:dyDescent="0.2">
      <c r="B296" s="9"/>
    </row>
    <row r="297" spans="2:2" x14ac:dyDescent="0.2">
      <c r="B297" s="9"/>
    </row>
    <row r="298" spans="2:2" x14ac:dyDescent="0.2">
      <c r="B298" s="9"/>
    </row>
    <row r="299" spans="2:2" x14ac:dyDescent="0.2">
      <c r="B299" s="9"/>
    </row>
    <row r="300" spans="2:2" x14ac:dyDescent="0.2">
      <c r="B300" s="9"/>
    </row>
    <row r="301" spans="2:2" x14ac:dyDescent="0.2">
      <c r="B301" s="9"/>
    </row>
    <row r="302" spans="2:2" x14ac:dyDescent="0.2">
      <c r="B302" s="9"/>
    </row>
    <row r="303" spans="2:2" x14ac:dyDescent="0.2">
      <c r="B303" s="9"/>
    </row>
    <row r="304" spans="2:2" x14ac:dyDescent="0.2">
      <c r="B304" s="9"/>
    </row>
    <row r="305" spans="2:2" x14ac:dyDescent="0.2">
      <c r="B305" s="9"/>
    </row>
    <row r="306" spans="2:2" x14ac:dyDescent="0.2">
      <c r="B306" s="9"/>
    </row>
    <row r="307" spans="2:2" x14ac:dyDescent="0.2">
      <c r="B307" s="9"/>
    </row>
    <row r="308" spans="2:2" x14ac:dyDescent="0.2">
      <c r="B308" s="9"/>
    </row>
    <row r="309" spans="2:2" x14ac:dyDescent="0.2">
      <c r="B309" s="9"/>
    </row>
    <row r="310" spans="2:2" x14ac:dyDescent="0.2">
      <c r="B310" s="9"/>
    </row>
    <row r="311" spans="2:2" x14ac:dyDescent="0.2">
      <c r="B311" s="9"/>
    </row>
    <row r="312" spans="2:2" x14ac:dyDescent="0.2">
      <c r="B312" s="9"/>
    </row>
    <row r="313" spans="2:2" x14ac:dyDescent="0.2">
      <c r="B313" s="9"/>
    </row>
    <row r="314" spans="2:2" x14ac:dyDescent="0.2">
      <c r="B314" s="9"/>
    </row>
    <row r="315" spans="2:2" x14ac:dyDescent="0.2">
      <c r="B315" s="9"/>
    </row>
    <row r="316" spans="2:2" x14ac:dyDescent="0.2">
      <c r="B316" s="9"/>
    </row>
    <row r="317" spans="2:2" x14ac:dyDescent="0.2">
      <c r="B317" s="9"/>
    </row>
    <row r="318" spans="2:2" x14ac:dyDescent="0.2">
      <c r="B318" s="9"/>
    </row>
    <row r="319" spans="2:2" x14ac:dyDescent="0.2">
      <c r="B319" s="9"/>
    </row>
    <row r="320" spans="2:2" x14ac:dyDescent="0.2">
      <c r="B320" s="9"/>
    </row>
    <row r="321" spans="2:2" x14ac:dyDescent="0.2">
      <c r="B321" s="9"/>
    </row>
    <row r="322" spans="2:2" x14ac:dyDescent="0.2">
      <c r="B322" s="9"/>
    </row>
    <row r="323" spans="2:2" x14ac:dyDescent="0.2">
      <c r="B323" s="9"/>
    </row>
    <row r="324" spans="2:2" x14ac:dyDescent="0.2">
      <c r="B324" s="9"/>
    </row>
    <row r="325" spans="2:2" x14ac:dyDescent="0.2">
      <c r="B325" s="9"/>
    </row>
    <row r="326" spans="2:2" x14ac:dyDescent="0.2">
      <c r="B326" s="9"/>
    </row>
    <row r="327" spans="2:2" x14ac:dyDescent="0.2">
      <c r="B327" s="9"/>
    </row>
    <row r="328" spans="2:2" x14ac:dyDescent="0.2">
      <c r="B328" s="9"/>
    </row>
    <row r="329" spans="2:2" x14ac:dyDescent="0.2">
      <c r="B329" s="9"/>
    </row>
    <row r="330" spans="2:2" x14ac:dyDescent="0.2">
      <c r="B330" s="9"/>
    </row>
    <row r="331" spans="2:2" x14ac:dyDescent="0.2">
      <c r="B331" s="9"/>
    </row>
    <row r="332" spans="2:2" x14ac:dyDescent="0.2">
      <c r="B332" s="9"/>
    </row>
    <row r="333" spans="2:2" x14ac:dyDescent="0.2">
      <c r="B333" s="9"/>
    </row>
    <row r="334" spans="2:2" x14ac:dyDescent="0.2">
      <c r="B334" s="9"/>
    </row>
    <row r="335" spans="2:2" x14ac:dyDescent="0.2">
      <c r="B335" s="9"/>
    </row>
    <row r="336" spans="2:2" x14ac:dyDescent="0.2">
      <c r="B336" s="9"/>
    </row>
    <row r="337" spans="2:2" x14ac:dyDescent="0.2">
      <c r="B337" s="9"/>
    </row>
    <row r="338" spans="2:2" x14ac:dyDescent="0.2">
      <c r="B338" s="9"/>
    </row>
    <row r="339" spans="2:2" x14ac:dyDescent="0.2">
      <c r="B339" s="9"/>
    </row>
    <row r="340" spans="2:2" x14ac:dyDescent="0.2">
      <c r="B340" s="9"/>
    </row>
    <row r="341" spans="2:2" x14ac:dyDescent="0.2">
      <c r="B341" s="9"/>
    </row>
    <row r="342" spans="2:2" x14ac:dyDescent="0.2">
      <c r="B342" s="9"/>
    </row>
    <row r="343" spans="2:2" x14ac:dyDescent="0.2">
      <c r="B343" s="9"/>
    </row>
    <row r="344" spans="2:2" x14ac:dyDescent="0.2">
      <c r="B344" s="9"/>
    </row>
    <row r="345" spans="2:2" x14ac:dyDescent="0.2">
      <c r="B345" s="9"/>
    </row>
    <row r="346" spans="2:2" x14ac:dyDescent="0.2">
      <c r="B346" s="9"/>
    </row>
    <row r="347" spans="2:2" x14ac:dyDescent="0.2">
      <c r="B347" s="9"/>
    </row>
    <row r="348" spans="2:2" x14ac:dyDescent="0.2">
      <c r="B348" s="9"/>
    </row>
    <row r="349" spans="2:2" x14ac:dyDescent="0.2">
      <c r="B349" s="9"/>
    </row>
    <row r="350" spans="2:2" x14ac:dyDescent="0.2">
      <c r="B350" s="9"/>
    </row>
    <row r="351" spans="2:2" x14ac:dyDescent="0.2">
      <c r="B351" s="9"/>
    </row>
    <row r="352" spans="2:2" x14ac:dyDescent="0.2">
      <c r="B352" s="9"/>
    </row>
    <row r="353" spans="2:2" x14ac:dyDescent="0.2">
      <c r="B353" s="9"/>
    </row>
    <row r="354" spans="2:2" x14ac:dyDescent="0.2">
      <c r="B354" s="9"/>
    </row>
    <row r="355" spans="2:2" x14ac:dyDescent="0.2">
      <c r="B355" s="9"/>
    </row>
    <row r="356" spans="2:2" x14ac:dyDescent="0.2">
      <c r="B356" s="9"/>
    </row>
    <row r="357" spans="2:2" x14ac:dyDescent="0.2">
      <c r="B357" s="9"/>
    </row>
    <row r="358" spans="2:2" x14ac:dyDescent="0.2">
      <c r="B358" s="9"/>
    </row>
    <row r="359" spans="2:2" x14ac:dyDescent="0.2">
      <c r="B359" s="9"/>
    </row>
    <row r="360" spans="2:2" x14ac:dyDescent="0.2">
      <c r="B360" s="9"/>
    </row>
    <row r="361" spans="2:2" x14ac:dyDescent="0.2">
      <c r="B361" s="9"/>
    </row>
    <row r="362" spans="2:2" x14ac:dyDescent="0.2">
      <c r="B362" s="9"/>
    </row>
    <row r="363" spans="2:2" x14ac:dyDescent="0.2">
      <c r="B363" s="9"/>
    </row>
    <row r="364" spans="2:2" x14ac:dyDescent="0.2">
      <c r="B364" s="9"/>
    </row>
    <row r="365" spans="2:2" x14ac:dyDescent="0.2">
      <c r="B365" s="9"/>
    </row>
    <row r="366" spans="2:2" x14ac:dyDescent="0.2">
      <c r="B366" s="9"/>
    </row>
    <row r="367" spans="2:2" x14ac:dyDescent="0.2">
      <c r="B367" s="9"/>
    </row>
    <row r="368" spans="2:2" x14ac:dyDescent="0.2">
      <c r="B368" s="9"/>
    </row>
    <row r="369" spans="2:2" x14ac:dyDescent="0.2">
      <c r="B369" s="9"/>
    </row>
    <row r="370" spans="2:2" x14ac:dyDescent="0.2">
      <c r="B370" s="9"/>
    </row>
    <row r="371" spans="2:2" x14ac:dyDescent="0.2">
      <c r="B371" s="9"/>
    </row>
    <row r="372" spans="2:2" x14ac:dyDescent="0.2">
      <c r="B372" s="9"/>
    </row>
    <row r="373" spans="2:2" x14ac:dyDescent="0.2">
      <c r="B373" s="9"/>
    </row>
    <row r="374" spans="2:2" x14ac:dyDescent="0.2">
      <c r="B374" s="9"/>
    </row>
    <row r="375" spans="2:2" x14ac:dyDescent="0.2">
      <c r="B375" s="9"/>
    </row>
    <row r="376" spans="2:2" x14ac:dyDescent="0.2">
      <c r="B376" s="9"/>
    </row>
    <row r="377" spans="2:2" x14ac:dyDescent="0.2">
      <c r="B377" s="9"/>
    </row>
    <row r="378" spans="2:2" x14ac:dyDescent="0.2">
      <c r="B378" s="9"/>
    </row>
    <row r="379" spans="2:2" x14ac:dyDescent="0.2">
      <c r="B379" s="9"/>
    </row>
    <row r="380" spans="2:2" x14ac:dyDescent="0.2">
      <c r="B380" s="9"/>
    </row>
    <row r="381" spans="2:2" x14ac:dyDescent="0.2">
      <c r="B381" s="9"/>
    </row>
    <row r="382" spans="2:2" x14ac:dyDescent="0.2">
      <c r="B382" s="9"/>
    </row>
    <row r="383" spans="2:2" x14ac:dyDescent="0.2">
      <c r="B383" s="9"/>
    </row>
    <row r="384" spans="2:2" x14ac:dyDescent="0.2">
      <c r="B384" s="9"/>
    </row>
    <row r="385" spans="2:2" x14ac:dyDescent="0.2">
      <c r="B385" s="9"/>
    </row>
    <row r="386" spans="2:2" x14ac:dyDescent="0.2">
      <c r="B386" s="9"/>
    </row>
    <row r="387" spans="2:2" x14ac:dyDescent="0.2">
      <c r="B387" s="9"/>
    </row>
    <row r="388" spans="2:2" x14ac:dyDescent="0.2">
      <c r="B388" s="9"/>
    </row>
    <row r="389" spans="2:2" x14ac:dyDescent="0.2">
      <c r="B389" s="9"/>
    </row>
    <row r="390" spans="2:2" x14ac:dyDescent="0.2">
      <c r="B390" s="9"/>
    </row>
    <row r="391" spans="2:2" x14ac:dyDescent="0.2">
      <c r="B391" s="9"/>
    </row>
    <row r="392" spans="2:2" x14ac:dyDescent="0.2">
      <c r="B392" s="9"/>
    </row>
    <row r="393" spans="2:2" x14ac:dyDescent="0.2">
      <c r="B393" s="9"/>
    </row>
    <row r="394" spans="2:2" x14ac:dyDescent="0.2">
      <c r="B394" s="9"/>
    </row>
    <row r="395" spans="2:2" x14ac:dyDescent="0.2">
      <c r="B395" s="9"/>
    </row>
    <row r="396" spans="2:2" x14ac:dyDescent="0.2">
      <c r="B396" s="9"/>
    </row>
    <row r="397" spans="2:2" x14ac:dyDescent="0.2">
      <c r="B397" s="9"/>
    </row>
    <row r="398" spans="2:2" x14ac:dyDescent="0.2">
      <c r="B398" s="9"/>
    </row>
    <row r="399" spans="2:2" x14ac:dyDescent="0.2">
      <c r="B399" s="9"/>
    </row>
    <row r="400" spans="2:2" x14ac:dyDescent="0.2">
      <c r="B400" s="9"/>
    </row>
    <row r="401" spans="2:2" x14ac:dyDescent="0.2">
      <c r="B401" s="9"/>
    </row>
    <row r="402" spans="2:2" x14ac:dyDescent="0.2">
      <c r="B402" s="9"/>
    </row>
    <row r="403" spans="2:2" x14ac:dyDescent="0.2">
      <c r="B403" s="9"/>
    </row>
    <row r="404" spans="2:2" x14ac:dyDescent="0.2">
      <c r="B404" s="9"/>
    </row>
    <row r="405" spans="2:2" x14ac:dyDescent="0.2">
      <c r="B405" s="9"/>
    </row>
    <row r="406" spans="2:2" x14ac:dyDescent="0.2">
      <c r="B406" s="9"/>
    </row>
    <row r="407" spans="2:2" x14ac:dyDescent="0.2">
      <c r="B407" s="9"/>
    </row>
    <row r="408" spans="2:2" x14ac:dyDescent="0.2">
      <c r="B408" s="9"/>
    </row>
    <row r="409" spans="2:2" x14ac:dyDescent="0.2">
      <c r="B409" s="9"/>
    </row>
    <row r="410" spans="2:2" x14ac:dyDescent="0.2">
      <c r="B410" s="9"/>
    </row>
    <row r="411" spans="2:2" x14ac:dyDescent="0.2">
      <c r="B411" s="9"/>
    </row>
    <row r="412" spans="2:2" x14ac:dyDescent="0.2">
      <c r="B412" s="9"/>
    </row>
    <row r="413" spans="2:2" x14ac:dyDescent="0.2">
      <c r="B413" s="9"/>
    </row>
    <row r="414" spans="2:2" x14ac:dyDescent="0.2">
      <c r="B414" s="9"/>
    </row>
    <row r="415" spans="2:2" x14ac:dyDescent="0.2">
      <c r="B415" s="9"/>
    </row>
    <row r="416" spans="2:2" x14ac:dyDescent="0.2">
      <c r="B416" s="9"/>
    </row>
    <row r="417" spans="2:2" x14ac:dyDescent="0.2">
      <c r="B417" s="9"/>
    </row>
    <row r="418" spans="2:2" x14ac:dyDescent="0.2">
      <c r="B418" s="9"/>
    </row>
    <row r="419" spans="2:2" x14ac:dyDescent="0.2">
      <c r="B419" s="9"/>
    </row>
    <row r="420" spans="2:2" x14ac:dyDescent="0.2">
      <c r="B420" s="9"/>
    </row>
    <row r="421" spans="2:2" x14ac:dyDescent="0.2">
      <c r="B421" s="9"/>
    </row>
    <row r="422" spans="2:2" x14ac:dyDescent="0.2">
      <c r="B422" s="9"/>
    </row>
    <row r="423" spans="2:2" x14ac:dyDescent="0.2">
      <c r="B423" s="9"/>
    </row>
    <row r="424" spans="2:2" x14ac:dyDescent="0.2">
      <c r="B424" s="9"/>
    </row>
    <row r="425" spans="2:2" x14ac:dyDescent="0.2">
      <c r="B425" s="9"/>
    </row>
    <row r="426" spans="2:2" x14ac:dyDescent="0.2">
      <c r="B426" s="9"/>
    </row>
    <row r="427" spans="2:2" x14ac:dyDescent="0.2">
      <c r="B427" s="9"/>
    </row>
    <row r="428" spans="2:2" x14ac:dyDescent="0.2">
      <c r="B428" s="9"/>
    </row>
    <row r="429" spans="2:2" x14ac:dyDescent="0.2">
      <c r="B429" s="9"/>
    </row>
    <row r="430" spans="2:2" x14ac:dyDescent="0.2">
      <c r="B430" s="9"/>
    </row>
    <row r="431" spans="2:2" x14ac:dyDescent="0.2">
      <c r="B431" s="9"/>
    </row>
    <row r="432" spans="2:2" x14ac:dyDescent="0.2">
      <c r="B432" s="9"/>
    </row>
    <row r="433" spans="2:2" x14ac:dyDescent="0.2">
      <c r="B433" s="9"/>
    </row>
    <row r="434" spans="2:2" x14ac:dyDescent="0.2">
      <c r="B434" s="9"/>
    </row>
    <row r="435" spans="2:2" x14ac:dyDescent="0.2">
      <c r="B435" s="9"/>
    </row>
    <row r="436" spans="2:2" x14ac:dyDescent="0.2">
      <c r="B436" s="9"/>
    </row>
    <row r="437" spans="2:2" x14ac:dyDescent="0.2">
      <c r="B437" s="9"/>
    </row>
    <row r="438" spans="2:2" x14ac:dyDescent="0.2">
      <c r="B438" s="9"/>
    </row>
    <row r="439" spans="2:2" x14ac:dyDescent="0.2">
      <c r="B439" s="9"/>
    </row>
    <row r="440" spans="2:2" x14ac:dyDescent="0.2">
      <c r="B440" s="9"/>
    </row>
    <row r="441" spans="2:2" x14ac:dyDescent="0.2">
      <c r="B441" s="9"/>
    </row>
    <row r="442" spans="2:2" x14ac:dyDescent="0.2">
      <c r="B442" s="9"/>
    </row>
    <row r="443" spans="2:2" x14ac:dyDescent="0.2">
      <c r="B443" s="9"/>
    </row>
    <row r="444" spans="2:2" x14ac:dyDescent="0.2">
      <c r="B444" s="9"/>
    </row>
    <row r="445" spans="2:2" x14ac:dyDescent="0.2">
      <c r="B445" s="9"/>
    </row>
    <row r="446" spans="2:2" x14ac:dyDescent="0.2">
      <c r="B446" s="9"/>
    </row>
    <row r="447" spans="2:2" x14ac:dyDescent="0.2">
      <c r="B447" s="9"/>
    </row>
    <row r="448" spans="2:2" x14ac:dyDescent="0.2">
      <c r="B448" s="9"/>
    </row>
    <row r="449" spans="2:2" x14ac:dyDescent="0.2">
      <c r="B449" s="9"/>
    </row>
    <row r="450" spans="2:2" x14ac:dyDescent="0.2">
      <c r="B450" s="9"/>
    </row>
    <row r="451" spans="2:2" x14ac:dyDescent="0.2">
      <c r="B451" s="9"/>
    </row>
    <row r="452" spans="2:2" x14ac:dyDescent="0.2">
      <c r="B452" s="9"/>
    </row>
    <row r="453" spans="2:2" x14ac:dyDescent="0.2">
      <c r="B453" s="9"/>
    </row>
    <row r="454" spans="2:2" x14ac:dyDescent="0.2">
      <c r="B454" s="9"/>
    </row>
    <row r="455" spans="2:2" x14ac:dyDescent="0.2">
      <c r="B455" s="9"/>
    </row>
    <row r="456" spans="2:2" x14ac:dyDescent="0.2">
      <c r="B456" s="9"/>
    </row>
    <row r="457" spans="2:2" x14ac:dyDescent="0.2">
      <c r="B457" s="9"/>
    </row>
    <row r="458" spans="2:2" x14ac:dyDescent="0.2">
      <c r="B458" s="9"/>
    </row>
    <row r="459" spans="2:2" x14ac:dyDescent="0.2">
      <c r="B459" s="9"/>
    </row>
    <row r="460" spans="2:2" x14ac:dyDescent="0.2">
      <c r="B460" s="9"/>
    </row>
    <row r="461" spans="2:2" x14ac:dyDescent="0.2">
      <c r="B461" s="9"/>
    </row>
    <row r="462" spans="2:2" x14ac:dyDescent="0.2">
      <c r="B462" s="9"/>
    </row>
    <row r="463" spans="2:2" x14ac:dyDescent="0.2">
      <c r="B463" s="9"/>
    </row>
    <row r="464" spans="2:2" x14ac:dyDescent="0.2">
      <c r="B464" s="9"/>
    </row>
    <row r="465" spans="2:2" x14ac:dyDescent="0.2">
      <c r="B465" s="9"/>
    </row>
    <row r="466" spans="2:2" x14ac:dyDescent="0.2">
      <c r="B466" s="9"/>
    </row>
    <row r="467" spans="2:2" x14ac:dyDescent="0.2">
      <c r="B467" s="9"/>
    </row>
    <row r="468" spans="2:2" x14ac:dyDescent="0.2">
      <c r="B468" s="9"/>
    </row>
    <row r="469" spans="2:2" x14ac:dyDescent="0.2">
      <c r="B469" s="9"/>
    </row>
    <row r="470" spans="2:2" x14ac:dyDescent="0.2">
      <c r="B470" s="9"/>
    </row>
    <row r="471" spans="2:2" x14ac:dyDescent="0.2">
      <c r="B471" s="9"/>
    </row>
    <row r="472" spans="2:2" x14ac:dyDescent="0.2">
      <c r="B472" s="9"/>
    </row>
    <row r="473" spans="2:2" x14ac:dyDescent="0.2">
      <c r="B473" s="9"/>
    </row>
    <row r="474" spans="2:2" x14ac:dyDescent="0.2">
      <c r="B474" s="9"/>
    </row>
    <row r="475" spans="2:2" x14ac:dyDescent="0.2">
      <c r="B475" s="9"/>
    </row>
    <row r="476" spans="2:2" x14ac:dyDescent="0.2">
      <c r="B476" s="9"/>
    </row>
    <row r="477" spans="2:2" x14ac:dyDescent="0.2">
      <c r="B477" s="9"/>
    </row>
    <row r="478" spans="2:2" x14ac:dyDescent="0.2">
      <c r="B478" s="9"/>
    </row>
    <row r="479" spans="2:2" x14ac:dyDescent="0.2">
      <c r="B479" s="9"/>
    </row>
    <row r="480" spans="2:2" x14ac:dyDescent="0.2">
      <c r="B480" s="9"/>
    </row>
    <row r="481" spans="2:2" x14ac:dyDescent="0.2">
      <c r="B481" s="9"/>
    </row>
    <row r="482" spans="2:2" x14ac:dyDescent="0.2">
      <c r="B482" s="9"/>
    </row>
    <row r="483" spans="2:2" x14ac:dyDescent="0.2">
      <c r="B483" s="9"/>
    </row>
    <row r="484" spans="2:2" x14ac:dyDescent="0.2">
      <c r="B484" s="9"/>
    </row>
    <row r="485" spans="2:2" x14ac:dyDescent="0.2">
      <c r="B485" s="9"/>
    </row>
    <row r="486" spans="2:2" x14ac:dyDescent="0.2">
      <c r="B486" s="9"/>
    </row>
    <row r="487" spans="2:2" x14ac:dyDescent="0.2">
      <c r="B487" s="9"/>
    </row>
    <row r="488" spans="2:2" x14ac:dyDescent="0.2">
      <c r="B488" s="9"/>
    </row>
    <row r="489" spans="2:2" x14ac:dyDescent="0.2">
      <c r="B489" s="9"/>
    </row>
    <row r="490" spans="2:2" x14ac:dyDescent="0.2">
      <c r="B490" s="9"/>
    </row>
    <row r="491" spans="2:2" x14ac:dyDescent="0.2">
      <c r="B491" s="9"/>
    </row>
    <row r="492" spans="2:2" x14ac:dyDescent="0.2">
      <c r="B492" s="9"/>
    </row>
    <row r="493" spans="2:2" x14ac:dyDescent="0.2">
      <c r="B493" s="9"/>
    </row>
    <row r="494" spans="2:2" x14ac:dyDescent="0.2">
      <c r="B494" s="9"/>
    </row>
    <row r="495" spans="2:2" x14ac:dyDescent="0.2">
      <c r="B495" s="9"/>
    </row>
    <row r="496" spans="2:2" x14ac:dyDescent="0.2">
      <c r="B496" s="9"/>
    </row>
    <row r="497" spans="2:2" x14ac:dyDescent="0.2">
      <c r="B497" s="9"/>
    </row>
    <row r="498" spans="2:2" x14ac:dyDescent="0.2">
      <c r="B498" s="9"/>
    </row>
    <row r="499" spans="2:2" x14ac:dyDescent="0.2">
      <c r="B499" s="9"/>
    </row>
    <row r="500" spans="2:2" x14ac:dyDescent="0.2">
      <c r="B500" s="9"/>
    </row>
    <row r="501" spans="2:2" x14ac:dyDescent="0.2">
      <c r="B501" s="9"/>
    </row>
    <row r="502" spans="2:2" x14ac:dyDescent="0.2">
      <c r="B502" s="9"/>
    </row>
    <row r="503" spans="2:2" x14ac:dyDescent="0.2">
      <c r="B503" s="9"/>
    </row>
    <row r="504" spans="2:2" x14ac:dyDescent="0.2">
      <c r="B504" s="9"/>
    </row>
    <row r="505" spans="2:2" x14ac:dyDescent="0.2">
      <c r="B505" s="9"/>
    </row>
    <row r="506" spans="2:2" x14ac:dyDescent="0.2">
      <c r="B506" s="9"/>
    </row>
    <row r="507" spans="2:2" x14ac:dyDescent="0.2">
      <c r="B507" s="9"/>
    </row>
    <row r="508" spans="2:2" x14ac:dyDescent="0.2">
      <c r="B508" s="9"/>
    </row>
    <row r="509" spans="2:2" x14ac:dyDescent="0.2">
      <c r="B509" s="9"/>
    </row>
    <row r="510" spans="2:2" x14ac:dyDescent="0.2">
      <c r="B510" s="9"/>
    </row>
    <row r="511" spans="2:2" x14ac:dyDescent="0.2">
      <c r="B511" s="9"/>
    </row>
    <row r="512" spans="2:2" x14ac:dyDescent="0.2">
      <c r="B512" s="9"/>
    </row>
    <row r="513" spans="2:2" x14ac:dyDescent="0.2">
      <c r="B513" s="9"/>
    </row>
    <row r="514" spans="2:2" x14ac:dyDescent="0.2">
      <c r="B514" s="9"/>
    </row>
    <row r="515" spans="2:2" x14ac:dyDescent="0.2">
      <c r="B515" s="9"/>
    </row>
    <row r="516" spans="2:2" x14ac:dyDescent="0.2">
      <c r="B516" s="9"/>
    </row>
    <row r="517" spans="2:2" x14ac:dyDescent="0.2">
      <c r="B517" s="9"/>
    </row>
    <row r="518" spans="2:2" x14ac:dyDescent="0.2">
      <c r="B518" s="9"/>
    </row>
    <row r="519" spans="2:2" x14ac:dyDescent="0.2">
      <c r="B519" s="9"/>
    </row>
    <row r="520" spans="2:2" x14ac:dyDescent="0.2">
      <c r="B520" s="9"/>
    </row>
    <row r="521" spans="2:2" x14ac:dyDescent="0.2">
      <c r="B521" s="9"/>
    </row>
    <row r="522" spans="2:2" x14ac:dyDescent="0.2">
      <c r="B522" s="9"/>
    </row>
    <row r="523" spans="2:2" x14ac:dyDescent="0.2">
      <c r="B523" s="9"/>
    </row>
    <row r="524" spans="2:2" x14ac:dyDescent="0.2">
      <c r="B524" s="9"/>
    </row>
    <row r="525" spans="2:2" x14ac:dyDescent="0.2">
      <c r="B525" s="9"/>
    </row>
    <row r="526" spans="2:2" x14ac:dyDescent="0.2">
      <c r="B526" s="9"/>
    </row>
    <row r="527" spans="2:2" x14ac:dyDescent="0.2">
      <c r="B527" s="9"/>
    </row>
    <row r="528" spans="2:2" x14ac:dyDescent="0.2">
      <c r="B528" s="9"/>
    </row>
    <row r="529" spans="2:2" x14ac:dyDescent="0.2">
      <c r="B529" s="9"/>
    </row>
    <row r="530" spans="2:2" x14ac:dyDescent="0.2">
      <c r="B530" s="9"/>
    </row>
    <row r="531" spans="2:2" x14ac:dyDescent="0.2">
      <c r="B531" s="9"/>
    </row>
    <row r="532" spans="2:2" x14ac:dyDescent="0.2">
      <c r="B532" s="9"/>
    </row>
    <row r="533" spans="2:2" x14ac:dyDescent="0.2">
      <c r="B533" s="9"/>
    </row>
    <row r="534" spans="2:2" x14ac:dyDescent="0.2">
      <c r="B534" s="9"/>
    </row>
    <row r="535" spans="2:2" x14ac:dyDescent="0.2">
      <c r="B535" s="9"/>
    </row>
    <row r="536" spans="2:2" x14ac:dyDescent="0.2">
      <c r="B536" s="9"/>
    </row>
    <row r="537" spans="2:2" x14ac:dyDescent="0.2">
      <c r="B537" s="9"/>
    </row>
    <row r="538" spans="2:2" x14ac:dyDescent="0.2">
      <c r="B538" s="9"/>
    </row>
    <row r="539" spans="2:2" x14ac:dyDescent="0.2">
      <c r="B539" s="9"/>
    </row>
    <row r="540" spans="2:2" x14ac:dyDescent="0.2">
      <c r="B540" s="9"/>
    </row>
    <row r="541" spans="2:2" x14ac:dyDescent="0.2">
      <c r="B541" s="9"/>
    </row>
    <row r="542" spans="2:2" x14ac:dyDescent="0.2">
      <c r="B542" s="9"/>
    </row>
    <row r="543" spans="2:2" x14ac:dyDescent="0.2">
      <c r="B543" s="9"/>
    </row>
    <row r="544" spans="2:2" x14ac:dyDescent="0.2">
      <c r="B544" s="9"/>
    </row>
    <row r="545" spans="2:2" x14ac:dyDescent="0.2">
      <c r="B545" s="9"/>
    </row>
    <row r="546" spans="2:2" x14ac:dyDescent="0.2">
      <c r="B546" s="9"/>
    </row>
    <row r="547" spans="2:2" x14ac:dyDescent="0.2">
      <c r="B547" s="9"/>
    </row>
    <row r="548" spans="2:2" x14ac:dyDescent="0.2">
      <c r="B548" s="9"/>
    </row>
    <row r="549" spans="2:2" x14ac:dyDescent="0.2">
      <c r="B549" s="9"/>
    </row>
    <row r="550" spans="2:2" x14ac:dyDescent="0.2">
      <c r="B550" s="9"/>
    </row>
    <row r="551" spans="2:2" x14ac:dyDescent="0.2">
      <c r="B551" s="9"/>
    </row>
    <row r="552" spans="2:2" x14ac:dyDescent="0.2">
      <c r="B552" s="9"/>
    </row>
    <row r="553" spans="2:2" x14ac:dyDescent="0.2">
      <c r="B553" s="9"/>
    </row>
    <row r="554" spans="2:2" x14ac:dyDescent="0.2">
      <c r="B554" s="9"/>
    </row>
    <row r="555" spans="2:2" x14ac:dyDescent="0.2">
      <c r="B555" s="9"/>
    </row>
    <row r="556" spans="2:2" x14ac:dyDescent="0.2">
      <c r="B556" s="9"/>
    </row>
    <row r="557" spans="2:2" x14ac:dyDescent="0.2">
      <c r="B557" s="9"/>
    </row>
    <row r="558" spans="2:2" x14ac:dyDescent="0.2">
      <c r="B558" s="9"/>
    </row>
    <row r="559" spans="2:2" x14ac:dyDescent="0.2">
      <c r="B559" s="9"/>
    </row>
    <row r="560" spans="2:2" x14ac:dyDescent="0.2">
      <c r="B560" s="9"/>
    </row>
    <row r="561" spans="2:2" x14ac:dyDescent="0.2">
      <c r="B561" s="9"/>
    </row>
    <row r="562" spans="2:2" x14ac:dyDescent="0.2">
      <c r="B562" s="9"/>
    </row>
    <row r="563" spans="2:2" x14ac:dyDescent="0.2">
      <c r="B563" s="9"/>
    </row>
    <row r="564" spans="2:2" x14ac:dyDescent="0.2">
      <c r="B564" s="9"/>
    </row>
    <row r="565" spans="2:2" x14ac:dyDescent="0.2">
      <c r="B565" s="9"/>
    </row>
    <row r="566" spans="2:2" x14ac:dyDescent="0.2">
      <c r="B566" s="9"/>
    </row>
    <row r="567" spans="2:2" x14ac:dyDescent="0.2">
      <c r="B567" s="9"/>
    </row>
    <row r="568" spans="2:2" x14ac:dyDescent="0.2">
      <c r="B568" s="9"/>
    </row>
    <row r="569" spans="2:2" x14ac:dyDescent="0.2">
      <c r="B569" s="9"/>
    </row>
    <row r="570" spans="2:2" x14ac:dyDescent="0.2">
      <c r="B570" s="9"/>
    </row>
    <row r="571" spans="2:2" x14ac:dyDescent="0.2">
      <c r="B571" s="9"/>
    </row>
    <row r="572" spans="2:2" x14ac:dyDescent="0.2">
      <c r="B572" s="9"/>
    </row>
    <row r="573" spans="2:2" x14ac:dyDescent="0.2">
      <c r="B573" s="9"/>
    </row>
    <row r="574" spans="2:2" x14ac:dyDescent="0.2">
      <c r="B574" s="9"/>
    </row>
    <row r="575" spans="2:2" x14ac:dyDescent="0.2">
      <c r="B575" s="9"/>
    </row>
    <row r="576" spans="2:2" x14ac:dyDescent="0.2">
      <c r="B576" s="9"/>
    </row>
    <row r="577" spans="2:2" x14ac:dyDescent="0.2">
      <c r="B577" s="9"/>
    </row>
    <row r="578" spans="2:2" x14ac:dyDescent="0.2">
      <c r="B578" s="9"/>
    </row>
    <row r="579" spans="2:2" x14ac:dyDescent="0.2">
      <c r="B579" s="9"/>
    </row>
    <row r="580" spans="2:2" x14ac:dyDescent="0.2">
      <c r="B580" s="9"/>
    </row>
    <row r="581" spans="2:2" x14ac:dyDescent="0.2">
      <c r="B581" s="9"/>
    </row>
    <row r="582" spans="2:2" x14ac:dyDescent="0.2">
      <c r="B582" s="9"/>
    </row>
    <row r="583" spans="2:2" x14ac:dyDescent="0.2">
      <c r="B583" s="9"/>
    </row>
    <row r="584" spans="2:2" x14ac:dyDescent="0.2">
      <c r="B584" s="9"/>
    </row>
    <row r="585" spans="2:2" x14ac:dyDescent="0.2">
      <c r="B585" s="9"/>
    </row>
    <row r="586" spans="2:2" x14ac:dyDescent="0.2">
      <c r="B586" s="9"/>
    </row>
    <row r="587" spans="2:2" x14ac:dyDescent="0.2">
      <c r="B587" s="9"/>
    </row>
    <row r="588" spans="2:2" x14ac:dyDescent="0.2">
      <c r="B588" s="9"/>
    </row>
    <row r="589" spans="2:2" x14ac:dyDescent="0.2">
      <c r="B589" s="9"/>
    </row>
    <row r="590" spans="2:2" x14ac:dyDescent="0.2">
      <c r="B590" s="9"/>
    </row>
    <row r="591" spans="2:2" x14ac:dyDescent="0.2">
      <c r="B591" s="9"/>
    </row>
    <row r="592" spans="2:2" x14ac:dyDescent="0.2">
      <c r="B592" s="9"/>
    </row>
    <row r="593" spans="2:2" x14ac:dyDescent="0.2">
      <c r="B593" s="9"/>
    </row>
    <row r="594" spans="2:2" x14ac:dyDescent="0.2">
      <c r="B594" s="9"/>
    </row>
    <row r="595" spans="2:2" x14ac:dyDescent="0.2">
      <c r="B595" s="9"/>
    </row>
    <row r="596" spans="2:2" x14ac:dyDescent="0.2">
      <c r="B596" s="9"/>
    </row>
    <row r="597" spans="2:2" x14ac:dyDescent="0.2">
      <c r="B597" s="9"/>
    </row>
    <row r="598" spans="2:2" x14ac:dyDescent="0.2">
      <c r="B598" s="9"/>
    </row>
    <row r="599" spans="2:2" x14ac:dyDescent="0.2">
      <c r="B599" s="9"/>
    </row>
    <row r="600" spans="2:2" x14ac:dyDescent="0.2">
      <c r="B600" s="9"/>
    </row>
    <row r="601" spans="2:2" x14ac:dyDescent="0.2">
      <c r="B601" s="9"/>
    </row>
    <row r="602" spans="2:2" x14ac:dyDescent="0.2">
      <c r="B602" s="9"/>
    </row>
    <row r="603" spans="2:2" x14ac:dyDescent="0.2">
      <c r="B603" s="9"/>
    </row>
    <row r="604" spans="2:2" x14ac:dyDescent="0.2">
      <c r="B604" s="9"/>
    </row>
    <row r="605" spans="2:2" x14ac:dyDescent="0.2">
      <c r="B605" s="9"/>
    </row>
    <row r="606" spans="2:2" x14ac:dyDescent="0.2">
      <c r="B606" s="9"/>
    </row>
    <row r="607" spans="2:2" x14ac:dyDescent="0.2">
      <c r="B607" s="9"/>
    </row>
    <row r="608" spans="2:2" x14ac:dyDescent="0.2">
      <c r="B608" s="9"/>
    </row>
    <row r="609" spans="2:2" x14ac:dyDescent="0.2">
      <c r="B609" s="9"/>
    </row>
    <row r="610" spans="2:2" x14ac:dyDescent="0.2">
      <c r="B610" s="9"/>
    </row>
    <row r="611" spans="2:2" x14ac:dyDescent="0.2">
      <c r="B611" s="9"/>
    </row>
    <row r="612" spans="2:2" x14ac:dyDescent="0.2">
      <c r="B612" s="9"/>
    </row>
    <row r="613" spans="2:2" x14ac:dyDescent="0.2">
      <c r="B613" s="9"/>
    </row>
    <row r="614" spans="2:2" x14ac:dyDescent="0.2">
      <c r="B614" s="9"/>
    </row>
    <row r="615" spans="2:2" x14ac:dyDescent="0.2">
      <c r="B615" s="9"/>
    </row>
    <row r="616" spans="2:2" x14ac:dyDescent="0.2">
      <c r="B616" s="9"/>
    </row>
    <row r="617" spans="2:2" x14ac:dyDescent="0.2">
      <c r="B617" s="9"/>
    </row>
    <row r="618" spans="2:2" x14ac:dyDescent="0.2">
      <c r="B618" s="9"/>
    </row>
    <row r="619" spans="2:2" x14ac:dyDescent="0.2">
      <c r="B619" s="9"/>
    </row>
    <row r="620" spans="2:2" x14ac:dyDescent="0.2">
      <c r="B620" s="9"/>
    </row>
    <row r="621" spans="2:2" x14ac:dyDescent="0.2">
      <c r="B621" s="9"/>
    </row>
    <row r="622" spans="2:2" x14ac:dyDescent="0.2">
      <c r="B622" s="9"/>
    </row>
    <row r="623" spans="2:2" x14ac:dyDescent="0.2">
      <c r="B623" s="9"/>
    </row>
    <row r="624" spans="2:2" x14ac:dyDescent="0.2">
      <c r="B624" s="9"/>
    </row>
    <row r="625" spans="2:2" x14ac:dyDescent="0.2">
      <c r="B625" s="9"/>
    </row>
    <row r="626" spans="2:2" x14ac:dyDescent="0.2">
      <c r="B626" s="9"/>
    </row>
    <row r="627" spans="2:2" x14ac:dyDescent="0.2">
      <c r="B627" s="9"/>
    </row>
    <row r="628" spans="2:2" x14ac:dyDescent="0.2">
      <c r="B628" s="9"/>
    </row>
    <row r="629" spans="2:2" x14ac:dyDescent="0.2">
      <c r="B629" s="9"/>
    </row>
    <row r="630" spans="2:2" x14ac:dyDescent="0.2">
      <c r="B630" s="9"/>
    </row>
    <row r="631" spans="2:2" x14ac:dyDescent="0.2">
      <c r="B631" s="9"/>
    </row>
    <row r="632" spans="2:2" x14ac:dyDescent="0.2">
      <c r="B632" s="9"/>
    </row>
    <row r="633" spans="2:2" x14ac:dyDescent="0.2">
      <c r="B633" s="9"/>
    </row>
    <row r="634" spans="2:2" x14ac:dyDescent="0.2">
      <c r="B634" s="9"/>
    </row>
    <row r="635" spans="2:2" x14ac:dyDescent="0.2">
      <c r="B635" s="9"/>
    </row>
    <row r="636" spans="2:2" x14ac:dyDescent="0.2">
      <c r="B636" s="9"/>
    </row>
    <row r="637" spans="2:2" x14ac:dyDescent="0.2">
      <c r="B637" s="9"/>
    </row>
    <row r="638" spans="2:2" x14ac:dyDescent="0.2">
      <c r="B638" s="9"/>
    </row>
    <row r="639" spans="2:2" x14ac:dyDescent="0.2">
      <c r="B639" s="9"/>
    </row>
    <row r="640" spans="2:2" x14ac:dyDescent="0.2">
      <c r="B640" s="9"/>
    </row>
    <row r="641" spans="2:2" x14ac:dyDescent="0.2">
      <c r="B641" s="9"/>
    </row>
    <row r="642" spans="2:2" x14ac:dyDescent="0.2">
      <c r="B642" s="9"/>
    </row>
    <row r="643" spans="2:2" x14ac:dyDescent="0.2">
      <c r="B643" s="9"/>
    </row>
    <row r="644" spans="2:2" x14ac:dyDescent="0.2">
      <c r="B644" s="9"/>
    </row>
    <row r="645" spans="2:2" x14ac:dyDescent="0.2">
      <c r="B645" s="9"/>
    </row>
    <row r="646" spans="2:2" x14ac:dyDescent="0.2">
      <c r="B646" s="9"/>
    </row>
    <row r="647" spans="2:2" x14ac:dyDescent="0.2">
      <c r="B647" s="9"/>
    </row>
    <row r="648" spans="2:2" x14ac:dyDescent="0.2">
      <c r="B648" s="9"/>
    </row>
    <row r="649" spans="2:2" x14ac:dyDescent="0.2">
      <c r="B649" s="9"/>
    </row>
    <row r="650" spans="2:2" x14ac:dyDescent="0.2">
      <c r="B650" s="9"/>
    </row>
    <row r="651" spans="2:2" x14ac:dyDescent="0.2">
      <c r="B651" s="9"/>
    </row>
    <row r="652" spans="2:2" x14ac:dyDescent="0.2">
      <c r="B652" s="9"/>
    </row>
    <row r="653" spans="2:2" x14ac:dyDescent="0.2">
      <c r="B653" s="9"/>
    </row>
    <row r="654" spans="2:2" x14ac:dyDescent="0.2">
      <c r="B654" s="9"/>
    </row>
    <row r="655" spans="2:2" x14ac:dyDescent="0.2">
      <c r="B655" s="9"/>
    </row>
    <row r="656" spans="2:2" x14ac:dyDescent="0.2">
      <c r="B656" s="9"/>
    </row>
    <row r="657" spans="2:2" x14ac:dyDescent="0.2">
      <c r="B657" s="9"/>
    </row>
    <row r="658" spans="2:2" x14ac:dyDescent="0.2">
      <c r="B658" s="9"/>
    </row>
    <row r="659" spans="2:2" x14ac:dyDescent="0.2">
      <c r="B659" s="9"/>
    </row>
    <row r="660" spans="2:2" x14ac:dyDescent="0.2">
      <c r="B660" s="9"/>
    </row>
    <row r="661" spans="2:2" x14ac:dyDescent="0.2">
      <c r="B661" s="9"/>
    </row>
    <row r="662" spans="2:2" x14ac:dyDescent="0.2">
      <c r="B662" s="9"/>
    </row>
    <row r="663" spans="2:2" x14ac:dyDescent="0.2">
      <c r="B663" s="9"/>
    </row>
    <row r="664" spans="2:2" x14ac:dyDescent="0.2">
      <c r="B664" s="9"/>
    </row>
    <row r="665" spans="2:2" x14ac:dyDescent="0.2">
      <c r="B665" s="9"/>
    </row>
    <row r="666" spans="2:2" x14ac:dyDescent="0.2">
      <c r="B666" s="9"/>
    </row>
    <row r="667" spans="2:2" x14ac:dyDescent="0.2">
      <c r="B667" s="9"/>
    </row>
    <row r="668" spans="2:2" x14ac:dyDescent="0.2">
      <c r="B668" s="9"/>
    </row>
    <row r="669" spans="2:2" x14ac:dyDescent="0.2">
      <c r="B669" s="9"/>
    </row>
    <row r="670" spans="2:2" x14ac:dyDescent="0.2">
      <c r="B670" s="9"/>
    </row>
    <row r="671" spans="2:2" x14ac:dyDescent="0.2">
      <c r="B671" s="9"/>
    </row>
    <row r="672" spans="2:2" x14ac:dyDescent="0.2">
      <c r="B672" s="9"/>
    </row>
    <row r="673" spans="2:2" x14ac:dyDescent="0.2">
      <c r="B673" s="9"/>
    </row>
    <row r="674" spans="2:2" x14ac:dyDescent="0.2">
      <c r="B674" s="9"/>
    </row>
    <row r="675" spans="2:2" x14ac:dyDescent="0.2">
      <c r="B675" s="9"/>
    </row>
    <row r="676" spans="2:2" x14ac:dyDescent="0.2">
      <c r="B676" s="9"/>
    </row>
    <row r="677" spans="2:2" x14ac:dyDescent="0.2">
      <c r="B677" s="9"/>
    </row>
    <row r="678" spans="2:2" x14ac:dyDescent="0.2">
      <c r="B678" s="9"/>
    </row>
    <row r="679" spans="2:2" x14ac:dyDescent="0.2">
      <c r="B679" s="9"/>
    </row>
    <row r="680" spans="2:2" x14ac:dyDescent="0.2">
      <c r="B680" s="9"/>
    </row>
    <row r="681" spans="2:2" x14ac:dyDescent="0.2">
      <c r="B681" s="9"/>
    </row>
    <row r="682" spans="2:2" x14ac:dyDescent="0.2">
      <c r="B682" s="9"/>
    </row>
    <row r="683" spans="2:2" x14ac:dyDescent="0.2">
      <c r="B683" s="9"/>
    </row>
    <row r="684" spans="2:2" x14ac:dyDescent="0.2">
      <c r="B684" s="9"/>
    </row>
    <row r="685" spans="2:2" x14ac:dyDescent="0.2">
      <c r="B685" s="9"/>
    </row>
    <row r="686" spans="2:2" x14ac:dyDescent="0.2">
      <c r="B686" s="9"/>
    </row>
    <row r="687" spans="2:2" x14ac:dyDescent="0.2">
      <c r="B687" s="9"/>
    </row>
    <row r="688" spans="2:2" x14ac:dyDescent="0.2">
      <c r="B688" s="9"/>
    </row>
    <row r="689" spans="2:2" x14ac:dyDescent="0.2">
      <c r="B689" s="9"/>
    </row>
    <row r="690" spans="2:2" x14ac:dyDescent="0.2">
      <c r="B690" s="9"/>
    </row>
    <row r="691" spans="2:2" x14ac:dyDescent="0.2">
      <c r="B691" s="9"/>
    </row>
    <row r="692" spans="2:2" x14ac:dyDescent="0.2">
      <c r="B692" s="9"/>
    </row>
    <row r="693" spans="2:2" x14ac:dyDescent="0.2">
      <c r="B693" s="9"/>
    </row>
    <row r="694" spans="2:2" x14ac:dyDescent="0.2">
      <c r="B694" s="9"/>
    </row>
    <row r="695" spans="2:2" x14ac:dyDescent="0.2">
      <c r="B695" s="9"/>
    </row>
    <row r="696" spans="2:2" x14ac:dyDescent="0.2">
      <c r="B696" s="9"/>
    </row>
    <row r="697" spans="2:2" x14ac:dyDescent="0.2">
      <c r="B697" s="9"/>
    </row>
    <row r="698" spans="2:2" x14ac:dyDescent="0.2">
      <c r="B698" s="9"/>
    </row>
    <row r="699" spans="2:2" x14ac:dyDescent="0.2">
      <c r="B699" s="9"/>
    </row>
    <row r="700" spans="2:2" x14ac:dyDescent="0.2">
      <c r="B700" s="9"/>
    </row>
    <row r="701" spans="2:2" x14ac:dyDescent="0.2">
      <c r="B701" s="9"/>
    </row>
    <row r="702" spans="2:2" x14ac:dyDescent="0.2">
      <c r="B702" s="9"/>
    </row>
    <row r="703" spans="2:2" x14ac:dyDescent="0.2">
      <c r="B703" s="9"/>
    </row>
    <row r="704" spans="2:2" x14ac:dyDescent="0.2">
      <c r="B704" s="9"/>
    </row>
    <row r="705" spans="2:2" x14ac:dyDescent="0.2">
      <c r="B705" s="9"/>
    </row>
    <row r="706" spans="2:2" x14ac:dyDescent="0.2">
      <c r="B706" s="9"/>
    </row>
    <row r="707" spans="2:2" x14ac:dyDescent="0.2">
      <c r="B707" s="9"/>
    </row>
    <row r="708" spans="2:2" x14ac:dyDescent="0.2">
      <c r="B708" s="9"/>
    </row>
    <row r="709" spans="2:2" x14ac:dyDescent="0.2">
      <c r="B709" s="9"/>
    </row>
    <row r="710" spans="2:2" x14ac:dyDescent="0.2">
      <c r="B710" s="9"/>
    </row>
    <row r="711" spans="2:2" x14ac:dyDescent="0.2">
      <c r="B711" s="9"/>
    </row>
    <row r="712" spans="2:2" x14ac:dyDescent="0.2">
      <c r="B712" s="9"/>
    </row>
    <row r="713" spans="2:2" x14ac:dyDescent="0.2">
      <c r="B713" s="9"/>
    </row>
    <row r="714" spans="2:2" x14ac:dyDescent="0.2">
      <c r="B714" s="9"/>
    </row>
    <row r="715" spans="2:2" x14ac:dyDescent="0.2">
      <c r="B715" s="9"/>
    </row>
    <row r="716" spans="2:2" x14ac:dyDescent="0.2">
      <c r="B716" s="9"/>
    </row>
    <row r="717" spans="2:2" x14ac:dyDescent="0.2">
      <c r="B717" s="9"/>
    </row>
    <row r="718" spans="2:2" x14ac:dyDescent="0.2">
      <c r="B718" s="9"/>
    </row>
    <row r="719" spans="2:2" x14ac:dyDescent="0.2">
      <c r="B719" s="9"/>
    </row>
    <row r="720" spans="2:2" x14ac:dyDescent="0.2">
      <c r="B720" s="9"/>
    </row>
    <row r="721" spans="2:2" x14ac:dyDescent="0.2">
      <c r="B721" s="9"/>
    </row>
    <row r="722" spans="2:2" x14ac:dyDescent="0.2">
      <c r="B722" s="9"/>
    </row>
    <row r="723" spans="2:2" x14ac:dyDescent="0.2">
      <c r="B723" s="9"/>
    </row>
    <row r="724" spans="2:2" x14ac:dyDescent="0.2">
      <c r="B724" s="9"/>
    </row>
    <row r="725" spans="2:2" x14ac:dyDescent="0.2">
      <c r="B725" s="9"/>
    </row>
    <row r="726" spans="2:2" x14ac:dyDescent="0.2">
      <c r="B726" s="9"/>
    </row>
    <row r="727" spans="2:2" x14ac:dyDescent="0.2">
      <c r="B727" s="9"/>
    </row>
    <row r="728" spans="2:2" x14ac:dyDescent="0.2">
      <c r="B728" s="9"/>
    </row>
    <row r="729" spans="2:2" x14ac:dyDescent="0.2">
      <c r="B729" s="9"/>
    </row>
    <row r="730" spans="2:2" x14ac:dyDescent="0.2">
      <c r="B730" s="9"/>
    </row>
    <row r="731" spans="2:2" x14ac:dyDescent="0.2">
      <c r="B731" s="9"/>
    </row>
    <row r="732" spans="2:2" x14ac:dyDescent="0.2">
      <c r="B732" s="9"/>
    </row>
    <row r="733" spans="2:2" x14ac:dyDescent="0.2">
      <c r="B733" s="9"/>
    </row>
    <row r="734" spans="2:2" x14ac:dyDescent="0.2">
      <c r="B734" s="9"/>
    </row>
    <row r="735" spans="2:2" x14ac:dyDescent="0.2">
      <c r="B735" s="9"/>
    </row>
    <row r="736" spans="2:2" x14ac:dyDescent="0.2">
      <c r="B736" s="9"/>
    </row>
    <row r="737" spans="2:2" x14ac:dyDescent="0.2">
      <c r="B737" s="9"/>
    </row>
    <row r="738" spans="2:2" x14ac:dyDescent="0.2">
      <c r="B738" s="9"/>
    </row>
    <row r="739" spans="2:2" x14ac:dyDescent="0.2">
      <c r="B739" s="9"/>
    </row>
    <row r="740" spans="2:2" x14ac:dyDescent="0.2">
      <c r="B740" s="9"/>
    </row>
    <row r="741" spans="2:2" x14ac:dyDescent="0.2">
      <c r="B741" s="9"/>
    </row>
    <row r="742" spans="2:2" x14ac:dyDescent="0.2">
      <c r="B742" s="9"/>
    </row>
    <row r="743" spans="2:2" x14ac:dyDescent="0.2">
      <c r="B743" s="9"/>
    </row>
    <row r="744" spans="2:2" x14ac:dyDescent="0.2">
      <c r="B744" s="9"/>
    </row>
    <row r="745" spans="2:2" x14ac:dyDescent="0.2">
      <c r="B745" s="9"/>
    </row>
    <row r="746" spans="2:2" x14ac:dyDescent="0.2">
      <c r="B746" s="9"/>
    </row>
    <row r="747" spans="2:2" x14ac:dyDescent="0.2">
      <c r="B747" s="9"/>
    </row>
    <row r="748" spans="2:2" x14ac:dyDescent="0.2">
      <c r="B748" s="9"/>
    </row>
    <row r="749" spans="2:2" x14ac:dyDescent="0.2">
      <c r="B749" s="9"/>
    </row>
    <row r="750" spans="2:2" x14ac:dyDescent="0.2">
      <c r="B750" s="9"/>
    </row>
    <row r="751" spans="2:2" x14ac:dyDescent="0.2">
      <c r="B751" s="9"/>
    </row>
    <row r="752" spans="2:2" x14ac:dyDescent="0.2">
      <c r="B752" s="9"/>
    </row>
    <row r="753" spans="2:2" x14ac:dyDescent="0.2">
      <c r="B753" s="9"/>
    </row>
    <row r="754" spans="2:2" x14ac:dyDescent="0.2">
      <c r="B754" s="9"/>
    </row>
    <row r="755" spans="2:2" x14ac:dyDescent="0.2">
      <c r="B755" s="9"/>
    </row>
    <row r="756" spans="2:2" x14ac:dyDescent="0.2">
      <c r="B756" s="9"/>
    </row>
    <row r="757" spans="2:2" x14ac:dyDescent="0.2">
      <c r="B757" s="9"/>
    </row>
    <row r="758" spans="2:2" x14ac:dyDescent="0.2">
      <c r="B758" s="9"/>
    </row>
    <row r="759" spans="2:2" x14ac:dyDescent="0.2">
      <c r="B759" s="9"/>
    </row>
    <row r="760" spans="2:2" x14ac:dyDescent="0.2">
      <c r="B760" s="9"/>
    </row>
    <row r="761" spans="2:2" x14ac:dyDescent="0.2">
      <c r="B761" s="9"/>
    </row>
    <row r="762" spans="2:2" x14ac:dyDescent="0.2">
      <c r="B762" s="9"/>
    </row>
    <row r="763" spans="2:2" x14ac:dyDescent="0.2">
      <c r="B763" s="9"/>
    </row>
    <row r="764" spans="2:2" x14ac:dyDescent="0.2">
      <c r="B764" s="9"/>
    </row>
    <row r="765" spans="2:2" x14ac:dyDescent="0.2">
      <c r="B765" s="9"/>
    </row>
    <row r="766" spans="2:2" x14ac:dyDescent="0.2">
      <c r="B766" s="9"/>
    </row>
    <row r="767" spans="2:2" x14ac:dyDescent="0.2">
      <c r="B767" s="9"/>
    </row>
    <row r="768" spans="2:2" x14ac:dyDescent="0.2">
      <c r="B768" s="9"/>
    </row>
    <row r="769" spans="2:2" x14ac:dyDescent="0.2">
      <c r="B769" s="9"/>
    </row>
    <row r="770" spans="2:2" x14ac:dyDescent="0.2">
      <c r="B770" s="9"/>
    </row>
    <row r="771" spans="2:2" x14ac:dyDescent="0.2">
      <c r="B771" s="9"/>
    </row>
    <row r="772" spans="2:2" x14ac:dyDescent="0.2">
      <c r="B772" s="9"/>
    </row>
    <row r="773" spans="2:2" x14ac:dyDescent="0.2">
      <c r="B773" s="9"/>
    </row>
    <row r="774" spans="2:2" x14ac:dyDescent="0.2">
      <c r="B774" s="9"/>
    </row>
    <row r="775" spans="2:2" x14ac:dyDescent="0.2">
      <c r="B775" s="9"/>
    </row>
    <row r="776" spans="2:2" x14ac:dyDescent="0.2">
      <c r="B776" s="9"/>
    </row>
    <row r="777" spans="2:2" x14ac:dyDescent="0.2">
      <c r="B777" s="9"/>
    </row>
    <row r="778" spans="2:2" x14ac:dyDescent="0.2">
      <c r="B778" s="9"/>
    </row>
    <row r="779" spans="2:2" x14ac:dyDescent="0.2">
      <c r="B779" s="9"/>
    </row>
    <row r="780" spans="2:2" x14ac:dyDescent="0.2">
      <c r="B780" s="9"/>
    </row>
    <row r="781" spans="2:2" x14ac:dyDescent="0.2">
      <c r="B781" s="9"/>
    </row>
    <row r="782" spans="2:2" x14ac:dyDescent="0.2">
      <c r="B782" s="9"/>
    </row>
    <row r="783" spans="2:2" x14ac:dyDescent="0.2">
      <c r="B783" s="9"/>
    </row>
    <row r="784" spans="2:2" x14ac:dyDescent="0.2">
      <c r="B784" s="9"/>
    </row>
    <row r="785" spans="2:2" x14ac:dyDescent="0.2">
      <c r="B785" s="9"/>
    </row>
    <row r="786" spans="2:2" x14ac:dyDescent="0.2">
      <c r="B786" s="9"/>
    </row>
    <row r="787" spans="2:2" x14ac:dyDescent="0.2">
      <c r="B787" s="9"/>
    </row>
    <row r="788" spans="2:2" x14ac:dyDescent="0.2">
      <c r="B788" s="9"/>
    </row>
    <row r="789" spans="2:2" x14ac:dyDescent="0.2">
      <c r="B789" s="9"/>
    </row>
    <row r="790" spans="2:2" x14ac:dyDescent="0.2">
      <c r="B790" s="9"/>
    </row>
    <row r="791" spans="2:2" x14ac:dyDescent="0.2">
      <c r="B791" s="9"/>
    </row>
    <row r="792" spans="2:2" x14ac:dyDescent="0.2">
      <c r="B792" s="9"/>
    </row>
    <row r="793" spans="2:2" x14ac:dyDescent="0.2">
      <c r="B793" s="9"/>
    </row>
    <row r="794" spans="2:2" x14ac:dyDescent="0.2">
      <c r="B794" s="9"/>
    </row>
    <row r="795" spans="2:2" x14ac:dyDescent="0.2">
      <c r="B795" s="9"/>
    </row>
    <row r="796" spans="2:2" x14ac:dyDescent="0.2">
      <c r="B796" s="9"/>
    </row>
    <row r="797" spans="2:2" x14ac:dyDescent="0.2">
      <c r="B797" s="9"/>
    </row>
    <row r="798" spans="2:2" x14ac:dyDescent="0.2">
      <c r="B798" s="9"/>
    </row>
    <row r="799" spans="2:2" x14ac:dyDescent="0.2">
      <c r="B799" s="9"/>
    </row>
    <row r="800" spans="2:2" x14ac:dyDescent="0.2">
      <c r="B800" s="9"/>
    </row>
    <row r="801" spans="2:2" x14ac:dyDescent="0.2">
      <c r="B801" s="9"/>
    </row>
    <row r="802" spans="2:2" x14ac:dyDescent="0.2">
      <c r="B802" s="9"/>
    </row>
    <row r="803" spans="2:2" x14ac:dyDescent="0.2">
      <c r="B803" s="9"/>
    </row>
    <row r="804" spans="2:2" x14ac:dyDescent="0.2">
      <c r="B804" s="9"/>
    </row>
    <row r="805" spans="2:2" x14ac:dyDescent="0.2">
      <c r="B805" s="9"/>
    </row>
    <row r="806" spans="2:2" x14ac:dyDescent="0.2">
      <c r="B806" s="9"/>
    </row>
    <row r="807" spans="2:2" x14ac:dyDescent="0.2">
      <c r="B807" s="9"/>
    </row>
    <row r="808" spans="2:2" x14ac:dyDescent="0.2">
      <c r="B808" s="9"/>
    </row>
    <row r="809" spans="2:2" x14ac:dyDescent="0.2">
      <c r="B809" s="9"/>
    </row>
    <row r="810" spans="2:2" x14ac:dyDescent="0.2">
      <c r="B810" s="9"/>
    </row>
    <row r="811" spans="2:2" x14ac:dyDescent="0.2">
      <c r="B811" s="9"/>
    </row>
    <row r="812" spans="2:2" x14ac:dyDescent="0.2">
      <c r="B812" s="9"/>
    </row>
    <row r="813" spans="2:2" x14ac:dyDescent="0.2">
      <c r="B813" s="9"/>
    </row>
    <row r="814" spans="2:2" x14ac:dyDescent="0.2">
      <c r="B814" s="9"/>
    </row>
    <row r="815" spans="2:2" x14ac:dyDescent="0.2">
      <c r="B815" s="9"/>
    </row>
    <row r="816" spans="2:2" x14ac:dyDescent="0.2">
      <c r="B816" s="9"/>
    </row>
    <row r="817" spans="2:2" x14ac:dyDescent="0.2">
      <c r="B817" s="9"/>
    </row>
    <row r="818" spans="2:2" x14ac:dyDescent="0.2">
      <c r="B818" s="9"/>
    </row>
    <row r="819" spans="2:2" x14ac:dyDescent="0.2">
      <c r="B819" s="9"/>
    </row>
    <row r="820" spans="2:2" x14ac:dyDescent="0.2">
      <c r="B820" s="9"/>
    </row>
    <row r="821" spans="2:2" x14ac:dyDescent="0.2">
      <c r="B821" s="9"/>
    </row>
    <row r="822" spans="2:2" x14ac:dyDescent="0.2">
      <c r="B822" s="9"/>
    </row>
    <row r="823" spans="2:2" x14ac:dyDescent="0.2">
      <c r="B823" s="9"/>
    </row>
    <row r="824" spans="2:2" x14ac:dyDescent="0.2">
      <c r="B824" s="9"/>
    </row>
    <row r="825" spans="2:2" x14ac:dyDescent="0.2">
      <c r="B825" s="9"/>
    </row>
    <row r="826" spans="2:2" x14ac:dyDescent="0.2">
      <c r="B826" s="9"/>
    </row>
    <row r="827" spans="2:2" x14ac:dyDescent="0.2">
      <c r="B827" s="9"/>
    </row>
    <row r="828" spans="2:2" x14ac:dyDescent="0.2">
      <c r="B828" s="9"/>
    </row>
    <row r="829" spans="2:2" x14ac:dyDescent="0.2">
      <c r="B829" s="9"/>
    </row>
    <row r="830" spans="2:2" x14ac:dyDescent="0.2">
      <c r="B830" s="9"/>
    </row>
    <row r="831" spans="2:2" x14ac:dyDescent="0.2">
      <c r="B831" s="9"/>
    </row>
    <row r="832" spans="2:2" x14ac:dyDescent="0.2">
      <c r="B832" s="9"/>
    </row>
    <row r="833" spans="2:2" x14ac:dyDescent="0.2">
      <c r="B833" s="9"/>
    </row>
    <row r="834" spans="2:2" x14ac:dyDescent="0.2">
      <c r="B834" s="9"/>
    </row>
    <row r="835" spans="2:2" x14ac:dyDescent="0.2">
      <c r="B835" s="9"/>
    </row>
    <row r="836" spans="2:2" x14ac:dyDescent="0.2">
      <c r="B836" s="9"/>
    </row>
    <row r="837" spans="2:2" x14ac:dyDescent="0.2">
      <c r="B837" s="9"/>
    </row>
    <row r="838" spans="2:2" x14ac:dyDescent="0.2">
      <c r="B838" s="9"/>
    </row>
    <row r="839" spans="2:2" x14ac:dyDescent="0.2">
      <c r="B839" s="9"/>
    </row>
    <row r="840" spans="2:2" x14ac:dyDescent="0.2">
      <c r="B840" s="9"/>
    </row>
    <row r="841" spans="2:2" x14ac:dyDescent="0.2">
      <c r="B841" s="9"/>
    </row>
    <row r="842" spans="2:2" x14ac:dyDescent="0.2">
      <c r="B842" s="9"/>
    </row>
    <row r="843" spans="2:2" x14ac:dyDescent="0.2">
      <c r="B843" s="9"/>
    </row>
    <row r="844" spans="2:2" x14ac:dyDescent="0.2">
      <c r="B844" s="9"/>
    </row>
    <row r="845" spans="2:2" x14ac:dyDescent="0.2">
      <c r="B845" s="9"/>
    </row>
    <row r="846" spans="2:2" x14ac:dyDescent="0.2">
      <c r="B846" s="9"/>
    </row>
    <row r="847" spans="2:2" x14ac:dyDescent="0.2">
      <c r="B847" s="9"/>
    </row>
    <row r="848" spans="2:2" x14ac:dyDescent="0.2">
      <c r="B848" s="9"/>
    </row>
    <row r="849" spans="2:2" x14ac:dyDescent="0.2">
      <c r="B849" s="9"/>
    </row>
    <row r="850" spans="2:2" x14ac:dyDescent="0.2">
      <c r="B850" s="9"/>
    </row>
    <row r="851" spans="2:2" x14ac:dyDescent="0.2">
      <c r="B851" s="9"/>
    </row>
    <row r="852" spans="2:2" x14ac:dyDescent="0.2">
      <c r="B852" s="9"/>
    </row>
    <row r="853" spans="2:2" x14ac:dyDescent="0.2">
      <c r="B853" s="9"/>
    </row>
    <row r="854" spans="2:2" x14ac:dyDescent="0.2">
      <c r="B854" s="9"/>
    </row>
    <row r="855" spans="2:2" x14ac:dyDescent="0.2">
      <c r="B855" s="9"/>
    </row>
    <row r="856" spans="2:2" x14ac:dyDescent="0.2">
      <c r="B856" s="9"/>
    </row>
    <row r="857" spans="2:2" x14ac:dyDescent="0.2">
      <c r="B857" s="9"/>
    </row>
    <row r="858" spans="2:2" x14ac:dyDescent="0.2">
      <c r="B858" s="9"/>
    </row>
    <row r="859" spans="2:2" x14ac:dyDescent="0.2">
      <c r="B859" s="9"/>
    </row>
    <row r="860" spans="2:2" x14ac:dyDescent="0.2">
      <c r="B860" s="9"/>
    </row>
    <row r="861" spans="2:2" x14ac:dyDescent="0.2">
      <c r="B861" s="9"/>
    </row>
    <row r="862" spans="2:2" x14ac:dyDescent="0.2">
      <c r="B862" s="9"/>
    </row>
    <row r="863" spans="2:2" x14ac:dyDescent="0.2">
      <c r="B863" s="9"/>
    </row>
    <row r="864" spans="2:2" x14ac:dyDescent="0.2">
      <c r="B864" s="9"/>
    </row>
    <row r="865" spans="2:2" x14ac:dyDescent="0.2">
      <c r="B865" s="9"/>
    </row>
    <row r="866" spans="2:2" x14ac:dyDescent="0.2">
      <c r="B866" s="9"/>
    </row>
    <row r="867" spans="2:2" x14ac:dyDescent="0.2">
      <c r="B867" s="9"/>
    </row>
    <row r="868" spans="2:2" x14ac:dyDescent="0.2">
      <c r="B868" s="9"/>
    </row>
    <row r="869" spans="2:2" x14ac:dyDescent="0.2">
      <c r="B869" s="9"/>
    </row>
    <row r="870" spans="2:2" x14ac:dyDescent="0.2">
      <c r="B870" s="9"/>
    </row>
    <row r="871" spans="2:2" x14ac:dyDescent="0.2">
      <c r="B871" s="9"/>
    </row>
    <row r="872" spans="2:2" x14ac:dyDescent="0.2">
      <c r="B872" s="9"/>
    </row>
    <row r="873" spans="2:2" x14ac:dyDescent="0.2">
      <c r="B873" s="9"/>
    </row>
    <row r="874" spans="2:2" x14ac:dyDescent="0.2">
      <c r="B874" s="9"/>
    </row>
    <row r="875" spans="2:2" x14ac:dyDescent="0.2">
      <c r="B875" s="9"/>
    </row>
    <row r="876" spans="2:2" x14ac:dyDescent="0.2">
      <c r="B876" s="9"/>
    </row>
    <row r="877" spans="2:2" x14ac:dyDescent="0.2">
      <c r="B877" s="9"/>
    </row>
    <row r="878" spans="2:2" x14ac:dyDescent="0.2">
      <c r="B878" s="9"/>
    </row>
    <row r="879" spans="2:2" x14ac:dyDescent="0.2">
      <c r="B879" s="9"/>
    </row>
    <row r="880" spans="2:2" x14ac:dyDescent="0.2">
      <c r="B880" s="9"/>
    </row>
    <row r="881" spans="2:2" x14ac:dyDescent="0.2">
      <c r="B881" s="9"/>
    </row>
    <row r="882" spans="2:2" x14ac:dyDescent="0.2">
      <c r="B882" s="9"/>
    </row>
    <row r="883" spans="2:2" x14ac:dyDescent="0.2">
      <c r="B883" s="9"/>
    </row>
    <row r="884" spans="2:2" x14ac:dyDescent="0.2">
      <c r="B884" s="9"/>
    </row>
    <row r="885" spans="2:2" x14ac:dyDescent="0.2">
      <c r="B885" s="9"/>
    </row>
    <row r="886" spans="2:2" x14ac:dyDescent="0.2">
      <c r="B886" s="9"/>
    </row>
    <row r="887" spans="2:2" x14ac:dyDescent="0.2">
      <c r="B887" s="9"/>
    </row>
    <row r="888" spans="2:2" x14ac:dyDescent="0.2">
      <c r="B888" s="9"/>
    </row>
    <row r="889" spans="2:2" x14ac:dyDescent="0.2">
      <c r="B889" s="9"/>
    </row>
    <row r="890" spans="2:2" x14ac:dyDescent="0.2">
      <c r="B890" s="9"/>
    </row>
    <row r="891" spans="2:2" x14ac:dyDescent="0.2">
      <c r="B891" s="9"/>
    </row>
    <row r="892" spans="2:2" x14ac:dyDescent="0.2">
      <c r="B892" s="9"/>
    </row>
    <row r="893" spans="2:2" x14ac:dyDescent="0.2">
      <c r="B893" s="9"/>
    </row>
    <row r="894" spans="2:2" x14ac:dyDescent="0.2">
      <c r="B894" s="9"/>
    </row>
    <row r="895" spans="2:2" x14ac:dyDescent="0.2">
      <c r="B895" s="9"/>
    </row>
    <row r="896" spans="2:2" x14ac:dyDescent="0.2">
      <c r="B896" s="9"/>
    </row>
    <row r="897" spans="2:2" x14ac:dyDescent="0.2">
      <c r="B897" s="9"/>
    </row>
    <row r="898" spans="2:2" x14ac:dyDescent="0.2">
      <c r="B898" s="9"/>
    </row>
    <row r="899" spans="2:2" x14ac:dyDescent="0.2">
      <c r="B899" s="9"/>
    </row>
    <row r="900" spans="2:2" x14ac:dyDescent="0.2">
      <c r="B900" s="9"/>
    </row>
    <row r="901" spans="2:2" x14ac:dyDescent="0.2">
      <c r="B901" s="9"/>
    </row>
    <row r="902" spans="2:2" x14ac:dyDescent="0.2">
      <c r="B902" s="9"/>
    </row>
    <row r="903" spans="2:2" x14ac:dyDescent="0.2">
      <c r="B903" s="9"/>
    </row>
    <row r="904" spans="2:2" x14ac:dyDescent="0.2">
      <c r="B904" s="9"/>
    </row>
    <row r="905" spans="2:2" x14ac:dyDescent="0.2">
      <c r="B905" s="9"/>
    </row>
    <row r="906" spans="2:2" x14ac:dyDescent="0.2">
      <c r="B906" s="9"/>
    </row>
    <row r="907" spans="2:2" x14ac:dyDescent="0.2">
      <c r="B907" s="9"/>
    </row>
    <row r="908" spans="2:2" x14ac:dyDescent="0.2">
      <c r="B908" s="9"/>
    </row>
    <row r="909" spans="2:2" x14ac:dyDescent="0.2">
      <c r="B909" s="9"/>
    </row>
    <row r="910" spans="2:2" x14ac:dyDescent="0.2">
      <c r="B910" s="9"/>
    </row>
    <row r="911" spans="2:2" x14ac:dyDescent="0.2">
      <c r="B911" s="9"/>
    </row>
    <row r="912" spans="2:2" x14ac:dyDescent="0.2">
      <c r="B912" s="9"/>
    </row>
    <row r="913" spans="2:2" x14ac:dyDescent="0.2">
      <c r="B913" s="9"/>
    </row>
    <row r="914" spans="2:2" x14ac:dyDescent="0.2">
      <c r="B914" s="9"/>
    </row>
    <row r="915" spans="2:2" x14ac:dyDescent="0.2">
      <c r="B915" s="9"/>
    </row>
    <row r="916" spans="2:2" x14ac:dyDescent="0.2">
      <c r="B916" s="9"/>
    </row>
    <row r="917" spans="2:2" x14ac:dyDescent="0.2">
      <c r="B917" s="9"/>
    </row>
    <row r="918" spans="2:2" x14ac:dyDescent="0.2">
      <c r="B918" s="9"/>
    </row>
    <row r="919" spans="2:2" x14ac:dyDescent="0.2">
      <c r="B919" s="9"/>
    </row>
    <row r="920" spans="2:2" x14ac:dyDescent="0.2">
      <c r="B920" s="9"/>
    </row>
    <row r="921" spans="2:2" x14ac:dyDescent="0.2">
      <c r="B921" s="9"/>
    </row>
    <row r="922" spans="2:2" x14ac:dyDescent="0.2">
      <c r="B922" s="9"/>
    </row>
    <row r="923" spans="2:2" x14ac:dyDescent="0.2">
      <c r="B923" s="9"/>
    </row>
    <row r="924" spans="2:2" x14ac:dyDescent="0.2">
      <c r="B924" s="9"/>
    </row>
    <row r="925" spans="2:2" x14ac:dyDescent="0.2">
      <c r="B925" s="9"/>
    </row>
    <row r="926" spans="2:2" x14ac:dyDescent="0.2">
      <c r="B926" s="9"/>
    </row>
    <row r="927" spans="2:2" x14ac:dyDescent="0.2">
      <c r="B927" s="9"/>
    </row>
    <row r="928" spans="2:2" x14ac:dyDescent="0.2">
      <c r="B928" s="9"/>
    </row>
    <row r="929" spans="2:2" x14ac:dyDescent="0.2">
      <c r="B929" s="9"/>
    </row>
    <row r="930" spans="2:2" x14ac:dyDescent="0.2">
      <c r="B930" s="9"/>
    </row>
    <row r="931" spans="2:2" x14ac:dyDescent="0.2">
      <c r="B931" s="9"/>
    </row>
    <row r="932" spans="2:2" x14ac:dyDescent="0.2">
      <c r="B932" s="9"/>
    </row>
    <row r="933" spans="2:2" x14ac:dyDescent="0.2">
      <c r="B933" s="9"/>
    </row>
    <row r="934" spans="2:2" x14ac:dyDescent="0.2">
      <c r="B934" s="9"/>
    </row>
    <row r="935" spans="2:2" x14ac:dyDescent="0.2">
      <c r="B935" s="9"/>
    </row>
    <row r="936" spans="2:2" x14ac:dyDescent="0.2">
      <c r="B936" s="9"/>
    </row>
    <row r="937" spans="2:2" x14ac:dyDescent="0.2">
      <c r="B937" s="9"/>
    </row>
    <row r="938" spans="2:2" x14ac:dyDescent="0.2">
      <c r="B938" s="9"/>
    </row>
    <row r="939" spans="2:2" x14ac:dyDescent="0.2">
      <c r="B939" s="9"/>
    </row>
    <row r="940" spans="2:2" x14ac:dyDescent="0.2">
      <c r="B940" s="9"/>
    </row>
    <row r="941" spans="2:2" x14ac:dyDescent="0.2">
      <c r="B941" s="9"/>
    </row>
    <row r="942" spans="2:2" x14ac:dyDescent="0.2">
      <c r="B942" s="9"/>
    </row>
    <row r="943" spans="2:2" x14ac:dyDescent="0.2">
      <c r="B943" s="9"/>
    </row>
    <row r="944" spans="2:2" x14ac:dyDescent="0.2">
      <c r="B944" s="9"/>
    </row>
    <row r="945" spans="2:2" x14ac:dyDescent="0.2">
      <c r="B945" s="9"/>
    </row>
    <row r="946" spans="2:2" x14ac:dyDescent="0.2">
      <c r="B946" s="9"/>
    </row>
    <row r="947" spans="2:2" x14ac:dyDescent="0.2">
      <c r="B947" s="9"/>
    </row>
    <row r="948" spans="2:2" x14ac:dyDescent="0.2">
      <c r="B948" s="9"/>
    </row>
    <row r="949" spans="2:2" x14ac:dyDescent="0.2">
      <c r="B949" s="9"/>
    </row>
    <row r="950" spans="2:2" x14ac:dyDescent="0.2">
      <c r="B950" s="9"/>
    </row>
    <row r="951" spans="2:2" x14ac:dyDescent="0.2">
      <c r="B951" s="9"/>
    </row>
    <row r="952" spans="2:2" x14ac:dyDescent="0.2">
      <c r="B952" s="9"/>
    </row>
    <row r="953" spans="2:2" x14ac:dyDescent="0.2">
      <c r="B953" s="9"/>
    </row>
    <row r="954" spans="2:2" x14ac:dyDescent="0.2">
      <c r="B954" s="9"/>
    </row>
    <row r="955" spans="2:2" x14ac:dyDescent="0.2">
      <c r="B955" s="9"/>
    </row>
    <row r="956" spans="2:2" x14ac:dyDescent="0.2">
      <c r="B956" s="9"/>
    </row>
    <row r="957" spans="2:2" x14ac:dyDescent="0.2">
      <c r="B957" s="9"/>
    </row>
    <row r="958" spans="2:2" x14ac:dyDescent="0.2">
      <c r="B958" s="9"/>
    </row>
    <row r="959" spans="2:2" x14ac:dyDescent="0.2">
      <c r="B959" s="9"/>
    </row>
    <row r="960" spans="2:2" x14ac:dyDescent="0.2">
      <c r="B960" s="9"/>
    </row>
    <row r="961" spans="2:2" x14ac:dyDescent="0.2">
      <c r="B961" s="9"/>
    </row>
    <row r="962" spans="2:2" x14ac:dyDescent="0.2">
      <c r="B962" s="9"/>
    </row>
    <row r="963" spans="2:2" x14ac:dyDescent="0.2">
      <c r="B963" s="9"/>
    </row>
    <row r="964" spans="2:2" x14ac:dyDescent="0.2">
      <c r="B964" s="9"/>
    </row>
    <row r="965" spans="2:2" x14ac:dyDescent="0.2">
      <c r="B965" s="9"/>
    </row>
    <row r="966" spans="2:2" x14ac:dyDescent="0.2">
      <c r="B966" s="9"/>
    </row>
    <row r="967" spans="2:2" x14ac:dyDescent="0.2">
      <c r="B967" s="9"/>
    </row>
    <row r="968" spans="2:2" x14ac:dyDescent="0.2">
      <c r="B968" s="9"/>
    </row>
    <row r="969" spans="2:2" x14ac:dyDescent="0.2">
      <c r="B969" s="9"/>
    </row>
    <row r="970" spans="2:2" x14ac:dyDescent="0.2">
      <c r="B970" s="9"/>
    </row>
    <row r="971" spans="2:2" x14ac:dyDescent="0.2">
      <c r="B971" s="9"/>
    </row>
    <row r="972" spans="2:2" x14ac:dyDescent="0.2">
      <c r="B972" s="9"/>
    </row>
    <row r="973" spans="2:2" x14ac:dyDescent="0.2">
      <c r="B973" s="9"/>
    </row>
    <row r="974" spans="2:2" x14ac:dyDescent="0.2">
      <c r="B974" s="9"/>
    </row>
    <row r="975" spans="2:2" x14ac:dyDescent="0.2">
      <c r="B975" s="9"/>
    </row>
    <row r="976" spans="2:2" x14ac:dyDescent="0.2">
      <c r="B976" s="9"/>
    </row>
    <row r="977" spans="2:2" x14ac:dyDescent="0.2">
      <c r="B977" s="9"/>
    </row>
    <row r="978" spans="2:2" x14ac:dyDescent="0.2">
      <c r="B978" s="9"/>
    </row>
    <row r="979" spans="2:2" x14ac:dyDescent="0.2">
      <c r="B979" s="9"/>
    </row>
    <row r="980" spans="2:2" x14ac:dyDescent="0.2">
      <c r="B980" s="9"/>
    </row>
    <row r="981" spans="2:2" x14ac:dyDescent="0.2">
      <c r="B981" s="9"/>
    </row>
    <row r="982" spans="2:2" x14ac:dyDescent="0.2">
      <c r="B982" s="9"/>
    </row>
    <row r="983" spans="2:2" x14ac:dyDescent="0.2">
      <c r="B983" s="9"/>
    </row>
    <row r="984" spans="2:2" x14ac:dyDescent="0.2">
      <c r="B984" s="9"/>
    </row>
    <row r="985" spans="2:2" x14ac:dyDescent="0.2">
      <c r="B985" s="9"/>
    </row>
    <row r="986" spans="2:2" x14ac:dyDescent="0.2">
      <c r="B986" s="9"/>
    </row>
    <row r="987" spans="2:2" x14ac:dyDescent="0.2">
      <c r="B987" s="9"/>
    </row>
    <row r="988" spans="2:2" x14ac:dyDescent="0.2">
      <c r="B988" s="9"/>
    </row>
    <row r="989" spans="2:2" x14ac:dyDescent="0.2">
      <c r="B989" s="9"/>
    </row>
    <row r="990" spans="2:2" x14ac:dyDescent="0.2">
      <c r="B990" s="9"/>
    </row>
    <row r="991" spans="2:2" x14ac:dyDescent="0.2">
      <c r="B991" s="9"/>
    </row>
    <row r="992" spans="2:2" x14ac:dyDescent="0.2">
      <c r="B992" s="9"/>
    </row>
    <row r="993" spans="2:2" x14ac:dyDescent="0.2">
      <c r="B993" s="9"/>
    </row>
    <row r="994" spans="2:2" x14ac:dyDescent="0.2">
      <c r="B994" s="9"/>
    </row>
    <row r="995" spans="2:2" x14ac:dyDescent="0.2">
      <c r="B995" s="9"/>
    </row>
    <row r="996" spans="2:2" x14ac:dyDescent="0.2">
      <c r="B996" s="9"/>
    </row>
    <row r="997" spans="2:2" x14ac:dyDescent="0.2">
      <c r="B997" s="9"/>
    </row>
    <row r="998" spans="2:2" x14ac:dyDescent="0.2">
      <c r="B998" s="9"/>
    </row>
    <row r="999" spans="2:2" x14ac:dyDescent="0.2">
      <c r="B999" s="9"/>
    </row>
    <row r="1000" spans="2:2" x14ac:dyDescent="0.2">
      <c r="B1000" s="9"/>
    </row>
    <row r="1001" spans="2:2" x14ac:dyDescent="0.2">
      <c r="B1001" s="9"/>
    </row>
  </sheetData>
  <mergeCells count="4">
    <mergeCell ref="C1:D1"/>
    <mergeCell ref="E1:F1"/>
    <mergeCell ref="G1:H1"/>
    <mergeCell ref="I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285"/>
  <sheetViews>
    <sheetView topLeftCell="A277" workbookViewId="0">
      <selection activeCell="D285" sqref="D285"/>
    </sheetView>
  </sheetViews>
  <sheetFormatPr defaultColWidth="12.5703125" defaultRowHeight="15.75" customHeight="1" x14ac:dyDescent="0.2"/>
  <cols>
    <col min="4" max="4" width="13.85546875" bestFit="1" customWidth="1"/>
    <col min="10" max="10" width="13.85546875" bestFit="1" customWidth="1"/>
  </cols>
  <sheetData>
    <row r="1" spans="1:23" x14ac:dyDescent="0.2">
      <c r="A1" s="1"/>
      <c r="B1" s="2"/>
      <c r="C1" s="210" t="s">
        <v>0</v>
      </c>
      <c r="D1" s="211"/>
      <c r="E1" s="210" t="s">
        <v>1</v>
      </c>
      <c r="F1" s="211"/>
      <c r="G1" s="210" t="s">
        <v>2</v>
      </c>
      <c r="H1" s="211"/>
      <c r="I1" s="210" t="s">
        <v>3</v>
      </c>
      <c r="J1" s="21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">
      <c r="A2" s="3" t="s">
        <v>4</v>
      </c>
      <c r="B2" s="4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6</v>
      </c>
      <c r="H2" s="5" t="s">
        <v>10</v>
      </c>
      <c r="I2" s="5" t="s">
        <v>6</v>
      </c>
      <c r="J2" s="5" t="s">
        <v>9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">
      <c r="A3" s="6" t="s">
        <v>11</v>
      </c>
      <c r="B3" s="6">
        <v>2</v>
      </c>
      <c r="C3" s="8">
        <v>215</v>
      </c>
      <c r="D3" s="8">
        <v>5883607</v>
      </c>
      <c r="E3" s="8">
        <v>160</v>
      </c>
      <c r="F3" s="8">
        <v>4346560</v>
      </c>
      <c r="G3" s="8">
        <v>10</v>
      </c>
      <c r="H3" s="8">
        <v>272804</v>
      </c>
      <c r="I3" s="8">
        <v>365</v>
      </c>
      <c r="J3" s="8">
        <v>9957363</v>
      </c>
    </row>
    <row r="4" spans="1:23" x14ac:dyDescent="0.2">
      <c r="A4" s="6" t="s">
        <v>12</v>
      </c>
      <c r="B4" s="6">
        <v>2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</row>
    <row r="5" spans="1:23" x14ac:dyDescent="0.2">
      <c r="A5" s="6" t="s">
        <v>13</v>
      </c>
      <c r="B5" s="6">
        <v>2</v>
      </c>
      <c r="C5" s="8">
        <v>1127</v>
      </c>
      <c r="D5" s="8">
        <v>36983785</v>
      </c>
      <c r="E5" s="8">
        <v>0</v>
      </c>
      <c r="F5" s="8">
        <v>0</v>
      </c>
      <c r="G5" s="8">
        <v>132</v>
      </c>
      <c r="H5" s="8">
        <v>4331730</v>
      </c>
      <c r="I5" s="8">
        <v>995</v>
      </c>
      <c r="J5" s="8">
        <v>32652055</v>
      </c>
    </row>
    <row r="6" spans="1:23" x14ac:dyDescent="0.2">
      <c r="A6" s="6" t="s">
        <v>14</v>
      </c>
      <c r="B6" s="6">
        <v>2</v>
      </c>
      <c r="C6" s="8">
        <v>125</v>
      </c>
      <c r="D6" s="8">
        <v>37241817</v>
      </c>
      <c r="E6" s="8">
        <v>0</v>
      </c>
      <c r="F6" s="8">
        <v>0</v>
      </c>
      <c r="G6" s="8">
        <v>5</v>
      </c>
      <c r="H6" s="8">
        <v>1489673</v>
      </c>
      <c r="I6" s="8">
        <v>120</v>
      </c>
      <c r="J6" s="8">
        <v>35752144</v>
      </c>
    </row>
    <row r="7" spans="1:23" x14ac:dyDescent="0.2">
      <c r="A7" s="6" t="s">
        <v>15</v>
      </c>
      <c r="B7" s="6">
        <v>2</v>
      </c>
      <c r="C7" s="8">
        <v>510</v>
      </c>
      <c r="D7" s="8">
        <v>69373706</v>
      </c>
      <c r="E7" s="8">
        <v>0</v>
      </c>
      <c r="F7" s="8">
        <v>0</v>
      </c>
      <c r="G7" s="8">
        <v>0</v>
      </c>
      <c r="H7" s="8">
        <v>0</v>
      </c>
      <c r="I7" s="8">
        <v>510</v>
      </c>
      <c r="J7" s="8">
        <v>69373706</v>
      </c>
    </row>
    <row r="8" spans="1:23" x14ac:dyDescent="0.2">
      <c r="A8" s="6" t="s">
        <v>16</v>
      </c>
      <c r="B8" s="6">
        <v>2</v>
      </c>
      <c r="C8" s="8">
        <v>354</v>
      </c>
      <c r="D8" s="8">
        <v>55405030</v>
      </c>
      <c r="E8" s="8">
        <v>0</v>
      </c>
      <c r="F8" s="8">
        <v>0</v>
      </c>
      <c r="G8" s="8">
        <v>10</v>
      </c>
      <c r="H8" s="8">
        <v>1565114</v>
      </c>
      <c r="I8" s="8">
        <v>344</v>
      </c>
      <c r="J8" s="8">
        <v>53839916</v>
      </c>
    </row>
    <row r="9" spans="1:23" x14ac:dyDescent="0.2">
      <c r="A9" s="6" t="s">
        <v>17</v>
      </c>
      <c r="B9" s="6">
        <v>2</v>
      </c>
      <c r="C9" s="8">
        <v>169</v>
      </c>
      <c r="D9" s="8">
        <v>40442640</v>
      </c>
      <c r="E9" s="8">
        <v>0</v>
      </c>
      <c r="F9" s="8">
        <v>0</v>
      </c>
      <c r="G9" s="8">
        <v>10</v>
      </c>
      <c r="H9" s="8">
        <v>2393056</v>
      </c>
      <c r="I9" s="8">
        <v>159</v>
      </c>
      <c r="J9" s="8">
        <v>38049584</v>
      </c>
    </row>
    <row r="10" spans="1:23" x14ac:dyDescent="0.2">
      <c r="A10" s="6" t="s">
        <v>18</v>
      </c>
      <c r="B10" s="6">
        <v>2</v>
      </c>
      <c r="C10" s="8">
        <v>894</v>
      </c>
      <c r="D10" s="8">
        <v>19467870</v>
      </c>
      <c r="E10" s="8">
        <v>0</v>
      </c>
      <c r="F10" s="8">
        <v>0</v>
      </c>
      <c r="G10" s="8">
        <v>80</v>
      </c>
      <c r="H10" s="8">
        <v>1742091</v>
      </c>
      <c r="I10" s="8">
        <v>814</v>
      </c>
      <c r="J10" s="8">
        <v>17725779</v>
      </c>
    </row>
    <row r="11" spans="1:23" x14ac:dyDescent="0.2">
      <c r="A11" s="6" t="s">
        <v>19</v>
      </c>
      <c r="B11" s="6">
        <v>2</v>
      </c>
      <c r="C11" s="8">
        <v>180</v>
      </c>
      <c r="D11" s="8">
        <v>3904035</v>
      </c>
      <c r="E11" s="8">
        <v>0</v>
      </c>
      <c r="F11" s="8">
        <v>0</v>
      </c>
      <c r="G11" s="8">
        <v>0</v>
      </c>
      <c r="H11" s="8">
        <v>0</v>
      </c>
      <c r="I11" s="8">
        <v>180</v>
      </c>
      <c r="J11" s="8">
        <v>3904035</v>
      </c>
    </row>
    <row r="12" spans="1:23" x14ac:dyDescent="0.2">
      <c r="A12" s="6" t="s">
        <v>20</v>
      </c>
      <c r="B12" s="6">
        <v>2</v>
      </c>
      <c r="C12" s="8">
        <v>307</v>
      </c>
      <c r="D12" s="8">
        <v>32682234</v>
      </c>
      <c r="E12" s="8">
        <v>0</v>
      </c>
      <c r="F12" s="8">
        <v>0</v>
      </c>
      <c r="G12" s="8">
        <v>0</v>
      </c>
      <c r="H12" s="8">
        <v>0</v>
      </c>
      <c r="I12" s="8">
        <v>307</v>
      </c>
      <c r="J12" s="8">
        <v>32682234</v>
      </c>
    </row>
    <row r="13" spans="1:23" x14ac:dyDescent="0.2">
      <c r="A13" s="6" t="s">
        <v>21</v>
      </c>
      <c r="B13" s="6">
        <v>2</v>
      </c>
      <c r="C13" s="8">
        <v>192</v>
      </c>
      <c r="D13" s="8">
        <v>45946668</v>
      </c>
      <c r="E13" s="8">
        <v>0</v>
      </c>
      <c r="F13" s="8">
        <v>0</v>
      </c>
      <c r="G13" s="8">
        <v>10</v>
      </c>
      <c r="H13" s="8">
        <v>2393056</v>
      </c>
      <c r="I13" s="8">
        <v>182</v>
      </c>
      <c r="J13" s="8">
        <v>43553612</v>
      </c>
    </row>
    <row r="14" spans="1:23" x14ac:dyDescent="0.2">
      <c r="A14" s="6" t="s">
        <v>22</v>
      </c>
      <c r="B14" s="6">
        <v>2</v>
      </c>
      <c r="C14" s="8">
        <v>18</v>
      </c>
      <c r="D14" s="8">
        <v>407934</v>
      </c>
      <c r="E14" s="8">
        <v>0</v>
      </c>
      <c r="F14" s="8">
        <v>0</v>
      </c>
      <c r="G14" s="8">
        <v>0</v>
      </c>
      <c r="H14" s="8">
        <v>0</v>
      </c>
      <c r="I14" s="8">
        <v>18</v>
      </c>
      <c r="J14" s="8">
        <v>407934</v>
      </c>
    </row>
    <row r="15" spans="1:23" x14ac:dyDescent="0.2">
      <c r="A15" s="6" t="s">
        <v>23</v>
      </c>
      <c r="B15" s="6">
        <v>2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</row>
    <row r="16" spans="1:23" x14ac:dyDescent="0.2">
      <c r="A16" s="6" t="s">
        <v>24</v>
      </c>
      <c r="B16" s="6">
        <v>2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</row>
    <row r="17" spans="1:10" x14ac:dyDescent="0.2">
      <c r="A17" s="6" t="s">
        <v>25</v>
      </c>
      <c r="B17" s="6">
        <v>2</v>
      </c>
      <c r="C17" s="8">
        <v>35</v>
      </c>
      <c r="D17" s="8">
        <v>731815</v>
      </c>
      <c r="E17" s="8">
        <v>95</v>
      </c>
      <c r="F17" s="8">
        <v>1986355</v>
      </c>
      <c r="G17" s="8">
        <v>0</v>
      </c>
      <c r="H17" s="8">
        <v>0</v>
      </c>
      <c r="I17" s="8">
        <v>130</v>
      </c>
      <c r="J17" s="8">
        <v>2718170</v>
      </c>
    </row>
    <row r="18" spans="1:10" x14ac:dyDescent="0.2">
      <c r="A18" s="6" t="s">
        <v>26</v>
      </c>
      <c r="B18" s="6">
        <v>2</v>
      </c>
      <c r="C18" s="8">
        <v>48</v>
      </c>
      <c r="D18" s="8">
        <v>1221840</v>
      </c>
      <c r="E18" s="8">
        <v>88</v>
      </c>
      <c r="F18" s="8">
        <v>2240040</v>
      </c>
      <c r="G18" s="8">
        <v>0</v>
      </c>
      <c r="H18" s="8">
        <v>0</v>
      </c>
      <c r="I18" s="8">
        <v>136</v>
      </c>
      <c r="J18" s="8">
        <v>3461880</v>
      </c>
    </row>
    <row r="19" spans="1:10" x14ac:dyDescent="0.2">
      <c r="A19" s="6" t="s">
        <v>27</v>
      </c>
      <c r="B19" s="6">
        <v>2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</row>
    <row r="20" spans="1:10" x14ac:dyDescent="0.2">
      <c r="A20" s="6" t="s">
        <v>28</v>
      </c>
      <c r="B20" s="6">
        <v>2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</row>
    <row r="21" spans="1:10" x14ac:dyDescent="0.2">
      <c r="A21" s="6" t="s">
        <v>29</v>
      </c>
      <c r="B21" s="6">
        <v>2</v>
      </c>
      <c r="C21" s="8">
        <v>150</v>
      </c>
      <c r="D21" s="8">
        <v>39640950</v>
      </c>
      <c r="E21" s="8">
        <v>0</v>
      </c>
      <c r="F21" s="8">
        <v>0</v>
      </c>
      <c r="G21" s="8">
        <v>0</v>
      </c>
      <c r="H21" s="8">
        <v>0</v>
      </c>
      <c r="I21" s="8">
        <v>150</v>
      </c>
      <c r="J21" s="8">
        <v>39640950</v>
      </c>
    </row>
    <row r="22" spans="1:10" x14ac:dyDescent="0.2">
      <c r="A22" s="6" t="s">
        <v>30</v>
      </c>
      <c r="B22" s="6">
        <v>2</v>
      </c>
      <c r="C22" s="8">
        <v>0</v>
      </c>
      <c r="D22" s="8">
        <v>0</v>
      </c>
      <c r="E22" s="8">
        <v>20</v>
      </c>
      <c r="F22" s="8">
        <v>5492720</v>
      </c>
      <c r="G22" s="8">
        <v>0</v>
      </c>
      <c r="H22" s="8">
        <v>0</v>
      </c>
      <c r="I22" s="8">
        <v>20</v>
      </c>
      <c r="J22" s="8">
        <v>5492720</v>
      </c>
    </row>
    <row r="23" spans="1:10" x14ac:dyDescent="0.2">
      <c r="A23" s="6" t="s">
        <v>31</v>
      </c>
      <c r="B23" s="6">
        <v>2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</row>
    <row r="24" spans="1:10" x14ac:dyDescent="0.2">
      <c r="A24" s="6" t="s">
        <v>32</v>
      </c>
      <c r="B24" s="6">
        <v>2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</row>
    <row r="25" spans="1:10" x14ac:dyDescent="0.2">
      <c r="A25" s="6" t="s">
        <v>33</v>
      </c>
      <c r="B25" s="6">
        <v>2</v>
      </c>
      <c r="C25" s="8">
        <v>0</v>
      </c>
      <c r="D25" s="8">
        <v>0</v>
      </c>
      <c r="E25" s="8">
        <v>36</v>
      </c>
      <c r="F25" s="8">
        <v>0</v>
      </c>
      <c r="G25" s="8">
        <v>0</v>
      </c>
      <c r="H25" s="8">
        <v>0</v>
      </c>
      <c r="I25" s="8">
        <v>36</v>
      </c>
      <c r="J25" s="8">
        <v>0</v>
      </c>
    </row>
    <row r="26" spans="1:10" x14ac:dyDescent="0.2">
      <c r="A26" s="6" t="s">
        <v>34</v>
      </c>
      <c r="B26" s="6">
        <v>2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</row>
    <row r="27" spans="1:10" x14ac:dyDescent="0.2">
      <c r="A27" s="6" t="s">
        <v>35</v>
      </c>
      <c r="B27" s="6">
        <v>2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</row>
    <row r="28" spans="1:10" x14ac:dyDescent="0.2">
      <c r="A28" s="6" t="s">
        <v>36</v>
      </c>
      <c r="B28" s="6">
        <v>2</v>
      </c>
      <c r="C28" s="8">
        <v>0</v>
      </c>
      <c r="D28" s="8">
        <v>0</v>
      </c>
      <c r="E28" s="8">
        <v>20</v>
      </c>
      <c r="F28" s="8">
        <v>909100</v>
      </c>
      <c r="G28" s="8">
        <v>0</v>
      </c>
      <c r="H28" s="8">
        <v>0</v>
      </c>
      <c r="I28" s="8">
        <v>20</v>
      </c>
      <c r="J28" s="8">
        <v>909100</v>
      </c>
    </row>
    <row r="29" spans="1:10" x14ac:dyDescent="0.2">
      <c r="A29" s="6" t="s">
        <v>37</v>
      </c>
      <c r="B29" s="6">
        <v>2</v>
      </c>
      <c r="C29" s="8">
        <v>8471</v>
      </c>
      <c r="D29" s="8">
        <v>455961507</v>
      </c>
      <c r="E29" s="8">
        <v>3040</v>
      </c>
      <c r="F29" s="8">
        <v>161092640</v>
      </c>
      <c r="G29" s="8">
        <v>2880</v>
      </c>
      <c r="H29" s="8">
        <v>154384149</v>
      </c>
      <c r="I29" s="8">
        <v>8631</v>
      </c>
      <c r="J29" s="8">
        <v>462669998</v>
      </c>
    </row>
    <row r="30" spans="1:10" x14ac:dyDescent="0.2">
      <c r="A30" s="6" t="s">
        <v>38</v>
      </c>
      <c r="B30" s="6">
        <v>2</v>
      </c>
      <c r="C30" s="8">
        <v>8385</v>
      </c>
      <c r="D30" s="8">
        <v>255279277</v>
      </c>
      <c r="E30" s="8">
        <v>279936</v>
      </c>
      <c r="F30" s="8">
        <v>230387328</v>
      </c>
      <c r="G30" s="8">
        <v>7020</v>
      </c>
      <c r="H30" s="8">
        <v>8592364</v>
      </c>
      <c r="I30" s="8">
        <v>281301</v>
      </c>
      <c r="J30" s="8">
        <v>477074241</v>
      </c>
    </row>
    <row r="31" spans="1:10" x14ac:dyDescent="0.2">
      <c r="A31" s="6" t="s">
        <v>39</v>
      </c>
      <c r="B31" s="6">
        <v>2</v>
      </c>
      <c r="C31" s="8">
        <v>2610</v>
      </c>
      <c r="D31" s="8">
        <v>88299837</v>
      </c>
      <c r="E31" s="8">
        <v>27900</v>
      </c>
      <c r="F31" s="8">
        <v>62642940</v>
      </c>
      <c r="G31" s="8">
        <v>1800</v>
      </c>
      <c r="H31" s="8">
        <v>5945759</v>
      </c>
      <c r="I31" s="8">
        <v>28710</v>
      </c>
      <c r="J31" s="8">
        <v>144997018</v>
      </c>
    </row>
    <row r="32" spans="1:10" x14ac:dyDescent="0.2">
      <c r="A32" s="6" t="s">
        <v>40</v>
      </c>
      <c r="B32" s="6">
        <v>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</row>
    <row r="33" spans="1:10" x14ac:dyDescent="0.2">
      <c r="A33" s="6" t="s">
        <v>41</v>
      </c>
      <c r="B33" s="6">
        <v>2</v>
      </c>
      <c r="C33" s="8">
        <v>0</v>
      </c>
      <c r="D33" s="8">
        <v>0</v>
      </c>
      <c r="E33" s="8">
        <v>90</v>
      </c>
      <c r="F33" s="8">
        <v>3031110</v>
      </c>
      <c r="G33" s="8">
        <v>0</v>
      </c>
      <c r="H33" s="8">
        <v>0</v>
      </c>
      <c r="I33" s="8">
        <v>90</v>
      </c>
      <c r="J33" s="8">
        <v>3031110</v>
      </c>
    </row>
    <row r="34" spans="1:10" x14ac:dyDescent="0.2">
      <c r="A34" s="6" t="s">
        <v>42</v>
      </c>
      <c r="B34" s="6">
        <v>2</v>
      </c>
      <c r="C34" s="8">
        <v>0</v>
      </c>
      <c r="D34" s="8">
        <v>0</v>
      </c>
      <c r="E34" s="8">
        <v>32</v>
      </c>
      <c r="F34" s="8">
        <v>1531840</v>
      </c>
      <c r="G34" s="8">
        <v>0</v>
      </c>
      <c r="H34" s="8">
        <v>0</v>
      </c>
      <c r="I34" s="8">
        <v>32</v>
      </c>
      <c r="J34" s="8">
        <v>1531840</v>
      </c>
    </row>
    <row r="35" spans="1:10" x14ac:dyDescent="0.2">
      <c r="A35" s="6" t="s">
        <v>43</v>
      </c>
      <c r="B35" s="6">
        <v>2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</row>
    <row r="36" spans="1:10" x14ac:dyDescent="0.2">
      <c r="A36" s="6" t="s">
        <v>44</v>
      </c>
      <c r="B36" s="6">
        <v>2</v>
      </c>
      <c r="C36" s="8">
        <v>935</v>
      </c>
      <c r="D36" s="8">
        <v>31489703</v>
      </c>
      <c r="E36" s="8">
        <v>9450</v>
      </c>
      <c r="F36" s="8">
        <v>21217770</v>
      </c>
      <c r="G36" s="8">
        <v>330</v>
      </c>
      <c r="H36" s="8">
        <v>1534001</v>
      </c>
      <c r="I36" s="8">
        <v>10055</v>
      </c>
      <c r="J36" s="8">
        <v>51173472</v>
      </c>
    </row>
    <row r="37" spans="1:10" x14ac:dyDescent="0.2">
      <c r="A37" s="6" t="s">
        <v>45</v>
      </c>
      <c r="B37" s="6">
        <v>2</v>
      </c>
      <c r="C37" s="8">
        <v>1062</v>
      </c>
      <c r="D37" s="8">
        <v>35764971</v>
      </c>
      <c r="E37" s="8">
        <v>225</v>
      </c>
      <c r="F37" s="8">
        <v>7577775</v>
      </c>
      <c r="G37" s="8">
        <v>30</v>
      </c>
      <c r="H37" s="8">
        <v>1010320</v>
      </c>
      <c r="I37" s="8">
        <v>1257</v>
      </c>
      <c r="J37" s="8">
        <v>42332426</v>
      </c>
    </row>
    <row r="38" spans="1:10" x14ac:dyDescent="0.2">
      <c r="A38" s="6" t="s">
        <v>46</v>
      </c>
      <c r="B38" s="6">
        <v>2</v>
      </c>
      <c r="C38" s="8">
        <v>0</v>
      </c>
      <c r="D38" s="8">
        <v>0</v>
      </c>
      <c r="E38" s="8">
        <v>75</v>
      </c>
      <c r="F38" s="8">
        <v>2525925</v>
      </c>
      <c r="G38" s="8">
        <v>0</v>
      </c>
      <c r="H38" s="8">
        <v>0</v>
      </c>
      <c r="I38" s="8">
        <v>75</v>
      </c>
      <c r="J38" s="8">
        <v>2525925</v>
      </c>
    </row>
    <row r="39" spans="1:10" x14ac:dyDescent="0.2">
      <c r="A39" s="6" t="s">
        <v>47</v>
      </c>
      <c r="B39" s="6">
        <v>2</v>
      </c>
      <c r="C39" s="8">
        <v>1250</v>
      </c>
      <c r="D39" s="8">
        <v>5681250</v>
      </c>
      <c r="E39" s="8">
        <v>2000</v>
      </c>
      <c r="F39" s="8">
        <v>9090000</v>
      </c>
      <c r="G39" s="8">
        <v>1500</v>
      </c>
      <c r="H39" s="8">
        <v>6817500</v>
      </c>
      <c r="I39" s="8">
        <v>1750</v>
      </c>
      <c r="J39" s="8">
        <v>7953750</v>
      </c>
    </row>
    <row r="40" spans="1:10" x14ac:dyDescent="0.2">
      <c r="A40" s="6" t="s">
        <v>48</v>
      </c>
      <c r="B40" s="6">
        <v>2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</row>
    <row r="41" spans="1:10" x14ac:dyDescent="0.2">
      <c r="A41" s="6" t="s">
        <v>49</v>
      </c>
      <c r="B41" s="6">
        <v>2</v>
      </c>
      <c r="C41" s="8">
        <v>1200</v>
      </c>
      <c r="D41" s="8">
        <v>5672400</v>
      </c>
      <c r="E41" s="8">
        <v>1800</v>
      </c>
      <c r="F41" s="8">
        <v>8508600</v>
      </c>
      <c r="G41" s="8">
        <v>1320</v>
      </c>
      <c r="H41" s="8">
        <v>6239640</v>
      </c>
      <c r="I41" s="8">
        <v>1680</v>
      </c>
      <c r="J41" s="8">
        <v>7941360</v>
      </c>
    </row>
    <row r="42" spans="1:10" x14ac:dyDescent="0.2">
      <c r="A42" s="6" t="s">
        <v>50</v>
      </c>
      <c r="B42" s="6">
        <v>2</v>
      </c>
      <c r="C42" s="8">
        <v>0</v>
      </c>
      <c r="D42" s="8">
        <v>0</v>
      </c>
      <c r="E42" s="8">
        <v>500</v>
      </c>
      <c r="F42" s="8">
        <v>1591000</v>
      </c>
      <c r="G42" s="8">
        <v>0</v>
      </c>
      <c r="H42" s="8">
        <v>0</v>
      </c>
      <c r="I42" s="8">
        <v>500</v>
      </c>
      <c r="J42" s="8">
        <v>1591000</v>
      </c>
    </row>
    <row r="43" spans="1:10" x14ac:dyDescent="0.2">
      <c r="A43" s="6" t="s">
        <v>51</v>
      </c>
      <c r="B43" s="6">
        <v>2</v>
      </c>
      <c r="C43" s="8">
        <v>500</v>
      </c>
      <c r="D43" s="8">
        <v>1818000</v>
      </c>
      <c r="E43" s="8">
        <v>500</v>
      </c>
      <c r="F43" s="8">
        <v>1818000</v>
      </c>
      <c r="G43" s="8">
        <v>150</v>
      </c>
      <c r="H43" s="8">
        <v>545400</v>
      </c>
      <c r="I43" s="8">
        <v>850</v>
      </c>
      <c r="J43" s="8">
        <v>3090600</v>
      </c>
    </row>
    <row r="44" spans="1:10" x14ac:dyDescent="0.2">
      <c r="A44" s="6" t="s">
        <v>52</v>
      </c>
      <c r="B44" s="6">
        <v>2</v>
      </c>
      <c r="C44" s="8">
        <v>0</v>
      </c>
      <c r="D44" s="8">
        <v>0</v>
      </c>
      <c r="E44" s="8">
        <v>96</v>
      </c>
      <c r="F44" s="8">
        <v>2181792</v>
      </c>
      <c r="G44" s="8">
        <v>0</v>
      </c>
      <c r="H44" s="8">
        <v>0</v>
      </c>
      <c r="I44" s="8">
        <v>96</v>
      </c>
      <c r="J44" s="8">
        <v>2181792</v>
      </c>
    </row>
    <row r="45" spans="1:10" x14ac:dyDescent="0.2">
      <c r="A45" s="6" t="s">
        <v>53</v>
      </c>
      <c r="B45" s="6">
        <v>2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</row>
    <row r="46" spans="1:10" x14ac:dyDescent="0.2">
      <c r="A46" s="6" t="s">
        <v>54</v>
      </c>
      <c r="B46" s="6">
        <v>2</v>
      </c>
      <c r="C46" s="8">
        <v>7920</v>
      </c>
      <c r="D46" s="8">
        <v>108184824</v>
      </c>
      <c r="E46" s="8">
        <v>10800</v>
      </c>
      <c r="F46" s="8">
        <v>147268800</v>
      </c>
      <c r="G46" s="8">
        <v>14160</v>
      </c>
      <c r="H46" s="8">
        <v>193227741</v>
      </c>
      <c r="I46" s="8">
        <v>4560</v>
      </c>
      <c r="J46" s="8">
        <v>62225883</v>
      </c>
    </row>
    <row r="47" spans="1:10" x14ac:dyDescent="0.2">
      <c r="A47" s="6" t="s">
        <v>55</v>
      </c>
      <c r="B47" s="6">
        <v>2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</row>
    <row r="48" spans="1:10" x14ac:dyDescent="0.2">
      <c r="A48" s="6" t="s">
        <v>56</v>
      </c>
      <c r="B48" s="6">
        <v>2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</row>
    <row r="49" spans="1:10" x14ac:dyDescent="0.2">
      <c r="A49" s="6" t="s">
        <v>57</v>
      </c>
      <c r="B49" s="6">
        <v>2</v>
      </c>
      <c r="C49" s="8">
        <v>240</v>
      </c>
      <c r="D49" s="8">
        <v>3818160</v>
      </c>
      <c r="E49" s="8">
        <v>360</v>
      </c>
      <c r="F49" s="8">
        <v>5727240</v>
      </c>
      <c r="G49" s="8">
        <v>240</v>
      </c>
      <c r="H49" s="8">
        <v>3818160</v>
      </c>
      <c r="I49" s="8">
        <v>360</v>
      </c>
      <c r="J49" s="8">
        <v>5727240</v>
      </c>
    </row>
    <row r="50" spans="1:10" x14ac:dyDescent="0.2">
      <c r="A50" s="6" t="s">
        <v>58</v>
      </c>
      <c r="B50" s="6">
        <v>2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</row>
    <row r="51" spans="1:10" x14ac:dyDescent="0.2">
      <c r="A51" s="6" t="s">
        <v>59</v>
      </c>
      <c r="B51" s="6">
        <v>2</v>
      </c>
      <c r="C51" s="8">
        <v>960</v>
      </c>
      <c r="D51" s="8">
        <v>13907733</v>
      </c>
      <c r="E51" s="8">
        <v>2640</v>
      </c>
      <c r="F51" s="8">
        <v>38398800</v>
      </c>
      <c r="G51" s="8">
        <v>720</v>
      </c>
      <c r="H51" s="8">
        <v>10461307</v>
      </c>
      <c r="I51" s="8">
        <v>2880</v>
      </c>
      <c r="J51" s="8">
        <v>41845226</v>
      </c>
    </row>
    <row r="52" spans="1:10" x14ac:dyDescent="0.2">
      <c r="A52" s="6" t="s">
        <v>60</v>
      </c>
      <c r="B52" s="6">
        <v>2</v>
      </c>
      <c r="C52" s="8">
        <v>180</v>
      </c>
      <c r="D52" s="8">
        <v>5727240</v>
      </c>
      <c r="E52" s="8">
        <v>240</v>
      </c>
      <c r="F52" s="8">
        <v>7636320</v>
      </c>
      <c r="G52" s="8">
        <v>0</v>
      </c>
      <c r="H52" s="8">
        <v>0</v>
      </c>
      <c r="I52" s="8">
        <v>420</v>
      </c>
      <c r="J52" s="8">
        <v>13363560</v>
      </c>
    </row>
    <row r="53" spans="1:10" x14ac:dyDescent="0.2">
      <c r="A53" s="6" t="s">
        <v>61</v>
      </c>
      <c r="B53" s="6">
        <v>2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</row>
    <row r="54" spans="1:10" x14ac:dyDescent="0.2">
      <c r="A54" s="6" t="s">
        <v>62</v>
      </c>
      <c r="B54" s="6">
        <v>2</v>
      </c>
      <c r="C54" s="8">
        <v>1800</v>
      </c>
      <c r="D54" s="8">
        <v>8508600</v>
      </c>
      <c r="E54" s="8">
        <v>3000</v>
      </c>
      <c r="F54" s="8">
        <v>14181000</v>
      </c>
      <c r="G54" s="8">
        <v>2040</v>
      </c>
      <c r="H54" s="8">
        <v>9643080</v>
      </c>
      <c r="I54" s="8">
        <v>2760</v>
      </c>
      <c r="J54" s="8">
        <v>13046520</v>
      </c>
    </row>
    <row r="55" spans="1:10" x14ac:dyDescent="0.2">
      <c r="A55" s="6" t="s">
        <v>63</v>
      </c>
      <c r="B55" s="6">
        <v>2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</row>
    <row r="56" spans="1:10" x14ac:dyDescent="0.2">
      <c r="A56" s="6" t="s">
        <v>64</v>
      </c>
      <c r="B56" s="6">
        <v>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</row>
    <row r="57" spans="1:10" x14ac:dyDescent="0.2">
      <c r="A57" s="6" t="s">
        <v>65</v>
      </c>
      <c r="B57" s="6">
        <v>2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</row>
    <row r="58" spans="1:10" x14ac:dyDescent="0.2">
      <c r="A58" s="6" t="s">
        <v>66</v>
      </c>
      <c r="B58" s="6">
        <v>2</v>
      </c>
      <c r="C58" s="8">
        <v>3240</v>
      </c>
      <c r="D58" s="8">
        <v>47020331</v>
      </c>
      <c r="E58" s="8">
        <v>2880</v>
      </c>
      <c r="F58" s="8">
        <v>41889600</v>
      </c>
      <c r="G58" s="8">
        <v>4140</v>
      </c>
      <c r="H58" s="8">
        <v>60144953</v>
      </c>
      <c r="I58" s="8">
        <v>1980</v>
      </c>
      <c r="J58" s="8">
        <v>28764978</v>
      </c>
    </row>
    <row r="59" spans="1:10" x14ac:dyDescent="0.2">
      <c r="A59" s="6" t="s">
        <v>67</v>
      </c>
      <c r="B59" s="6">
        <v>2</v>
      </c>
      <c r="C59" s="8">
        <v>120</v>
      </c>
      <c r="D59" s="8">
        <v>1854600</v>
      </c>
      <c r="E59" s="8">
        <v>0</v>
      </c>
      <c r="F59" s="8">
        <v>0</v>
      </c>
      <c r="G59" s="8">
        <v>0</v>
      </c>
      <c r="H59" s="8">
        <v>0</v>
      </c>
      <c r="I59" s="8">
        <v>120</v>
      </c>
      <c r="J59" s="8">
        <v>1854600</v>
      </c>
    </row>
    <row r="60" spans="1:10" x14ac:dyDescent="0.2">
      <c r="A60" s="6" t="s">
        <v>68</v>
      </c>
      <c r="B60" s="6">
        <v>2</v>
      </c>
      <c r="C60" s="8">
        <v>0</v>
      </c>
      <c r="D60" s="8">
        <v>0</v>
      </c>
      <c r="E60" s="8">
        <v>60</v>
      </c>
      <c r="F60" s="8">
        <v>2618160</v>
      </c>
      <c r="G60" s="8">
        <v>0</v>
      </c>
      <c r="H60" s="8">
        <v>0</v>
      </c>
      <c r="I60" s="8">
        <v>60</v>
      </c>
      <c r="J60" s="8">
        <v>2618160</v>
      </c>
    </row>
    <row r="61" spans="1:10" x14ac:dyDescent="0.2">
      <c r="A61" s="6" t="s">
        <v>69</v>
      </c>
      <c r="B61" s="6">
        <v>2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</row>
    <row r="62" spans="1:10" x14ac:dyDescent="0.2">
      <c r="A62" s="6" t="s">
        <v>70</v>
      </c>
      <c r="B62" s="6">
        <v>2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</row>
    <row r="63" spans="1:10" x14ac:dyDescent="0.2">
      <c r="A63" s="6" t="s">
        <v>71</v>
      </c>
      <c r="B63" s="6">
        <v>2</v>
      </c>
      <c r="C63" s="8">
        <v>0</v>
      </c>
      <c r="D63" s="8">
        <v>0</v>
      </c>
      <c r="E63" s="8">
        <v>240</v>
      </c>
      <c r="F63" s="8">
        <v>3490800</v>
      </c>
      <c r="G63" s="8">
        <v>0</v>
      </c>
      <c r="H63" s="8">
        <v>0</v>
      </c>
      <c r="I63" s="8">
        <v>240</v>
      </c>
      <c r="J63" s="8">
        <v>3490800</v>
      </c>
    </row>
    <row r="64" spans="1:10" x14ac:dyDescent="0.2">
      <c r="A64" s="6" t="s">
        <v>72</v>
      </c>
      <c r="B64" s="6">
        <v>2</v>
      </c>
      <c r="C64" s="8">
        <v>240</v>
      </c>
      <c r="D64" s="8">
        <v>4266713</v>
      </c>
      <c r="E64" s="8">
        <v>1320</v>
      </c>
      <c r="F64" s="8">
        <v>27599880</v>
      </c>
      <c r="G64" s="8">
        <v>0</v>
      </c>
      <c r="H64" s="8">
        <v>0</v>
      </c>
      <c r="I64" s="8">
        <v>1560</v>
      </c>
      <c r="J64" s="8">
        <v>31866593</v>
      </c>
    </row>
    <row r="65" spans="1:10" x14ac:dyDescent="0.2">
      <c r="A65" s="6" t="s">
        <v>73</v>
      </c>
      <c r="B65" s="6">
        <v>2</v>
      </c>
      <c r="C65" s="8">
        <v>360</v>
      </c>
      <c r="D65" s="8">
        <v>11127240</v>
      </c>
      <c r="E65" s="8">
        <v>1200</v>
      </c>
      <c r="F65" s="8">
        <v>37090800</v>
      </c>
      <c r="G65" s="8">
        <v>0</v>
      </c>
      <c r="H65" s="8">
        <v>0</v>
      </c>
      <c r="I65" s="8">
        <v>1560</v>
      </c>
      <c r="J65" s="8">
        <v>48218040</v>
      </c>
    </row>
    <row r="66" spans="1:10" x14ac:dyDescent="0.2">
      <c r="A66" s="6" t="s">
        <v>74</v>
      </c>
      <c r="B66" s="6">
        <v>2</v>
      </c>
      <c r="C66" s="8">
        <v>1080</v>
      </c>
      <c r="D66" s="8">
        <v>13161096</v>
      </c>
      <c r="E66" s="8">
        <v>2160</v>
      </c>
      <c r="F66" s="8">
        <v>29453760</v>
      </c>
      <c r="G66" s="8">
        <v>0</v>
      </c>
      <c r="H66" s="8">
        <v>0</v>
      </c>
      <c r="I66" s="8">
        <v>3240</v>
      </c>
      <c r="J66" s="8">
        <v>42614856</v>
      </c>
    </row>
    <row r="67" spans="1:10" x14ac:dyDescent="0.2">
      <c r="A67" s="6" t="s">
        <v>75</v>
      </c>
      <c r="B67" s="6">
        <v>2</v>
      </c>
      <c r="C67" s="8">
        <v>0</v>
      </c>
      <c r="D67" s="8">
        <v>0</v>
      </c>
      <c r="E67" s="8">
        <v>1600</v>
      </c>
      <c r="F67" s="8">
        <v>537600</v>
      </c>
      <c r="G67" s="8">
        <v>0</v>
      </c>
      <c r="H67" s="8">
        <v>0</v>
      </c>
      <c r="I67" s="8">
        <v>1600</v>
      </c>
      <c r="J67" s="8">
        <v>537600</v>
      </c>
    </row>
    <row r="68" spans="1:10" x14ac:dyDescent="0.2">
      <c r="A68" s="6" t="s">
        <v>76</v>
      </c>
      <c r="B68" s="6">
        <v>2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</row>
    <row r="69" spans="1:10" x14ac:dyDescent="0.2">
      <c r="A69" s="6" t="s">
        <v>77</v>
      </c>
      <c r="B69" s="6">
        <v>2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</row>
    <row r="70" spans="1:10" x14ac:dyDescent="0.2">
      <c r="A70" s="6" t="s">
        <v>78</v>
      </c>
      <c r="B70" s="6">
        <v>2</v>
      </c>
      <c r="C70" s="8">
        <v>1200</v>
      </c>
      <c r="D70" s="8">
        <v>11926100</v>
      </c>
      <c r="E70" s="8">
        <v>2160</v>
      </c>
      <c r="F70" s="8">
        <v>21600000</v>
      </c>
      <c r="G70" s="8">
        <v>1464</v>
      </c>
      <c r="H70" s="8">
        <v>14607801</v>
      </c>
      <c r="I70" s="8">
        <v>1896</v>
      </c>
      <c r="J70" s="8">
        <v>18918299</v>
      </c>
    </row>
    <row r="71" spans="1:10" x14ac:dyDescent="0.2">
      <c r="A71" s="6" t="s">
        <v>79</v>
      </c>
      <c r="B71" s="6">
        <v>2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</row>
    <row r="72" spans="1:10" x14ac:dyDescent="0.2">
      <c r="A72" s="6" t="s">
        <v>80</v>
      </c>
      <c r="B72" s="6">
        <v>2</v>
      </c>
      <c r="C72" s="8">
        <v>108</v>
      </c>
      <c r="D72" s="8">
        <v>1288138</v>
      </c>
      <c r="E72" s="8">
        <v>0</v>
      </c>
      <c r="F72" s="8">
        <v>0</v>
      </c>
      <c r="G72" s="8">
        <v>0</v>
      </c>
      <c r="H72" s="8">
        <v>0</v>
      </c>
      <c r="I72" s="8">
        <v>108</v>
      </c>
      <c r="J72" s="8">
        <v>1288138</v>
      </c>
    </row>
    <row r="73" spans="1:10" x14ac:dyDescent="0.2">
      <c r="A73" s="6" t="s">
        <v>81</v>
      </c>
      <c r="B73" s="6">
        <v>2</v>
      </c>
      <c r="C73" s="8">
        <v>540</v>
      </c>
      <c r="D73" s="8">
        <v>7854300</v>
      </c>
      <c r="E73" s="8">
        <v>180</v>
      </c>
      <c r="F73" s="8">
        <v>2618100</v>
      </c>
      <c r="G73" s="8">
        <v>0</v>
      </c>
      <c r="H73" s="8">
        <v>0</v>
      </c>
      <c r="I73" s="8">
        <v>720</v>
      </c>
      <c r="J73" s="8">
        <v>10472400</v>
      </c>
    </row>
    <row r="74" spans="1:10" x14ac:dyDescent="0.2">
      <c r="A74" s="6" t="s">
        <v>82</v>
      </c>
      <c r="B74" s="6">
        <v>2</v>
      </c>
      <c r="C74" s="8">
        <v>720</v>
      </c>
      <c r="D74" s="8">
        <v>5105520</v>
      </c>
      <c r="E74" s="8">
        <v>1800</v>
      </c>
      <c r="F74" s="8">
        <v>12763800</v>
      </c>
      <c r="G74" s="8">
        <v>360</v>
      </c>
      <c r="H74" s="8">
        <v>2552760</v>
      </c>
      <c r="I74" s="8">
        <v>2160</v>
      </c>
      <c r="J74" s="8">
        <v>15316560</v>
      </c>
    </row>
    <row r="75" spans="1:10" x14ac:dyDescent="0.2">
      <c r="A75" s="6" t="s">
        <v>83</v>
      </c>
      <c r="B75" s="6">
        <v>2</v>
      </c>
      <c r="C75" s="8">
        <v>0</v>
      </c>
      <c r="D75" s="8">
        <v>0</v>
      </c>
      <c r="E75" s="8">
        <v>1584</v>
      </c>
      <c r="F75" s="8">
        <v>11520432</v>
      </c>
      <c r="G75" s="8">
        <v>0</v>
      </c>
      <c r="H75" s="8">
        <v>0</v>
      </c>
      <c r="I75" s="8">
        <v>1584</v>
      </c>
      <c r="J75" s="8">
        <v>11520432</v>
      </c>
    </row>
    <row r="76" spans="1:10" x14ac:dyDescent="0.2">
      <c r="A76" s="6" t="s">
        <v>84</v>
      </c>
      <c r="B76" s="6">
        <v>2</v>
      </c>
      <c r="C76" s="8">
        <v>11520</v>
      </c>
      <c r="D76" s="8">
        <v>330287445</v>
      </c>
      <c r="E76" s="8">
        <v>4560</v>
      </c>
      <c r="F76" s="8">
        <v>130580160</v>
      </c>
      <c r="G76" s="8">
        <v>7440</v>
      </c>
      <c r="H76" s="8">
        <v>213237250</v>
      </c>
      <c r="I76" s="8">
        <v>8640</v>
      </c>
      <c r="J76" s="8">
        <v>247630355</v>
      </c>
    </row>
    <row r="77" spans="1:10" x14ac:dyDescent="0.2">
      <c r="A77" s="6" t="s">
        <v>85</v>
      </c>
      <c r="B77" s="6">
        <v>2</v>
      </c>
      <c r="C77" s="8">
        <v>7200</v>
      </c>
      <c r="D77" s="8">
        <v>63489600</v>
      </c>
      <c r="E77" s="8">
        <v>8640</v>
      </c>
      <c r="F77" s="8">
        <v>76187520</v>
      </c>
      <c r="G77" s="8">
        <v>6120</v>
      </c>
      <c r="H77" s="8">
        <v>53966160</v>
      </c>
      <c r="I77" s="8">
        <v>9720</v>
      </c>
      <c r="J77" s="8">
        <v>85710960</v>
      </c>
    </row>
    <row r="78" spans="1:10" x14ac:dyDescent="0.2">
      <c r="A78" s="6" t="s">
        <v>86</v>
      </c>
      <c r="B78" s="6">
        <v>2</v>
      </c>
      <c r="C78" s="8">
        <v>28080</v>
      </c>
      <c r="D78" s="8">
        <v>199986565</v>
      </c>
      <c r="E78" s="8">
        <v>26640</v>
      </c>
      <c r="F78" s="8">
        <v>188904240</v>
      </c>
      <c r="G78" s="8">
        <v>26640</v>
      </c>
      <c r="H78" s="8">
        <v>189328418</v>
      </c>
      <c r="I78" s="8">
        <v>28080</v>
      </c>
      <c r="J78" s="8">
        <v>199562387</v>
      </c>
    </row>
    <row r="79" spans="1:10" x14ac:dyDescent="0.2">
      <c r="A79" s="6" t="s">
        <v>87</v>
      </c>
      <c r="B79" s="6">
        <v>2</v>
      </c>
      <c r="C79" s="8">
        <v>7020</v>
      </c>
      <c r="D79" s="8">
        <v>118047449</v>
      </c>
      <c r="E79" s="8">
        <v>6840</v>
      </c>
      <c r="F79" s="8">
        <v>115035120</v>
      </c>
      <c r="G79" s="8">
        <v>10620</v>
      </c>
      <c r="H79" s="8">
        <v>178595735</v>
      </c>
      <c r="I79" s="8">
        <v>3240</v>
      </c>
      <c r="J79" s="8">
        <v>54486834</v>
      </c>
    </row>
    <row r="80" spans="1:10" x14ac:dyDescent="0.2">
      <c r="A80" s="6" t="s">
        <v>88</v>
      </c>
      <c r="B80" s="6">
        <v>2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</row>
    <row r="81" spans="1:10" x14ac:dyDescent="0.2">
      <c r="A81" s="6" t="s">
        <v>89</v>
      </c>
      <c r="B81" s="6">
        <v>2</v>
      </c>
      <c r="C81" s="8">
        <v>0</v>
      </c>
      <c r="D81" s="8">
        <v>0</v>
      </c>
      <c r="E81" s="8">
        <v>300</v>
      </c>
      <c r="F81" s="8">
        <v>6818100</v>
      </c>
      <c r="G81" s="8">
        <v>0</v>
      </c>
      <c r="H81" s="8">
        <v>0</v>
      </c>
      <c r="I81" s="8">
        <v>300</v>
      </c>
      <c r="J81" s="8">
        <v>6818100</v>
      </c>
    </row>
    <row r="82" spans="1:10" x14ac:dyDescent="0.2">
      <c r="A82" s="6" t="s">
        <v>90</v>
      </c>
      <c r="B82" s="6">
        <v>2</v>
      </c>
      <c r="C82" s="8">
        <v>2280</v>
      </c>
      <c r="D82" s="8">
        <v>113575952</v>
      </c>
      <c r="E82" s="8">
        <v>1560</v>
      </c>
      <c r="F82" s="8">
        <v>78000000</v>
      </c>
      <c r="G82" s="8">
        <v>1080</v>
      </c>
      <c r="H82" s="8">
        <v>53880737</v>
      </c>
      <c r="I82" s="8">
        <v>2760</v>
      </c>
      <c r="J82" s="8">
        <v>137695215</v>
      </c>
    </row>
    <row r="83" spans="1:10" x14ac:dyDescent="0.2">
      <c r="A83" s="6" t="s">
        <v>91</v>
      </c>
      <c r="B83" s="6">
        <v>2</v>
      </c>
      <c r="C83" s="8">
        <v>7200</v>
      </c>
      <c r="D83" s="8">
        <v>63597019</v>
      </c>
      <c r="E83" s="8">
        <v>7200</v>
      </c>
      <c r="F83" s="8">
        <v>63489600</v>
      </c>
      <c r="G83" s="8">
        <v>11280</v>
      </c>
      <c r="H83" s="8">
        <v>99551185</v>
      </c>
      <c r="I83" s="8">
        <v>3120</v>
      </c>
      <c r="J83" s="8">
        <v>27535434</v>
      </c>
    </row>
    <row r="84" spans="1:10" x14ac:dyDescent="0.2">
      <c r="A84" s="6" t="s">
        <v>92</v>
      </c>
      <c r="B84" s="6">
        <v>2</v>
      </c>
      <c r="C84" s="8">
        <v>8000</v>
      </c>
      <c r="D84" s="8">
        <v>3856000</v>
      </c>
      <c r="E84" s="8">
        <v>16000</v>
      </c>
      <c r="F84" s="8">
        <v>7712000</v>
      </c>
      <c r="G84" s="8">
        <v>0</v>
      </c>
      <c r="H84" s="8">
        <v>0</v>
      </c>
      <c r="I84" s="8">
        <v>24000</v>
      </c>
      <c r="J84" s="8">
        <v>11568000</v>
      </c>
    </row>
    <row r="85" spans="1:10" x14ac:dyDescent="0.2">
      <c r="A85" s="6" t="s">
        <v>93</v>
      </c>
      <c r="B85" s="6">
        <v>2</v>
      </c>
      <c r="C85" s="8">
        <v>90</v>
      </c>
      <c r="D85" s="8">
        <v>4500000</v>
      </c>
      <c r="E85" s="8">
        <v>90</v>
      </c>
      <c r="F85" s="8">
        <v>4500000</v>
      </c>
      <c r="G85" s="8">
        <v>30</v>
      </c>
      <c r="H85" s="8">
        <v>1500000</v>
      </c>
      <c r="I85" s="8">
        <v>150</v>
      </c>
      <c r="J85" s="8">
        <v>7500000</v>
      </c>
    </row>
    <row r="86" spans="1:10" x14ac:dyDescent="0.2">
      <c r="A86" s="6" t="s">
        <v>94</v>
      </c>
      <c r="B86" s="6">
        <v>2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</row>
    <row r="87" spans="1:10" x14ac:dyDescent="0.2">
      <c r="A87" s="6" t="s">
        <v>95</v>
      </c>
      <c r="B87" s="6">
        <v>2</v>
      </c>
      <c r="C87" s="8">
        <v>180</v>
      </c>
      <c r="D87" s="8">
        <v>1440000</v>
      </c>
      <c r="E87" s="8">
        <v>360</v>
      </c>
      <c r="F87" s="8">
        <v>2880000</v>
      </c>
      <c r="G87" s="8">
        <v>0</v>
      </c>
      <c r="H87" s="8">
        <v>0</v>
      </c>
      <c r="I87" s="8">
        <v>540</v>
      </c>
      <c r="J87" s="8">
        <v>4320000</v>
      </c>
    </row>
    <row r="88" spans="1:10" x14ac:dyDescent="0.2">
      <c r="A88" s="6" t="s">
        <v>96</v>
      </c>
      <c r="B88" s="6">
        <v>2</v>
      </c>
      <c r="C88" s="8">
        <v>30</v>
      </c>
      <c r="D88" s="8">
        <v>3151934</v>
      </c>
      <c r="E88" s="8">
        <v>120</v>
      </c>
      <c r="F88" s="8">
        <v>12872760</v>
      </c>
      <c r="G88" s="8">
        <v>0</v>
      </c>
      <c r="H88" s="8">
        <v>0</v>
      </c>
      <c r="I88" s="8">
        <v>150</v>
      </c>
      <c r="J88" s="8">
        <v>16024694</v>
      </c>
    </row>
    <row r="89" spans="1:10" x14ac:dyDescent="0.2">
      <c r="A89" s="6" t="s">
        <v>97</v>
      </c>
      <c r="B89" s="6">
        <v>2</v>
      </c>
      <c r="C89" s="8">
        <v>20000</v>
      </c>
      <c r="D89" s="8">
        <v>9640000</v>
      </c>
      <c r="E89" s="8">
        <v>8000</v>
      </c>
      <c r="F89" s="8">
        <v>3856000</v>
      </c>
      <c r="G89" s="8">
        <v>8800</v>
      </c>
      <c r="H89" s="8">
        <v>4241600</v>
      </c>
      <c r="I89" s="8">
        <v>19200</v>
      </c>
      <c r="J89" s="8">
        <v>9254400</v>
      </c>
    </row>
    <row r="90" spans="1:10" x14ac:dyDescent="0.2">
      <c r="A90" s="6" t="s">
        <v>98</v>
      </c>
      <c r="B90" s="6">
        <v>2</v>
      </c>
      <c r="C90" s="8">
        <v>240</v>
      </c>
      <c r="D90" s="8">
        <v>2334480</v>
      </c>
      <c r="E90" s="8">
        <v>1440</v>
      </c>
      <c r="F90" s="8">
        <v>14006880</v>
      </c>
      <c r="G90" s="8">
        <v>0</v>
      </c>
      <c r="H90" s="8">
        <v>0</v>
      </c>
      <c r="I90" s="8">
        <v>1680</v>
      </c>
      <c r="J90" s="8">
        <v>16341360</v>
      </c>
    </row>
    <row r="91" spans="1:10" x14ac:dyDescent="0.2">
      <c r="A91" s="6" t="s">
        <v>99</v>
      </c>
      <c r="B91" s="6">
        <v>2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</row>
    <row r="92" spans="1:10" x14ac:dyDescent="0.2">
      <c r="A92" s="6" t="s">
        <v>100</v>
      </c>
      <c r="B92" s="6">
        <v>2</v>
      </c>
      <c r="C92" s="8">
        <v>2220</v>
      </c>
      <c r="D92" s="8">
        <v>110066484</v>
      </c>
      <c r="E92" s="8">
        <v>1260</v>
      </c>
      <c r="F92" s="8">
        <v>62426700</v>
      </c>
      <c r="G92" s="8">
        <v>1080</v>
      </c>
      <c r="H92" s="8">
        <v>53532367</v>
      </c>
      <c r="I92" s="8">
        <v>2400</v>
      </c>
      <c r="J92" s="8">
        <v>118960817</v>
      </c>
    </row>
    <row r="93" spans="1:10" x14ac:dyDescent="0.2">
      <c r="A93" s="6" t="s">
        <v>101</v>
      </c>
      <c r="B93" s="6">
        <v>2</v>
      </c>
      <c r="C93" s="8">
        <v>7200</v>
      </c>
      <c r="D93" s="8">
        <v>63610435</v>
      </c>
      <c r="E93" s="8">
        <v>6960</v>
      </c>
      <c r="F93" s="8">
        <v>61373280</v>
      </c>
      <c r="G93" s="8">
        <v>11424</v>
      </c>
      <c r="H93" s="8">
        <v>100834319</v>
      </c>
      <c r="I93" s="8">
        <v>2736</v>
      </c>
      <c r="J93" s="8">
        <v>24149396</v>
      </c>
    </row>
    <row r="94" spans="1:10" x14ac:dyDescent="0.2">
      <c r="A94" s="6" t="s">
        <v>102</v>
      </c>
      <c r="B94" s="6">
        <v>2</v>
      </c>
      <c r="C94" s="8">
        <v>360</v>
      </c>
      <c r="D94" s="8">
        <v>8183362</v>
      </c>
      <c r="E94" s="8">
        <v>720</v>
      </c>
      <c r="F94" s="8">
        <v>16363440</v>
      </c>
      <c r="G94" s="8">
        <v>24</v>
      </c>
      <c r="H94" s="8">
        <v>545485</v>
      </c>
      <c r="I94" s="8">
        <v>1056</v>
      </c>
      <c r="J94" s="8">
        <v>24001317</v>
      </c>
    </row>
    <row r="95" spans="1:10" x14ac:dyDescent="0.2">
      <c r="A95" s="6" t="s">
        <v>103</v>
      </c>
      <c r="B95" s="6">
        <v>2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</row>
    <row r="96" spans="1:10" x14ac:dyDescent="0.2">
      <c r="A96" s="6" t="s">
        <v>104</v>
      </c>
      <c r="B96" s="6">
        <v>2</v>
      </c>
      <c r="C96" s="8">
        <v>72</v>
      </c>
      <c r="D96" s="8">
        <v>1309104</v>
      </c>
      <c r="E96" s="8">
        <v>120</v>
      </c>
      <c r="F96" s="8">
        <v>2181840</v>
      </c>
      <c r="G96" s="8">
        <v>0</v>
      </c>
      <c r="H96" s="8">
        <v>0</v>
      </c>
      <c r="I96" s="8">
        <v>192</v>
      </c>
      <c r="J96" s="8">
        <v>3490944</v>
      </c>
    </row>
    <row r="97" spans="1:10" x14ac:dyDescent="0.2">
      <c r="A97" s="6" t="s">
        <v>105</v>
      </c>
      <c r="B97" s="6">
        <v>2</v>
      </c>
      <c r="C97" s="8">
        <v>60</v>
      </c>
      <c r="D97" s="8">
        <v>2961180</v>
      </c>
      <c r="E97" s="8">
        <v>60</v>
      </c>
      <c r="F97" s="8">
        <v>3000000</v>
      </c>
      <c r="G97" s="8">
        <v>0</v>
      </c>
      <c r="H97" s="8">
        <v>0</v>
      </c>
      <c r="I97" s="8">
        <v>120</v>
      </c>
      <c r="J97" s="8">
        <v>5961180</v>
      </c>
    </row>
    <row r="98" spans="1:10" x14ac:dyDescent="0.2">
      <c r="A98" s="6" t="s">
        <v>106</v>
      </c>
      <c r="B98" s="6">
        <v>2</v>
      </c>
      <c r="C98" s="8">
        <v>120</v>
      </c>
      <c r="D98" s="8">
        <v>1058160</v>
      </c>
      <c r="E98" s="8">
        <v>240</v>
      </c>
      <c r="F98" s="8">
        <v>2116320</v>
      </c>
      <c r="G98" s="8">
        <v>0</v>
      </c>
      <c r="H98" s="8">
        <v>0</v>
      </c>
      <c r="I98" s="8">
        <v>360</v>
      </c>
      <c r="J98" s="8">
        <v>3174480</v>
      </c>
    </row>
    <row r="99" spans="1:10" x14ac:dyDescent="0.2">
      <c r="A99" s="6" t="s">
        <v>107</v>
      </c>
      <c r="B99" s="6">
        <v>2</v>
      </c>
      <c r="C99" s="8">
        <v>0</v>
      </c>
      <c r="D99" s="8">
        <v>0</v>
      </c>
      <c r="E99" s="8">
        <v>180</v>
      </c>
      <c r="F99" s="8">
        <v>1341900</v>
      </c>
      <c r="G99" s="8">
        <v>0</v>
      </c>
      <c r="H99" s="8">
        <v>0</v>
      </c>
      <c r="I99" s="8">
        <v>180</v>
      </c>
      <c r="J99" s="8">
        <v>1341900</v>
      </c>
    </row>
    <row r="100" spans="1:10" x14ac:dyDescent="0.2">
      <c r="A100" s="6" t="s">
        <v>108</v>
      </c>
      <c r="B100" s="6">
        <v>2</v>
      </c>
      <c r="C100" s="8">
        <v>14400</v>
      </c>
      <c r="D100" s="8">
        <v>94516364</v>
      </c>
      <c r="E100" s="8">
        <v>14400</v>
      </c>
      <c r="F100" s="8">
        <v>94248000</v>
      </c>
      <c r="G100" s="8">
        <v>16740</v>
      </c>
      <c r="H100" s="8">
        <v>109719287</v>
      </c>
      <c r="I100" s="8">
        <v>12060</v>
      </c>
      <c r="J100" s="8">
        <v>79045077</v>
      </c>
    </row>
    <row r="101" spans="1:10" x14ac:dyDescent="0.2">
      <c r="A101" s="6" t="s">
        <v>109</v>
      </c>
      <c r="B101" s="6">
        <v>2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</row>
    <row r="102" spans="1:10" x14ac:dyDescent="0.2">
      <c r="A102" s="6" t="s">
        <v>110</v>
      </c>
      <c r="B102" s="6">
        <v>2</v>
      </c>
      <c r="C102" s="8">
        <v>720</v>
      </c>
      <c r="D102" s="8">
        <v>11954760</v>
      </c>
      <c r="E102" s="8">
        <v>288</v>
      </c>
      <c r="F102" s="8">
        <v>4843584</v>
      </c>
      <c r="G102" s="8">
        <v>180</v>
      </c>
      <c r="H102" s="8">
        <v>2999704</v>
      </c>
      <c r="I102" s="8">
        <v>828</v>
      </c>
      <c r="J102" s="8">
        <v>13798640</v>
      </c>
    </row>
    <row r="103" spans="1:10" x14ac:dyDescent="0.2">
      <c r="A103" s="6" t="s">
        <v>111</v>
      </c>
      <c r="B103" s="6">
        <v>2</v>
      </c>
      <c r="C103" s="8">
        <v>4800</v>
      </c>
      <c r="D103" s="8">
        <v>37526400</v>
      </c>
      <c r="E103" s="8">
        <v>6000</v>
      </c>
      <c r="F103" s="8">
        <v>46908000</v>
      </c>
      <c r="G103" s="8">
        <v>8040</v>
      </c>
      <c r="H103" s="8">
        <v>62856720</v>
      </c>
      <c r="I103" s="8">
        <v>2760</v>
      </c>
      <c r="J103" s="8">
        <v>21577680</v>
      </c>
    </row>
    <row r="104" spans="1:10" x14ac:dyDescent="0.2">
      <c r="A104" s="6" t="s">
        <v>112</v>
      </c>
      <c r="B104" s="6">
        <v>2</v>
      </c>
      <c r="C104" s="8">
        <v>1200</v>
      </c>
      <c r="D104" s="8">
        <v>9381600</v>
      </c>
      <c r="E104" s="8">
        <v>600</v>
      </c>
      <c r="F104" s="8">
        <v>4690800</v>
      </c>
      <c r="G104" s="8">
        <v>720</v>
      </c>
      <c r="H104" s="8">
        <v>5628960</v>
      </c>
      <c r="I104" s="8">
        <v>1080</v>
      </c>
      <c r="J104" s="8">
        <v>8443440</v>
      </c>
    </row>
    <row r="105" spans="1:10" x14ac:dyDescent="0.2">
      <c r="A105" s="6" t="s">
        <v>113</v>
      </c>
      <c r="B105" s="6">
        <v>2</v>
      </c>
      <c r="C105" s="8">
        <v>0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</row>
    <row r="106" spans="1:10" x14ac:dyDescent="0.2">
      <c r="A106" s="6" t="s">
        <v>114</v>
      </c>
      <c r="B106" s="6">
        <v>2</v>
      </c>
      <c r="C106" s="8">
        <v>72</v>
      </c>
      <c r="D106" s="8">
        <v>1309104</v>
      </c>
      <c r="E106" s="8">
        <v>120</v>
      </c>
      <c r="F106" s="8">
        <v>2181840</v>
      </c>
      <c r="G106" s="8">
        <v>72</v>
      </c>
      <c r="H106" s="8">
        <v>1309104</v>
      </c>
      <c r="I106" s="8">
        <v>120</v>
      </c>
      <c r="J106" s="8">
        <v>2181840</v>
      </c>
    </row>
    <row r="107" spans="1:10" x14ac:dyDescent="0.2">
      <c r="A107" s="6" t="s">
        <v>115</v>
      </c>
      <c r="B107" s="6">
        <v>2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</row>
    <row r="108" spans="1:10" x14ac:dyDescent="0.2">
      <c r="A108" s="6" t="s">
        <v>116</v>
      </c>
      <c r="B108" s="6">
        <v>2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</row>
    <row r="109" spans="1:10" x14ac:dyDescent="0.2">
      <c r="A109" s="6" t="s">
        <v>117</v>
      </c>
      <c r="B109" s="6">
        <v>2</v>
      </c>
      <c r="C109" s="8">
        <v>0</v>
      </c>
      <c r="D109" s="8">
        <v>0</v>
      </c>
      <c r="E109" s="8">
        <v>72</v>
      </c>
      <c r="F109" s="8">
        <v>1178208</v>
      </c>
      <c r="G109" s="8">
        <v>0</v>
      </c>
      <c r="H109" s="8">
        <v>0</v>
      </c>
      <c r="I109" s="8">
        <v>72</v>
      </c>
      <c r="J109" s="8">
        <v>1178208</v>
      </c>
    </row>
    <row r="110" spans="1:10" x14ac:dyDescent="0.2">
      <c r="A110" s="6" t="s">
        <v>118</v>
      </c>
      <c r="B110" s="6">
        <v>2</v>
      </c>
      <c r="C110" s="8">
        <v>0</v>
      </c>
      <c r="D110" s="8">
        <v>0</v>
      </c>
      <c r="E110" s="8">
        <v>180</v>
      </c>
      <c r="F110" s="8">
        <v>7118100</v>
      </c>
      <c r="G110" s="8">
        <v>0</v>
      </c>
      <c r="H110" s="8">
        <v>0</v>
      </c>
      <c r="I110" s="8">
        <v>180</v>
      </c>
      <c r="J110" s="8">
        <v>7118100</v>
      </c>
    </row>
    <row r="111" spans="1:10" x14ac:dyDescent="0.2">
      <c r="A111" s="6" t="s">
        <v>119</v>
      </c>
      <c r="B111" s="6">
        <v>2</v>
      </c>
      <c r="C111" s="8">
        <v>0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</row>
    <row r="112" spans="1:10" x14ac:dyDescent="0.2">
      <c r="A112" s="6" t="s">
        <v>120</v>
      </c>
      <c r="B112" s="6">
        <v>2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</row>
    <row r="113" spans="1:10" x14ac:dyDescent="0.2">
      <c r="A113" s="6" t="s">
        <v>121</v>
      </c>
      <c r="B113" s="6">
        <v>2</v>
      </c>
      <c r="C113" s="8">
        <v>6000</v>
      </c>
      <c r="D113" s="8">
        <v>65305585</v>
      </c>
      <c r="E113" s="8">
        <v>5040</v>
      </c>
      <c r="F113" s="8">
        <v>54981360</v>
      </c>
      <c r="G113" s="8">
        <v>9240</v>
      </c>
      <c r="H113" s="8">
        <v>100674943</v>
      </c>
      <c r="I113" s="8">
        <v>1800</v>
      </c>
      <c r="J113" s="8">
        <v>19612002</v>
      </c>
    </row>
    <row r="114" spans="1:10" x14ac:dyDescent="0.2">
      <c r="A114" s="6" t="s">
        <v>122</v>
      </c>
      <c r="B114" s="6">
        <v>2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</row>
    <row r="115" spans="1:10" x14ac:dyDescent="0.2">
      <c r="A115" s="6" t="s">
        <v>123</v>
      </c>
      <c r="B115" s="6">
        <v>2</v>
      </c>
      <c r="C115" s="8">
        <v>0</v>
      </c>
      <c r="D115" s="8">
        <v>0</v>
      </c>
      <c r="E115" s="8">
        <v>144</v>
      </c>
      <c r="F115" s="8">
        <v>2421792</v>
      </c>
      <c r="G115" s="8">
        <v>0</v>
      </c>
      <c r="H115" s="8">
        <v>0</v>
      </c>
      <c r="I115" s="8">
        <v>144</v>
      </c>
      <c r="J115" s="8">
        <v>2421792</v>
      </c>
    </row>
    <row r="116" spans="1:10" x14ac:dyDescent="0.2">
      <c r="A116" s="6" t="s">
        <v>124</v>
      </c>
      <c r="B116" s="6">
        <v>2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</row>
    <row r="117" spans="1:10" x14ac:dyDescent="0.2">
      <c r="A117" s="6" t="s">
        <v>125</v>
      </c>
      <c r="B117" s="6">
        <v>2</v>
      </c>
      <c r="C117" s="8">
        <v>300</v>
      </c>
      <c r="D117" s="8">
        <v>12464750</v>
      </c>
      <c r="E117" s="8">
        <v>600</v>
      </c>
      <c r="F117" s="8">
        <v>25090800</v>
      </c>
      <c r="G117" s="8">
        <v>288</v>
      </c>
      <c r="H117" s="8">
        <v>12017776</v>
      </c>
      <c r="I117" s="8">
        <v>612</v>
      </c>
      <c r="J117" s="8">
        <v>25537774</v>
      </c>
    </row>
    <row r="118" spans="1:10" x14ac:dyDescent="0.2">
      <c r="A118" s="6" t="s">
        <v>126</v>
      </c>
      <c r="B118" s="6">
        <v>2</v>
      </c>
      <c r="C118" s="8">
        <v>8400</v>
      </c>
      <c r="D118" s="8">
        <v>49531177</v>
      </c>
      <c r="E118" s="8">
        <v>24000</v>
      </c>
      <c r="F118" s="8">
        <v>137448000</v>
      </c>
      <c r="G118" s="8">
        <v>25300</v>
      </c>
      <c r="H118" s="8">
        <v>146005345</v>
      </c>
      <c r="I118" s="8">
        <v>7100</v>
      </c>
      <c r="J118" s="8">
        <v>40973832</v>
      </c>
    </row>
    <row r="119" spans="1:10" x14ac:dyDescent="0.2">
      <c r="A119" s="6" t="s">
        <v>127</v>
      </c>
      <c r="B119" s="6">
        <v>2</v>
      </c>
      <c r="C119" s="8">
        <v>1200</v>
      </c>
      <c r="D119" s="8">
        <v>6872400</v>
      </c>
      <c r="E119" s="8">
        <v>600</v>
      </c>
      <c r="F119" s="8">
        <v>3436200</v>
      </c>
      <c r="G119" s="8">
        <v>240</v>
      </c>
      <c r="H119" s="8">
        <v>1374480</v>
      </c>
      <c r="I119" s="8">
        <v>1560</v>
      </c>
      <c r="J119" s="8">
        <v>8934120</v>
      </c>
    </row>
    <row r="120" spans="1:10" x14ac:dyDescent="0.2">
      <c r="A120" s="6" t="s">
        <v>128</v>
      </c>
      <c r="B120" s="6">
        <v>2</v>
      </c>
      <c r="C120" s="8">
        <v>0</v>
      </c>
      <c r="D120" s="8">
        <v>0</v>
      </c>
      <c r="E120" s="8">
        <v>200</v>
      </c>
      <c r="F120" s="8">
        <v>3000000</v>
      </c>
      <c r="G120" s="8">
        <v>0</v>
      </c>
      <c r="H120" s="8">
        <v>0</v>
      </c>
      <c r="I120" s="8">
        <v>200</v>
      </c>
      <c r="J120" s="8">
        <v>3000000</v>
      </c>
    </row>
    <row r="121" spans="1:10" x14ac:dyDescent="0.2">
      <c r="A121" s="6" t="s">
        <v>129</v>
      </c>
      <c r="B121" s="6">
        <v>2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</row>
    <row r="122" spans="1:10" x14ac:dyDescent="0.2">
      <c r="A122" s="6" t="s">
        <v>130</v>
      </c>
      <c r="B122" s="6">
        <v>2</v>
      </c>
      <c r="C122" s="8">
        <v>6</v>
      </c>
      <c r="D122" s="8">
        <v>280908</v>
      </c>
      <c r="E122" s="8">
        <v>48</v>
      </c>
      <c r="F122" s="8">
        <v>2247264</v>
      </c>
      <c r="G122" s="8">
        <v>0</v>
      </c>
      <c r="H122" s="8">
        <v>0</v>
      </c>
      <c r="I122" s="8">
        <v>54</v>
      </c>
      <c r="J122" s="8">
        <v>2528172</v>
      </c>
    </row>
    <row r="123" spans="1:10" x14ac:dyDescent="0.2">
      <c r="A123" s="6" t="s">
        <v>131</v>
      </c>
      <c r="B123" s="6">
        <v>2</v>
      </c>
      <c r="C123" s="8">
        <v>33</v>
      </c>
      <c r="D123" s="8">
        <v>1620003</v>
      </c>
      <c r="E123" s="8">
        <v>16</v>
      </c>
      <c r="F123" s="8">
        <v>785456</v>
      </c>
      <c r="G123" s="8">
        <v>0</v>
      </c>
      <c r="H123" s="8">
        <v>0</v>
      </c>
      <c r="I123" s="8">
        <v>49</v>
      </c>
      <c r="J123" s="8">
        <v>2405459</v>
      </c>
    </row>
    <row r="124" spans="1:10" x14ac:dyDescent="0.2">
      <c r="A124" s="6" t="s">
        <v>132</v>
      </c>
      <c r="B124" s="6">
        <v>2</v>
      </c>
      <c r="C124" s="8">
        <v>100</v>
      </c>
      <c r="D124" s="8">
        <v>4363600</v>
      </c>
      <c r="E124" s="8">
        <v>160</v>
      </c>
      <c r="F124" s="8">
        <v>6981760</v>
      </c>
      <c r="G124" s="8">
        <v>0</v>
      </c>
      <c r="H124" s="8">
        <v>0</v>
      </c>
      <c r="I124" s="8">
        <v>260</v>
      </c>
      <c r="J124" s="8">
        <v>11345360</v>
      </c>
    </row>
    <row r="125" spans="1:10" x14ac:dyDescent="0.2">
      <c r="A125" s="6" t="s">
        <v>133</v>
      </c>
      <c r="B125" s="6">
        <v>2</v>
      </c>
      <c r="C125" s="8">
        <v>0</v>
      </c>
      <c r="D125" s="8">
        <v>0</v>
      </c>
      <c r="E125" s="8">
        <v>101</v>
      </c>
      <c r="F125" s="8">
        <v>3764573</v>
      </c>
      <c r="G125" s="8">
        <v>0</v>
      </c>
      <c r="H125" s="8">
        <v>0</v>
      </c>
      <c r="I125" s="8">
        <v>101</v>
      </c>
      <c r="J125" s="8">
        <v>3764573</v>
      </c>
    </row>
    <row r="126" spans="1:10" x14ac:dyDescent="0.2">
      <c r="A126" s="6" t="s">
        <v>134</v>
      </c>
      <c r="B126" s="6">
        <v>2</v>
      </c>
      <c r="C126" s="8">
        <v>8</v>
      </c>
      <c r="D126" s="8">
        <v>229088</v>
      </c>
      <c r="E126" s="8">
        <v>15</v>
      </c>
      <c r="F126" s="8">
        <v>429540</v>
      </c>
      <c r="G126" s="8">
        <v>0</v>
      </c>
      <c r="H126" s="8">
        <v>0</v>
      </c>
      <c r="I126" s="8">
        <v>23</v>
      </c>
      <c r="J126" s="8">
        <v>658628</v>
      </c>
    </row>
    <row r="127" spans="1:10" x14ac:dyDescent="0.2">
      <c r="A127" s="6" t="s">
        <v>135</v>
      </c>
      <c r="B127" s="6">
        <v>2</v>
      </c>
      <c r="C127" s="8">
        <v>780</v>
      </c>
      <c r="D127" s="8">
        <v>143114688</v>
      </c>
      <c r="E127" s="8">
        <v>200</v>
      </c>
      <c r="F127" s="8">
        <v>36743600</v>
      </c>
      <c r="G127" s="8">
        <v>50</v>
      </c>
      <c r="H127" s="8">
        <v>9176443</v>
      </c>
      <c r="I127" s="8">
        <v>930</v>
      </c>
      <c r="J127" s="8">
        <v>170681845</v>
      </c>
    </row>
    <row r="128" spans="1:10" x14ac:dyDescent="0.2">
      <c r="A128" s="6" t="s">
        <v>136</v>
      </c>
      <c r="B128" s="6">
        <v>2</v>
      </c>
      <c r="C128" s="8">
        <v>7680</v>
      </c>
      <c r="D128" s="8">
        <v>110922398</v>
      </c>
      <c r="E128" s="8">
        <v>6240</v>
      </c>
      <c r="F128" s="8">
        <v>90760800</v>
      </c>
      <c r="G128" s="8">
        <v>11112</v>
      </c>
      <c r="H128" s="8">
        <v>160998829</v>
      </c>
      <c r="I128" s="8">
        <v>2808</v>
      </c>
      <c r="J128" s="8">
        <v>40684369</v>
      </c>
    </row>
    <row r="129" spans="1:10" x14ac:dyDescent="0.2">
      <c r="A129" s="6" t="s">
        <v>137</v>
      </c>
      <c r="B129" s="6">
        <v>2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</row>
    <row r="130" spans="1:10" x14ac:dyDescent="0.2">
      <c r="A130" s="6" t="s">
        <v>138</v>
      </c>
      <c r="B130" s="6">
        <v>2</v>
      </c>
      <c r="C130" s="8">
        <v>0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</row>
    <row r="131" spans="1:10" x14ac:dyDescent="0.2">
      <c r="A131" s="6" t="s">
        <v>139</v>
      </c>
      <c r="B131" s="6">
        <v>2</v>
      </c>
      <c r="C131" s="8">
        <v>1187</v>
      </c>
      <c r="D131" s="8">
        <v>215540551</v>
      </c>
      <c r="E131" s="8">
        <v>0</v>
      </c>
      <c r="F131" s="8">
        <v>0</v>
      </c>
      <c r="G131" s="8">
        <v>395</v>
      </c>
      <c r="H131" s="8">
        <v>71725794</v>
      </c>
      <c r="I131" s="8">
        <v>792</v>
      </c>
      <c r="J131" s="8">
        <v>143814757</v>
      </c>
    </row>
    <row r="132" spans="1:10" x14ac:dyDescent="0.2">
      <c r="A132" s="6" t="s">
        <v>140</v>
      </c>
      <c r="B132" s="6">
        <v>2</v>
      </c>
      <c r="C132" s="8">
        <v>5536</v>
      </c>
      <c r="D132" s="8">
        <v>1016780512</v>
      </c>
      <c r="E132" s="8">
        <v>1050</v>
      </c>
      <c r="F132" s="8">
        <v>193696650</v>
      </c>
      <c r="G132" s="8">
        <v>150</v>
      </c>
      <c r="H132" s="8">
        <v>27569325</v>
      </c>
      <c r="I132" s="8">
        <v>6436</v>
      </c>
      <c r="J132" s="8">
        <v>1182907837</v>
      </c>
    </row>
    <row r="133" spans="1:10" x14ac:dyDescent="0.2">
      <c r="A133" s="6" t="s">
        <v>141</v>
      </c>
      <c r="B133" s="6">
        <v>2</v>
      </c>
      <c r="C133" s="8">
        <v>2329</v>
      </c>
      <c r="D133" s="8">
        <v>427760443</v>
      </c>
      <c r="E133" s="8">
        <v>800</v>
      </c>
      <c r="F133" s="8">
        <v>147578400</v>
      </c>
      <c r="G133" s="8">
        <v>0</v>
      </c>
      <c r="H133" s="8">
        <v>0</v>
      </c>
      <c r="I133" s="8">
        <v>3129</v>
      </c>
      <c r="J133" s="8">
        <v>575338843</v>
      </c>
    </row>
    <row r="134" spans="1:10" x14ac:dyDescent="0.2">
      <c r="A134" s="6" t="s">
        <v>142</v>
      </c>
      <c r="B134" s="6">
        <v>2</v>
      </c>
      <c r="C134" s="8">
        <v>2430</v>
      </c>
      <c r="D134" s="8">
        <v>446310810</v>
      </c>
      <c r="E134" s="8">
        <v>0</v>
      </c>
      <c r="F134" s="8">
        <v>0</v>
      </c>
      <c r="G134" s="8">
        <v>1280</v>
      </c>
      <c r="H134" s="8">
        <v>235093760</v>
      </c>
      <c r="I134" s="8">
        <v>1150</v>
      </c>
      <c r="J134" s="8">
        <v>211217050</v>
      </c>
    </row>
    <row r="135" spans="1:10" x14ac:dyDescent="0.2">
      <c r="A135" s="6" t="s">
        <v>143</v>
      </c>
      <c r="B135" s="6">
        <v>2</v>
      </c>
      <c r="C135" s="8">
        <v>2211</v>
      </c>
      <c r="D135" s="8">
        <v>405708840</v>
      </c>
      <c r="E135" s="8">
        <v>0</v>
      </c>
      <c r="F135" s="8">
        <v>0</v>
      </c>
      <c r="G135" s="8">
        <v>940</v>
      </c>
      <c r="H135" s="8">
        <v>172485893</v>
      </c>
      <c r="I135" s="8">
        <v>1271</v>
      </c>
      <c r="J135" s="8">
        <v>233222947</v>
      </c>
    </row>
    <row r="136" spans="1:10" x14ac:dyDescent="0.2">
      <c r="A136" s="6" t="s">
        <v>144</v>
      </c>
      <c r="B136" s="6">
        <v>2</v>
      </c>
      <c r="C136" s="8">
        <v>1550</v>
      </c>
      <c r="D136" s="8">
        <v>282228650</v>
      </c>
      <c r="E136" s="8">
        <v>1210</v>
      </c>
      <c r="F136" s="8">
        <v>220704000</v>
      </c>
      <c r="G136" s="8">
        <v>1290</v>
      </c>
      <c r="H136" s="8">
        <v>235066347</v>
      </c>
      <c r="I136" s="8">
        <v>1470</v>
      </c>
      <c r="J136" s="8">
        <v>267866303</v>
      </c>
    </row>
    <row r="137" spans="1:10" x14ac:dyDescent="0.2">
      <c r="A137" s="6" t="s">
        <v>145</v>
      </c>
      <c r="B137" s="6">
        <v>2</v>
      </c>
      <c r="C137" s="8">
        <v>563</v>
      </c>
      <c r="D137" s="8">
        <v>100626281</v>
      </c>
      <c r="E137" s="8">
        <v>0</v>
      </c>
      <c r="F137" s="8">
        <v>0</v>
      </c>
      <c r="G137" s="8">
        <v>0</v>
      </c>
      <c r="H137" s="8">
        <v>0</v>
      </c>
      <c r="I137" s="8">
        <v>563</v>
      </c>
      <c r="J137" s="8">
        <v>100626281</v>
      </c>
    </row>
    <row r="138" spans="1:10" x14ac:dyDescent="0.2">
      <c r="A138" s="6" t="s">
        <v>146</v>
      </c>
      <c r="B138" s="6">
        <v>2</v>
      </c>
      <c r="C138" s="8">
        <v>1400</v>
      </c>
      <c r="D138" s="8">
        <v>265758500</v>
      </c>
      <c r="E138" s="8">
        <v>1010</v>
      </c>
      <c r="F138" s="8">
        <v>191551550</v>
      </c>
      <c r="G138" s="8">
        <v>0</v>
      </c>
      <c r="H138" s="8">
        <v>0</v>
      </c>
      <c r="I138" s="8">
        <v>2410</v>
      </c>
      <c r="J138" s="8">
        <v>457310050</v>
      </c>
    </row>
    <row r="139" spans="1:10" x14ac:dyDescent="0.2">
      <c r="A139" s="6" t="s">
        <v>147</v>
      </c>
      <c r="B139" s="6">
        <v>2</v>
      </c>
      <c r="C139" s="8">
        <v>48</v>
      </c>
      <c r="D139" s="8">
        <v>8507764</v>
      </c>
      <c r="E139" s="8">
        <v>812</v>
      </c>
      <c r="F139" s="8">
        <v>227562236</v>
      </c>
      <c r="G139" s="8">
        <v>860</v>
      </c>
      <c r="H139" s="8">
        <v>236070000</v>
      </c>
      <c r="I139" s="8">
        <v>0</v>
      </c>
      <c r="J139" s="8">
        <v>0</v>
      </c>
    </row>
    <row r="140" spans="1:10" x14ac:dyDescent="0.2">
      <c r="A140" s="6" t="s">
        <v>148</v>
      </c>
      <c r="B140" s="6">
        <v>2</v>
      </c>
      <c r="C140" s="8">
        <v>264</v>
      </c>
      <c r="D140" s="8">
        <v>30000960</v>
      </c>
      <c r="E140" s="8">
        <v>770</v>
      </c>
      <c r="F140" s="8">
        <v>87780000</v>
      </c>
      <c r="G140" s="8">
        <v>0</v>
      </c>
      <c r="H140" s="8">
        <v>0</v>
      </c>
      <c r="I140" s="8">
        <v>1034</v>
      </c>
      <c r="J140" s="8">
        <v>117780960</v>
      </c>
    </row>
    <row r="141" spans="1:10" x14ac:dyDescent="0.2">
      <c r="A141" s="6" t="s">
        <v>149</v>
      </c>
      <c r="B141" s="6">
        <v>2</v>
      </c>
      <c r="C141" s="8">
        <v>5879</v>
      </c>
      <c r="D141" s="8">
        <v>1116568632</v>
      </c>
      <c r="E141" s="8">
        <v>230</v>
      </c>
      <c r="F141" s="8">
        <v>43620650</v>
      </c>
      <c r="G141" s="8">
        <v>130</v>
      </c>
      <c r="H141" s="8">
        <v>24688919</v>
      </c>
      <c r="I141" s="8">
        <v>5979</v>
      </c>
      <c r="J141" s="8">
        <v>1135500363</v>
      </c>
    </row>
    <row r="142" spans="1:10" x14ac:dyDescent="0.2">
      <c r="A142" s="6" t="s">
        <v>150</v>
      </c>
      <c r="B142" s="6">
        <v>2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</row>
    <row r="143" spans="1:10" x14ac:dyDescent="0.2">
      <c r="A143" s="6" t="s">
        <v>151</v>
      </c>
      <c r="B143" s="6">
        <v>2</v>
      </c>
      <c r="C143" s="8">
        <v>239</v>
      </c>
      <c r="D143" s="8">
        <v>45410000</v>
      </c>
      <c r="E143" s="8">
        <v>0</v>
      </c>
      <c r="F143" s="8">
        <v>0</v>
      </c>
      <c r="G143" s="8">
        <v>0</v>
      </c>
      <c r="H143" s="8">
        <v>0</v>
      </c>
      <c r="I143" s="8">
        <v>239</v>
      </c>
      <c r="J143" s="8">
        <v>45410000</v>
      </c>
    </row>
    <row r="144" spans="1:10" x14ac:dyDescent="0.2">
      <c r="A144" s="6" t="s">
        <v>152</v>
      </c>
      <c r="B144" s="6">
        <v>2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</row>
    <row r="145" spans="1:10" x14ac:dyDescent="0.2">
      <c r="A145" s="6" t="s">
        <v>153</v>
      </c>
      <c r="B145" s="6">
        <v>2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</row>
    <row r="146" spans="1:10" x14ac:dyDescent="0.2">
      <c r="A146" s="6" t="s">
        <v>154</v>
      </c>
      <c r="B146" s="6">
        <v>2</v>
      </c>
      <c r="C146" s="8">
        <v>0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</row>
    <row r="147" spans="1:10" x14ac:dyDescent="0.2">
      <c r="A147" s="6" t="s">
        <v>155</v>
      </c>
      <c r="B147" s="6">
        <v>2</v>
      </c>
      <c r="C147" s="8">
        <v>154</v>
      </c>
      <c r="D147" s="8">
        <v>44639148</v>
      </c>
      <c r="E147" s="8">
        <v>50</v>
      </c>
      <c r="F147" s="8">
        <v>14509100</v>
      </c>
      <c r="G147" s="8">
        <v>0</v>
      </c>
      <c r="H147" s="8">
        <v>0</v>
      </c>
      <c r="I147" s="8">
        <v>204</v>
      </c>
      <c r="J147" s="8">
        <v>59148248</v>
      </c>
    </row>
    <row r="148" spans="1:10" x14ac:dyDescent="0.2">
      <c r="A148" s="6" t="s">
        <v>156</v>
      </c>
      <c r="B148" s="6">
        <v>2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</row>
    <row r="149" spans="1:10" x14ac:dyDescent="0.2">
      <c r="A149" s="6" t="s">
        <v>157</v>
      </c>
      <c r="B149" s="6">
        <v>2</v>
      </c>
      <c r="C149" s="8">
        <v>0</v>
      </c>
      <c r="D149" s="8">
        <v>0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</row>
    <row r="150" spans="1:10" x14ac:dyDescent="0.2">
      <c r="A150" s="6" t="s">
        <v>158</v>
      </c>
      <c r="B150" s="6">
        <v>2</v>
      </c>
      <c r="C150" s="8">
        <v>157</v>
      </c>
      <c r="D150" s="8">
        <v>34833360</v>
      </c>
      <c r="E150" s="8">
        <v>6</v>
      </c>
      <c r="F150" s="8">
        <v>0</v>
      </c>
      <c r="G150" s="8">
        <v>0</v>
      </c>
      <c r="H150" s="8">
        <v>0</v>
      </c>
      <c r="I150" s="8">
        <v>163</v>
      </c>
      <c r="J150" s="8">
        <v>34833360</v>
      </c>
    </row>
    <row r="151" spans="1:10" x14ac:dyDescent="0.2">
      <c r="A151" s="6" t="s">
        <v>159</v>
      </c>
      <c r="B151" s="6">
        <v>2</v>
      </c>
      <c r="C151" s="8">
        <v>108</v>
      </c>
      <c r="D151" s="8">
        <v>23773050</v>
      </c>
      <c r="E151" s="8">
        <v>200</v>
      </c>
      <c r="F151" s="8">
        <v>44024000</v>
      </c>
      <c r="G151" s="8">
        <v>214</v>
      </c>
      <c r="H151" s="8">
        <v>47105858</v>
      </c>
      <c r="I151" s="8">
        <v>94</v>
      </c>
      <c r="J151" s="8">
        <v>20691192</v>
      </c>
    </row>
    <row r="152" spans="1:10" x14ac:dyDescent="0.2">
      <c r="A152" s="6" t="s">
        <v>160</v>
      </c>
      <c r="B152" s="6">
        <v>2</v>
      </c>
      <c r="C152" s="8">
        <v>100</v>
      </c>
      <c r="D152" s="8">
        <v>26411940</v>
      </c>
      <c r="E152" s="8">
        <v>150</v>
      </c>
      <c r="F152" s="8">
        <v>39630000</v>
      </c>
      <c r="G152" s="8">
        <v>185</v>
      </c>
      <c r="H152" s="8">
        <v>48862089</v>
      </c>
      <c r="I152" s="8">
        <v>65</v>
      </c>
      <c r="J152" s="8">
        <v>17179851</v>
      </c>
    </row>
    <row r="153" spans="1:10" x14ac:dyDescent="0.2">
      <c r="A153" s="6" t="s">
        <v>161</v>
      </c>
      <c r="B153" s="6">
        <v>2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</row>
    <row r="154" spans="1:10" x14ac:dyDescent="0.2">
      <c r="A154" s="6" t="s">
        <v>162</v>
      </c>
      <c r="B154" s="6">
        <v>2</v>
      </c>
      <c r="C154" s="8">
        <v>105</v>
      </c>
      <c r="D154" s="8">
        <v>33189555</v>
      </c>
      <c r="E154" s="8">
        <v>150</v>
      </c>
      <c r="F154" s="8">
        <v>47413650</v>
      </c>
      <c r="G154" s="8">
        <v>0</v>
      </c>
      <c r="H154" s="8">
        <v>0</v>
      </c>
      <c r="I154" s="8">
        <v>255</v>
      </c>
      <c r="J154" s="8">
        <v>80603205</v>
      </c>
    </row>
    <row r="155" spans="1:10" x14ac:dyDescent="0.2">
      <c r="A155" s="6" t="s">
        <v>163</v>
      </c>
      <c r="B155" s="6">
        <v>2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</row>
    <row r="156" spans="1:10" x14ac:dyDescent="0.2">
      <c r="A156" s="6" t="s">
        <v>164</v>
      </c>
      <c r="B156" s="6">
        <v>2</v>
      </c>
      <c r="C156" s="8">
        <v>149</v>
      </c>
      <c r="D156" s="8">
        <v>22780930</v>
      </c>
      <c r="E156" s="8">
        <v>42</v>
      </c>
      <c r="F156" s="8">
        <v>4756920</v>
      </c>
      <c r="G156" s="8">
        <v>96</v>
      </c>
      <c r="H156" s="8">
        <v>13841014</v>
      </c>
      <c r="I156" s="8">
        <v>95</v>
      </c>
      <c r="J156" s="8">
        <v>13696836</v>
      </c>
    </row>
    <row r="157" spans="1:10" x14ac:dyDescent="0.2">
      <c r="A157" s="6" t="s">
        <v>165</v>
      </c>
      <c r="B157" s="6">
        <v>2</v>
      </c>
      <c r="C157" s="8">
        <v>70</v>
      </c>
      <c r="D157" s="8">
        <v>9502290</v>
      </c>
      <c r="E157" s="8">
        <v>80</v>
      </c>
      <c r="F157" s="8">
        <v>12685120</v>
      </c>
      <c r="G157" s="8">
        <v>0</v>
      </c>
      <c r="H157" s="8">
        <v>0</v>
      </c>
      <c r="I157" s="8">
        <v>150</v>
      </c>
      <c r="J157" s="8">
        <v>22187410</v>
      </c>
    </row>
    <row r="158" spans="1:10" x14ac:dyDescent="0.2">
      <c r="A158" s="6" t="s">
        <v>166</v>
      </c>
      <c r="B158" s="6">
        <v>2</v>
      </c>
      <c r="C158" s="8">
        <v>0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</row>
    <row r="159" spans="1:10" x14ac:dyDescent="0.2">
      <c r="A159" s="6" t="s">
        <v>167</v>
      </c>
      <c r="B159" s="6">
        <v>2</v>
      </c>
      <c r="C159" s="8">
        <v>2026</v>
      </c>
      <c r="D159" s="8">
        <v>376155296</v>
      </c>
      <c r="E159" s="8">
        <v>0</v>
      </c>
      <c r="F159" s="8">
        <v>0</v>
      </c>
      <c r="G159" s="8">
        <v>950</v>
      </c>
      <c r="H159" s="8">
        <v>176380815</v>
      </c>
      <c r="I159" s="8">
        <v>1076</v>
      </c>
      <c r="J159" s="8">
        <v>199774481</v>
      </c>
    </row>
    <row r="160" spans="1:10" x14ac:dyDescent="0.2">
      <c r="A160" s="6" t="s">
        <v>168</v>
      </c>
      <c r="B160" s="6">
        <v>2</v>
      </c>
      <c r="C160" s="8">
        <v>10</v>
      </c>
      <c r="D160" s="8">
        <v>1820830</v>
      </c>
      <c r="E160" s="8">
        <v>0</v>
      </c>
      <c r="F160" s="8">
        <v>0</v>
      </c>
      <c r="G160" s="8">
        <v>0</v>
      </c>
      <c r="H160" s="8">
        <v>0</v>
      </c>
      <c r="I160" s="8">
        <v>10</v>
      </c>
      <c r="J160" s="8">
        <v>1820830</v>
      </c>
    </row>
    <row r="161" spans="1:10" x14ac:dyDescent="0.2">
      <c r="A161" s="6" t="s">
        <v>169</v>
      </c>
      <c r="B161" s="6">
        <v>2</v>
      </c>
      <c r="C161" s="8">
        <v>1004</v>
      </c>
      <c r="D161" s="8">
        <v>177797220</v>
      </c>
      <c r="E161" s="8">
        <v>0</v>
      </c>
      <c r="F161" s="8">
        <v>0</v>
      </c>
      <c r="G161" s="8">
        <v>0</v>
      </c>
      <c r="H161" s="8">
        <v>0</v>
      </c>
      <c r="I161" s="8">
        <v>1004</v>
      </c>
      <c r="J161" s="8">
        <v>177797220</v>
      </c>
    </row>
    <row r="162" spans="1:10" x14ac:dyDescent="0.2">
      <c r="A162" s="6" t="s">
        <v>170</v>
      </c>
      <c r="B162" s="6">
        <v>2</v>
      </c>
      <c r="C162" s="8">
        <v>17</v>
      </c>
      <c r="D162" s="8">
        <v>4668812</v>
      </c>
      <c r="E162" s="8">
        <v>600</v>
      </c>
      <c r="F162" s="8">
        <v>164781600</v>
      </c>
      <c r="G162" s="8">
        <v>540</v>
      </c>
      <c r="H162" s="8">
        <v>148303440</v>
      </c>
      <c r="I162" s="8">
        <v>77</v>
      </c>
      <c r="J162" s="8">
        <v>21146972</v>
      </c>
    </row>
    <row r="163" spans="1:10" x14ac:dyDescent="0.2">
      <c r="A163" s="6" t="s">
        <v>171</v>
      </c>
      <c r="B163" s="6">
        <v>2</v>
      </c>
      <c r="C163" s="8">
        <v>0</v>
      </c>
      <c r="D163" s="8">
        <v>0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</row>
    <row r="164" spans="1:10" x14ac:dyDescent="0.2">
      <c r="A164" s="6" t="s">
        <v>172</v>
      </c>
      <c r="B164" s="6">
        <v>2</v>
      </c>
      <c r="C164" s="8">
        <v>0</v>
      </c>
      <c r="D164" s="8">
        <v>0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</row>
    <row r="165" spans="1:10" x14ac:dyDescent="0.2">
      <c r="A165" s="6" t="s">
        <v>173</v>
      </c>
      <c r="B165" s="6">
        <v>2</v>
      </c>
      <c r="C165" s="8">
        <v>0</v>
      </c>
      <c r="D165" s="8">
        <v>0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</row>
    <row r="166" spans="1:10" x14ac:dyDescent="0.2">
      <c r="A166" s="6" t="s">
        <v>174</v>
      </c>
      <c r="B166" s="6">
        <v>2</v>
      </c>
      <c r="C166" s="8">
        <v>30</v>
      </c>
      <c r="D166" s="8">
        <v>8233320</v>
      </c>
      <c r="E166" s="8">
        <v>30</v>
      </c>
      <c r="F166" s="8">
        <v>8239080</v>
      </c>
      <c r="G166" s="8">
        <v>0</v>
      </c>
      <c r="H166" s="8">
        <v>0</v>
      </c>
      <c r="I166" s="8">
        <v>60</v>
      </c>
      <c r="J166" s="8">
        <v>16472400</v>
      </c>
    </row>
    <row r="167" spans="1:10" x14ac:dyDescent="0.2">
      <c r="A167" s="6" t="s">
        <v>175</v>
      </c>
      <c r="B167" s="6">
        <v>2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</row>
    <row r="168" spans="1:10" x14ac:dyDescent="0.2">
      <c r="A168" s="6" t="s">
        <v>176</v>
      </c>
      <c r="B168" s="6">
        <v>2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</row>
    <row r="169" spans="1:10" x14ac:dyDescent="0.2">
      <c r="A169" s="6" t="s">
        <v>177</v>
      </c>
      <c r="B169" s="6">
        <v>2</v>
      </c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</row>
    <row r="170" spans="1:10" x14ac:dyDescent="0.2">
      <c r="A170" s="6" t="s">
        <v>178</v>
      </c>
      <c r="B170" s="6">
        <v>2</v>
      </c>
      <c r="C170" s="8">
        <v>0</v>
      </c>
      <c r="D170" s="8">
        <v>0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</row>
    <row r="171" spans="1:10" x14ac:dyDescent="0.2">
      <c r="A171" s="6" t="s">
        <v>179</v>
      </c>
      <c r="B171" s="6">
        <v>2</v>
      </c>
      <c r="C171" s="8">
        <v>13368</v>
      </c>
      <c r="D171" s="8">
        <v>73297335</v>
      </c>
      <c r="E171" s="8">
        <v>13800</v>
      </c>
      <c r="F171" s="8">
        <v>75279000</v>
      </c>
      <c r="G171" s="8">
        <v>15984</v>
      </c>
      <c r="H171" s="8">
        <v>87413285</v>
      </c>
      <c r="I171" s="8">
        <v>11184</v>
      </c>
      <c r="J171" s="8">
        <v>61163050</v>
      </c>
    </row>
    <row r="172" spans="1:10" x14ac:dyDescent="0.2">
      <c r="A172" s="6" t="s">
        <v>180</v>
      </c>
      <c r="B172" s="6">
        <v>2</v>
      </c>
      <c r="C172" s="8">
        <v>0</v>
      </c>
      <c r="D172" s="8">
        <v>0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</row>
    <row r="173" spans="1:10" x14ac:dyDescent="0.2">
      <c r="A173" s="6" t="s">
        <v>181</v>
      </c>
      <c r="B173" s="6">
        <v>2</v>
      </c>
      <c r="C173" s="8">
        <v>900</v>
      </c>
      <c r="D173" s="8">
        <v>43318800</v>
      </c>
      <c r="E173" s="8">
        <v>525</v>
      </c>
      <c r="F173" s="8">
        <v>25224675</v>
      </c>
      <c r="G173" s="8">
        <v>225</v>
      </c>
      <c r="H173" s="8">
        <v>10822654</v>
      </c>
      <c r="I173" s="8">
        <v>1200</v>
      </c>
      <c r="J173" s="8">
        <v>57720821</v>
      </c>
    </row>
    <row r="174" spans="1:10" x14ac:dyDescent="0.2">
      <c r="A174" s="6" t="s">
        <v>182</v>
      </c>
      <c r="B174" s="6">
        <v>2</v>
      </c>
      <c r="C174" s="8">
        <v>0</v>
      </c>
      <c r="D174" s="8">
        <v>0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</row>
    <row r="175" spans="1:10" x14ac:dyDescent="0.2">
      <c r="A175" s="6" t="s">
        <v>183</v>
      </c>
      <c r="B175" s="6">
        <v>2</v>
      </c>
      <c r="C175" s="8">
        <v>2460</v>
      </c>
      <c r="D175" s="8">
        <v>133707960</v>
      </c>
      <c r="E175" s="8">
        <v>0</v>
      </c>
      <c r="F175" s="8">
        <v>0</v>
      </c>
      <c r="G175" s="8">
        <v>20</v>
      </c>
      <c r="H175" s="8">
        <v>1087057</v>
      </c>
      <c r="I175" s="8">
        <v>2440</v>
      </c>
      <c r="J175" s="8">
        <v>132620903</v>
      </c>
    </row>
    <row r="176" spans="1:10" x14ac:dyDescent="0.2">
      <c r="A176" s="6" t="s">
        <v>184</v>
      </c>
      <c r="B176" s="6">
        <v>2</v>
      </c>
      <c r="C176" s="8">
        <v>2663</v>
      </c>
      <c r="D176" s="8">
        <v>145468013</v>
      </c>
      <c r="E176" s="8">
        <v>0</v>
      </c>
      <c r="F176" s="8">
        <v>0</v>
      </c>
      <c r="G176" s="8">
        <v>100</v>
      </c>
      <c r="H176" s="8">
        <v>5462562</v>
      </c>
      <c r="I176" s="8">
        <v>2563</v>
      </c>
      <c r="J176" s="8">
        <v>140005451</v>
      </c>
    </row>
    <row r="177" spans="1:10" x14ac:dyDescent="0.2">
      <c r="A177" s="6" t="s">
        <v>185</v>
      </c>
      <c r="B177" s="6">
        <v>2</v>
      </c>
      <c r="C177" s="8">
        <v>90</v>
      </c>
      <c r="D177" s="8">
        <v>16221060</v>
      </c>
      <c r="E177" s="8">
        <v>110</v>
      </c>
      <c r="F177" s="8">
        <v>19825740</v>
      </c>
      <c r="G177" s="8">
        <v>0</v>
      </c>
      <c r="H177" s="8">
        <v>0</v>
      </c>
      <c r="I177" s="8">
        <v>200</v>
      </c>
      <c r="J177" s="8">
        <v>36046800</v>
      </c>
    </row>
    <row r="178" spans="1:10" x14ac:dyDescent="0.2">
      <c r="A178" s="6" t="s">
        <v>186</v>
      </c>
      <c r="B178" s="6">
        <v>2</v>
      </c>
      <c r="C178" s="8">
        <v>1190</v>
      </c>
      <c r="D178" s="8">
        <v>52753605</v>
      </c>
      <c r="E178" s="8">
        <v>5300</v>
      </c>
      <c r="F178" s="8">
        <v>230834455</v>
      </c>
      <c r="G178" s="8">
        <v>5380</v>
      </c>
      <c r="H178" s="8">
        <v>235085326</v>
      </c>
      <c r="I178" s="8">
        <v>1110</v>
      </c>
      <c r="J178" s="8">
        <v>48502734</v>
      </c>
    </row>
    <row r="179" spans="1:10" x14ac:dyDescent="0.2">
      <c r="A179" s="6" t="s">
        <v>187</v>
      </c>
      <c r="B179" s="6">
        <v>2</v>
      </c>
      <c r="C179" s="8">
        <v>525</v>
      </c>
      <c r="D179" s="8">
        <v>20549605</v>
      </c>
      <c r="E179" s="8">
        <v>525</v>
      </c>
      <c r="F179" s="8">
        <v>18553500</v>
      </c>
      <c r="G179" s="8">
        <v>0</v>
      </c>
      <c r="H179" s="8">
        <v>0</v>
      </c>
      <c r="I179" s="8">
        <v>1050</v>
      </c>
      <c r="J179" s="8">
        <v>39103105</v>
      </c>
    </row>
    <row r="180" spans="1:10" x14ac:dyDescent="0.2">
      <c r="A180" s="6" t="s">
        <v>188</v>
      </c>
      <c r="B180" s="6">
        <v>2</v>
      </c>
      <c r="C180" s="8">
        <v>5940</v>
      </c>
      <c r="D180" s="8">
        <v>1136820776</v>
      </c>
      <c r="E180" s="8">
        <v>2025</v>
      </c>
      <c r="F180" s="8">
        <v>362676750</v>
      </c>
      <c r="G180" s="8">
        <v>2190</v>
      </c>
      <c r="H180" s="8">
        <v>412291222</v>
      </c>
      <c r="I180" s="8">
        <v>5775</v>
      </c>
      <c r="J180" s="8">
        <v>1087206304</v>
      </c>
    </row>
    <row r="181" spans="1:10" x14ac:dyDescent="0.2">
      <c r="A181" s="6" t="s">
        <v>189</v>
      </c>
      <c r="B181" s="6">
        <v>2</v>
      </c>
      <c r="C181" s="8">
        <v>250</v>
      </c>
      <c r="D181" s="8">
        <v>11513664</v>
      </c>
      <c r="E181" s="8">
        <v>100</v>
      </c>
      <c r="F181" s="8">
        <v>4337182</v>
      </c>
      <c r="G181" s="8">
        <v>0</v>
      </c>
      <c r="H181" s="8">
        <v>0</v>
      </c>
      <c r="I181" s="8">
        <v>350</v>
      </c>
      <c r="J181" s="8">
        <v>15850846</v>
      </c>
    </row>
    <row r="182" spans="1:10" x14ac:dyDescent="0.2">
      <c r="A182" s="6" t="s">
        <v>190</v>
      </c>
      <c r="B182" s="6">
        <v>2</v>
      </c>
      <c r="C182" s="8">
        <v>5250</v>
      </c>
      <c r="D182" s="8">
        <v>164824390</v>
      </c>
      <c r="E182" s="8">
        <v>3150</v>
      </c>
      <c r="F182" s="8">
        <v>89056800</v>
      </c>
      <c r="G182" s="8">
        <v>0</v>
      </c>
      <c r="H182" s="8">
        <v>0</v>
      </c>
      <c r="I182" s="8">
        <v>8400</v>
      </c>
      <c r="J182" s="8">
        <v>253881190</v>
      </c>
    </row>
    <row r="183" spans="1:10" x14ac:dyDescent="0.2">
      <c r="A183" s="6" t="s">
        <v>191</v>
      </c>
      <c r="B183" s="6">
        <v>2</v>
      </c>
      <c r="C183" s="8">
        <v>21990</v>
      </c>
      <c r="D183" s="8">
        <v>611187103</v>
      </c>
      <c r="E183" s="8">
        <v>41250</v>
      </c>
      <c r="F183" s="8">
        <v>1152967500</v>
      </c>
      <c r="G183" s="8">
        <v>27500</v>
      </c>
      <c r="H183" s="8">
        <v>805202139</v>
      </c>
      <c r="I183" s="8">
        <v>35740</v>
      </c>
      <c r="J183" s="8">
        <v>958952464</v>
      </c>
    </row>
    <row r="184" spans="1:10" x14ac:dyDescent="0.2">
      <c r="A184" s="6" t="s">
        <v>192</v>
      </c>
      <c r="B184" s="6">
        <v>2</v>
      </c>
      <c r="C184" s="8">
        <v>3900</v>
      </c>
      <c r="D184" s="8">
        <v>29454392</v>
      </c>
      <c r="E184" s="8">
        <v>4500</v>
      </c>
      <c r="F184" s="8">
        <v>31806000</v>
      </c>
      <c r="G184" s="8">
        <v>0</v>
      </c>
      <c r="H184" s="8">
        <v>0</v>
      </c>
      <c r="I184" s="8">
        <v>8400</v>
      </c>
      <c r="J184" s="8">
        <v>61260392</v>
      </c>
    </row>
    <row r="185" spans="1:10" x14ac:dyDescent="0.2">
      <c r="A185" s="6" t="s">
        <v>193</v>
      </c>
      <c r="B185" s="6">
        <v>2</v>
      </c>
      <c r="C185" s="8">
        <v>100</v>
      </c>
      <c r="D185" s="8">
        <v>22624798</v>
      </c>
      <c r="E185" s="8">
        <v>0</v>
      </c>
      <c r="F185" s="8">
        <v>0</v>
      </c>
      <c r="G185" s="8">
        <v>0</v>
      </c>
      <c r="H185" s="8">
        <v>0</v>
      </c>
      <c r="I185" s="8">
        <v>100</v>
      </c>
      <c r="J185" s="8">
        <v>22624798</v>
      </c>
    </row>
    <row r="186" spans="1:10" x14ac:dyDescent="0.2">
      <c r="A186" s="6" t="s">
        <v>194</v>
      </c>
      <c r="B186" s="6">
        <v>2</v>
      </c>
      <c r="C186" s="8">
        <v>81580</v>
      </c>
      <c r="D186" s="8">
        <v>650214260</v>
      </c>
      <c r="E186" s="8">
        <v>131100</v>
      </c>
      <c r="F186" s="8">
        <v>926614800</v>
      </c>
      <c r="G186" s="8">
        <v>116610</v>
      </c>
      <c r="H186" s="8">
        <v>915643013</v>
      </c>
      <c r="I186" s="8">
        <v>96070</v>
      </c>
      <c r="J186" s="8">
        <v>661186047</v>
      </c>
    </row>
    <row r="187" spans="1:10" x14ac:dyDescent="0.2">
      <c r="A187" s="6" t="s">
        <v>195</v>
      </c>
      <c r="B187" s="6">
        <v>2</v>
      </c>
      <c r="C187" s="8">
        <v>1255</v>
      </c>
      <c r="D187" s="8">
        <v>154891295</v>
      </c>
      <c r="E187" s="8">
        <v>500</v>
      </c>
      <c r="F187" s="8">
        <v>106823182</v>
      </c>
      <c r="G187" s="8">
        <v>1755</v>
      </c>
      <c r="H187" s="8">
        <v>261714477</v>
      </c>
      <c r="I187" s="8">
        <v>0</v>
      </c>
      <c r="J187" s="8">
        <v>0</v>
      </c>
    </row>
    <row r="188" spans="1:10" x14ac:dyDescent="0.2">
      <c r="A188" s="6" t="s">
        <v>196</v>
      </c>
      <c r="B188" s="6">
        <v>2</v>
      </c>
      <c r="C188" s="8">
        <v>180</v>
      </c>
      <c r="D188" s="8">
        <v>30217931</v>
      </c>
      <c r="E188" s="8">
        <v>100</v>
      </c>
      <c r="F188" s="8">
        <v>16433100</v>
      </c>
      <c r="G188" s="8">
        <v>0</v>
      </c>
      <c r="H188" s="8">
        <v>0</v>
      </c>
      <c r="I188" s="8">
        <v>280</v>
      </c>
      <c r="J188" s="8">
        <v>46651031</v>
      </c>
    </row>
    <row r="189" spans="1:10" x14ac:dyDescent="0.2">
      <c r="A189" s="6" t="s">
        <v>197</v>
      </c>
      <c r="B189" s="6">
        <v>2</v>
      </c>
      <c r="C189" s="8">
        <v>1200</v>
      </c>
      <c r="D189" s="8">
        <v>8579070</v>
      </c>
      <c r="E189" s="8">
        <v>0</v>
      </c>
      <c r="F189" s="8">
        <v>0</v>
      </c>
      <c r="G189" s="8">
        <v>0</v>
      </c>
      <c r="H189" s="8">
        <v>0</v>
      </c>
      <c r="I189" s="8">
        <v>1200</v>
      </c>
      <c r="J189" s="8">
        <v>8579070</v>
      </c>
    </row>
    <row r="190" spans="1:10" x14ac:dyDescent="0.2">
      <c r="A190" s="6" t="s">
        <v>198</v>
      </c>
      <c r="B190" s="6">
        <v>2</v>
      </c>
      <c r="C190" s="8">
        <v>0</v>
      </c>
      <c r="D190" s="8">
        <v>0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</row>
    <row r="191" spans="1:10" x14ac:dyDescent="0.2">
      <c r="A191" s="6" t="s">
        <v>199</v>
      </c>
      <c r="B191" s="6">
        <v>2</v>
      </c>
      <c r="C191" s="8">
        <v>77660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77660</v>
      </c>
      <c r="J191" s="8">
        <v>0</v>
      </c>
    </row>
    <row r="192" spans="1:10" x14ac:dyDescent="0.2">
      <c r="A192" s="6" t="s">
        <v>200</v>
      </c>
      <c r="B192" s="6">
        <v>2</v>
      </c>
      <c r="C192" s="8">
        <v>0</v>
      </c>
      <c r="D192" s="8">
        <v>0</v>
      </c>
      <c r="E192" s="8">
        <v>72</v>
      </c>
      <c r="F192" s="8">
        <v>504000</v>
      </c>
      <c r="G192" s="8">
        <v>0</v>
      </c>
      <c r="H192" s="8">
        <v>0</v>
      </c>
      <c r="I192" s="8">
        <v>72</v>
      </c>
      <c r="J192" s="8">
        <v>504000</v>
      </c>
    </row>
    <row r="193" spans="1:10" x14ac:dyDescent="0.2">
      <c r="A193" s="6" t="s">
        <v>201</v>
      </c>
      <c r="B193" s="6">
        <v>2</v>
      </c>
      <c r="C193" s="8">
        <v>240</v>
      </c>
      <c r="D193" s="8">
        <v>3521324</v>
      </c>
      <c r="E193" s="8">
        <v>360</v>
      </c>
      <c r="F193" s="8">
        <v>5400000</v>
      </c>
      <c r="G193" s="8">
        <v>120</v>
      </c>
      <c r="H193" s="8">
        <v>1784265</v>
      </c>
      <c r="I193" s="8">
        <v>480</v>
      </c>
      <c r="J193" s="8">
        <v>7137059</v>
      </c>
    </row>
    <row r="194" spans="1:10" x14ac:dyDescent="0.2">
      <c r="A194" s="6" t="s">
        <v>202</v>
      </c>
      <c r="B194" s="6">
        <v>2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</row>
    <row r="195" spans="1:10" x14ac:dyDescent="0.2">
      <c r="A195" s="6" t="s">
        <v>203</v>
      </c>
      <c r="B195" s="6">
        <v>2</v>
      </c>
      <c r="C195" s="8">
        <v>0</v>
      </c>
      <c r="D195" s="8">
        <v>0</v>
      </c>
      <c r="E195" s="8">
        <v>720</v>
      </c>
      <c r="F195" s="8">
        <v>8450640</v>
      </c>
      <c r="G195" s="8">
        <v>0</v>
      </c>
      <c r="H195" s="8">
        <v>0</v>
      </c>
      <c r="I195" s="8">
        <v>720</v>
      </c>
      <c r="J195" s="8">
        <v>8450640</v>
      </c>
    </row>
    <row r="196" spans="1:10" x14ac:dyDescent="0.2">
      <c r="A196" s="6" t="s">
        <v>204</v>
      </c>
      <c r="B196" s="6">
        <v>2</v>
      </c>
      <c r="C196" s="8">
        <v>2559</v>
      </c>
      <c r="D196" s="8">
        <v>77362426</v>
      </c>
      <c r="E196" s="8">
        <v>2800</v>
      </c>
      <c r="F196" s="8">
        <v>76998600</v>
      </c>
      <c r="G196" s="8">
        <v>1104</v>
      </c>
      <c r="H196" s="8">
        <v>31799696</v>
      </c>
      <c r="I196" s="8">
        <v>4255</v>
      </c>
      <c r="J196" s="8">
        <v>122561330</v>
      </c>
    </row>
    <row r="197" spans="1:10" x14ac:dyDescent="0.2">
      <c r="A197" s="6" t="s">
        <v>205</v>
      </c>
      <c r="B197" s="6">
        <v>2</v>
      </c>
      <c r="C197" s="8">
        <v>0</v>
      </c>
      <c r="D197" s="8">
        <v>0</v>
      </c>
      <c r="E197" s="8">
        <v>720</v>
      </c>
      <c r="F197" s="8">
        <v>48329280</v>
      </c>
      <c r="G197" s="8">
        <v>0</v>
      </c>
      <c r="H197" s="8">
        <v>0</v>
      </c>
      <c r="I197" s="8">
        <v>720</v>
      </c>
      <c r="J197" s="8">
        <v>48329280</v>
      </c>
    </row>
    <row r="198" spans="1:10" x14ac:dyDescent="0.2">
      <c r="A198" s="6" t="s">
        <v>206</v>
      </c>
      <c r="B198" s="6">
        <v>2</v>
      </c>
      <c r="C198" s="8">
        <v>840</v>
      </c>
      <c r="D198" s="8">
        <v>23164642</v>
      </c>
      <c r="E198" s="8">
        <v>240</v>
      </c>
      <c r="F198" s="8">
        <v>7170240</v>
      </c>
      <c r="G198" s="8">
        <v>696</v>
      </c>
      <c r="H198" s="8">
        <v>19549146</v>
      </c>
      <c r="I198" s="8">
        <v>384</v>
      </c>
      <c r="J198" s="8">
        <v>10785736</v>
      </c>
    </row>
    <row r="199" spans="1:10" x14ac:dyDescent="0.2">
      <c r="A199" s="6" t="s">
        <v>207</v>
      </c>
      <c r="B199" s="6">
        <v>2</v>
      </c>
      <c r="C199" s="8">
        <v>0</v>
      </c>
      <c r="D199" s="8">
        <v>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</row>
    <row r="200" spans="1:10" x14ac:dyDescent="0.2">
      <c r="A200" s="6" t="s">
        <v>208</v>
      </c>
      <c r="B200" s="6">
        <v>2</v>
      </c>
      <c r="C200" s="8">
        <v>0</v>
      </c>
      <c r="D200" s="8">
        <v>0</v>
      </c>
      <c r="E200" s="8">
        <v>288</v>
      </c>
      <c r="F200" s="8">
        <v>0</v>
      </c>
      <c r="G200" s="8">
        <v>0</v>
      </c>
      <c r="H200" s="8">
        <v>0</v>
      </c>
      <c r="I200" s="8">
        <v>288</v>
      </c>
      <c r="J200" s="8">
        <v>0</v>
      </c>
    </row>
    <row r="201" spans="1:10" x14ac:dyDescent="0.2">
      <c r="A201" s="6" t="s">
        <v>209</v>
      </c>
      <c r="B201" s="6">
        <v>2</v>
      </c>
      <c r="C201" s="8">
        <v>24</v>
      </c>
      <c r="D201" s="8">
        <v>1401840</v>
      </c>
      <c r="E201" s="8">
        <v>700</v>
      </c>
      <c r="F201" s="8">
        <v>40887000</v>
      </c>
      <c r="G201" s="8">
        <v>660</v>
      </c>
      <c r="H201" s="8">
        <v>38550600</v>
      </c>
      <c r="I201" s="8">
        <v>64</v>
      </c>
      <c r="J201" s="8">
        <v>3738240</v>
      </c>
    </row>
    <row r="202" spans="1:10" x14ac:dyDescent="0.2">
      <c r="A202" s="6" t="s">
        <v>210</v>
      </c>
      <c r="B202" s="6">
        <v>2</v>
      </c>
      <c r="C202" s="8">
        <v>240</v>
      </c>
      <c r="D202" s="8">
        <v>3156480</v>
      </c>
      <c r="E202" s="8">
        <v>0</v>
      </c>
      <c r="F202" s="8">
        <v>0</v>
      </c>
      <c r="G202" s="8">
        <v>0</v>
      </c>
      <c r="H202" s="8">
        <v>0</v>
      </c>
      <c r="I202" s="8">
        <v>240</v>
      </c>
      <c r="J202" s="8">
        <v>3156480</v>
      </c>
    </row>
    <row r="203" spans="1:10" x14ac:dyDescent="0.2">
      <c r="A203" s="6" t="s">
        <v>211</v>
      </c>
      <c r="B203" s="6">
        <v>2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</row>
    <row r="204" spans="1:10" x14ac:dyDescent="0.2">
      <c r="A204" s="6" t="s">
        <v>212</v>
      </c>
      <c r="B204" s="6">
        <v>2</v>
      </c>
      <c r="C204" s="8">
        <v>1847</v>
      </c>
      <c r="D204" s="8">
        <v>22932127</v>
      </c>
      <c r="E204" s="8">
        <v>5040</v>
      </c>
      <c r="F204" s="8">
        <v>62576640</v>
      </c>
      <c r="G204" s="8">
        <v>1224</v>
      </c>
      <c r="H204" s="8">
        <v>15197144</v>
      </c>
      <c r="I204" s="8">
        <v>5663</v>
      </c>
      <c r="J204" s="8">
        <v>70311623</v>
      </c>
    </row>
    <row r="205" spans="1:10" x14ac:dyDescent="0.2">
      <c r="A205" s="6" t="s">
        <v>213</v>
      </c>
      <c r="B205" s="6">
        <v>2</v>
      </c>
      <c r="C205" s="8">
        <v>0</v>
      </c>
      <c r="D205" s="8">
        <v>0</v>
      </c>
      <c r="E205" s="8">
        <v>720</v>
      </c>
      <c r="F205" s="8">
        <v>15294960</v>
      </c>
      <c r="G205" s="8">
        <v>0</v>
      </c>
      <c r="H205" s="8">
        <v>0</v>
      </c>
      <c r="I205" s="8">
        <v>720</v>
      </c>
      <c r="J205" s="8">
        <v>15294960</v>
      </c>
    </row>
    <row r="206" spans="1:10" x14ac:dyDescent="0.2">
      <c r="A206" s="6" t="s">
        <v>214</v>
      </c>
      <c r="B206" s="6">
        <v>2</v>
      </c>
      <c r="C206" s="8">
        <v>2452</v>
      </c>
      <c r="D206" s="8">
        <v>60381936</v>
      </c>
      <c r="E206" s="8">
        <v>4009</v>
      </c>
      <c r="F206" s="8">
        <v>88696800</v>
      </c>
      <c r="G206" s="8">
        <v>1554</v>
      </c>
      <c r="H206" s="8">
        <v>35856424</v>
      </c>
      <c r="I206" s="8">
        <v>4907</v>
      </c>
      <c r="J206" s="8">
        <v>113222312</v>
      </c>
    </row>
    <row r="207" spans="1:10" x14ac:dyDescent="0.2">
      <c r="A207" s="6" t="s">
        <v>215</v>
      </c>
      <c r="B207" s="6">
        <v>2</v>
      </c>
      <c r="C207" s="8">
        <v>688</v>
      </c>
      <c r="D207" s="8">
        <v>29363840</v>
      </c>
      <c r="E207" s="8">
        <v>0</v>
      </c>
      <c r="F207" s="8">
        <v>0</v>
      </c>
      <c r="G207" s="8">
        <v>0</v>
      </c>
      <c r="H207" s="8">
        <v>0</v>
      </c>
      <c r="I207" s="8">
        <v>688</v>
      </c>
      <c r="J207" s="8">
        <v>29363840</v>
      </c>
    </row>
    <row r="208" spans="1:10" x14ac:dyDescent="0.2">
      <c r="A208" s="6" t="s">
        <v>216</v>
      </c>
      <c r="B208" s="6">
        <v>2</v>
      </c>
      <c r="C208" s="8">
        <v>0</v>
      </c>
      <c r="D208" s="8">
        <v>0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</row>
    <row r="209" spans="1:10" x14ac:dyDescent="0.2">
      <c r="A209" s="6" t="s">
        <v>217</v>
      </c>
      <c r="B209" s="6">
        <v>2</v>
      </c>
      <c r="C209" s="8">
        <v>167</v>
      </c>
      <c r="D209" s="8">
        <v>29642547</v>
      </c>
      <c r="E209" s="8">
        <v>0</v>
      </c>
      <c r="F209" s="8">
        <v>0</v>
      </c>
      <c r="G209" s="8">
        <v>127</v>
      </c>
      <c r="H209" s="8">
        <v>22542536</v>
      </c>
      <c r="I209" s="8">
        <v>40</v>
      </c>
      <c r="J209" s="8">
        <v>7100011</v>
      </c>
    </row>
    <row r="210" spans="1:10" x14ac:dyDescent="0.2">
      <c r="A210" s="6" t="s">
        <v>218</v>
      </c>
      <c r="B210" s="6">
        <v>2</v>
      </c>
      <c r="C210" s="8">
        <v>110</v>
      </c>
      <c r="D210" s="8">
        <v>25504648</v>
      </c>
      <c r="E210" s="8">
        <v>0</v>
      </c>
      <c r="F210" s="8">
        <v>0</v>
      </c>
      <c r="G210" s="8">
        <v>70</v>
      </c>
      <c r="H210" s="8">
        <v>16230231</v>
      </c>
      <c r="I210" s="8">
        <v>40</v>
      </c>
      <c r="J210" s="8">
        <v>9274417</v>
      </c>
    </row>
    <row r="211" spans="1:10" x14ac:dyDescent="0.2">
      <c r="A211" s="6" t="s">
        <v>219</v>
      </c>
      <c r="B211" s="6">
        <v>2</v>
      </c>
      <c r="C211" s="8">
        <v>0</v>
      </c>
      <c r="D211" s="8">
        <v>0</v>
      </c>
      <c r="E211" s="8">
        <v>80</v>
      </c>
      <c r="F211" s="8">
        <v>17200000</v>
      </c>
      <c r="G211" s="8">
        <v>80</v>
      </c>
      <c r="H211" s="8">
        <v>17200000</v>
      </c>
      <c r="I211" s="8">
        <v>0</v>
      </c>
      <c r="J211" s="8">
        <v>0</v>
      </c>
    </row>
    <row r="212" spans="1:10" x14ac:dyDescent="0.2">
      <c r="A212" s="6" t="s">
        <v>220</v>
      </c>
      <c r="B212" s="6">
        <v>2</v>
      </c>
      <c r="C212" s="8">
        <v>0</v>
      </c>
      <c r="D212" s="8">
        <v>0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</row>
    <row r="213" spans="1:10" x14ac:dyDescent="0.2">
      <c r="A213" s="6" t="s">
        <v>221</v>
      </c>
      <c r="B213" s="6">
        <v>2</v>
      </c>
      <c r="C213" s="8">
        <v>3066</v>
      </c>
      <c r="D213" s="8">
        <v>60555944</v>
      </c>
      <c r="E213" s="8">
        <v>0</v>
      </c>
      <c r="F213" s="8">
        <v>0</v>
      </c>
      <c r="G213" s="8">
        <v>0</v>
      </c>
      <c r="H213" s="8">
        <v>0</v>
      </c>
      <c r="I213" s="8">
        <v>3066</v>
      </c>
      <c r="J213" s="8">
        <v>60555944</v>
      </c>
    </row>
    <row r="214" spans="1:10" x14ac:dyDescent="0.2">
      <c r="A214" s="6" t="s">
        <v>222</v>
      </c>
      <c r="B214" s="6">
        <v>2</v>
      </c>
      <c r="C214" s="8">
        <v>929</v>
      </c>
      <c r="D214" s="8">
        <v>20274468</v>
      </c>
      <c r="E214" s="8">
        <v>67</v>
      </c>
      <c r="F214" s="8">
        <v>0</v>
      </c>
      <c r="G214" s="8">
        <v>220</v>
      </c>
      <c r="H214" s="8">
        <v>4478296</v>
      </c>
      <c r="I214" s="8">
        <v>776</v>
      </c>
      <c r="J214" s="8">
        <v>15796172</v>
      </c>
    </row>
    <row r="215" spans="1:10" x14ac:dyDescent="0.2">
      <c r="A215" s="6" t="s">
        <v>223</v>
      </c>
      <c r="B215" s="6">
        <v>2</v>
      </c>
      <c r="C215" s="8">
        <v>865</v>
      </c>
      <c r="D215" s="8">
        <v>37407424</v>
      </c>
      <c r="E215" s="8">
        <v>0</v>
      </c>
      <c r="F215" s="8">
        <v>0</v>
      </c>
      <c r="G215" s="8">
        <v>0</v>
      </c>
      <c r="H215" s="8">
        <v>0</v>
      </c>
      <c r="I215" s="8">
        <v>865</v>
      </c>
      <c r="J215" s="8">
        <v>37407424</v>
      </c>
    </row>
    <row r="216" spans="1:10" x14ac:dyDescent="0.2">
      <c r="A216" s="6" t="s">
        <v>224</v>
      </c>
      <c r="B216" s="6">
        <v>2</v>
      </c>
      <c r="C216" s="8">
        <v>96</v>
      </c>
      <c r="D216" s="8">
        <v>1918272</v>
      </c>
      <c r="E216" s="8">
        <v>240</v>
      </c>
      <c r="F216" s="8">
        <v>4795680</v>
      </c>
      <c r="G216" s="8">
        <v>0</v>
      </c>
      <c r="H216" s="8">
        <v>0</v>
      </c>
      <c r="I216" s="8">
        <v>336</v>
      </c>
      <c r="J216" s="8">
        <v>6713952</v>
      </c>
    </row>
    <row r="217" spans="1:10" x14ac:dyDescent="0.2">
      <c r="A217" s="6" t="s">
        <v>225</v>
      </c>
      <c r="B217" s="6">
        <v>2</v>
      </c>
      <c r="C217" s="8">
        <v>0</v>
      </c>
      <c r="D217" s="8">
        <v>0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</row>
    <row r="218" spans="1:10" x14ac:dyDescent="0.2">
      <c r="A218" s="6" t="s">
        <v>226</v>
      </c>
      <c r="B218" s="6">
        <v>2</v>
      </c>
      <c r="C218" s="8">
        <v>0</v>
      </c>
      <c r="D218" s="8">
        <v>0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</row>
    <row r="219" spans="1:10" x14ac:dyDescent="0.2">
      <c r="A219" s="6" t="s">
        <v>227</v>
      </c>
      <c r="B219" s="6">
        <v>2</v>
      </c>
      <c r="C219" s="8">
        <v>0</v>
      </c>
      <c r="D219" s="8">
        <v>0</v>
      </c>
      <c r="E219" s="8">
        <v>5</v>
      </c>
      <c r="F219" s="8">
        <v>1715000</v>
      </c>
      <c r="G219" s="8">
        <v>5</v>
      </c>
      <c r="H219" s="8">
        <v>1715000</v>
      </c>
      <c r="I219" s="8">
        <v>0</v>
      </c>
      <c r="J219" s="8">
        <v>0</v>
      </c>
    </row>
    <row r="220" spans="1:10" x14ac:dyDescent="0.2">
      <c r="A220" s="6" t="s">
        <v>228</v>
      </c>
      <c r="B220" s="6">
        <v>2</v>
      </c>
      <c r="C220" s="8">
        <v>992</v>
      </c>
      <c r="D220" s="8">
        <v>88339874</v>
      </c>
      <c r="E220" s="8">
        <v>80</v>
      </c>
      <c r="F220" s="8">
        <v>7024640</v>
      </c>
      <c r="G220" s="8">
        <v>0</v>
      </c>
      <c r="H220" s="8">
        <v>0</v>
      </c>
      <c r="I220" s="8">
        <v>1072</v>
      </c>
      <c r="J220" s="8">
        <v>95364514</v>
      </c>
    </row>
    <row r="221" spans="1:10" x14ac:dyDescent="0.2">
      <c r="A221" s="6" t="s">
        <v>229</v>
      </c>
      <c r="B221" s="6">
        <v>2</v>
      </c>
      <c r="C221" s="8">
        <v>766</v>
      </c>
      <c r="D221" s="8">
        <v>71029196</v>
      </c>
      <c r="E221" s="8">
        <v>494</v>
      </c>
      <c r="F221" s="8">
        <v>45763060</v>
      </c>
      <c r="G221" s="8">
        <v>70</v>
      </c>
      <c r="H221" s="8">
        <v>6488459</v>
      </c>
      <c r="I221" s="8">
        <v>1190</v>
      </c>
      <c r="J221" s="8">
        <v>110303797</v>
      </c>
    </row>
    <row r="222" spans="1:10" x14ac:dyDescent="0.2">
      <c r="A222" s="6" t="s">
        <v>230</v>
      </c>
      <c r="B222" s="6">
        <v>2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</row>
    <row r="223" spans="1:10" x14ac:dyDescent="0.2">
      <c r="A223" s="6" t="s">
        <v>231</v>
      </c>
      <c r="B223" s="6">
        <v>2</v>
      </c>
      <c r="C223" s="8">
        <v>0</v>
      </c>
      <c r="D223" s="8">
        <v>0</v>
      </c>
      <c r="E223" s="8">
        <v>315</v>
      </c>
      <c r="F223" s="8">
        <v>10080000</v>
      </c>
      <c r="G223" s="8">
        <v>315</v>
      </c>
      <c r="H223" s="8">
        <v>10080000</v>
      </c>
      <c r="I223" s="8">
        <v>0</v>
      </c>
      <c r="J223" s="8">
        <v>0</v>
      </c>
    </row>
    <row r="224" spans="1:10" x14ac:dyDescent="0.2">
      <c r="A224" s="6" t="s">
        <v>232</v>
      </c>
      <c r="B224" s="6">
        <v>2</v>
      </c>
      <c r="C224" s="8">
        <v>1328</v>
      </c>
      <c r="D224" s="8">
        <v>84352834</v>
      </c>
      <c r="E224" s="8">
        <v>800</v>
      </c>
      <c r="F224" s="8">
        <v>50814960</v>
      </c>
      <c r="G224" s="8">
        <v>0</v>
      </c>
      <c r="H224" s="8">
        <v>0</v>
      </c>
      <c r="I224" s="8">
        <v>2128</v>
      </c>
      <c r="J224" s="8">
        <v>135167794</v>
      </c>
    </row>
    <row r="225" spans="1:10" x14ac:dyDescent="0.2">
      <c r="A225" s="6" t="s">
        <v>233</v>
      </c>
      <c r="B225" s="6">
        <v>2</v>
      </c>
      <c r="C225" s="8">
        <v>3652</v>
      </c>
      <c r="D225" s="8">
        <v>228384837</v>
      </c>
      <c r="E225" s="8">
        <v>1600</v>
      </c>
      <c r="F225" s="8">
        <v>100352000</v>
      </c>
      <c r="G225" s="8">
        <v>0</v>
      </c>
      <c r="H225" s="8">
        <v>0</v>
      </c>
      <c r="I225" s="8">
        <v>5252</v>
      </c>
      <c r="J225" s="8">
        <v>328736837</v>
      </c>
    </row>
    <row r="226" spans="1:10" x14ac:dyDescent="0.2">
      <c r="A226" s="6" t="s">
        <v>234</v>
      </c>
      <c r="B226" s="6">
        <v>2</v>
      </c>
      <c r="C226" s="8">
        <v>15318</v>
      </c>
      <c r="D226" s="8">
        <v>914208876</v>
      </c>
      <c r="E226" s="8">
        <v>9331</v>
      </c>
      <c r="F226" s="8">
        <v>510639193</v>
      </c>
      <c r="G226" s="8">
        <v>7705</v>
      </c>
      <c r="H226" s="8">
        <v>445391471</v>
      </c>
      <c r="I226" s="8">
        <v>16944</v>
      </c>
      <c r="J226" s="8">
        <v>979456598</v>
      </c>
    </row>
    <row r="227" spans="1:10" x14ac:dyDescent="0.2">
      <c r="A227" s="6" t="s">
        <v>235</v>
      </c>
      <c r="B227" s="6">
        <v>2</v>
      </c>
      <c r="C227" s="8">
        <v>1608</v>
      </c>
      <c r="D227" s="8">
        <v>112492066</v>
      </c>
      <c r="E227" s="8">
        <v>334</v>
      </c>
      <c r="F227" s="8">
        <v>22579200</v>
      </c>
      <c r="G227" s="8">
        <v>176</v>
      </c>
      <c r="H227" s="8">
        <v>12241268</v>
      </c>
      <c r="I227" s="8">
        <v>1766</v>
      </c>
      <c r="J227" s="8">
        <v>122829998</v>
      </c>
    </row>
    <row r="228" spans="1:10" x14ac:dyDescent="0.2">
      <c r="A228" s="6" t="s">
        <v>236</v>
      </c>
      <c r="B228" s="6">
        <v>2</v>
      </c>
      <c r="C228" s="8">
        <v>0</v>
      </c>
      <c r="D228" s="8">
        <v>0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</row>
    <row r="229" spans="1:10" x14ac:dyDescent="0.2">
      <c r="A229" s="6" t="s">
        <v>237</v>
      </c>
      <c r="B229" s="6">
        <v>2</v>
      </c>
      <c r="C229" s="8">
        <v>0</v>
      </c>
      <c r="D229" s="8">
        <v>0</v>
      </c>
      <c r="E229" s="8">
        <v>238</v>
      </c>
      <c r="F229" s="8">
        <v>0</v>
      </c>
      <c r="G229" s="8">
        <v>0</v>
      </c>
      <c r="H229" s="8">
        <v>0</v>
      </c>
      <c r="I229" s="8">
        <v>238</v>
      </c>
      <c r="J229" s="8">
        <v>0</v>
      </c>
    </row>
    <row r="230" spans="1:10" x14ac:dyDescent="0.2">
      <c r="A230" s="6" t="s">
        <v>238</v>
      </c>
      <c r="B230" s="6">
        <v>2</v>
      </c>
      <c r="C230" s="8">
        <v>23</v>
      </c>
      <c r="D230" s="8">
        <v>1347500</v>
      </c>
      <c r="E230" s="8">
        <v>54</v>
      </c>
      <c r="F230" s="8">
        <v>2694999</v>
      </c>
      <c r="G230" s="8">
        <v>0</v>
      </c>
      <c r="H230" s="8">
        <v>0</v>
      </c>
      <c r="I230" s="8">
        <v>77</v>
      </c>
      <c r="J230" s="8">
        <v>4042499</v>
      </c>
    </row>
    <row r="231" spans="1:10" x14ac:dyDescent="0.2">
      <c r="A231" s="6" t="s">
        <v>239</v>
      </c>
      <c r="B231" s="6">
        <v>2</v>
      </c>
      <c r="C231" s="8">
        <v>0</v>
      </c>
      <c r="D231" s="8">
        <v>0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</row>
    <row r="232" spans="1:10" x14ac:dyDescent="0.2">
      <c r="A232" s="6" t="s">
        <v>240</v>
      </c>
      <c r="B232" s="6">
        <v>2</v>
      </c>
      <c r="C232" s="8">
        <v>5913</v>
      </c>
      <c r="D232" s="8">
        <v>562441934</v>
      </c>
      <c r="E232" s="8">
        <v>2275</v>
      </c>
      <c r="F232" s="8">
        <v>212694300</v>
      </c>
      <c r="G232" s="8">
        <v>4207</v>
      </c>
      <c r="H232" s="8">
        <v>398265527</v>
      </c>
      <c r="I232" s="8">
        <v>3981</v>
      </c>
      <c r="J232" s="8">
        <v>376870707</v>
      </c>
    </row>
    <row r="233" spans="1:10" x14ac:dyDescent="0.2">
      <c r="A233" s="6" t="s">
        <v>241</v>
      </c>
      <c r="B233" s="6">
        <v>2</v>
      </c>
      <c r="C233" s="8">
        <v>0</v>
      </c>
      <c r="D233" s="8">
        <v>0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</row>
    <row r="234" spans="1:10" x14ac:dyDescent="0.2">
      <c r="A234" s="6" t="s">
        <v>242</v>
      </c>
      <c r="B234" s="6">
        <v>2</v>
      </c>
      <c r="C234" s="8">
        <v>1861</v>
      </c>
      <c r="D234" s="8">
        <v>126830170</v>
      </c>
      <c r="E234" s="8">
        <v>84</v>
      </c>
      <c r="F234" s="8">
        <v>6075216</v>
      </c>
      <c r="G234" s="8">
        <v>0</v>
      </c>
      <c r="H234" s="8">
        <v>0</v>
      </c>
      <c r="I234" s="8">
        <v>1945</v>
      </c>
      <c r="J234" s="8">
        <v>132905386</v>
      </c>
    </row>
    <row r="235" spans="1:10" x14ac:dyDescent="0.2">
      <c r="A235" s="6" t="s">
        <v>243</v>
      </c>
      <c r="B235" s="6">
        <v>2</v>
      </c>
      <c r="C235" s="8">
        <v>742</v>
      </c>
      <c r="D235" s="8">
        <v>70459322</v>
      </c>
      <c r="E235" s="8">
        <v>182</v>
      </c>
      <c r="F235" s="8">
        <v>16997708</v>
      </c>
      <c r="G235" s="8">
        <v>0</v>
      </c>
      <c r="H235" s="8">
        <v>0</v>
      </c>
      <c r="I235" s="8">
        <v>924</v>
      </c>
      <c r="J235" s="8">
        <v>87457030</v>
      </c>
    </row>
    <row r="236" spans="1:10" x14ac:dyDescent="0.2">
      <c r="A236" s="6" t="s">
        <v>244</v>
      </c>
      <c r="B236" s="6">
        <v>2</v>
      </c>
      <c r="C236" s="8">
        <v>0</v>
      </c>
      <c r="D236" s="8">
        <v>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</row>
    <row r="237" spans="1:10" x14ac:dyDescent="0.2">
      <c r="A237" s="6" t="s">
        <v>245</v>
      </c>
      <c r="B237" s="6">
        <v>2</v>
      </c>
      <c r="C237" s="8">
        <v>48</v>
      </c>
      <c r="D237" s="8">
        <v>4536726</v>
      </c>
      <c r="E237" s="8">
        <v>300</v>
      </c>
      <c r="F237" s="8">
        <v>28354500</v>
      </c>
      <c r="G237" s="8">
        <v>256</v>
      </c>
      <c r="H237" s="8">
        <v>24195872</v>
      </c>
      <c r="I237" s="8">
        <v>92</v>
      </c>
      <c r="J237" s="8">
        <v>8695354</v>
      </c>
    </row>
    <row r="238" spans="1:10" x14ac:dyDescent="0.2">
      <c r="A238" s="6" t="s">
        <v>246</v>
      </c>
      <c r="B238" s="6">
        <v>2</v>
      </c>
      <c r="C238" s="8">
        <v>0</v>
      </c>
      <c r="D238" s="8">
        <v>0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</row>
    <row r="239" spans="1:10" x14ac:dyDescent="0.2">
      <c r="A239" s="6" t="s">
        <v>247</v>
      </c>
      <c r="B239" s="6">
        <v>2</v>
      </c>
      <c r="C239" s="8">
        <v>2880</v>
      </c>
      <c r="D239" s="8">
        <v>20527314</v>
      </c>
      <c r="E239" s="8">
        <v>2544</v>
      </c>
      <c r="F239" s="8">
        <v>18132462</v>
      </c>
      <c r="G239" s="8">
        <v>52</v>
      </c>
      <c r="H239" s="8">
        <v>370632</v>
      </c>
      <c r="I239" s="8">
        <v>5372</v>
      </c>
      <c r="J239" s="8">
        <v>38289144</v>
      </c>
    </row>
    <row r="240" spans="1:10" x14ac:dyDescent="0.2">
      <c r="A240" s="6" t="s">
        <v>248</v>
      </c>
      <c r="B240" s="6">
        <v>2</v>
      </c>
      <c r="C240" s="8">
        <v>0</v>
      </c>
      <c r="D240" s="8">
        <v>0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</row>
    <row r="241" spans="1:10" x14ac:dyDescent="0.2">
      <c r="A241" s="6" t="s">
        <v>249</v>
      </c>
      <c r="B241" s="6">
        <v>2</v>
      </c>
      <c r="C241" s="8">
        <v>0</v>
      </c>
      <c r="D241" s="8">
        <v>0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</row>
    <row r="242" spans="1:10" x14ac:dyDescent="0.2">
      <c r="A242" s="6" t="s">
        <v>250</v>
      </c>
      <c r="B242" s="6">
        <v>2</v>
      </c>
      <c r="C242" s="8">
        <v>1561</v>
      </c>
      <c r="D242" s="8">
        <v>65468752</v>
      </c>
      <c r="E242" s="8">
        <v>288</v>
      </c>
      <c r="F242" s="8">
        <v>2052732</v>
      </c>
      <c r="G242" s="8">
        <v>0</v>
      </c>
      <c r="H242" s="8">
        <v>0</v>
      </c>
      <c r="I242" s="8">
        <v>1849</v>
      </c>
      <c r="J242" s="8">
        <v>67521484</v>
      </c>
    </row>
    <row r="243" spans="1:10" x14ac:dyDescent="0.2">
      <c r="A243" s="6" t="s">
        <v>251</v>
      </c>
      <c r="B243" s="6">
        <v>2</v>
      </c>
      <c r="C243" s="8">
        <v>0</v>
      </c>
      <c r="D243" s="8">
        <v>0</v>
      </c>
      <c r="E243" s="8">
        <v>15</v>
      </c>
      <c r="F243" s="8">
        <v>1122000</v>
      </c>
      <c r="G243" s="8">
        <v>15</v>
      </c>
      <c r="H243" s="8">
        <v>1122000</v>
      </c>
      <c r="I243" s="8">
        <v>0</v>
      </c>
      <c r="J243" s="8">
        <v>0</v>
      </c>
    </row>
    <row r="244" spans="1:10" x14ac:dyDescent="0.2">
      <c r="A244" s="6" t="s">
        <v>252</v>
      </c>
      <c r="B244" s="6">
        <v>2</v>
      </c>
      <c r="C244" s="8">
        <v>0</v>
      </c>
      <c r="D244" s="8">
        <v>0</v>
      </c>
      <c r="E244" s="8">
        <v>0</v>
      </c>
      <c r="F244" s="8">
        <v>0</v>
      </c>
      <c r="G244" s="8"/>
      <c r="H244" s="8">
        <v>0</v>
      </c>
      <c r="I244" s="8">
        <v>0</v>
      </c>
      <c r="J244" s="8">
        <v>0</v>
      </c>
    </row>
    <row r="245" spans="1:10" x14ac:dyDescent="0.2">
      <c r="A245" s="6" t="s">
        <v>253</v>
      </c>
      <c r="B245" s="6">
        <v>2</v>
      </c>
      <c r="C245" s="8">
        <v>0</v>
      </c>
      <c r="D245" s="8">
        <v>0</v>
      </c>
      <c r="E245" s="8">
        <v>42</v>
      </c>
      <c r="F245" s="8">
        <v>3141600</v>
      </c>
      <c r="G245" s="8">
        <v>42</v>
      </c>
      <c r="H245" s="8">
        <v>3141600</v>
      </c>
      <c r="I245" s="8">
        <v>0</v>
      </c>
      <c r="J245" s="8">
        <v>0</v>
      </c>
    </row>
    <row r="246" spans="1:10" x14ac:dyDescent="0.2">
      <c r="A246" s="6" t="s">
        <v>254</v>
      </c>
      <c r="B246" s="6">
        <v>2</v>
      </c>
      <c r="C246" s="8">
        <v>125</v>
      </c>
      <c r="D246" s="8">
        <v>4196915</v>
      </c>
      <c r="E246" s="8">
        <v>170</v>
      </c>
      <c r="F246" s="8">
        <v>5720840</v>
      </c>
      <c r="G246" s="8">
        <v>50</v>
      </c>
      <c r="H246" s="8">
        <v>1680975</v>
      </c>
      <c r="I246" s="8">
        <v>245</v>
      </c>
      <c r="J246" s="8">
        <v>8236780</v>
      </c>
    </row>
    <row r="247" spans="1:10" x14ac:dyDescent="0.2">
      <c r="A247" s="6" t="s">
        <v>255</v>
      </c>
      <c r="B247" s="6">
        <v>2</v>
      </c>
      <c r="C247" s="8">
        <v>0</v>
      </c>
      <c r="D247" s="8">
        <v>0</v>
      </c>
      <c r="E247" s="8">
        <v>0</v>
      </c>
      <c r="F247" s="8">
        <v>0</v>
      </c>
      <c r="G247" s="8"/>
      <c r="H247" s="8">
        <v>0</v>
      </c>
      <c r="I247" s="8">
        <v>0</v>
      </c>
      <c r="J247" s="8">
        <v>0</v>
      </c>
    </row>
    <row r="248" spans="1:10" x14ac:dyDescent="0.2">
      <c r="A248" s="6" t="s">
        <v>256</v>
      </c>
      <c r="B248" s="6">
        <v>2</v>
      </c>
      <c r="C248" s="8">
        <v>103</v>
      </c>
      <c r="D248" s="8">
        <v>2200478</v>
      </c>
      <c r="E248" s="8">
        <v>20</v>
      </c>
      <c r="F248" s="8">
        <v>854554</v>
      </c>
      <c r="G248" s="8">
        <v>0</v>
      </c>
      <c r="H248" s="8">
        <v>0</v>
      </c>
      <c r="I248" s="8">
        <v>123</v>
      </c>
      <c r="J248" s="8">
        <v>3055032</v>
      </c>
    </row>
    <row r="249" spans="1:10" x14ac:dyDescent="0.2">
      <c r="A249" s="6" t="s">
        <v>257</v>
      </c>
      <c r="B249" s="6">
        <v>2</v>
      </c>
      <c r="C249" s="8">
        <v>0</v>
      </c>
      <c r="D249" s="8">
        <v>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</row>
    <row r="250" spans="1:10" x14ac:dyDescent="0.2">
      <c r="A250" s="6" t="s">
        <v>258</v>
      </c>
      <c r="B250" s="6">
        <v>2</v>
      </c>
      <c r="C250" s="8">
        <v>270</v>
      </c>
      <c r="D250" s="8">
        <v>4079585</v>
      </c>
      <c r="E250" s="8">
        <v>1200</v>
      </c>
      <c r="F250" s="8">
        <v>3600576</v>
      </c>
      <c r="G250" s="8">
        <v>40</v>
      </c>
      <c r="H250" s="8">
        <v>169522</v>
      </c>
      <c r="I250" s="8">
        <v>1430</v>
      </c>
      <c r="J250" s="8">
        <v>7510639</v>
      </c>
    </row>
    <row r="251" spans="1:10" x14ac:dyDescent="0.2">
      <c r="A251" s="6" t="s">
        <v>259</v>
      </c>
      <c r="B251" s="6">
        <v>2</v>
      </c>
      <c r="C251" s="8">
        <v>161</v>
      </c>
      <c r="D251" s="8">
        <v>3439584</v>
      </c>
      <c r="E251" s="8">
        <v>5</v>
      </c>
      <c r="F251" s="8">
        <v>213639</v>
      </c>
      <c r="G251" s="8">
        <v>46</v>
      </c>
      <c r="H251" s="8">
        <v>1012339</v>
      </c>
      <c r="I251" s="8">
        <v>120</v>
      </c>
      <c r="J251" s="8">
        <v>2640884</v>
      </c>
    </row>
    <row r="252" spans="1:10" x14ac:dyDescent="0.2">
      <c r="A252" s="6" t="s">
        <v>260</v>
      </c>
      <c r="B252" s="6">
        <v>2</v>
      </c>
      <c r="C252" s="8">
        <v>5</v>
      </c>
      <c r="D252" s="8">
        <v>274480</v>
      </c>
      <c r="E252" s="8">
        <v>20</v>
      </c>
      <c r="F252" s="8">
        <v>1097920</v>
      </c>
      <c r="G252" s="8">
        <v>23</v>
      </c>
      <c r="H252" s="8">
        <v>1262608</v>
      </c>
      <c r="I252" s="8">
        <v>2</v>
      </c>
      <c r="J252" s="8">
        <v>109792</v>
      </c>
    </row>
    <row r="253" spans="1:10" x14ac:dyDescent="0.2">
      <c r="A253" s="6" t="s">
        <v>261</v>
      </c>
      <c r="B253" s="6">
        <v>2</v>
      </c>
      <c r="C253" s="8">
        <v>0</v>
      </c>
      <c r="D253" s="8">
        <v>0</v>
      </c>
      <c r="E253" s="8">
        <v>0</v>
      </c>
      <c r="F253" s="8">
        <v>0</v>
      </c>
      <c r="G253" s="8"/>
      <c r="H253" s="8">
        <v>0</v>
      </c>
      <c r="I253" s="8">
        <v>0</v>
      </c>
      <c r="J253" s="8">
        <v>0</v>
      </c>
    </row>
    <row r="254" spans="1:10" x14ac:dyDescent="0.2">
      <c r="A254" s="6" t="s">
        <v>262</v>
      </c>
      <c r="B254" s="6">
        <v>2</v>
      </c>
      <c r="C254" s="8">
        <v>0</v>
      </c>
      <c r="D254" s="8">
        <v>0</v>
      </c>
      <c r="E254" s="8">
        <v>0</v>
      </c>
      <c r="F254" s="8">
        <v>0</v>
      </c>
      <c r="G254" s="8"/>
      <c r="H254" s="8">
        <v>0</v>
      </c>
      <c r="I254" s="8">
        <v>0</v>
      </c>
      <c r="J254" s="8">
        <v>0</v>
      </c>
    </row>
    <row r="255" spans="1:10" x14ac:dyDescent="0.2">
      <c r="A255" s="6" t="s">
        <v>263</v>
      </c>
      <c r="B255" s="6">
        <v>2</v>
      </c>
      <c r="C255" s="8">
        <v>2</v>
      </c>
      <c r="D255" s="8">
        <v>118440</v>
      </c>
      <c r="E255" s="8">
        <v>80</v>
      </c>
      <c r="F255" s="8">
        <v>4737600</v>
      </c>
      <c r="G255" s="8">
        <v>79</v>
      </c>
      <c r="H255" s="8">
        <v>4678380</v>
      </c>
      <c r="I255" s="8">
        <v>3</v>
      </c>
      <c r="J255" s="8">
        <v>177660</v>
      </c>
    </row>
    <row r="256" spans="1:10" x14ac:dyDescent="0.2">
      <c r="A256" s="6" t="s">
        <v>264</v>
      </c>
      <c r="B256" s="6">
        <v>2</v>
      </c>
      <c r="C256" s="8">
        <v>0</v>
      </c>
      <c r="D256" s="8">
        <v>0</v>
      </c>
      <c r="E256" s="8">
        <v>30</v>
      </c>
      <c r="F256" s="8">
        <v>1170000</v>
      </c>
      <c r="G256" s="8">
        <v>29</v>
      </c>
      <c r="H256" s="8">
        <v>1131000</v>
      </c>
      <c r="I256" s="8">
        <v>1</v>
      </c>
      <c r="J256" s="8">
        <v>39000</v>
      </c>
    </row>
    <row r="257" spans="1:10" x14ac:dyDescent="0.2">
      <c r="A257" s="6" t="s">
        <v>265</v>
      </c>
      <c r="B257" s="6">
        <v>2</v>
      </c>
      <c r="C257" s="8">
        <v>5</v>
      </c>
      <c r="D257" s="8">
        <v>323360</v>
      </c>
      <c r="E257" s="8">
        <v>5</v>
      </c>
      <c r="F257" s="8">
        <v>323360</v>
      </c>
      <c r="G257" s="8">
        <v>10</v>
      </c>
      <c r="H257" s="8">
        <v>646720</v>
      </c>
      <c r="I257" s="8">
        <v>0</v>
      </c>
      <c r="J257" s="8">
        <v>0</v>
      </c>
    </row>
    <row r="258" spans="1:10" x14ac:dyDescent="0.2">
      <c r="A258" s="6" t="s">
        <v>266</v>
      </c>
      <c r="B258" s="6">
        <v>2</v>
      </c>
      <c r="C258" s="8">
        <v>2</v>
      </c>
      <c r="D258" s="8">
        <v>129720</v>
      </c>
      <c r="E258" s="8">
        <v>0</v>
      </c>
      <c r="F258" s="8">
        <v>0</v>
      </c>
      <c r="G258" s="8">
        <v>0</v>
      </c>
      <c r="H258" s="8">
        <v>0</v>
      </c>
      <c r="I258" s="8">
        <v>2</v>
      </c>
      <c r="J258" s="8">
        <v>129720</v>
      </c>
    </row>
    <row r="259" spans="1:10" x14ac:dyDescent="0.2">
      <c r="A259" s="6" t="s">
        <v>267</v>
      </c>
      <c r="B259" s="6">
        <v>2</v>
      </c>
      <c r="C259" s="8">
        <v>0</v>
      </c>
      <c r="D259" s="8">
        <v>0</v>
      </c>
      <c r="E259" s="8">
        <v>30</v>
      </c>
      <c r="F259" s="8">
        <v>1170000</v>
      </c>
      <c r="G259" s="8">
        <v>29</v>
      </c>
      <c r="H259" s="8">
        <v>1131000</v>
      </c>
      <c r="I259" s="8">
        <v>1</v>
      </c>
      <c r="J259" s="8">
        <v>39000</v>
      </c>
    </row>
    <row r="260" spans="1:10" x14ac:dyDescent="0.2">
      <c r="A260" s="6" t="s">
        <v>268</v>
      </c>
      <c r="B260" s="6">
        <v>2</v>
      </c>
      <c r="C260" s="8">
        <v>80</v>
      </c>
      <c r="D260" s="8">
        <v>4419241</v>
      </c>
      <c r="E260" s="8">
        <v>0</v>
      </c>
      <c r="F260" s="8">
        <v>0</v>
      </c>
      <c r="G260" s="8">
        <v>80</v>
      </c>
      <c r="H260" s="8">
        <v>4419241</v>
      </c>
      <c r="I260" s="8">
        <v>0</v>
      </c>
      <c r="J260" s="8">
        <v>0</v>
      </c>
    </row>
    <row r="261" spans="1:10" x14ac:dyDescent="0.2">
      <c r="A261" s="6" t="s">
        <v>269</v>
      </c>
      <c r="B261" s="6">
        <v>2</v>
      </c>
      <c r="C261" s="8">
        <v>0</v>
      </c>
      <c r="D261" s="8">
        <v>0</v>
      </c>
      <c r="E261" s="8">
        <v>6</v>
      </c>
      <c r="F261" s="8">
        <v>378000</v>
      </c>
      <c r="G261" s="8">
        <v>6</v>
      </c>
      <c r="H261" s="8">
        <v>378000</v>
      </c>
      <c r="I261" s="8">
        <v>0</v>
      </c>
      <c r="J261" s="8">
        <v>0</v>
      </c>
    </row>
    <row r="262" spans="1:10" x14ac:dyDescent="0.2">
      <c r="A262" s="6" t="s">
        <v>270</v>
      </c>
      <c r="B262" s="6">
        <v>2</v>
      </c>
      <c r="C262" s="8">
        <v>0</v>
      </c>
      <c r="D262" s="8">
        <v>0</v>
      </c>
      <c r="E262" s="8">
        <v>20</v>
      </c>
      <c r="F262" s="8">
        <v>1160000</v>
      </c>
      <c r="G262" s="8">
        <v>20</v>
      </c>
      <c r="H262" s="8">
        <v>1160000</v>
      </c>
      <c r="I262" s="8">
        <v>0</v>
      </c>
      <c r="J262" s="8">
        <v>0</v>
      </c>
    </row>
    <row r="263" spans="1:10" x14ac:dyDescent="0.2">
      <c r="A263" s="6" t="s">
        <v>271</v>
      </c>
      <c r="B263" s="6">
        <v>2</v>
      </c>
      <c r="C263" s="8">
        <v>1</v>
      </c>
      <c r="D263" s="8">
        <v>134195</v>
      </c>
      <c r="E263" s="8">
        <v>31</v>
      </c>
      <c r="F263" s="8">
        <v>4160045</v>
      </c>
      <c r="G263" s="8">
        <v>32</v>
      </c>
      <c r="H263" s="8">
        <v>4294240</v>
      </c>
      <c r="I263" s="8">
        <v>0</v>
      </c>
      <c r="J263" s="8">
        <v>0</v>
      </c>
    </row>
    <row r="264" spans="1:10" x14ac:dyDescent="0.2">
      <c r="A264" s="6" t="s">
        <v>272</v>
      </c>
      <c r="B264" s="6">
        <v>2</v>
      </c>
      <c r="C264" s="8">
        <v>0</v>
      </c>
      <c r="D264" s="8">
        <v>0</v>
      </c>
      <c r="E264" s="8">
        <v>0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</row>
    <row r="265" spans="1:10" x14ac:dyDescent="0.2">
      <c r="A265" s="6" t="s">
        <v>273</v>
      </c>
      <c r="B265" s="6">
        <v>2</v>
      </c>
      <c r="C265" s="8">
        <v>0</v>
      </c>
      <c r="D265" s="8">
        <v>0</v>
      </c>
      <c r="E265" s="8">
        <v>0</v>
      </c>
      <c r="F265" s="8">
        <v>0</v>
      </c>
      <c r="G265" s="8"/>
      <c r="H265" s="8">
        <v>0</v>
      </c>
      <c r="I265" s="8">
        <v>0</v>
      </c>
      <c r="J265" s="8">
        <v>0</v>
      </c>
    </row>
    <row r="266" spans="1:10" x14ac:dyDescent="0.2">
      <c r="A266" s="6" t="s">
        <v>274</v>
      </c>
      <c r="B266" s="6">
        <v>2</v>
      </c>
      <c r="C266" s="8">
        <v>0</v>
      </c>
      <c r="D266" s="8">
        <v>0</v>
      </c>
      <c r="E266" s="8">
        <v>21</v>
      </c>
      <c r="F266" s="8">
        <v>745500</v>
      </c>
      <c r="G266" s="8">
        <v>21</v>
      </c>
      <c r="H266" s="8">
        <v>745500</v>
      </c>
      <c r="I266" s="8">
        <v>0</v>
      </c>
      <c r="J266" s="8">
        <v>0</v>
      </c>
    </row>
    <row r="267" spans="1:10" x14ac:dyDescent="0.2">
      <c r="A267" s="6" t="s">
        <v>275</v>
      </c>
      <c r="B267" s="6">
        <v>2</v>
      </c>
      <c r="C267" s="8">
        <v>0</v>
      </c>
      <c r="D267" s="8">
        <v>0</v>
      </c>
      <c r="E267" s="8">
        <v>53</v>
      </c>
      <c r="F267" s="8">
        <v>1325000</v>
      </c>
      <c r="G267" s="8">
        <v>53</v>
      </c>
      <c r="H267" s="8">
        <v>1325000</v>
      </c>
      <c r="I267" s="8">
        <v>0</v>
      </c>
      <c r="J267" s="8">
        <v>0</v>
      </c>
    </row>
    <row r="268" spans="1:10" x14ac:dyDescent="0.2">
      <c r="A268" s="6" t="s">
        <v>276</v>
      </c>
      <c r="B268" s="6">
        <v>2</v>
      </c>
      <c r="C268" s="8">
        <v>1</v>
      </c>
      <c r="D268" s="8">
        <v>75576</v>
      </c>
      <c r="E268" s="8">
        <v>65</v>
      </c>
      <c r="F268" s="8">
        <v>2457000</v>
      </c>
      <c r="G268" s="8">
        <v>66</v>
      </c>
      <c r="H268" s="8">
        <v>2532576</v>
      </c>
      <c r="I268" s="8">
        <v>0</v>
      </c>
      <c r="J268" s="8">
        <v>0</v>
      </c>
    </row>
    <row r="269" spans="1:10" x14ac:dyDescent="0.2">
      <c r="A269" s="6" t="s">
        <v>277</v>
      </c>
      <c r="B269" s="6">
        <v>2</v>
      </c>
      <c r="C269" s="8">
        <v>10</v>
      </c>
      <c r="D269" s="8">
        <v>213192</v>
      </c>
      <c r="E269" s="8">
        <v>0</v>
      </c>
      <c r="F269" s="8">
        <v>0</v>
      </c>
      <c r="G269" s="8">
        <v>10</v>
      </c>
      <c r="H269" s="8">
        <v>213192</v>
      </c>
      <c r="I269" s="8">
        <v>0</v>
      </c>
      <c r="J269" s="8">
        <v>0</v>
      </c>
    </row>
    <row r="270" spans="1:10" x14ac:dyDescent="0.2">
      <c r="A270" s="6" t="s">
        <v>278</v>
      </c>
      <c r="B270" s="6">
        <v>2</v>
      </c>
      <c r="C270" s="8">
        <v>85</v>
      </c>
      <c r="D270" s="8">
        <v>4002990</v>
      </c>
      <c r="E270" s="8">
        <v>0</v>
      </c>
      <c r="F270" s="8">
        <v>0</v>
      </c>
      <c r="G270" s="8">
        <v>85</v>
      </c>
      <c r="H270" s="8">
        <v>4002990</v>
      </c>
      <c r="I270" s="8">
        <v>0</v>
      </c>
      <c r="J270" s="8">
        <v>0</v>
      </c>
    </row>
    <row r="271" spans="1:10" x14ac:dyDescent="0.2">
      <c r="A271" s="6" t="s">
        <v>279</v>
      </c>
      <c r="B271" s="6">
        <v>2</v>
      </c>
      <c r="C271" s="8">
        <v>0</v>
      </c>
      <c r="D271" s="8">
        <v>0</v>
      </c>
      <c r="E271" s="8">
        <v>31</v>
      </c>
      <c r="F271" s="8">
        <v>2371500</v>
      </c>
      <c r="G271" s="8">
        <v>31</v>
      </c>
      <c r="H271" s="8">
        <v>2371500</v>
      </c>
      <c r="I271" s="8">
        <v>0</v>
      </c>
      <c r="J271" s="8">
        <v>0</v>
      </c>
    </row>
    <row r="272" spans="1:10" x14ac:dyDescent="0.2">
      <c r="A272" s="6" t="s">
        <v>280</v>
      </c>
      <c r="B272" s="6">
        <v>2</v>
      </c>
      <c r="C272" s="8">
        <v>0</v>
      </c>
      <c r="D272" s="8">
        <v>0</v>
      </c>
      <c r="E272" s="8">
        <v>16</v>
      </c>
      <c r="F272" s="8">
        <v>1280000</v>
      </c>
      <c r="G272" s="8">
        <v>16</v>
      </c>
      <c r="H272" s="8">
        <v>1280000</v>
      </c>
      <c r="I272" s="8">
        <v>0</v>
      </c>
      <c r="J272" s="8">
        <v>0</v>
      </c>
    </row>
    <row r="273" spans="1:23" x14ac:dyDescent="0.2">
      <c r="A273" s="6" t="s">
        <v>281</v>
      </c>
      <c r="B273" s="6">
        <v>2</v>
      </c>
      <c r="C273" s="8">
        <v>66</v>
      </c>
      <c r="D273" s="8">
        <v>1122693</v>
      </c>
      <c r="E273" s="8">
        <v>92</v>
      </c>
      <c r="F273" s="8">
        <v>1554525</v>
      </c>
      <c r="G273" s="8">
        <v>10</v>
      </c>
      <c r="H273" s="8">
        <v>169444</v>
      </c>
      <c r="I273" s="8">
        <v>148</v>
      </c>
      <c r="J273" s="8">
        <v>2507774</v>
      </c>
    </row>
    <row r="274" spans="1:23" x14ac:dyDescent="0.2">
      <c r="A274" s="6" t="s">
        <v>282</v>
      </c>
      <c r="B274" s="6">
        <v>2</v>
      </c>
      <c r="C274" s="8">
        <v>0</v>
      </c>
      <c r="D274" s="8">
        <v>0</v>
      </c>
      <c r="E274" s="8">
        <v>28</v>
      </c>
      <c r="F274" s="8">
        <v>1899975</v>
      </c>
      <c r="G274" s="8">
        <v>0</v>
      </c>
      <c r="H274" s="8">
        <v>0</v>
      </c>
      <c r="I274" s="8">
        <v>28</v>
      </c>
      <c r="J274" s="8">
        <v>1899975</v>
      </c>
    </row>
    <row r="275" spans="1:23" x14ac:dyDescent="0.2">
      <c r="A275" s="6" t="s">
        <v>283</v>
      </c>
      <c r="B275" s="6">
        <v>2</v>
      </c>
      <c r="C275" s="8">
        <v>680</v>
      </c>
      <c r="D275" s="8">
        <v>23969498</v>
      </c>
      <c r="E275" s="8">
        <v>2348</v>
      </c>
      <c r="F275" s="8">
        <v>40131420</v>
      </c>
      <c r="G275" s="8">
        <v>613</v>
      </c>
      <c r="H275" s="8">
        <v>11837863</v>
      </c>
      <c r="I275" s="8">
        <v>2415</v>
      </c>
      <c r="J275" s="8">
        <v>52263055</v>
      </c>
    </row>
    <row r="276" spans="1:23" x14ac:dyDescent="0.2">
      <c r="A276" s="6" t="s">
        <v>284</v>
      </c>
      <c r="B276" s="6">
        <v>2</v>
      </c>
      <c r="C276" s="8">
        <v>170</v>
      </c>
      <c r="D276" s="8">
        <v>7492027</v>
      </c>
      <c r="E276" s="8">
        <v>50</v>
      </c>
      <c r="F276" s="8">
        <v>2253650</v>
      </c>
      <c r="G276" s="8">
        <v>10</v>
      </c>
      <c r="H276" s="8">
        <v>442985</v>
      </c>
      <c r="I276" s="8">
        <v>210</v>
      </c>
      <c r="J276" s="8">
        <v>9302692</v>
      </c>
    </row>
    <row r="277" spans="1:23" x14ac:dyDescent="0.2">
      <c r="A277" s="6" t="s">
        <v>285</v>
      </c>
      <c r="B277" s="6">
        <v>2</v>
      </c>
      <c r="C277" s="8">
        <v>103</v>
      </c>
      <c r="D277" s="8">
        <v>5457039</v>
      </c>
      <c r="E277" s="8">
        <v>5</v>
      </c>
      <c r="F277" s="8">
        <v>475090</v>
      </c>
      <c r="G277" s="8">
        <v>108</v>
      </c>
      <c r="H277" s="8">
        <v>5932129</v>
      </c>
      <c r="I277" s="8">
        <v>0</v>
      </c>
      <c r="J277" s="8">
        <v>0</v>
      </c>
    </row>
    <row r="278" spans="1:23" x14ac:dyDescent="0.2">
      <c r="A278" s="6" t="s">
        <v>286</v>
      </c>
      <c r="B278" s="6">
        <v>2</v>
      </c>
      <c r="C278" s="8">
        <v>0</v>
      </c>
      <c r="D278" s="8">
        <v>0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</row>
    <row r="279" spans="1:23" x14ac:dyDescent="0.2">
      <c r="A279" s="6" t="s">
        <v>287</v>
      </c>
      <c r="B279" s="6">
        <v>2</v>
      </c>
      <c r="C279" s="8">
        <v>0</v>
      </c>
      <c r="D279" s="8">
        <v>0</v>
      </c>
      <c r="E279" s="8">
        <v>0</v>
      </c>
      <c r="F279" s="8">
        <v>0</v>
      </c>
      <c r="G279" s="8"/>
      <c r="H279" s="8">
        <v>0</v>
      </c>
      <c r="I279" s="8">
        <v>0</v>
      </c>
      <c r="J279" s="8">
        <v>0</v>
      </c>
    </row>
    <row r="280" spans="1:23" x14ac:dyDescent="0.2">
      <c r="A280" s="6" t="s">
        <v>288</v>
      </c>
      <c r="B280" s="6">
        <v>2</v>
      </c>
      <c r="C280" s="8">
        <v>0</v>
      </c>
      <c r="D280" s="8">
        <v>0</v>
      </c>
      <c r="E280" s="8">
        <v>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</row>
    <row r="281" spans="1:23" x14ac:dyDescent="0.2">
      <c r="A281" s="6" t="s">
        <v>289</v>
      </c>
      <c r="B281" s="6">
        <v>2</v>
      </c>
      <c r="C281" s="8">
        <v>0</v>
      </c>
      <c r="D281" s="8">
        <v>0</v>
      </c>
      <c r="E281" s="8">
        <v>2400</v>
      </c>
      <c r="F281" s="8">
        <v>18544800</v>
      </c>
      <c r="G281" s="8">
        <v>0</v>
      </c>
      <c r="H281" s="8">
        <v>0</v>
      </c>
      <c r="I281" s="8">
        <v>2400</v>
      </c>
      <c r="J281" s="8">
        <v>18544800</v>
      </c>
    </row>
    <row r="282" spans="1:23" x14ac:dyDescent="0.2">
      <c r="A282" s="6" t="s">
        <v>290</v>
      </c>
      <c r="B282" s="6">
        <v>2</v>
      </c>
      <c r="C282" s="8">
        <v>1364</v>
      </c>
      <c r="D282" s="8">
        <v>121391504</v>
      </c>
      <c r="E282" s="8">
        <v>756</v>
      </c>
      <c r="F282" s="8">
        <v>67271904</v>
      </c>
      <c r="G282" s="8">
        <v>0</v>
      </c>
      <c r="H282" s="8">
        <v>0</v>
      </c>
      <c r="I282" s="8">
        <v>2120</v>
      </c>
      <c r="J282" s="8">
        <v>188663408</v>
      </c>
    </row>
    <row r="283" spans="1:23" x14ac:dyDescent="0.2">
      <c r="A283" s="6" t="s">
        <v>291</v>
      </c>
      <c r="B283" s="6">
        <v>2</v>
      </c>
      <c r="C283" s="8">
        <v>6467</v>
      </c>
      <c r="D283" s="8">
        <v>603715544</v>
      </c>
      <c r="E283" s="8">
        <v>1225</v>
      </c>
      <c r="F283" s="8">
        <v>114527700</v>
      </c>
      <c r="G283" s="8">
        <v>3106</v>
      </c>
      <c r="H283" s="8">
        <v>290023858</v>
      </c>
      <c r="I283" s="8">
        <v>4586</v>
      </c>
      <c r="J283" s="8">
        <v>428219386</v>
      </c>
    </row>
    <row r="284" spans="1:23" x14ac:dyDescent="0.2">
      <c r="A284" s="6" t="s">
        <v>292</v>
      </c>
      <c r="B284" s="6">
        <v>2</v>
      </c>
      <c r="C284" s="8">
        <v>216</v>
      </c>
      <c r="D284" s="8">
        <v>19220544</v>
      </c>
      <c r="E284" s="8">
        <v>450</v>
      </c>
      <c r="F284" s="8">
        <v>32034240</v>
      </c>
      <c r="G284" s="8">
        <v>0</v>
      </c>
      <c r="H284" s="8">
        <v>0</v>
      </c>
      <c r="I284" s="8">
        <v>666</v>
      </c>
      <c r="J284" s="8">
        <v>51254784</v>
      </c>
    </row>
    <row r="285" spans="1:23" x14ac:dyDescent="0.2">
      <c r="A285" s="3" t="s">
        <v>293</v>
      </c>
      <c r="B285" s="3"/>
      <c r="C285" s="5"/>
      <c r="D285" s="5">
        <v>15147175140</v>
      </c>
      <c r="E285" s="5">
        <v>762970</v>
      </c>
      <c r="F285" s="5">
        <v>8552434012</v>
      </c>
      <c r="G285" s="5">
        <v>394996</v>
      </c>
      <c r="H285" s="5">
        <v>7676643524</v>
      </c>
      <c r="I285" s="5"/>
      <c r="J285" s="5">
        <v>16022965628</v>
      </c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</sheetData>
  <mergeCells count="4">
    <mergeCell ref="C1:D1"/>
    <mergeCell ref="E1:F1"/>
    <mergeCell ref="G1:H1"/>
    <mergeCell ref="I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W285"/>
  <sheetViews>
    <sheetView topLeftCell="A268" workbookViewId="0">
      <selection activeCell="D285" sqref="D285"/>
    </sheetView>
  </sheetViews>
  <sheetFormatPr defaultColWidth="12.5703125" defaultRowHeight="15.75" customHeight="1" x14ac:dyDescent="0.2"/>
  <cols>
    <col min="1" max="1" width="64.42578125" customWidth="1"/>
    <col min="2" max="2" width="5.7109375" customWidth="1"/>
    <col min="4" max="4" width="13.85546875" bestFit="1" customWidth="1"/>
    <col min="10" max="10" width="13.85546875" bestFit="1" customWidth="1"/>
  </cols>
  <sheetData>
    <row r="1" spans="1:23" x14ac:dyDescent="0.2">
      <c r="A1" s="1"/>
      <c r="B1" s="2"/>
      <c r="C1" s="210" t="s">
        <v>0</v>
      </c>
      <c r="D1" s="211"/>
      <c r="E1" s="210" t="s">
        <v>1</v>
      </c>
      <c r="F1" s="211"/>
      <c r="G1" s="210" t="s">
        <v>2</v>
      </c>
      <c r="H1" s="211"/>
      <c r="I1" s="210" t="s">
        <v>3</v>
      </c>
      <c r="J1" s="21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">
      <c r="A2" s="3" t="s">
        <v>4</v>
      </c>
      <c r="B2" s="4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6</v>
      </c>
      <c r="H2" s="5" t="s">
        <v>10</v>
      </c>
      <c r="I2" s="5" t="s">
        <v>6</v>
      </c>
      <c r="J2" s="5" t="s">
        <v>9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">
      <c r="A3" s="6" t="s">
        <v>11</v>
      </c>
      <c r="B3" s="6">
        <v>3</v>
      </c>
      <c r="C3" s="8">
        <v>365</v>
      </c>
      <c r="D3" s="8">
        <v>9957363</v>
      </c>
      <c r="E3" s="8">
        <v>130</v>
      </c>
      <c r="F3" s="8">
        <v>3531580</v>
      </c>
      <c r="G3" s="8">
        <v>240</v>
      </c>
      <c r="H3" s="8">
        <v>6540094</v>
      </c>
      <c r="I3" s="8">
        <v>255</v>
      </c>
      <c r="J3" s="8">
        <v>6948849</v>
      </c>
    </row>
    <row r="4" spans="1:23" x14ac:dyDescent="0.2">
      <c r="A4" s="6" t="s">
        <v>12</v>
      </c>
      <c r="B4" s="6">
        <v>3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</row>
    <row r="5" spans="1:23" x14ac:dyDescent="0.2">
      <c r="A5" s="6" t="s">
        <v>13</v>
      </c>
      <c r="B5" s="6">
        <v>3</v>
      </c>
      <c r="C5" s="8">
        <v>995</v>
      </c>
      <c r="D5" s="8">
        <v>32652055</v>
      </c>
      <c r="E5" s="8">
        <v>0</v>
      </c>
      <c r="F5" s="8">
        <v>0</v>
      </c>
      <c r="G5" s="8">
        <v>72</v>
      </c>
      <c r="H5" s="8">
        <v>2362762</v>
      </c>
      <c r="I5" s="8">
        <v>923</v>
      </c>
      <c r="J5" s="8">
        <v>30289293</v>
      </c>
    </row>
    <row r="6" spans="1:23" x14ac:dyDescent="0.2">
      <c r="A6" s="6" t="s">
        <v>14</v>
      </c>
      <c r="B6" s="6">
        <v>3</v>
      </c>
      <c r="C6" s="8">
        <v>120</v>
      </c>
      <c r="D6" s="8">
        <v>35752144</v>
      </c>
      <c r="E6" s="8">
        <v>0</v>
      </c>
      <c r="F6" s="8">
        <v>0</v>
      </c>
      <c r="G6" s="8">
        <v>0</v>
      </c>
      <c r="H6" s="8">
        <v>0</v>
      </c>
      <c r="I6" s="8">
        <v>120</v>
      </c>
      <c r="J6" s="8">
        <v>35752144</v>
      </c>
    </row>
    <row r="7" spans="1:23" x14ac:dyDescent="0.2">
      <c r="A7" s="6" t="s">
        <v>15</v>
      </c>
      <c r="B7" s="6">
        <v>3</v>
      </c>
      <c r="C7" s="8">
        <v>510</v>
      </c>
      <c r="D7" s="8">
        <v>69373706</v>
      </c>
      <c r="E7" s="8">
        <v>0</v>
      </c>
      <c r="F7" s="8">
        <v>0</v>
      </c>
      <c r="G7" s="8">
        <v>0</v>
      </c>
      <c r="H7" s="8">
        <v>0</v>
      </c>
      <c r="I7" s="8">
        <v>510</v>
      </c>
      <c r="J7" s="8">
        <v>69373706</v>
      </c>
    </row>
    <row r="8" spans="1:23" x14ac:dyDescent="0.2">
      <c r="A8" s="6" t="s">
        <v>16</v>
      </c>
      <c r="B8" s="6">
        <v>3</v>
      </c>
      <c r="C8" s="8">
        <v>344</v>
      </c>
      <c r="D8" s="8">
        <v>53839916</v>
      </c>
      <c r="E8" s="8">
        <v>0</v>
      </c>
      <c r="F8" s="8">
        <v>0</v>
      </c>
      <c r="G8" s="8">
        <v>0</v>
      </c>
      <c r="H8" s="8">
        <v>0</v>
      </c>
      <c r="I8" s="8">
        <v>344</v>
      </c>
      <c r="J8" s="8">
        <v>53839916</v>
      </c>
    </row>
    <row r="9" spans="1:23" x14ac:dyDescent="0.2">
      <c r="A9" s="6" t="s">
        <v>17</v>
      </c>
      <c r="B9" s="6">
        <v>3</v>
      </c>
      <c r="C9" s="8">
        <v>159</v>
      </c>
      <c r="D9" s="8">
        <v>38049584</v>
      </c>
      <c r="E9" s="8">
        <v>0</v>
      </c>
      <c r="F9" s="8">
        <v>0</v>
      </c>
      <c r="G9" s="8">
        <v>0</v>
      </c>
      <c r="H9" s="8">
        <v>0</v>
      </c>
      <c r="I9" s="8">
        <v>159</v>
      </c>
      <c r="J9" s="8">
        <v>38049584</v>
      </c>
    </row>
    <row r="10" spans="1:23" x14ac:dyDescent="0.2">
      <c r="A10" s="6" t="s">
        <v>18</v>
      </c>
      <c r="B10" s="6">
        <v>3</v>
      </c>
      <c r="C10" s="8">
        <v>814</v>
      </c>
      <c r="D10" s="8">
        <v>17725779</v>
      </c>
      <c r="E10" s="8">
        <v>0</v>
      </c>
      <c r="F10" s="8">
        <v>0</v>
      </c>
      <c r="G10" s="8">
        <v>80</v>
      </c>
      <c r="H10" s="8">
        <v>1742091</v>
      </c>
      <c r="I10" s="8">
        <v>734</v>
      </c>
      <c r="J10" s="8">
        <v>15983688</v>
      </c>
    </row>
    <row r="11" spans="1:23" x14ac:dyDescent="0.2">
      <c r="A11" s="6" t="s">
        <v>19</v>
      </c>
      <c r="B11" s="6">
        <v>3</v>
      </c>
      <c r="C11" s="8">
        <v>180</v>
      </c>
      <c r="D11" s="8">
        <v>3904035</v>
      </c>
      <c r="E11" s="8">
        <v>0</v>
      </c>
      <c r="F11" s="8">
        <v>0</v>
      </c>
      <c r="G11" s="8">
        <v>0</v>
      </c>
      <c r="H11" s="8">
        <v>0</v>
      </c>
      <c r="I11" s="8">
        <v>180</v>
      </c>
      <c r="J11" s="8">
        <v>3904035</v>
      </c>
    </row>
    <row r="12" spans="1:23" x14ac:dyDescent="0.2">
      <c r="A12" s="6" t="s">
        <v>20</v>
      </c>
      <c r="B12" s="6">
        <v>3</v>
      </c>
      <c r="C12" s="8">
        <v>307</v>
      </c>
      <c r="D12" s="8">
        <v>32682234</v>
      </c>
      <c r="E12" s="8">
        <v>0</v>
      </c>
      <c r="F12" s="8">
        <v>0</v>
      </c>
      <c r="G12" s="8">
        <v>12</v>
      </c>
      <c r="H12" s="8">
        <v>1277481</v>
      </c>
      <c r="I12" s="8">
        <v>295</v>
      </c>
      <c r="J12" s="8">
        <v>31404753</v>
      </c>
    </row>
    <row r="13" spans="1:23" x14ac:dyDescent="0.2">
      <c r="A13" s="6" t="s">
        <v>21</v>
      </c>
      <c r="B13" s="6">
        <v>3</v>
      </c>
      <c r="C13" s="8">
        <v>182</v>
      </c>
      <c r="D13" s="8">
        <v>43553612</v>
      </c>
      <c r="E13" s="8">
        <v>0</v>
      </c>
      <c r="F13" s="8">
        <v>0</v>
      </c>
      <c r="G13" s="8">
        <v>12</v>
      </c>
      <c r="H13" s="8">
        <v>2871667</v>
      </c>
      <c r="I13" s="8">
        <v>170</v>
      </c>
      <c r="J13" s="8">
        <v>40681945</v>
      </c>
    </row>
    <row r="14" spans="1:23" x14ac:dyDescent="0.2">
      <c r="A14" s="6" t="s">
        <v>22</v>
      </c>
      <c r="B14" s="6">
        <v>3</v>
      </c>
      <c r="C14" s="8">
        <v>18</v>
      </c>
      <c r="D14" s="8">
        <v>407934</v>
      </c>
      <c r="E14" s="8">
        <v>0</v>
      </c>
      <c r="F14" s="8">
        <v>0</v>
      </c>
      <c r="G14" s="8">
        <v>0</v>
      </c>
      <c r="H14" s="8">
        <v>0</v>
      </c>
      <c r="I14" s="8">
        <v>18</v>
      </c>
      <c r="J14" s="8">
        <v>407934</v>
      </c>
    </row>
    <row r="15" spans="1:23" x14ac:dyDescent="0.2">
      <c r="A15" s="6" t="s">
        <v>23</v>
      </c>
      <c r="B15" s="6">
        <v>3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</row>
    <row r="16" spans="1:23" x14ac:dyDescent="0.2">
      <c r="A16" s="6" t="s">
        <v>24</v>
      </c>
      <c r="B16" s="6">
        <v>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</row>
    <row r="17" spans="1:10" x14ac:dyDescent="0.2">
      <c r="A17" s="6" t="s">
        <v>25</v>
      </c>
      <c r="B17" s="6">
        <v>3</v>
      </c>
      <c r="C17" s="8">
        <v>130</v>
      </c>
      <c r="D17" s="8">
        <v>2718170</v>
      </c>
      <c r="E17" s="8">
        <v>107</v>
      </c>
      <c r="F17" s="8">
        <v>2237263</v>
      </c>
      <c r="G17" s="8">
        <v>95</v>
      </c>
      <c r="H17" s="8">
        <v>1986355</v>
      </c>
      <c r="I17" s="8">
        <v>142</v>
      </c>
      <c r="J17" s="8">
        <v>2969078</v>
      </c>
    </row>
    <row r="18" spans="1:10" x14ac:dyDescent="0.2">
      <c r="A18" s="6" t="s">
        <v>26</v>
      </c>
      <c r="B18" s="6">
        <v>3</v>
      </c>
      <c r="C18" s="8">
        <v>136</v>
      </c>
      <c r="D18" s="8">
        <v>3461880</v>
      </c>
      <c r="E18" s="8">
        <v>53</v>
      </c>
      <c r="F18" s="8">
        <v>1349115</v>
      </c>
      <c r="G18" s="8">
        <v>50</v>
      </c>
      <c r="H18" s="8">
        <v>1272750</v>
      </c>
      <c r="I18" s="8">
        <v>139</v>
      </c>
      <c r="J18" s="8">
        <v>3538245</v>
      </c>
    </row>
    <row r="19" spans="1:10" x14ac:dyDescent="0.2">
      <c r="A19" s="6" t="s">
        <v>27</v>
      </c>
      <c r="B19" s="6">
        <v>3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</row>
    <row r="20" spans="1:10" x14ac:dyDescent="0.2">
      <c r="A20" s="6" t="s">
        <v>28</v>
      </c>
      <c r="B20" s="6">
        <v>3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</row>
    <row r="21" spans="1:10" x14ac:dyDescent="0.2">
      <c r="A21" s="6" t="s">
        <v>29</v>
      </c>
      <c r="B21" s="6">
        <v>3</v>
      </c>
      <c r="C21" s="8">
        <v>150</v>
      </c>
      <c r="D21" s="8">
        <v>39640950</v>
      </c>
      <c r="E21" s="8">
        <v>0</v>
      </c>
      <c r="F21" s="8">
        <v>0</v>
      </c>
      <c r="G21" s="8">
        <v>0</v>
      </c>
      <c r="H21" s="8">
        <v>0</v>
      </c>
      <c r="I21" s="8">
        <v>150</v>
      </c>
      <c r="J21" s="8">
        <v>39640950</v>
      </c>
    </row>
    <row r="22" spans="1:10" x14ac:dyDescent="0.2">
      <c r="A22" s="6" t="s">
        <v>30</v>
      </c>
      <c r="B22" s="6">
        <v>3</v>
      </c>
      <c r="C22" s="8">
        <v>20</v>
      </c>
      <c r="D22" s="8">
        <v>5492720</v>
      </c>
      <c r="E22" s="8">
        <v>100</v>
      </c>
      <c r="F22" s="8">
        <v>20250560</v>
      </c>
      <c r="G22" s="8">
        <v>0</v>
      </c>
      <c r="H22" s="8">
        <v>0</v>
      </c>
      <c r="I22" s="8">
        <v>120</v>
      </c>
      <c r="J22" s="8">
        <v>25743280</v>
      </c>
    </row>
    <row r="23" spans="1:10" x14ac:dyDescent="0.2">
      <c r="A23" s="6" t="s">
        <v>31</v>
      </c>
      <c r="B23" s="6">
        <v>3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</row>
    <row r="24" spans="1:10" x14ac:dyDescent="0.2">
      <c r="A24" s="6" t="s">
        <v>32</v>
      </c>
      <c r="B24" s="6">
        <v>3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</row>
    <row r="25" spans="1:10" x14ac:dyDescent="0.2">
      <c r="A25" s="6" t="s">
        <v>33</v>
      </c>
      <c r="B25" s="6">
        <v>3</v>
      </c>
      <c r="C25" s="8">
        <v>36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36</v>
      </c>
      <c r="J25" s="8">
        <v>0</v>
      </c>
    </row>
    <row r="26" spans="1:10" x14ac:dyDescent="0.2">
      <c r="A26" s="6" t="s">
        <v>34</v>
      </c>
      <c r="B26" s="6">
        <v>3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</row>
    <row r="27" spans="1:10" x14ac:dyDescent="0.2">
      <c r="A27" s="6" t="s">
        <v>35</v>
      </c>
      <c r="B27" s="6">
        <v>3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</row>
    <row r="28" spans="1:10" x14ac:dyDescent="0.2">
      <c r="A28" s="6" t="s">
        <v>36</v>
      </c>
      <c r="B28" s="6">
        <v>3</v>
      </c>
      <c r="C28" s="8">
        <v>20</v>
      </c>
      <c r="D28" s="8">
        <v>909100</v>
      </c>
      <c r="E28" s="8">
        <v>0</v>
      </c>
      <c r="F28" s="8">
        <v>0</v>
      </c>
      <c r="G28" s="8">
        <v>0</v>
      </c>
      <c r="H28" s="8">
        <v>0</v>
      </c>
      <c r="I28" s="8">
        <v>20</v>
      </c>
      <c r="J28" s="8">
        <v>909100</v>
      </c>
    </row>
    <row r="29" spans="1:10" x14ac:dyDescent="0.2">
      <c r="A29" s="6" t="s">
        <v>37</v>
      </c>
      <c r="B29" s="6">
        <v>3</v>
      </c>
      <c r="C29" s="8">
        <v>8631</v>
      </c>
      <c r="D29" s="8">
        <v>462669998</v>
      </c>
      <c r="E29" s="8">
        <v>5760</v>
      </c>
      <c r="F29" s="8">
        <v>305228160</v>
      </c>
      <c r="G29" s="8">
        <v>4832</v>
      </c>
      <c r="H29" s="8">
        <v>257833639</v>
      </c>
      <c r="I29" s="8">
        <v>9559</v>
      </c>
      <c r="J29" s="8">
        <v>510064519</v>
      </c>
    </row>
    <row r="30" spans="1:10" x14ac:dyDescent="0.2">
      <c r="A30" s="6" t="s">
        <v>38</v>
      </c>
      <c r="B30" s="6">
        <v>3</v>
      </c>
      <c r="C30" s="8">
        <v>281301</v>
      </c>
      <c r="D30" s="8">
        <v>477074241</v>
      </c>
      <c r="E30" s="8">
        <v>9720</v>
      </c>
      <c r="F30" s="8">
        <v>287984160</v>
      </c>
      <c r="G30" s="8">
        <v>6408</v>
      </c>
      <c r="H30" s="8">
        <v>191172293</v>
      </c>
      <c r="I30" s="8">
        <v>284613</v>
      </c>
      <c r="J30" s="8">
        <v>573886108</v>
      </c>
    </row>
    <row r="31" spans="1:10" x14ac:dyDescent="0.2">
      <c r="A31" s="6" t="s">
        <v>39</v>
      </c>
      <c r="B31" s="6">
        <v>3</v>
      </c>
      <c r="C31" s="8">
        <v>28710</v>
      </c>
      <c r="D31" s="8">
        <v>144997018</v>
      </c>
      <c r="E31" s="8">
        <v>2400</v>
      </c>
      <c r="F31" s="8">
        <v>80829600</v>
      </c>
      <c r="G31" s="8">
        <v>540</v>
      </c>
      <c r="H31" s="8">
        <v>18211958</v>
      </c>
      <c r="I31" s="8">
        <v>30570</v>
      </c>
      <c r="J31" s="8">
        <v>207614660</v>
      </c>
    </row>
    <row r="32" spans="1:10" x14ac:dyDescent="0.2">
      <c r="A32" s="6" t="s">
        <v>40</v>
      </c>
      <c r="B32" s="6">
        <v>3</v>
      </c>
      <c r="C32" s="8">
        <v>0</v>
      </c>
      <c r="D32" s="8">
        <v>0</v>
      </c>
      <c r="E32" s="8">
        <v>150</v>
      </c>
      <c r="F32" s="8">
        <v>6675000</v>
      </c>
      <c r="G32" s="8">
        <v>150</v>
      </c>
      <c r="H32" s="8">
        <v>6675000</v>
      </c>
      <c r="I32" s="8">
        <v>0</v>
      </c>
      <c r="J32" s="8">
        <v>0</v>
      </c>
    </row>
    <row r="33" spans="1:10" x14ac:dyDescent="0.2">
      <c r="A33" s="6" t="s">
        <v>41</v>
      </c>
      <c r="B33" s="6">
        <v>3</v>
      </c>
      <c r="C33" s="8">
        <v>90</v>
      </c>
      <c r="D33" s="8">
        <v>3031110</v>
      </c>
      <c r="E33" s="8">
        <v>0</v>
      </c>
      <c r="F33" s="8">
        <v>0</v>
      </c>
      <c r="G33" s="8">
        <v>0</v>
      </c>
      <c r="H33" s="8">
        <v>0</v>
      </c>
      <c r="I33" s="8">
        <v>90</v>
      </c>
      <c r="J33" s="8">
        <v>3031110</v>
      </c>
    </row>
    <row r="34" spans="1:10" x14ac:dyDescent="0.2">
      <c r="A34" s="6" t="s">
        <v>42</v>
      </c>
      <c r="B34" s="6">
        <v>3</v>
      </c>
      <c r="C34" s="8">
        <v>32</v>
      </c>
      <c r="D34" s="8">
        <v>1531840</v>
      </c>
      <c r="E34" s="8">
        <v>32</v>
      </c>
      <c r="F34" s="8">
        <v>1531840</v>
      </c>
      <c r="G34" s="8">
        <v>0</v>
      </c>
      <c r="H34" s="8">
        <v>0</v>
      </c>
      <c r="I34" s="8">
        <v>64</v>
      </c>
      <c r="J34" s="8">
        <v>3063680</v>
      </c>
    </row>
    <row r="35" spans="1:10" x14ac:dyDescent="0.2">
      <c r="A35" s="6" t="s">
        <v>43</v>
      </c>
      <c r="B35" s="6">
        <v>3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</row>
    <row r="36" spans="1:10" x14ac:dyDescent="0.2">
      <c r="A36" s="6" t="s">
        <v>44</v>
      </c>
      <c r="B36" s="6">
        <v>3</v>
      </c>
      <c r="C36" s="8">
        <v>10055</v>
      </c>
      <c r="D36" s="8">
        <v>51173472</v>
      </c>
      <c r="E36" s="8">
        <v>675</v>
      </c>
      <c r="F36" s="8">
        <v>22733325</v>
      </c>
      <c r="G36" s="8">
        <v>330</v>
      </c>
      <c r="H36" s="8">
        <v>11114048</v>
      </c>
      <c r="I36" s="8">
        <v>10400</v>
      </c>
      <c r="J36" s="8">
        <v>62792749</v>
      </c>
    </row>
    <row r="37" spans="1:10" x14ac:dyDescent="0.2">
      <c r="A37" s="6" t="s">
        <v>45</v>
      </c>
      <c r="B37" s="6">
        <v>3</v>
      </c>
      <c r="C37" s="8">
        <v>1257</v>
      </c>
      <c r="D37" s="8">
        <v>42332426</v>
      </c>
      <c r="E37" s="8">
        <v>450</v>
      </c>
      <c r="F37" s="8">
        <v>15155550</v>
      </c>
      <c r="G37" s="8">
        <v>210</v>
      </c>
      <c r="H37" s="8">
        <v>7072334</v>
      </c>
      <c r="I37" s="8">
        <v>1497</v>
      </c>
      <c r="J37" s="8">
        <v>50415642</v>
      </c>
    </row>
    <row r="38" spans="1:10" x14ac:dyDescent="0.2">
      <c r="A38" s="6" t="s">
        <v>46</v>
      </c>
      <c r="B38" s="6">
        <v>3</v>
      </c>
      <c r="C38" s="8">
        <v>75</v>
      </c>
      <c r="D38" s="8">
        <v>2525925</v>
      </c>
      <c r="E38" s="8">
        <v>90</v>
      </c>
      <c r="F38" s="8">
        <v>3031110</v>
      </c>
      <c r="G38" s="8">
        <v>0</v>
      </c>
      <c r="H38" s="8">
        <v>0</v>
      </c>
      <c r="I38" s="8">
        <v>165</v>
      </c>
      <c r="J38" s="8">
        <v>5557035</v>
      </c>
    </row>
    <row r="39" spans="1:10" x14ac:dyDescent="0.2">
      <c r="A39" s="6" t="s">
        <v>47</v>
      </c>
      <c r="B39" s="6">
        <v>3</v>
      </c>
      <c r="C39" s="8">
        <v>1750</v>
      </c>
      <c r="D39" s="8">
        <v>7953750</v>
      </c>
      <c r="E39" s="8">
        <v>0</v>
      </c>
      <c r="F39" s="8">
        <v>0</v>
      </c>
      <c r="G39" s="8">
        <v>150</v>
      </c>
      <c r="H39" s="8">
        <v>681750</v>
      </c>
      <c r="I39" s="8">
        <v>1600</v>
      </c>
      <c r="J39" s="8">
        <v>7272000</v>
      </c>
    </row>
    <row r="40" spans="1:10" x14ac:dyDescent="0.2">
      <c r="A40" s="6" t="s">
        <v>48</v>
      </c>
      <c r="B40" s="6">
        <v>3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</row>
    <row r="41" spans="1:10" x14ac:dyDescent="0.2">
      <c r="A41" s="6" t="s">
        <v>49</v>
      </c>
      <c r="B41" s="6">
        <v>3</v>
      </c>
      <c r="C41" s="8">
        <v>1680</v>
      </c>
      <c r="D41" s="8">
        <v>7941360</v>
      </c>
      <c r="E41" s="8">
        <v>1800</v>
      </c>
      <c r="F41" s="8">
        <v>8508600</v>
      </c>
      <c r="G41" s="8">
        <v>150</v>
      </c>
      <c r="H41" s="8">
        <v>709050</v>
      </c>
      <c r="I41" s="8">
        <v>3330</v>
      </c>
      <c r="J41" s="8">
        <v>15740910</v>
      </c>
    </row>
    <row r="42" spans="1:10" x14ac:dyDescent="0.2">
      <c r="A42" s="6" t="s">
        <v>50</v>
      </c>
      <c r="B42" s="6">
        <v>3</v>
      </c>
      <c r="C42" s="8">
        <v>500</v>
      </c>
      <c r="D42" s="8">
        <v>1591000</v>
      </c>
      <c r="E42" s="8">
        <v>500</v>
      </c>
      <c r="F42" s="8">
        <v>1591000</v>
      </c>
      <c r="G42" s="8">
        <v>0</v>
      </c>
      <c r="H42" s="8">
        <v>0</v>
      </c>
      <c r="I42" s="8">
        <v>1000</v>
      </c>
      <c r="J42" s="8">
        <v>3182000</v>
      </c>
    </row>
    <row r="43" spans="1:10" x14ac:dyDescent="0.2">
      <c r="A43" s="6" t="s">
        <v>51</v>
      </c>
      <c r="B43" s="6">
        <v>3</v>
      </c>
      <c r="C43" s="8">
        <v>850</v>
      </c>
      <c r="D43" s="8">
        <v>3090600</v>
      </c>
      <c r="E43" s="8">
        <v>500</v>
      </c>
      <c r="F43" s="8">
        <v>1818000</v>
      </c>
      <c r="G43" s="8">
        <v>0</v>
      </c>
      <c r="H43" s="8">
        <v>0</v>
      </c>
      <c r="I43" s="8">
        <v>1350</v>
      </c>
      <c r="J43" s="8">
        <v>4908600</v>
      </c>
    </row>
    <row r="44" spans="1:10" x14ac:dyDescent="0.2">
      <c r="A44" s="6" t="s">
        <v>52</v>
      </c>
      <c r="B44" s="6">
        <v>3</v>
      </c>
      <c r="C44" s="8">
        <v>96</v>
      </c>
      <c r="D44" s="8">
        <v>2181792</v>
      </c>
      <c r="E44" s="8">
        <v>384</v>
      </c>
      <c r="F44" s="8">
        <v>8727168</v>
      </c>
      <c r="G44" s="8">
        <v>0</v>
      </c>
      <c r="H44" s="8">
        <v>0</v>
      </c>
      <c r="I44" s="8">
        <v>480</v>
      </c>
      <c r="J44" s="8">
        <v>10908960</v>
      </c>
    </row>
    <row r="45" spans="1:10" x14ac:dyDescent="0.2">
      <c r="A45" s="6" t="s">
        <v>53</v>
      </c>
      <c r="B45" s="6">
        <v>3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</row>
    <row r="46" spans="1:10" x14ac:dyDescent="0.2">
      <c r="A46" s="6" t="s">
        <v>54</v>
      </c>
      <c r="B46" s="6">
        <v>3</v>
      </c>
      <c r="C46" s="8">
        <v>4560</v>
      </c>
      <c r="D46" s="8">
        <v>62225883</v>
      </c>
      <c r="E46" s="8">
        <v>6478</v>
      </c>
      <c r="F46" s="8">
        <v>85088640</v>
      </c>
      <c r="G46" s="8">
        <v>5976</v>
      </c>
      <c r="H46" s="8">
        <v>79756440</v>
      </c>
      <c r="I46" s="8">
        <v>5062</v>
      </c>
      <c r="J46" s="8">
        <v>67558083</v>
      </c>
    </row>
    <row r="47" spans="1:10" x14ac:dyDescent="0.2">
      <c r="A47" s="6" t="s">
        <v>55</v>
      </c>
      <c r="B47" s="6">
        <v>3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</row>
    <row r="48" spans="1:10" x14ac:dyDescent="0.2">
      <c r="A48" s="6" t="s">
        <v>56</v>
      </c>
      <c r="B48" s="6">
        <v>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</row>
    <row r="49" spans="1:10" x14ac:dyDescent="0.2">
      <c r="A49" s="6" t="s">
        <v>57</v>
      </c>
      <c r="B49" s="6">
        <v>3</v>
      </c>
      <c r="C49" s="8">
        <v>360</v>
      </c>
      <c r="D49" s="8">
        <v>5727240</v>
      </c>
      <c r="E49" s="8">
        <v>0</v>
      </c>
      <c r="F49" s="8">
        <v>0</v>
      </c>
      <c r="G49" s="8">
        <v>0</v>
      </c>
      <c r="H49" s="8">
        <v>0</v>
      </c>
      <c r="I49" s="8">
        <v>360</v>
      </c>
      <c r="J49" s="8">
        <v>5727240</v>
      </c>
    </row>
    <row r="50" spans="1:10" x14ac:dyDescent="0.2">
      <c r="A50" s="6" t="s">
        <v>58</v>
      </c>
      <c r="B50" s="6">
        <v>3</v>
      </c>
      <c r="C50" s="8">
        <v>0</v>
      </c>
      <c r="D50" s="8">
        <v>0</v>
      </c>
      <c r="E50" s="8">
        <v>720</v>
      </c>
      <c r="F50" s="8">
        <v>5563440</v>
      </c>
      <c r="G50" s="8">
        <v>0</v>
      </c>
      <c r="H50" s="8">
        <v>0</v>
      </c>
      <c r="I50" s="8">
        <v>720</v>
      </c>
      <c r="J50" s="8">
        <v>5563440</v>
      </c>
    </row>
    <row r="51" spans="1:10" x14ac:dyDescent="0.2">
      <c r="A51" s="6" t="s">
        <v>59</v>
      </c>
      <c r="B51" s="6">
        <v>3</v>
      </c>
      <c r="C51" s="8">
        <v>2880</v>
      </c>
      <c r="D51" s="8">
        <v>41845226</v>
      </c>
      <c r="E51" s="8">
        <v>2121</v>
      </c>
      <c r="F51" s="8">
        <v>26181000</v>
      </c>
      <c r="G51" s="8">
        <v>1992</v>
      </c>
      <c r="H51" s="8">
        <v>27096229</v>
      </c>
      <c r="I51" s="8">
        <v>3009</v>
      </c>
      <c r="J51" s="8">
        <v>40929997</v>
      </c>
    </row>
    <row r="52" spans="1:10" x14ac:dyDescent="0.2">
      <c r="A52" s="6" t="s">
        <v>60</v>
      </c>
      <c r="B52" s="6">
        <v>3</v>
      </c>
      <c r="C52" s="8">
        <v>420</v>
      </c>
      <c r="D52" s="8">
        <v>13363560</v>
      </c>
      <c r="E52" s="8">
        <v>1023</v>
      </c>
      <c r="F52" s="8">
        <v>32454360</v>
      </c>
      <c r="G52" s="8">
        <v>0</v>
      </c>
      <c r="H52" s="8">
        <v>0</v>
      </c>
      <c r="I52" s="8">
        <v>1443</v>
      </c>
      <c r="J52" s="8">
        <v>45817920</v>
      </c>
    </row>
    <row r="53" spans="1:10" x14ac:dyDescent="0.2">
      <c r="A53" s="6" t="s">
        <v>61</v>
      </c>
      <c r="B53" s="6">
        <v>3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</row>
    <row r="54" spans="1:10" x14ac:dyDescent="0.2">
      <c r="A54" s="6" t="s">
        <v>62</v>
      </c>
      <c r="B54" s="6">
        <v>3</v>
      </c>
      <c r="C54" s="8">
        <v>2760</v>
      </c>
      <c r="D54" s="8">
        <v>13046520</v>
      </c>
      <c r="E54" s="8">
        <v>1801</v>
      </c>
      <c r="F54" s="8">
        <v>8508600</v>
      </c>
      <c r="G54" s="8">
        <v>1350</v>
      </c>
      <c r="H54" s="8">
        <v>6380051</v>
      </c>
      <c r="I54" s="8">
        <v>3211</v>
      </c>
      <c r="J54" s="8">
        <v>15175069</v>
      </c>
    </row>
    <row r="55" spans="1:10" x14ac:dyDescent="0.2">
      <c r="A55" s="6" t="s">
        <v>63</v>
      </c>
      <c r="B55" s="6">
        <v>3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</row>
    <row r="56" spans="1:10" x14ac:dyDescent="0.2">
      <c r="A56" s="6" t="s">
        <v>64</v>
      </c>
      <c r="B56" s="6">
        <v>3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</row>
    <row r="57" spans="1:10" x14ac:dyDescent="0.2">
      <c r="A57" s="6" t="s">
        <v>65</v>
      </c>
      <c r="B57" s="6">
        <v>3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</row>
    <row r="58" spans="1:10" x14ac:dyDescent="0.2">
      <c r="A58" s="6" t="s">
        <v>66</v>
      </c>
      <c r="B58" s="6">
        <v>3</v>
      </c>
      <c r="C58" s="8">
        <v>1980</v>
      </c>
      <c r="D58" s="8">
        <v>28764978</v>
      </c>
      <c r="E58" s="8">
        <v>1536</v>
      </c>
      <c r="F58" s="8">
        <v>20944800</v>
      </c>
      <c r="G58" s="8">
        <v>1908</v>
      </c>
      <c r="H58" s="8">
        <v>26975613</v>
      </c>
      <c r="I58" s="8">
        <v>1608</v>
      </c>
      <c r="J58" s="8">
        <v>22734165</v>
      </c>
    </row>
    <row r="59" spans="1:10" x14ac:dyDescent="0.2">
      <c r="A59" s="6" t="s">
        <v>67</v>
      </c>
      <c r="B59" s="6">
        <v>3</v>
      </c>
      <c r="C59" s="8">
        <v>120</v>
      </c>
      <c r="D59" s="8">
        <v>1854600</v>
      </c>
      <c r="E59" s="8">
        <v>64</v>
      </c>
      <c r="F59" s="8">
        <v>0</v>
      </c>
      <c r="G59" s="8">
        <v>0</v>
      </c>
      <c r="H59" s="8">
        <v>0</v>
      </c>
      <c r="I59" s="8">
        <v>184</v>
      </c>
      <c r="J59" s="8">
        <v>1854600</v>
      </c>
    </row>
    <row r="60" spans="1:10" x14ac:dyDescent="0.2">
      <c r="A60" s="6" t="s">
        <v>68</v>
      </c>
      <c r="B60" s="6">
        <v>3</v>
      </c>
      <c r="C60" s="8">
        <v>60</v>
      </c>
      <c r="D60" s="8">
        <v>2618160</v>
      </c>
      <c r="E60" s="8">
        <v>60</v>
      </c>
      <c r="F60" s="8">
        <v>2618160</v>
      </c>
      <c r="G60" s="8">
        <v>0</v>
      </c>
      <c r="H60" s="8">
        <v>0</v>
      </c>
      <c r="I60" s="8">
        <v>120</v>
      </c>
      <c r="J60" s="8">
        <v>5236320</v>
      </c>
    </row>
    <row r="61" spans="1:10" x14ac:dyDescent="0.2">
      <c r="A61" s="6" t="s">
        <v>69</v>
      </c>
      <c r="B61" s="6">
        <v>3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</row>
    <row r="62" spans="1:10" x14ac:dyDescent="0.2">
      <c r="A62" s="6" t="s">
        <v>70</v>
      </c>
      <c r="B62" s="6">
        <v>3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</row>
    <row r="63" spans="1:10" x14ac:dyDescent="0.2">
      <c r="A63" s="6" t="s">
        <v>71</v>
      </c>
      <c r="B63" s="6">
        <v>3</v>
      </c>
      <c r="C63" s="8">
        <v>240</v>
      </c>
      <c r="D63" s="8">
        <v>3490800</v>
      </c>
      <c r="E63" s="8">
        <v>240</v>
      </c>
      <c r="F63" s="8">
        <v>3490800</v>
      </c>
      <c r="G63" s="8">
        <v>0</v>
      </c>
      <c r="H63" s="8">
        <v>0</v>
      </c>
      <c r="I63" s="8">
        <v>480</v>
      </c>
      <c r="J63" s="8">
        <v>6981600</v>
      </c>
    </row>
    <row r="64" spans="1:10" x14ac:dyDescent="0.2">
      <c r="A64" s="6" t="s">
        <v>72</v>
      </c>
      <c r="B64" s="6">
        <v>3</v>
      </c>
      <c r="C64" s="8">
        <v>1560</v>
      </c>
      <c r="D64" s="8">
        <v>31866593</v>
      </c>
      <c r="E64" s="8">
        <v>2836</v>
      </c>
      <c r="F64" s="8">
        <v>55767024</v>
      </c>
      <c r="G64" s="8">
        <v>2220</v>
      </c>
      <c r="H64" s="8">
        <v>44255375</v>
      </c>
      <c r="I64" s="8">
        <v>2176</v>
      </c>
      <c r="J64" s="8">
        <v>43378242</v>
      </c>
    </row>
    <row r="65" spans="1:10" x14ac:dyDescent="0.2">
      <c r="A65" s="6" t="s">
        <v>73</v>
      </c>
      <c r="B65" s="6">
        <v>3</v>
      </c>
      <c r="C65" s="8">
        <v>1560</v>
      </c>
      <c r="D65" s="8">
        <v>48218040</v>
      </c>
      <c r="E65" s="8">
        <v>3840</v>
      </c>
      <c r="F65" s="8">
        <v>118690560</v>
      </c>
      <c r="G65" s="8">
        <v>2796</v>
      </c>
      <c r="H65" s="8">
        <v>86421564</v>
      </c>
      <c r="I65" s="8">
        <v>2604</v>
      </c>
      <c r="J65" s="8">
        <v>80487036</v>
      </c>
    </row>
    <row r="66" spans="1:10" x14ac:dyDescent="0.2">
      <c r="A66" s="6" t="s">
        <v>74</v>
      </c>
      <c r="B66" s="6">
        <v>3</v>
      </c>
      <c r="C66" s="8">
        <v>3240</v>
      </c>
      <c r="D66" s="8">
        <v>42614856</v>
      </c>
      <c r="E66" s="8">
        <v>1440</v>
      </c>
      <c r="F66" s="8">
        <v>19635840</v>
      </c>
      <c r="G66" s="8">
        <v>4644</v>
      </c>
      <c r="H66" s="8">
        <v>61771844</v>
      </c>
      <c r="I66" s="8">
        <v>36</v>
      </c>
      <c r="J66" s="8">
        <v>478852</v>
      </c>
    </row>
    <row r="67" spans="1:10" x14ac:dyDescent="0.2">
      <c r="A67" s="6" t="s">
        <v>75</v>
      </c>
      <c r="B67" s="6">
        <v>3</v>
      </c>
      <c r="C67" s="8">
        <v>1600</v>
      </c>
      <c r="D67" s="8">
        <v>537600</v>
      </c>
      <c r="E67" s="8">
        <v>1600</v>
      </c>
      <c r="F67" s="8">
        <v>537600</v>
      </c>
      <c r="G67" s="8">
        <v>240</v>
      </c>
      <c r="H67" s="8">
        <v>80640</v>
      </c>
      <c r="I67" s="8">
        <v>2960</v>
      </c>
      <c r="J67" s="8">
        <v>994560</v>
      </c>
    </row>
    <row r="68" spans="1:10" x14ac:dyDescent="0.2">
      <c r="A68" s="6" t="s">
        <v>76</v>
      </c>
      <c r="B68" s="6">
        <v>3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</row>
    <row r="69" spans="1:10" x14ac:dyDescent="0.2">
      <c r="A69" s="6" t="s">
        <v>77</v>
      </c>
      <c r="B69" s="6">
        <v>3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</row>
    <row r="70" spans="1:10" x14ac:dyDescent="0.2">
      <c r="A70" s="6" t="s">
        <v>78</v>
      </c>
      <c r="B70" s="6">
        <v>3</v>
      </c>
      <c r="C70" s="8">
        <v>1896</v>
      </c>
      <c r="D70" s="8">
        <v>18918299</v>
      </c>
      <c r="E70" s="8">
        <v>1922</v>
      </c>
      <c r="F70" s="8">
        <v>2400000</v>
      </c>
      <c r="G70" s="8">
        <v>792</v>
      </c>
      <c r="H70" s="8">
        <v>4422235</v>
      </c>
      <c r="I70" s="8">
        <v>3026</v>
      </c>
      <c r="J70" s="8">
        <v>16896064</v>
      </c>
    </row>
    <row r="71" spans="1:10" x14ac:dyDescent="0.2">
      <c r="A71" s="6" t="s">
        <v>79</v>
      </c>
      <c r="B71" s="6">
        <v>3</v>
      </c>
      <c r="C71" s="8">
        <v>0</v>
      </c>
      <c r="D71" s="8">
        <v>0</v>
      </c>
      <c r="E71" s="8">
        <v>331</v>
      </c>
      <c r="F71" s="8">
        <v>5863500</v>
      </c>
      <c r="G71" s="8">
        <v>0</v>
      </c>
      <c r="H71" s="8">
        <v>0</v>
      </c>
      <c r="I71" s="8">
        <v>331</v>
      </c>
      <c r="J71" s="8">
        <v>5863500</v>
      </c>
    </row>
    <row r="72" spans="1:10" x14ac:dyDescent="0.2">
      <c r="A72" s="6" t="s">
        <v>80</v>
      </c>
      <c r="B72" s="6">
        <v>3</v>
      </c>
      <c r="C72" s="8">
        <v>108</v>
      </c>
      <c r="D72" s="8">
        <v>1288138</v>
      </c>
      <c r="E72" s="8">
        <v>108</v>
      </c>
      <c r="F72" s="8">
        <v>1472688</v>
      </c>
      <c r="G72" s="8">
        <v>0</v>
      </c>
      <c r="H72" s="8">
        <v>0</v>
      </c>
      <c r="I72" s="8">
        <v>216</v>
      </c>
      <c r="J72" s="8">
        <v>2760826</v>
      </c>
    </row>
    <row r="73" spans="1:10" x14ac:dyDescent="0.2">
      <c r="A73" s="6" t="s">
        <v>81</v>
      </c>
      <c r="B73" s="6">
        <v>3</v>
      </c>
      <c r="C73" s="8">
        <v>720</v>
      </c>
      <c r="D73" s="8">
        <v>10472400</v>
      </c>
      <c r="E73" s="8">
        <v>180</v>
      </c>
      <c r="F73" s="8">
        <v>2618100</v>
      </c>
      <c r="G73" s="8">
        <v>0</v>
      </c>
      <c r="H73" s="8">
        <v>0</v>
      </c>
      <c r="I73" s="8">
        <v>900</v>
      </c>
      <c r="J73" s="8">
        <v>13090500</v>
      </c>
    </row>
    <row r="74" spans="1:10" x14ac:dyDescent="0.2">
      <c r="A74" s="6" t="s">
        <v>82</v>
      </c>
      <c r="B74" s="6">
        <v>3</v>
      </c>
      <c r="C74" s="8">
        <v>2160</v>
      </c>
      <c r="D74" s="8">
        <v>15316560</v>
      </c>
      <c r="E74" s="8">
        <v>360</v>
      </c>
      <c r="F74" s="8">
        <v>2552760</v>
      </c>
      <c r="G74" s="8">
        <v>720</v>
      </c>
      <c r="H74" s="8">
        <v>5105520</v>
      </c>
      <c r="I74" s="8">
        <v>1800</v>
      </c>
      <c r="J74" s="8">
        <v>12763800</v>
      </c>
    </row>
    <row r="75" spans="1:10" x14ac:dyDescent="0.2">
      <c r="A75" s="6" t="s">
        <v>83</v>
      </c>
      <c r="B75" s="6">
        <v>3</v>
      </c>
      <c r="C75" s="8">
        <v>1584</v>
      </c>
      <c r="D75" s="8">
        <v>11520432</v>
      </c>
      <c r="E75" s="8">
        <v>0</v>
      </c>
      <c r="F75" s="8">
        <v>0</v>
      </c>
      <c r="G75" s="8">
        <v>0</v>
      </c>
      <c r="H75" s="8">
        <v>0</v>
      </c>
      <c r="I75" s="8">
        <v>1584</v>
      </c>
      <c r="J75" s="8">
        <v>11520432</v>
      </c>
    </row>
    <row r="76" spans="1:10" x14ac:dyDescent="0.2">
      <c r="A76" s="6" t="s">
        <v>84</v>
      </c>
      <c r="B76" s="6">
        <v>3</v>
      </c>
      <c r="C76" s="8">
        <v>8640</v>
      </c>
      <c r="D76" s="8">
        <v>247630355</v>
      </c>
      <c r="E76" s="8">
        <v>6952</v>
      </c>
      <c r="F76" s="8">
        <v>193121184</v>
      </c>
      <c r="G76" s="8">
        <v>5856</v>
      </c>
      <c r="H76" s="8">
        <v>165536237</v>
      </c>
      <c r="I76" s="8">
        <v>9736</v>
      </c>
      <c r="J76" s="8">
        <v>275215302</v>
      </c>
    </row>
    <row r="77" spans="1:10" x14ac:dyDescent="0.2">
      <c r="A77" s="6" t="s">
        <v>85</v>
      </c>
      <c r="B77" s="6">
        <v>3</v>
      </c>
      <c r="C77" s="8">
        <v>9720</v>
      </c>
      <c r="D77" s="8">
        <v>85710960</v>
      </c>
      <c r="E77" s="8">
        <v>9716</v>
      </c>
      <c r="F77" s="8">
        <v>82536480</v>
      </c>
      <c r="G77" s="8">
        <v>8844</v>
      </c>
      <c r="H77" s="8">
        <v>76557952</v>
      </c>
      <c r="I77" s="8">
        <v>10592</v>
      </c>
      <c r="J77" s="8">
        <v>91689488</v>
      </c>
    </row>
    <row r="78" spans="1:10" x14ac:dyDescent="0.2">
      <c r="A78" s="6" t="s">
        <v>86</v>
      </c>
      <c r="B78" s="6">
        <v>3</v>
      </c>
      <c r="C78" s="8">
        <v>28080</v>
      </c>
      <c r="D78" s="8">
        <v>199562387</v>
      </c>
      <c r="E78" s="8">
        <v>22683</v>
      </c>
      <c r="F78" s="8">
        <v>151633944</v>
      </c>
      <c r="G78" s="8">
        <v>19080</v>
      </c>
      <c r="H78" s="8">
        <v>132002167</v>
      </c>
      <c r="I78" s="8">
        <v>31683</v>
      </c>
      <c r="J78" s="8">
        <v>219194164</v>
      </c>
    </row>
    <row r="79" spans="1:10" x14ac:dyDescent="0.2">
      <c r="A79" s="6" t="s">
        <v>87</v>
      </c>
      <c r="B79" s="6">
        <v>3</v>
      </c>
      <c r="C79" s="8">
        <v>3240</v>
      </c>
      <c r="D79" s="8">
        <v>54486834</v>
      </c>
      <c r="E79" s="8">
        <v>4800</v>
      </c>
      <c r="F79" s="8">
        <v>78708240</v>
      </c>
      <c r="G79" s="8">
        <v>5400</v>
      </c>
      <c r="H79" s="8">
        <v>89459378</v>
      </c>
      <c r="I79" s="8">
        <v>2640</v>
      </c>
      <c r="J79" s="8">
        <v>43735696</v>
      </c>
    </row>
    <row r="80" spans="1:10" x14ac:dyDescent="0.2">
      <c r="A80" s="6" t="s">
        <v>88</v>
      </c>
      <c r="B80" s="6">
        <v>3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</row>
    <row r="81" spans="1:10" x14ac:dyDescent="0.2">
      <c r="A81" s="6" t="s">
        <v>89</v>
      </c>
      <c r="B81" s="6">
        <v>3</v>
      </c>
      <c r="C81" s="8">
        <v>300</v>
      </c>
      <c r="D81" s="8">
        <v>6818100</v>
      </c>
      <c r="E81" s="8">
        <v>180</v>
      </c>
      <c r="F81" s="8">
        <v>4090860</v>
      </c>
      <c r="G81" s="8">
        <v>0</v>
      </c>
      <c r="H81" s="8">
        <v>0</v>
      </c>
      <c r="I81" s="8">
        <v>480</v>
      </c>
      <c r="J81" s="8">
        <v>10908960</v>
      </c>
    </row>
    <row r="82" spans="1:10" x14ac:dyDescent="0.2">
      <c r="A82" s="6" t="s">
        <v>90</v>
      </c>
      <c r="B82" s="6">
        <v>3</v>
      </c>
      <c r="C82" s="8">
        <v>2760</v>
      </c>
      <c r="D82" s="8">
        <v>137695215</v>
      </c>
      <c r="E82" s="8">
        <v>1500</v>
      </c>
      <c r="F82" s="8">
        <v>75000000</v>
      </c>
      <c r="G82" s="8">
        <v>2706</v>
      </c>
      <c r="H82" s="8">
        <v>135106398</v>
      </c>
      <c r="I82" s="8">
        <v>1554</v>
      </c>
      <c r="J82" s="8">
        <v>77588817</v>
      </c>
    </row>
    <row r="83" spans="1:10" x14ac:dyDescent="0.2">
      <c r="A83" s="6" t="s">
        <v>91</v>
      </c>
      <c r="B83" s="6">
        <v>3</v>
      </c>
      <c r="C83" s="8">
        <v>3120</v>
      </c>
      <c r="D83" s="8">
        <v>27535434</v>
      </c>
      <c r="E83" s="8">
        <v>3320</v>
      </c>
      <c r="F83" s="8">
        <v>21163200</v>
      </c>
      <c r="G83" s="8">
        <v>3048</v>
      </c>
      <c r="H83" s="8">
        <v>23048670</v>
      </c>
      <c r="I83" s="8">
        <v>3392</v>
      </c>
      <c r="J83" s="8">
        <v>25649964</v>
      </c>
    </row>
    <row r="84" spans="1:10" x14ac:dyDescent="0.2">
      <c r="A84" s="6" t="s">
        <v>92</v>
      </c>
      <c r="B84" s="6">
        <v>3</v>
      </c>
      <c r="C84" s="8">
        <v>24000</v>
      </c>
      <c r="D84" s="8">
        <v>11568000</v>
      </c>
      <c r="E84" s="8">
        <v>16000</v>
      </c>
      <c r="F84" s="8">
        <v>7712000</v>
      </c>
      <c r="G84" s="8">
        <v>20800</v>
      </c>
      <c r="H84" s="8">
        <v>10025600</v>
      </c>
      <c r="I84" s="8">
        <v>19200</v>
      </c>
      <c r="J84" s="8">
        <v>9254400</v>
      </c>
    </row>
    <row r="85" spans="1:10" x14ac:dyDescent="0.2">
      <c r="A85" s="6" t="s">
        <v>93</v>
      </c>
      <c r="B85" s="6">
        <v>3</v>
      </c>
      <c r="C85" s="8">
        <v>150</v>
      </c>
      <c r="D85" s="8">
        <v>7500000</v>
      </c>
      <c r="E85" s="8">
        <v>30</v>
      </c>
      <c r="F85" s="8">
        <v>1500000</v>
      </c>
      <c r="G85" s="8">
        <v>0</v>
      </c>
      <c r="H85" s="8">
        <v>0</v>
      </c>
      <c r="I85" s="8">
        <v>180</v>
      </c>
      <c r="J85" s="8">
        <v>9000000</v>
      </c>
    </row>
    <row r="86" spans="1:10" x14ac:dyDescent="0.2">
      <c r="A86" s="6" t="s">
        <v>94</v>
      </c>
      <c r="B86" s="6">
        <v>3</v>
      </c>
      <c r="C86" s="8">
        <v>0</v>
      </c>
      <c r="D86" s="8">
        <v>0</v>
      </c>
      <c r="E86" s="8">
        <v>72</v>
      </c>
      <c r="F86" s="8">
        <v>634896</v>
      </c>
      <c r="G86" s="8">
        <v>0</v>
      </c>
      <c r="H86" s="8">
        <v>0</v>
      </c>
      <c r="I86" s="8">
        <v>72</v>
      </c>
      <c r="J86" s="8">
        <v>634896</v>
      </c>
    </row>
    <row r="87" spans="1:10" x14ac:dyDescent="0.2">
      <c r="A87" s="6" t="s">
        <v>95</v>
      </c>
      <c r="B87" s="6">
        <v>3</v>
      </c>
      <c r="C87" s="8">
        <v>540</v>
      </c>
      <c r="D87" s="8">
        <v>4320000</v>
      </c>
      <c r="E87" s="8">
        <v>180</v>
      </c>
      <c r="F87" s="8">
        <v>1440000</v>
      </c>
      <c r="G87" s="8">
        <v>0</v>
      </c>
      <c r="H87" s="8">
        <v>0</v>
      </c>
      <c r="I87" s="8">
        <v>720</v>
      </c>
      <c r="J87" s="8">
        <v>5760000</v>
      </c>
    </row>
    <row r="88" spans="1:10" x14ac:dyDescent="0.2">
      <c r="A88" s="6" t="s">
        <v>96</v>
      </c>
      <c r="B88" s="6">
        <v>3</v>
      </c>
      <c r="C88" s="8">
        <v>150</v>
      </c>
      <c r="D88" s="8">
        <v>16024694</v>
      </c>
      <c r="E88" s="8">
        <v>105</v>
      </c>
      <c r="F88" s="8">
        <v>11263665</v>
      </c>
      <c r="G88" s="8">
        <v>0</v>
      </c>
      <c r="H88" s="8">
        <v>0</v>
      </c>
      <c r="I88" s="8">
        <v>255</v>
      </c>
      <c r="J88" s="8">
        <v>27288359</v>
      </c>
    </row>
    <row r="89" spans="1:10" x14ac:dyDescent="0.2">
      <c r="A89" s="6" t="s">
        <v>97</v>
      </c>
      <c r="B89" s="6">
        <v>3</v>
      </c>
      <c r="C89" s="8">
        <v>19200</v>
      </c>
      <c r="D89" s="8">
        <v>9254400</v>
      </c>
      <c r="E89" s="8">
        <v>16000</v>
      </c>
      <c r="F89" s="8">
        <v>7712000</v>
      </c>
      <c r="G89" s="8">
        <v>11200</v>
      </c>
      <c r="H89" s="8">
        <v>5398400</v>
      </c>
      <c r="I89" s="8">
        <v>24000</v>
      </c>
      <c r="J89" s="8">
        <v>11568000</v>
      </c>
    </row>
    <row r="90" spans="1:10" x14ac:dyDescent="0.2">
      <c r="A90" s="6" t="s">
        <v>98</v>
      </c>
      <c r="B90" s="6">
        <v>3</v>
      </c>
      <c r="C90" s="8">
        <v>1680</v>
      </c>
      <c r="D90" s="8">
        <v>16341360</v>
      </c>
      <c r="E90" s="8">
        <v>240</v>
      </c>
      <c r="F90" s="8">
        <v>2334480</v>
      </c>
      <c r="G90" s="8">
        <v>0</v>
      </c>
      <c r="H90" s="8">
        <v>0</v>
      </c>
      <c r="I90" s="8">
        <v>1920</v>
      </c>
      <c r="J90" s="8">
        <v>18675840</v>
      </c>
    </row>
    <row r="91" spans="1:10" x14ac:dyDescent="0.2">
      <c r="A91" s="6" t="s">
        <v>99</v>
      </c>
      <c r="B91" s="6">
        <v>3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</row>
    <row r="92" spans="1:10" x14ac:dyDescent="0.2">
      <c r="A92" s="6" t="s">
        <v>100</v>
      </c>
      <c r="B92" s="6">
        <v>3</v>
      </c>
      <c r="C92" s="8">
        <v>2400</v>
      </c>
      <c r="D92" s="8">
        <v>118960817</v>
      </c>
      <c r="E92" s="8">
        <v>1770</v>
      </c>
      <c r="F92" s="8">
        <v>77290200</v>
      </c>
      <c r="G92" s="8">
        <v>2286</v>
      </c>
      <c r="H92" s="8">
        <v>107585090</v>
      </c>
      <c r="I92" s="8">
        <v>1884</v>
      </c>
      <c r="J92" s="8">
        <v>88665927</v>
      </c>
    </row>
    <row r="93" spans="1:10" x14ac:dyDescent="0.2">
      <c r="A93" s="6" t="s">
        <v>101</v>
      </c>
      <c r="B93" s="6">
        <v>3</v>
      </c>
      <c r="C93" s="8">
        <v>2736</v>
      </c>
      <c r="D93" s="8">
        <v>24149396</v>
      </c>
      <c r="E93" s="8">
        <v>8620</v>
      </c>
      <c r="F93" s="8">
        <v>42326400</v>
      </c>
      <c r="G93" s="8">
        <v>4500</v>
      </c>
      <c r="H93" s="8">
        <v>26342117</v>
      </c>
      <c r="I93" s="8">
        <v>6856</v>
      </c>
      <c r="J93" s="8">
        <v>40133679</v>
      </c>
    </row>
    <row r="94" spans="1:10" x14ac:dyDescent="0.2">
      <c r="A94" s="6" t="s">
        <v>102</v>
      </c>
      <c r="B94" s="6">
        <v>3</v>
      </c>
      <c r="C94" s="8">
        <v>1056</v>
      </c>
      <c r="D94" s="8">
        <v>24001317</v>
      </c>
      <c r="E94" s="8">
        <v>480</v>
      </c>
      <c r="F94" s="8">
        <v>10908960</v>
      </c>
      <c r="G94" s="8">
        <v>240</v>
      </c>
      <c r="H94" s="8">
        <v>5454731</v>
      </c>
      <c r="I94" s="8">
        <v>1296</v>
      </c>
      <c r="J94" s="8">
        <v>29455546</v>
      </c>
    </row>
    <row r="95" spans="1:10" x14ac:dyDescent="0.2">
      <c r="A95" s="6" t="s">
        <v>103</v>
      </c>
      <c r="B95" s="6">
        <v>3</v>
      </c>
      <c r="C95" s="8">
        <v>0</v>
      </c>
      <c r="D95" s="8">
        <v>0</v>
      </c>
      <c r="E95" s="8">
        <v>1680</v>
      </c>
      <c r="F95" s="8">
        <v>21687120</v>
      </c>
      <c r="G95" s="8">
        <v>0</v>
      </c>
      <c r="H95" s="8">
        <v>0</v>
      </c>
      <c r="I95" s="8">
        <v>1680</v>
      </c>
      <c r="J95" s="8">
        <v>21687120</v>
      </c>
    </row>
    <row r="96" spans="1:10" x14ac:dyDescent="0.2">
      <c r="A96" s="6" t="s">
        <v>104</v>
      </c>
      <c r="B96" s="6">
        <v>3</v>
      </c>
      <c r="C96" s="8">
        <v>192</v>
      </c>
      <c r="D96" s="8">
        <v>3490944</v>
      </c>
      <c r="E96" s="8">
        <v>48</v>
      </c>
      <c r="F96" s="8">
        <v>872736</v>
      </c>
      <c r="G96" s="8">
        <v>0</v>
      </c>
      <c r="H96" s="8">
        <v>0</v>
      </c>
      <c r="I96" s="8">
        <v>240</v>
      </c>
      <c r="J96" s="8">
        <v>4363680</v>
      </c>
    </row>
    <row r="97" spans="1:10" x14ac:dyDescent="0.2">
      <c r="A97" s="6" t="s">
        <v>105</v>
      </c>
      <c r="B97" s="6">
        <v>3</v>
      </c>
      <c r="C97" s="8">
        <v>120</v>
      </c>
      <c r="D97" s="8">
        <v>5961180</v>
      </c>
      <c r="E97" s="8">
        <v>120</v>
      </c>
      <c r="F97" s="8">
        <v>6000000</v>
      </c>
      <c r="G97" s="8">
        <v>0</v>
      </c>
      <c r="H97" s="8">
        <v>0</v>
      </c>
      <c r="I97" s="8">
        <v>240</v>
      </c>
      <c r="J97" s="8">
        <v>11961180</v>
      </c>
    </row>
    <row r="98" spans="1:10" x14ac:dyDescent="0.2">
      <c r="A98" s="6" t="s">
        <v>106</v>
      </c>
      <c r="B98" s="6">
        <v>3</v>
      </c>
      <c r="C98" s="8">
        <v>360</v>
      </c>
      <c r="D98" s="8">
        <v>3174480</v>
      </c>
      <c r="E98" s="8">
        <v>120</v>
      </c>
      <c r="F98" s="8">
        <v>1058160</v>
      </c>
      <c r="G98" s="8">
        <v>0</v>
      </c>
      <c r="H98" s="8">
        <v>0</v>
      </c>
      <c r="I98" s="8">
        <v>480</v>
      </c>
      <c r="J98" s="8">
        <v>4232640</v>
      </c>
    </row>
    <row r="99" spans="1:10" x14ac:dyDescent="0.2">
      <c r="A99" s="6" t="s">
        <v>107</v>
      </c>
      <c r="B99" s="6">
        <v>3</v>
      </c>
      <c r="C99" s="8">
        <v>180</v>
      </c>
      <c r="D99" s="8">
        <v>1341900</v>
      </c>
      <c r="E99" s="8">
        <v>160</v>
      </c>
      <c r="F99" s="8">
        <v>0</v>
      </c>
      <c r="G99" s="8">
        <v>0</v>
      </c>
      <c r="H99" s="8">
        <v>0</v>
      </c>
      <c r="I99" s="8">
        <v>340</v>
      </c>
      <c r="J99" s="8">
        <v>1341900</v>
      </c>
    </row>
    <row r="100" spans="1:10" x14ac:dyDescent="0.2">
      <c r="A100" s="6" t="s">
        <v>108</v>
      </c>
      <c r="B100" s="6">
        <v>3</v>
      </c>
      <c r="C100" s="8">
        <v>12060</v>
      </c>
      <c r="D100" s="8">
        <v>79045077</v>
      </c>
      <c r="E100" s="8">
        <v>5400</v>
      </c>
      <c r="F100" s="8">
        <v>35343000</v>
      </c>
      <c r="G100" s="8">
        <v>5529</v>
      </c>
      <c r="H100" s="8">
        <v>36222891</v>
      </c>
      <c r="I100" s="8">
        <v>11931</v>
      </c>
      <c r="J100" s="8">
        <v>78165186</v>
      </c>
    </row>
    <row r="101" spans="1:10" x14ac:dyDescent="0.2">
      <c r="A101" s="6" t="s">
        <v>109</v>
      </c>
      <c r="B101" s="6">
        <v>3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</row>
    <row r="102" spans="1:10" x14ac:dyDescent="0.2">
      <c r="A102" s="6" t="s">
        <v>110</v>
      </c>
      <c r="B102" s="6">
        <v>3</v>
      </c>
      <c r="C102" s="8">
        <v>828</v>
      </c>
      <c r="D102" s="8">
        <v>13798640</v>
      </c>
      <c r="E102" s="8">
        <v>360</v>
      </c>
      <c r="F102" s="8">
        <v>6054480</v>
      </c>
      <c r="G102" s="8">
        <v>0</v>
      </c>
      <c r="H102" s="8">
        <v>0</v>
      </c>
      <c r="I102" s="8">
        <v>1188</v>
      </c>
      <c r="J102" s="8">
        <v>19853120</v>
      </c>
    </row>
    <row r="103" spans="1:10" x14ac:dyDescent="0.2">
      <c r="A103" s="6" t="s">
        <v>111</v>
      </c>
      <c r="B103" s="6">
        <v>3</v>
      </c>
      <c r="C103" s="8">
        <v>2760</v>
      </c>
      <c r="D103" s="8">
        <v>21577680</v>
      </c>
      <c r="E103" s="8">
        <v>3650</v>
      </c>
      <c r="F103" s="8">
        <v>28144800</v>
      </c>
      <c r="G103" s="8">
        <v>2500</v>
      </c>
      <c r="H103" s="8">
        <v>19392543</v>
      </c>
      <c r="I103" s="8">
        <v>3910</v>
      </c>
      <c r="J103" s="8">
        <v>30329937</v>
      </c>
    </row>
    <row r="104" spans="1:10" x14ac:dyDescent="0.2">
      <c r="A104" s="6" t="s">
        <v>112</v>
      </c>
      <c r="B104" s="6">
        <v>3</v>
      </c>
      <c r="C104" s="8">
        <v>1080</v>
      </c>
      <c r="D104" s="8">
        <v>8443440</v>
      </c>
      <c r="E104" s="8">
        <v>600</v>
      </c>
      <c r="F104" s="8">
        <v>4690800</v>
      </c>
      <c r="G104" s="8">
        <v>600</v>
      </c>
      <c r="H104" s="8">
        <v>4690800</v>
      </c>
      <c r="I104" s="8">
        <v>1080</v>
      </c>
      <c r="J104" s="8">
        <v>8443440</v>
      </c>
    </row>
    <row r="105" spans="1:10" x14ac:dyDescent="0.2">
      <c r="A105" s="6" t="s">
        <v>113</v>
      </c>
      <c r="B105" s="6">
        <v>3</v>
      </c>
      <c r="C105" s="8">
        <v>0</v>
      </c>
      <c r="D105" s="8">
        <v>0</v>
      </c>
      <c r="E105" s="8">
        <v>48</v>
      </c>
      <c r="F105" s="8">
        <v>741840</v>
      </c>
      <c r="G105" s="8">
        <v>0</v>
      </c>
      <c r="H105" s="8">
        <v>0</v>
      </c>
      <c r="I105" s="8">
        <v>48</v>
      </c>
      <c r="J105" s="8">
        <v>741840</v>
      </c>
    </row>
    <row r="106" spans="1:10" x14ac:dyDescent="0.2">
      <c r="A106" s="6" t="s">
        <v>114</v>
      </c>
      <c r="B106" s="6">
        <v>3</v>
      </c>
      <c r="C106" s="8">
        <v>120</v>
      </c>
      <c r="D106" s="8">
        <v>2181840</v>
      </c>
      <c r="E106" s="8">
        <v>0</v>
      </c>
      <c r="F106" s="8">
        <v>0</v>
      </c>
      <c r="G106" s="8">
        <v>0</v>
      </c>
      <c r="H106" s="8">
        <v>0</v>
      </c>
      <c r="I106" s="8">
        <v>120</v>
      </c>
      <c r="J106" s="8">
        <v>2181840</v>
      </c>
    </row>
    <row r="107" spans="1:10" x14ac:dyDescent="0.2">
      <c r="A107" s="6" t="s">
        <v>115</v>
      </c>
      <c r="B107" s="6">
        <v>3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</row>
    <row r="108" spans="1:10" x14ac:dyDescent="0.2">
      <c r="A108" s="6" t="s">
        <v>116</v>
      </c>
      <c r="B108" s="6">
        <v>3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</row>
    <row r="109" spans="1:10" x14ac:dyDescent="0.2">
      <c r="A109" s="6" t="s">
        <v>117</v>
      </c>
      <c r="B109" s="6">
        <v>3</v>
      </c>
      <c r="C109" s="8">
        <v>72</v>
      </c>
      <c r="D109" s="8">
        <v>1178208</v>
      </c>
      <c r="E109" s="8">
        <v>0</v>
      </c>
      <c r="F109" s="8">
        <v>0</v>
      </c>
      <c r="G109" s="8">
        <v>0</v>
      </c>
      <c r="H109" s="8">
        <v>0</v>
      </c>
      <c r="I109" s="8">
        <v>72</v>
      </c>
      <c r="J109" s="8">
        <v>1178208</v>
      </c>
    </row>
    <row r="110" spans="1:10" x14ac:dyDescent="0.2">
      <c r="A110" s="6" t="s">
        <v>118</v>
      </c>
      <c r="B110" s="6">
        <v>3</v>
      </c>
      <c r="C110" s="8">
        <v>180</v>
      </c>
      <c r="D110" s="8">
        <v>7118100</v>
      </c>
      <c r="E110" s="8">
        <v>0</v>
      </c>
      <c r="F110" s="8">
        <v>0</v>
      </c>
      <c r="G110" s="8">
        <v>0</v>
      </c>
      <c r="H110" s="8">
        <v>0</v>
      </c>
      <c r="I110" s="8">
        <v>180</v>
      </c>
      <c r="J110" s="8">
        <v>7118100</v>
      </c>
    </row>
    <row r="111" spans="1:10" x14ac:dyDescent="0.2">
      <c r="A111" s="6" t="s">
        <v>119</v>
      </c>
      <c r="B111" s="6">
        <v>3</v>
      </c>
      <c r="C111" s="8">
        <v>0</v>
      </c>
      <c r="D111" s="8">
        <v>0</v>
      </c>
      <c r="E111" s="8">
        <v>40</v>
      </c>
      <c r="F111" s="8">
        <v>909080</v>
      </c>
      <c r="G111" s="8">
        <v>0</v>
      </c>
      <c r="H111" s="8">
        <v>0</v>
      </c>
      <c r="I111" s="8">
        <v>40</v>
      </c>
      <c r="J111" s="8">
        <v>909080</v>
      </c>
    </row>
    <row r="112" spans="1:10" x14ac:dyDescent="0.2">
      <c r="A112" s="6" t="s">
        <v>120</v>
      </c>
      <c r="B112" s="6">
        <v>3</v>
      </c>
      <c r="C112" s="8">
        <v>0</v>
      </c>
      <c r="D112" s="8">
        <v>0</v>
      </c>
      <c r="E112" s="8">
        <v>40</v>
      </c>
      <c r="F112" s="8">
        <v>872720</v>
      </c>
      <c r="G112" s="8">
        <v>0</v>
      </c>
      <c r="H112" s="8">
        <v>0</v>
      </c>
      <c r="I112" s="8">
        <v>40</v>
      </c>
      <c r="J112" s="8">
        <v>872720</v>
      </c>
    </row>
    <row r="113" spans="1:10" x14ac:dyDescent="0.2">
      <c r="A113" s="6" t="s">
        <v>121</v>
      </c>
      <c r="B113" s="6">
        <v>3</v>
      </c>
      <c r="C113" s="8">
        <v>1800</v>
      </c>
      <c r="D113" s="8">
        <v>19612002</v>
      </c>
      <c r="E113" s="8">
        <v>2314</v>
      </c>
      <c r="F113" s="8">
        <v>23563440</v>
      </c>
      <c r="G113" s="8">
        <v>1824</v>
      </c>
      <c r="H113" s="8">
        <v>19142442</v>
      </c>
      <c r="I113" s="8">
        <v>2290</v>
      </c>
      <c r="J113" s="8">
        <v>24033000</v>
      </c>
    </row>
    <row r="114" spans="1:10" x14ac:dyDescent="0.2">
      <c r="A114" s="6" t="s">
        <v>122</v>
      </c>
      <c r="B114" s="6">
        <v>3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</row>
    <row r="115" spans="1:10" x14ac:dyDescent="0.2">
      <c r="A115" s="6" t="s">
        <v>123</v>
      </c>
      <c r="B115" s="6">
        <v>3</v>
      </c>
      <c r="C115" s="8">
        <v>144</v>
      </c>
      <c r="D115" s="8">
        <v>2421792</v>
      </c>
      <c r="E115" s="8">
        <v>0</v>
      </c>
      <c r="F115" s="8">
        <v>0</v>
      </c>
      <c r="G115" s="8">
        <v>0</v>
      </c>
      <c r="H115" s="8">
        <v>0</v>
      </c>
      <c r="I115" s="8">
        <v>144</v>
      </c>
      <c r="J115" s="8">
        <v>2421792</v>
      </c>
    </row>
    <row r="116" spans="1:10" x14ac:dyDescent="0.2">
      <c r="A116" s="6" t="s">
        <v>124</v>
      </c>
      <c r="B116" s="6">
        <v>3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</row>
    <row r="117" spans="1:10" x14ac:dyDescent="0.2">
      <c r="A117" s="6" t="s">
        <v>125</v>
      </c>
      <c r="B117" s="6">
        <v>3</v>
      </c>
      <c r="C117" s="8">
        <v>612</v>
      </c>
      <c r="D117" s="8">
        <v>25537774</v>
      </c>
      <c r="E117" s="8">
        <v>480</v>
      </c>
      <c r="F117" s="8">
        <v>20072640</v>
      </c>
      <c r="G117" s="8">
        <v>0</v>
      </c>
      <c r="H117" s="8">
        <v>0</v>
      </c>
      <c r="I117" s="8">
        <v>1092</v>
      </c>
      <c r="J117" s="8">
        <v>45610414</v>
      </c>
    </row>
    <row r="118" spans="1:10" x14ac:dyDescent="0.2">
      <c r="A118" s="6" t="s">
        <v>126</v>
      </c>
      <c r="B118" s="6">
        <v>3</v>
      </c>
      <c r="C118" s="8">
        <v>7100</v>
      </c>
      <c r="D118" s="8">
        <v>40973832</v>
      </c>
      <c r="E118" s="8">
        <v>24177</v>
      </c>
      <c r="F118" s="8">
        <v>137448000</v>
      </c>
      <c r="G118" s="8">
        <v>17640</v>
      </c>
      <c r="H118" s="8">
        <v>100628613</v>
      </c>
      <c r="I118" s="8">
        <v>13637</v>
      </c>
      <c r="J118" s="8">
        <v>77793219</v>
      </c>
    </row>
    <row r="119" spans="1:10" x14ac:dyDescent="0.2">
      <c r="A119" s="6" t="s">
        <v>127</v>
      </c>
      <c r="B119" s="6">
        <v>3</v>
      </c>
      <c r="C119" s="8">
        <v>1560</v>
      </c>
      <c r="D119" s="8">
        <v>8934120</v>
      </c>
      <c r="E119" s="8">
        <v>1328</v>
      </c>
      <c r="F119" s="8">
        <v>6872400</v>
      </c>
      <c r="G119" s="8">
        <v>0</v>
      </c>
      <c r="H119" s="8">
        <v>0</v>
      </c>
      <c r="I119" s="8">
        <v>2888</v>
      </c>
      <c r="J119" s="8">
        <v>15806520</v>
      </c>
    </row>
    <row r="120" spans="1:10" x14ac:dyDescent="0.2">
      <c r="A120" s="6" t="s">
        <v>128</v>
      </c>
      <c r="B120" s="6">
        <v>3</v>
      </c>
      <c r="C120" s="8">
        <v>200</v>
      </c>
      <c r="D120" s="8">
        <v>3000000</v>
      </c>
      <c r="E120" s="8">
        <v>300</v>
      </c>
      <c r="F120" s="8">
        <v>4500000</v>
      </c>
      <c r="G120" s="8">
        <v>0</v>
      </c>
      <c r="H120" s="8">
        <v>0</v>
      </c>
      <c r="I120" s="8">
        <v>500</v>
      </c>
      <c r="J120" s="8">
        <v>7500000</v>
      </c>
    </row>
    <row r="121" spans="1:10" x14ac:dyDescent="0.2">
      <c r="A121" s="6" t="s">
        <v>129</v>
      </c>
      <c r="B121" s="6">
        <v>3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</row>
    <row r="122" spans="1:10" x14ac:dyDescent="0.2">
      <c r="A122" s="6" t="s">
        <v>130</v>
      </c>
      <c r="B122" s="6">
        <v>3</v>
      </c>
      <c r="C122" s="8">
        <v>54</v>
      </c>
      <c r="D122" s="8">
        <v>2528172</v>
      </c>
      <c r="E122" s="8">
        <v>0</v>
      </c>
      <c r="F122" s="8">
        <v>0</v>
      </c>
      <c r="G122" s="8">
        <v>0</v>
      </c>
      <c r="H122" s="8">
        <v>0</v>
      </c>
      <c r="I122" s="8">
        <v>54</v>
      </c>
      <c r="J122" s="8">
        <v>2528172</v>
      </c>
    </row>
    <row r="123" spans="1:10" x14ac:dyDescent="0.2">
      <c r="A123" s="6" t="s">
        <v>131</v>
      </c>
      <c r="B123" s="6">
        <v>3</v>
      </c>
      <c r="C123" s="8">
        <v>49</v>
      </c>
      <c r="D123" s="8">
        <v>2405459</v>
      </c>
      <c r="E123" s="8">
        <v>10</v>
      </c>
      <c r="F123" s="8">
        <v>490910</v>
      </c>
      <c r="G123" s="8">
        <v>0</v>
      </c>
      <c r="H123" s="8">
        <v>0</v>
      </c>
      <c r="I123" s="8">
        <v>59</v>
      </c>
      <c r="J123" s="8">
        <v>2896369</v>
      </c>
    </row>
    <row r="124" spans="1:10" x14ac:dyDescent="0.2">
      <c r="A124" s="6" t="s">
        <v>132</v>
      </c>
      <c r="B124" s="6">
        <v>3</v>
      </c>
      <c r="C124" s="8">
        <v>260</v>
      </c>
      <c r="D124" s="8">
        <v>11345360</v>
      </c>
      <c r="E124" s="8">
        <v>220</v>
      </c>
      <c r="F124" s="8">
        <v>9599920</v>
      </c>
      <c r="G124" s="8">
        <v>335</v>
      </c>
      <c r="H124" s="8">
        <v>14618060</v>
      </c>
      <c r="I124" s="8">
        <v>145</v>
      </c>
      <c r="J124" s="8">
        <v>6327220</v>
      </c>
    </row>
    <row r="125" spans="1:10" x14ac:dyDescent="0.2">
      <c r="A125" s="6" t="s">
        <v>133</v>
      </c>
      <c r="B125" s="6">
        <v>3</v>
      </c>
      <c r="C125" s="8">
        <v>101</v>
      </c>
      <c r="D125" s="8">
        <v>3764573</v>
      </c>
      <c r="E125" s="8">
        <v>35</v>
      </c>
      <c r="F125" s="8">
        <v>1304555</v>
      </c>
      <c r="G125" s="8">
        <v>0</v>
      </c>
      <c r="H125" s="8">
        <v>0</v>
      </c>
      <c r="I125" s="8">
        <v>136</v>
      </c>
      <c r="J125" s="8">
        <v>5069128</v>
      </c>
    </row>
    <row r="126" spans="1:10" x14ac:dyDescent="0.2">
      <c r="A126" s="6" t="s">
        <v>134</v>
      </c>
      <c r="B126" s="6">
        <v>3</v>
      </c>
      <c r="C126" s="8">
        <v>23</v>
      </c>
      <c r="D126" s="8">
        <v>658628</v>
      </c>
      <c r="E126" s="8">
        <v>0</v>
      </c>
      <c r="F126" s="8">
        <v>0</v>
      </c>
      <c r="G126" s="8">
        <v>0</v>
      </c>
      <c r="H126" s="8">
        <v>0</v>
      </c>
      <c r="I126" s="8">
        <v>23</v>
      </c>
      <c r="J126" s="8">
        <v>658628</v>
      </c>
    </row>
    <row r="127" spans="1:10" x14ac:dyDescent="0.2">
      <c r="A127" s="6" t="s">
        <v>135</v>
      </c>
      <c r="B127" s="6">
        <v>3</v>
      </c>
      <c r="C127" s="8">
        <v>930</v>
      </c>
      <c r="D127" s="8">
        <v>170681845</v>
      </c>
      <c r="E127" s="8">
        <v>150</v>
      </c>
      <c r="F127" s="8">
        <v>27557700</v>
      </c>
      <c r="G127" s="8">
        <v>115</v>
      </c>
      <c r="H127" s="8">
        <v>21108840</v>
      </c>
      <c r="I127" s="8">
        <v>965</v>
      </c>
      <c r="J127" s="8">
        <v>177130705</v>
      </c>
    </row>
    <row r="128" spans="1:10" x14ac:dyDescent="0.2">
      <c r="A128" s="6" t="s">
        <v>136</v>
      </c>
      <c r="B128" s="6">
        <v>3</v>
      </c>
      <c r="C128" s="8">
        <v>2808</v>
      </c>
      <c r="D128" s="8">
        <v>40684369</v>
      </c>
      <c r="E128" s="8">
        <v>3500</v>
      </c>
      <c r="F128" s="8">
        <v>48871200</v>
      </c>
      <c r="G128" s="8">
        <v>3120</v>
      </c>
      <c r="H128" s="8">
        <v>44295082</v>
      </c>
      <c r="I128" s="8">
        <v>3188</v>
      </c>
      <c r="J128" s="8">
        <v>45260487</v>
      </c>
    </row>
    <row r="129" spans="1:10" x14ac:dyDescent="0.2">
      <c r="A129" s="6" t="s">
        <v>137</v>
      </c>
      <c r="B129" s="6">
        <v>3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</row>
    <row r="130" spans="1:10" x14ac:dyDescent="0.2">
      <c r="A130" s="6" t="s">
        <v>138</v>
      </c>
      <c r="B130" s="6">
        <v>3</v>
      </c>
      <c r="C130" s="8">
        <v>0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</row>
    <row r="131" spans="1:10" x14ac:dyDescent="0.2">
      <c r="A131" s="6" t="s">
        <v>139</v>
      </c>
      <c r="B131" s="6">
        <v>3</v>
      </c>
      <c r="C131" s="8">
        <v>792</v>
      </c>
      <c r="D131" s="8">
        <v>143814757</v>
      </c>
      <c r="E131" s="8">
        <v>0</v>
      </c>
      <c r="F131" s="8">
        <v>0</v>
      </c>
      <c r="G131" s="8">
        <v>604</v>
      </c>
      <c r="H131" s="8">
        <v>109676911</v>
      </c>
      <c r="I131" s="8">
        <v>188</v>
      </c>
      <c r="J131" s="8">
        <v>34137846</v>
      </c>
    </row>
    <row r="132" spans="1:10" x14ac:dyDescent="0.2">
      <c r="A132" s="6" t="s">
        <v>140</v>
      </c>
      <c r="B132" s="6">
        <v>3</v>
      </c>
      <c r="C132" s="8">
        <v>6436</v>
      </c>
      <c r="D132" s="8">
        <v>1182907837</v>
      </c>
      <c r="E132" s="8">
        <v>1930</v>
      </c>
      <c r="F132" s="8">
        <v>356032890</v>
      </c>
      <c r="G132" s="8">
        <v>190</v>
      </c>
      <c r="H132" s="8">
        <v>34950841</v>
      </c>
      <c r="I132" s="8">
        <v>8176</v>
      </c>
      <c r="J132" s="8">
        <v>1503989886</v>
      </c>
    </row>
    <row r="133" spans="1:10" x14ac:dyDescent="0.2">
      <c r="A133" s="6" t="s">
        <v>141</v>
      </c>
      <c r="B133" s="6">
        <v>3</v>
      </c>
      <c r="C133" s="8">
        <v>3129</v>
      </c>
      <c r="D133" s="8">
        <v>575338843</v>
      </c>
      <c r="E133" s="8">
        <v>3530</v>
      </c>
      <c r="F133" s="8">
        <v>651189690</v>
      </c>
      <c r="G133" s="8">
        <v>80</v>
      </c>
      <c r="H133" s="8">
        <v>14735288</v>
      </c>
      <c r="I133" s="8">
        <v>6579</v>
      </c>
      <c r="J133" s="8">
        <v>1211793245</v>
      </c>
    </row>
    <row r="134" spans="1:10" x14ac:dyDescent="0.2">
      <c r="A134" s="6" t="s">
        <v>142</v>
      </c>
      <c r="B134" s="6">
        <v>3</v>
      </c>
      <c r="C134" s="8">
        <v>1150</v>
      </c>
      <c r="D134" s="8">
        <v>211217050</v>
      </c>
      <c r="E134" s="8">
        <v>0</v>
      </c>
      <c r="F134" s="8">
        <v>0</v>
      </c>
      <c r="G134" s="8">
        <v>0</v>
      </c>
      <c r="H134" s="8">
        <v>0</v>
      </c>
      <c r="I134" s="8">
        <v>1150</v>
      </c>
      <c r="J134" s="8">
        <v>211217050</v>
      </c>
    </row>
    <row r="135" spans="1:10" x14ac:dyDescent="0.2">
      <c r="A135" s="6" t="s">
        <v>143</v>
      </c>
      <c r="B135" s="6">
        <v>3</v>
      </c>
      <c r="C135" s="8">
        <v>1271</v>
      </c>
      <c r="D135" s="8">
        <v>233222947</v>
      </c>
      <c r="E135" s="8">
        <v>49</v>
      </c>
      <c r="F135" s="8">
        <v>8991286</v>
      </c>
      <c r="G135" s="8">
        <v>1320</v>
      </c>
      <c r="H135" s="8">
        <v>242214233</v>
      </c>
      <c r="I135" s="8">
        <v>0</v>
      </c>
      <c r="J135" s="8">
        <v>0</v>
      </c>
    </row>
    <row r="136" spans="1:10" x14ac:dyDescent="0.2">
      <c r="A136" s="6" t="s">
        <v>144</v>
      </c>
      <c r="B136" s="6">
        <v>3</v>
      </c>
      <c r="C136" s="8">
        <v>1470</v>
      </c>
      <c r="D136" s="8">
        <v>267866303</v>
      </c>
      <c r="E136" s="8">
        <v>400</v>
      </c>
      <c r="F136" s="8">
        <v>72960000</v>
      </c>
      <c r="G136" s="8">
        <v>0</v>
      </c>
      <c r="H136" s="8">
        <v>0</v>
      </c>
      <c r="I136" s="8">
        <v>1870</v>
      </c>
      <c r="J136" s="8">
        <v>340826303</v>
      </c>
    </row>
    <row r="137" spans="1:10" x14ac:dyDescent="0.2">
      <c r="A137" s="6" t="s">
        <v>145</v>
      </c>
      <c r="B137" s="6">
        <v>3</v>
      </c>
      <c r="C137" s="8">
        <v>563</v>
      </c>
      <c r="D137" s="8">
        <v>100626281</v>
      </c>
      <c r="E137" s="8">
        <v>0</v>
      </c>
      <c r="F137" s="8">
        <v>0</v>
      </c>
      <c r="G137" s="8">
        <v>40</v>
      </c>
      <c r="H137" s="8">
        <v>7149292</v>
      </c>
      <c r="I137" s="8">
        <v>523</v>
      </c>
      <c r="J137" s="8">
        <v>93476989</v>
      </c>
    </row>
    <row r="138" spans="1:10" x14ac:dyDescent="0.2">
      <c r="A138" s="6" t="s">
        <v>146</v>
      </c>
      <c r="B138" s="6">
        <v>3</v>
      </c>
      <c r="C138" s="8">
        <v>2410</v>
      </c>
      <c r="D138" s="8">
        <v>457310050</v>
      </c>
      <c r="E138" s="8">
        <v>1412</v>
      </c>
      <c r="F138" s="8">
        <v>220948075</v>
      </c>
      <c r="G138" s="8">
        <v>1615</v>
      </c>
      <c r="H138" s="8">
        <v>286600437</v>
      </c>
      <c r="I138" s="8">
        <v>2207</v>
      </c>
      <c r="J138" s="8">
        <v>391657688</v>
      </c>
    </row>
    <row r="139" spans="1:10" x14ac:dyDescent="0.2">
      <c r="A139" s="6" t="s">
        <v>147</v>
      </c>
      <c r="B139" s="6">
        <v>3</v>
      </c>
      <c r="C139" s="8">
        <v>0</v>
      </c>
      <c r="D139" s="8">
        <v>0</v>
      </c>
      <c r="E139" s="8">
        <v>260</v>
      </c>
      <c r="F139" s="8">
        <v>27463600</v>
      </c>
      <c r="G139" s="8">
        <v>0</v>
      </c>
      <c r="H139" s="8">
        <v>0</v>
      </c>
      <c r="I139" s="8">
        <v>260</v>
      </c>
      <c r="J139" s="8">
        <v>27463600</v>
      </c>
    </row>
    <row r="140" spans="1:10" x14ac:dyDescent="0.2">
      <c r="A140" s="6" t="s">
        <v>148</v>
      </c>
      <c r="B140" s="6">
        <v>3</v>
      </c>
      <c r="C140" s="8">
        <v>1034</v>
      </c>
      <c r="D140" s="8">
        <v>117780960</v>
      </c>
      <c r="E140" s="8">
        <v>0</v>
      </c>
      <c r="F140" s="8">
        <v>0</v>
      </c>
      <c r="G140" s="8">
        <v>0</v>
      </c>
      <c r="H140" s="8">
        <v>0</v>
      </c>
      <c r="I140" s="8">
        <v>1034</v>
      </c>
      <c r="J140" s="8">
        <v>117780960</v>
      </c>
    </row>
    <row r="141" spans="1:10" x14ac:dyDescent="0.2">
      <c r="A141" s="6" t="s">
        <v>149</v>
      </c>
      <c r="B141" s="6">
        <v>3</v>
      </c>
      <c r="C141" s="8">
        <v>5979</v>
      </c>
      <c r="D141" s="8">
        <v>1135500363</v>
      </c>
      <c r="E141" s="8">
        <v>120</v>
      </c>
      <c r="F141" s="8">
        <v>22758600</v>
      </c>
      <c r="G141" s="8">
        <v>690</v>
      </c>
      <c r="H141" s="8">
        <v>131037659</v>
      </c>
      <c r="I141" s="8">
        <v>5409</v>
      </c>
      <c r="J141" s="8">
        <v>1027221304</v>
      </c>
    </row>
    <row r="142" spans="1:10" x14ac:dyDescent="0.2">
      <c r="A142" s="6" t="s">
        <v>150</v>
      </c>
      <c r="B142" s="6">
        <v>3</v>
      </c>
      <c r="C142" s="8">
        <v>0</v>
      </c>
      <c r="D142" s="8">
        <v>0</v>
      </c>
      <c r="E142" s="8">
        <v>151</v>
      </c>
      <c r="F142" s="8">
        <v>31408000</v>
      </c>
      <c r="G142" s="8">
        <v>151</v>
      </c>
      <c r="H142" s="8">
        <v>31408000</v>
      </c>
      <c r="I142" s="8">
        <v>0</v>
      </c>
      <c r="J142" s="8">
        <v>0</v>
      </c>
    </row>
    <row r="143" spans="1:10" x14ac:dyDescent="0.2">
      <c r="A143" s="6" t="s">
        <v>151</v>
      </c>
      <c r="B143" s="6">
        <v>3</v>
      </c>
      <c r="C143" s="8">
        <v>239</v>
      </c>
      <c r="D143" s="8">
        <v>45410000</v>
      </c>
      <c r="E143" s="8">
        <v>0</v>
      </c>
      <c r="F143" s="8">
        <v>0</v>
      </c>
      <c r="G143" s="8">
        <v>0</v>
      </c>
      <c r="H143" s="8">
        <v>0</v>
      </c>
      <c r="I143" s="8">
        <v>239</v>
      </c>
      <c r="J143" s="8">
        <v>45410000</v>
      </c>
    </row>
    <row r="144" spans="1:10" x14ac:dyDescent="0.2">
      <c r="A144" s="6" t="s">
        <v>152</v>
      </c>
      <c r="B144" s="6">
        <v>3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</row>
    <row r="145" spans="1:10" x14ac:dyDescent="0.2">
      <c r="A145" s="6" t="s">
        <v>153</v>
      </c>
      <c r="B145" s="6">
        <v>3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</row>
    <row r="146" spans="1:10" x14ac:dyDescent="0.2">
      <c r="A146" s="6" t="s">
        <v>154</v>
      </c>
      <c r="B146" s="6">
        <v>3</v>
      </c>
      <c r="C146" s="8">
        <v>0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</row>
    <row r="147" spans="1:10" x14ac:dyDescent="0.2">
      <c r="A147" s="6" t="s">
        <v>155</v>
      </c>
      <c r="B147" s="6">
        <v>3</v>
      </c>
      <c r="C147" s="8">
        <v>204</v>
      </c>
      <c r="D147" s="8">
        <v>59148248</v>
      </c>
      <c r="E147" s="8">
        <v>0</v>
      </c>
      <c r="F147" s="8">
        <v>0</v>
      </c>
      <c r="G147" s="8">
        <v>0</v>
      </c>
      <c r="H147" s="8">
        <v>0</v>
      </c>
      <c r="I147" s="8">
        <v>204</v>
      </c>
      <c r="J147" s="8">
        <v>59148248</v>
      </c>
    </row>
    <row r="148" spans="1:10" x14ac:dyDescent="0.2">
      <c r="A148" s="6" t="s">
        <v>156</v>
      </c>
      <c r="B148" s="6">
        <v>3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</row>
    <row r="149" spans="1:10" x14ac:dyDescent="0.2">
      <c r="A149" s="6" t="s">
        <v>157</v>
      </c>
      <c r="B149" s="6">
        <v>3</v>
      </c>
      <c r="C149" s="8">
        <v>0</v>
      </c>
      <c r="D149" s="8">
        <v>0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</row>
    <row r="150" spans="1:10" x14ac:dyDescent="0.2">
      <c r="A150" s="6" t="s">
        <v>158</v>
      </c>
      <c r="B150" s="6">
        <v>3</v>
      </c>
      <c r="C150" s="8">
        <v>163</v>
      </c>
      <c r="D150" s="8">
        <v>34833360</v>
      </c>
      <c r="E150" s="8">
        <v>0</v>
      </c>
      <c r="F150" s="8">
        <v>0</v>
      </c>
      <c r="G150" s="8">
        <v>30</v>
      </c>
      <c r="H150" s="8">
        <v>6411048</v>
      </c>
      <c r="I150" s="8">
        <v>133</v>
      </c>
      <c r="J150" s="8">
        <v>28422312</v>
      </c>
    </row>
    <row r="151" spans="1:10" x14ac:dyDescent="0.2">
      <c r="A151" s="6" t="s">
        <v>159</v>
      </c>
      <c r="B151" s="6">
        <v>3</v>
      </c>
      <c r="C151" s="8">
        <v>94</v>
      </c>
      <c r="D151" s="8">
        <v>20691192</v>
      </c>
      <c r="E151" s="8">
        <v>0</v>
      </c>
      <c r="F151" s="8">
        <v>0</v>
      </c>
      <c r="G151" s="8">
        <v>0</v>
      </c>
      <c r="H151" s="8">
        <v>0</v>
      </c>
      <c r="I151" s="8">
        <v>94</v>
      </c>
      <c r="J151" s="8">
        <v>20691192</v>
      </c>
    </row>
    <row r="152" spans="1:10" x14ac:dyDescent="0.2">
      <c r="A152" s="6" t="s">
        <v>160</v>
      </c>
      <c r="B152" s="6">
        <v>3</v>
      </c>
      <c r="C152" s="8">
        <v>65</v>
      </c>
      <c r="D152" s="8">
        <v>17179851</v>
      </c>
      <c r="E152" s="8">
        <v>0</v>
      </c>
      <c r="F152" s="8">
        <v>0</v>
      </c>
      <c r="G152" s="8">
        <v>0</v>
      </c>
      <c r="H152" s="8">
        <v>0</v>
      </c>
      <c r="I152" s="8">
        <v>65</v>
      </c>
      <c r="J152" s="8">
        <v>17179851</v>
      </c>
    </row>
    <row r="153" spans="1:10" x14ac:dyDescent="0.2">
      <c r="A153" s="6" t="s">
        <v>161</v>
      </c>
      <c r="B153" s="6">
        <v>3</v>
      </c>
      <c r="C153" s="8">
        <v>0</v>
      </c>
      <c r="D153" s="8">
        <v>0</v>
      </c>
      <c r="E153" s="8">
        <v>180</v>
      </c>
      <c r="F153" s="8">
        <v>38070000</v>
      </c>
      <c r="G153" s="8">
        <v>180</v>
      </c>
      <c r="H153" s="8">
        <v>38070000</v>
      </c>
      <c r="I153" s="8">
        <v>0</v>
      </c>
      <c r="J153" s="8">
        <v>0</v>
      </c>
    </row>
    <row r="154" spans="1:10" x14ac:dyDescent="0.2">
      <c r="A154" s="6" t="s">
        <v>162</v>
      </c>
      <c r="B154" s="6">
        <v>3</v>
      </c>
      <c r="C154" s="8">
        <v>255</v>
      </c>
      <c r="D154" s="8">
        <v>80603205</v>
      </c>
      <c r="E154" s="8">
        <v>56</v>
      </c>
      <c r="F154" s="8">
        <v>17701096</v>
      </c>
      <c r="G154" s="8">
        <v>0</v>
      </c>
      <c r="H154" s="8">
        <v>0</v>
      </c>
      <c r="I154" s="8">
        <v>311</v>
      </c>
      <c r="J154" s="8">
        <v>98304301</v>
      </c>
    </row>
    <row r="155" spans="1:10" x14ac:dyDescent="0.2">
      <c r="A155" s="6" t="s">
        <v>163</v>
      </c>
      <c r="B155" s="6">
        <v>3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</row>
    <row r="156" spans="1:10" x14ac:dyDescent="0.2">
      <c r="A156" s="6" t="s">
        <v>164</v>
      </c>
      <c r="B156" s="6">
        <v>3</v>
      </c>
      <c r="C156" s="8">
        <v>95</v>
      </c>
      <c r="D156" s="8">
        <v>13696836</v>
      </c>
      <c r="E156" s="8">
        <v>0</v>
      </c>
      <c r="F156" s="8">
        <v>0</v>
      </c>
      <c r="G156" s="8">
        <v>0</v>
      </c>
      <c r="H156" s="8">
        <v>0</v>
      </c>
      <c r="I156" s="8">
        <v>95</v>
      </c>
      <c r="J156" s="8">
        <v>13696836</v>
      </c>
    </row>
    <row r="157" spans="1:10" x14ac:dyDescent="0.2">
      <c r="A157" s="6" t="s">
        <v>165</v>
      </c>
      <c r="B157" s="6">
        <v>3</v>
      </c>
      <c r="C157" s="8">
        <v>150</v>
      </c>
      <c r="D157" s="8">
        <v>22187410</v>
      </c>
      <c r="E157" s="8">
        <v>30</v>
      </c>
      <c r="F157" s="8">
        <v>4756920</v>
      </c>
      <c r="G157" s="8">
        <v>0</v>
      </c>
      <c r="H157" s="8">
        <v>0</v>
      </c>
      <c r="I157" s="8">
        <v>180</v>
      </c>
      <c r="J157" s="8">
        <v>26944330</v>
      </c>
    </row>
    <row r="158" spans="1:10" x14ac:dyDescent="0.2">
      <c r="A158" s="6" t="s">
        <v>166</v>
      </c>
      <c r="B158" s="6">
        <v>3</v>
      </c>
      <c r="C158" s="8">
        <v>0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</row>
    <row r="159" spans="1:10" x14ac:dyDescent="0.2">
      <c r="A159" s="6" t="s">
        <v>167</v>
      </c>
      <c r="B159" s="6">
        <v>3</v>
      </c>
      <c r="C159" s="8">
        <v>1076</v>
      </c>
      <c r="D159" s="8">
        <v>199774481</v>
      </c>
      <c r="E159" s="8">
        <v>254</v>
      </c>
      <c r="F159" s="8">
        <v>47158660</v>
      </c>
      <c r="G159" s="8">
        <v>1330</v>
      </c>
      <c r="H159" s="8">
        <v>246933141</v>
      </c>
      <c r="I159" s="8">
        <v>0</v>
      </c>
      <c r="J159" s="8">
        <v>0</v>
      </c>
    </row>
    <row r="160" spans="1:10" x14ac:dyDescent="0.2">
      <c r="A160" s="6" t="s">
        <v>168</v>
      </c>
      <c r="B160" s="6">
        <v>3</v>
      </c>
      <c r="C160" s="8">
        <v>10</v>
      </c>
      <c r="D160" s="8">
        <v>1820830</v>
      </c>
      <c r="E160" s="8">
        <v>130</v>
      </c>
      <c r="F160" s="8">
        <v>23712000</v>
      </c>
      <c r="G160" s="8">
        <v>0</v>
      </c>
      <c r="H160" s="8">
        <v>0</v>
      </c>
      <c r="I160" s="8">
        <v>140</v>
      </c>
      <c r="J160" s="8">
        <v>25532830</v>
      </c>
    </row>
    <row r="161" spans="1:10" x14ac:dyDescent="0.2">
      <c r="A161" s="6" t="s">
        <v>169</v>
      </c>
      <c r="B161" s="6">
        <v>3</v>
      </c>
      <c r="C161" s="8">
        <v>1004</v>
      </c>
      <c r="D161" s="8">
        <v>177797220</v>
      </c>
      <c r="E161" s="8">
        <v>0</v>
      </c>
      <c r="F161" s="8">
        <v>0</v>
      </c>
      <c r="G161" s="8">
        <v>30</v>
      </c>
      <c r="H161" s="8">
        <v>5312666</v>
      </c>
      <c r="I161" s="8">
        <v>974</v>
      </c>
      <c r="J161" s="8">
        <v>172484554</v>
      </c>
    </row>
    <row r="162" spans="1:10" x14ac:dyDescent="0.2">
      <c r="A162" s="6" t="s">
        <v>170</v>
      </c>
      <c r="B162" s="6">
        <v>3</v>
      </c>
      <c r="C162" s="8">
        <v>77</v>
      </c>
      <c r="D162" s="8">
        <v>21146972</v>
      </c>
      <c r="E162" s="8">
        <v>0</v>
      </c>
      <c r="F162" s="8">
        <v>0</v>
      </c>
      <c r="G162" s="8">
        <v>0</v>
      </c>
      <c r="H162" s="8">
        <v>0</v>
      </c>
      <c r="I162" s="8">
        <v>77</v>
      </c>
      <c r="J162" s="8">
        <v>21146972</v>
      </c>
    </row>
    <row r="163" spans="1:10" x14ac:dyDescent="0.2">
      <c r="A163" s="6" t="s">
        <v>171</v>
      </c>
      <c r="B163" s="6">
        <v>3</v>
      </c>
      <c r="C163" s="8">
        <v>0</v>
      </c>
      <c r="D163" s="8">
        <v>0</v>
      </c>
      <c r="E163" s="8">
        <v>35</v>
      </c>
      <c r="F163" s="8">
        <v>9660000</v>
      </c>
      <c r="G163" s="8">
        <v>35</v>
      </c>
      <c r="H163" s="8">
        <v>9660000</v>
      </c>
      <c r="I163" s="8">
        <v>0</v>
      </c>
      <c r="J163" s="8">
        <v>0</v>
      </c>
    </row>
    <row r="164" spans="1:10" x14ac:dyDescent="0.2">
      <c r="A164" s="6" t="s">
        <v>172</v>
      </c>
      <c r="B164" s="6">
        <v>3</v>
      </c>
      <c r="C164" s="8">
        <v>0</v>
      </c>
      <c r="D164" s="8">
        <v>0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</row>
    <row r="165" spans="1:10" x14ac:dyDescent="0.2">
      <c r="A165" s="6" t="s">
        <v>173</v>
      </c>
      <c r="B165" s="6">
        <v>3</v>
      </c>
      <c r="C165" s="8">
        <v>0</v>
      </c>
      <c r="D165" s="8">
        <v>0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</row>
    <row r="166" spans="1:10" x14ac:dyDescent="0.2">
      <c r="A166" s="6" t="s">
        <v>174</v>
      </c>
      <c r="B166" s="6">
        <v>3</v>
      </c>
      <c r="C166" s="8">
        <v>60</v>
      </c>
      <c r="D166" s="8">
        <v>16472400</v>
      </c>
      <c r="E166" s="8">
        <v>20</v>
      </c>
      <c r="F166" s="8">
        <v>5492720</v>
      </c>
      <c r="G166" s="8">
        <v>0</v>
      </c>
      <c r="H166" s="8">
        <v>0</v>
      </c>
      <c r="I166" s="8">
        <v>80</v>
      </c>
      <c r="J166" s="8">
        <v>21965120</v>
      </c>
    </row>
    <row r="167" spans="1:10" x14ac:dyDescent="0.2">
      <c r="A167" s="6" t="s">
        <v>175</v>
      </c>
      <c r="B167" s="6">
        <v>3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</row>
    <row r="168" spans="1:10" x14ac:dyDescent="0.2">
      <c r="A168" s="6" t="s">
        <v>176</v>
      </c>
      <c r="B168" s="6">
        <v>3</v>
      </c>
      <c r="C168" s="8">
        <v>0</v>
      </c>
      <c r="D168" s="8">
        <v>0</v>
      </c>
      <c r="E168" s="8">
        <v>30</v>
      </c>
      <c r="F168" s="8">
        <v>5492730</v>
      </c>
      <c r="G168" s="8">
        <v>30</v>
      </c>
      <c r="H168" s="8">
        <v>5492730</v>
      </c>
      <c r="I168" s="8">
        <v>0</v>
      </c>
      <c r="J168" s="8">
        <v>0</v>
      </c>
    </row>
    <row r="169" spans="1:10" x14ac:dyDescent="0.2">
      <c r="A169" s="6" t="s">
        <v>177</v>
      </c>
      <c r="B169" s="6">
        <v>3</v>
      </c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</row>
    <row r="170" spans="1:10" x14ac:dyDescent="0.2">
      <c r="A170" s="6" t="s">
        <v>178</v>
      </c>
      <c r="B170" s="6">
        <v>3</v>
      </c>
      <c r="C170" s="8">
        <v>0</v>
      </c>
      <c r="D170" s="8">
        <v>0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</row>
    <row r="171" spans="1:10" x14ac:dyDescent="0.2">
      <c r="A171" s="6" t="s">
        <v>179</v>
      </c>
      <c r="B171" s="6">
        <v>3</v>
      </c>
      <c r="C171" s="8">
        <v>11184</v>
      </c>
      <c r="D171" s="8">
        <v>61163050</v>
      </c>
      <c r="E171" s="8">
        <v>15133</v>
      </c>
      <c r="F171" s="8">
        <v>72006000</v>
      </c>
      <c r="G171" s="8">
        <v>10632</v>
      </c>
      <c r="H171" s="8">
        <v>53799952</v>
      </c>
      <c r="I171" s="8">
        <v>15685</v>
      </c>
      <c r="J171" s="8">
        <v>79369098</v>
      </c>
    </row>
    <row r="172" spans="1:10" x14ac:dyDescent="0.2">
      <c r="A172" s="6" t="s">
        <v>180</v>
      </c>
      <c r="B172" s="6">
        <v>3</v>
      </c>
      <c r="C172" s="8">
        <v>0</v>
      </c>
      <c r="D172" s="8">
        <v>0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</row>
    <row r="173" spans="1:10" x14ac:dyDescent="0.2">
      <c r="A173" s="6" t="s">
        <v>181</v>
      </c>
      <c r="B173" s="6">
        <v>3</v>
      </c>
      <c r="C173" s="8">
        <v>1200</v>
      </c>
      <c r="D173" s="8">
        <v>57720821</v>
      </c>
      <c r="E173" s="8">
        <v>450</v>
      </c>
      <c r="F173" s="8">
        <v>21621150</v>
      </c>
      <c r="G173" s="8">
        <v>405</v>
      </c>
      <c r="H173" s="8">
        <v>19474847</v>
      </c>
      <c r="I173" s="8">
        <v>1245</v>
      </c>
      <c r="J173" s="8">
        <v>59867124</v>
      </c>
    </row>
    <row r="174" spans="1:10" x14ac:dyDescent="0.2">
      <c r="A174" s="6" t="s">
        <v>182</v>
      </c>
      <c r="B174" s="6">
        <v>3</v>
      </c>
      <c r="C174" s="8">
        <v>0</v>
      </c>
      <c r="D174" s="8">
        <v>0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</row>
    <row r="175" spans="1:10" x14ac:dyDescent="0.2">
      <c r="A175" s="6" t="s">
        <v>183</v>
      </c>
      <c r="B175" s="6">
        <v>3</v>
      </c>
      <c r="C175" s="8">
        <v>2440</v>
      </c>
      <c r="D175" s="8">
        <v>132620903</v>
      </c>
      <c r="E175" s="8">
        <v>200</v>
      </c>
      <c r="F175" s="8">
        <v>10880000</v>
      </c>
      <c r="G175" s="8">
        <v>50</v>
      </c>
      <c r="H175" s="8">
        <v>2717820</v>
      </c>
      <c r="I175" s="8">
        <v>2590</v>
      </c>
      <c r="J175" s="8">
        <v>140783083</v>
      </c>
    </row>
    <row r="176" spans="1:10" x14ac:dyDescent="0.2">
      <c r="A176" s="6" t="s">
        <v>184</v>
      </c>
      <c r="B176" s="6">
        <v>3</v>
      </c>
      <c r="C176" s="8">
        <v>2563</v>
      </c>
      <c r="D176" s="8">
        <v>140005451</v>
      </c>
      <c r="E176" s="8">
        <v>300</v>
      </c>
      <c r="F176" s="8">
        <v>16320000</v>
      </c>
      <c r="G176" s="8">
        <v>30</v>
      </c>
      <c r="H176" s="8">
        <v>1638059</v>
      </c>
      <c r="I176" s="8">
        <v>2833</v>
      </c>
      <c r="J176" s="8">
        <v>154687392</v>
      </c>
    </row>
    <row r="177" spans="1:10" x14ac:dyDescent="0.2">
      <c r="A177" s="6" t="s">
        <v>185</v>
      </c>
      <c r="B177" s="6">
        <v>3</v>
      </c>
      <c r="C177" s="8">
        <v>200</v>
      </c>
      <c r="D177" s="8">
        <v>36046800</v>
      </c>
      <c r="E177" s="8">
        <v>200</v>
      </c>
      <c r="F177" s="8">
        <v>36046800</v>
      </c>
      <c r="G177" s="8">
        <v>360</v>
      </c>
      <c r="H177" s="8">
        <v>64884240</v>
      </c>
      <c r="I177" s="8">
        <v>40</v>
      </c>
      <c r="J177" s="8">
        <v>7209360</v>
      </c>
    </row>
    <row r="178" spans="1:10" x14ac:dyDescent="0.2">
      <c r="A178" s="6" t="s">
        <v>186</v>
      </c>
      <c r="B178" s="6">
        <v>3</v>
      </c>
      <c r="C178" s="8">
        <v>1110</v>
      </c>
      <c r="D178" s="8">
        <v>48502734</v>
      </c>
      <c r="E178" s="8">
        <v>6300</v>
      </c>
      <c r="F178" s="8">
        <v>274206272</v>
      </c>
      <c r="G178" s="8">
        <v>7300</v>
      </c>
      <c r="H178" s="8">
        <v>317918454</v>
      </c>
      <c r="I178" s="8">
        <v>110</v>
      </c>
      <c r="J178" s="8">
        <v>4790552</v>
      </c>
    </row>
    <row r="179" spans="1:10" x14ac:dyDescent="0.2">
      <c r="A179" s="6" t="s">
        <v>187</v>
      </c>
      <c r="B179" s="6">
        <v>3</v>
      </c>
      <c r="C179" s="8">
        <v>1050</v>
      </c>
      <c r="D179" s="8">
        <v>39103105</v>
      </c>
      <c r="E179" s="8">
        <v>1050</v>
      </c>
      <c r="F179" s="8">
        <v>37107000</v>
      </c>
      <c r="G179" s="8">
        <v>210</v>
      </c>
      <c r="H179" s="8">
        <v>7621011</v>
      </c>
      <c r="I179" s="8">
        <v>1890</v>
      </c>
      <c r="J179" s="8">
        <v>68589094</v>
      </c>
    </row>
    <row r="180" spans="1:10" x14ac:dyDescent="0.2">
      <c r="A180" s="6" t="s">
        <v>188</v>
      </c>
      <c r="B180" s="6">
        <v>3</v>
      </c>
      <c r="C180" s="8">
        <v>5775</v>
      </c>
      <c r="D180" s="8">
        <v>1087206304</v>
      </c>
      <c r="E180" s="8">
        <v>4050</v>
      </c>
      <c r="F180" s="8">
        <v>725353500</v>
      </c>
      <c r="G180" s="8">
        <v>5070</v>
      </c>
      <c r="H180" s="8">
        <v>935336204</v>
      </c>
      <c r="I180" s="8">
        <v>4755</v>
      </c>
      <c r="J180" s="8">
        <v>877223600</v>
      </c>
    </row>
    <row r="181" spans="1:10" x14ac:dyDescent="0.2">
      <c r="A181" s="6" t="s">
        <v>189</v>
      </c>
      <c r="B181" s="6">
        <v>3</v>
      </c>
      <c r="C181" s="8">
        <v>350</v>
      </c>
      <c r="D181" s="8">
        <v>15850846</v>
      </c>
      <c r="E181" s="8">
        <v>0</v>
      </c>
      <c r="F181" s="8">
        <v>0</v>
      </c>
      <c r="G181" s="8">
        <v>350</v>
      </c>
      <c r="H181" s="8">
        <v>15850846</v>
      </c>
      <c r="I181" s="8">
        <v>0</v>
      </c>
      <c r="J181" s="8">
        <v>0</v>
      </c>
    </row>
    <row r="182" spans="1:10" x14ac:dyDescent="0.2">
      <c r="A182" s="6" t="s">
        <v>190</v>
      </c>
      <c r="B182" s="6">
        <v>3</v>
      </c>
      <c r="C182" s="8">
        <v>8400</v>
      </c>
      <c r="D182" s="8">
        <v>253881190</v>
      </c>
      <c r="E182" s="8">
        <v>2100</v>
      </c>
      <c r="F182" s="8">
        <v>59371200</v>
      </c>
      <c r="G182" s="8">
        <v>9450</v>
      </c>
      <c r="H182" s="8">
        <v>281927151</v>
      </c>
      <c r="I182" s="8">
        <v>1050</v>
      </c>
      <c r="J182" s="8">
        <v>31325239</v>
      </c>
    </row>
    <row r="183" spans="1:10" x14ac:dyDescent="0.2">
      <c r="A183" s="6" t="s">
        <v>191</v>
      </c>
      <c r="B183" s="6">
        <v>3</v>
      </c>
      <c r="C183" s="8">
        <v>35740</v>
      </c>
      <c r="D183" s="8">
        <v>958952464</v>
      </c>
      <c r="E183" s="8">
        <v>33750</v>
      </c>
      <c r="F183" s="8">
        <v>938277000</v>
      </c>
      <c r="G183" s="8">
        <v>42225</v>
      </c>
      <c r="H183" s="8">
        <v>1215162125</v>
      </c>
      <c r="I183" s="8">
        <v>27265</v>
      </c>
      <c r="J183" s="8">
        <v>682067339</v>
      </c>
    </row>
    <row r="184" spans="1:10" x14ac:dyDescent="0.2">
      <c r="A184" s="6" t="s">
        <v>192</v>
      </c>
      <c r="B184" s="6">
        <v>3</v>
      </c>
      <c r="C184" s="8">
        <v>8400</v>
      </c>
      <c r="D184" s="8">
        <v>61260392</v>
      </c>
      <c r="E184" s="8">
        <v>1500</v>
      </c>
      <c r="F184" s="8">
        <v>10602000</v>
      </c>
      <c r="G184" s="8">
        <v>9900</v>
      </c>
      <c r="H184" s="8">
        <v>71862392</v>
      </c>
      <c r="I184" s="8">
        <v>0</v>
      </c>
      <c r="J184" s="8">
        <v>0</v>
      </c>
    </row>
    <row r="185" spans="1:10" x14ac:dyDescent="0.2">
      <c r="A185" s="6" t="s">
        <v>193</v>
      </c>
      <c r="B185" s="6">
        <v>3</v>
      </c>
      <c r="C185" s="8">
        <v>100</v>
      </c>
      <c r="D185" s="8">
        <v>22624798</v>
      </c>
      <c r="E185" s="8">
        <v>0</v>
      </c>
      <c r="F185" s="8">
        <v>0</v>
      </c>
      <c r="G185" s="8">
        <v>65</v>
      </c>
      <c r="H185" s="8">
        <v>14706119</v>
      </c>
      <c r="I185" s="8">
        <v>35</v>
      </c>
      <c r="J185" s="8">
        <v>7918679</v>
      </c>
    </row>
    <row r="186" spans="1:10" x14ac:dyDescent="0.2">
      <c r="A186" s="6" t="s">
        <v>194</v>
      </c>
      <c r="B186" s="6">
        <v>3</v>
      </c>
      <c r="C186" s="8">
        <v>96070</v>
      </c>
      <c r="D186" s="8">
        <v>661186047</v>
      </c>
      <c r="E186" s="8">
        <v>198000</v>
      </c>
      <c r="F186" s="8">
        <v>1399464000</v>
      </c>
      <c r="G186" s="8">
        <v>164460</v>
      </c>
      <c r="H186" s="8">
        <v>1214859386</v>
      </c>
      <c r="I186" s="8">
        <v>129610</v>
      </c>
      <c r="J186" s="8">
        <v>845790661</v>
      </c>
    </row>
    <row r="187" spans="1:10" x14ac:dyDescent="0.2">
      <c r="A187" s="6" t="s">
        <v>195</v>
      </c>
      <c r="B187" s="6">
        <v>3</v>
      </c>
      <c r="C187" s="8">
        <v>0</v>
      </c>
      <c r="D187" s="8">
        <v>0</v>
      </c>
      <c r="E187" s="8">
        <v>1675</v>
      </c>
      <c r="F187" s="8">
        <v>384644584</v>
      </c>
      <c r="G187" s="8">
        <v>1675</v>
      </c>
      <c r="H187" s="8">
        <v>384644584</v>
      </c>
      <c r="I187" s="8">
        <v>0</v>
      </c>
      <c r="J187" s="8">
        <v>0</v>
      </c>
    </row>
    <row r="188" spans="1:10" x14ac:dyDescent="0.2">
      <c r="A188" s="6" t="s">
        <v>196</v>
      </c>
      <c r="B188" s="6">
        <v>3</v>
      </c>
      <c r="C188" s="8">
        <v>280</v>
      </c>
      <c r="D188" s="8">
        <v>46651031</v>
      </c>
      <c r="E188" s="8">
        <v>0</v>
      </c>
      <c r="F188" s="8">
        <v>0</v>
      </c>
      <c r="G188" s="8">
        <v>0</v>
      </c>
      <c r="H188" s="8">
        <v>0</v>
      </c>
      <c r="I188" s="8">
        <v>280</v>
      </c>
      <c r="J188" s="8">
        <v>46651031</v>
      </c>
    </row>
    <row r="189" spans="1:10" x14ac:dyDescent="0.2">
      <c r="A189" s="6" t="s">
        <v>197</v>
      </c>
      <c r="B189" s="6">
        <v>3</v>
      </c>
      <c r="C189" s="8">
        <v>1200</v>
      </c>
      <c r="D189" s="8">
        <v>8579070</v>
      </c>
      <c r="E189" s="8">
        <v>0</v>
      </c>
      <c r="F189" s="8">
        <v>0</v>
      </c>
      <c r="G189" s="8">
        <v>240</v>
      </c>
      <c r="H189" s="8">
        <v>1715814</v>
      </c>
      <c r="I189" s="8">
        <v>960</v>
      </c>
      <c r="J189" s="8">
        <v>6863256</v>
      </c>
    </row>
    <row r="190" spans="1:10" x14ac:dyDescent="0.2">
      <c r="A190" s="6" t="s">
        <v>198</v>
      </c>
      <c r="B190" s="6">
        <v>3</v>
      </c>
      <c r="C190" s="8">
        <v>0</v>
      </c>
      <c r="D190" s="8">
        <v>0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</row>
    <row r="191" spans="1:10" x14ac:dyDescent="0.2">
      <c r="A191" s="6" t="s">
        <v>199</v>
      </c>
      <c r="B191" s="6">
        <v>3</v>
      </c>
      <c r="C191" s="8">
        <v>77660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77660</v>
      </c>
      <c r="J191" s="8">
        <v>0</v>
      </c>
    </row>
    <row r="192" spans="1:10" x14ac:dyDescent="0.2">
      <c r="A192" s="6" t="s">
        <v>200</v>
      </c>
      <c r="B192" s="6">
        <v>3</v>
      </c>
      <c r="C192" s="8">
        <v>72</v>
      </c>
      <c r="D192" s="8">
        <v>504000</v>
      </c>
      <c r="E192" s="8">
        <v>0</v>
      </c>
      <c r="F192" s="8">
        <v>0</v>
      </c>
      <c r="G192" s="8">
        <v>0</v>
      </c>
      <c r="H192" s="8">
        <v>0</v>
      </c>
      <c r="I192" s="8">
        <v>72</v>
      </c>
      <c r="J192" s="8">
        <v>504000</v>
      </c>
    </row>
    <row r="193" spans="1:10" x14ac:dyDescent="0.2">
      <c r="A193" s="6" t="s">
        <v>201</v>
      </c>
      <c r="B193" s="6">
        <v>3</v>
      </c>
      <c r="C193" s="8">
        <v>480</v>
      </c>
      <c r="D193" s="8">
        <v>7137059</v>
      </c>
      <c r="E193" s="8">
        <v>360</v>
      </c>
      <c r="F193" s="8">
        <v>5400000</v>
      </c>
      <c r="G193" s="8">
        <v>0</v>
      </c>
      <c r="H193" s="8">
        <v>0</v>
      </c>
      <c r="I193" s="8">
        <v>840</v>
      </c>
      <c r="J193" s="8">
        <v>12537059</v>
      </c>
    </row>
    <row r="194" spans="1:10" x14ac:dyDescent="0.2">
      <c r="A194" s="6" t="s">
        <v>202</v>
      </c>
      <c r="B194" s="6">
        <v>3</v>
      </c>
      <c r="C194" s="8">
        <v>0</v>
      </c>
      <c r="D194" s="8">
        <v>0</v>
      </c>
      <c r="E194" s="8">
        <v>50</v>
      </c>
      <c r="F194" s="8">
        <v>1150000</v>
      </c>
      <c r="G194" s="8">
        <v>50</v>
      </c>
      <c r="H194" s="8">
        <v>1150000</v>
      </c>
      <c r="I194" s="8">
        <v>0</v>
      </c>
      <c r="J194" s="8">
        <v>0</v>
      </c>
    </row>
    <row r="195" spans="1:10" x14ac:dyDescent="0.2">
      <c r="A195" s="6" t="s">
        <v>203</v>
      </c>
      <c r="B195" s="6">
        <v>3</v>
      </c>
      <c r="C195" s="8">
        <v>720</v>
      </c>
      <c r="D195" s="8">
        <v>8450640</v>
      </c>
      <c r="E195" s="8">
        <v>1440</v>
      </c>
      <c r="F195" s="8">
        <v>16901280</v>
      </c>
      <c r="G195" s="8">
        <v>10</v>
      </c>
      <c r="H195" s="8">
        <v>117370</v>
      </c>
      <c r="I195" s="8">
        <v>2150</v>
      </c>
      <c r="J195" s="8">
        <v>25234550</v>
      </c>
    </row>
    <row r="196" spans="1:10" x14ac:dyDescent="0.2">
      <c r="A196" s="6" t="s">
        <v>204</v>
      </c>
      <c r="B196" s="6">
        <v>3</v>
      </c>
      <c r="C196" s="8">
        <v>4255</v>
      </c>
      <c r="D196" s="8">
        <v>122561330</v>
      </c>
      <c r="E196" s="8">
        <v>1759</v>
      </c>
      <c r="F196" s="8">
        <v>43999200</v>
      </c>
      <c r="G196" s="8">
        <v>1026</v>
      </c>
      <c r="H196" s="8">
        <v>28415548</v>
      </c>
      <c r="I196" s="8">
        <v>4988</v>
      </c>
      <c r="J196" s="8">
        <v>138144982</v>
      </c>
    </row>
    <row r="197" spans="1:10" x14ac:dyDescent="0.2">
      <c r="A197" s="6" t="s">
        <v>205</v>
      </c>
      <c r="B197" s="6">
        <v>3</v>
      </c>
      <c r="C197" s="8">
        <v>720</v>
      </c>
      <c r="D197" s="8">
        <v>48329280</v>
      </c>
      <c r="E197" s="8">
        <v>0</v>
      </c>
      <c r="F197" s="8">
        <v>0</v>
      </c>
      <c r="G197" s="8">
        <v>0</v>
      </c>
      <c r="H197" s="8">
        <v>0</v>
      </c>
      <c r="I197" s="8">
        <v>720</v>
      </c>
      <c r="J197" s="8">
        <v>48329280</v>
      </c>
    </row>
    <row r="198" spans="1:10" x14ac:dyDescent="0.2">
      <c r="A198" s="6" t="s">
        <v>206</v>
      </c>
      <c r="B198" s="6">
        <v>3</v>
      </c>
      <c r="C198" s="8">
        <v>384</v>
      </c>
      <c r="D198" s="8">
        <v>10785736</v>
      </c>
      <c r="E198" s="8">
        <v>0</v>
      </c>
      <c r="F198" s="8">
        <v>0</v>
      </c>
      <c r="G198" s="8">
        <v>30</v>
      </c>
      <c r="H198" s="8">
        <v>842636</v>
      </c>
      <c r="I198" s="8">
        <v>354</v>
      </c>
      <c r="J198" s="8">
        <v>9943100</v>
      </c>
    </row>
    <row r="199" spans="1:10" x14ac:dyDescent="0.2">
      <c r="A199" s="6" t="s">
        <v>207</v>
      </c>
      <c r="B199" s="6">
        <v>3</v>
      </c>
      <c r="C199" s="8">
        <v>0</v>
      </c>
      <c r="D199" s="8">
        <v>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</row>
    <row r="200" spans="1:10" x14ac:dyDescent="0.2">
      <c r="A200" s="6" t="s">
        <v>208</v>
      </c>
      <c r="B200" s="6">
        <v>3</v>
      </c>
      <c r="C200" s="8">
        <v>288</v>
      </c>
      <c r="D200" s="8">
        <v>0</v>
      </c>
      <c r="E200" s="8">
        <v>0</v>
      </c>
      <c r="F200" s="8">
        <v>0</v>
      </c>
      <c r="G200" s="8">
        <v>0</v>
      </c>
      <c r="H200" s="8">
        <v>0</v>
      </c>
      <c r="I200" s="8">
        <v>288</v>
      </c>
      <c r="J200" s="8">
        <v>0</v>
      </c>
    </row>
    <row r="201" spans="1:10" x14ac:dyDescent="0.2">
      <c r="A201" s="6" t="s">
        <v>209</v>
      </c>
      <c r="B201" s="6">
        <v>3</v>
      </c>
      <c r="C201" s="8">
        <v>64</v>
      </c>
      <c r="D201" s="8">
        <v>3738240</v>
      </c>
      <c r="E201" s="8">
        <v>188</v>
      </c>
      <c r="F201" s="8">
        <v>10981080</v>
      </c>
      <c r="G201" s="8">
        <v>252</v>
      </c>
      <c r="H201" s="8">
        <v>14719320</v>
      </c>
      <c r="I201" s="8">
        <v>0</v>
      </c>
      <c r="J201" s="8">
        <v>0</v>
      </c>
    </row>
    <row r="202" spans="1:10" x14ac:dyDescent="0.2">
      <c r="A202" s="6" t="s">
        <v>210</v>
      </c>
      <c r="B202" s="6">
        <v>3</v>
      </c>
      <c r="C202" s="8">
        <v>240</v>
      </c>
      <c r="D202" s="8">
        <v>3156480</v>
      </c>
      <c r="E202" s="8">
        <v>45</v>
      </c>
      <c r="F202" s="8">
        <v>0</v>
      </c>
      <c r="G202" s="8">
        <v>6</v>
      </c>
      <c r="H202" s="8">
        <v>66452</v>
      </c>
      <c r="I202" s="8">
        <v>279</v>
      </c>
      <c r="J202" s="8">
        <v>3090028</v>
      </c>
    </row>
    <row r="203" spans="1:10" x14ac:dyDescent="0.2">
      <c r="A203" s="6" t="s">
        <v>211</v>
      </c>
      <c r="B203" s="6">
        <v>3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</row>
    <row r="204" spans="1:10" x14ac:dyDescent="0.2">
      <c r="A204" s="6" t="s">
        <v>212</v>
      </c>
      <c r="B204" s="6">
        <v>3</v>
      </c>
      <c r="C204" s="8">
        <v>5663</v>
      </c>
      <c r="D204" s="8">
        <v>70311623</v>
      </c>
      <c r="E204" s="8">
        <v>1800</v>
      </c>
      <c r="F204" s="8">
        <v>22348800</v>
      </c>
      <c r="G204" s="8">
        <v>2040</v>
      </c>
      <c r="H204" s="8">
        <v>25328589</v>
      </c>
      <c r="I204" s="8">
        <v>5423</v>
      </c>
      <c r="J204" s="8">
        <v>67331834</v>
      </c>
    </row>
    <row r="205" spans="1:10" x14ac:dyDescent="0.2">
      <c r="A205" s="6" t="s">
        <v>213</v>
      </c>
      <c r="B205" s="6">
        <v>3</v>
      </c>
      <c r="C205" s="8">
        <v>720</v>
      </c>
      <c r="D205" s="8">
        <v>15294960</v>
      </c>
      <c r="E205" s="8">
        <v>1440</v>
      </c>
      <c r="F205" s="8">
        <v>30589920</v>
      </c>
      <c r="G205" s="8">
        <v>0</v>
      </c>
      <c r="H205" s="8">
        <v>0</v>
      </c>
      <c r="I205" s="8">
        <v>2160</v>
      </c>
      <c r="J205" s="8">
        <v>45884880</v>
      </c>
    </row>
    <row r="206" spans="1:10" x14ac:dyDescent="0.2">
      <c r="A206" s="6" t="s">
        <v>214</v>
      </c>
      <c r="B206" s="6">
        <v>3</v>
      </c>
      <c r="C206" s="8">
        <v>4907</v>
      </c>
      <c r="D206" s="8">
        <v>113222312</v>
      </c>
      <c r="E206" s="8">
        <v>682</v>
      </c>
      <c r="F206" s="8">
        <v>8869680</v>
      </c>
      <c r="G206" s="8">
        <v>1650</v>
      </c>
      <c r="H206" s="8">
        <v>36044335</v>
      </c>
      <c r="I206" s="8">
        <v>3939</v>
      </c>
      <c r="J206" s="8">
        <v>86047657</v>
      </c>
    </row>
    <row r="207" spans="1:10" x14ac:dyDescent="0.2">
      <c r="A207" s="6" t="s">
        <v>215</v>
      </c>
      <c r="B207" s="6">
        <v>3</v>
      </c>
      <c r="C207" s="8">
        <v>688</v>
      </c>
      <c r="D207" s="8">
        <v>29363840</v>
      </c>
      <c r="E207" s="8">
        <v>480</v>
      </c>
      <c r="F207" s="8">
        <v>20486400</v>
      </c>
      <c r="G207" s="8">
        <v>0</v>
      </c>
      <c r="H207" s="8">
        <v>0</v>
      </c>
      <c r="I207" s="8">
        <v>1168</v>
      </c>
      <c r="J207" s="8">
        <v>49850240</v>
      </c>
    </row>
    <row r="208" spans="1:10" x14ac:dyDescent="0.2">
      <c r="A208" s="6" t="s">
        <v>216</v>
      </c>
      <c r="B208" s="6">
        <v>3</v>
      </c>
      <c r="C208" s="8">
        <v>0</v>
      </c>
      <c r="D208" s="8">
        <v>0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</row>
    <row r="209" spans="1:10" x14ac:dyDescent="0.2">
      <c r="A209" s="6" t="s">
        <v>217</v>
      </c>
      <c r="B209" s="6">
        <v>3</v>
      </c>
      <c r="C209" s="8">
        <v>40</v>
      </c>
      <c r="D209" s="8">
        <v>7100011</v>
      </c>
      <c r="E209" s="8">
        <v>0</v>
      </c>
      <c r="F209" s="8">
        <v>0</v>
      </c>
      <c r="G209" s="8">
        <v>30</v>
      </c>
      <c r="H209" s="8">
        <v>5325008</v>
      </c>
      <c r="I209" s="8">
        <v>10</v>
      </c>
      <c r="J209" s="8">
        <v>1775003</v>
      </c>
    </row>
    <row r="210" spans="1:10" x14ac:dyDescent="0.2">
      <c r="A210" s="6" t="s">
        <v>218</v>
      </c>
      <c r="B210" s="6">
        <v>3</v>
      </c>
      <c r="C210" s="8">
        <v>40</v>
      </c>
      <c r="D210" s="8">
        <v>9274417</v>
      </c>
      <c r="E210" s="8">
        <v>0</v>
      </c>
      <c r="F210" s="8">
        <v>0</v>
      </c>
      <c r="G210" s="8">
        <v>40</v>
      </c>
      <c r="H210" s="8">
        <v>9274417</v>
      </c>
      <c r="I210" s="8">
        <v>0</v>
      </c>
      <c r="J210" s="8">
        <v>0</v>
      </c>
    </row>
    <row r="211" spans="1:10" x14ac:dyDescent="0.2">
      <c r="A211" s="6" t="s">
        <v>219</v>
      </c>
      <c r="B211" s="6">
        <v>3</v>
      </c>
      <c r="C211" s="8">
        <v>0</v>
      </c>
      <c r="D211" s="8">
        <v>0</v>
      </c>
      <c r="E211" s="8">
        <v>30</v>
      </c>
      <c r="F211" s="8">
        <v>7125000</v>
      </c>
      <c r="G211" s="8">
        <v>30</v>
      </c>
      <c r="H211" s="8">
        <v>7125000</v>
      </c>
      <c r="I211" s="8">
        <v>0</v>
      </c>
      <c r="J211" s="8">
        <v>0</v>
      </c>
    </row>
    <row r="212" spans="1:10" x14ac:dyDescent="0.2">
      <c r="A212" s="6" t="s">
        <v>220</v>
      </c>
      <c r="B212" s="6">
        <v>3</v>
      </c>
      <c r="C212" s="8">
        <v>0</v>
      </c>
      <c r="D212" s="8">
        <v>0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</row>
    <row r="213" spans="1:10" x14ac:dyDescent="0.2">
      <c r="A213" s="6" t="s">
        <v>221</v>
      </c>
      <c r="B213" s="6">
        <v>3</v>
      </c>
      <c r="C213" s="8">
        <v>3066</v>
      </c>
      <c r="D213" s="8">
        <v>60555944</v>
      </c>
      <c r="E213" s="8">
        <v>1440</v>
      </c>
      <c r="F213" s="8">
        <v>28355040</v>
      </c>
      <c r="G213" s="8">
        <v>220</v>
      </c>
      <c r="H213" s="8">
        <v>4340971</v>
      </c>
      <c r="I213" s="8">
        <v>4286</v>
      </c>
      <c r="J213" s="8">
        <v>84570013</v>
      </c>
    </row>
    <row r="214" spans="1:10" x14ac:dyDescent="0.2">
      <c r="A214" s="6" t="s">
        <v>222</v>
      </c>
      <c r="B214" s="6">
        <v>3</v>
      </c>
      <c r="C214" s="8">
        <v>776</v>
      </c>
      <c r="D214" s="8">
        <v>15796172</v>
      </c>
      <c r="E214" s="8">
        <v>75</v>
      </c>
      <c r="F214" s="8">
        <v>0</v>
      </c>
      <c r="G214" s="8">
        <v>250</v>
      </c>
      <c r="H214" s="8">
        <v>4640474</v>
      </c>
      <c r="I214" s="8">
        <v>601</v>
      </c>
      <c r="J214" s="8">
        <v>11155698</v>
      </c>
    </row>
    <row r="215" spans="1:10" x14ac:dyDescent="0.2">
      <c r="A215" s="6" t="s">
        <v>223</v>
      </c>
      <c r="B215" s="6">
        <v>3</v>
      </c>
      <c r="C215" s="8">
        <v>865</v>
      </c>
      <c r="D215" s="8">
        <v>37407424</v>
      </c>
      <c r="E215" s="8">
        <v>0</v>
      </c>
      <c r="F215" s="8">
        <v>0</v>
      </c>
      <c r="G215" s="8">
        <v>0</v>
      </c>
      <c r="H215" s="8">
        <v>0</v>
      </c>
      <c r="I215" s="8">
        <v>865</v>
      </c>
      <c r="J215" s="8">
        <v>37407424</v>
      </c>
    </row>
    <row r="216" spans="1:10" x14ac:dyDescent="0.2">
      <c r="A216" s="6" t="s">
        <v>224</v>
      </c>
      <c r="B216" s="6">
        <v>3</v>
      </c>
      <c r="C216" s="8">
        <v>336</v>
      </c>
      <c r="D216" s="8">
        <v>6713952</v>
      </c>
      <c r="E216" s="8">
        <v>0</v>
      </c>
      <c r="F216" s="8">
        <v>0</v>
      </c>
      <c r="G216" s="8">
        <v>0</v>
      </c>
      <c r="H216" s="8">
        <v>0</v>
      </c>
      <c r="I216" s="8">
        <v>336</v>
      </c>
      <c r="J216" s="8">
        <v>6713952</v>
      </c>
    </row>
    <row r="217" spans="1:10" x14ac:dyDescent="0.2">
      <c r="A217" s="6" t="s">
        <v>225</v>
      </c>
      <c r="B217" s="6">
        <v>3</v>
      </c>
      <c r="C217" s="8">
        <v>0</v>
      </c>
      <c r="D217" s="8">
        <v>0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</row>
    <row r="218" spans="1:10" x14ac:dyDescent="0.2">
      <c r="A218" s="6" t="s">
        <v>226</v>
      </c>
      <c r="B218" s="6">
        <v>3</v>
      </c>
      <c r="C218" s="8">
        <v>0</v>
      </c>
      <c r="D218" s="8">
        <v>0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</row>
    <row r="219" spans="1:10" x14ac:dyDescent="0.2">
      <c r="A219" s="6" t="s">
        <v>227</v>
      </c>
      <c r="B219" s="6">
        <v>3</v>
      </c>
      <c r="C219" s="8">
        <v>0</v>
      </c>
      <c r="D219" s="8">
        <v>0</v>
      </c>
      <c r="E219" s="8">
        <v>83</v>
      </c>
      <c r="F219" s="8">
        <v>0</v>
      </c>
      <c r="G219" s="8">
        <v>8</v>
      </c>
      <c r="H219" s="8">
        <v>0</v>
      </c>
      <c r="I219" s="8">
        <v>75</v>
      </c>
      <c r="J219" s="8">
        <v>0</v>
      </c>
    </row>
    <row r="220" spans="1:10" x14ac:dyDescent="0.2">
      <c r="A220" s="6" t="s">
        <v>228</v>
      </c>
      <c r="B220" s="6">
        <v>3</v>
      </c>
      <c r="C220" s="8">
        <v>1072</v>
      </c>
      <c r="D220" s="8">
        <v>95364514</v>
      </c>
      <c r="E220" s="8">
        <v>80</v>
      </c>
      <c r="F220" s="8">
        <v>7024640</v>
      </c>
      <c r="G220" s="8">
        <v>0</v>
      </c>
      <c r="H220" s="8">
        <v>0</v>
      </c>
      <c r="I220" s="8">
        <v>1152</v>
      </c>
      <c r="J220" s="8">
        <v>102389154</v>
      </c>
    </row>
    <row r="221" spans="1:10" x14ac:dyDescent="0.2">
      <c r="A221" s="6" t="s">
        <v>229</v>
      </c>
      <c r="B221" s="6">
        <v>3</v>
      </c>
      <c r="C221" s="8">
        <v>1190</v>
      </c>
      <c r="D221" s="8">
        <v>110303797</v>
      </c>
      <c r="E221" s="8">
        <v>281</v>
      </c>
      <c r="F221" s="8">
        <v>26150320</v>
      </c>
      <c r="G221" s="8">
        <v>28</v>
      </c>
      <c r="H221" s="8">
        <v>2597359</v>
      </c>
      <c r="I221" s="8">
        <v>1443</v>
      </c>
      <c r="J221" s="8">
        <v>133856758</v>
      </c>
    </row>
    <row r="222" spans="1:10" x14ac:dyDescent="0.2">
      <c r="A222" s="6" t="s">
        <v>230</v>
      </c>
      <c r="B222" s="6">
        <v>3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</row>
    <row r="223" spans="1:10" x14ac:dyDescent="0.2">
      <c r="A223" s="6" t="s">
        <v>231</v>
      </c>
      <c r="B223" s="6">
        <v>3</v>
      </c>
      <c r="C223" s="8">
        <v>0</v>
      </c>
      <c r="D223" s="8">
        <v>0</v>
      </c>
      <c r="E223" s="8">
        <v>435</v>
      </c>
      <c r="F223" s="8">
        <v>13920000</v>
      </c>
      <c r="G223" s="8">
        <v>435</v>
      </c>
      <c r="H223" s="8">
        <v>13920000</v>
      </c>
      <c r="I223" s="8">
        <v>0</v>
      </c>
      <c r="J223" s="8">
        <v>0</v>
      </c>
    </row>
    <row r="224" spans="1:10" x14ac:dyDescent="0.2">
      <c r="A224" s="6" t="s">
        <v>232</v>
      </c>
      <c r="B224" s="6">
        <v>3</v>
      </c>
      <c r="C224" s="8">
        <v>2128</v>
      </c>
      <c r="D224" s="8">
        <v>135167794</v>
      </c>
      <c r="E224" s="8">
        <v>498</v>
      </c>
      <c r="F224" s="8">
        <v>30488976</v>
      </c>
      <c r="G224" s="8">
        <v>152</v>
      </c>
      <c r="H224" s="8">
        <v>9588663</v>
      </c>
      <c r="I224" s="8">
        <v>2474</v>
      </c>
      <c r="J224" s="8">
        <v>156068107</v>
      </c>
    </row>
    <row r="225" spans="1:10" x14ac:dyDescent="0.2">
      <c r="A225" s="6" t="s">
        <v>233</v>
      </c>
      <c r="B225" s="6">
        <v>3</v>
      </c>
      <c r="C225" s="8">
        <v>5252</v>
      </c>
      <c r="D225" s="8">
        <v>328736837</v>
      </c>
      <c r="E225" s="8">
        <v>3074</v>
      </c>
      <c r="F225" s="8">
        <v>188160000</v>
      </c>
      <c r="G225" s="8">
        <v>1030</v>
      </c>
      <c r="H225" s="8">
        <v>63944720</v>
      </c>
      <c r="I225" s="8">
        <v>7296</v>
      </c>
      <c r="J225" s="8">
        <v>452952117</v>
      </c>
    </row>
    <row r="226" spans="1:10" x14ac:dyDescent="0.2">
      <c r="A226" s="6" t="s">
        <v>234</v>
      </c>
      <c r="B226" s="6">
        <v>3</v>
      </c>
      <c r="C226" s="8">
        <v>16944</v>
      </c>
      <c r="D226" s="8">
        <v>979456598</v>
      </c>
      <c r="E226" s="8">
        <v>12336</v>
      </c>
      <c r="F226" s="8">
        <v>702815232</v>
      </c>
      <c r="G226" s="8">
        <v>5693</v>
      </c>
      <c r="H226" s="8">
        <v>327089260</v>
      </c>
      <c r="I226" s="8">
        <v>23587</v>
      </c>
      <c r="J226" s="8">
        <v>1355182570</v>
      </c>
    </row>
    <row r="227" spans="1:10" x14ac:dyDescent="0.2">
      <c r="A227" s="6" t="s">
        <v>235</v>
      </c>
      <c r="B227" s="6">
        <v>3</v>
      </c>
      <c r="C227" s="8">
        <v>1766</v>
      </c>
      <c r="D227" s="8">
        <v>122829998</v>
      </c>
      <c r="E227" s="8">
        <v>14</v>
      </c>
      <c r="F227" s="8">
        <v>0</v>
      </c>
      <c r="G227" s="8">
        <v>112</v>
      </c>
      <c r="H227" s="8">
        <v>7728629</v>
      </c>
      <c r="I227" s="8">
        <v>1668</v>
      </c>
      <c r="J227" s="8">
        <v>115101369</v>
      </c>
    </row>
    <row r="228" spans="1:10" x14ac:dyDescent="0.2">
      <c r="A228" s="6" t="s">
        <v>236</v>
      </c>
      <c r="B228" s="6">
        <v>3</v>
      </c>
      <c r="C228" s="8">
        <v>0</v>
      </c>
      <c r="D228" s="8">
        <v>0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</row>
    <row r="229" spans="1:10" x14ac:dyDescent="0.2">
      <c r="A229" s="6" t="s">
        <v>237</v>
      </c>
      <c r="B229" s="6">
        <v>3</v>
      </c>
      <c r="C229" s="8">
        <v>238</v>
      </c>
      <c r="D229" s="8">
        <v>0</v>
      </c>
      <c r="E229" s="8">
        <v>38</v>
      </c>
      <c r="F229" s="8">
        <v>2253020</v>
      </c>
      <c r="G229" s="8">
        <v>0</v>
      </c>
      <c r="H229" s="8">
        <v>0</v>
      </c>
      <c r="I229" s="8">
        <v>276</v>
      </c>
      <c r="J229" s="8">
        <v>2253020</v>
      </c>
    </row>
    <row r="230" spans="1:10" x14ac:dyDescent="0.2">
      <c r="A230" s="6" t="s">
        <v>238</v>
      </c>
      <c r="B230" s="6">
        <v>3</v>
      </c>
      <c r="C230" s="8">
        <v>77</v>
      </c>
      <c r="D230" s="8">
        <v>4042499</v>
      </c>
      <c r="E230" s="8">
        <v>303</v>
      </c>
      <c r="F230" s="8">
        <v>17786996</v>
      </c>
      <c r="G230" s="8">
        <v>47</v>
      </c>
      <c r="H230" s="8">
        <v>2699964</v>
      </c>
      <c r="I230" s="8">
        <v>333</v>
      </c>
      <c r="J230" s="8">
        <v>19129531</v>
      </c>
    </row>
    <row r="231" spans="1:10" x14ac:dyDescent="0.2">
      <c r="A231" s="6" t="s">
        <v>239</v>
      </c>
      <c r="B231" s="6">
        <v>3</v>
      </c>
      <c r="C231" s="8">
        <v>0</v>
      </c>
      <c r="D231" s="8">
        <v>0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</row>
    <row r="232" spans="1:10" x14ac:dyDescent="0.2">
      <c r="A232" s="6" t="s">
        <v>240</v>
      </c>
      <c r="B232" s="6">
        <v>3</v>
      </c>
      <c r="C232" s="8">
        <v>3981</v>
      </c>
      <c r="D232" s="8">
        <v>376870707</v>
      </c>
      <c r="E232" s="8">
        <v>1785</v>
      </c>
      <c r="F232" s="8">
        <v>166883220</v>
      </c>
      <c r="G232" s="8">
        <v>2667</v>
      </c>
      <c r="H232" s="8">
        <v>251507410</v>
      </c>
      <c r="I232" s="8">
        <v>3099</v>
      </c>
      <c r="J232" s="8">
        <v>292246517</v>
      </c>
    </row>
    <row r="233" spans="1:10" x14ac:dyDescent="0.2">
      <c r="A233" s="6" t="s">
        <v>241</v>
      </c>
      <c r="B233" s="6">
        <v>3</v>
      </c>
      <c r="C233" s="8">
        <v>0</v>
      </c>
      <c r="D233" s="8">
        <v>0</v>
      </c>
      <c r="E233" s="8">
        <v>166</v>
      </c>
      <c r="F233" s="8">
        <v>13772959</v>
      </c>
      <c r="G233" s="8">
        <v>0</v>
      </c>
      <c r="H233" s="8">
        <v>0</v>
      </c>
      <c r="I233" s="8">
        <v>166</v>
      </c>
      <c r="J233" s="8">
        <v>13772959</v>
      </c>
    </row>
    <row r="234" spans="1:10" x14ac:dyDescent="0.2">
      <c r="A234" s="6" t="s">
        <v>242</v>
      </c>
      <c r="B234" s="6">
        <v>3</v>
      </c>
      <c r="C234" s="8">
        <v>1945</v>
      </c>
      <c r="D234" s="8">
        <v>132905386</v>
      </c>
      <c r="E234" s="8">
        <v>116</v>
      </c>
      <c r="F234" s="8">
        <v>8353422</v>
      </c>
      <c r="G234" s="8">
        <v>0</v>
      </c>
      <c r="H234" s="8">
        <v>0</v>
      </c>
      <c r="I234" s="8">
        <v>2061</v>
      </c>
      <c r="J234" s="8">
        <v>141258808</v>
      </c>
    </row>
    <row r="235" spans="1:10" x14ac:dyDescent="0.2">
      <c r="A235" s="6" t="s">
        <v>243</v>
      </c>
      <c r="B235" s="6">
        <v>3</v>
      </c>
      <c r="C235" s="8">
        <v>924</v>
      </c>
      <c r="D235" s="8">
        <v>87457030</v>
      </c>
      <c r="E235" s="8">
        <v>70</v>
      </c>
      <c r="F235" s="8">
        <v>6537580</v>
      </c>
      <c r="G235" s="8">
        <v>0</v>
      </c>
      <c r="H235" s="8">
        <v>0</v>
      </c>
      <c r="I235" s="8">
        <v>994</v>
      </c>
      <c r="J235" s="8">
        <v>93994610</v>
      </c>
    </row>
    <row r="236" spans="1:10" x14ac:dyDescent="0.2">
      <c r="A236" s="6" t="s">
        <v>244</v>
      </c>
      <c r="B236" s="6">
        <v>3</v>
      </c>
      <c r="C236" s="8">
        <v>0</v>
      </c>
      <c r="D236" s="8">
        <v>0</v>
      </c>
      <c r="E236" s="8">
        <v>40</v>
      </c>
      <c r="F236" s="8">
        <v>3584000</v>
      </c>
      <c r="G236" s="8">
        <v>40</v>
      </c>
      <c r="H236" s="8">
        <v>3584000</v>
      </c>
      <c r="I236" s="8">
        <v>0</v>
      </c>
      <c r="J236" s="8">
        <v>0</v>
      </c>
    </row>
    <row r="237" spans="1:10" x14ac:dyDescent="0.2">
      <c r="A237" s="6" t="s">
        <v>245</v>
      </c>
      <c r="B237" s="6">
        <v>3</v>
      </c>
      <c r="C237" s="8">
        <v>92</v>
      </c>
      <c r="D237" s="8">
        <v>8695354</v>
      </c>
      <c r="E237" s="8">
        <v>180</v>
      </c>
      <c r="F237" s="8">
        <v>17012760</v>
      </c>
      <c r="G237" s="8">
        <v>272</v>
      </c>
      <c r="H237" s="8">
        <v>25708114</v>
      </c>
      <c r="I237" s="8">
        <v>0</v>
      </c>
      <c r="J237" s="8">
        <v>0</v>
      </c>
    </row>
    <row r="238" spans="1:10" x14ac:dyDescent="0.2">
      <c r="A238" s="6" t="s">
        <v>246</v>
      </c>
      <c r="B238" s="6">
        <v>3</v>
      </c>
      <c r="C238" s="8">
        <v>0</v>
      </c>
      <c r="D238" s="8">
        <v>0</v>
      </c>
      <c r="E238" s="8">
        <v>672</v>
      </c>
      <c r="F238" s="8">
        <v>4789707</v>
      </c>
      <c r="G238" s="8">
        <v>0</v>
      </c>
      <c r="H238" s="8">
        <v>0</v>
      </c>
      <c r="I238" s="8">
        <v>672</v>
      </c>
      <c r="J238" s="8">
        <v>4789707</v>
      </c>
    </row>
    <row r="239" spans="1:10" x14ac:dyDescent="0.2">
      <c r="A239" s="6" t="s">
        <v>247</v>
      </c>
      <c r="B239" s="6">
        <v>3</v>
      </c>
      <c r="C239" s="8">
        <v>5372</v>
      </c>
      <c r="D239" s="8">
        <v>38289144</v>
      </c>
      <c r="E239" s="8">
        <v>7463</v>
      </c>
      <c r="F239" s="8">
        <v>48923435</v>
      </c>
      <c r="G239" s="8">
        <v>64</v>
      </c>
      <c r="H239" s="8">
        <v>434874</v>
      </c>
      <c r="I239" s="8">
        <v>12771</v>
      </c>
      <c r="J239" s="8">
        <v>86777705</v>
      </c>
    </row>
    <row r="240" spans="1:10" x14ac:dyDescent="0.2">
      <c r="A240" s="6" t="s">
        <v>248</v>
      </c>
      <c r="B240" s="6">
        <v>3</v>
      </c>
      <c r="C240" s="8">
        <v>0</v>
      </c>
      <c r="D240" s="8">
        <v>0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</row>
    <row r="241" spans="1:10" x14ac:dyDescent="0.2">
      <c r="A241" s="6" t="s">
        <v>249</v>
      </c>
      <c r="B241" s="6">
        <v>3</v>
      </c>
      <c r="C241" s="8">
        <v>0</v>
      </c>
      <c r="D241" s="8">
        <v>0</v>
      </c>
      <c r="E241" s="8">
        <v>96</v>
      </c>
      <c r="F241" s="8">
        <v>684244</v>
      </c>
      <c r="G241" s="8">
        <v>0</v>
      </c>
      <c r="H241" s="8">
        <v>0</v>
      </c>
      <c r="I241" s="8">
        <v>96</v>
      </c>
      <c r="J241" s="8">
        <v>684244</v>
      </c>
    </row>
    <row r="242" spans="1:10" x14ac:dyDescent="0.2">
      <c r="A242" s="6" t="s">
        <v>250</v>
      </c>
      <c r="B242" s="6">
        <v>3</v>
      </c>
      <c r="C242" s="8">
        <v>1849</v>
      </c>
      <c r="D242" s="8">
        <v>67521484</v>
      </c>
      <c r="E242" s="8">
        <v>768</v>
      </c>
      <c r="F242" s="8">
        <v>5473951</v>
      </c>
      <c r="G242" s="8">
        <v>0</v>
      </c>
      <c r="H242" s="8">
        <v>0</v>
      </c>
      <c r="I242" s="8">
        <v>2617</v>
      </c>
      <c r="J242" s="8">
        <v>72995435</v>
      </c>
    </row>
    <row r="243" spans="1:10" x14ac:dyDescent="0.2">
      <c r="A243" s="6" t="s">
        <v>251</v>
      </c>
      <c r="B243" s="6">
        <v>3</v>
      </c>
      <c r="C243" s="8">
        <v>0</v>
      </c>
      <c r="D243" s="8">
        <v>0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</row>
    <row r="244" spans="1:10" x14ac:dyDescent="0.2">
      <c r="A244" s="6" t="s">
        <v>252</v>
      </c>
      <c r="B244" s="6">
        <v>3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</row>
    <row r="245" spans="1:10" x14ac:dyDescent="0.2">
      <c r="A245" s="6" t="s">
        <v>253</v>
      </c>
      <c r="B245" s="6">
        <v>3</v>
      </c>
      <c r="C245" s="8">
        <v>0</v>
      </c>
      <c r="D245" s="8">
        <v>0</v>
      </c>
      <c r="E245" s="8">
        <v>5</v>
      </c>
      <c r="F245" s="8">
        <v>415000</v>
      </c>
      <c r="G245" s="8">
        <v>5</v>
      </c>
      <c r="H245" s="8">
        <v>415000</v>
      </c>
      <c r="I245" s="8">
        <v>0</v>
      </c>
      <c r="J245" s="8">
        <v>0</v>
      </c>
    </row>
    <row r="246" spans="1:10" x14ac:dyDescent="0.2">
      <c r="A246" s="6" t="s">
        <v>254</v>
      </c>
      <c r="B246" s="6">
        <v>3</v>
      </c>
      <c r="C246" s="8">
        <v>245</v>
      </c>
      <c r="D246" s="8">
        <v>8236780</v>
      </c>
      <c r="E246" s="8">
        <v>132</v>
      </c>
      <c r="F246" s="8">
        <v>4374760</v>
      </c>
      <c r="G246" s="8">
        <v>180</v>
      </c>
      <c r="H246" s="8">
        <v>6021425</v>
      </c>
      <c r="I246" s="8">
        <v>197</v>
      </c>
      <c r="J246" s="8">
        <v>6590115</v>
      </c>
    </row>
    <row r="247" spans="1:10" x14ac:dyDescent="0.2">
      <c r="A247" s="6" t="s">
        <v>255</v>
      </c>
      <c r="B247" s="6">
        <v>3</v>
      </c>
      <c r="C247" s="8">
        <v>0</v>
      </c>
      <c r="D247" s="8">
        <v>0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</row>
    <row r="248" spans="1:10" x14ac:dyDescent="0.2">
      <c r="A248" s="6" t="s">
        <v>256</v>
      </c>
      <c r="B248" s="6">
        <v>3</v>
      </c>
      <c r="C248" s="8">
        <v>123</v>
      </c>
      <c r="D248" s="8">
        <v>3055032</v>
      </c>
      <c r="E248" s="8">
        <v>25</v>
      </c>
      <c r="F248" s="8">
        <v>1068193</v>
      </c>
      <c r="G248" s="8">
        <v>20</v>
      </c>
      <c r="H248" s="8">
        <v>557193</v>
      </c>
      <c r="I248" s="8">
        <v>128</v>
      </c>
      <c r="J248" s="8">
        <v>3566032</v>
      </c>
    </row>
    <row r="249" spans="1:10" x14ac:dyDescent="0.2">
      <c r="A249" s="6" t="s">
        <v>257</v>
      </c>
      <c r="B249" s="6">
        <v>3</v>
      </c>
      <c r="C249" s="8">
        <v>0</v>
      </c>
      <c r="D249" s="8">
        <v>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</row>
    <row r="250" spans="1:10" x14ac:dyDescent="0.2">
      <c r="A250" s="6" t="s">
        <v>258</v>
      </c>
      <c r="B250" s="6">
        <v>3</v>
      </c>
      <c r="C250" s="8">
        <v>1430</v>
      </c>
      <c r="D250" s="8">
        <v>7510639</v>
      </c>
      <c r="E250" s="8">
        <v>190</v>
      </c>
      <c r="F250" s="8">
        <v>2850456</v>
      </c>
      <c r="G250" s="8">
        <v>370</v>
      </c>
      <c r="H250" s="8">
        <v>5565838</v>
      </c>
      <c r="I250" s="8">
        <v>1250</v>
      </c>
      <c r="J250" s="8">
        <v>4795257</v>
      </c>
    </row>
    <row r="251" spans="1:10" x14ac:dyDescent="0.2">
      <c r="A251" s="6" t="s">
        <v>259</v>
      </c>
      <c r="B251" s="6">
        <v>3</v>
      </c>
      <c r="C251" s="8">
        <v>120</v>
      </c>
      <c r="D251" s="8">
        <v>2640884</v>
      </c>
      <c r="E251" s="8">
        <v>0</v>
      </c>
      <c r="F251" s="8">
        <v>0</v>
      </c>
      <c r="G251" s="8">
        <v>10</v>
      </c>
      <c r="H251" s="8">
        <v>220074</v>
      </c>
      <c r="I251" s="8">
        <v>110</v>
      </c>
      <c r="J251" s="8">
        <v>2420810</v>
      </c>
    </row>
    <row r="252" spans="1:10" x14ac:dyDescent="0.2">
      <c r="A252" s="6" t="s">
        <v>260</v>
      </c>
      <c r="B252" s="6">
        <v>3</v>
      </c>
      <c r="C252" s="8">
        <v>2</v>
      </c>
      <c r="D252" s="8">
        <v>109792</v>
      </c>
      <c r="E252" s="8">
        <v>0</v>
      </c>
      <c r="F252" s="8">
        <v>0</v>
      </c>
      <c r="G252" s="8">
        <v>0</v>
      </c>
      <c r="H252" s="8">
        <v>0</v>
      </c>
      <c r="I252" s="8">
        <v>2</v>
      </c>
      <c r="J252" s="8">
        <v>109792</v>
      </c>
    </row>
    <row r="253" spans="1:10" x14ac:dyDescent="0.2">
      <c r="A253" s="6" t="s">
        <v>261</v>
      </c>
      <c r="B253" s="6">
        <v>3</v>
      </c>
      <c r="C253" s="8">
        <v>0</v>
      </c>
      <c r="D253" s="8">
        <v>0</v>
      </c>
      <c r="E253" s="8">
        <v>5</v>
      </c>
      <c r="F253" s="8">
        <v>165000</v>
      </c>
      <c r="G253" s="8">
        <v>5</v>
      </c>
      <c r="H253" s="8">
        <v>165000</v>
      </c>
      <c r="I253" s="8">
        <v>0</v>
      </c>
      <c r="J253" s="8">
        <v>0</v>
      </c>
    </row>
    <row r="254" spans="1:10" x14ac:dyDescent="0.2">
      <c r="A254" s="6" t="s">
        <v>262</v>
      </c>
      <c r="B254" s="6">
        <v>3</v>
      </c>
      <c r="C254" s="8">
        <v>0</v>
      </c>
      <c r="D254" s="8">
        <v>0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</row>
    <row r="255" spans="1:10" x14ac:dyDescent="0.2">
      <c r="A255" s="6" t="s">
        <v>263</v>
      </c>
      <c r="B255" s="6">
        <v>3</v>
      </c>
      <c r="C255" s="8">
        <v>3</v>
      </c>
      <c r="D255" s="8">
        <v>177660</v>
      </c>
      <c r="E255" s="8">
        <v>0</v>
      </c>
      <c r="F255" s="8">
        <v>0</v>
      </c>
      <c r="G255" s="8">
        <v>3</v>
      </c>
      <c r="H255" s="8">
        <v>177660</v>
      </c>
      <c r="I255" s="8">
        <v>0</v>
      </c>
      <c r="J255" s="8">
        <v>0</v>
      </c>
    </row>
    <row r="256" spans="1:10" x14ac:dyDescent="0.2">
      <c r="A256" s="6" t="s">
        <v>264</v>
      </c>
      <c r="B256" s="6">
        <v>3</v>
      </c>
      <c r="C256" s="8">
        <v>1</v>
      </c>
      <c r="D256" s="8">
        <v>39000</v>
      </c>
      <c r="E256" s="8">
        <v>24</v>
      </c>
      <c r="F256" s="8">
        <v>936000</v>
      </c>
      <c r="G256" s="8">
        <v>25</v>
      </c>
      <c r="H256" s="8">
        <v>975000</v>
      </c>
      <c r="I256" s="8">
        <v>0</v>
      </c>
      <c r="J256" s="8">
        <v>0</v>
      </c>
    </row>
    <row r="257" spans="1:10" x14ac:dyDescent="0.2">
      <c r="A257" s="6" t="s">
        <v>265</v>
      </c>
      <c r="B257" s="6">
        <v>3</v>
      </c>
      <c r="C257" s="8">
        <v>0</v>
      </c>
      <c r="D257" s="8">
        <v>0</v>
      </c>
      <c r="E257" s="8">
        <v>15</v>
      </c>
      <c r="F257" s="8">
        <v>970080</v>
      </c>
      <c r="G257" s="8">
        <v>15</v>
      </c>
      <c r="H257" s="8">
        <v>970080</v>
      </c>
      <c r="I257" s="8">
        <v>0</v>
      </c>
      <c r="J257" s="8">
        <v>0</v>
      </c>
    </row>
    <row r="258" spans="1:10" x14ac:dyDescent="0.2">
      <c r="A258" s="6" t="s">
        <v>266</v>
      </c>
      <c r="B258" s="6">
        <v>3</v>
      </c>
      <c r="C258" s="8">
        <v>2</v>
      </c>
      <c r="D258" s="8">
        <v>129720</v>
      </c>
      <c r="E258" s="8">
        <v>18</v>
      </c>
      <c r="F258" s="8">
        <v>1167480</v>
      </c>
      <c r="G258" s="8">
        <v>20</v>
      </c>
      <c r="H258" s="8">
        <v>1297200</v>
      </c>
      <c r="I258" s="8">
        <v>0</v>
      </c>
      <c r="J258" s="8">
        <v>0</v>
      </c>
    </row>
    <row r="259" spans="1:10" x14ac:dyDescent="0.2">
      <c r="A259" s="6" t="s">
        <v>267</v>
      </c>
      <c r="B259" s="6">
        <v>3</v>
      </c>
      <c r="C259" s="8">
        <v>1</v>
      </c>
      <c r="D259" s="8">
        <v>39000</v>
      </c>
      <c r="E259" s="8">
        <v>0</v>
      </c>
      <c r="F259" s="8">
        <v>0</v>
      </c>
      <c r="G259" s="8">
        <v>0</v>
      </c>
      <c r="H259" s="8">
        <v>0</v>
      </c>
      <c r="I259" s="8">
        <v>1</v>
      </c>
      <c r="J259" s="8">
        <v>39000</v>
      </c>
    </row>
    <row r="260" spans="1:10" x14ac:dyDescent="0.2">
      <c r="A260" s="6" t="s">
        <v>268</v>
      </c>
      <c r="B260" s="6">
        <v>3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</row>
    <row r="261" spans="1:10" x14ac:dyDescent="0.2">
      <c r="A261" s="6" t="s">
        <v>269</v>
      </c>
      <c r="B261" s="6">
        <v>3</v>
      </c>
      <c r="C261" s="8">
        <v>0</v>
      </c>
      <c r="D261" s="8">
        <v>0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</row>
    <row r="262" spans="1:10" x14ac:dyDescent="0.2">
      <c r="A262" s="6" t="s">
        <v>270</v>
      </c>
      <c r="B262" s="6">
        <v>3</v>
      </c>
      <c r="C262" s="8">
        <v>0</v>
      </c>
      <c r="D262" s="8">
        <v>0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</row>
    <row r="263" spans="1:10" x14ac:dyDescent="0.2">
      <c r="A263" s="6" t="s">
        <v>271</v>
      </c>
      <c r="B263" s="6">
        <v>3</v>
      </c>
      <c r="C263" s="8">
        <v>0</v>
      </c>
      <c r="D263" s="8">
        <v>0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</row>
    <row r="264" spans="1:10" x14ac:dyDescent="0.2">
      <c r="A264" s="6" t="s">
        <v>272</v>
      </c>
      <c r="B264" s="6">
        <v>3</v>
      </c>
      <c r="C264" s="8">
        <v>0</v>
      </c>
      <c r="D264" s="8">
        <v>0</v>
      </c>
      <c r="E264" s="8">
        <v>6</v>
      </c>
      <c r="F264" s="8">
        <v>794727</v>
      </c>
      <c r="G264" s="8">
        <v>0</v>
      </c>
      <c r="H264" s="8">
        <v>0</v>
      </c>
      <c r="I264" s="8">
        <v>6</v>
      </c>
      <c r="J264" s="8">
        <v>794727</v>
      </c>
    </row>
    <row r="265" spans="1:10" x14ac:dyDescent="0.2">
      <c r="A265" s="6" t="s">
        <v>273</v>
      </c>
      <c r="B265" s="6">
        <v>3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</row>
    <row r="266" spans="1:10" x14ac:dyDescent="0.2">
      <c r="A266" s="6" t="s">
        <v>274</v>
      </c>
      <c r="B266" s="6">
        <v>3</v>
      </c>
      <c r="C266" s="8">
        <v>0</v>
      </c>
      <c r="D266" s="8">
        <v>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</row>
    <row r="267" spans="1:10" x14ac:dyDescent="0.2">
      <c r="A267" s="6" t="s">
        <v>275</v>
      </c>
      <c r="B267" s="6">
        <v>3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</row>
    <row r="268" spans="1:10" x14ac:dyDescent="0.2">
      <c r="A268" s="6" t="s">
        <v>276</v>
      </c>
      <c r="B268" s="6">
        <v>3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</row>
    <row r="269" spans="1:10" x14ac:dyDescent="0.2">
      <c r="A269" s="6" t="s">
        <v>277</v>
      </c>
      <c r="B269" s="6">
        <v>3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</row>
    <row r="270" spans="1:10" x14ac:dyDescent="0.2">
      <c r="A270" s="6" t="s">
        <v>278</v>
      </c>
      <c r="B270" s="6">
        <v>3</v>
      </c>
      <c r="C270" s="8">
        <v>0</v>
      </c>
      <c r="D270" s="8">
        <v>0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</row>
    <row r="271" spans="1:10" x14ac:dyDescent="0.2">
      <c r="A271" s="6" t="s">
        <v>279</v>
      </c>
      <c r="B271" s="6">
        <v>3</v>
      </c>
      <c r="C271" s="8">
        <v>0</v>
      </c>
      <c r="D271" s="8">
        <v>0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</row>
    <row r="272" spans="1:10" x14ac:dyDescent="0.2">
      <c r="A272" s="6" t="s">
        <v>280</v>
      </c>
      <c r="B272" s="6">
        <v>3</v>
      </c>
      <c r="C272" s="8">
        <v>0</v>
      </c>
      <c r="D272" s="8">
        <v>0</v>
      </c>
      <c r="E272" s="8">
        <v>2</v>
      </c>
      <c r="F272" s="8">
        <v>176000</v>
      </c>
      <c r="G272" s="8">
        <v>2</v>
      </c>
      <c r="H272" s="8">
        <v>176000</v>
      </c>
      <c r="I272" s="8">
        <v>0</v>
      </c>
      <c r="J272" s="8">
        <v>0</v>
      </c>
    </row>
    <row r="273" spans="1:10" x14ac:dyDescent="0.2">
      <c r="A273" s="6" t="s">
        <v>281</v>
      </c>
      <c r="B273" s="6">
        <v>3</v>
      </c>
      <c r="C273" s="8">
        <v>148</v>
      </c>
      <c r="D273" s="8">
        <v>2507774</v>
      </c>
      <c r="E273" s="8">
        <v>112</v>
      </c>
      <c r="F273" s="8">
        <v>1899975</v>
      </c>
      <c r="G273" s="8">
        <v>140</v>
      </c>
      <c r="H273" s="8">
        <v>2373403</v>
      </c>
      <c r="I273" s="8">
        <v>120</v>
      </c>
      <c r="J273" s="8">
        <v>2034346</v>
      </c>
    </row>
    <row r="274" spans="1:10" x14ac:dyDescent="0.2">
      <c r="A274" s="6" t="s">
        <v>282</v>
      </c>
      <c r="B274" s="6">
        <v>3</v>
      </c>
      <c r="C274" s="8">
        <v>28</v>
      </c>
      <c r="D274" s="8">
        <v>1899975</v>
      </c>
      <c r="E274" s="8">
        <v>3</v>
      </c>
      <c r="F274" s="8">
        <v>172725</v>
      </c>
      <c r="G274" s="8">
        <v>0</v>
      </c>
      <c r="H274" s="8">
        <v>0</v>
      </c>
      <c r="I274" s="8">
        <v>31</v>
      </c>
      <c r="J274" s="8">
        <v>2072700</v>
      </c>
    </row>
    <row r="275" spans="1:10" x14ac:dyDescent="0.2">
      <c r="A275" s="6" t="s">
        <v>283</v>
      </c>
      <c r="B275" s="6">
        <v>3</v>
      </c>
      <c r="C275" s="8">
        <v>2415</v>
      </c>
      <c r="D275" s="8">
        <v>52263055</v>
      </c>
      <c r="E275" s="8">
        <v>776</v>
      </c>
      <c r="F275" s="8">
        <v>26402250</v>
      </c>
      <c r="G275" s="8">
        <v>1200</v>
      </c>
      <c r="H275" s="8">
        <v>41234943</v>
      </c>
      <c r="I275" s="8">
        <v>1991</v>
      </c>
      <c r="J275" s="8">
        <v>37430362</v>
      </c>
    </row>
    <row r="276" spans="1:10" x14ac:dyDescent="0.2">
      <c r="A276" s="6" t="s">
        <v>284</v>
      </c>
      <c r="B276" s="6">
        <v>3</v>
      </c>
      <c r="C276" s="8">
        <v>210</v>
      </c>
      <c r="D276" s="8">
        <v>9302692</v>
      </c>
      <c r="E276" s="8">
        <v>50</v>
      </c>
      <c r="F276" s="8">
        <v>2253650</v>
      </c>
      <c r="G276" s="8">
        <v>50</v>
      </c>
      <c r="H276" s="8">
        <v>2222374</v>
      </c>
      <c r="I276" s="8">
        <v>210</v>
      </c>
      <c r="J276" s="8">
        <v>9333968</v>
      </c>
    </row>
    <row r="277" spans="1:10" x14ac:dyDescent="0.2">
      <c r="A277" s="6" t="s">
        <v>285</v>
      </c>
      <c r="B277" s="6">
        <v>3</v>
      </c>
      <c r="C277" s="8">
        <v>0</v>
      </c>
      <c r="D277" s="8">
        <v>0</v>
      </c>
      <c r="E277" s="8">
        <v>5</v>
      </c>
      <c r="F277" s="8">
        <v>393396</v>
      </c>
      <c r="G277" s="8">
        <v>5</v>
      </c>
      <c r="H277" s="8">
        <v>393396</v>
      </c>
      <c r="I277" s="8">
        <v>0</v>
      </c>
      <c r="J277" s="8">
        <v>0</v>
      </c>
    </row>
    <row r="278" spans="1:10" x14ac:dyDescent="0.2">
      <c r="A278" s="6" t="s">
        <v>286</v>
      </c>
      <c r="B278" s="6">
        <v>3</v>
      </c>
      <c r="C278" s="8">
        <v>0</v>
      </c>
      <c r="D278" s="8">
        <v>0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</row>
    <row r="279" spans="1:10" x14ac:dyDescent="0.2">
      <c r="A279" s="6" t="s">
        <v>287</v>
      </c>
      <c r="B279" s="6">
        <v>3</v>
      </c>
      <c r="C279" s="8">
        <v>0</v>
      </c>
      <c r="D279" s="8">
        <v>0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</row>
    <row r="280" spans="1:10" x14ac:dyDescent="0.2">
      <c r="A280" s="6" t="s">
        <v>288</v>
      </c>
      <c r="B280" s="6">
        <v>3</v>
      </c>
      <c r="C280" s="8">
        <v>0</v>
      </c>
      <c r="D280" s="8">
        <v>0</v>
      </c>
      <c r="E280" s="8">
        <v>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</row>
    <row r="281" spans="1:10" x14ac:dyDescent="0.2">
      <c r="A281" s="6" t="s">
        <v>289</v>
      </c>
      <c r="B281" s="6">
        <v>3</v>
      </c>
      <c r="C281" s="8">
        <v>2400</v>
      </c>
      <c r="D281" s="8">
        <v>18544800</v>
      </c>
      <c r="E281" s="8">
        <v>2841</v>
      </c>
      <c r="F281" s="8">
        <v>0</v>
      </c>
      <c r="G281" s="8">
        <v>0</v>
      </c>
      <c r="H281" s="8">
        <v>0</v>
      </c>
      <c r="I281" s="8">
        <v>5241</v>
      </c>
      <c r="J281" s="8">
        <v>18544800</v>
      </c>
    </row>
    <row r="282" spans="1:10" x14ac:dyDescent="0.2">
      <c r="A282" s="6" t="s">
        <v>290</v>
      </c>
      <c r="B282" s="6">
        <v>3</v>
      </c>
      <c r="C282" s="8">
        <v>2120</v>
      </c>
      <c r="D282" s="8">
        <v>188663408</v>
      </c>
      <c r="E282" s="8">
        <v>792</v>
      </c>
      <c r="F282" s="8">
        <v>70475328</v>
      </c>
      <c r="G282" s="8">
        <v>648</v>
      </c>
      <c r="H282" s="8">
        <v>57665488</v>
      </c>
      <c r="I282" s="8">
        <v>2264</v>
      </c>
      <c r="J282" s="8">
        <v>201473248</v>
      </c>
    </row>
    <row r="283" spans="1:10" x14ac:dyDescent="0.2">
      <c r="A283" s="6" t="s">
        <v>291</v>
      </c>
      <c r="B283" s="6">
        <v>3</v>
      </c>
      <c r="C283" s="8">
        <v>4586</v>
      </c>
      <c r="D283" s="8">
        <v>428219386</v>
      </c>
      <c r="E283" s="8">
        <v>1057</v>
      </c>
      <c r="F283" s="8">
        <v>98166600</v>
      </c>
      <c r="G283" s="8">
        <v>1946</v>
      </c>
      <c r="H283" s="8">
        <v>181525275</v>
      </c>
      <c r="I283" s="8">
        <v>3697</v>
      </c>
      <c r="J283" s="8">
        <v>344860711</v>
      </c>
    </row>
    <row r="284" spans="1:10" x14ac:dyDescent="0.2">
      <c r="A284" s="6" t="s">
        <v>292</v>
      </c>
      <c r="B284" s="6">
        <v>3</v>
      </c>
      <c r="C284" s="8">
        <v>666</v>
      </c>
      <c r="D284" s="8">
        <v>51254784</v>
      </c>
      <c r="E284" s="8">
        <v>341</v>
      </c>
      <c r="F284" s="8">
        <v>25627392</v>
      </c>
      <c r="G284" s="8">
        <v>0</v>
      </c>
      <c r="H284" s="8">
        <v>0</v>
      </c>
      <c r="I284" s="8">
        <v>1007</v>
      </c>
      <c r="J284" s="8">
        <v>76882176</v>
      </c>
    </row>
    <row r="285" spans="1:10" x14ac:dyDescent="0.2">
      <c r="A285" s="6"/>
      <c r="B285" s="6"/>
      <c r="C285" s="5"/>
      <c r="D285" s="5">
        <v>16022965628</v>
      </c>
      <c r="E285" s="5"/>
      <c r="F285" s="5">
        <v>9550427560</v>
      </c>
      <c r="G285" s="5"/>
      <c r="H285" s="5">
        <v>8812324506</v>
      </c>
      <c r="I285" s="5"/>
      <c r="J285" s="5">
        <v>16761068682</v>
      </c>
    </row>
  </sheetData>
  <mergeCells count="4">
    <mergeCell ref="C1:D1"/>
    <mergeCell ref="E1:F1"/>
    <mergeCell ref="G1:H1"/>
    <mergeCell ref="I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W285"/>
  <sheetViews>
    <sheetView topLeftCell="A283" workbookViewId="0"/>
  </sheetViews>
  <sheetFormatPr defaultColWidth="12.5703125" defaultRowHeight="15.75" customHeight="1" x14ac:dyDescent="0.2"/>
  <sheetData>
    <row r="1" spans="1:23" x14ac:dyDescent="0.2">
      <c r="A1" s="3"/>
      <c r="B1" s="4"/>
      <c r="C1" s="212" t="s">
        <v>0</v>
      </c>
      <c r="D1" s="213"/>
      <c r="E1" s="212" t="s">
        <v>1</v>
      </c>
      <c r="F1" s="213"/>
      <c r="G1" s="212" t="s">
        <v>2</v>
      </c>
      <c r="H1" s="213"/>
      <c r="I1" s="212" t="s">
        <v>3</v>
      </c>
      <c r="J1" s="21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">
      <c r="A2" s="3" t="s">
        <v>4</v>
      </c>
      <c r="B2" s="4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6</v>
      </c>
      <c r="H2" s="5" t="s">
        <v>10</v>
      </c>
      <c r="I2" s="5" t="s">
        <v>6</v>
      </c>
      <c r="J2" s="5" t="s">
        <v>9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">
      <c r="A3" s="6" t="s">
        <v>11</v>
      </c>
      <c r="B3" s="6">
        <v>4</v>
      </c>
      <c r="C3" s="8">
        <v>255</v>
      </c>
      <c r="D3" s="8">
        <v>6948849</v>
      </c>
      <c r="E3" s="8">
        <v>160</v>
      </c>
      <c r="F3" s="8">
        <v>4410140</v>
      </c>
      <c r="G3" s="8">
        <v>184</v>
      </c>
      <c r="H3" s="8">
        <v>5036275</v>
      </c>
      <c r="I3" s="8">
        <v>231</v>
      </c>
      <c r="J3" s="8">
        <v>6322714</v>
      </c>
    </row>
    <row r="4" spans="1:23" x14ac:dyDescent="0.2">
      <c r="A4" s="6" t="s">
        <v>12</v>
      </c>
      <c r="B4" s="6">
        <v>4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</row>
    <row r="5" spans="1:23" x14ac:dyDescent="0.2">
      <c r="A5" s="6" t="s">
        <v>13</v>
      </c>
      <c r="B5" s="6">
        <v>4</v>
      </c>
      <c r="C5" s="8">
        <v>923</v>
      </c>
      <c r="D5" s="8">
        <v>30274687</v>
      </c>
      <c r="E5" s="8">
        <v>0</v>
      </c>
      <c r="F5" s="8">
        <v>0</v>
      </c>
      <c r="G5" s="8">
        <v>24</v>
      </c>
      <c r="H5" s="8">
        <v>787587</v>
      </c>
      <c r="I5" s="8">
        <v>899</v>
      </c>
      <c r="J5" s="8">
        <v>29487100</v>
      </c>
    </row>
    <row r="6" spans="1:23" x14ac:dyDescent="0.2">
      <c r="A6" s="6" t="s">
        <v>14</v>
      </c>
      <c r="B6" s="6">
        <v>4</v>
      </c>
      <c r="C6" s="8">
        <v>120</v>
      </c>
      <c r="D6" s="8">
        <v>35752144</v>
      </c>
      <c r="E6" s="8">
        <v>0</v>
      </c>
      <c r="F6" s="8">
        <v>0</v>
      </c>
      <c r="G6" s="8">
        <v>0</v>
      </c>
      <c r="H6" s="8">
        <v>0</v>
      </c>
      <c r="I6" s="8">
        <v>120</v>
      </c>
      <c r="J6" s="8">
        <v>35752144</v>
      </c>
    </row>
    <row r="7" spans="1:23" x14ac:dyDescent="0.2">
      <c r="A7" s="6" t="s">
        <v>15</v>
      </c>
      <c r="B7" s="6">
        <v>4</v>
      </c>
      <c r="C7" s="8">
        <v>510</v>
      </c>
      <c r="D7" s="8">
        <v>69373706</v>
      </c>
      <c r="E7" s="8">
        <v>0</v>
      </c>
      <c r="F7" s="8">
        <v>0</v>
      </c>
      <c r="G7" s="8">
        <v>0</v>
      </c>
      <c r="H7" s="8">
        <v>0</v>
      </c>
      <c r="I7" s="8">
        <v>510</v>
      </c>
      <c r="J7" s="8">
        <v>69373706</v>
      </c>
    </row>
    <row r="8" spans="1:23" x14ac:dyDescent="0.2">
      <c r="A8" s="6" t="s">
        <v>16</v>
      </c>
      <c r="B8" s="6">
        <v>4</v>
      </c>
      <c r="C8" s="8">
        <v>344</v>
      </c>
      <c r="D8" s="8">
        <v>53839916</v>
      </c>
      <c r="E8" s="8">
        <v>0</v>
      </c>
      <c r="F8" s="8">
        <v>0</v>
      </c>
      <c r="G8" s="8">
        <v>0</v>
      </c>
      <c r="H8" s="8">
        <v>0</v>
      </c>
      <c r="I8" s="8">
        <v>344</v>
      </c>
      <c r="J8" s="8">
        <v>53839916</v>
      </c>
    </row>
    <row r="9" spans="1:23" x14ac:dyDescent="0.2">
      <c r="A9" s="6" t="s">
        <v>17</v>
      </c>
      <c r="B9" s="6">
        <v>4</v>
      </c>
      <c r="C9" s="8">
        <v>159</v>
      </c>
      <c r="D9" s="8">
        <v>38049584</v>
      </c>
      <c r="E9" s="8">
        <v>0</v>
      </c>
      <c r="F9" s="8">
        <v>0</v>
      </c>
      <c r="G9" s="8">
        <v>0</v>
      </c>
      <c r="H9" s="8">
        <v>0</v>
      </c>
      <c r="I9" s="8">
        <v>159</v>
      </c>
      <c r="J9" s="8">
        <v>38049584</v>
      </c>
    </row>
    <row r="10" spans="1:23" x14ac:dyDescent="0.2">
      <c r="A10" s="6" t="s">
        <v>18</v>
      </c>
      <c r="B10" s="6">
        <v>4</v>
      </c>
      <c r="C10" s="8">
        <v>734</v>
      </c>
      <c r="D10" s="8">
        <v>15983688</v>
      </c>
      <c r="E10" s="8">
        <v>0</v>
      </c>
      <c r="F10" s="8">
        <v>0</v>
      </c>
      <c r="G10" s="8">
        <v>0</v>
      </c>
      <c r="H10" s="8">
        <v>0</v>
      </c>
      <c r="I10" s="8">
        <v>734</v>
      </c>
      <c r="J10" s="8">
        <v>15983688</v>
      </c>
    </row>
    <row r="11" spans="1:23" x14ac:dyDescent="0.2">
      <c r="A11" s="6" t="s">
        <v>19</v>
      </c>
      <c r="B11" s="6">
        <v>4</v>
      </c>
      <c r="C11" s="8">
        <v>180</v>
      </c>
      <c r="D11" s="8">
        <v>3904035</v>
      </c>
      <c r="E11" s="8">
        <v>0</v>
      </c>
      <c r="F11" s="8">
        <v>0</v>
      </c>
      <c r="G11" s="8">
        <v>0</v>
      </c>
      <c r="H11" s="8">
        <v>0</v>
      </c>
      <c r="I11" s="8">
        <v>180</v>
      </c>
      <c r="J11" s="8">
        <v>3904035</v>
      </c>
    </row>
    <row r="12" spans="1:23" x14ac:dyDescent="0.2">
      <c r="A12" s="6" t="s">
        <v>20</v>
      </c>
      <c r="B12" s="6">
        <v>4</v>
      </c>
      <c r="C12" s="8">
        <v>295</v>
      </c>
      <c r="D12" s="8">
        <v>31404753</v>
      </c>
      <c r="E12" s="8">
        <v>0</v>
      </c>
      <c r="F12" s="8">
        <v>0</v>
      </c>
      <c r="G12" s="8">
        <v>0</v>
      </c>
      <c r="H12" s="8">
        <v>0</v>
      </c>
      <c r="I12" s="8">
        <v>295</v>
      </c>
      <c r="J12" s="8">
        <v>31404753</v>
      </c>
    </row>
    <row r="13" spans="1:23" x14ac:dyDescent="0.2">
      <c r="A13" s="6" t="s">
        <v>21</v>
      </c>
      <c r="B13" s="6">
        <v>4</v>
      </c>
      <c r="C13" s="8">
        <v>170</v>
      </c>
      <c r="D13" s="8">
        <v>40681945</v>
      </c>
      <c r="E13" s="8">
        <v>0</v>
      </c>
      <c r="F13" s="8">
        <v>0</v>
      </c>
      <c r="G13" s="8">
        <v>0</v>
      </c>
      <c r="H13" s="8">
        <v>0</v>
      </c>
      <c r="I13" s="8">
        <v>170</v>
      </c>
      <c r="J13" s="8">
        <v>40681945</v>
      </c>
    </row>
    <row r="14" spans="1:23" x14ac:dyDescent="0.2">
      <c r="A14" s="6" t="s">
        <v>22</v>
      </c>
      <c r="B14" s="6">
        <v>4</v>
      </c>
      <c r="C14" s="8">
        <v>18</v>
      </c>
      <c r="D14" s="8">
        <v>407934</v>
      </c>
      <c r="E14" s="8">
        <v>0</v>
      </c>
      <c r="F14" s="8">
        <v>0</v>
      </c>
      <c r="G14" s="8">
        <v>0</v>
      </c>
      <c r="H14" s="8">
        <v>0</v>
      </c>
      <c r="I14" s="8">
        <v>18</v>
      </c>
      <c r="J14" s="8">
        <v>407934</v>
      </c>
    </row>
    <row r="15" spans="1:23" x14ac:dyDescent="0.2">
      <c r="A15" s="6" t="s">
        <v>23</v>
      </c>
      <c r="B15" s="6">
        <v>4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</row>
    <row r="16" spans="1:23" x14ac:dyDescent="0.2">
      <c r="A16" s="6" t="s">
        <v>24</v>
      </c>
      <c r="B16" s="6">
        <v>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</row>
    <row r="17" spans="1:10" x14ac:dyDescent="0.2">
      <c r="A17" s="6" t="s">
        <v>25</v>
      </c>
      <c r="B17" s="6">
        <v>4</v>
      </c>
      <c r="C17" s="8">
        <v>142</v>
      </c>
      <c r="D17" s="8">
        <v>2969078</v>
      </c>
      <c r="E17" s="8">
        <v>60</v>
      </c>
      <c r="F17" s="8">
        <v>1254540</v>
      </c>
      <c r="G17" s="8">
        <v>162</v>
      </c>
      <c r="H17" s="8">
        <v>3387258</v>
      </c>
      <c r="I17" s="8">
        <v>40</v>
      </c>
      <c r="J17" s="8">
        <v>836360</v>
      </c>
    </row>
    <row r="18" spans="1:10" x14ac:dyDescent="0.2">
      <c r="A18" s="6" t="s">
        <v>26</v>
      </c>
      <c r="B18" s="6">
        <v>4</v>
      </c>
      <c r="C18" s="8">
        <v>139</v>
      </c>
      <c r="D18" s="8">
        <v>3538245</v>
      </c>
      <c r="E18" s="8">
        <v>40</v>
      </c>
      <c r="F18" s="8">
        <v>1018200</v>
      </c>
      <c r="G18" s="8">
        <v>144</v>
      </c>
      <c r="H18" s="8">
        <v>3665520</v>
      </c>
      <c r="I18" s="8">
        <v>35</v>
      </c>
      <c r="J18" s="8">
        <v>890925</v>
      </c>
    </row>
    <row r="19" spans="1:10" x14ac:dyDescent="0.2">
      <c r="A19" s="6" t="s">
        <v>27</v>
      </c>
      <c r="B19" s="6">
        <v>4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</row>
    <row r="20" spans="1:10" x14ac:dyDescent="0.2">
      <c r="A20" s="6" t="s">
        <v>28</v>
      </c>
      <c r="B20" s="6">
        <v>4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</row>
    <row r="21" spans="1:10" x14ac:dyDescent="0.2">
      <c r="A21" s="6" t="s">
        <v>29</v>
      </c>
      <c r="B21" s="6">
        <v>4</v>
      </c>
      <c r="C21" s="8">
        <v>150</v>
      </c>
      <c r="D21" s="8">
        <v>39640950</v>
      </c>
      <c r="E21" s="8">
        <v>10</v>
      </c>
      <c r="F21" s="8">
        <v>2642730</v>
      </c>
      <c r="G21" s="8">
        <v>0</v>
      </c>
      <c r="H21" s="8">
        <v>0</v>
      </c>
      <c r="I21" s="8">
        <v>160</v>
      </c>
      <c r="J21" s="8">
        <v>42283680</v>
      </c>
    </row>
    <row r="22" spans="1:10" x14ac:dyDescent="0.2">
      <c r="A22" s="6" t="s">
        <v>30</v>
      </c>
      <c r="B22" s="6">
        <v>4</v>
      </c>
      <c r="C22" s="8">
        <v>120</v>
      </c>
      <c r="D22" s="8">
        <v>25743280</v>
      </c>
      <c r="E22" s="8">
        <v>85</v>
      </c>
      <c r="F22" s="8">
        <v>17892820</v>
      </c>
      <c r="G22" s="8">
        <v>101</v>
      </c>
      <c r="H22" s="8">
        <v>21498761</v>
      </c>
      <c r="I22" s="8">
        <v>104</v>
      </c>
      <c r="J22" s="8">
        <v>22137339</v>
      </c>
    </row>
    <row r="23" spans="1:10" x14ac:dyDescent="0.2">
      <c r="A23" s="6" t="s">
        <v>31</v>
      </c>
      <c r="B23" s="6">
        <v>4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</row>
    <row r="24" spans="1:10" x14ac:dyDescent="0.2">
      <c r="A24" s="6" t="s">
        <v>32</v>
      </c>
      <c r="B24" s="6">
        <v>4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</row>
    <row r="25" spans="1:10" x14ac:dyDescent="0.2">
      <c r="A25" s="6" t="s">
        <v>33</v>
      </c>
      <c r="B25" s="6">
        <v>4</v>
      </c>
      <c r="C25" s="8">
        <v>36</v>
      </c>
      <c r="D25" s="8">
        <v>0</v>
      </c>
      <c r="E25" s="8">
        <v>20</v>
      </c>
      <c r="F25" s="8">
        <v>4642900</v>
      </c>
      <c r="G25" s="8">
        <v>0</v>
      </c>
      <c r="H25" s="8">
        <v>0</v>
      </c>
      <c r="I25" s="8">
        <v>56</v>
      </c>
      <c r="J25" s="8">
        <v>4642900</v>
      </c>
    </row>
    <row r="26" spans="1:10" x14ac:dyDescent="0.2">
      <c r="A26" s="6" t="s">
        <v>34</v>
      </c>
      <c r="B26" s="6">
        <v>4</v>
      </c>
      <c r="C26" s="8">
        <v>0</v>
      </c>
      <c r="D26" s="8">
        <v>0</v>
      </c>
      <c r="E26" s="8">
        <v>20</v>
      </c>
      <c r="F26" s="8">
        <v>4642900</v>
      </c>
      <c r="G26" s="8">
        <v>0</v>
      </c>
      <c r="H26" s="8">
        <v>0</v>
      </c>
      <c r="I26" s="8">
        <v>20</v>
      </c>
      <c r="J26" s="8">
        <v>4642900</v>
      </c>
    </row>
    <row r="27" spans="1:10" x14ac:dyDescent="0.2">
      <c r="A27" s="6" t="s">
        <v>35</v>
      </c>
      <c r="B27" s="6">
        <v>4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</row>
    <row r="28" spans="1:10" x14ac:dyDescent="0.2">
      <c r="A28" s="6" t="s">
        <v>36</v>
      </c>
      <c r="B28" s="6">
        <v>4</v>
      </c>
      <c r="C28" s="8">
        <v>20</v>
      </c>
      <c r="D28" s="8">
        <v>909100</v>
      </c>
      <c r="E28" s="8">
        <v>20</v>
      </c>
      <c r="F28" s="8">
        <v>909100</v>
      </c>
      <c r="G28" s="8">
        <v>0</v>
      </c>
      <c r="H28" s="8">
        <v>0</v>
      </c>
      <c r="I28" s="8">
        <v>40</v>
      </c>
      <c r="J28" s="8">
        <v>1818200</v>
      </c>
    </row>
    <row r="29" spans="1:10" x14ac:dyDescent="0.2">
      <c r="A29" s="6" t="s">
        <v>37</v>
      </c>
      <c r="B29" s="6">
        <v>4</v>
      </c>
      <c r="C29" s="8">
        <v>9559</v>
      </c>
      <c r="D29" s="8">
        <v>510064519</v>
      </c>
      <c r="E29" s="8">
        <v>3840</v>
      </c>
      <c r="F29" s="8">
        <v>203485440</v>
      </c>
      <c r="G29" s="8">
        <v>10144</v>
      </c>
      <c r="H29" s="8">
        <v>540208283</v>
      </c>
      <c r="I29" s="8">
        <v>3255</v>
      </c>
      <c r="J29" s="8">
        <v>173341676</v>
      </c>
    </row>
    <row r="30" spans="1:10" x14ac:dyDescent="0.2">
      <c r="A30" s="6" t="s">
        <v>38</v>
      </c>
      <c r="B30" s="6">
        <v>4</v>
      </c>
      <c r="C30" s="8">
        <v>284613</v>
      </c>
      <c r="D30" s="8">
        <v>573886108</v>
      </c>
      <c r="E30" s="8">
        <v>7200</v>
      </c>
      <c r="F30" s="8">
        <v>213321600</v>
      </c>
      <c r="G30" s="8">
        <v>16902</v>
      </c>
      <c r="H30" s="8">
        <v>502972033</v>
      </c>
      <c r="I30" s="8">
        <v>274911</v>
      </c>
      <c r="J30" s="8">
        <v>284235675</v>
      </c>
    </row>
    <row r="31" spans="1:10" x14ac:dyDescent="0.2">
      <c r="A31" s="6" t="s">
        <v>39</v>
      </c>
      <c r="B31" s="6">
        <v>4</v>
      </c>
      <c r="C31" s="8">
        <v>30570</v>
      </c>
      <c r="D31" s="8">
        <v>207614660</v>
      </c>
      <c r="E31" s="8">
        <v>1800</v>
      </c>
      <c r="F31" s="8">
        <v>60622200</v>
      </c>
      <c r="G31" s="8">
        <v>3405</v>
      </c>
      <c r="H31" s="8">
        <v>114791153</v>
      </c>
      <c r="I31" s="8">
        <v>28965</v>
      </c>
      <c r="J31" s="8">
        <v>153445707</v>
      </c>
    </row>
    <row r="32" spans="1:10" x14ac:dyDescent="0.2">
      <c r="A32" s="6" t="s">
        <v>40</v>
      </c>
      <c r="B32" s="6">
        <v>4</v>
      </c>
      <c r="C32" s="8">
        <v>0</v>
      </c>
      <c r="D32" s="8">
        <v>0</v>
      </c>
      <c r="E32" s="8">
        <v>345</v>
      </c>
      <c r="F32" s="8">
        <v>15352500</v>
      </c>
      <c r="G32" s="8">
        <v>345</v>
      </c>
      <c r="H32" s="8">
        <v>15352500</v>
      </c>
      <c r="I32" s="8">
        <v>0</v>
      </c>
      <c r="J32" s="8">
        <v>0</v>
      </c>
    </row>
    <row r="33" spans="1:10" x14ac:dyDescent="0.2">
      <c r="A33" s="6" t="s">
        <v>41</v>
      </c>
      <c r="B33" s="6">
        <v>4</v>
      </c>
      <c r="C33" s="8">
        <v>90</v>
      </c>
      <c r="D33" s="8">
        <v>3031110</v>
      </c>
      <c r="E33" s="8">
        <v>0</v>
      </c>
      <c r="F33" s="8">
        <v>0</v>
      </c>
      <c r="G33" s="8">
        <v>0</v>
      </c>
      <c r="H33" s="8">
        <v>0</v>
      </c>
      <c r="I33" s="8">
        <v>90</v>
      </c>
      <c r="J33" s="8">
        <v>3031110</v>
      </c>
    </row>
    <row r="34" spans="1:10" x14ac:dyDescent="0.2">
      <c r="A34" s="6" t="s">
        <v>42</v>
      </c>
      <c r="B34" s="6">
        <v>4</v>
      </c>
      <c r="C34" s="8">
        <v>64</v>
      </c>
      <c r="D34" s="8">
        <v>3063680</v>
      </c>
      <c r="E34" s="8">
        <v>0</v>
      </c>
      <c r="F34" s="8">
        <v>0</v>
      </c>
      <c r="G34" s="8">
        <v>0</v>
      </c>
      <c r="H34" s="8">
        <v>0</v>
      </c>
      <c r="I34" s="8">
        <v>64</v>
      </c>
      <c r="J34" s="8">
        <v>3063680</v>
      </c>
    </row>
    <row r="35" spans="1:10" x14ac:dyDescent="0.2">
      <c r="A35" s="6" t="s">
        <v>43</v>
      </c>
      <c r="B35" s="6">
        <v>4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</row>
    <row r="36" spans="1:10" x14ac:dyDescent="0.2">
      <c r="A36" s="6" t="s">
        <v>44</v>
      </c>
      <c r="B36" s="6">
        <v>4</v>
      </c>
      <c r="C36" s="8">
        <v>10400</v>
      </c>
      <c r="D36" s="8">
        <v>62792749</v>
      </c>
      <c r="E36" s="8">
        <v>375</v>
      </c>
      <c r="F36" s="8">
        <v>12629625</v>
      </c>
      <c r="G36" s="8">
        <v>585</v>
      </c>
      <c r="H36" s="8">
        <v>19702183</v>
      </c>
      <c r="I36" s="8">
        <v>10190</v>
      </c>
      <c r="J36" s="8">
        <v>55720191</v>
      </c>
    </row>
    <row r="37" spans="1:10" x14ac:dyDescent="0.2">
      <c r="A37" s="6" t="s">
        <v>45</v>
      </c>
      <c r="B37" s="6">
        <v>4</v>
      </c>
      <c r="C37" s="8">
        <v>1497</v>
      </c>
      <c r="D37" s="8">
        <v>50415642</v>
      </c>
      <c r="E37" s="8">
        <v>225</v>
      </c>
      <c r="F37" s="8">
        <v>7577775</v>
      </c>
      <c r="G37" s="8">
        <v>300</v>
      </c>
      <c r="H37" s="8">
        <v>10103383</v>
      </c>
      <c r="I37" s="8">
        <v>1422</v>
      </c>
      <c r="J37" s="8">
        <v>47890034</v>
      </c>
    </row>
    <row r="38" spans="1:10" x14ac:dyDescent="0.2">
      <c r="A38" s="6" t="s">
        <v>46</v>
      </c>
      <c r="B38" s="6">
        <v>4</v>
      </c>
      <c r="C38" s="8">
        <v>165</v>
      </c>
      <c r="D38" s="8">
        <v>5557035</v>
      </c>
      <c r="E38" s="8">
        <v>0</v>
      </c>
      <c r="F38" s="8">
        <v>0</v>
      </c>
      <c r="G38" s="8">
        <v>0</v>
      </c>
      <c r="H38" s="8">
        <v>0</v>
      </c>
      <c r="I38" s="8">
        <v>165</v>
      </c>
      <c r="J38" s="8">
        <v>5557035</v>
      </c>
    </row>
    <row r="39" spans="1:10" x14ac:dyDescent="0.2">
      <c r="A39" s="6" t="s">
        <v>47</v>
      </c>
      <c r="B39" s="6">
        <v>4</v>
      </c>
      <c r="C39" s="8">
        <v>1600</v>
      </c>
      <c r="D39" s="8">
        <v>7272000</v>
      </c>
      <c r="E39" s="8">
        <v>2500</v>
      </c>
      <c r="F39" s="8">
        <v>11362500</v>
      </c>
      <c r="G39" s="8">
        <v>0</v>
      </c>
      <c r="H39" s="8">
        <v>0</v>
      </c>
      <c r="I39" s="8">
        <v>4100</v>
      </c>
      <c r="J39" s="8">
        <v>18634500</v>
      </c>
    </row>
    <row r="40" spans="1:10" x14ac:dyDescent="0.2">
      <c r="A40" s="6" t="s">
        <v>48</v>
      </c>
      <c r="B40" s="6">
        <v>4</v>
      </c>
      <c r="C40" s="8">
        <v>0</v>
      </c>
      <c r="D40" s="8">
        <v>0</v>
      </c>
      <c r="E40" s="8">
        <v>48</v>
      </c>
      <c r="F40" s="8">
        <v>1156368</v>
      </c>
      <c r="G40" s="8">
        <v>0</v>
      </c>
      <c r="H40" s="8">
        <v>0</v>
      </c>
      <c r="I40" s="8">
        <v>48</v>
      </c>
      <c r="J40" s="8">
        <v>1156368</v>
      </c>
    </row>
    <row r="41" spans="1:10" x14ac:dyDescent="0.2">
      <c r="A41" s="6" t="s">
        <v>49</v>
      </c>
      <c r="B41" s="6">
        <v>4</v>
      </c>
      <c r="C41" s="8">
        <v>3330</v>
      </c>
      <c r="D41" s="8">
        <v>15740910</v>
      </c>
      <c r="E41" s="8">
        <v>3600</v>
      </c>
      <c r="F41" s="8">
        <v>17017200</v>
      </c>
      <c r="G41" s="8">
        <v>20</v>
      </c>
      <c r="H41" s="8">
        <v>94540</v>
      </c>
      <c r="I41" s="8">
        <v>6910</v>
      </c>
      <c r="J41" s="8">
        <v>32663570</v>
      </c>
    </row>
    <row r="42" spans="1:10" x14ac:dyDescent="0.2">
      <c r="A42" s="6" t="s">
        <v>50</v>
      </c>
      <c r="B42" s="6">
        <v>4</v>
      </c>
      <c r="C42" s="8">
        <v>1000</v>
      </c>
      <c r="D42" s="8">
        <v>3182000</v>
      </c>
      <c r="E42" s="8">
        <v>500</v>
      </c>
      <c r="F42" s="8">
        <v>1591000</v>
      </c>
      <c r="G42" s="8">
        <v>0</v>
      </c>
      <c r="H42" s="8">
        <v>0</v>
      </c>
      <c r="I42" s="8">
        <v>1500</v>
      </c>
      <c r="J42" s="8">
        <v>4773000</v>
      </c>
    </row>
    <row r="43" spans="1:10" x14ac:dyDescent="0.2">
      <c r="A43" s="6" t="s">
        <v>51</v>
      </c>
      <c r="B43" s="6">
        <v>4</v>
      </c>
      <c r="C43" s="8">
        <v>1350</v>
      </c>
      <c r="D43" s="8">
        <v>4908600</v>
      </c>
      <c r="E43" s="8">
        <v>1000</v>
      </c>
      <c r="F43" s="8">
        <v>3636000</v>
      </c>
      <c r="G43" s="8">
        <v>0</v>
      </c>
      <c r="H43" s="8">
        <v>0</v>
      </c>
      <c r="I43" s="8">
        <v>2350</v>
      </c>
      <c r="J43" s="8">
        <v>8544600</v>
      </c>
    </row>
    <row r="44" spans="1:10" x14ac:dyDescent="0.2">
      <c r="A44" s="6" t="s">
        <v>52</v>
      </c>
      <c r="B44" s="6">
        <v>4</v>
      </c>
      <c r="C44" s="8">
        <v>480</v>
      </c>
      <c r="D44" s="8">
        <v>10908960</v>
      </c>
      <c r="E44" s="8">
        <v>96</v>
      </c>
      <c r="F44" s="8">
        <v>2181792</v>
      </c>
      <c r="G44" s="8">
        <v>0</v>
      </c>
      <c r="H44" s="8">
        <v>0</v>
      </c>
      <c r="I44" s="8">
        <v>576</v>
      </c>
      <c r="J44" s="8">
        <v>13090752</v>
      </c>
    </row>
    <row r="45" spans="1:10" x14ac:dyDescent="0.2">
      <c r="A45" s="6" t="s">
        <v>53</v>
      </c>
      <c r="B45" s="6">
        <v>4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</row>
    <row r="46" spans="1:10" x14ac:dyDescent="0.2">
      <c r="A46" s="6" t="s">
        <v>54</v>
      </c>
      <c r="B46" s="6">
        <v>4</v>
      </c>
      <c r="C46" s="8">
        <v>5062</v>
      </c>
      <c r="D46" s="8">
        <v>67558083</v>
      </c>
      <c r="E46" s="8">
        <v>11280</v>
      </c>
      <c r="F46" s="8">
        <v>153814080</v>
      </c>
      <c r="G46" s="8">
        <v>5664</v>
      </c>
      <c r="H46" s="8">
        <v>76725733</v>
      </c>
      <c r="I46" s="8">
        <v>10678</v>
      </c>
      <c r="J46" s="8">
        <v>144646430</v>
      </c>
    </row>
    <row r="47" spans="1:10" x14ac:dyDescent="0.2">
      <c r="A47" s="6" t="s">
        <v>55</v>
      </c>
      <c r="B47" s="6">
        <v>4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</row>
    <row r="48" spans="1:10" x14ac:dyDescent="0.2">
      <c r="A48" s="6" t="s">
        <v>56</v>
      </c>
      <c r="B48" s="6">
        <v>4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</row>
    <row r="49" spans="1:10" x14ac:dyDescent="0.2">
      <c r="A49" s="6" t="s">
        <v>57</v>
      </c>
      <c r="B49" s="6">
        <v>4</v>
      </c>
      <c r="C49" s="8">
        <v>360</v>
      </c>
      <c r="D49" s="8">
        <v>5727240</v>
      </c>
      <c r="E49" s="8">
        <v>120</v>
      </c>
      <c r="F49" s="8">
        <v>1909080</v>
      </c>
      <c r="G49" s="8">
        <v>0</v>
      </c>
      <c r="H49" s="8">
        <v>0</v>
      </c>
      <c r="I49" s="8">
        <v>480</v>
      </c>
      <c r="J49" s="8">
        <v>7636320</v>
      </c>
    </row>
    <row r="50" spans="1:10" x14ac:dyDescent="0.2">
      <c r="A50" s="6" t="s">
        <v>58</v>
      </c>
      <c r="B50" s="6">
        <v>4</v>
      </c>
      <c r="C50" s="8">
        <v>720</v>
      </c>
      <c r="D50" s="8">
        <v>5563440</v>
      </c>
      <c r="E50" s="8">
        <v>1920</v>
      </c>
      <c r="F50" s="8">
        <v>14835840</v>
      </c>
      <c r="G50" s="8">
        <v>0</v>
      </c>
      <c r="H50" s="8">
        <v>0</v>
      </c>
      <c r="I50" s="8">
        <v>2640</v>
      </c>
      <c r="J50" s="8">
        <v>20399280</v>
      </c>
    </row>
    <row r="51" spans="1:10" x14ac:dyDescent="0.2">
      <c r="A51" s="6" t="s">
        <v>59</v>
      </c>
      <c r="B51" s="6">
        <v>4</v>
      </c>
      <c r="C51" s="8">
        <v>3009</v>
      </c>
      <c r="D51" s="8">
        <v>40929997</v>
      </c>
      <c r="E51" s="8">
        <v>4800</v>
      </c>
      <c r="F51" s="8">
        <v>69816000</v>
      </c>
      <c r="G51" s="8">
        <v>1464</v>
      </c>
      <c r="H51" s="8">
        <v>20762215</v>
      </c>
      <c r="I51" s="8">
        <v>6345</v>
      </c>
      <c r="J51" s="8">
        <v>89983782</v>
      </c>
    </row>
    <row r="52" spans="1:10" x14ac:dyDescent="0.2">
      <c r="A52" s="6" t="s">
        <v>60</v>
      </c>
      <c r="B52" s="6">
        <v>4</v>
      </c>
      <c r="C52" s="8">
        <v>1443</v>
      </c>
      <c r="D52" s="8">
        <v>45817920</v>
      </c>
      <c r="E52" s="8">
        <v>840</v>
      </c>
      <c r="F52" s="8">
        <v>26727120</v>
      </c>
      <c r="G52" s="8">
        <v>0</v>
      </c>
      <c r="H52" s="8">
        <v>0</v>
      </c>
      <c r="I52" s="8">
        <v>2283</v>
      </c>
      <c r="J52" s="8">
        <v>72545040</v>
      </c>
    </row>
    <row r="53" spans="1:10" x14ac:dyDescent="0.2">
      <c r="A53" s="6" t="s">
        <v>61</v>
      </c>
      <c r="B53" s="6">
        <v>4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</row>
    <row r="54" spans="1:10" x14ac:dyDescent="0.2">
      <c r="A54" s="6" t="s">
        <v>62</v>
      </c>
      <c r="B54" s="6">
        <v>4</v>
      </c>
      <c r="C54" s="8">
        <v>3211</v>
      </c>
      <c r="D54" s="8">
        <v>15175069</v>
      </c>
      <c r="E54" s="8">
        <v>4800</v>
      </c>
      <c r="F54" s="8">
        <v>22689600</v>
      </c>
      <c r="G54" s="8">
        <v>20</v>
      </c>
      <c r="H54" s="8">
        <v>94532</v>
      </c>
      <c r="I54" s="8">
        <v>7991</v>
      </c>
      <c r="J54" s="8">
        <v>37770137</v>
      </c>
    </row>
    <row r="55" spans="1:10" x14ac:dyDescent="0.2">
      <c r="A55" s="6" t="s">
        <v>63</v>
      </c>
      <c r="B55" s="6">
        <v>4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</row>
    <row r="56" spans="1:10" x14ac:dyDescent="0.2">
      <c r="A56" s="6" t="s">
        <v>64</v>
      </c>
      <c r="B56" s="6">
        <v>4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</row>
    <row r="57" spans="1:10" x14ac:dyDescent="0.2">
      <c r="A57" s="6" t="s">
        <v>65</v>
      </c>
      <c r="B57" s="6">
        <v>4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</row>
    <row r="58" spans="1:10" x14ac:dyDescent="0.2">
      <c r="A58" s="6" t="s">
        <v>66</v>
      </c>
      <c r="B58" s="6">
        <v>4</v>
      </c>
      <c r="C58" s="8">
        <v>1608</v>
      </c>
      <c r="D58" s="8">
        <v>22734165</v>
      </c>
      <c r="E58" s="8">
        <v>4212</v>
      </c>
      <c r="F58" s="8">
        <v>61263540</v>
      </c>
      <c r="G58" s="8">
        <v>396</v>
      </c>
      <c r="H58" s="8">
        <v>5715308</v>
      </c>
      <c r="I58" s="8">
        <v>5424</v>
      </c>
      <c r="J58" s="8">
        <v>78282397</v>
      </c>
    </row>
    <row r="59" spans="1:10" x14ac:dyDescent="0.2">
      <c r="A59" s="6" t="s">
        <v>67</v>
      </c>
      <c r="B59" s="6">
        <v>4</v>
      </c>
      <c r="C59" s="8">
        <v>184</v>
      </c>
      <c r="D59" s="8">
        <v>1854600</v>
      </c>
      <c r="E59" s="8">
        <v>0</v>
      </c>
      <c r="F59" s="8">
        <v>0</v>
      </c>
      <c r="G59" s="8">
        <v>0</v>
      </c>
      <c r="H59" s="8">
        <v>0</v>
      </c>
      <c r="I59" s="8">
        <v>184</v>
      </c>
      <c r="J59" s="8">
        <v>1854600</v>
      </c>
    </row>
    <row r="60" spans="1:10" x14ac:dyDescent="0.2">
      <c r="A60" s="6" t="s">
        <v>68</v>
      </c>
      <c r="B60" s="6">
        <v>4</v>
      </c>
      <c r="C60" s="8">
        <v>120</v>
      </c>
      <c r="D60" s="8">
        <v>5236320</v>
      </c>
      <c r="E60" s="8">
        <v>120</v>
      </c>
      <c r="F60" s="8">
        <v>5236320</v>
      </c>
      <c r="G60" s="8">
        <v>0</v>
      </c>
      <c r="H60" s="8">
        <v>0</v>
      </c>
      <c r="I60" s="8">
        <v>240</v>
      </c>
      <c r="J60" s="8">
        <v>10472640</v>
      </c>
    </row>
    <row r="61" spans="1:10" x14ac:dyDescent="0.2">
      <c r="A61" s="6" t="s">
        <v>69</v>
      </c>
      <c r="B61" s="6">
        <v>4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</row>
    <row r="62" spans="1:10" x14ac:dyDescent="0.2">
      <c r="A62" s="6" t="s">
        <v>70</v>
      </c>
      <c r="B62" s="6">
        <v>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</row>
    <row r="63" spans="1:10" x14ac:dyDescent="0.2">
      <c r="A63" s="6" t="s">
        <v>71</v>
      </c>
      <c r="B63" s="6">
        <v>4</v>
      </c>
      <c r="C63" s="8">
        <v>480</v>
      </c>
      <c r="D63" s="8">
        <v>6981600</v>
      </c>
      <c r="E63" s="8">
        <v>360</v>
      </c>
      <c r="F63" s="8">
        <v>5236200</v>
      </c>
      <c r="G63" s="8">
        <v>0</v>
      </c>
      <c r="H63" s="8">
        <v>0</v>
      </c>
      <c r="I63" s="8">
        <v>840</v>
      </c>
      <c r="J63" s="8">
        <v>12217800</v>
      </c>
    </row>
    <row r="64" spans="1:10" x14ac:dyDescent="0.2">
      <c r="A64" s="6" t="s">
        <v>72</v>
      </c>
      <c r="B64" s="6">
        <v>4</v>
      </c>
      <c r="C64" s="8">
        <v>2176</v>
      </c>
      <c r="D64" s="8">
        <v>43378242</v>
      </c>
      <c r="E64" s="8">
        <v>6</v>
      </c>
      <c r="F64" s="8">
        <v>0</v>
      </c>
      <c r="G64" s="8">
        <v>240</v>
      </c>
      <c r="H64" s="8">
        <v>4771209</v>
      </c>
      <c r="I64" s="8">
        <v>1942</v>
      </c>
      <c r="J64" s="8">
        <v>38607033</v>
      </c>
    </row>
    <row r="65" spans="1:10" x14ac:dyDescent="0.2">
      <c r="A65" s="6" t="s">
        <v>73</v>
      </c>
      <c r="B65" s="6">
        <v>4</v>
      </c>
      <c r="C65" s="8">
        <v>2604</v>
      </c>
      <c r="D65" s="8">
        <v>80487036</v>
      </c>
      <c r="E65" s="8">
        <v>0</v>
      </c>
      <c r="F65" s="8">
        <v>0</v>
      </c>
      <c r="G65" s="8">
        <v>120</v>
      </c>
      <c r="H65" s="8">
        <v>3709080</v>
      </c>
      <c r="I65" s="8">
        <v>2484</v>
      </c>
      <c r="J65" s="8">
        <v>76777956</v>
      </c>
    </row>
    <row r="66" spans="1:10" x14ac:dyDescent="0.2">
      <c r="A66" s="6" t="s">
        <v>74</v>
      </c>
      <c r="B66" s="6">
        <v>4</v>
      </c>
      <c r="C66" s="8">
        <v>36</v>
      </c>
      <c r="D66" s="8">
        <v>478852</v>
      </c>
      <c r="E66" s="8">
        <v>1920</v>
      </c>
      <c r="F66" s="8">
        <v>26181120</v>
      </c>
      <c r="G66" s="8">
        <v>1680</v>
      </c>
      <c r="H66" s="8">
        <v>22898135</v>
      </c>
      <c r="I66" s="8">
        <v>276</v>
      </c>
      <c r="J66" s="8">
        <v>3761837</v>
      </c>
    </row>
    <row r="67" spans="1:10" x14ac:dyDescent="0.2">
      <c r="A67" s="6" t="s">
        <v>75</v>
      </c>
      <c r="B67" s="6">
        <v>4</v>
      </c>
      <c r="C67" s="8">
        <v>2960</v>
      </c>
      <c r="D67" s="8">
        <v>994560</v>
      </c>
      <c r="E67" s="8">
        <v>1600</v>
      </c>
      <c r="F67" s="8">
        <v>537600</v>
      </c>
      <c r="G67" s="8">
        <v>0</v>
      </c>
      <c r="H67" s="8">
        <v>0</v>
      </c>
      <c r="I67" s="8">
        <v>4560</v>
      </c>
      <c r="J67" s="8">
        <v>1532160</v>
      </c>
    </row>
    <row r="68" spans="1:10" x14ac:dyDescent="0.2">
      <c r="A68" s="6" t="s">
        <v>76</v>
      </c>
      <c r="B68" s="6">
        <v>4</v>
      </c>
      <c r="C68" s="8">
        <v>0</v>
      </c>
      <c r="D68" s="8">
        <v>0</v>
      </c>
      <c r="E68" s="8">
        <v>36</v>
      </c>
      <c r="F68" s="8">
        <v>1816380</v>
      </c>
      <c r="G68" s="8">
        <v>0</v>
      </c>
      <c r="H68" s="8">
        <v>0</v>
      </c>
      <c r="I68" s="8">
        <v>36</v>
      </c>
      <c r="J68" s="8">
        <v>1816380</v>
      </c>
    </row>
    <row r="69" spans="1:10" x14ac:dyDescent="0.2">
      <c r="A69" s="6" t="s">
        <v>77</v>
      </c>
      <c r="B69" s="6">
        <v>4</v>
      </c>
      <c r="C69" s="8">
        <v>0</v>
      </c>
      <c r="D69" s="8">
        <v>0</v>
      </c>
      <c r="E69" s="8">
        <v>240</v>
      </c>
      <c r="F69" s="8">
        <v>1309200</v>
      </c>
      <c r="G69" s="8">
        <v>0</v>
      </c>
      <c r="H69" s="8">
        <v>0</v>
      </c>
      <c r="I69" s="8">
        <v>240</v>
      </c>
      <c r="J69" s="8">
        <v>1309200</v>
      </c>
    </row>
    <row r="70" spans="1:10" x14ac:dyDescent="0.2">
      <c r="A70" s="6" t="s">
        <v>78</v>
      </c>
      <c r="B70" s="6">
        <v>4</v>
      </c>
      <c r="C70" s="8">
        <v>3026</v>
      </c>
      <c r="D70" s="8">
        <v>16896064</v>
      </c>
      <c r="E70" s="8">
        <v>1680</v>
      </c>
      <c r="F70" s="8">
        <v>16800000</v>
      </c>
      <c r="G70" s="8">
        <v>2904</v>
      </c>
      <c r="H70" s="8">
        <v>20793321</v>
      </c>
      <c r="I70" s="8">
        <v>1802</v>
      </c>
      <c r="J70" s="8">
        <v>12902743</v>
      </c>
    </row>
    <row r="71" spans="1:10" x14ac:dyDescent="0.2">
      <c r="A71" s="6" t="s">
        <v>79</v>
      </c>
      <c r="B71" s="6">
        <v>4</v>
      </c>
      <c r="C71" s="8">
        <v>331</v>
      </c>
      <c r="D71" s="8">
        <v>5863500</v>
      </c>
      <c r="E71" s="8">
        <v>480</v>
      </c>
      <c r="F71" s="8">
        <v>9381600</v>
      </c>
      <c r="G71" s="8">
        <v>0</v>
      </c>
      <c r="H71" s="8">
        <v>0</v>
      </c>
      <c r="I71" s="8">
        <v>811</v>
      </c>
      <c r="J71" s="8">
        <v>15245100</v>
      </c>
    </row>
    <row r="72" spans="1:10" x14ac:dyDescent="0.2">
      <c r="A72" s="6" t="s">
        <v>80</v>
      </c>
      <c r="B72" s="6">
        <v>4</v>
      </c>
      <c r="C72" s="8">
        <v>216</v>
      </c>
      <c r="D72" s="8">
        <v>2760826</v>
      </c>
      <c r="E72" s="8">
        <v>0</v>
      </c>
      <c r="F72" s="8">
        <v>0</v>
      </c>
      <c r="G72" s="8">
        <v>0</v>
      </c>
      <c r="H72" s="8">
        <v>0</v>
      </c>
      <c r="I72" s="8">
        <v>216</v>
      </c>
      <c r="J72" s="8">
        <v>2760826</v>
      </c>
    </row>
    <row r="73" spans="1:10" x14ac:dyDescent="0.2">
      <c r="A73" s="6" t="s">
        <v>81</v>
      </c>
      <c r="B73" s="6">
        <v>4</v>
      </c>
      <c r="C73" s="8">
        <v>900</v>
      </c>
      <c r="D73" s="8">
        <v>13090500</v>
      </c>
      <c r="E73" s="8">
        <v>432</v>
      </c>
      <c r="F73" s="8">
        <v>6283440</v>
      </c>
      <c r="G73" s="8">
        <v>0</v>
      </c>
      <c r="H73" s="8">
        <v>0</v>
      </c>
      <c r="I73" s="8">
        <v>1332</v>
      </c>
      <c r="J73" s="8">
        <v>19373940</v>
      </c>
    </row>
    <row r="74" spans="1:10" x14ac:dyDescent="0.2">
      <c r="A74" s="6" t="s">
        <v>82</v>
      </c>
      <c r="B74" s="6">
        <v>4</v>
      </c>
      <c r="C74" s="8">
        <v>1800</v>
      </c>
      <c r="D74" s="8">
        <v>12763800</v>
      </c>
      <c r="E74" s="8">
        <v>2160</v>
      </c>
      <c r="F74" s="8">
        <v>15316560</v>
      </c>
      <c r="G74" s="8">
        <v>0</v>
      </c>
      <c r="H74" s="8">
        <v>0</v>
      </c>
      <c r="I74" s="8">
        <v>3960</v>
      </c>
      <c r="J74" s="8">
        <v>28080360</v>
      </c>
    </row>
    <row r="75" spans="1:10" x14ac:dyDescent="0.2">
      <c r="A75" s="6" t="s">
        <v>83</v>
      </c>
      <c r="B75" s="6">
        <v>4</v>
      </c>
      <c r="C75" s="8">
        <v>1584</v>
      </c>
      <c r="D75" s="8">
        <v>11520432</v>
      </c>
      <c r="E75" s="8">
        <v>0</v>
      </c>
      <c r="F75" s="8">
        <v>0</v>
      </c>
      <c r="G75" s="8">
        <v>0</v>
      </c>
      <c r="H75" s="8">
        <v>0</v>
      </c>
      <c r="I75" s="8">
        <v>1584</v>
      </c>
      <c r="J75" s="8">
        <v>11520432</v>
      </c>
    </row>
    <row r="76" spans="1:10" x14ac:dyDescent="0.2">
      <c r="A76" s="6" t="s">
        <v>84</v>
      </c>
      <c r="B76" s="6">
        <v>4</v>
      </c>
      <c r="C76" s="8">
        <v>9736</v>
      </c>
      <c r="D76" s="8">
        <v>275215302</v>
      </c>
      <c r="E76" s="8">
        <v>14400</v>
      </c>
      <c r="F76" s="8">
        <v>412358400</v>
      </c>
      <c r="G76" s="8">
        <v>5592</v>
      </c>
      <c r="H76" s="8">
        <v>159301961</v>
      </c>
      <c r="I76" s="8">
        <v>18544</v>
      </c>
      <c r="J76" s="8">
        <v>528271741</v>
      </c>
    </row>
    <row r="77" spans="1:10" x14ac:dyDescent="0.2">
      <c r="A77" s="6" t="s">
        <v>85</v>
      </c>
      <c r="B77" s="6">
        <v>4</v>
      </c>
      <c r="C77" s="8">
        <v>10592</v>
      </c>
      <c r="D77" s="8">
        <v>91689488</v>
      </c>
      <c r="E77" s="8">
        <v>18000</v>
      </c>
      <c r="F77" s="8">
        <v>158724000</v>
      </c>
      <c r="G77" s="8">
        <v>5112</v>
      </c>
      <c r="H77" s="8">
        <v>44771746</v>
      </c>
      <c r="I77" s="8">
        <v>23480</v>
      </c>
      <c r="J77" s="8">
        <v>205641742</v>
      </c>
    </row>
    <row r="78" spans="1:10" x14ac:dyDescent="0.2">
      <c r="A78" s="6" t="s">
        <v>86</v>
      </c>
      <c r="B78" s="6">
        <v>4</v>
      </c>
      <c r="C78" s="8">
        <v>31683</v>
      </c>
      <c r="D78" s="8">
        <v>219194164</v>
      </c>
      <c r="E78" s="8">
        <v>28800</v>
      </c>
      <c r="F78" s="8">
        <v>204220800</v>
      </c>
      <c r="G78" s="8">
        <v>15017</v>
      </c>
      <c r="H78" s="8">
        <v>105127433</v>
      </c>
      <c r="I78" s="8">
        <v>45466</v>
      </c>
      <c r="J78" s="8">
        <v>318287531</v>
      </c>
    </row>
    <row r="79" spans="1:10" x14ac:dyDescent="0.2">
      <c r="A79" s="6" t="s">
        <v>87</v>
      </c>
      <c r="B79" s="6">
        <v>4</v>
      </c>
      <c r="C79" s="8">
        <v>2640</v>
      </c>
      <c r="D79" s="8">
        <v>43735696</v>
      </c>
      <c r="E79" s="8">
        <v>8460</v>
      </c>
      <c r="F79" s="8">
        <v>142280280</v>
      </c>
      <c r="G79" s="8">
        <v>2016</v>
      </c>
      <c r="H79" s="8">
        <v>33784523</v>
      </c>
      <c r="I79" s="8">
        <v>9084</v>
      </c>
      <c r="J79" s="8">
        <v>152231453</v>
      </c>
    </row>
    <row r="80" spans="1:10" x14ac:dyDescent="0.2">
      <c r="A80" s="6" t="s">
        <v>88</v>
      </c>
      <c r="B80" s="6">
        <v>4</v>
      </c>
      <c r="C80" s="8">
        <v>0</v>
      </c>
      <c r="D80" s="8">
        <v>0</v>
      </c>
      <c r="E80" s="8">
        <v>768</v>
      </c>
      <c r="F80" s="8">
        <v>16058112</v>
      </c>
      <c r="G80" s="8">
        <v>0</v>
      </c>
      <c r="H80" s="8">
        <v>0</v>
      </c>
      <c r="I80" s="8">
        <v>768</v>
      </c>
      <c r="J80" s="8">
        <v>16058112</v>
      </c>
    </row>
    <row r="81" spans="1:10" x14ac:dyDescent="0.2">
      <c r="A81" s="6" t="s">
        <v>89</v>
      </c>
      <c r="B81" s="6">
        <v>4</v>
      </c>
      <c r="C81" s="8">
        <v>480</v>
      </c>
      <c r="D81" s="8">
        <v>10908960</v>
      </c>
      <c r="E81" s="8">
        <v>300</v>
      </c>
      <c r="F81" s="8">
        <v>6818100</v>
      </c>
      <c r="G81" s="8">
        <v>0</v>
      </c>
      <c r="H81" s="8">
        <v>0</v>
      </c>
      <c r="I81" s="8">
        <v>780</v>
      </c>
      <c r="J81" s="8">
        <v>17727060</v>
      </c>
    </row>
    <row r="82" spans="1:10" x14ac:dyDescent="0.2">
      <c r="A82" s="6" t="s">
        <v>90</v>
      </c>
      <c r="B82" s="6">
        <v>4</v>
      </c>
      <c r="C82" s="8">
        <v>1554</v>
      </c>
      <c r="D82" s="8">
        <v>77588817</v>
      </c>
      <c r="E82" s="8">
        <v>2820</v>
      </c>
      <c r="F82" s="8">
        <v>141000000</v>
      </c>
      <c r="G82" s="8">
        <v>1092</v>
      </c>
      <c r="H82" s="8">
        <v>54572243</v>
      </c>
      <c r="I82" s="8">
        <v>3282</v>
      </c>
      <c r="J82" s="8">
        <v>164016574</v>
      </c>
    </row>
    <row r="83" spans="1:10" x14ac:dyDescent="0.2">
      <c r="A83" s="6" t="s">
        <v>91</v>
      </c>
      <c r="B83" s="6">
        <v>4</v>
      </c>
      <c r="C83" s="8">
        <v>3392</v>
      </c>
      <c r="D83" s="8">
        <v>25649964</v>
      </c>
      <c r="E83" s="8">
        <v>8400</v>
      </c>
      <c r="F83" s="8">
        <v>74071200</v>
      </c>
      <c r="G83" s="8">
        <v>2208</v>
      </c>
      <c r="H83" s="8">
        <v>18672348</v>
      </c>
      <c r="I83" s="8">
        <v>9584</v>
      </c>
      <c r="J83" s="8">
        <v>81048816</v>
      </c>
    </row>
    <row r="84" spans="1:10" x14ac:dyDescent="0.2">
      <c r="A84" s="6" t="s">
        <v>92</v>
      </c>
      <c r="B84" s="6">
        <v>4</v>
      </c>
      <c r="C84" s="8">
        <v>19200</v>
      </c>
      <c r="D84" s="8">
        <v>9254400</v>
      </c>
      <c r="E84" s="8">
        <v>12800</v>
      </c>
      <c r="F84" s="8">
        <v>6169600</v>
      </c>
      <c r="G84" s="8">
        <v>13600</v>
      </c>
      <c r="H84" s="8">
        <v>6555200</v>
      </c>
      <c r="I84" s="8">
        <v>18400</v>
      </c>
      <c r="J84" s="8">
        <v>8868800</v>
      </c>
    </row>
    <row r="85" spans="1:10" x14ac:dyDescent="0.2">
      <c r="A85" s="6" t="s">
        <v>93</v>
      </c>
      <c r="B85" s="6">
        <v>4</v>
      </c>
      <c r="C85" s="8">
        <v>180</v>
      </c>
      <c r="D85" s="8">
        <v>9000000</v>
      </c>
      <c r="E85" s="8">
        <v>144</v>
      </c>
      <c r="F85" s="8">
        <v>7200000</v>
      </c>
      <c r="G85" s="8">
        <v>0</v>
      </c>
      <c r="H85" s="8">
        <v>0</v>
      </c>
      <c r="I85" s="8">
        <v>324</v>
      </c>
      <c r="J85" s="8">
        <v>16200000</v>
      </c>
    </row>
    <row r="86" spans="1:10" x14ac:dyDescent="0.2">
      <c r="A86" s="6" t="s">
        <v>94</v>
      </c>
      <c r="B86" s="6">
        <v>4</v>
      </c>
      <c r="C86" s="8">
        <v>72</v>
      </c>
      <c r="D86" s="8">
        <v>634896</v>
      </c>
      <c r="E86" s="8">
        <v>144</v>
      </c>
      <c r="F86" s="8">
        <v>1269792</v>
      </c>
      <c r="G86" s="8">
        <v>0</v>
      </c>
      <c r="H86" s="8">
        <v>0</v>
      </c>
      <c r="I86" s="8">
        <v>216</v>
      </c>
      <c r="J86" s="8">
        <v>1904688</v>
      </c>
    </row>
    <row r="87" spans="1:10" x14ac:dyDescent="0.2">
      <c r="A87" s="6" t="s">
        <v>95</v>
      </c>
      <c r="B87" s="6">
        <v>4</v>
      </c>
      <c r="C87" s="8">
        <v>720</v>
      </c>
      <c r="D87" s="8">
        <v>5760000</v>
      </c>
      <c r="E87" s="8">
        <v>288</v>
      </c>
      <c r="F87" s="8">
        <v>2304000</v>
      </c>
      <c r="G87" s="8">
        <v>0</v>
      </c>
      <c r="H87" s="8">
        <v>0</v>
      </c>
      <c r="I87" s="8">
        <v>1008</v>
      </c>
      <c r="J87" s="8">
        <v>8064000</v>
      </c>
    </row>
    <row r="88" spans="1:10" x14ac:dyDescent="0.2">
      <c r="A88" s="6" t="s">
        <v>96</v>
      </c>
      <c r="B88" s="6">
        <v>4</v>
      </c>
      <c r="C88" s="8">
        <v>255</v>
      </c>
      <c r="D88" s="8">
        <v>27288359</v>
      </c>
      <c r="E88" s="8">
        <v>141</v>
      </c>
      <c r="F88" s="8">
        <v>15125493</v>
      </c>
      <c r="G88" s="8">
        <v>0</v>
      </c>
      <c r="H88" s="8">
        <v>0</v>
      </c>
      <c r="I88" s="8">
        <v>396</v>
      </c>
      <c r="J88" s="8">
        <v>42413852</v>
      </c>
    </row>
    <row r="89" spans="1:10" x14ac:dyDescent="0.2">
      <c r="A89" s="6" t="s">
        <v>97</v>
      </c>
      <c r="B89" s="6">
        <v>4</v>
      </c>
      <c r="C89" s="8">
        <v>24000</v>
      </c>
      <c r="D89" s="8">
        <v>11568000</v>
      </c>
      <c r="E89" s="8">
        <v>12800</v>
      </c>
      <c r="F89" s="8">
        <v>6169600</v>
      </c>
      <c r="G89" s="8">
        <v>13600</v>
      </c>
      <c r="H89" s="8">
        <v>6555200</v>
      </c>
      <c r="I89" s="8">
        <v>23200</v>
      </c>
      <c r="J89" s="8">
        <v>11182400</v>
      </c>
    </row>
    <row r="90" spans="1:10" x14ac:dyDescent="0.2">
      <c r="A90" s="6" t="s">
        <v>98</v>
      </c>
      <c r="B90" s="6">
        <v>4</v>
      </c>
      <c r="C90" s="8">
        <v>1920</v>
      </c>
      <c r="D90" s="8">
        <v>18675840</v>
      </c>
      <c r="E90" s="8">
        <v>1128</v>
      </c>
      <c r="F90" s="8">
        <v>10972056</v>
      </c>
      <c r="G90" s="8">
        <v>0</v>
      </c>
      <c r="H90" s="8">
        <v>0</v>
      </c>
      <c r="I90" s="8">
        <v>3048</v>
      </c>
      <c r="J90" s="8">
        <v>29647896</v>
      </c>
    </row>
    <row r="91" spans="1:10" x14ac:dyDescent="0.2">
      <c r="A91" s="6" t="s">
        <v>99</v>
      </c>
      <c r="B91" s="6">
        <v>4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</row>
    <row r="92" spans="1:10" x14ac:dyDescent="0.2">
      <c r="A92" s="6" t="s">
        <v>100</v>
      </c>
      <c r="B92" s="6">
        <v>4</v>
      </c>
      <c r="C92" s="8">
        <v>1884</v>
      </c>
      <c r="D92" s="8">
        <v>88665927</v>
      </c>
      <c r="E92" s="8">
        <v>2580</v>
      </c>
      <c r="F92" s="8">
        <v>127826100</v>
      </c>
      <c r="G92" s="8">
        <v>1032</v>
      </c>
      <c r="H92" s="8">
        <v>50049232</v>
      </c>
      <c r="I92" s="8">
        <v>3432</v>
      </c>
      <c r="J92" s="8">
        <v>166442795</v>
      </c>
    </row>
    <row r="93" spans="1:10" x14ac:dyDescent="0.2">
      <c r="A93" s="6" t="s">
        <v>101</v>
      </c>
      <c r="B93" s="6">
        <v>4</v>
      </c>
      <c r="C93" s="8">
        <v>6856</v>
      </c>
      <c r="D93" s="8">
        <v>40133679</v>
      </c>
      <c r="E93" s="8">
        <v>8424</v>
      </c>
      <c r="F93" s="8">
        <v>74300280</v>
      </c>
      <c r="G93" s="8">
        <v>9696</v>
      </c>
      <c r="H93" s="8">
        <v>72614638</v>
      </c>
      <c r="I93" s="8">
        <v>5584</v>
      </c>
      <c r="J93" s="8">
        <v>41819321</v>
      </c>
    </row>
    <row r="94" spans="1:10" x14ac:dyDescent="0.2">
      <c r="A94" s="6" t="s">
        <v>102</v>
      </c>
      <c r="B94" s="6">
        <v>4</v>
      </c>
      <c r="C94" s="8">
        <v>1296</v>
      </c>
      <c r="D94" s="8">
        <v>29455546</v>
      </c>
      <c r="E94" s="8">
        <v>840</v>
      </c>
      <c r="F94" s="8">
        <v>19090680</v>
      </c>
      <c r="G94" s="8">
        <v>0</v>
      </c>
      <c r="H94" s="8">
        <v>0</v>
      </c>
      <c r="I94" s="8">
        <v>2136</v>
      </c>
      <c r="J94" s="8">
        <v>48546226</v>
      </c>
    </row>
    <row r="95" spans="1:10" x14ac:dyDescent="0.2">
      <c r="A95" s="6" t="s">
        <v>103</v>
      </c>
      <c r="B95" s="6">
        <v>4</v>
      </c>
      <c r="C95" s="8">
        <v>1680</v>
      </c>
      <c r="D95" s="8">
        <v>21687120</v>
      </c>
      <c r="E95" s="8">
        <v>0</v>
      </c>
      <c r="F95" s="8">
        <v>0</v>
      </c>
      <c r="G95" s="8">
        <v>0</v>
      </c>
      <c r="H95" s="8">
        <v>0</v>
      </c>
      <c r="I95" s="8">
        <v>1680</v>
      </c>
      <c r="J95" s="8">
        <v>21687120</v>
      </c>
    </row>
    <row r="96" spans="1:10" x14ac:dyDescent="0.2">
      <c r="A96" s="6" t="s">
        <v>104</v>
      </c>
      <c r="B96" s="6">
        <v>4</v>
      </c>
      <c r="C96" s="8">
        <v>240</v>
      </c>
      <c r="D96" s="8">
        <v>4363680</v>
      </c>
      <c r="E96" s="8">
        <v>120</v>
      </c>
      <c r="F96" s="8">
        <v>2181840</v>
      </c>
      <c r="G96" s="8">
        <v>0</v>
      </c>
      <c r="H96" s="8">
        <v>0</v>
      </c>
      <c r="I96" s="8">
        <v>360</v>
      </c>
      <c r="J96" s="8">
        <v>6545520</v>
      </c>
    </row>
    <row r="97" spans="1:10" x14ac:dyDescent="0.2">
      <c r="A97" s="6" t="s">
        <v>105</v>
      </c>
      <c r="B97" s="6">
        <v>4</v>
      </c>
      <c r="C97" s="8">
        <v>240</v>
      </c>
      <c r="D97" s="8">
        <v>11961180</v>
      </c>
      <c r="E97" s="8">
        <v>120</v>
      </c>
      <c r="F97" s="8">
        <v>6000000</v>
      </c>
      <c r="G97" s="8">
        <v>0</v>
      </c>
      <c r="H97" s="8">
        <v>0</v>
      </c>
      <c r="I97" s="8">
        <v>360</v>
      </c>
      <c r="J97" s="8">
        <v>17961180</v>
      </c>
    </row>
    <row r="98" spans="1:10" x14ac:dyDescent="0.2">
      <c r="A98" s="6" t="s">
        <v>106</v>
      </c>
      <c r="B98" s="6">
        <v>4</v>
      </c>
      <c r="C98" s="8">
        <v>480</v>
      </c>
      <c r="D98" s="8">
        <v>4232640</v>
      </c>
      <c r="E98" s="8">
        <v>360</v>
      </c>
      <c r="F98" s="8">
        <v>3174480</v>
      </c>
      <c r="G98" s="8">
        <v>0</v>
      </c>
      <c r="H98" s="8">
        <v>0</v>
      </c>
      <c r="I98" s="8">
        <v>840</v>
      </c>
      <c r="J98" s="8">
        <v>7407120</v>
      </c>
    </row>
    <row r="99" spans="1:10" x14ac:dyDescent="0.2">
      <c r="A99" s="6" t="s">
        <v>107</v>
      </c>
      <c r="B99" s="6">
        <v>4</v>
      </c>
      <c r="C99" s="8">
        <v>340</v>
      </c>
      <c r="D99" s="8">
        <v>1341900</v>
      </c>
      <c r="E99" s="8">
        <v>0</v>
      </c>
      <c r="F99" s="8">
        <v>0</v>
      </c>
      <c r="G99" s="8">
        <v>0</v>
      </c>
      <c r="H99" s="8">
        <v>0</v>
      </c>
      <c r="I99" s="8">
        <v>340</v>
      </c>
      <c r="J99" s="8">
        <v>1341900</v>
      </c>
    </row>
    <row r="100" spans="1:10" x14ac:dyDescent="0.2">
      <c r="A100" s="6" t="s">
        <v>108</v>
      </c>
      <c r="B100" s="6">
        <v>4</v>
      </c>
      <c r="C100" s="8">
        <v>11931</v>
      </c>
      <c r="D100" s="8">
        <v>78165186</v>
      </c>
      <c r="E100" s="8">
        <v>14040</v>
      </c>
      <c r="F100" s="8">
        <v>91891800</v>
      </c>
      <c r="G100" s="8">
        <v>6012</v>
      </c>
      <c r="H100" s="8">
        <v>39366316</v>
      </c>
      <c r="I100" s="8">
        <v>19959</v>
      </c>
      <c r="J100" s="8">
        <v>130690670</v>
      </c>
    </row>
    <row r="101" spans="1:10" x14ac:dyDescent="0.2">
      <c r="A101" s="6" t="s">
        <v>109</v>
      </c>
      <c r="B101" s="6">
        <v>4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</row>
    <row r="102" spans="1:10" x14ac:dyDescent="0.2">
      <c r="A102" s="6" t="s">
        <v>110</v>
      </c>
      <c r="B102" s="6">
        <v>4</v>
      </c>
      <c r="C102" s="8">
        <v>1188</v>
      </c>
      <c r="D102" s="8">
        <v>19853120</v>
      </c>
      <c r="E102" s="8">
        <v>1080</v>
      </c>
      <c r="F102" s="8">
        <v>18163440</v>
      </c>
      <c r="G102" s="8">
        <v>0</v>
      </c>
      <c r="H102" s="8">
        <v>0</v>
      </c>
      <c r="I102" s="8">
        <v>2268</v>
      </c>
      <c r="J102" s="8">
        <v>38016560</v>
      </c>
    </row>
    <row r="103" spans="1:10" x14ac:dyDescent="0.2">
      <c r="A103" s="6" t="s">
        <v>111</v>
      </c>
      <c r="B103" s="6">
        <v>4</v>
      </c>
      <c r="C103" s="8">
        <v>3910</v>
      </c>
      <c r="D103" s="8">
        <v>30329937</v>
      </c>
      <c r="E103" s="8">
        <v>9600</v>
      </c>
      <c r="F103" s="8">
        <v>75052800</v>
      </c>
      <c r="G103" s="8">
        <v>20</v>
      </c>
      <c r="H103" s="8">
        <v>156007</v>
      </c>
      <c r="I103" s="8">
        <v>13490</v>
      </c>
      <c r="J103" s="8">
        <v>105226730</v>
      </c>
    </row>
    <row r="104" spans="1:10" x14ac:dyDescent="0.2">
      <c r="A104" s="6" t="s">
        <v>112</v>
      </c>
      <c r="B104" s="6">
        <v>4</v>
      </c>
      <c r="C104" s="8">
        <v>1080</v>
      </c>
      <c r="D104" s="8">
        <v>8443440</v>
      </c>
      <c r="E104" s="8">
        <v>1200</v>
      </c>
      <c r="F104" s="8">
        <v>9381600</v>
      </c>
      <c r="G104" s="8">
        <v>0</v>
      </c>
      <c r="H104" s="8">
        <v>0</v>
      </c>
      <c r="I104" s="8">
        <v>2280</v>
      </c>
      <c r="J104" s="8">
        <v>17825040</v>
      </c>
    </row>
    <row r="105" spans="1:10" x14ac:dyDescent="0.2">
      <c r="A105" s="6" t="s">
        <v>113</v>
      </c>
      <c r="B105" s="6">
        <v>4</v>
      </c>
      <c r="C105" s="8">
        <v>48</v>
      </c>
      <c r="D105" s="8">
        <v>741840</v>
      </c>
      <c r="E105" s="8">
        <v>48</v>
      </c>
      <c r="F105" s="8">
        <v>741840</v>
      </c>
      <c r="G105" s="8">
        <v>0</v>
      </c>
      <c r="H105" s="8">
        <v>0</v>
      </c>
      <c r="I105" s="8">
        <v>96</v>
      </c>
      <c r="J105" s="8">
        <v>1483680</v>
      </c>
    </row>
    <row r="106" spans="1:10" x14ac:dyDescent="0.2">
      <c r="A106" s="6" t="s">
        <v>114</v>
      </c>
      <c r="B106" s="6">
        <v>4</v>
      </c>
      <c r="C106" s="8">
        <v>120</v>
      </c>
      <c r="D106" s="8">
        <v>2181840</v>
      </c>
      <c r="E106" s="8">
        <v>120</v>
      </c>
      <c r="F106" s="8">
        <v>2181840</v>
      </c>
      <c r="G106" s="8">
        <v>0</v>
      </c>
      <c r="H106" s="8">
        <v>0</v>
      </c>
      <c r="I106" s="8">
        <v>240</v>
      </c>
      <c r="J106" s="8">
        <v>4363680</v>
      </c>
    </row>
    <row r="107" spans="1:10" x14ac:dyDescent="0.2">
      <c r="A107" s="6" t="s">
        <v>115</v>
      </c>
      <c r="B107" s="6">
        <v>4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</row>
    <row r="108" spans="1:10" x14ac:dyDescent="0.2">
      <c r="A108" s="6" t="s">
        <v>116</v>
      </c>
      <c r="B108" s="6">
        <v>4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</row>
    <row r="109" spans="1:10" x14ac:dyDescent="0.2">
      <c r="A109" s="6" t="s">
        <v>117</v>
      </c>
      <c r="B109" s="6">
        <v>4</v>
      </c>
      <c r="C109" s="8">
        <v>72</v>
      </c>
      <c r="D109" s="8">
        <v>1178208</v>
      </c>
      <c r="E109" s="8">
        <v>0</v>
      </c>
      <c r="F109" s="8">
        <v>0</v>
      </c>
      <c r="G109" s="8">
        <v>0</v>
      </c>
      <c r="H109" s="8">
        <v>0</v>
      </c>
      <c r="I109" s="8">
        <v>72</v>
      </c>
      <c r="J109" s="8">
        <v>1178208</v>
      </c>
    </row>
    <row r="110" spans="1:10" x14ac:dyDescent="0.2">
      <c r="A110" s="6" t="s">
        <v>118</v>
      </c>
      <c r="B110" s="6">
        <v>4</v>
      </c>
      <c r="C110" s="8">
        <v>180</v>
      </c>
      <c r="D110" s="8">
        <v>7118100</v>
      </c>
      <c r="E110" s="8">
        <v>168</v>
      </c>
      <c r="F110" s="8">
        <v>6643560</v>
      </c>
      <c r="G110" s="8">
        <v>0</v>
      </c>
      <c r="H110" s="8">
        <v>0</v>
      </c>
      <c r="I110" s="8">
        <v>348</v>
      </c>
      <c r="J110" s="8">
        <v>13761660</v>
      </c>
    </row>
    <row r="111" spans="1:10" x14ac:dyDescent="0.2">
      <c r="A111" s="6" t="s">
        <v>119</v>
      </c>
      <c r="B111" s="6">
        <v>4</v>
      </c>
      <c r="C111" s="8">
        <v>40</v>
      </c>
      <c r="D111" s="8">
        <v>909080</v>
      </c>
      <c r="E111" s="8">
        <v>40</v>
      </c>
      <c r="F111" s="8">
        <v>909080</v>
      </c>
      <c r="G111" s="8">
        <v>0</v>
      </c>
      <c r="H111" s="8">
        <v>0</v>
      </c>
      <c r="I111" s="8">
        <v>80</v>
      </c>
      <c r="J111" s="8">
        <v>1818160</v>
      </c>
    </row>
    <row r="112" spans="1:10" x14ac:dyDescent="0.2">
      <c r="A112" s="6" t="s">
        <v>120</v>
      </c>
      <c r="B112" s="6">
        <v>4</v>
      </c>
      <c r="C112" s="8">
        <v>40</v>
      </c>
      <c r="D112" s="8">
        <v>872720</v>
      </c>
      <c r="E112" s="8">
        <v>40</v>
      </c>
      <c r="F112" s="8">
        <v>872720</v>
      </c>
      <c r="G112" s="8">
        <v>0</v>
      </c>
      <c r="H112" s="8">
        <v>0</v>
      </c>
      <c r="I112" s="8">
        <v>80</v>
      </c>
      <c r="J112" s="8">
        <v>1745440</v>
      </c>
    </row>
    <row r="113" spans="1:10" x14ac:dyDescent="0.2">
      <c r="A113" s="6" t="s">
        <v>121</v>
      </c>
      <c r="B113" s="6">
        <v>4</v>
      </c>
      <c r="C113" s="8">
        <v>2290</v>
      </c>
      <c r="D113" s="8">
        <v>24033000</v>
      </c>
      <c r="E113" s="8">
        <v>5616</v>
      </c>
      <c r="F113" s="8">
        <v>61264944</v>
      </c>
      <c r="G113" s="8">
        <v>1944</v>
      </c>
      <c r="H113" s="8">
        <v>20973843</v>
      </c>
      <c r="I113" s="8">
        <v>5962</v>
      </c>
      <c r="J113" s="8">
        <v>64324101</v>
      </c>
    </row>
    <row r="114" spans="1:10" x14ac:dyDescent="0.2">
      <c r="A114" s="6" t="s">
        <v>122</v>
      </c>
      <c r="B114" s="6">
        <v>4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</row>
    <row r="115" spans="1:10" x14ac:dyDescent="0.2">
      <c r="A115" s="6" t="s">
        <v>123</v>
      </c>
      <c r="B115" s="6">
        <v>4</v>
      </c>
      <c r="C115" s="8">
        <v>144</v>
      </c>
      <c r="D115" s="8">
        <v>2421792</v>
      </c>
      <c r="E115" s="8">
        <v>0</v>
      </c>
      <c r="F115" s="8">
        <v>0</v>
      </c>
      <c r="G115" s="8">
        <v>0</v>
      </c>
      <c r="H115" s="8">
        <v>0</v>
      </c>
      <c r="I115" s="8">
        <v>144</v>
      </c>
      <c r="J115" s="8">
        <v>2421792</v>
      </c>
    </row>
    <row r="116" spans="1:10" x14ac:dyDescent="0.2">
      <c r="A116" s="6" t="s">
        <v>124</v>
      </c>
      <c r="B116" s="6">
        <v>4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</row>
    <row r="117" spans="1:10" x14ac:dyDescent="0.2">
      <c r="A117" s="6" t="s">
        <v>125</v>
      </c>
      <c r="B117" s="6">
        <v>4</v>
      </c>
      <c r="C117" s="8">
        <v>1092</v>
      </c>
      <c r="D117" s="8">
        <v>45610414</v>
      </c>
      <c r="E117" s="8">
        <v>660</v>
      </c>
      <c r="F117" s="8">
        <v>27599880</v>
      </c>
      <c r="G117" s="8">
        <v>0</v>
      </c>
      <c r="H117" s="8">
        <v>0</v>
      </c>
      <c r="I117" s="8">
        <v>1752</v>
      </c>
      <c r="J117" s="8">
        <v>73210294</v>
      </c>
    </row>
    <row r="118" spans="1:10" x14ac:dyDescent="0.2">
      <c r="A118" s="6" t="s">
        <v>126</v>
      </c>
      <c r="B118" s="6">
        <v>4</v>
      </c>
      <c r="C118" s="8">
        <v>13637</v>
      </c>
      <c r="D118" s="8">
        <v>77793219</v>
      </c>
      <c r="E118" s="8">
        <v>21600</v>
      </c>
      <c r="F118" s="8">
        <v>123703200</v>
      </c>
      <c r="G118" s="8">
        <v>9900</v>
      </c>
      <c r="H118" s="8">
        <v>56611362</v>
      </c>
      <c r="I118" s="8">
        <v>25337</v>
      </c>
      <c r="J118" s="8">
        <v>144885057</v>
      </c>
    </row>
    <row r="119" spans="1:10" x14ac:dyDescent="0.2">
      <c r="A119" s="6" t="s">
        <v>127</v>
      </c>
      <c r="B119" s="6">
        <v>4</v>
      </c>
      <c r="C119" s="8">
        <v>2888</v>
      </c>
      <c r="D119" s="8">
        <v>15806520</v>
      </c>
      <c r="E119" s="8">
        <v>1200</v>
      </c>
      <c r="F119" s="8">
        <v>6872400</v>
      </c>
      <c r="G119" s="8">
        <v>0</v>
      </c>
      <c r="H119" s="8">
        <v>0</v>
      </c>
      <c r="I119" s="8">
        <v>4088</v>
      </c>
      <c r="J119" s="8">
        <v>22678920</v>
      </c>
    </row>
    <row r="120" spans="1:10" x14ac:dyDescent="0.2">
      <c r="A120" s="6" t="s">
        <v>128</v>
      </c>
      <c r="B120" s="6">
        <v>4</v>
      </c>
      <c r="C120" s="8">
        <v>500</v>
      </c>
      <c r="D120" s="8">
        <v>7500000</v>
      </c>
      <c r="E120" s="8">
        <v>400</v>
      </c>
      <c r="F120" s="8">
        <v>6000000</v>
      </c>
      <c r="G120" s="8">
        <v>0</v>
      </c>
      <c r="H120" s="8">
        <v>0</v>
      </c>
      <c r="I120" s="8">
        <v>900</v>
      </c>
      <c r="J120" s="8">
        <v>13500000</v>
      </c>
    </row>
    <row r="121" spans="1:10" x14ac:dyDescent="0.2">
      <c r="A121" s="6" t="s">
        <v>129</v>
      </c>
      <c r="B121" s="6">
        <v>4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</row>
    <row r="122" spans="1:10" x14ac:dyDescent="0.2">
      <c r="A122" s="6" t="s">
        <v>130</v>
      </c>
      <c r="B122" s="6">
        <v>4</v>
      </c>
      <c r="C122" s="8">
        <v>54</v>
      </c>
      <c r="D122" s="8">
        <v>2528172</v>
      </c>
      <c r="E122" s="8">
        <v>32</v>
      </c>
      <c r="F122" s="8">
        <v>1498176</v>
      </c>
      <c r="G122" s="8">
        <v>41</v>
      </c>
      <c r="H122" s="8">
        <v>1919538</v>
      </c>
      <c r="I122" s="8">
        <v>45</v>
      </c>
      <c r="J122" s="8">
        <v>2106810</v>
      </c>
    </row>
    <row r="123" spans="1:10" x14ac:dyDescent="0.2">
      <c r="A123" s="6" t="s">
        <v>131</v>
      </c>
      <c r="B123" s="6">
        <v>4</v>
      </c>
      <c r="C123" s="8">
        <v>59</v>
      </c>
      <c r="D123" s="8">
        <v>2896369</v>
      </c>
      <c r="E123" s="8">
        <v>32</v>
      </c>
      <c r="F123" s="8">
        <v>1570912</v>
      </c>
      <c r="G123" s="8">
        <v>41</v>
      </c>
      <c r="H123" s="8">
        <v>2012731</v>
      </c>
      <c r="I123" s="8">
        <v>50</v>
      </c>
      <c r="J123" s="8">
        <v>2454550</v>
      </c>
    </row>
    <row r="124" spans="1:10" x14ac:dyDescent="0.2">
      <c r="A124" s="6" t="s">
        <v>132</v>
      </c>
      <c r="B124" s="6">
        <v>4</v>
      </c>
      <c r="C124" s="8">
        <v>145</v>
      </c>
      <c r="D124" s="8">
        <v>6327220</v>
      </c>
      <c r="E124" s="8">
        <v>80</v>
      </c>
      <c r="F124" s="8">
        <v>3490880</v>
      </c>
      <c r="G124" s="8">
        <v>175</v>
      </c>
      <c r="H124" s="8">
        <v>7636300</v>
      </c>
      <c r="I124" s="8">
        <v>50</v>
      </c>
      <c r="J124" s="8">
        <v>2181800</v>
      </c>
    </row>
    <row r="125" spans="1:10" x14ac:dyDescent="0.2">
      <c r="A125" s="6" t="s">
        <v>133</v>
      </c>
      <c r="B125" s="6">
        <v>4</v>
      </c>
      <c r="C125" s="8">
        <v>136</v>
      </c>
      <c r="D125" s="8">
        <v>5069128</v>
      </c>
      <c r="E125" s="8">
        <v>0</v>
      </c>
      <c r="F125" s="8">
        <v>0</v>
      </c>
      <c r="G125" s="8">
        <v>85</v>
      </c>
      <c r="H125" s="8">
        <v>3168205</v>
      </c>
      <c r="I125" s="8">
        <v>51</v>
      </c>
      <c r="J125" s="8">
        <v>1900923</v>
      </c>
    </row>
    <row r="126" spans="1:10" x14ac:dyDescent="0.2">
      <c r="A126" s="6" t="s">
        <v>134</v>
      </c>
      <c r="B126" s="6">
        <v>4</v>
      </c>
      <c r="C126" s="8">
        <v>23</v>
      </c>
      <c r="D126" s="8">
        <v>658628</v>
      </c>
      <c r="E126" s="8">
        <v>0</v>
      </c>
      <c r="F126" s="8">
        <v>0</v>
      </c>
      <c r="G126" s="8">
        <v>0</v>
      </c>
      <c r="H126" s="8">
        <v>0</v>
      </c>
      <c r="I126" s="8">
        <v>23</v>
      </c>
      <c r="J126" s="8">
        <v>658628</v>
      </c>
    </row>
    <row r="127" spans="1:10" x14ac:dyDescent="0.2">
      <c r="A127" s="6" t="s">
        <v>135</v>
      </c>
      <c r="B127" s="6">
        <v>4</v>
      </c>
      <c r="C127" s="8">
        <v>965</v>
      </c>
      <c r="D127" s="8">
        <v>177130705</v>
      </c>
      <c r="E127" s="8">
        <v>0</v>
      </c>
      <c r="F127" s="8">
        <v>0</v>
      </c>
      <c r="G127" s="8">
        <v>485</v>
      </c>
      <c r="H127" s="8">
        <v>89024240</v>
      </c>
      <c r="I127" s="8">
        <v>480</v>
      </c>
      <c r="J127" s="8">
        <v>88106465</v>
      </c>
    </row>
    <row r="128" spans="1:10" x14ac:dyDescent="0.2">
      <c r="A128" s="6" t="s">
        <v>136</v>
      </c>
      <c r="B128" s="6">
        <v>4</v>
      </c>
      <c r="C128" s="8">
        <v>3188</v>
      </c>
      <c r="D128" s="8">
        <v>45260487</v>
      </c>
      <c r="E128" s="8">
        <v>7488</v>
      </c>
      <c r="F128" s="8">
        <v>108912960</v>
      </c>
      <c r="G128" s="8">
        <v>2952</v>
      </c>
      <c r="H128" s="8">
        <v>42630200</v>
      </c>
      <c r="I128" s="8">
        <v>7724</v>
      </c>
      <c r="J128" s="8">
        <v>111543247</v>
      </c>
    </row>
    <row r="129" spans="1:10" x14ac:dyDescent="0.2">
      <c r="A129" s="6" t="s">
        <v>137</v>
      </c>
      <c r="B129" s="6">
        <v>4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</row>
    <row r="130" spans="1:10" x14ac:dyDescent="0.2">
      <c r="A130" s="6" t="s">
        <v>138</v>
      </c>
      <c r="B130" s="6">
        <v>4</v>
      </c>
      <c r="C130" s="8">
        <v>0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</row>
    <row r="131" spans="1:10" x14ac:dyDescent="0.2">
      <c r="A131" s="6" t="s">
        <v>139</v>
      </c>
      <c r="B131" s="6">
        <v>4</v>
      </c>
      <c r="C131" s="8">
        <v>188</v>
      </c>
      <c r="D131" s="8">
        <v>34137846</v>
      </c>
      <c r="E131" s="8">
        <v>0</v>
      </c>
      <c r="F131" s="8">
        <v>0</v>
      </c>
      <c r="G131" s="8">
        <v>0</v>
      </c>
      <c r="H131" s="8">
        <v>0</v>
      </c>
      <c r="I131" s="8">
        <v>188</v>
      </c>
      <c r="J131" s="8">
        <v>34137846</v>
      </c>
    </row>
    <row r="132" spans="1:10" x14ac:dyDescent="0.2">
      <c r="A132" s="6" t="s">
        <v>140</v>
      </c>
      <c r="B132" s="6">
        <v>4</v>
      </c>
      <c r="C132" s="8">
        <v>8176</v>
      </c>
      <c r="D132" s="8">
        <v>1503989886</v>
      </c>
      <c r="E132" s="8">
        <v>460</v>
      </c>
      <c r="F132" s="8">
        <v>84857580</v>
      </c>
      <c r="G132" s="8">
        <v>3765</v>
      </c>
      <c r="H132" s="8">
        <v>692683037</v>
      </c>
      <c r="I132" s="8">
        <v>4871</v>
      </c>
      <c r="J132" s="8">
        <v>896164429</v>
      </c>
    </row>
    <row r="133" spans="1:10" x14ac:dyDescent="0.2">
      <c r="A133" s="6" t="s">
        <v>141</v>
      </c>
      <c r="B133" s="6">
        <v>4</v>
      </c>
      <c r="C133" s="8">
        <v>6579</v>
      </c>
      <c r="D133" s="8">
        <v>1211793245</v>
      </c>
      <c r="E133" s="8">
        <v>788</v>
      </c>
      <c r="F133" s="8">
        <v>136510020</v>
      </c>
      <c r="G133" s="8">
        <v>3920</v>
      </c>
      <c r="H133" s="8">
        <v>717435700</v>
      </c>
      <c r="I133" s="8">
        <v>3447</v>
      </c>
      <c r="J133" s="8">
        <v>630867565</v>
      </c>
    </row>
    <row r="134" spans="1:10" x14ac:dyDescent="0.2">
      <c r="A134" s="6" t="s">
        <v>142</v>
      </c>
      <c r="B134" s="6">
        <v>4</v>
      </c>
      <c r="C134" s="8">
        <v>1150</v>
      </c>
      <c r="D134" s="8">
        <v>211217050</v>
      </c>
      <c r="E134" s="8">
        <v>0</v>
      </c>
      <c r="F134" s="8">
        <v>0</v>
      </c>
      <c r="G134" s="8">
        <v>0</v>
      </c>
      <c r="H134" s="8">
        <v>0</v>
      </c>
      <c r="I134" s="8">
        <v>1150</v>
      </c>
      <c r="J134" s="8">
        <v>211217050</v>
      </c>
    </row>
    <row r="135" spans="1:10" x14ac:dyDescent="0.2">
      <c r="A135" s="6" t="s">
        <v>143</v>
      </c>
      <c r="B135" s="6">
        <v>4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</row>
    <row r="136" spans="1:10" x14ac:dyDescent="0.2">
      <c r="A136" s="6" t="s">
        <v>144</v>
      </c>
      <c r="B136" s="6">
        <v>4</v>
      </c>
      <c r="C136" s="8">
        <v>1870</v>
      </c>
      <c r="D136" s="8">
        <v>340826303</v>
      </c>
      <c r="E136" s="8">
        <v>108</v>
      </c>
      <c r="F136" s="8">
        <v>19699200</v>
      </c>
      <c r="G136" s="8">
        <v>0</v>
      </c>
      <c r="H136" s="8">
        <v>0</v>
      </c>
      <c r="I136" s="8">
        <v>1978</v>
      </c>
      <c r="J136" s="8">
        <v>360525503</v>
      </c>
    </row>
    <row r="137" spans="1:10" x14ac:dyDescent="0.2">
      <c r="A137" s="6" t="s">
        <v>145</v>
      </c>
      <c r="B137" s="6">
        <v>4</v>
      </c>
      <c r="C137" s="8">
        <v>523</v>
      </c>
      <c r="D137" s="8">
        <v>93476989</v>
      </c>
      <c r="E137" s="8">
        <v>0</v>
      </c>
      <c r="F137" s="8">
        <v>0</v>
      </c>
      <c r="G137" s="8">
        <v>0</v>
      </c>
      <c r="H137" s="8">
        <v>0</v>
      </c>
      <c r="I137" s="8">
        <v>523</v>
      </c>
      <c r="J137" s="8">
        <v>93476989</v>
      </c>
    </row>
    <row r="138" spans="1:10" x14ac:dyDescent="0.2">
      <c r="A138" s="6" t="s">
        <v>146</v>
      </c>
      <c r="B138" s="6">
        <v>4</v>
      </c>
      <c r="C138" s="8">
        <v>2207</v>
      </c>
      <c r="D138" s="8">
        <v>391657688</v>
      </c>
      <c r="E138" s="8">
        <v>2014</v>
      </c>
      <c r="F138" s="8">
        <v>351430715</v>
      </c>
      <c r="G138" s="8">
        <v>1575</v>
      </c>
      <c r="H138" s="8">
        <v>277271792</v>
      </c>
      <c r="I138" s="8">
        <v>2646</v>
      </c>
      <c r="J138" s="8">
        <v>465816611</v>
      </c>
    </row>
    <row r="139" spans="1:10" x14ac:dyDescent="0.2">
      <c r="A139" s="6" t="s">
        <v>147</v>
      </c>
      <c r="B139" s="6">
        <v>4</v>
      </c>
      <c r="C139" s="8">
        <v>260</v>
      </c>
      <c r="D139" s="8">
        <v>27463600</v>
      </c>
      <c r="E139" s="8">
        <v>40</v>
      </c>
      <c r="F139" s="8">
        <v>0</v>
      </c>
      <c r="G139" s="8">
        <v>6</v>
      </c>
      <c r="H139" s="8">
        <v>588706</v>
      </c>
      <c r="I139" s="8">
        <v>294</v>
      </c>
      <c r="J139" s="8">
        <v>26874894</v>
      </c>
    </row>
    <row r="140" spans="1:10" x14ac:dyDescent="0.2">
      <c r="A140" s="6" t="s">
        <v>148</v>
      </c>
      <c r="B140" s="6">
        <v>4</v>
      </c>
      <c r="C140" s="8">
        <v>1034</v>
      </c>
      <c r="D140" s="8">
        <v>117780960</v>
      </c>
      <c r="E140" s="8">
        <v>209</v>
      </c>
      <c r="F140" s="8">
        <v>23826000</v>
      </c>
      <c r="G140" s="8">
        <v>3</v>
      </c>
      <c r="H140" s="8">
        <v>341771</v>
      </c>
      <c r="I140" s="8">
        <v>1240</v>
      </c>
      <c r="J140" s="8">
        <v>141265189</v>
      </c>
    </row>
    <row r="141" spans="1:10" x14ac:dyDescent="0.2">
      <c r="A141" s="6" t="s">
        <v>149</v>
      </c>
      <c r="B141" s="6">
        <v>4</v>
      </c>
      <c r="C141" s="8">
        <v>5409</v>
      </c>
      <c r="D141" s="8">
        <v>1027221304</v>
      </c>
      <c r="E141" s="8">
        <v>965</v>
      </c>
      <c r="F141" s="8">
        <v>183017075</v>
      </c>
      <c r="G141" s="8">
        <v>665</v>
      </c>
      <c r="H141" s="8">
        <v>126264280</v>
      </c>
      <c r="I141" s="8">
        <v>5709</v>
      </c>
      <c r="J141" s="8">
        <v>1083974099</v>
      </c>
    </row>
    <row r="142" spans="1:10" x14ac:dyDescent="0.2">
      <c r="A142" s="6" t="s">
        <v>150</v>
      </c>
      <c r="B142" s="6">
        <v>4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</row>
    <row r="143" spans="1:10" x14ac:dyDescent="0.2">
      <c r="A143" s="6" t="s">
        <v>151</v>
      </c>
      <c r="B143" s="6">
        <v>4</v>
      </c>
      <c r="C143" s="8">
        <v>239</v>
      </c>
      <c r="D143" s="8">
        <v>45410000</v>
      </c>
      <c r="E143" s="8">
        <v>10</v>
      </c>
      <c r="F143" s="8">
        <v>1896550</v>
      </c>
      <c r="G143" s="8">
        <v>0</v>
      </c>
      <c r="H143" s="8">
        <v>0</v>
      </c>
      <c r="I143" s="8">
        <v>249</v>
      </c>
      <c r="J143" s="8">
        <v>47306550</v>
      </c>
    </row>
    <row r="144" spans="1:10" x14ac:dyDescent="0.2">
      <c r="A144" s="6" t="s">
        <v>152</v>
      </c>
      <c r="B144" s="6">
        <v>4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</row>
    <row r="145" spans="1:10" x14ac:dyDescent="0.2">
      <c r="A145" s="6" t="s">
        <v>153</v>
      </c>
      <c r="B145" s="6">
        <v>4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</row>
    <row r="146" spans="1:10" x14ac:dyDescent="0.2">
      <c r="A146" s="6" t="s">
        <v>154</v>
      </c>
      <c r="B146" s="6">
        <v>4</v>
      </c>
      <c r="C146" s="8">
        <v>0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</row>
    <row r="147" spans="1:10" x14ac:dyDescent="0.2">
      <c r="A147" s="6" t="s">
        <v>155</v>
      </c>
      <c r="B147" s="6">
        <v>4</v>
      </c>
      <c r="C147" s="8">
        <v>204</v>
      </c>
      <c r="D147" s="8">
        <v>59148248</v>
      </c>
      <c r="E147" s="8">
        <v>0</v>
      </c>
      <c r="F147" s="8">
        <v>0</v>
      </c>
      <c r="G147" s="8">
        <v>0</v>
      </c>
      <c r="H147" s="8">
        <v>0</v>
      </c>
      <c r="I147" s="8">
        <v>204</v>
      </c>
      <c r="J147" s="8">
        <v>59148248</v>
      </c>
    </row>
    <row r="148" spans="1:10" x14ac:dyDescent="0.2">
      <c r="A148" s="6" t="s">
        <v>156</v>
      </c>
      <c r="B148" s="6">
        <v>4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</row>
    <row r="149" spans="1:10" x14ac:dyDescent="0.2">
      <c r="A149" s="6" t="s">
        <v>157</v>
      </c>
      <c r="B149" s="6">
        <v>4</v>
      </c>
      <c r="C149" s="8">
        <v>0</v>
      </c>
      <c r="D149" s="8">
        <v>0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</row>
    <row r="150" spans="1:10" x14ac:dyDescent="0.2">
      <c r="A150" s="6" t="s">
        <v>158</v>
      </c>
      <c r="B150" s="6">
        <v>4</v>
      </c>
      <c r="C150" s="8">
        <v>133</v>
      </c>
      <c r="D150" s="8">
        <v>28422312</v>
      </c>
      <c r="E150" s="8">
        <v>0</v>
      </c>
      <c r="F150" s="8">
        <v>0</v>
      </c>
      <c r="G150" s="8">
        <v>0</v>
      </c>
      <c r="H150" s="8">
        <v>0</v>
      </c>
      <c r="I150" s="8">
        <v>133</v>
      </c>
      <c r="J150" s="8">
        <v>28422312</v>
      </c>
    </row>
    <row r="151" spans="1:10" x14ac:dyDescent="0.2">
      <c r="A151" s="6" t="s">
        <v>159</v>
      </c>
      <c r="B151" s="6">
        <v>4</v>
      </c>
      <c r="C151" s="8">
        <v>94</v>
      </c>
      <c r="D151" s="8">
        <v>20691192</v>
      </c>
      <c r="E151" s="8">
        <v>0</v>
      </c>
      <c r="F151" s="8">
        <v>0</v>
      </c>
      <c r="G151" s="8">
        <v>11</v>
      </c>
      <c r="H151" s="8">
        <v>2421329</v>
      </c>
      <c r="I151" s="8">
        <v>83</v>
      </c>
      <c r="J151" s="8">
        <v>18269863</v>
      </c>
    </row>
    <row r="152" spans="1:10" x14ac:dyDescent="0.2">
      <c r="A152" s="6" t="s">
        <v>160</v>
      </c>
      <c r="B152" s="6">
        <v>4</v>
      </c>
      <c r="C152" s="8">
        <v>65</v>
      </c>
      <c r="D152" s="8">
        <v>17179851</v>
      </c>
      <c r="E152" s="8">
        <v>0</v>
      </c>
      <c r="F152" s="8">
        <v>0</v>
      </c>
      <c r="G152" s="8">
        <v>8</v>
      </c>
      <c r="H152" s="8">
        <v>2112955</v>
      </c>
      <c r="I152" s="8">
        <v>57</v>
      </c>
      <c r="J152" s="8">
        <v>15066896</v>
      </c>
    </row>
    <row r="153" spans="1:10" x14ac:dyDescent="0.2">
      <c r="A153" s="6" t="s">
        <v>161</v>
      </c>
      <c r="B153" s="6">
        <v>4</v>
      </c>
      <c r="C153" s="8">
        <v>0</v>
      </c>
      <c r="D153" s="8">
        <v>0</v>
      </c>
      <c r="E153" s="8">
        <v>20</v>
      </c>
      <c r="F153" s="8">
        <v>4642900</v>
      </c>
      <c r="G153" s="8">
        <v>0</v>
      </c>
      <c r="H153" s="8">
        <v>0</v>
      </c>
      <c r="I153" s="8">
        <v>20</v>
      </c>
      <c r="J153" s="8">
        <v>4642900</v>
      </c>
    </row>
    <row r="154" spans="1:10" x14ac:dyDescent="0.2">
      <c r="A154" s="6" t="s">
        <v>162</v>
      </c>
      <c r="B154" s="6">
        <v>4</v>
      </c>
      <c r="C154" s="8">
        <v>311</v>
      </c>
      <c r="D154" s="8">
        <v>98304301</v>
      </c>
      <c r="E154" s="8">
        <v>710</v>
      </c>
      <c r="F154" s="8">
        <v>224424610</v>
      </c>
      <c r="G154" s="8">
        <v>0</v>
      </c>
      <c r="H154" s="8">
        <v>0</v>
      </c>
      <c r="I154" s="8">
        <v>1021</v>
      </c>
      <c r="J154" s="8">
        <v>322728911</v>
      </c>
    </row>
    <row r="155" spans="1:10" x14ac:dyDescent="0.2">
      <c r="A155" s="6" t="s">
        <v>163</v>
      </c>
      <c r="B155" s="6">
        <v>4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</row>
    <row r="156" spans="1:10" x14ac:dyDescent="0.2">
      <c r="A156" s="6" t="s">
        <v>164</v>
      </c>
      <c r="B156" s="6">
        <v>4</v>
      </c>
      <c r="C156" s="8">
        <v>95</v>
      </c>
      <c r="D156" s="8">
        <v>13696836</v>
      </c>
      <c r="E156" s="8">
        <v>0</v>
      </c>
      <c r="F156" s="8">
        <v>0</v>
      </c>
      <c r="G156" s="8">
        <v>0</v>
      </c>
      <c r="H156" s="8">
        <v>0</v>
      </c>
      <c r="I156" s="8">
        <v>95</v>
      </c>
      <c r="J156" s="8">
        <v>13696836</v>
      </c>
    </row>
    <row r="157" spans="1:10" x14ac:dyDescent="0.2">
      <c r="A157" s="6" t="s">
        <v>165</v>
      </c>
      <c r="B157" s="6">
        <v>4</v>
      </c>
      <c r="C157" s="8">
        <v>180</v>
      </c>
      <c r="D157" s="8">
        <v>26944330</v>
      </c>
      <c r="E157" s="8">
        <v>23</v>
      </c>
      <c r="F157" s="8">
        <v>3646972</v>
      </c>
      <c r="G157" s="8">
        <v>0</v>
      </c>
      <c r="H157" s="8">
        <v>0</v>
      </c>
      <c r="I157" s="8">
        <v>203</v>
      </c>
      <c r="J157" s="8">
        <v>30591302</v>
      </c>
    </row>
    <row r="158" spans="1:10" x14ac:dyDescent="0.2">
      <c r="A158" s="6" t="s">
        <v>166</v>
      </c>
      <c r="B158" s="6">
        <v>4</v>
      </c>
      <c r="C158" s="8">
        <v>0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</row>
    <row r="159" spans="1:10" x14ac:dyDescent="0.2">
      <c r="A159" s="6" t="s">
        <v>167</v>
      </c>
      <c r="B159" s="6">
        <v>4</v>
      </c>
      <c r="C159" s="8">
        <v>0</v>
      </c>
      <c r="D159" s="8">
        <v>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</row>
    <row r="160" spans="1:10" x14ac:dyDescent="0.2">
      <c r="A160" s="6" t="s">
        <v>168</v>
      </c>
      <c r="B160" s="6">
        <v>4</v>
      </c>
      <c r="C160" s="8">
        <v>140</v>
      </c>
      <c r="D160" s="8">
        <v>25532830</v>
      </c>
      <c r="E160" s="8">
        <v>286</v>
      </c>
      <c r="F160" s="8">
        <v>52166400</v>
      </c>
      <c r="G160" s="8">
        <v>0</v>
      </c>
      <c r="H160" s="8">
        <v>0</v>
      </c>
      <c r="I160" s="8">
        <v>426</v>
      </c>
      <c r="J160" s="8">
        <v>77699230</v>
      </c>
    </row>
    <row r="161" spans="1:10" x14ac:dyDescent="0.2">
      <c r="A161" s="6" t="s">
        <v>169</v>
      </c>
      <c r="B161" s="6">
        <v>4</v>
      </c>
      <c r="C161" s="8">
        <v>974</v>
      </c>
      <c r="D161" s="8">
        <v>172484554</v>
      </c>
      <c r="E161" s="8">
        <v>0</v>
      </c>
      <c r="F161" s="8">
        <v>0</v>
      </c>
      <c r="G161" s="8">
        <v>0</v>
      </c>
      <c r="H161" s="8">
        <v>0</v>
      </c>
      <c r="I161" s="8">
        <v>974</v>
      </c>
      <c r="J161" s="8">
        <v>172484554</v>
      </c>
    </row>
    <row r="162" spans="1:10" x14ac:dyDescent="0.2">
      <c r="A162" s="6" t="s">
        <v>170</v>
      </c>
      <c r="B162" s="6">
        <v>4</v>
      </c>
      <c r="C162" s="8">
        <v>77</v>
      </c>
      <c r="D162" s="8">
        <v>21146972</v>
      </c>
      <c r="E162" s="8">
        <v>47</v>
      </c>
      <c r="F162" s="8">
        <v>12907892</v>
      </c>
      <c r="G162" s="8">
        <v>0</v>
      </c>
      <c r="H162" s="8">
        <v>0</v>
      </c>
      <c r="I162" s="8">
        <v>124</v>
      </c>
      <c r="J162" s="8">
        <v>34054864</v>
      </c>
    </row>
    <row r="163" spans="1:10" x14ac:dyDescent="0.2">
      <c r="A163" s="6" t="s">
        <v>171</v>
      </c>
      <c r="B163" s="6">
        <v>4</v>
      </c>
      <c r="C163" s="8">
        <v>0</v>
      </c>
      <c r="D163" s="8">
        <v>0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</row>
    <row r="164" spans="1:10" x14ac:dyDescent="0.2">
      <c r="A164" s="6" t="s">
        <v>172</v>
      </c>
      <c r="B164" s="6">
        <v>4</v>
      </c>
      <c r="C164" s="8">
        <v>0</v>
      </c>
      <c r="D164" s="8">
        <v>0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</row>
    <row r="165" spans="1:10" x14ac:dyDescent="0.2">
      <c r="A165" s="6" t="s">
        <v>173</v>
      </c>
      <c r="B165" s="6">
        <v>4</v>
      </c>
      <c r="C165" s="8">
        <v>0</v>
      </c>
      <c r="D165" s="8">
        <v>0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</row>
    <row r="166" spans="1:10" x14ac:dyDescent="0.2">
      <c r="A166" s="6" t="s">
        <v>174</v>
      </c>
      <c r="B166" s="6">
        <v>4</v>
      </c>
      <c r="C166" s="8">
        <v>80</v>
      </c>
      <c r="D166" s="8">
        <v>21965120</v>
      </c>
      <c r="E166" s="8">
        <v>20</v>
      </c>
      <c r="F166" s="8">
        <v>5492720</v>
      </c>
      <c r="G166" s="8">
        <v>0</v>
      </c>
      <c r="H166" s="8">
        <v>0</v>
      </c>
      <c r="I166" s="8">
        <v>100</v>
      </c>
      <c r="J166" s="8">
        <v>27457840</v>
      </c>
    </row>
    <row r="167" spans="1:10" x14ac:dyDescent="0.2">
      <c r="A167" s="6" t="s">
        <v>175</v>
      </c>
      <c r="B167" s="6">
        <v>4</v>
      </c>
      <c r="C167" s="8">
        <v>0</v>
      </c>
      <c r="D167" s="8">
        <v>0</v>
      </c>
      <c r="E167" s="8">
        <v>25</v>
      </c>
      <c r="F167" s="8">
        <v>3958325</v>
      </c>
      <c r="G167" s="8">
        <v>25</v>
      </c>
      <c r="H167" s="8">
        <v>3958325</v>
      </c>
      <c r="I167" s="8">
        <v>0</v>
      </c>
      <c r="J167" s="8">
        <v>0</v>
      </c>
    </row>
    <row r="168" spans="1:10" x14ac:dyDescent="0.2">
      <c r="A168" s="6" t="s">
        <v>176</v>
      </c>
      <c r="B168" s="6">
        <v>4</v>
      </c>
      <c r="C168" s="8">
        <v>0</v>
      </c>
      <c r="D168" s="8">
        <v>0</v>
      </c>
      <c r="E168" s="8">
        <v>9</v>
      </c>
      <c r="F168" s="8">
        <v>1583334</v>
      </c>
      <c r="G168" s="8">
        <v>9</v>
      </c>
      <c r="H168" s="8">
        <v>1583334</v>
      </c>
      <c r="I168" s="8">
        <v>0</v>
      </c>
      <c r="J168" s="8">
        <v>0</v>
      </c>
    </row>
    <row r="169" spans="1:10" x14ac:dyDescent="0.2">
      <c r="A169" s="6" t="s">
        <v>177</v>
      </c>
      <c r="B169" s="6">
        <v>4</v>
      </c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</row>
    <row r="170" spans="1:10" x14ac:dyDescent="0.2">
      <c r="A170" s="6" t="s">
        <v>178</v>
      </c>
      <c r="B170" s="6">
        <v>4</v>
      </c>
      <c r="C170" s="8">
        <v>0</v>
      </c>
      <c r="D170" s="8">
        <v>0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</row>
    <row r="171" spans="1:10" x14ac:dyDescent="0.2">
      <c r="A171" s="6" t="s">
        <v>179</v>
      </c>
      <c r="B171" s="6">
        <v>4</v>
      </c>
      <c r="C171" s="8">
        <v>15685</v>
      </c>
      <c r="D171" s="8">
        <v>79369098</v>
      </c>
      <c r="E171" s="8">
        <v>12204</v>
      </c>
      <c r="F171" s="8">
        <v>65460000</v>
      </c>
      <c r="G171" s="8">
        <v>8208</v>
      </c>
      <c r="H171" s="8">
        <v>42624592</v>
      </c>
      <c r="I171" s="8">
        <v>19681</v>
      </c>
      <c r="J171" s="8">
        <v>102204506</v>
      </c>
    </row>
    <row r="172" spans="1:10" x14ac:dyDescent="0.2">
      <c r="A172" s="6" t="s">
        <v>180</v>
      </c>
      <c r="B172" s="6">
        <v>4</v>
      </c>
      <c r="C172" s="8">
        <v>0</v>
      </c>
      <c r="D172" s="8">
        <v>0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</row>
    <row r="173" spans="1:10" x14ac:dyDescent="0.2">
      <c r="A173" s="6" t="s">
        <v>181</v>
      </c>
      <c r="B173" s="6">
        <v>4</v>
      </c>
      <c r="C173" s="8">
        <v>1245</v>
      </c>
      <c r="D173" s="8">
        <v>59867124</v>
      </c>
      <c r="E173" s="8">
        <v>450</v>
      </c>
      <c r="F173" s="8">
        <v>21621150</v>
      </c>
      <c r="G173" s="8">
        <v>330</v>
      </c>
      <c r="H173" s="8">
        <v>15864974</v>
      </c>
      <c r="I173" s="8">
        <v>1365</v>
      </c>
      <c r="J173" s="8">
        <v>65623300</v>
      </c>
    </row>
    <row r="174" spans="1:10" x14ac:dyDescent="0.2">
      <c r="A174" s="6" t="s">
        <v>182</v>
      </c>
      <c r="B174" s="6">
        <v>4</v>
      </c>
      <c r="C174" s="8">
        <v>0</v>
      </c>
      <c r="D174" s="8">
        <v>0</v>
      </c>
      <c r="E174" s="8">
        <v>20</v>
      </c>
      <c r="F174" s="8">
        <v>1190400</v>
      </c>
      <c r="G174" s="8">
        <v>0</v>
      </c>
      <c r="H174" s="8">
        <v>0</v>
      </c>
      <c r="I174" s="8">
        <v>20</v>
      </c>
      <c r="J174" s="8">
        <v>1190400</v>
      </c>
    </row>
    <row r="175" spans="1:10" x14ac:dyDescent="0.2">
      <c r="A175" s="6" t="s">
        <v>183</v>
      </c>
      <c r="B175" s="6">
        <v>4</v>
      </c>
      <c r="C175" s="8">
        <v>2590</v>
      </c>
      <c r="D175" s="8">
        <v>140783083</v>
      </c>
      <c r="E175" s="8">
        <v>300</v>
      </c>
      <c r="F175" s="8">
        <v>16320000</v>
      </c>
      <c r="G175" s="8">
        <v>50</v>
      </c>
      <c r="H175" s="8">
        <v>2718046</v>
      </c>
      <c r="I175" s="8">
        <v>2840</v>
      </c>
      <c r="J175" s="8">
        <v>154385037</v>
      </c>
    </row>
    <row r="176" spans="1:10" x14ac:dyDescent="0.2">
      <c r="A176" s="6" t="s">
        <v>184</v>
      </c>
      <c r="B176" s="6">
        <v>4</v>
      </c>
      <c r="C176" s="8">
        <v>2833</v>
      </c>
      <c r="D176" s="8">
        <v>154687392</v>
      </c>
      <c r="E176" s="8">
        <v>300</v>
      </c>
      <c r="F176" s="8">
        <v>16320000</v>
      </c>
      <c r="G176" s="8">
        <v>130</v>
      </c>
      <c r="H176" s="8">
        <v>7095742</v>
      </c>
      <c r="I176" s="8">
        <v>3003</v>
      </c>
      <c r="J176" s="8">
        <v>163911650</v>
      </c>
    </row>
    <row r="177" spans="1:10" x14ac:dyDescent="0.2">
      <c r="A177" s="6" t="s">
        <v>185</v>
      </c>
      <c r="B177" s="6">
        <v>4</v>
      </c>
      <c r="C177" s="8">
        <v>40</v>
      </c>
      <c r="D177" s="8">
        <v>7209360</v>
      </c>
      <c r="E177" s="8">
        <v>135</v>
      </c>
      <c r="F177" s="8">
        <v>24881247</v>
      </c>
      <c r="G177" s="8">
        <v>175</v>
      </c>
      <c r="H177" s="8">
        <v>32090607</v>
      </c>
      <c r="I177" s="8">
        <v>0</v>
      </c>
      <c r="J177" s="8">
        <v>0</v>
      </c>
    </row>
    <row r="178" spans="1:10" x14ac:dyDescent="0.2">
      <c r="A178" s="6" t="s">
        <v>186</v>
      </c>
      <c r="B178" s="6">
        <v>4</v>
      </c>
      <c r="C178" s="8">
        <v>110</v>
      </c>
      <c r="D178" s="8">
        <v>4790552</v>
      </c>
      <c r="E178" s="8">
        <v>4540</v>
      </c>
      <c r="F178" s="8">
        <v>206879168</v>
      </c>
      <c r="G178" s="8">
        <v>4650</v>
      </c>
      <c r="H178" s="8">
        <v>211669720</v>
      </c>
      <c r="I178" s="8">
        <v>0</v>
      </c>
      <c r="J178" s="8">
        <v>0</v>
      </c>
    </row>
    <row r="179" spans="1:10" x14ac:dyDescent="0.2">
      <c r="A179" s="6" t="s">
        <v>187</v>
      </c>
      <c r="B179" s="6">
        <v>4</v>
      </c>
      <c r="C179" s="8">
        <v>1890</v>
      </c>
      <c r="D179" s="8">
        <v>68589094</v>
      </c>
      <c r="E179" s="8">
        <v>0</v>
      </c>
      <c r="F179" s="8">
        <v>0</v>
      </c>
      <c r="G179" s="8">
        <v>1890</v>
      </c>
      <c r="H179" s="8">
        <v>68589094</v>
      </c>
      <c r="I179" s="8">
        <v>0</v>
      </c>
      <c r="J179" s="8">
        <v>0</v>
      </c>
    </row>
    <row r="180" spans="1:10" x14ac:dyDescent="0.2">
      <c r="A180" s="6" t="s">
        <v>188</v>
      </c>
      <c r="B180" s="6">
        <v>4</v>
      </c>
      <c r="C180" s="8">
        <v>4755</v>
      </c>
      <c r="D180" s="8">
        <v>877223600</v>
      </c>
      <c r="E180" s="8">
        <v>1722</v>
      </c>
      <c r="F180" s="8">
        <v>318022000</v>
      </c>
      <c r="G180" s="8">
        <v>2160</v>
      </c>
      <c r="H180" s="8">
        <v>398599737</v>
      </c>
      <c r="I180" s="8">
        <v>4317</v>
      </c>
      <c r="J180" s="8">
        <v>796645863</v>
      </c>
    </row>
    <row r="181" spans="1:10" x14ac:dyDescent="0.2">
      <c r="A181" s="6" t="s">
        <v>189</v>
      </c>
      <c r="B181" s="6">
        <v>4</v>
      </c>
      <c r="C181" s="8">
        <v>0</v>
      </c>
      <c r="D181" s="8">
        <v>0</v>
      </c>
      <c r="E181" s="8">
        <v>105</v>
      </c>
      <c r="F181" s="8">
        <v>4663636</v>
      </c>
      <c r="G181" s="8">
        <v>0</v>
      </c>
      <c r="H181" s="8">
        <v>0</v>
      </c>
      <c r="I181" s="8">
        <v>105</v>
      </c>
      <c r="J181" s="8">
        <v>4663636</v>
      </c>
    </row>
    <row r="182" spans="1:10" x14ac:dyDescent="0.2">
      <c r="A182" s="6" t="s">
        <v>190</v>
      </c>
      <c r="B182" s="6">
        <v>4</v>
      </c>
      <c r="C182" s="8">
        <v>1050</v>
      </c>
      <c r="D182" s="8">
        <v>31325239</v>
      </c>
      <c r="E182" s="8">
        <v>3969</v>
      </c>
      <c r="F182" s="8">
        <v>114912000</v>
      </c>
      <c r="G182" s="8">
        <v>1995</v>
      </c>
      <c r="H182" s="8">
        <v>58127773</v>
      </c>
      <c r="I182" s="8">
        <v>3024</v>
      </c>
      <c r="J182" s="8">
        <v>88109466</v>
      </c>
    </row>
    <row r="183" spans="1:10" x14ac:dyDescent="0.2">
      <c r="A183" s="6" t="s">
        <v>191</v>
      </c>
      <c r="B183" s="6">
        <v>4</v>
      </c>
      <c r="C183" s="8">
        <v>27265</v>
      </c>
      <c r="D183" s="8">
        <v>682067339</v>
      </c>
      <c r="E183" s="8">
        <v>31340</v>
      </c>
      <c r="F183" s="8">
        <v>893889200</v>
      </c>
      <c r="G183" s="8">
        <v>23595</v>
      </c>
      <c r="H183" s="8">
        <v>676887009</v>
      </c>
      <c r="I183" s="8">
        <v>35010</v>
      </c>
      <c r="J183" s="8">
        <v>899069530</v>
      </c>
    </row>
    <row r="184" spans="1:10" x14ac:dyDescent="0.2">
      <c r="A184" s="6" t="s">
        <v>192</v>
      </c>
      <c r="B184" s="6">
        <v>4</v>
      </c>
      <c r="C184" s="8">
        <v>0</v>
      </c>
      <c r="D184" s="8">
        <v>0</v>
      </c>
      <c r="E184" s="8">
        <v>5340</v>
      </c>
      <c r="F184" s="8">
        <v>38760000</v>
      </c>
      <c r="G184" s="8">
        <v>900</v>
      </c>
      <c r="H184" s="8">
        <v>6532584</v>
      </c>
      <c r="I184" s="8">
        <v>4440</v>
      </c>
      <c r="J184" s="8">
        <v>32227416</v>
      </c>
    </row>
    <row r="185" spans="1:10" x14ac:dyDescent="0.2">
      <c r="A185" s="6" t="s">
        <v>193</v>
      </c>
      <c r="B185" s="6">
        <v>4</v>
      </c>
      <c r="C185" s="8">
        <v>35</v>
      </c>
      <c r="D185" s="8">
        <v>7918679</v>
      </c>
      <c r="E185" s="8">
        <v>0</v>
      </c>
      <c r="F185" s="8">
        <v>0</v>
      </c>
      <c r="G185" s="8">
        <v>35</v>
      </c>
      <c r="H185" s="8">
        <v>7918679</v>
      </c>
      <c r="I185" s="8">
        <v>0</v>
      </c>
      <c r="J185" s="8">
        <v>0</v>
      </c>
    </row>
    <row r="186" spans="1:10" x14ac:dyDescent="0.2">
      <c r="A186" s="6" t="s">
        <v>194</v>
      </c>
      <c r="B186" s="6">
        <v>4</v>
      </c>
      <c r="C186" s="8">
        <v>129610</v>
      </c>
      <c r="D186" s="8">
        <v>845790661</v>
      </c>
      <c r="E186" s="8">
        <v>183960</v>
      </c>
      <c r="F186" s="8">
        <v>1331520000</v>
      </c>
      <c r="G186" s="8">
        <v>144600</v>
      </c>
      <c r="H186" s="8">
        <v>1056944500</v>
      </c>
      <c r="I186" s="8">
        <v>168970</v>
      </c>
      <c r="J186" s="8">
        <v>1120366161</v>
      </c>
    </row>
    <row r="187" spans="1:10" x14ac:dyDescent="0.2">
      <c r="A187" s="6" t="s">
        <v>195</v>
      </c>
      <c r="B187" s="6">
        <v>4</v>
      </c>
      <c r="C187" s="8">
        <v>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</row>
    <row r="188" spans="1:10" x14ac:dyDescent="0.2">
      <c r="A188" s="6" t="s">
        <v>196</v>
      </c>
      <c r="B188" s="6">
        <v>4</v>
      </c>
      <c r="C188" s="8">
        <v>280</v>
      </c>
      <c r="D188" s="8">
        <v>46651031</v>
      </c>
      <c r="E188" s="8">
        <v>315</v>
      </c>
      <c r="F188" s="8">
        <v>53010000</v>
      </c>
      <c r="G188" s="8">
        <v>270</v>
      </c>
      <c r="H188" s="8">
        <v>45224333</v>
      </c>
      <c r="I188" s="8">
        <v>325</v>
      </c>
      <c r="J188" s="8">
        <v>54436698</v>
      </c>
    </row>
    <row r="189" spans="1:10" x14ac:dyDescent="0.2">
      <c r="A189" s="6" t="s">
        <v>197</v>
      </c>
      <c r="B189" s="6">
        <v>4</v>
      </c>
      <c r="C189" s="8">
        <v>960</v>
      </c>
      <c r="D189" s="8">
        <v>6863256</v>
      </c>
      <c r="E189" s="8">
        <v>0</v>
      </c>
      <c r="F189" s="8">
        <v>0</v>
      </c>
      <c r="G189" s="8">
        <v>960</v>
      </c>
      <c r="H189" s="8">
        <v>6863256</v>
      </c>
      <c r="I189" s="8">
        <v>0</v>
      </c>
      <c r="J189" s="8">
        <v>0</v>
      </c>
    </row>
    <row r="190" spans="1:10" x14ac:dyDescent="0.2">
      <c r="A190" s="6" t="s">
        <v>198</v>
      </c>
      <c r="B190" s="6">
        <v>4</v>
      </c>
      <c r="C190" s="8">
        <v>0</v>
      </c>
      <c r="D190" s="8">
        <v>0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</row>
    <row r="191" spans="1:10" x14ac:dyDescent="0.2">
      <c r="A191" s="6" t="s">
        <v>199</v>
      </c>
      <c r="B191" s="6">
        <v>4</v>
      </c>
      <c r="C191" s="8">
        <v>77660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77660</v>
      </c>
      <c r="J191" s="8">
        <v>0</v>
      </c>
    </row>
    <row r="192" spans="1:10" x14ac:dyDescent="0.2">
      <c r="A192" s="6" t="s">
        <v>200</v>
      </c>
      <c r="B192" s="6">
        <v>4</v>
      </c>
      <c r="C192" s="8">
        <v>72</v>
      </c>
      <c r="D192" s="8">
        <v>504000</v>
      </c>
      <c r="E192" s="8">
        <v>0</v>
      </c>
      <c r="F192" s="8">
        <v>0</v>
      </c>
      <c r="G192" s="8">
        <v>0</v>
      </c>
      <c r="H192" s="8">
        <v>0</v>
      </c>
      <c r="I192" s="8">
        <v>72</v>
      </c>
      <c r="J192" s="8">
        <v>504000</v>
      </c>
    </row>
    <row r="193" spans="1:10" x14ac:dyDescent="0.2">
      <c r="A193" s="6" t="s">
        <v>201</v>
      </c>
      <c r="B193" s="6">
        <v>4</v>
      </c>
      <c r="C193" s="8">
        <v>840</v>
      </c>
      <c r="D193" s="8">
        <v>12537059</v>
      </c>
      <c r="E193" s="8">
        <v>600</v>
      </c>
      <c r="F193" s="8">
        <v>9000000</v>
      </c>
      <c r="G193" s="8">
        <v>0</v>
      </c>
      <c r="H193" s="8">
        <v>0</v>
      </c>
      <c r="I193" s="8">
        <v>1440</v>
      </c>
      <c r="J193" s="8">
        <v>21537059</v>
      </c>
    </row>
    <row r="194" spans="1:10" x14ac:dyDescent="0.2">
      <c r="A194" s="6" t="s">
        <v>202</v>
      </c>
      <c r="B194" s="6">
        <v>4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</row>
    <row r="195" spans="1:10" x14ac:dyDescent="0.2">
      <c r="A195" s="6" t="s">
        <v>203</v>
      </c>
      <c r="B195" s="6">
        <v>4</v>
      </c>
      <c r="C195" s="8">
        <v>2150</v>
      </c>
      <c r="D195" s="8">
        <v>25234550</v>
      </c>
      <c r="E195" s="8">
        <v>0</v>
      </c>
      <c r="F195" s="8">
        <v>0</v>
      </c>
      <c r="G195" s="8">
        <v>0</v>
      </c>
      <c r="H195" s="8">
        <v>0</v>
      </c>
      <c r="I195" s="8">
        <v>2150</v>
      </c>
      <c r="J195" s="8">
        <v>25234550</v>
      </c>
    </row>
    <row r="196" spans="1:10" x14ac:dyDescent="0.2">
      <c r="A196" s="6" t="s">
        <v>204</v>
      </c>
      <c r="B196" s="6">
        <v>4</v>
      </c>
      <c r="C196" s="8">
        <v>4988</v>
      </c>
      <c r="D196" s="8">
        <v>138144982</v>
      </c>
      <c r="E196" s="8">
        <v>4500</v>
      </c>
      <c r="F196" s="8">
        <v>115236000</v>
      </c>
      <c r="G196" s="8">
        <v>3716</v>
      </c>
      <c r="H196" s="8">
        <v>99237324</v>
      </c>
      <c r="I196" s="8">
        <v>5772</v>
      </c>
      <c r="J196" s="8">
        <v>154143658</v>
      </c>
    </row>
    <row r="197" spans="1:10" x14ac:dyDescent="0.2">
      <c r="A197" s="6" t="s">
        <v>205</v>
      </c>
      <c r="B197" s="6">
        <v>4</v>
      </c>
      <c r="C197" s="8">
        <v>720</v>
      </c>
      <c r="D197" s="8">
        <v>48329280</v>
      </c>
      <c r="E197" s="8">
        <v>1032</v>
      </c>
      <c r="F197" s="8">
        <v>64439040</v>
      </c>
      <c r="G197" s="8">
        <v>360</v>
      </c>
      <c r="H197" s="8">
        <v>23171573</v>
      </c>
      <c r="I197" s="8">
        <v>1392</v>
      </c>
      <c r="J197" s="8">
        <v>89596747</v>
      </c>
    </row>
    <row r="198" spans="1:10" x14ac:dyDescent="0.2">
      <c r="A198" s="6" t="s">
        <v>206</v>
      </c>
      <c r="B198" s="6">
        <v>4</v>
      </c>
      <c r="C198" s="8">
        <v>354</v>
      </c>
      <c r="D198" s="8">
        <v>9943100</v>
      </c>
      <c r="E198" s="8">
        <v>240</v>
      </c>
      <c r="F198" s="8">
        <v>7887264</v>
      </c>
      <c r="G198" s="8">
        <v>40</v>
      </c>
      <c r="H198" s="8">
        <v>1200698</v>
      </c>
      <c r="I198" s="8">
        <v>554</v>
      </c>
      <c r="J198" s="8">
        <v>16629666</v>
      </c>
    </row>
    <row r="199" spans="1:10" x14ac:dyDescent="0.2">
      <c r="A199" s="6" t="s">
        <v>207</v>
      </c>
      <c r="B199" s="6">
        <v>4</v>
      </c>
      <c r="C199" s="8">
        <v>0</v>
      </c>
      <c r="D199" s="8">
        <v>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</row>
    <row r="200" spans="1:10" x14ac:dyDescent="0.2">
      <c r="A200" s="6" t="s">
        <v>208</v>
      </c>
      <c r="B200" s="6">
        <v>4</v>
      </c>
      <c r="C200" s="8">
        <v>288</v>
      </c>
      <c r="D200" s="8">
        <v>0</v>
      </c>
      <c r="E200" s="8">
        <v>2160</v>
      </c>
      <c r="F200" s="8">
        <v>22628160</v>
      </c>
      <c r="G200" s="8">
        <v>499</v>
      </c>
      <c r="H200" s="8">
        <v>4612521</v>
      </c>
      <c r="I200" s="8">
        <v>1949</v>
      </c>
      <c r="J200" s="8">
        <v>18015639</v>
      </c>
    </row>
    <row r="201" spans="1:10" x14ac:dyDescent="0.2">
      <c r="A201" s="6" t="s">
        <v>209</v>
      </c>
      <c r="B201" s="6">
        <v>4</v>
      </c>
      <c r="C201" s="8">
        <v>0</v>
      </c>
      <c r="D201" s="8">
        <v>0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</row>
    <row r="202" spans="1:10" x14ac:dyDescent="0.2">
      <c r="A202" s="6" t="s">
        <v>210</v>
      </c>
      <c r="B202" s="6">
        <v>4</v>
      </c>
      <c r="C202" s="8">
        <v>279</v>
      </c>
      <c r="D202" s="8">
        <v>3090028</v>
      </c>
      <c r="E202" s="8">
        <v>351</v>
      </c>
      <c r="F202" s="8">
        <v>3896280</v>
      </c>
      <c r="G202" s="8">
        <v>5</v>
      </c>
      <c r="H202" s="8">
        <v>55447</v>
      </c>
      <c r="I202" s="8">
        <v>625</v>
      </c>
      <c r="J202" s="8">
        <v>6930861</v>
      </c>
    </row>
    <row r="203" spans="1:10" x14ac:dyDescent="0.2">
      <c r="A203" s="6" t="s">
        <v>211</v>
      </c>
      <c r="B203" s="6">
        <v>4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</row>
    <row r="204" spans="1:10" x14ac:dyDescent="0.2">
      <c r="A204" s="6" t="s">
        <v>212</v>
      </c>
      <c r="B204" s="6">
        <v>4</v>
      </c>
      <c r="C204" s="8">
        <v>5423</v>
      </c>
      <c r="D204" s="8">
        <v>67331834</v>
      </c>
      <c r="E204" s="8">
        <v>12240</v>
      </c>
      <c r="F204" s="8">
        <v>151971840</v>
      </c>
      <c r="G204" s="8">
        <v>0</v>
      </c>
      <c r="H204" s="8">
        <v>0</v>
      </c>
      <c r="I204" s="8">
        <v>17663</v>
      </c>
      <c r="J204" s="8">
        <v>219303674</v>
      </c>
    </row>
    <row r="205" spans="1:10" x14ac:dyDescent="0.2">
      <c r="A205" s="6" t="s">
        <v>213</v>
      </c>
      <c r="B205" s="6">
        <v>4</v>
      </c>
      <c r="C205" s="8">
        <v>2160</v>
      </c>
      <c r="D205" s="8">
        <v>45884880</v>
      </c>
      <c r="E205" s="8">
        <v>0</v>
      </c>
      <c r="F205" s="8">
        <v>0</v>
      </c>
      <c r="G205" s="8">
        <v>0</v>
      </c>
      <c r="H205" s="8">
        <v>0</v>
      </c>
      <c r="I205" s="8">
        <v>2160</v>
      </c>
      <c r="J205" s="8">
        <v>45884880</v>
      </c>
    </row>
    <row r="206" spans="1:10" x14ac:dyDescent="0.2">
      <c r="A206" s="6" t="s">
        <v>214</v>
      </c>
      <c r="B206" s="6">
        <v>4</v>
      </c>
      <c r="C206" s="8">
        <v>3939</v>
      </c>
      <c r="D206" s="8">
        <v>86047657</v>
      </c>
      <c r="E206" s="8">
        <v>7596</v>
      </c>
      <c r="F206" s="8">
        <v>177393600</v>
      </c>
      <c r="G206" s="8">
        <v>1392</v>
      </c>
      <c r="H206" s="8">
        <v>31791091</v>
      </c>
      <c r="I206" s="8">
        <v>10143</v>
      </c>
      <c r="J206" s="8">
        <v>231650166</v>
      </c>
    </row>
    <row r="207" spans="1:10" x14ac:dyDescent="0.2">
      <c r="A207" s="6" t="s">
        <v>215</v>
      </c>
      <c r="B207" s="6">
        <v>4</v>
      </c>
      <c r="C207" s="8">
        <v>1168</v>
      </c>
      <c r="D207" s="8">
        <v>49850240</v>
      </c>
      <c r="E207" s="8">
        <v>240</v>
      </c>
      <c r="F207" s="8">
        <v>10243200</v>
      </c>
      <c r="G207" s="8">
        <v>0</v>
      </c>
      <c r="H207" s="8">
        <v>0</v>
      </c>
      <c r="I207" s="8">
        <v>1408</v>
      </c>
      <c r="J207" s="8">
        <v>60093440</v>
      </c>
    </row>
    <row r="208" spans="1:10" x14ac:dyDescent="0.2">
      <c r="A208" s="6" t="s">
        <v>216</v>
      </c>
      <c r="B208" s="6">
        <v>4</v>
      </c>
      <c r="C208" s="8">
        <v>0</v>
      </c>
      <c r="D208" s="8">
        <v>0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</row>
    <row r="209" spans="1:10" x14ac:dyDescent="0.2">
      <c r="A209" s="6" t="s">
        <v>217</v>
      </c>
      <c r="B209" s="6">
        <v>4</v>
      </c>
      <c r="C209" s="8">
        <v>10</v>
      </c>
      <c r="D209" s="8">
        <v>1775003</v>
      </c>
      <c r="E209" s="8">
        <v>0</v>
      </c>
      <c r="F209" s="8">
        <v>0</v>
      </c>
      <c r="G209" s="8">
        <v>0</v>
      </c>
      <c r="H209" s="8">
        <v>0</v>
      </c>
      <c r="I209" s="8">
        <v>10</v>
      </c>
      <c r="J209" s="8">
        <v>1775003</v>
      </c>
    </row>
    <row r="210" spans="1:10" x14ac:dyDescent="0.2">
      <c r="A210" s="6" t="s">
        <v>218</v>
      </c>
      <c r="B210" s="6">
        <v>4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</row>
    <row r="211" spans="1:10" x14ac:dyDescent="0.2">
      <c r="A211" s="6" t="s">
        <v>219</v>
      </c>
      <c r="B211" s="6">
        <v>4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</row>
    <row r="212" spans="1:10" x14ac:dyDescent="0.2">
      <c r="A212" s="6" t="s">
        <v>220</v>
      </c>
      <c r="B212" s="6">
        <v>4</v>
      </c>
      <c r="C212" s="8">
        <v>0</v>
      </c>
      <c r="D212" s="8">
        <v>0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</row>
    <row r="213" spans="1:10" x14ac:dyDescent="0.2">
      <c r="A213" s="6" t="s">
        <v>221</v>
      </c>
      <c r="B213" s="6">
        <v>4</v>
      </c>
      <c r="C213" s="8">
        <v>4286</v>
      </c>
      <c r="D213" s="8">
        <v>84570013</v>
      </c>
      <c r="E213" s="8">
        <v>108</v>
      </c>
      <c r="F213" s="8">
        <v>0</v>
      </c>
      <c r="G213" s="8">
        <v>290</v>
      </c>
      <c r="H213" s="8">
        <v>5581544</v>
      </c>
      <c r="I213" s="8">
        <v>4104</v>
      </c>
      <c r="J213" s="8">
        <v>78988469</v>
      </c>
    </row>
    <row r="214" spans="1:10" x14ac:dyDescent="0.2">
      <c r="A214" s="6" t="s">
        <v>222</v>
      </c>
      <c r="B214" s="6">
        <v>4</v>
      </c>
      <c r="C214" s="8">
        <v>601</v>
      </c>
      <c r="D214" s="8">
        <v>11155698</v>
      </c>
      <c r="E214" s="8">
        <v>0</v>
      </c>
      <c r="F214" s="8">
        <v>0</v>
      </c>
      <c r="G214" s="8">
        <v>0</v>
      </c>
      <c r="H214" s="8">
        <v>0</v>
      </c>
      <c r="I214" s="8">
        <v>601</v>
      </c>
      <c r="J214" s="8">
        <v>11155698</v>
      </c>
    </row>
    <row r="215" spans="1:10" x14ac:dyDescent="0.2">
      <c r="A215" s="6" t="s">
        <v>223</v>
      </c>
      <c r="B215" s="6">
        <v>4</v>
      </c>
      <c r="C215" s="8">
        <v>865</v>
      </c>
      <c r="D215" s="8">
        <v>37407424</v>
      </c>
      <c r="E215" s="8">
        <v>0</v>
      </c>
      <c r="F215" s="8">
        <v>0</v>
      </c>
      <c r="G215" s="8">
        <v>0</v>
      </c>
      <c r="H215" s="8">
        <v>0</v>
      </c>
      <c r="I215" s="8">
        <v>865</v>
      </c>
      <c r="J215" s="8">
        <v>37407424</v>
      </c>
    </row>
    <row r="216" spans="1:10" x14ac:dyDescent="0.2">
      <c r="A216" s="6" t="s">
        <v>224</v>
      </c>
      <c r="B216" s="6">
        <v>4</v>
      </c>
      <c r="C216" s="8">
        <v>336</v>
      </c>
      <c r="D216" s="8">
        <v>6713952</v>
      </c>
      <c r="E216" s="8">
        <v>0</v>
      </c>
      <c r="F216" s="8">
        <v>0</v>
      </c>
      <c r="G216" s="8">
        <v>0</v>
      </c>
      <c r="H216" s="8">
        <v>0</v>
      </c>
      <c r="I216" s="8">
        <v>336</v>
      </c>
      <c r="J216" s="8">
        <v>6713952</v>
      </c>
    </row>
    <row r="217" spans="1:10" x14ac:dyDescent="0.2">
      <c r="A217" s="6" t="s">
        <v>225</v>
      </c>
      <c r="B217" s="6">
        <v>4</v>
      </c>
      <c r="C217" s="8">
        <v>0</v>
      </c>
      <c r="D217" s="8">
        <v>0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</row>
    <row r="218" spans="1:10" x14ac:dyDescent="0.2">
      <c r="A218" s="6" t="s">
        <v>226</v>
      </c>
      <c r="B218" s="6">
        <v>4</v>
      </c>
      <c r="C218" s="8">
        <v>0</v>
      </c>
      <c r="D218" s="8">
        <v>0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</row>
    <row r="219" spans="1:10" x14ac:dyDescent="0.2">
      <c r="A219" s="6" t="s">
        <v>227</v>
      </c>
      <c r="B219" s="6">
        <v>4</v>
      </c>
      <c r="C219" s="8">
        <v>75</v>
      </c>
      <c r="D219" s="8">
        <v>0</v>
      </c>
      <c r="E219" s="8">
        <v>416</v>
      </c>
      <c r="F219" s="8">
        <v>0</v>
      </c>
      <c r="G219" s="8">
        <v>0</v>
      </c>
      <c r="H219" s="8">
        <v>0</v>
      </c>
      <c r="I219" s="8">
        <v>491</v>
      </c>
      <c r="J219" s="8">
        <v>0</v>
      </c>
    </row>
    <row r="220" spans="1:10" x14ac:dyDescent="0.2">
      <c r="A220" s="6" t="s">
        <v>228</v>
      </c>
      <c r="B220" s="6">
        <v>4</v>
      </c>
      <c r="C220" s="8">
        <v>1152</v>
      </c>
      <c r="D220" s="8">
        <v>102389154</v>
      </c>
      <c r="E220" s="8">
        <v>23</v>
      </c>
      <c r="F220" s="8">
        <v>1756160</v>
      </c>
      <c r="G220" s="8">
        <v>20</v>
      </c>
      <c r="H220" s="8">
        <v>1772686</v>
      </c>
      <c r="I220" s="8">
        <v>1155</v>
      </c>
      <c r="J220" s="8">
        <v>102372628</v>
      </c>
    </row>
    <row r="221" spans="1:10" x14ac:dyDescent="0.2">
      <c r="A221" s="6" t="s">
        <v>229</v>
      </c>
      <c r="B221" s="6">
        <v>4</v>
      </c>
      <c r="C221" s="8">
        <v>1443</v>
      </c>
      <c r="D221" s="8">
        <v>133856758</v>
      </c>
      <c r="E221" s="8">
        <v>500</v>
      </c>
      <c r="F221" s="8">
        <v>43148028</v>
      </c>
      <c r="G221" s="8">
        <v>392</v>
      </c>
      <c r="H221" s="8">
        <v>35710693</v>
      </c>
      <c r="I221" s="8">
        <v>1551</v>
      </c>
      <c r="J221" s="8">
        <v>141294093</v>
      </c>
    </row>
    <row r="222" spans="1:10" x14ac:dyDescent="0.2">
      <c r="A222" s="6" t="s">
        <v>230</v>
      </c>
      <c r="B222" s="6">
        <v>4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</row>
    <row r="223" spans="1:10" x14ac:dyDescent="0.2">
      <c r="A223" s="6" t="s">
        <v>231</v>
      </c>
      <c r="B223" s="6">
        <v>4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</row>
    <row r="224" spans="1:10" x14ac:dyDescent="0.2">
      <c r="A224" s="6" t="s">
        <v>232</v>
      </c>
      <c r="B224" s="6">
        <v>4</v>
      </c>
      <c r="C224" s="8">
        <v>2474</v>
      </c>
      <c r="D224" s="8">
        <v>156068107</v>
      </c>
      <c r="E224" s="8">
        <v>565</v>
      </c>
      <c r="F224" s="8">
        <v>33029724</v>
      </c>
      <c r="G224" s="8">
        <v>844</v>
      </c>
      <c r="H224" s="8">
        <v>52516805</v>
      </c>
      <c r="I224" s="8">
        <v>2195</v>
      </c>
      <c r="J224" s="8">
        <v>136581026</v>
      </c>
    </row>
    <row r="225" spans="1:10" x14ac:dyDescent="0.2">
      <c r="A225" s="6" t="s">
        <v>233</v>
      </c>
      <c r="B225" s="6">
        <v>4</v>
      </c>
      <c r="C225" s="8">
        <v>7296</v>
      </c>
      <c r="D225" s="8">
        <v>452952117</v>
      </c>
      <c r="E225" s="8">
        <v>2633</v>
      </c>
      <c r="F225" s="8">
        <v>150528000</v>
      </c>
      <c r="G225" s="8">
        <v>3900</v>
      </c>
      <c r="H225" s="8">
        <v>237040231</v>
      </c>
      <c r="I225" s="8">
        <v>6029</v>
      </c>
      <c r="J225" s="8">
        <v>366439886</v>
      </c>
    </row>
    <row r="226" spans="1:10" x14ac:dyDescent="0.2">
      <c r="A226" s="6" t="s">
        <v>234</v>
      </c>
      <c r="B226" s="6">
        <v>4</v>
      </c>
      <c r="C226" s="8">
        <v>23587</v>
      </c>
      <c r="D226" s="8">
        <v>1355182570</v>
      </c>
      <c r="E226" s="8">
        <v>13814</v>
      </c>
      <c r="F226" s="8">
        <v>752231928</v>
      </c>
      <c r="G226" s="8">
        <v>22081</v>
      </c>
      <c r="H226" s="8">
        <v>1244186507</v>
      </c>
      <c r="I226" s="8">
        <v>15320</v>
      </c>
      <c r="J226" s="8">
        <v>863227991</v>
      </c>
    </row>
    <row r="227" spans="1:10" x14ac:dyDescent="0.2">
      <c r="A227" s="6" t="s">
        <v>235</v>
      </c>
      <c r="B227" s="6">
        <v>4</v>
      </c>
      <c r="C227" s="8">
        <v>1668</v>
      </c>
      <c r="D227" s="8">
        <v>115101369</v>
      </c>
      <c r="E227" s="8">
        <v>120</v>
      </c>
      <c r="F227" s="8">
        <v>8467200</v>
      </c>
      <c r="G227" s="8">
        <v>48</v>
      </c>
      <c r="H227" s="8">
        <v>3317277</v>
      </c>
      <c r="I227" s="8">
        <v>1740</v>
      </c>
      <c r="J227" s="8">
        <v>120251292</v>
      </c>
    </row>
    <row r="228" spans="1:10" x14ac:dyDescent="0.2">
      <c r="A228" s="6" t="s">
        <v>236</v>
      </c>
      <c r="B228" s="6">
        <v>4</v>
      </c>
      <c r="C228" s="8">
        <v>0</v>
      </c>
      <c r="D228" s="8">
        <v>0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</row>
    <row r="229" spans="1:10" x14ac:dyDescent="0.2">
      <c r="A229" s="6" t="s">
        <v>237</v>
      </c>
      <c r="B229" s="6">
        <v>4</v>
      </c>
      <c r="C229" s="8">
        <v>276</v>
      </c>
      <c r="D229" s="8">
        <v>2253020</v>
      </c>
      <c r="E229" s="8">
        <v>0</v>
      </c>
      <c r="F229" s="8">
        <v>0</v>
      </c>
      <c r="G229" s="8">
        <v>0</v>
      </c>
      <c r="H229" s="8">
        <v>0</v>
      </c>
      <c r="I229" s="8">
        <v>276</v>
      </c>
      <c r="J229" s="8">
        <v>2253020</v>
      </c>
    </row>
    <row r="230" spans="1:10" x14ac:dyDescent="0.2">
      <c r="A230" s="6" t="s">
        <v>238</v>
      </c>
      <c r="B230" s="6">
        <v>4</v>
      </c>
      <c r="C230" s="8">
        <v>333</v>
      </c>
      <c r="D230" s="8">
        <v>19129531</v>
      </c>
      <c r="E230" s="8">
        <v>574</v>
      </c>
      <c r="F230" s="8">
        <v>33687491</v>
      </c>
      <c r="G230" s="8">
        <v>15</v>
      </c>
      <c r="H230" s="8">
        <v>873490</v>
      </c>
      <c r="I230" s="8">
        <v>892</v>
      </c>
      <c r="J230" s="8">
        <v>51943532</v>
      </c>
    </row>
    <row r="231" spans="1:10" x14ac:dyDescent="0.2">
      <c r="A231" s="6" t="s">
        <v>239</v>
      </c>
      <c r="B231" s="6">
        <v>4</v>
      </c>
      <c r="C231" s="8">
        <v>0</v>
      </c>
      <c r="D231" s="8">
        <v>0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</row>
    <row r="232" spans="1:10" x14ac:dyDescent="0.2">
      <c r="A232" s="6" t="s">
        <v>240</v>
      </c>
      <c r="B232" s="6">
        <v>4</v>
      </c>
      <c r="C232" s="8">
        <v>3099</v>
      </c>
      <c r="D232" s="8">
        <v>292246517</v>
      </c>
      <c r="E232" s="8">
        <v>1540</v>
      </c>
      <c r="F232" s="8">
        <v>143977680</v>
      </c>
      <c r="G232" s="8">
        <v>1036</v>
      </c>
      <c r="H232" s="8">
        <v>97419329</v>
      </c>
      <c r="I232" s="8">
        <v>3603</v>
      </c>
      <c r="J232" s="8">
        <v>338804868</v>
      </c>
    </row>
    <row r="233" spans="1:10" x14ac:dyDescent="0.2">
      <c r="A233" s="6" t="s">
        <v>241</v>
      </c>
      <c r="B233" s="6">
        <v>4</v>
      </c>
      <c r="C233" s="8">
        <v>166</v>
      </c>
      <c r="D233" s="8">
        <v>13772959</v>
      </c>
      <c r="E233" s="8">
        <v>1626</v>
      </c>
      <c r="F233" s="8">
        <v>133466533</v>
      </c>
      <c r="G233" s="8">
        <v>0</v>
      </c>
      <c r="H233" s="8">
        <v>0</v>
      </c>
      <c r="I233" s="8">
        <v>1792</v>
      </c>
      <c r="J233" s="8">
        <v>147239492</v>
      </c>
    </row>
    <row r="234" spans="1:10" x14ac:dyDescent="0.2">
      <c r="A234" s="6" t="s">
        <v>242</v>
      </c>
      <c r="B234" s="6">
        <v>4</v>
      </c>
      <c r="C234" s="8">
        <v>2061</v>
      </c>
      <c r="D234" s="8">
        <v>141258808</v>
      </c>
      <c r="E234" s="8">
        <v>21</v>
      </c>
      <c r="F234" s="8">
        <v>1518804</v>
      </c>
      <c r="G234" s="8">
        <v>0</v>
      </c>
      <c r="H234" s="8">
        <v>0</v>
      </c>
      <c r="I234" s="8">
        <v>2082</v>
      </c>
      <c r="J234" s="8">
        <v>142777612</v>
      </c>
    </row>
    <row r="235" spans="1:10" x14ac:dyDescent="0.2">
      <c r="A235" s="6" t="s">
        <v>243</v>
      </c>
      <c r="B235" s="6">
        <v>4</v>
      </c>
      <c r="C235" s="8">
        <v>994</v>
      </c>
      <c r="D235" s="8">
        <v>93994610</v>
      </c>
      <c r="E235" s="8">
        <v>196</v>
      </c>
      <c r="F235" s="8">
        <v>17651466</v>
      </c>
      <c r="G235" s="8">
        <v>0</v>
      </c>
      <c r="H235" s="8">
        <v>0</v>
      </c>
      <c r="I235" s="8">
        <v>1190</v>
      </c>
      <c r="J235" s="8">
        <v>111646076</v>
      </c>
    </row>
    <row r="236" spans="1:10" x14ac:dyDescent="0.2">
      <c r="A236" s="6" t="s">
        <v>244</v>
      </c>
      <c r="B236" s="6">
        <v>4</v>
      </c>
      <c r="C236" s="8">
        <v>0</v>
      </c>
      <c r="D236" s="8">
        <v>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</row>
    <row r="237" spans="1:10" x14ac:dyDescent="0.2">
      <c r="A237" s="6" t="s">
        <v>245</v>
      </c>
      <c r="B237" s="6">
        <v>4</v>
      </c>
      <c r="C237" s="8">
        <v>0</v>
      </c>
      <c r="D237" s="8">
        <v>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</row>
    <row r="238" spans="1:10" x14ac:dyDescent="0.2">
      <c r="A238" s="6" t="s">
        <v>246</v>
      </c>
      <c r="B238" s="6">
        <v>4</v>
      </c>
      <c r="C238" s="8">
        <v>672</v>
      </c>
      <c r="D238" s="8">
        <v>4789707</v>
      </c>
      <c r="E238" s="8">
        <v>912</v>
      </c>
      <c r="F238" s="8">
        <v>6500317</v>
      </c>
      <c r="G238" s="8">
        <v>0</v>
      </c>
      <c r="H238" s="8">
        <v>0</v>
      </c>
      <c r="I238" s="8">
        <v>1584</v>
      </c>
      <c r="J238" s="8">
        <v>11290024</v>
      </c>
    </row>
    <row r="239" spans="1:10" x14ac:dyDescent="0.2">
      <c r="A239" s="6" t="s">
        <v>247</v>
      </c>
      <c r="B239" s="6">
        <v>4</v>
      </c>
      <c r="C239" s="8">
        <v>12771</v>
      </c>
      <c r="D239" s="8">
        <v>86777705</v>
      </c>
      <c r="E239" s="8">
        <v>7192</v>
      </c>
      <c r="F239" s="8">
        <v>47897069</v>
      </c>
      <c r="G239" s="8">
        <v>216</v>
      </c>
      <c r="H239" s="8">
        <v>1457183</v>
      </c>
      <c r="I239" s="8">
        <v>19747</v>
      </c>
      <c r="J239" s="8">
        <v>133217591</v>
      </c>
    </row>
    <row r="240" spans="1:10" x14ac:dyDescent="0.2">
      <c r="A240" s="6" t="s">
        <v>248</v>
      </c>
      <c r="B240" s="6">
        <v>4</v>
      </c>
      <c r="C240" s="8">
        <v>0</v>
      </c>
      <c r="D240" s="8">
        <v>0</v>
      </c>
      <c r="E240" s="8">
        <v>48</v>
      </c>
      <c r="F240" s="8">
        <v>342122</v>
      </c>
      <c r="G240" s="8">
        <v>0</v>
      </c>
      <c r="H240" s="8">
        <v>0</v>
      </c>
      <c r="I240" s="8">
        <v>48</v>
      </c>
      <c r="J240" s="8">
        <v>342122</v>
      </c>
    </row>
    <row r="241" spans="1:10" x14ac:dyDescent="0.2">
      <c r="A241" s="6" t="s">
        <v>249</v>
      </c>
      <c r="B241" s="6">
        <v>4</v>
      </c>
      <c r="C241" s="8">
        <v>96</v>
      </c>
      <c r="D241" s="8">
        <v>684244</v>
      </c>
      <c r="E241" s="8">
        <v>192</v>
      </c>
      <c r="F241" s="8">
        <v>1368488</v>
      </c>
      <c r="G241" s="8">
        <v>0</v>
      </c>
      <c r="H241" s="8">
        <v>0</v>
      </c>
      <c r="I241" s="8">
        <v>288</v>
      </c>
      <c r="J241" s="8">
        <v>2052732</v>
      </c>
    </row>
    <row r="242" spans="1:10" x14ac:dyDescent="0.2">
      <c r="A242" s="6" t="s">
        <v>250</v>
      </c>
      <c r="B242" s="6">
        <v>4</v>
      </c>
      <c r="C242" s="8">
        <v>2617</v>
      </c>
      <c r="D242" s="8">
        <v>72995435</v>
      </c>
      <c r="E242" s="8">
        <v>1056</v>
      </c>
      <c r="F242" s="8">
        <v>7526682</v>
      </c>
      <c r="G242" s="8">
        <v>23</v>
      </c>
      <c r="H242" s="8">
        <v>504222</v>
      </c>
      <c r="I242" s="8">
        <v>3650</v>
      </c>
      <c r="J242" s="8">
        <v>80017895</v>
      </c>
    </row>
    <row r="243" spans="1:10" x14ac:dyDescent="0.2">
      <c r="A243" s="6" t="s">
        <v>251</v>
      </c>
      <c r="B243" s="6">
        <v>4</v>
      </c>
      <c r="C243" s="8">
        <v>0</v>
      </c>
      <c r="D243" s="8">
        <v>0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</row>
    <row r="244" spans="1:10" x14ac:dyDescent="0.2">
      <c r="A244" s="6" t="s">
        <v>252</v>
      </c>
      <c r="B244" s="6">
        <v>4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</row>
    <row r="245" spans="1:10" x14ac:dyDescent="0.2">
      <c r="A245" s="6" t="s">
        <v>253</v>
      </c>
      <c r="B245" s="6">
        <v>4</v>
      </c>
      <c r="C245" s="8">
        <v>0</v>
      </c>
      <c r="D245" s="8">
        <v>0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</row>
    <row r="246" spans="1:10" x14ac:dyDescent="0.2">
      <c r="A246" s="6" t="s">
        <v>254</v>
      </c>
      <c r="B246" s="6">
        <v>4</v>
      </c>
      <c r="C246" s="8">
        <v>197</v>
      </c>
      <c r="D246" s="8">
        <v>6590115</v>
      </c>
      <c r="E246" s="8">
        <v>146</v>
      </c>
      <c r="F246" s="8">
        <v>4954720</v>
      </c>
      <c r="G246" s="8">
        <v>200</v>
      </c>
      <c r="H246" s="8">
        <v>6731682</v>
      </c>
      <c r="I246" s="8">
        <v>143</v>
      </c>
      <c r="J246" s="8">
        <v>4813153</v>
      </c>
    </row>
    <row r="247" spans="1:10" x14ac:dyDescent="0.2">
      <c r="A247" s="6" t="s">
        <v>255</v>
      </c>
      <c r="B247" s="6">
        <v>4</v>
      </c>
      <c r="C247" s="8">
        <v>0</v>
      </c>
      <c r="D247" s="8">
        <v>0</v>
      </c>
      <c r="E247" s="8">
        <v>2</v>
      </c>
      <c r="F247" s="8">
        <v>388972</v>
      </c>
      <c r="G247" s="8">
        <v>0</v>
      </c>
      <c r="H247" s="8">
        <v>0</v>
      </c>
      <c r="I247" s="8">
        <v>2</v>
      </c>
      <c r="J247" s="8">
        <v>388972</v>
      </c>
    </row>
    <row r="248" spans="1:10" x14ac:dyDescent="0.2">
      <c r="A248" s="6" t="s">
        <v>256</v>
      </c>
      <c r="B248" s="6">
        <v>4</v>
      </c>
      <c r="C248" s="8">
        <v>128</v>
      </c>
      <c r="D248" s="8">
        <v>3566032</v>
      </c>
      <c r="E248" s="8">
        <v>0</v>
      </c>
      <c r="F248" s="8">
        <v>0</v>
      </c>
      <c r="G248" s="8">
        <v>93</v>
      </c>
      <c r="H248" s="8">
        <v>2590945</v>
      </c>
      <c r="I248" s="8">
        <v>35</v>
      </c>
      <c r="J248" s="8">
        <v>975087</v>
      </c>
    </row>
    <row r="249" spans="1:10" x14ac:dyDescent="0.2">
      <c r="A249" s="6" t="s">
        <v>257</v>
      </c>
      <c r="B249" s="6">
        <v>4</v>
      </c>
      <c r="C249" s="8">
        <v>0</v>
      </c>
      <c r="D249" s="8">
        <v>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</row>
    <row r="250" spans="1:10" x14ac:dyDescent="0.2">
      <c r="A250" s="6" t="s">
        <v>258</v>
      </c>
      <c r="B250" s="6">
        <v>4</v>
      </c>
      <c r="C250" s="8">
        <v>1250</v>
      </c>
      <c r="D250" s="8">
        <v>4795257</v>
      </c>
      <c r="E250" s="8">
        <v>250</v>
      </c>
      <c r="F250" s="8">
        <v>3804864</v>
      </c>
      <c r="G250" s="8">
        <v>185</v>
      </c>
      <c r="H250" s="8">
        <v>2798049</v>
      </c>
      <c r="I250" s="8">
        <v>1315</v>
      </c>
      <c r="J250" s="8">
        <v>5802072</v>
      </c>
    </row>
    <row r="251" spans="1:10" x14ac:dyDescent="0.2">
      <c r="A251" s="6" t="s">
        <v>259</v>
      </c>
      <c r="B251" s="6">
        <v>4</v>
      </c>
      <c r="C251" s="8">
        <v>110</v>
      </c>
      <c r="D251" s="8">
        <v>2420810</v>
      </c>
      <c r="E251" s="8">
        <v>0</v>
      </c>
      <c r="F251" s="8">
        <v>0</v>
      </c>
      <c r="G251" s="8">
        <v>0</v>
      </c>
      <c r="H251" s="8">
        <v>0</v>
      </c>
      <c r="I251" s="8">
        <v>110</v>
      </c>
      <c r="J251" s="8">
        <v>2420810</v>
      </c>
    </row>
    <row r="252" spans="1:10" x14ac:dyDescent="0.2">
      <c r="A252" s="6" t="s">
        <v>260</v>
      </c>
      <c r="B252" s="6">
        <v>4</v>
      </c>
      <c r="C252" s="8">
        <v>2</v>
      </c>
      <c r="D252" s="8">
        <v>109792</v>
      </c>
      <c r="E252" s="8">
        <v>0</v>
      </c>
      <c r="F252" s="8">
        <v>0</v>
      </c>
      <c r="G252" s="8">
        <v>0</v>
      </c>
      <c r="H252" s="8">
        <v>0</v>
      </c>
      <c r="I252" s="8">
        <v>2</v>
      </c>
      <c r="J252" s="8">
        <v>109792</v>
      </c>
    </row>
    <row r="253" spans="1:10" x14ac:dyDescent="0.2">
      <c r="A253" s="6" t="s">
        <v>261</v>
      </c>
      <c r="B253" s="6">
        <v>4</v>
      </c>
      <c r="C253" s="8">
        <v>0</v>
      </c>
      <c r="D253" s="8">
        <v>0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</row>
    <row r="254" spans="1:10" x14ac:dyDescent="0.2">
      <c r="A254" s="6" t="s">
        <v>262</v>
      </c>
      <c r="B254" s="6">
        <v>4</v>
      </c>
      <c r="C254" s="8">
        <v>0</v>
      </c>
      <c r="D254" s="8">
        <v>0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</row>
    <row r="255" spans="1:10" x14ac:dyDescent="0.2">
      <c r="A255" s="6" t="s">
        <v>263</v>
      </c>
      <c r="B255" s="6">
        <v>4</v>
      </c>
      <c r="C255" s="8">
        <v>0</v>
      </c>
      <c r="D255" s="8">
        <v>0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</row>
    <row r="256" spans="1:10" x14ac:dyDescent="0.2">
      <c r="A256" s="6" t="s">
        <v>264</v>
      </c>
      <c r="B256" s="6">
        <v>4</v>
      </c>
      <c r="C256" s="8">
        <v>0</v>
      </c>
      <c r="D256" s="8">
        <v>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</row>
    <row r="257" spans="1:10" x14ac:dyDescent="0.2">
      <c r="A257" s="6" t="s">
        <v>265</v>
      </c>
      <c r="B257" s="6">
        <v>4</v>
      </c>
      <c r="C257" s="8">
        <v>0</v>
      </c>
      <c r="D257" s="8">
        <v>0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</row>
    <row r="258" spans="1:10" x14ac:dyDescent="0.2">
      <c r="A258" s="6" t="s">
        <v>266</v>
      </c>
      <c r="B258" s="6">
        <v>4</v>
      </c>
      <c r="C258" s="8">
        <v>0</v>
      </c>
      <c r="D258" s="8">
        <v>0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</row>
    <row r="259" spans="1:10" x14ac:dyDescent="0.2">
      <c r="A259" s="6" t="s">
        <v>267</v>
      </c>
      <c r="B259" s="6">
        <v>4</v>
      </c>
      <c r="C259" s="8">
        <v>1</v>
      </c>
      <c r="D259" s="8">
        <v>39000</v>
      </c>
      <c r="E259" s="8">
        <v>0</v>
      </c>
      <c r="F259" s="8">
        <v>0</v>
      </c>
      <c r="G259" s="8">
        <v>0</v>
      </c>
      <c r="H259" s="8">
        <v>0</v>
      </c>
      <c r="I259" s="8">
        <v>1</v>
      </c>
      <c r="J259" s="8">
        <v>39000</v>
      </c>
    </row>
    <row r="260" spans="1:10" x14ac:dyDescent="0.2">
      <c r="A260" s="6" t="s">
        <v>268</v>
      </c>
      <c r="B260" s="6">
        <v>4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</row>
    <row r="261" spans="1:10" x14ac:dyDescent="0.2">
      <c r="A261" s="6" t="s">
        <v>269</v>
      </c>
      <c r="B261" s="6">
        <v>4</v>
      </c>
      <c r="C261" s="8">
        <v>0</v>
      </c>
      <c r="D261" s="8">
        <v>0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</row>
    <row r="262" spans="1:10" x14ac:dyDescent="0.2">
      <c r="A262" s="6" t="s">
        <v>270</v>
      </c>
      <c r="B262" s="6">
        <v>4</v>
      </c>
      <c r="C262" s="8">
        <v>0</v>
      </c>
      <c r="D262" s="8">
        <v>0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</row>
    <row r="263" spans="1:10" x14ac:dyDescent="0.2">
      <c r="A263" s="6" t="s">
        <v>271</v>
      </c>
      <c r="B263" s="6">
        <v>4</v>
      </c>
      <c r="C263" s="8">
        <v>0</v>
      </c>
      <c r="D263" s="8">
        <v>0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</row>
    <row r="264" spans="1:10" x14ac:dyDescent="0.2">
      <c r="A264" s="6" t="s">
        <v>272</v>
      </c>
      <c r="B264" s="6">
        <v>4</v>
      </c>
      <c r="C264" s="8">
        <v>6</v>
      </c>
      <c r="D264" s="8">
        <v>794727</v>
      </c>
      <c r="E264" s="8">
        <v>0</v>
      </c>
      <c r="F264" s="8">
        <v>0</v>
      </c>
      <c r="G264" s="8">
        <v>0</v>
      </c>
      <c r="H264" s="8">
        <v>0</v>
      </c>
      <c r="I264" s="8">
        <v>6</v>
      </c>
      <c r="J264" s="8">
        <v>794727</v>
      </c>
    </row>
    <row r="265" spans="1:10" x14ac:dyDescent="0.2">
      <c r="A265" s="6" t="s">
        <v>273</v>
      </c>
      <c r="B265" s="6">
        <v>4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</row>
    <row r="266" spans="1:10" x14ac:dyDescent="0.2">
      <c r="A266" s="6" t="s">
        <v>274</v>
      </c>
      <c r="B266" s="6">
        <v>4</v>
      </c>
      <c r="C266" s="8">
        <v>0</v>
      </c>
      <c r="D266" s="8">
        <v>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</row>
    <row r="267" spans="1:10" x14ac:dyDescent="0.2">
      <c r="A267" s="6" t="s">
        <v>275</v>
      </c>
      <c r="B267" s="6">
        <v>4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</row>
    <row r="268" spans="1:10" x14ac:dyDescent="0.2">
      <c r="A268" s="6" t="s">
        <v>276</v>
      </c>
      <c r="B268" s="6">
        <v>4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</row>
    <row r="269" spans="1:10" x14ac:dyDescent="0.2">
      <c r="A269" s="6" t="s">
        <v>277</v>
      </c>
      <c r="B269" s="6">
        <v>4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</row>
    <row r="270" spans="1:10" x14ac:dyDescent="0.2">
      <c r="A270" s="6" t="s">
        <v>278</v>
      </c>
      <c r="B270" s="6">
        <v>4</v>
      </c>
      <c r="C270" s="8">
        <v>0</v>
      </c>
      <c r="D270" s="8">
        <v>0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</row>
    <row r="271" spans="1:10" x14ac:dyDescent="0.2">
      <c r="A271" s="6" t="s">
        <v>279</v>
      </c>
      <c r="B271" s="6">
        <v>4</v>
      </c>
      <c r="C271" s="8">
        <v>0</v>
      </c>
      <c r="D271" s="8">
        <v>0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</row>
    <row r="272" spans="1:10" x14ac:dyDescent="0.2">
      <c r="A272" s="6" t="s">
        <v>280</v>
      </c>
      <c r="B272" s="6">
        <v>4</v>
      </c>
      <c r="C272" s="8">
        <v>0</v>
      </c>
      <c r="D272" s="8">
        <v>0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</row>
    <row r="273" spans="1:10" x14ac:dyDescent="0.2">
      <c r="A273" s="6" t="s">
        <v>281</v>
      </c>
      <c r="B273" s="6">
        <v>4</v>
      </c>
      <c r="C273" s="8">
        <v>120</v>
      </c>
      <c r="D273" s="8">
        <v>2034346</v>
      </c>
      <c r="E273" s="8">
        <v>32</v>
      </c>
      <c r="F273" s="8">
        <v>525525</v>
      </c>
      <c r="G273" s="8">
        <v>149</v>
      </c>
      <c r="H273" s="8">
        <v>2509347</v>
      </c>
      <c r="I273" s="8">
        <v>3</v>
      </c>
      <c r="J273" s="8">
        <v>50524</v>
      </c>
    </row>
    <row r="274" spans="1:10" x14ac:dyDescent="0.2">
      <c r="A274" s="6" t="s">
        <v>282</v>
      </c>
      <c r="B274" s="6">
        <v>4</v>
      </c>
      <c r="C274" s="8">
        <v>31</v>
      </c>
      <c r="D274" s="8">
        <v>2072700</v>
      </c>
      <c r="E274" s="8">
        <v>134</v>
      </c>
      <c r="F274" s="8">
        <v>9079327</v>
      </c>
      <c r="G274" s="8">
        <v>165</v>
      </c>
      <c r="H274" s="8">
        <v>11152027</v>
      </c>
      <c r="I274" s="8">
        <v>0</v>
      </c>
      <c r="J274" s="8">
        <v>0</v>
      </c>
    </row>
    <row r="275" spans="1:10" x14ac:dyDescent="0.2">
      <c r="A275" s="6" t="s">
        <v>283</v>
      </c>
      <c r="B275" s="6">
        <v>4</v>
      </c>
      <c r="C275" s="8">
        <v>1991</v>
      </c>
      <c r="D275" s="8">
        <v>37430362</v>
      </c>
      <c r="E275" s="8">
        <v>844</v>
      </c>
      <c r="F275" s="8">
        <v>28978810</v>
      </c>
      <c r="G275" s="8">
        <v>360</v>
      </c>
      <c r="H275" s="8">
        <v>12365476</v>
      </c>
      <c r="I275" s="8">
        <v>2475</v>
      </c>
      <c r="J275" s="8">
        <v>54043696</v>
      </c>
    </row>
    <row r="276" spans="1:10" x14ac:dyDescent="0.2">
      <c r="A276" s="6" t="s">
        <v>284</v>
      </c>
      <c r="B276" s="6">
        <v>4</v>
      </c>
      <c r="C276" s="8">
        <v>210</v>
      </c>
      <c r="D276" s="8">
        <v>9333968</v>
      </c>
      <c r="E276" s="8">
        <v>30</v>
      </c>
      <c r="F276" s="8">
        <v>1380960</v>
      </c>
      <c r="G276" s="8">
        <v>120</v>
      </c>
      <c r="H276" s="8">
        <v>5357465</v>
      </c>
      <c r="I276" s="8">
        <v>120</v>
      </c>
      <c r="J276" s="8">
        <v>5357463</v>
      </c>
    </row>
    <row r="277" spans="1:10" x14ac:dyDescent="0.2">
      <c r="A277" s="6" t="s">
        <v>285</v>
      </c>
      <c r="B277" s="6">
        <v>4</v>
      </c>
      <c r="C277" s="8">
        <v>0</v>
      </c>
      <c r="D277" s="8">
        <v>0</v>
      </c>
      <c r="E277" s="8">
        <v>5</v>
      </c>
      <c r="F277" s="8">
        <v>570110</v>
      </c>
      <c r="G277" s="8">
        <v>0</v>
      </c>
      <c r="H277" s="8">
        <v>0</v>
      </c>
      <c r="I277" s="8">
        <v>5</v>
      </c>
      <c r="J277" s="8">
        <v>570110</v>
      </c>
    </row>
    <row r="278" spans="1:10" x14ac:dyDescent="0.2">
      <c r="A278" s="6" t="s">
        <v>286</v>
      </c>
      <c r="B278" s="6">
        <v>4</v>
      </c>
      <c r="C278" s="8">
        <v>0</v>
      </c>
      <c r="D278" s="8">
        <v>0</v>
      </c>
      <c r="E278" s="8">
        <v>8</v>
      </c>
      <c r="F278" s="8">
        <v>847410</v>
      </c>
      <c r="G278" s="8">
        <v>0</v>
      </c>
      <c r="H278" s="8">
        <v>0</v>
      </c>
      <c r="I278" s="8">
        <v>8</v>
      </c>
      <c r="J278" s="8">
        <v>847410</v>
      </c>
    </row>
    <row r="279" spans="1:10" x14ac:dyDescent="0.2">
      <c r="A279" s="6" t="s">
        <v>287</v>
      </c>
      <c r="B279" s="6">
        <v>4</v>
      </c>
      <c r="C279" s="8">
        <v>0</v>
      </c>
      <c r="D279" s="8">
        <v>0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</row>
    <row r="280" spans="1:10" x14ac:dyDescent="0.2">
      <c r="A280" s="6" t="s">
        <v>288</v>
      </c>
      <c r="B280" s="6">
        <v>4</v>
      </c>
      <c r="C280" s="8">
        <v>0</v>
      </c>
      <c r="D280" s="8">
        <v>0</v>
      </c>
      <c r="E280" s="8">
        <v>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</row>
    <row r="281" spans="1:10" x14ac:dyDescent="0.2">
      <c r="A281" s="6" t="s">
        <v>289</v>
      </c>
      <c r="B281" s="6">
        <v>4</v>
      </c>
      <c r="C281" s="8">
        <v>5241</v>
      </c>
      <c r="D281" s="8">
        <v>18544800</v>
      </c>
      <c r="E281" s="8">
        <v>0</v>
      </c>
      <c r="F281" s="8">
        <v>0</v>
      </c>
      <c r="G281" s="8">
        <v>0</v>
      </c>
      <c r="H281" s="8">
        <v>0</v>
      </c>
      <c r="I281" s="8">
        <v>5241</v>
      </c>
      <c r="J281" s="8">
        <v>18544800</v>
      </c>
    </row>
    <row r="282" spans="1:10" x14ac:dyDescent="0.2">
      <c r="A282" s="6" t="s">
        <v>290</v>
      </c>
      <c r="B282" s="6">
        <v>4</v>
      </c>
      <c r="C282" s="8">
        <v>2264</v>
      </c>
      <c r="D282" s="8">
        <v>201473248</v>
      </c>
      <c r="E282" s="8">
        <v>108</v>
      </c>
      <c r="F282" s="8">
        <v>9610272</v>
      </c>
      <c r="G282" s="8">
        <v>346</v>
      </c>
      <c r="H282" s="8">
        <v>30790429</v>
      </c>
      <c r="I282" s="8">
        <v>2026</v>
      </c>
      <c r="J282" s="8">
        <v>180293091</v>
      </c>
    </row>
    <row r="283" spans="1:10" x14ac:dyDescent="0.2">
      <c r="A283" s="6" t="s">
        <v>291</v>
      </c>
      <c r="B283" s="6">
        <v>4</v>
      </c>
      <c r="C283" s="8">
        <v>3697</v>
      </c>
      <c r="D283" s="8">
        <v>344860711</v>
      </c>
      <c r="E283" s="8">
        <v>777</v>
      </c>
      <c r="F283" s="8">
        <v>72730098</v>
      </c>
      <c r="G283" s="8">
        <v>792</v>
      </c>
      <c r="H283" s="8">
        <v>73923094</v>
      </c>
      <c r="I283" s="8">
        <v>3682</v>
      </c>
      <c r="J283" s="8">
        <v>343667715</v>
      </c>
    </row>
    <row r="284" spans="1:10" x14ac:dyDescent="0.2">
      <c r="A284" s="6" t="s">
        <v>292</v>
      </c>
      <c r="B284" s="6">
        <v>4</v>
      </c>
      <c r="C284" s="8">
        <v>1007</v>
      </c>
      <c r="D284" s="8">
        <v>76882176</v>
      </c>
      <c r="E284" s="8">
        <v>184</v>
      </c>
      <c r="F284" s="8">
        <v>9610272</v>
      </c>
      <c r="G284" s="8">
        <v>0</v>
      </c>
      <c r="H284" s="8">
        <v>0</v>
      </c>
      <c r="I284" s="8">
        <v>1191</v>
      </c>
      <c r="J284" s="8">
        <v>86492448</v>
      </c>
    </row>
    <row r="285" spans="1:10" x14ac:dyDescent="0.2">
      <c r="A285" s="6"/>
      <c r="B285" s="6"/>
      <c r="C285" s="5"/>
      <c r="D285" s="5">
        <v>16761054076</v>
      </c>
      <c r="E285" s="5"/>
      <c r="F285" s="5">
        <v>9316351365</v>
      </c>
      <c r="G285" s="5"/>
      <c r="H285" s="5">
        <v>8659651285</v>
      </c>
      <c r="I285" s="5"/>
      <c r="J285" s="5">
        <v>17417754156</v>
      </c>
    </row>
  </sheetData>
  <mergeCells count="4">
    <mergeCell ref="C1:D1"/>
    <mergeCell ref="E1:F1"/>
    <mergeCell ref="G1:H1"/>
    <mergeCell ref="I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W285"/>
  <sheetViews>
    <sheetView topLeftCell="A283" workbookViewId="0"/>
  </sheetViews>
  <sheetFormatPr defaultColWidth="12.5703125" defaultRowHeight="15.75" customHeight="1" x14ac:dyDescent="0.2"/>
  <sheetData>
    <row r="1" spans="1:23" x14ac:dyDescent="0.2">
      <c r="A1" s="1"/>
      <c r="B1" s="2"/>
      <c r="C1" s="210" t="s">
        <v>0</v>
      </c>
      <c r="D1" s="211"/>
      <c r="E1" s="210" t="s">
        <v>1</v>
      </c>
      <c r="F1" s="211"/>
      <c r="G1" s="210" t="s">
        <v>2</v>
      </c>
      <c r="H1" s="211"/>
      <c r="I1" s="210" t="s">
        <v>3</v>
      </c>
      <c r="J1" s="21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">
      <c r="A2" s="3" t="s">
        <v>4</v>
      </c>
      <c r="B2" s="4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6</v>
      </c>
      <c r="H2" s="5" t="s">
        <v>10</v>
      </c>
      <c r="I2" s="5" t="s">
        <v>6</v>
      </c>
      <c r="J2" s="5" t="s">
        <v>9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">
      <c r="A3" s="6" t="s">
        <v>11</v>
      </c>
      <c r="B3" s="6">
        <v>5</v>
      </c>
      <c r="C3" s="8">
        <v>231</v>
      </c>
      <c r="D3" s="8">
        <v>6322714</v>
      </c>
      <c r="E3" s="8">
        <v>120</v>
      </c>
      <c r="F3" s="8">
        <v>3329280</v>
      </c>
      <c r="G3" s="8">
        <v>140</v>
      </c>
      <c r="H3" s="8">
        <v>3849798</v>
      </c>
      <c r="I3" s="8">
        <v>211</v>
      </c>
      <c r="J3" s="8">
        <v>5802196</v>
      </c>
    </row>
    <row r="4" spans="1:23" x14ac:dyDescent="0.2">
      <c r="A4" s="6" t="s">
        <v>12</v>
      </c>
      <c r="B4" s="6">
        <v>5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</row>
    <row r="5" spans="1:23" x14ac:dyDescent="0.2">
      <c r="A5" s="6" t="s">
        <v>13</v>
      </c>
      <c r="B5" s="6">
        <v>5</v>
      </c>
      <c r="C5" s="8">
        <v>899</v>
      </c>
      <c r="D5" s="8">
        <v>29487100</v>
      </c>
      <c r="E5" s="8">
        <v>0</v>
      </c>
      <c r="F5" s="8">
        <v>0</v>
      </c>
      <c r="G5" s="8">
        <v>36</v>
      </c>
      <c r="H5" s="8">
        <v>1181381</v>
      </c>
      <c r="I5" s="8">
        <v>863</v>
      </c>
      <c r="J5" s="8">
        <v>28305719</v>
      </c>
    </row>
    <row r="6" spans="1:23" x14ac:dyDescent="0.2">
      <c r="A6" s="6" t="s">
        <v>14</v>
      </c>
      <c r="B6" s="6">
        <v>5</v>
      </c>
      <c r="C6" s="8">
        <v>120</v>
      </c>
      <c r="D6" s="8">
        <v>35752144</v>
      </c>
      <c r="E6" s="8">
        <v>0</v>
      </c>
      <c r="F6" s="8">
        <v>0</v>
      </c>
      <c r="G6" s="8">
        <v>0</v>
      </c>
      <c r="H6" s="8">
        <v>0</v>
      </c>
      <c r="I6" s="8">
        <v>120</v>
      </c>
      <c r="J6" s="8">
        <v>35752144</v>
      </c>
    </row>
    <row r="7" spans="1:23" x14ac:dyDescent="0.2">
      <c r="A7" s="6" t="s">
        <v>15</v>
      </c>
      <c r="B7" s="6">
        <v>5</v>
      </c>
      <c r="C7" s="8">
        <v>510</v>
      </c>
      <c r="D7" s="8">
        <v>69373706</v>
      </c>
      <c r="E7" s="8">
        <v>0</v>
      </c>
      <c r="F7" s="8">
        <v>0</v>
      </c>
      <c r="G7" s="8">
        <v>0</v>
      </c>
      <c r="H7" s="8">
        <v>0</v>
      </c>
      <c r="I7" s="8">
        <v>510</v>
      </c>
      <c r="J7" s="8">
        <v>69373706</v>
      </c>
    </row>
    <row r="8" spans="1:23" x14ac:dyDescent="0.2">
      <c r="A8" s="6" t="s">
        <v>16</v>
      </c>
      <c r="B8" s="6">
        <v>5</v>
      </c>
      <c r="C8" s="8">
        <v>344</v>
      </c>
      <c r="D8" s="8">
        <v>53839916</v>
      </c>
      <c r="E8" s="8">
        <v>0</v>
      </c>
      <c r="F8" s="8">
        <v>0</v>
      </c>
      <c r="G8" s="8">
        <v>0</v>
      </c>
      <c r="H8" s="8">
        <v>0</v>
      </c>
      <c r="I8" s="8">
        <v>344</v>
      </c>
      <c r="J8" s="8">
        <v>53839916</v>
      </c>
    </row>
    <row r="9" spans="1:23" x14ac:dyDescent="0.2">
      <c r="A9" s="6" t="s">
        <v>17</v>
      </c>
      <c r="B9" s="6">
        <v>5</v>
      </c>
      <c r="C9" s="8">
        <v>159</v>
      </c>
      <c r="D9" s="8">
        <v>38049584</v>
      </c>
      <c r="E9" s="8">
        <v>0</v>
      </c>
      <c r="F9" s="8">
        <v>0</v>
      </c>
      <c r="G9" s="8">
        <v>0</v>
      </c>
      <c r="H9" s="8">
        <v>0</v>
      </c>
      <c r="I9" s="8">
        <v>159</v>
      </c>
      <c r="J9" s="8">
        <v>38049584</v>
      </c>
    </row>
    <row r="10" spans="1:23" x14ac:dyDescent="0.2">
      <c r="A10" s="6" t="s">
        <v>18</v>
      </c>
      <c r="B10" s="6">
        <v>5</v>
      </c>
      <c r="C10" s="8">
        <v>734</v>
      </c>
      <c r="D10" s="8">
        <v>15983688</v>
      </c>
      <c r="E10" s="8">
        <v>0</v>
      </c>
      <c r="F10" s="8">
        <v>0</v>
      </c>
      <c r="G10" s="8">
        <v>0</v>
      </c>
      <c r="H10" s="8">
        <v>0</v>
      </c>
      <c r="I10" s="8">
        <v>734</v>
      </c>
      <c r="J10" s="8">
        <v>15983688</v>
      </c>
    </row>
    <row r="11" spans="1:23" x14ac:dyDescent="0.2">
      <c r="A11" s="6" t="s">
        <v>19</v>
      </c>
      <c r="B11" s="6">
        <v>5</v>
      </c>
      <c r="C11" s="8">
        <v>180</v>
      </c>
      <c r="D11" s="8">
        <v>3904035</v>
      </c>
      <c r="E11" s="8">
        <v>0</v>
      </c>
      <c r="F11" s="8">
        <v>0</v>
      </c>
      <c r="G11" s="8">
        <v>0</v>
      </c>
      <c r="H11" s="8">
        <v>0</v>
      </c>
      <c r="I11" s="8">
        <v>180</v>
      </c>
      <c r="J11" s="8">
        <v>3904035</v>
      </c>
    </row>
    <row r="12" spans="1:23" x14ac:dyDescent="0.2">
      <c r="A12" s="6" t="s">
        <v>20</v>
      </c>
      <c r="B12" s="6">
        <v>5</v>
      </c>
      <c r="C12" s="8">
        <v>295</v>
      </c>
      <c r="D12" s="8">
        <v>31404753</v>
      </c>
      <c r="E12" s="8">
        <v>0</v>
      </c>
      <c r="F12" s="8">
        <v>0</v>
      </c>
      <c r="G12" s="8">
        <v>0</v>
      </c>
      <c r="H12" s="8">
        <v>0</v>
      </c>
      <c r="I12" s="8">
        <v>295</v>
      </c>
      <c r="J12" s="8">
        <v>31404753</v>
      </c>
    </row>
    <row r="13" spans="1:23" x14ac:dyDescent="0.2">
      <c r="A13" s="6" t="s">
        <v>21</v>
      </c>
      <c r="B13" s="6">
        <v>5</v>
      </c>
      <c r="C13" s="8">
        <v>170</v>
      </c>
      <c r="D13" s="8">
        <v>40681945</v>
      </c>
      <c r="E13" s="8">
        <v>0</v>
      </c>
      <c r="F13" s="8">
        <v>0</v>
      </c>
      <c r="G13" s="8">
        <v>0</v>
      </c>
      <c r="H13" s="8">
        <v>0</v>
      </c>
      <c r="I13" s="8">
        <v>170</v>
      </c>
      <c r="J13" s="8">
        <v>40681945</v>
      </c>
    </row>
    <row r="14" spans="1:23" x14ac:dyDescent="0.2">
      <c r="A14" s="6" t="s">
        <v>22</v>
      </c>
      <c r="B14" s="6">
        <v>5</v>
      </c>
      <c r="C14" s="8">
        <v>18</v>
      </c>
      <c r="D14" s="8">
        <v>407934</v>
      </c>
      <c r="E14" s="8">
        <v>0</v>
      </c>
      <c r="F14" s="8">
        <v>0</v>
      </c>
      <c r="G14" s="8">
        <v>0</v>
      </c>
      <c r="H14" s="8">
        <v>0</v>
      </c>
      <c r="I14" s="8">
        <v>18</v>
      </c>
      <c r="J14" s="8">
        <v>407934</v>
      </c>
    </row>
    <row r="15" spans="1:23" x14ac:dyDescent="0.2">
      <c r="A15" s="6" t="s">
        <v>23</v>
      </c>
      <c r="B15" s="6">
        <v>5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</row>
    <row r="16" spans="1:23" x14ac:dyDescent="0.2">
      <c r="A16" s="6" t="s">
        <v>24</v>
      </c>
      <c r="B16" s="6">
        <v>5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</row>
    <row r="17" spans="1:10" x14ac:dyDescent="0.2">
      <c r="A17" s="6" t="s">
        <v>25</v>
      </c>
      <c r="B17" s="6">
        <v>5</v>
      </c>
      <c r="C17" s="8">
        <v>40</v>
      </c>
      <c r="D17" s="8">
        <v>836360</v>
      </c>
      <c r="E17" s="8">
        <v>220</v>
      </c>
      <c r="F17" s="8">
        <v>4599980</v>
      </c>
      <c r="G17" s="8">
        <v>90</v>
      </c>
      <c r="H17" s="8">
        <v>1881810</v>
      </c>
      <c r="I17" s="8">
        <v>170</v>
      </c>
      <c r="J17" s="8">
        <v>3554530</v>
      </c>
    </row>
    <row r="18" spans="1:10" x14ac:dyDescent="0.2">
      <c r="A18" s="6" t="s">
        <v>26</v>
      </c>
      <c r="B18" s="6">
        <v>5</v>
      </c>
      <c r="C18" s="8">
        <v>35</v>
      </c>
      <c r="D18" s="8">
        <v>890925</v>
      </c>
      <c r="E18" s="8">
        <v>70</v>
      </c>
      <c r="F18" s="8">
        <v>1781850</v>
      </c>
      <c r="G18" s="8">
        <v>0</v>
      </c>
      <c r="H18" s="8">
        <v>0</v>
      </c>
      <c r="I18" s="8">
        <v>105</v>
      </c>
      <c r="J18" s="8">
        <v>2672775</v>
      </c>
    </row>
    <row r="19" spans="1:10" x14ac:dyDescent="0.2">
      <c r="A19" s="6" t="s">
        <v>27</v>
      </c>
      <c r="B19" s="6">
        <v>5</v>
      </c>
      <c r="C19" s="8">
        <v>0</v>
      </c>
      <c r="D19" s="8">
        <v>0</v>
      </c>
      <c r="E19" s="8">
        <v>142</v>
      </c>
      <c r="F19" s="8">
        <v>4327260</v>
      </c>
      <c r="G19" s="8">
        <v>0</v>
      </c>
      <c r="H19" s="8">
        <v>0</v>
      </c>
      <c r="I19" s="8">
        <v>142</v>
      </c>
      <c r="J19" s="8">
        <v>4327260</v>
      </c>
    </row>
    <row r="20" spans="1:10" x14ac:dyDescent="0.2">
      <c r="A20" s="6" t="s">
        <v>28</v>
      </c>
      <c r="B20" s="6">
        <v>5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</row>
    <row r="21" spans="1:10" x14ac:dyDescent="0.2">
      <c r="A21" s="6" t="s">
        <v>29</v>
      </c>
      <c r="B21" s="6">
        <v>5</v>
      </c>
      <c r="C21" s="8">
        <v>160</v>
      </c>
      <c r="D21" s="8">
        <v>42283680</v>
      </c>
      <c r="E21" s="8">
        <v>50</v>
      </c>
      <c r="F21" s="8">
        <v>13213650</v>
      </c>
      <c r="G21" s="8">
        <v>0</v>
      </c>
      <c r="H21" s="8">
        <v>0</v>
      </c>
      <c r="I21" s="8">
        <v>210</v>
      </c>
      <c r="J21" s="8">
        <v>55497330</v>
      </c>
    </row>
    <row r="22" spans="1:10" x14ac:dyDescent="0.2">
      <c r="A22" s="6" t="s">
        <v>30</v>
      </c>
      <c r="B22" s="6">
        <v>5</v>
      </c>
      <c r="C22" s="8">
        <v>104</v>
      </c>
      <c r="D22" s="8">
        <v>22137339</v>
      </c>
      <c r="E22" s="8">
        <v>60</v>
      </c>
      <c r="F22" s="8">
        <v>11928550</v>
      </c>
      <c r="G22" s="8">
        <v>0</v>
      </c>
      <c r="H22" s="8">
        <v>0</v>
      </c>
      <c r="I22" s="8">
        <v>164</v>
      </c>
      <c r="J22" s="8">
        <v>34065889</v>
      </c>
    </row>
    <row r="23" spans="1:10" x14ac:dyDescent="0.2">
      <c r="A23" s="6" t="s">
        <v>31</v>
      </c>
      <c r="B23" s="6">
        <v>5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</row>
    <row r="24" spans="1:10" x14ac:dyDescent="0.2">
      <c r="A24" s="6" t="s">
        <v>32</v>
      </c>
      <c r="B24" s="6">
        <v>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</row>
    <row r="25" spans="1:10" x14ac:dyDescent="0.2">
      <c r="A25" s="6" t="s">
        <v>33</v>
      </c>
      <c r="B25" s="6">
        <v>5</v>
      </c>
      <c r="C25" s="8">
        <v>56</v>
      </c>
      <c r="D25" s="8">
        <v>4642900</v>
      </c>
      <c r="E25" s="8">
        <v>20</v>
      </c>
      <c r="F25" s="8">
        <v>4642900</v>
      </c>
      <c r="G25" s="8">
        <v>0</v>
      </c>
      <c r="H25" s="8">
        <v>0</v>
      </c>
      <c r="I25" s="8">
        <v>76</v>
      </c>
      <c r="J25" s="8">
        <v>9285800</v>
      </c>
    </row>
    <row r="26" spans="1:10" x14ac:dyDescent="0.2">
      <c r="A26" s="6" t="s">
        <v>34</v>
      </c>
      <c r="B26" s="6">
        <v>5</v>
      </c>
      <c r="C26" s="8">
        <v>20</v>
      </c>
      <c r="D26" s="8">
        <v>4642900</v>
      </c>
      <c r="E26" s="8">
        <v>0</v>
      </c>
      <c r="F26" s="8">
        <v>0</v>
      </c>
      <c r="G26" s="8">
        <v>0</v>
      </c>
      <c r="H26" s="8">
        <v>0</v>
      </c>
      <c r="I26" s="8">
        <v>20</v>
      </c>
      <c r="J26" s="8">
        <v>4642900</v>
      </c>
    </row>
    <row r="27" spans="1:10" x14ac:dyDescent="0.2">
      <c r="A27" s="6" t="s">
        <v>35</v>
      </c>
      <c r="B27" s="6">
        <v>5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</row>
    <row r="28" spans="1:10" x14ac:dyDescent="0.2">
      <c r="A28" s="6" t="s">
        <v>36</v>
      </c>
      <c r="B28" s="6">
        <v>5</v>
      </c>
      <c r="C28" s="8">
        <v>40</v>
      </c>
      <c r="D28" s="8">
        <v>1818200</v>
      </c>
      <c r="E28" s="8">
        <v>0</v>
      </c>
      <c r="F28" s="8">
        <v>0</v>
      </c>
      <c r="G28" s="8">
        <v>0</v>
      </c>
      <c r="H28" s="8">
        <v>0</v>
      </c>
      <c r="I28" s="8">
        <v>40</v>
      </c>
      <c r="J28" s="8">
        <v>1818200</v>
      </c>
    </row>
    <row r="29" spans="1:10" x14ac:dyDescent="0.2">
      <c r="A29" s="6" t="s">
        <v>37</v>
      </c>
      <c r="B29" s="6">
        <v>5</v>
      </c>
      <c r="C29" s="8">
        <v>3255</v>
      </c>
      <c r="D29" s="8">
        <v>173341676</v>
      </c>
      <c r="E29" s="8">
        <v>2720</v>
      </c>
      <c r="F29" s="8">
        <v>151446880</v>
      </c>
      <c r="G29" s="8">
        <v>3275</v>
      </c>
      <c r="H29" s="8">
        <v>178022179</v>
      </c>
      <c r="I29" s="8">
        <v>2700</v>
      </c>
      <c r="J29" s="8">
        <v>146766377</v>
      </c>
    </row>
    <row r="30" spans="1:10" x14ac:dyDescent="0.2">
      <c r="A30" s="6" t="s">
        <v>38</v>
      </c>
      <c r="B30" s="6">
        <v>5</v>
      </c>
      <c r="C30" s="8">
        <v>274911</v>
      </c>
      <c r="D30" s="8">
        <v>284235675</v>
      </c>
      <c r="E30" s="8">
        <v>7920</v>
      </c>
      <c r="F30" s="8">
        <v>247167360</v>
      </c>
      <c r="G30" s="8">
        <v>5271</v>
      </c>
      <c r="H30" s="8">
        <v>162527190</v>
      </c>
      <c r="I30" s="8">
        <v>277560</v>
      </c>
      <c r="J30" s="8">
        <v>368875845</v>
      </c>
    </row>
    <row r="31" spans="1:10" x14ac:dyDescent="0.2">
      <c r="A31" s="6" t="s">
        <v>39</v>
      </c>
      <c r="B31" s="6">
        <v>5</v>
      </c>
      <c r="C31" s="8">
        <v>28965</v>
      </c>
      <c r="D31" s="8">
        <v>153445707</v>
      </c>
      <c r="E31" s="8">
        <v>1650</v>
      </c>
      <c r="F31" s="8">
        <v>59703600</v>
      </c>
      <c r="G31" s="8">
        <v>1840</v>
      </c>
      <c r="H31" s="8">
        <v>63671135</v>
      </c>
      <c r="I31" s="8">
        <v>28775</v>
      </c>
      <c r="J31" s="8">
        <v>149478172</v>
      </c>
    </row>
    <row r="32" spans="1:10" x14ac:dyDescent="0.2">
      <c r="A32" s="6" t="s">
        <v>40</v>
      </c>
      <c r="B32" s="6">
        <v>5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</row>
    <row r="33" spans="1:10" x14ac:dyDescent="0.2">
      <c r="A33" s="6" t="s">
        <v>41</v>
      </c>
      <c r="B33" s="6">
        <v>5</v>
      </c>
      <c r="C33" s="8">
        <v>90</v>
      </c>
      <c r="D33" s="8">
        <v>3031110</v>
      </c>
      <c r="E33" s="8">
        <v>475</v>
      </c>
      <c r="F33" s="8">
        <v>15997525</v>
      </c>
      <c r="G33" s="8">
        <v>565</v>
      </c>
      <c r="H33" s="8">
        <v>19028635</v>
      </c>
      <c r="I33" s="8">
        <v>0</v>
      </c>
      <c r="J33" s="8">
        <v>0</v>
      </c>
    </row>
    <row r="34" spans="1:10" x14ac:dyDescent="0.2">
      <c r="A34" s="6" t="s">
        <v>42</v>
      </c>
      <c r="B34" s="6">
        <v>5</v>
      </c>
      <c r="C34" s="8">
        <v>64</v>
      </c>
      <c r="D34" s="8">
        <v>3063680</v>
      </c>
      <c r="E34" s="8">
        <v>263</v>
      </c>
      <c r="F34" s="8">
        <v>12589810</v>
      </c>
      <c r="G34" s="8">
        <v>327</v>
      </c>
      <c r="H34" s="8">
        <v>15653490</v>
      </c>
      <c r="I34" s="8">
        <v>0</v>
      </c>
      <c r="J34" s="8">
        <v>0</v>
      </c>
    </row>
    <row r="35" spans="1:10" x14ac:dyDescent="0.2">
      <c r="A35" s="6" t="s">
        <v>43</v>
      </c>
      <c r="B35" s="6">
        <v>5</v>
      </c>
      <c r="C35" s="8">
        <v>0</v>
      </c>
      <c r="D35" s="8">
        <v>0</v>
      </c>
      <c r="E35" s="8">
        <v>408</v>
      </c>
      <c r="F35" s="8">
        <v>8364000</v>
      </c>
      <c r="G35" s="8">
        <v>408</v>
      </c>
      <c r="H35" s="8">
        <v>8364000</v>
      </c>
      <c r="I35" s="8">
        <v>0</v>
      </c>
      <c r="J35" s="8">
        <v>0</v>
      </c>
    </row>
    <row r="36" spans="1:10" x14ac:dyDescent="0.2">
      <c r="A36" s="6" t="s">
        <v>44</v>
      </c>
      <c r="B36" s="6">
        <v>5</v>
      </c>
      <c r="C36" s="8">
        <v>10190</v>
      </c>
      <c r="D36" s="8">
        <v>55720191</v>
      </c>
      <c r="E36" s="8">
        <v>570</v>
      </c>
      <c r="F36" s="8">
        <v>20624880</v>
      </c>
      <c r="G36" s="8">
        <v>1410</v>
      </c>
      <c r="H36" s="8">
        <v>48525103</v>
      </c>
      <c r="I36" s="8">
        <v>9350</v>
      </c>
      <c r="J36" s="8">
        <v>27819968</v>
      </c>
    </row>
    <row r="37" spans="1:10" x14ac:dyDescent="0.2">
      <c r="A37" s="6" t="s">
        <v>45</v>
      </c>
      <c r="B37" s="6">
        <v>5</v>
      </c>
      <c r="C37" s="8">
        <v>1422</v>
      </c>
      <c r="D37" s="8">
        <v>47890034</v>
      </c>
      <c r="E37" s="8">
        <v>390</v>
      </c>
      <c r="F37" s="8">
        <v>14111760</v>
      </c>
      <c r="G37" s="8">
        <v>1422</v>
      </c>
      <c r="H37" s="8">
        <v>48657037</v>
      </c>
      <c r="I37" s="8">
        <v>390</v>
      </c>
      <c r="J37" s="8">
        <v>13344757</v>
      </c>
    </row>
    <row r="38" spans="1:10" x14ac:dyDescent="0.2">
      <c r="A38" s="6" t="s">
        <v>46</v>
      </c>
      <c r="B38" s="6">
        <v>5</v>
      </c>
      <c r="C38" s="8">
        <v>165</v>
      </c>
      <c r="D38" s="8">
        <v>5557035</v>
      </c>
      <c r="E38" s="8">
        <v>560</v>
      </c>
      <c r="F38" s="8">
        <v>19344540</v>
      </c>
      <c r="G38" s="8">
        <v>725</v>
      </c>
      <c r="H38" s="8">
        <v>24901575</v>
      </c>
      <c r="I38" s="8">
        <v>0</v>
      </c>
      <c r="J38" s="8">
        <v>0</v>
      </c>
    </row>
    <row r="39" spans="1:10" x14ac:dyDescent="0.2">
      <c r="A39" s="6" t="s">
        <v>47</v>
      </c>
      <c r="B39" s="6">
        <v>5</v>
      </c>
      <c r="C39" s="8">
        <v>4100</v>
      </c>
      <c r="D39" s="8">
        <v>18634500</v>
      </c>
      <c r="E39" s="8">
        <v>3250</v>
      </c>
      <c r="F39" s="8">
        <v>16250000</v>
      </c>
      <c r="G39" s="8">
        <v>1250</v>
      </c>
      <c r="H39" s="8">
        <v>5932738</v>
      </c>
      <c r="I39" s="8">
        <v>6100</v>
      </c>
      <c r="J39" s="8">
        <v>28951762</v>
      </c>
    </row>
    <row r="40" spans="1:10" x14ac:dyDescent="0.2">
      <c r="A40" s="6" t="s">
        <v>48</v>
      </c>
      <c r="B40" s="6">
        <v>5</v>
      </c>
      <c r="C40" s="8">
        <v>48</v>
      </c>
      <c r="D40" s="8">
        <v>1156368</v>
      </c>
      <c r="E40" s="8">
        <v>0</v>
      </c>
      <c r="F40" s="8">
        <v>0</v>
      </c>
      <c r="G40" s="8">
        <v>0</v>
      </c>
      <c r="H40" s="8">
        <v>0</v>
      </c>
      <c r="I40" s="8">
        <v>48</v>
      </c>
      <c r="J40" s="8">
        <v>1156368</v>
      </c>
    </row>
    <row r="41" spans="1:10" x14ac:dyDescent="0.2">
      <c r="A41" s="6" t="s">
        <v>49</v>
      </c>
      <c r="B41" s="6">
        <v>5</v>
      </c>
      <c r="C41" s="8">
        <v>6910</v>
      </c>
      <c r="D41" s="8">
        <v>32663570</v>
      </c>
      <c r="E41" s="8">
        <v>1800</v>
      </c>
      <c r="F41" s="8">
        <v>8672400</v>
      </c>
      <c r="G41" s="8">
        <v>4810</v>
      </c>
      <c r="H41" s="8">
        <v>22827327</v>
      </c>
      <c r="I41" s="8">
        <v>3900</v>
      </c>
      <c r="J41" s="8">
        <v>18508643</v>
      </c>
    </row>
    <row r="42" spans="1:10" x14ac:dyDescent="0.2">
      <c r="A42" s="6" t="s">
        <v>50</v>
      </c>
      <c r="B42" s="6">
        <v>5</v>
      </c>
      <c r="C42" s="8">
        <v>1500</v>
      </c>
      <c r="D42" s="8">
        <v>4773000</v>
      </c>
      <c r="E42" s="8">
        <v>0</v>
      </c>
      <c r="F42" s="8">
        <v>0</v>
      </c>
      <c r="G42" s="8">
        <v>0</v>
      </c>
      <c r="H42" s="8">
        <v>0</v>
      </c>
      <c r="I42" s="8">
        <v>1500</v>
      </c>
      <c r="J42" s="8">
        <v>4773000</v>
      </c>
    </row>
    <row r="43" spans="1:10" x14ac:dyDescent="0.2">
      <c r="A43" s="6" t="s">
        <v>51</v>
      </c>
      <c r="B43" s="6">
        <v>5</v>
      </c>
      <c r="C43" s="8">
        <v>2350</v>
      </c>
      <c r="D43" s="8">
        <v>8544600</v>
      </c>
      <c r="E43" s="8">
        <v>500</v>
      </c>
      <c r="F43" s="8">
        <v>2045500</v>
      </c>
      <c r="G43" s="8">
        <v>500</v>
      </c>
      <c r="H43" s="8">
        <v>1857912</v>
      </c>
      <c r="I43" s="8">
        <v>2350</v>
      </c>
      <c r="J43" s="8">
        <v>8732188</v>
      </c>
    </row>
    <row r="44" spans="1:10" x14ac:dyDescent="0.2">
      <c r="A44" s="6" t="s">
        <v>52</v>
      </c>
      <c r="B44" s="6">
        <v>5</v>
      </c>
      <c r="C44" s="8">
        <v>576</v>
      </c>
      <c r="D44" s="8">
        <v>13090752</v>
      </c>
      <c r="E44" s="8">
        <v>288</v>
      </c>
      <c r="F44" s="8">
        <v>6545376</v>
      </c>
      <c r="G44" s="8">
        <v>0</v>
      </c>
      <c r="H44" s="8">
        <v>0</v>
      </c>
      <c r="I44" s="8">
        <v>864</v>
      </c>
      <c r="J44" s="8">
        <v>19636128</v>
      </c>
    </row>
    <row r="45" spans="1:10" x14ac:dyDescent="0.2">
      <c r="A45" s="6" t="s">
        <v>53</v>
      </c>
      <c r="B45" s="6">
        <v>5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</row>
    <row r="46" spans="1:10" x14ac:dyDescent="0.2">
      <c r="A46" s="6" t="s">
        <v>54</v>
      </c>
      <c r="B46" s="6">
        <v>5</v>
      </c>
      <c r="C46" s="8">
        <v>10678</v>
      </c>
      <c r="D46" s="8">
        <v>144646430</v>
      </c>
      <c r="E46" s="8">
        <v>4961</v>
      </c>
      <c r="F46" s="8">
        <v>69816000</v>
      </c>
      <c r="G46" s="8">
        <v>8839</v>
      </c>
      <c r="H46" s="8">
        <v>121211933</v>
      </c>
      <c r="I46" s="8">
        <v>6800</v>
      </c>
      <c r="J46" s="8">
        <v>93250497</v>
      </c>
    </row>
    <row r="47" spans="1:10" x14ac:dyDescent="0.2">
      <c r="A47" s="6" t="s">
        <v>55</v>
      </c>
      <c r="B47" s="6">
        <v>5</v>
      </c>
      <c r="C47" s="8">
        <v>0</v>
      </c>
      <c r="D47" s="8">
        <v>0</v>
      </c>
      <c r="E47" s="8">
        <v>12</v>
      </c>
      <c r="F47" s="8">
        <v>1041816</v>
      </c>
      <c r="G47" s="8">
        <v>0</v>
      </c>
      <c r="H47" s="8">
        <v>0</v>
      </c>
      <c r="I47" s="8">
        <v>12</v>
      </c>
      <c r="J47" s="8">
        <v>1041816</v>
      </c>
    </row>
    <row r="48" spans="1:10" x14ac:dyDescent="0.2">
      <c r="A48" s="6" t="s">
        <v>56</v>
      </c>
      <c r="B48" s="6">
        <v>5</v>
      </c>
      <c r="C48" s="8">
        <v>0</v>
      </c>
      <c r="D48" s="8">
        <v>0</v>
      </c>
      <c r="E48" s="8">
        <v>192</v>
      </c>
      <c r="F48" s="8">
        <v>1815360</v>
      </c>
      <c r="G48" s="8">
        <v>0</v>
      </c>
      <c r="H48" s="8">
        <v>0</v>
      </c>
      <c r="I48" s="8">
        <v>192</v>
      </c>
      <c r="J48" s="8">
        <v>1815360</v>
      </c>
    </row>
    <row r="49" spans="1:10" x14ac:dyDescent="0.2">
      <c r="A49" s="6" t="s">
        <v>57</v>
      </c>
      <c r="B49" s="6">
        <v>5</v>
      </c>
      <c r="C49" s="8">
        <v>480</v>
      </c>
      <c r="D49" s="8">
        <v>7636320</v>
      </c>
      <c r="E49" s="8">
        <v>0</v>
      </c>
      <c r="F49" s="8">
        <v>0</v>
      </c>
      <c r="G49" s="8">
        <v>0</v>
      </c>
      <c r="H49" s="8">
        <v>0</v>
      </c>
      <c r="I49" s="8">
        <v>480</v>
      </c>
      <c r="J49" s="8">
        <v>7636320</v>
      </c>
    </row>
    <row r="50" spans="1:10" x14ac:dyDescent="0.2">
      <c r="A50" s="6" t="s">
        <v>58</v>
      </c>
      <c r="B50" s="6">
        <v>5</v>
      </c>
      <c r="C50" s="8">
        <v>2640</v>
      </c>
      <c r="D50" s="8">
        <v>20399280</v>
      </c>
      <c r="E50" s="8">
        <v>0</v>
      </c>
      <c r="F50" s="8">
        <v>0</v>
      </c>
      <c r="G50" s="8">
        <v>0</v>
      </c>
      <c r="H50" s="8">
        <v>0</v>
      </c>
      <c r="I50" s="8">
        <v>2640</v>
      </c>
      <c r="J50" s="8">
        <v>20399280</v>
      </c>
    </row>
    <row r="51" spans="1:10" x14ac:dyDescent="0.2">
      <c r="A51" s="6" t="s">
        <v>59</v>
      </c>
      <c r="B51" s="6">
        <v>5</v>
      </c>
      <c r="C51" s="8">
        <v>6345</v>
      </c>
      <c r="D51" s="8">
        <v>89983782</v>
      </c>
      <c r="E51" s="8">
        <v>675</v>
      </c>
      <c r="F51" s="8">
        <v>0</v>
      </c>
      <c r="G51" s="8">
        <v>224</v>
      </c>
      <c r="H51" s="8">
        <v>2871277</v>
      </c>
      <c r="I51" s="8">
        <v>6796</v>
      </c>
      <c r="J51" s="8">
        <v>87112505</v>
      </c>
    </row>
    <row r="52" spans="1:10" x14ac:dyDescent="0.2">
      <c r="A52" s="6" t="s">
        <v>60</v>
      </c>
      <c r="B52" s="6">
        <v>5</v>
      </c>
      <c r="C52" s="8">
        <v>2283</v>
      </c>
      <c r="D52" s="8">
        <v>72545040</v>
      </c>
      <c r="E52" s="8">
        <v>984</v>
      </c>
      <c r="F52" s="8">
        <v>33992280</v>
      </c>
      <c r="G52" s="8">
        <v>65</v>
      </c>
      <c r="H52" s="8">
        <v>2119659</v>
      </c>
      <c r="I52" s="8">
        <v>3202</v>
      </c>
      <c r="J52" s="8">
        <v>104417661</v>
      </c>
    </row>
    <row r="53" spans="1:10" x14ac:dyDescent="0.2">
      <c r="A53" s="6" t="s">
        <v>61</v>
      </c>
      <c r="B53" s="6">
        <v>5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</row>
    <row r="54" spans="1:10" x14ac:dyDescent="0.2">
      <c r="A54" s="6" t="s">
        <v>62</v>
      </c>
      <c r="B54" s="6">
        <v>5</v>
      </c>
      <c r="C54" s="8">
        <v>7991</v>
      </c>
      <c r="D54" s="8">
        <v>37770137</v>
      </c>
      <c r="E54" s="8">
        <v>1203</v>
      </c>
      <c r="F54" s="8">
        <v>5781600</v>
      </c>
      <c r="G54" s="8">
        <v>2405</v>
      </c>
      <c r="H54" s="8">
        <v>11392422</v>
      </c>
      <c r="I54" s="8">
        <v>6789</v>
      </c>
      <c r="J54" s="8">
        <v>32159315</v>
      </c>
    </row>
    <row r="55" spans="1:10" x14ac:dyDescent="0.2">
      <c r="A55" s="6" t="s">
        <v>63</v>
      </c>
      <c r="B55" s="6">
        <v>5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</row>
    <row r="56" spans="1:10" x14ac:dyDescent="0.2">
      <c r="A56" s="6" t="s">
        <v>64</v>
      </c>
      <c r="B56" s="6">
        <v>5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</row>
    <row r="57" spans="1:10" x14ac:dyDescent="0.2">
      <c r="A57" s="6" t="s">
        <v>65</v>
      </c>
      <c r="B57" s="6">
        <v>5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</row>
    <row r="58" spans="1:10" x14ac:dyDescent="0.2">
      <c r="A58" s="6" t="s">
        <v>66</v>
      </c>
      <c r="B58" s="6">
        <v>5</v>
      </c>
      <c r="C58" s="8">
        <v>5424</v>
      </c>
      <c r="D58" s="8">
        <v>78282397</v>
      </c>
      <c r="E58" s="8">
        <v>1500</v>
      </c>
      <c r="F58" s="8">
        <v>22255200</v>
      </c>
      <c r="G58" s="8">
        <v>3516</v>
      </c>
      <c r="H58" s="8">
        <v>51052887</v>
      </c>
      <c r="I58" s="8">
        <v>3408</v>
      </c>
      <c r="J58" s="8">
        <v>49484710</v>
      </c>
    </row>
    <row r="59" spans="1:10" x14ac:dyDescent="0.2">
      <c r="A59" s="6" t="s">
        <v>67</v>
      </c>
      <c r="B59" s="6">
        <v>5</v>
      </c>
      <c r="C59" s="8">
        <v>184</v>
      </c>
      <c r="D59" s="8">
        <v>1854600</v>
      </c>
      <c r="E59" s="8">
        <v>72</v>
      </c>
      <c r="F59" s="8">
        <v>0</v>
      </c>
      <c r="G59" s="8">
        <v>120</v>
      </c>
      <c r="H59" s="8">
        <v>869344</v>
      </c>
      <c r="I59" s="8">
        <v>136</v>
      </c>
      <c r="J59" s="8">
        <v>985256</v>
      </c>
    </row>
    <row r="60" spans="1:10" x14ac:dyDescent="0.2">
      <c r="A60" s="6" t="s">
        <v>68</v>
      </c>
      <c r="B60" s="6">
        <v>5</v>
      </c>
      <c r="C60" s="8">
        <v>240</v>
      </c>
      <c r="D60" s="8">
        <v>10472640</v>
      </c>
      <c r="E60" s="8">
        <v>96</v>
      </c>
      <c r="F60" s="8">
        <v>4398528</v>
      </c>
      <c r="G60" s="8">
        <v>0</v>
      </c>
      <c r="H60" s="8">
        <v>0</v>
      </c>
      <c r="I60" s="8">
        <v>336</v>
      </c>
      <c r="J60" s="8">
        <v>14871168</v>
      </c>
    </row>
    <row r="61" spans="1:10" x14ac:dyDescent="0.2">
      <c r="A61" s="6" t="s">
        <v>69</v>
      </c>
      <c r="B61" s="6">
        <v>5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</row>
    <row r="62" spans="1:10" x14ac:dyDescent="0.2">
      <c r="A62" s="6" t="s">
        <v>70</v>
      </c>
      <c r="B62" s="6">
        <v>5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</row>
    <row r="63" spans="1:10" x14ac:dyDescent="0.2">
      <c r="A63" s="6" t="s">
        <v>71</v>
      </c>
      <c r="B63" s="6">
        <v>5</v>
      </c>
      <c r="C63" s="8">
        <v>840</v>
      </c>
      <c r="D63" s="8">
        <v>12217800</v>
      </c>
      <c r="E63" s="8">
        <v>0</v>
      </c>
      <c r="F63" s="8">
        <v>0</v>
      </c>
      <c r="G63" s="8">
        <v>0</v>
      </c>
      <c r="H63" s="8">
        <v>0</v>
      </c>
      <c r="I63" s="8">
        <v>840</v>
      </c>
      <c r="J63" s="8">
        <v>12217800</v>
      </c>
    </row>
    <row r="64" spans="1:10" x14ac:dyDescent="0.2">
      <c r="A64" s="6" t="s">
        <v>72</v>
      </c>
      <c r="B64" s="6">
        <v>5</v>
      </c>
      <c r="C64" s="8">
        <v>1942</v>
      </c>
      <c r="D64" s="8">
        <v>38607033</v>
      </c>
      <c r="E64" s="8">
        <v>2423</v>
      </c>
      <c r="F64" s="8">
        <v>51053760</v>
      </c>
      <c r="G64" s="8">
        <v>785</v>
      </c>
      <c r="H64" s="8">
        <v>16124564</v>
      </c>
      <c r="I64" s="8">
        <v>3580</v>
      </c>
      <c r="J64" s="8">
        <v>73536229</v>
      </c>
    </row>
    <row r="65" spans="1:10" x14ac:dyDescent="0.2">
      <c r="A65" s="6" t="s">
        <v>73</v>
      </c>
      <c r="B65" s="6">
        <v>5</v>
      </c>
      <c r="C65" s="8">
        <v>2484</v>
      </c>
      <c r="D65" s="8">
        <v>76777956</v>
      </c>
      <c r="E65" s="8">
        <v>2520</v>
      </c>
      <c r="F65" s="8">
        <v>84762720</v>
      </c>
      <c r="G65" s="8">
        <v>1537</v>
      </c>
      <c r="H65" s="8">
        <v>49617909</v>
      </c>
      <c r="I65" s="8">
        <v>3467</v>
      </c>
      <c r="J65" s="8">
        <v>111922767</v>
      </c>
    </row>
    <row r="66" spans="1:10" x14ac:dyDescent="0.2">
      <c r="A66" s="6" t="s">
        <v>74</v>
      </c>
      <c r="B66" s="6">
        <v>5</v>
      </c>
      <c r="C66" s="8">
        <v>276</v>
      </c>
      <c r="D66" s="8">
        <v>3761837</v>
      </c>
      <c r="E66" s="8">
        <v>1920</v>
      </c>
      <c r="F66" s="8">
        <v>27926400</v>
      </c>
      <c r="G66" s="8">
        <v>240</v>
      </c>
      <c r="H66" s="8">
        <v>3463195</v>
      </c>
      <c r="I66" s="8">
        <v>1956</v>
      </c>
      <c r="J66" s="8">
        <v>28225042</v>
      </c>
    </row>
    <row r="67" spans="1:10" x14ac:dyDescent="0.2">
      <c r="A67" s="6" t="s">
        <v>75</v>
      </c>
      <c r="B67" s="6">
        <v>5</v>
      </c>
      <c r="C67" s="8">
        <v>4560</v>
      </c>
      <c r="D67" s="8">
        <v>1532160</v>
      </c>
      <c r="E67" s="8">
        <v>0</v>
      </c>
      <c r="F67" s="8">
        <v>0</v>
      </c>
      <c r="G67" s="8">
        <v>0</v>
      </c>
      <c r="H67" s="8">
        <v>0</v>
      </c>
      <c r="I67" s="8">
        <v>4560</v>
      </c>
      <c r="J67" s="8">
        <v>1532160</v>
      </c>
    </row>
    <row r="68" spans="1:10" x14ac:dyDescent="0.2">
      <c r="A68" s="6" t="s">
        <v>76</v>
      </c>
      <c r="B68" s="6">
        <v>5</v>
      </c>
      <c r="C68" s="8">
        <v>36</v>
      </c>
      <c r="D68" s="8">
        <v>1816380</v>
      </c>
      <c r="E68" s="8">
        <v>45</v>
      </c>
      <c r="F68" s="8">
        <v>2331810</v>
      </c>
      <c r="G68" s="8">
        <v>0</v>
      </c>
      <c r="H68" s="8">
        <v>0</v>
      </c>
      <c r="I68" s="8">
        <v>81</v>
      </c>
      <c r="J68" s="8">
        <v>4148190</v>
      </c>
    </row>
    <row r="69" spans="1:10" x14ac:dyDescent="0.2">
      <c r="A69" s="6" t="s">
        <v>77</v>
      </c>
      <c r="B69" s="6">
        <v>5</v>
      </c>
      <c r="C69" s="8">
        <v>240</v>
      </c>
      <c r="D69" s="8">
        <v>1309200</v>
      </c>
      <c r="E69" s="8">
        <v>0</v>
      </c>
      <c r="F69" s="8">
        <v>0</v>
      </c>
      <c r="G69" s="8">
        <v>0</v>
      </c>
      <c r="H69" s="8">
        <v>0</v>
      </c>
      <c r="I69" s="8">
        <v>240</v>
      </c>
      <c r="J69" s="8">
        <v>1309200</v>
      </c>
    </row>
    <row r="70" spans="1:10" x14ac:dyDescent="0.2">
      <c r="A70" s="6" t="s">
        <v>78</v>
      </c>
      <c r="B70" s="6">
        <v>5</v>
      </c>
      <c r="C70" s="8">
        <v>1802</v>
      </c>
      <c r="D70" s="8">
        <v>12902743</v>
      </c>
      <c r="E70" s="8">
        <v>1542</v>
      </c>
      <c r="F70" s="8">
        <v>0</v>
      </c>
      <c r="G70" s="8">
        <v>120</v>
      </c>
      <c r="H70" s="8">
        <v>463017</v>
      </c>
      <c r="I70" s="8">
        <v>3224</v>
      </c>
      <c r="J70" s="8">
        <v>12439726</v>
      </c>
    </row>
    <row r="71" spans="1:10" x14ac:dyDescent="0.2">
      <c r="A71" s="6" t="s">
        <v>79</v>
      </c>
      <c r="B71" s="6">
        <v>5</v>
      </c>
      <c r="C71" s="8">
        <v>811</v>
      </c>
      <c r="D71" s="8">
        <v>15245100</v>
      </c>
      <c r="E71" s="8">
        <v>897</v>
      </c>
      <c r="F71" s="8">
        <v>18065376</v>
      </c>
      <c r="G71" s="8">
        <v>75</v>
      </c>
      <c r="H71" s="8">
        <v>1462697</v>
      </c>
      <c r="I71" s="8">
        <v>1633</v>
      </c>
      <c r="J71" s="8">
        <v>31847779</v>
      </c>
    </row>
    <row r="72" spans="1:10" x14ac:dyDescent="0.2">
      <c r="A72" s="6" t="s">
        <v>80</v>
      </c>
      <c r="B72" s="6">
        <v>5</v>
      </c>
      <c r="C72" s="8">
        <v>216</v>
      </c>
      <c r="D72" s="8">
        <v>2760826</v>
      </c>
      <c r="E72" s="8">
        <v>144</v>
      </c>
      <c r="F72" s="8">
        <v>2094480</v>
      </c>
      <c r="G72" s="8">
        <v>36</v>
      </c>
      <c r="H72" s="8">
        <v>485531</v>
      </c>
      <c r="I72" s="8">
        <v>324</v>
      </c>
      <c r="J72" s="8">
        <v>4369775</v>
      </c>
    </row>
    <row r="73" spans="1:10" x14ac:dyDescent="0.2">
      <c r="A73" s="6" t="s">
        <v>81</v>
      </c>
      <c r="B73" s="6">
        <v>5</v>
      </c>
      <c r="C73" s="8">
        <v>1332</v>
      </c>
      <c r="D73" s="8">
        <v>19373940</v>
      </c>
      <c r="E73" s="8">
        <v>180</v>
      </c>
      <c r="F73" s="8">
        <v>2781900</v>
      </c>
      <c r="G73" s="8">
        <v>0</v>
      </c>
      <c r="H73" s="8">
        <v>0</v>
      </c>
      <c r="I73" s="8">
        <v>1512</v>
      </c>
      <c r="J73" s="8">
        <v>22155840</v>
      </c>
    </row>
    <row r="74" spans="1:10" x14ac:dyDescent="0.2">
      <c r="A74" s="6" t="s">
        <v>82</v>
      </c>
      <c r="B74" s="6">
        <v>5</v>
      </c>
      <c r="C74" s="8">
        <v>3960</v>
      </c>
      <c r="D74" s="8">
        <v>28080360</v>
      </c>
      <c r="E74" s="8">
        <v>0</v>
      </c>
      <c r="F74" s="8">
        <v>0</v>
      </c>
      <c r="G74" s="8">
        <v>0</v>
      </c>
      <c r="H74" s="8">
        <v>0</v>
      </c>
      <c r="I74" s="8">
        <v>3960</v>
      </c>
      <c r="J74" s="8">
        <v>28080360</v>
      </c>
    </row>
    <row r="75" spans="1:10" x14ac:dyDescent="0.2">
      <c r="A75" s="6" t="s">
        <v>83</v>
      </c>
      <c r="B75" s="6">
        <v>5</v>
      </c>
      <c r="C75" s="8">
        <v>1584</v>
      </c>
      <c r="D75" s="8">
        <v>11520432</v>
      </c>
      <c r="E75" s="8">
        <v>126</v>
      </c>
      <c r="F75" s="8">
        <v>0</v>
      </c>
      <c r="G75" s="8">
        <v>0</v>
      </c>
      <c r="H75" s="8">
        <v>0</v>
      </c>
      <c r="I75" s="8">
        <v>1710</v>
      </c>
      <c r="J75" s="8">
        <v>11520432</v>
      </c>
    </row>
    <row r="76" spans="1:10" x14ac:dyDescent="0.2">
      <c r="A76" s="6" t="s">
        <v>84</v>
      </c>
      <c r="B76" s="6">
        <v>5</v>
      </c>
      <c r="C76" s="8">
        <v>18544</v>
      </c>
      <c r="D76" s="8">
        <v>528271741</v>
      </c>
      <c r="E76" s="8">
        <v>8712</v>
      </c>
      <c r="F76" s="8">
        <v>259635600</v>
      </c>
      <c r="G76" s="8">
        <v>13357</v>
      </c>
      <c r="H76" s="8">
        <v>386119693</v>
      </c>
      <c r="I76" s="8">
        <v>13899</v>
      </c>
      <c r="J76" s="8">
        <v>401787648</v>
      </c>
    </row>
    <row r="77" spans="1:10" x14ac:dyDescent="0.2">
      <c r="A77" s="6" t="s">
        <v>85</v>
      </c>
      <c r="B77" s="6">
        <v>5</v>
      </c>
      <c r="C77" s="8">
        <v>23480</v>
      </c>
      <c r="D77" s="8">
        <v>205641742</v>
      </c>
      <c r="E77" s="8">
        <v>153</v>
      </c>
      <c r="F77" s="8">
        <v>0</v>
      </c>
      <c r="G77" s="8">
        <v>14066</v>
      </c>
      <c r="H77" s="8">
        <v>122394818</v>
      </c>
      <c r="I77" s="8">
        <v>9567</v>
      </c>
      <c r="J77" s="8">
        <v>83246924</v>
      </c>
    </row>
    <row r="78" spans="1:10" x14ac:dyDescent="0.2">
      <c r="A78" s="6" t="s">
        <v>86</v>
      </c>
      <c r="B78" s="6">
        <v>5</v>
      </c>
      <c r="C78" s="8">
        <v>45466</v>
      </c>
      <c r="D78" s="8">
        <v>318287531</v>
      </c>
      <c r="E78" s="8">
        <v>29613</v>
      </c>
      <c r="F78" s="8">
        <v>209462400</v>
      </c>
      <c r="G78" s="8">
        <v>21600</v>
      </c>
      <c r="H78" s="8">
        <v>151832050</v>
      </c>
      <c r="I78" s="8">
        <v>53479</v>
      </c>
      <c r="J78" s="8">
        <v>375917881</v>
      </c>
    </row>
    <row r="79" spans="1:10" x14ac:dyDescent="0.2">
      <c r="A79" s="6" t="s">
        <v>87</v>
      </c>
      <c r="B79" s="6">
        <v>5</v>
      </c>
      <c r="C79" s="8">
        <v>9084</v>
      </c>
      <c r="D79" s="8">
        <v>152231453</v>
      </c>
      <c r="E79" s="8">
        <v>8040</v>
      </c>
      <c r="F79" s="8">
        <v>140397840</v>
      </c>
      <c r="G79" s="8">
        <v>7746</v>
      </c>
      <c r="H79" s="8">
        <v>132370153</v>
      </c>
      <c r="I79" s="8">
        <v>9378</v>
      </c>
      <c r="J79" s="8">
        <v>160259140</v>
      </c>
    </row>
    <row r="80" spans="1:10" x14ac:dyDescent="0.2">
      <c r="A80" s="6" t="s">
        <v>88</v>
      </c>
      <c r="B80" s="6">
        <v>5</v>
      </c>
      <c r="C80" s="8">
        <v>768</v>
      </c>
      <c r="D80" s="8">
        <v>16058112</v>
      </c>
      <c r="E80" s="8">
        <v>0</v>
      </c>
      <c r="F80" s="8">
        <v>0</v>
      </c>
      <c r="G80" s="8">
        <v>0</v>
      </c>
      <c r="H80" s="8">
        <v>0</v>
      </c>
      <c r="I80" s="8">
        <v>768</v>
      </c>
      <c r="J80" s="8">
        <v>16058112</v>
      </c>
    </row>
    <row r="81" spans="1:10" x14ac:dyDescent="0.2">
      <c r="A81" s="6" t="s">
        <v>89</v>
      </c>
      <c r="B81" s="6">
        <v>5</v>
      </c>
      <c r="C81" s="8">
        <v>780</v>
      </c>
      <c r="D81" s="8">
        <v>17727060</v>
      </c>
      <c r="E81" s="8">
        <v>180</v>
      </c>
      <c r="F81" s="8">
        <v>4336380</v>
      </c>
      <c r="G81" s="8">
        <v>0</v>
      </c>
      <c r="H81" s="8">
        <v>0</v>
      </c>
      <c r="I81" s="8">
        <v>960</v>
      </c>
      <c r="J81" s="8">
        <v>22063440</v>
      </c>
    </row>
    <row r="82" spans="1:10" x14ac:dyDescent="0.2">
      <c r="A82" s="6" t="s">
        <v>90</v>
      </c>
      <c r="B82" s="6">
        <v>5</v>
      </c>
      <c r="C82" s="8">
        <v>3282</v>
      </c>
      <c r="D82" s="8">
        <v>164016574</v>
      </c>
      <c r="E82" s="8">
        <v>2220</v>
      </c>
      <c r="F82" s="8">
        <v>116046060</v>
      </c>
      <c r="G82" s="8">
        <v>1956</v>
      </c>
      <c r="H82" s="8">
        <v>99564252</v>
      </c>
      <c r="I82" s="8">
        <v>3546</v>
      </c>
      <c r="J82" s="8">
        <v>180498382</v>
      </c>
    </row>
    <row r="83" spans="1:10" x14ac:dyDescent="0.2">
      <c r="A83" s="6" t="s">
        <v>91</v>
      </c>
      <c r="B83" s="6">
        <v>5</v>
      </c>
      <c r="C83" s="8">
        <v>9584</v>
      </c>
      <c r="D83" s="8">
        <v>81048816</v>
      </c>
      <c r="E83" s="8">
        <v>3664</v>
      </c>
      <c r="F83" s="8">
        <v>27489600</v>
      </c>
      <c r="G83" s="8">
        <v>3191</v>
      </c>
      <c r="H83" s="8">
        <v>26143273</v>
      </c>
      <c r="I83" s="8">
        <v>10057</v>
      </c>
      <c r="J83" s="8">
        <v>82395143</v>
      </c>
    </row>
    <row r="84" spans="1:10" x14ac:dyDescent="0.2">
      <c r="A84" s="6" t="s">
        <v>92</v>
      </c>
      <c r="B84" s="6">
        <v>5</v>
      </c>
      <c r="C84" s="8">
        <v>18400</v>
      </c>
      <c r="D84" s="8">
        <v>8868800</v>
      </c>
      <c r="E84" s="8">
        <v>36000</v>
      </c>
      <c r="F84" s="8">
        <v>17352000</v>
      </c>
      <c r="G84" s="8">
        <v>0</v>
      </c>
      <c r="H84" s="8">
        <v>0</v>
      </c>
      <c r="I84" s="8">
        <v>54400</v>
      </c>
      <c r="J84" s="8">
        <v>26220800</v>
      </c>
    </row>
    <row r="85" spans="1:10" x14ac:dyDescent="0.2">
      <c r="A85" s="6" t="s">
        <v>93</v>
      </c>
      <c r="B85" s="6">
        <v>5</v>
      </c>
      <c r="C85" s="8">
        <v>324</v>
      </c>
      <c r="D85" s="8">
        <v>16200000</v>
      </c>
      <c r="E85" s="8">
        <v>120</v>
      </c>
      <c r="F85" s="8">
        <v>6272760</v>
      </c>
      <c r="G85" s="8">
        <v>0</v>
      </c>
      <c r="H85" s="8">
        <v>0</v>
      </c>
      <c r="I85" s="8">
        <v>444</v>
      </c>
      <c r="J85" s="8">
        <v>22472760</v>
      </c>
    </row>
    <row r="86" spans="1:10" x14ac:dyDescent="0.2">
      <c r="A86" s="6" t="s">
        <v>94</v>
      </c>
      <c r="B86" s="6">
        <v>5</v>
      </c>
      <c r="C86" s="8">
        <v>216</v>
      </c>
      <c r="D86" s="8">
        <v>1904688</v>
      </c>
      <c r="E86" s="8">
        <v>0</v>
      </c>
      <c r="F86" s="8">
        <v>0</v>
      </c>
      <c r="G86" s="8">
        <v>0</v>
      </c>
      <c r="H86" s="8">
        <v>0</v>
      </c>
      <c r="I86" s="8">
        <v>216</v>
      </c>
      <c r="J86" s="8">
        <v>1904688</v>
      </c>
    </row>
    <row r="87" spans="1:10" x14ac:dyDescent="0.2">
      <c r="A87" s="6" t="s">
        <v>95</v>
      </c>
      <c r="B87" s="6">
        <v>5</v>
      </c>
      <c r="C87" s="8">
        <v>1008</v>
      </c>
      <c r="D87" s="8">
        <v>8064000</v>
      </c>
      <c r="E87" s="8">
        <v>180</v>
      </c>
      <c r="F87" s="8">
        <v>1472760</v>
      </c>
      <c r="G87" s="8">
        <v>0</v>
      </c>
      <c r="H87" s="8">
        <v>0</v>
      </c>
      <c r="I87" s="8">
        <v>1188</v>
      </c>
      <c r="J87" s="8">
        <v>9536760</v>
      </c>
    </row>
    <row r="88" spans="1:10" x14ac:dyDescent="0.2">
      <c r="A88" s="6" t="s">
        <v>96</v>
      </c>
      <c r="B88" s="6">
        <v>5</v>
      </c>
      <c r="C88" s="8">
        <v>396</v>
      </c>
      <c r="D88" s="8">
        <v>42413852</v>
      </c>
      <c r="E88" s="8">
        <v>0</v>
      </c>
      <c r="F88" s="8">
        <v>0</v>
      </c>
      <c r="G88" s="8">
        <v>0</v>
      </c>
      <c r="H88" s="8">
        <v>0</v>
      </c>
      <c r="I88" s="8">
        <v>396</v>
      </c>
      <c r="J88" s="8">
        <v>42413852</v>
      </c>
    </row>
    <row r="89" spans="1:10" x14ac:dyDescent="0.2">
      <c r="A89" s="6" t="s">
        <v>97</v>
      </c>
      <c r="B89" s="6">
        <v>5</v>
      </c>
      <c r="C89" s="8">
        <v>23200</v>
      </c>
      <c r="D89" s="8">
        <v>11182400</v>
      </c>
      <c r="E89" s="8">
        <v>36000</v>
      </c>
      <c r="F89" s="8">
        <v>17352000</v>
      </c>
      <c r="G89" s="8">
        <v>4800</v>
      </c>
      <c r="H89" s="8">
        <v>2313600</v>
      </c>
      <c r="I89" s="8">
        <v>54400</v>
      </c>
      <c r="J89" s="8">
        <v>26220800</v>
      </c>
    </row>
    <row r="90" spans="1:10" x14ac:dyDescent="0.2">
      <c r="A90" s="6" t="s">
        <v>98</v>
      </c>
      <c r="B90" s="6">
        <v>5</v>
      </c>
      <c r="C90" s="8">
        <v>3048</v>
      </c>
      <c r="D90" s="8">
        <v>29647896</v>
      </c>
      <c r="E90" s="8">
        <v>0</v>
      </c>
      <c r="F90" s="8">
        <v>0</v>
      </c>
      <c r="G90" s="8">
        <v>0</v>
      </c>
      <c r="H90" s="8">
        <v>0</v>
      </c>
      <c r="I90" s="8">
        <v>3048</v>
      </c>
      <c r="J90" s="8">
        <v>29647896</v>
      </c>
    </row>
    <row r="91" spans="1:10" x14ac:dyDescent="0.2">
      <c r="A91" s="6" t="s">
        <v>99</v>
      </c>
      <c r="B91" s="6">
        <v>5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</row>
    <row r="92" spans="1:10" x14ac:dyDescent="0.2">
      <c r="A92" s="6" t="s">
        <v>100</v>
      </c>
      <c r="B92" s="6">
        <v>5</v>
      </c>
      <c r="C92" s="8">
        <v>3432</v>
      </c>
      <c r="D92" s="8">
        <v>166442795</v>
      </c>
      <c r="E92" s="8">
        <v>2306</v>
      </c>
      <c r="F92" s="8">
        <v>106636920</v>
      </c>
      <c r="G92" s="8">
        <v>1810</v>
      </c>
      <c r="H92" s="8">
        <v>86140517</v>
      </c>
      <c r="I92" s="8">
        <v>3928</v>
      </c>
      <c r="J92" s="8">
        <v>186939198</v>
      </c>
    </row>
    <row r="93" spans="1:10" x14ac:dyDescent="0.2">
      <c r="A93" s="6" t="s">
        <v>101</v>
      </c>
      <c r="B93" s="6">
        <v>5</v>
      </c>
      <c r="C93" s="8">
        <v>5584</v>
      </c>
      <c r="D93" s="8">
        <v>41819321</v>
      </c>
      <c r="E93" s="8">
        <v>4121</v>
      </c>
      <c r="F93" s="8">
        <v>0</v>
      </c>
      <c r="G93" s="8">
        <v>169</v>
      </c>
      <c r="H93" s="8">
        <v>728229</v>
      </c>
      <c r="I93" s="8">
        <v>9536</v>
      </c>
      <c r="J93" s="8">
        <v>41091092</v>
      </c>
    </row>
    <row r="94" spans="1:10" x14ac:dyDescent="0.2">
      <c r="A94" s="6" t="s">
        <v>102</v>
      </c>
      <c r="B94" s="6">
        <v>5</v>
      </c>
      <c r="C94" s="8">
        <v>2136</v>
      </c>
      <c r="D94" s="8">
        <v>48546226</v>
      </c>
      <c r="E94" s="8">
        <v>600</v>
      </c>
      <c r="F94" s="8">
        <v>14454600</v>
      </c>
      <c r="G94" s="8">
        <v>132</v>
      </c>
      <c r="H94" s="8">
        <v>3039514</v>
      </c>
      <c r="I94" s="8">
        <v>2604</v>
      </c>
      <c r="J94" s="8">
        <v>59961312</v>
      </c>
    </row>
    <row r="95" spans="1:10" x14ac:dyDescent="0.2">
      <c r="A95" s="6" t="s">
        <v>103</v>
      </c>
      <c r="B95" s="6">
        <v>5</v>
      </c>
      <c r="C95" s="8">
        <v>1680</v>
      </c>
      <c r="D95" s="8">
        <v>21687120</v>
      </c>
      <c r="E95" s="8">
        <v>1560</v>
      </c>
      <c r="F95" s="8">
        <v>21272160</v>
      </c>
      <c r="G95" s="8">
        <v>120</v>
      </c>
      <c r="H95" s="8">
        <v>1591084</v>
      </c>
      <c r="I95" s="8">
        <v>3120</v>
      </c>
      <c r="J95" s="8">
        <v>41368196</v>
      </c>
    </row>
    <row r="96" spans="1:10" x14ac:dyDescent="0.2">
      <c r="A96" s="6" t="s">
        <v>104</v>
      </c>
      <c r="B96" s="6">
        <v>5</v>
      </c>
      <c r="C96" s="8">
        <v>360</v>
      </c>
      <c r="D96" s="8">
        <v>6545520</v>
      </c>
      <c r="E96" s="8">
        <v>0</v>
      </c>
      <c r="F96" s="8">
        <v>0</v>
      </c>
      <c r="G96" s="8">
        <v>0</v>
      </c>
      <c r="H96" s="8">
        <v>0</v>
      </c>
      <c r="I96" s="8">
        <v>360</v>
      </c>
      <c r="J96" s="8">
        <v>6545520</v>
      </c>
    </row>
    <row r="97" spans="1:10" x14ac:dyDescent="0.2">
      <c r="A97" s="6" t="s">
        <v>105</v>
      </c>
      <c r="B97" s="6">
        <v>5</v>
      </c>
      <c r="C97" s="8">
        <v>360</v>
      </c>
      <c r="D97" s="8">
        <v>17961180</v>
      </c>
      <c r="E97" s="8">
        <v>0</v>
      </c>
      <c r="F97" s="8">
        <v>0</v>
      </c>
      <c r="G97" s="8">
        <v>0</v>
      </c>
      <c r="H97" s="8">
        <v>0</v>
      </c>
      <c r="I97" s="8">
        <v>360</v>
      </c>
      <c r="J97" s="8">
        <v>17961180</v>
      </c>
    </row>
    <row r="98" spans="1:10" x14ac:dyDescent="0.2">
      <c r="A98" s="6" t="s">
        <v>106</v>
      </c>
      <c r="B98" s="6">
        <v>5</v>
      </c>
      <c r="C98" s="8">
        <v>840</v>
      </c>
      <c r="D98" s="8">
        <v>7407120</v>
      </c>
      <c r="E98" s="8">
        <v>0</v>
      </c>
      <c r="F98" s="8">
        <v>0</v>
      </c>
      <c r="G98" s="8">
        <v>0</v>
      </c>
      <c r="H98" s="8">
        <v>0</v>
      </c>
      <c r="I98" s="8">
        <v>840</v>
      </c>
      <c r="J98" s="8">
        <v>7407120</v>
      </c>
    </row>
    <row r="99" spans="1:10" x14ac:dyDescent="0.2">
      <c r="A99" s="6" t="s">
        <v>107</v>
      </c>
      <c r="B99" s="6">
        <v>5</v>
      </c>
      <c r="C99" s="8">
        <v>340</v>
      </c>
      <c r="D99" s="8">
        <v>1341900</v>
      </c>
      <c r="E99" s="8">
        <v>168</v>
      </c>
      <c r="F99" s="8">
        <v>0</v>
      </c>
      <c r="G99" s="8">
        <v>0</v>
      </c>
      <c r="H99" s="8">
        <v>0</v>
      </c>
      <c r="I99" s="8">
        <v>508</v>
      </c>
      <c r="J99" s="8">
        <v>1341900</v>
      </c>
    </row>
    <row r="100" spans="1:10" x14ac:dyDescent="0.2">
      <c r="A100" s="6" t="s">
        <v>108</v>
      </c>
      <c r="B100" s="6">
        <v>5</v>
      </c>
      <c r="C100" s="8">
        <v>19959</v>
      </c>
      <c r="D100" s="8">
        <v>130690670</v>
      </c>
      <c r="E100" s="8">
        <v>0</v>
      </c>
      <c r="F100" s="8">
        <v>0</v>
      </c>
      <c r="G100" s="8">
        <v>3820</v>
      </c>
      <c r="H100" s="8">
        <v>25013195</v>
      </c>
      <c r="I100" s="8">
        <v>16139</v>
      </c>
      <c r="J100" s="8">
        <v>105677475</v>
      </c>
    </row>
    <row r="101" spans="1:10" x14ac:dyDescent="0.2">
      <c r="A101" s="6" t="s">
        <v>109</v>
      </c>
      <c r="B101" s="6">
        <v>5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</row>
    <row r="102" spans="1:10" x14ac:dyDescent="0.2">
      <c r="A102" s="6" t="s">
        <v>110</v>
      </c>
      <c r="B102" s="6">
        <v>5</v>
      </c>
      <c r="C102" s="8">
        <v>2268</v>
      </c>
      <c r="D102" s="8">
        <v>38016560</v>
      </c>
      <c r="E102" s="8">
        <v>0</v>
      </c>
      <c r="F102" s="8">
        <v>0</v>
      </c>
      <c r="G102" s="8">
        <v>0</v>
      </c>
      <c r="H102" s="8">
        <v>0</v>
      </c>
      <c r="I102" s="8">
        <v>2268</v>
      </c>
      <c r="J102" s="8">
        <v>38016560</v>
      </c>
    </row>
    <row r="103" spans="1:10" x14ac:dyDescent="0.2">
      <c r="A103" s="6" t="s">
        <v>111</v>
      </c>
      <c r="B103" s="6">
        <v>5</v>
      </c>
      <c r="C103" s="8">
        <v>13490</v>
      </c>
      <c r="D103" s="8">
        <v>105226730</v>
      </c>
      <c r="E103" s="8">
        <v>3047</v>
      </c>
      <c r="F103" s="8">
        <v>24000000</v>
      </c>
      <c r="G103" s="8">
        <v>10630</v>
      </c>
      <c r="H103" s="8">
        <v>83067070</v>
      </c>
      <c r="I103" s="8">
        <v>5907</v>
      </c>
      <c r="J103" s="8">
        <v>46159660</v>
      </c>
    </row>
    <row r="104" spans="1:10" x14ac:dyDescent="0.2">
      <c r="A104" s="6" t="s">
        <v>112</v>
      </c>
      <c r="B104" s="6">
        <v>5</v>
      </c>
      <c r="C104" s="8">
        <v>2280</v>
      </c>
      <c r="D104" s="8">
        <v>17825040</v>
      </c>
      <c r="E104" s="8">
        <v>1800</v>
      </c>
      <c r="F104" s="8">
        <v>14400000</v>
      </c>
      <c r="G104" s="8">
        <v>600</v>
      </c>
      <c r="H104" s="8">
        <v>4738976</v>
      </c>
      <c r="I104" s="8">
        <v>3480</v>
      </c>
      <c r="J104" s="8">
        <v>27486064</v>
      </c>
    </row>
    <row r="105" spans="1:10" x14ac:dyDescent="0.2">
      <c r="A105" s="6" t="s">
        <v>113</v>
      </c>
      <c r="B105" s="6">
        <v>5</v>
      </c>
      <c r="C105" s="8">
        <v>96</v>
      </c>
      <c r="D105" s="8">
        <v>1483680</v>
      </c>
      <c r="E105" s="8">
        <v>0</v>
      </c>
      <c r="F105" s="8">
        <v>0</v>
      </c>
      <c r="G105" s="8">
        <v>0</v>
      </c>
      <c r="H105" s="8">
        <v>0</v>
      </c>
      <c r="I105" s="8">
        <v>96</v>
      </c>
      <c r="J105" s="8">
        <v>1483680</v>
      </c>
    </row>
    <row r="106" spans="1:10" x14ac:dyDescent="0.2">
      <c r="A106" s="6" t="s">
        <v>114</v>
      </c>
      <c r="B106" s="6">
        <v>5</v>
      </c>
      <c r="C106" s="8">
        <v>240</v>
      </c>
      <c r="D106" s="8">
        <v>4363680</v>
      </c>
      <c r="E106" s="8">
        <v>0</v>
      </c>
      <c r="F106" s="8">
        <v>0</v>
      </c>
      <c r="G106" s="8">
        <v>0</v>
      </c>
      <c r="H106" s="8">
        <v>0</v>
      </c>
      <c r="I106" s="8">
        <v>240</v>
      </c>
      <c r="J106" s="8">
        <v>4363680</v>
      </c>
    </row>
    <row r="107" spans="1:10" x14ac:dyDescent="0.2">
      <c r="A107" s="6" t="s">
        <v>115</v>
      </c>
      <c r="B107" s="6">
        <v>5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</row>
    <row r="108" spans="1:10" x14ac:dyDescent="0.2">
      <c r="A108" s="6" t="s">
        <v>116</v>
      </c>
      <c r="B108" s="6">
        <v>5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</row>
    <row r="109" spans="1:10" x14ac:dyDescent="0.2">
      <c r="A109" s="6" t="s">
        <v>117</v>
      </c>
      <c r="B109" s="6">
        <v>5</v>
      </c>
      <c r="C109" s="8">
        <v>72</v>
      </c>
      <c r="D109" s="8">
        <v>1178208</v>
      </c>
      <c r="E109" s="8">
        <v>0</v>
      </c>
      <c r="F109" s="8">
        <v>0</v>
      </c>
      <c r="G109" s="8">
        <v>0</v>
      </c>
      <c r="H109" s="8">
        <v>0</v>
      </c>
      <c r="I109" s="8">
        <v>72</v>
      </c>
      <c r="J109" s="8">
        <v>1178208</v>
      </c>
    </row>
    <row r="110" spans="1:10" x14ac:dyDescent="0.2">
      <c r="A110" s="6" t="s">
        <v>118</v>
      </c>
      <c r="B110" s="6">
        <v>5</v>
      </c>
      <c r="C110" s="8">
        <v>348</v>
      </c>
      <c r="D110" s="8">
        <v>13761660</v>
      </c>
      <c r="E110" s="8">
        <v>120</v>
      </c>
      <c r="F110" s="8">
        <v>4909080</v>
      </c>
      <c r="G110" s="8">
        <v>0</v>
      </c>
      <c r="H110" s="8">
        <v>0</v>
      </c>
      <c r="I110" s="8">
        <v>468</v>
      </c>
      <c r="J110" s="8">
        <v>18670740</v>
      </c>
    </row>
    <row r="111" spans="1:10" x14ac:dyDescent="0.2">
      <c r="A111" s="6" t="s">
        <v>119</v>
      </c>
      <c r="B111" s="6">
        <v>5</v>
      </c>
      <c r="C111" s="8">
        <v>80</v>
      </c>
      <c r="D111" s="8">
        <v>1818160</v>
      </c>
      <c r="E111" s="8">
        <v>40</v>
      </c>
      <c r="F111" s="8">
        <v>909080</v>
      </c>
      <c r="G111" s="8">
        <v>0</v>
      </c>
      <c r="H111" s="8">
        <v>0</v>
      </c>
      <c r="I111" s="8">
        <v>120</v>
      </c>
      <c r="J111" s="8">
        <v>2727240</v>
      </c>
    </row>
    <row r="112" spans="1:10" x14ac:dyDescent="0.2">
      <c r="A112" s="6" t="s">
        <v>120</v>
      </c>
      <c r="B112" s="6">
        <v>5</v>
      </c>
      <c r="C112" s="8">
        <v>80</v>
      </c>
      <c r="D112" s="8">
        <v>1745440</v>
      </c>
      <c r="E112" s="8">
        <v>0</v>
      </c>
      <c r="F112" s="8">
        <v>0</v>
      </c>
      <c r="G112" s="8">
        <v>0</v>
      </c>
      <c r="H112" s="8">
        <v>0</v>
      </c>
      <c r="I112" s="8">
        <v>80</v>
      </c>
      <c r="J112" s="8">
        <v>1745440</v>
      </c>
    </row>
    <row r="113" spans="1:10" x14ac:dyDescent="0.2">
      <c r="A113" s="6" t="s">
        <v>121</v>
      </c>
      <c r="B113" s="6">
        <v>5</v>
      </c>
      <c r="C113" s="8">
        <v>5962</v>
      </c>
      <c r="D113" s="8">
        <v>64324101</v>
      </c>
      <c r="E113" s="8">
        <v>2675</v>
      </c>
      <c r="F113" s="8">
        <v>31199520</v>
      </c>
      <c r="G113" s="8">
        <v>5453</v>
      </c>
      <c r="H113" s="8">
        <v>60309170</v>
      </c>
      <c r="I113" s="8">
        <v>3184</v>
      </c>
      <c r="J113" s="8">
        <v>35214451</v>
      </c>
    </row>
    <row r="114" spans="1:10" x14ac:dyDescent="0.2">
      <c r="A114" s="6" t="s">
        <v>122</v>
      </c>
      <c r="B114" s="6">
        <v>5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</row>
    <row r="115" spans="1:10" x14ac:dyDescent="0.2">
      <c r="A115" s="6" t="s">
        <v>123</v>
      </c>
      <c r="B115" s="6">
        <v>5</v>
      </c>
      <c r="C115" s="8">
        <v>144</v>
      </c>
      <c r="D115" s="8">
        <v>2421792</v>
      </c>
      <c r="E115" s="8">
        <v>0</v>
      </c>
      <c r="F115" s="8">
        <v>0</v>
      </c>
      <c r="G115" s="8">
        <v>0</v>
      </c>
      <c r="H115" s="8">
        <v>0</v>
      </c>
      <c r="I115" s="8">
        <v>144</v>
      </c>
      <c r="J115" s="8">
        <v>2421792</v>
      </c>
    </row>
    <row r="116" spans="1:10" x14ac:dyDescent="0.2">
      <c r="A116" s="6" t="s">
        <v>124</v>
      </c>
      <c r="B116" s="6">
        <v>5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</row>
    <row r="117" spans="1:10" x14ac:dyDescent="0.2">
      <c r="A117" s="6" t="s">
        <v>125</v>
      </c>
      <c r="B117" s="6">
        <v>5</v>
      </c>
      <c r="C117" s="8">
        <v>1752</v>
      </c>
      <c r="D117" s="8">
        <v>73210294</v>
      </c>
      <c r="E117" s="8">
        <v>720</v>
      </c>
      <c r="F117" s="8">
        <v>31745520</v>
      </c>
      <c r="G117" s="8">
        <v>240</v>
      </c>
      <c r="H117" s="8">
        <v>10189885</v>
      </c>
      <c r="I117" s="8">
        <v>2232</v>
      </c>
      <c r="J117" s="8">
        <v>94765929</v>
      </c>
    </row>
    <row r="118" spans="1:10" x14ac:dyDescent="0.2">
      <c r="A118" s="6" t="s">
        <v>126</v>
      </c>
      <c r="B118" s="6">
        <v>5</v>
      </c>
      <c r="C118" s="8">
        <v>25337</v>
      </c>
      <c r="D118" s="8">
        <v>144885057</v>
      </c>
      <c r="E118" s="8">
        <v>44955</v>
      </c>
      <c r="F118" s="8">
        <v>233661600</v>
      </c>
      <c r="G118" s="8">
        <v>8505</v>
      </c>
      <c r="H118" s="8">
        <v>45802358</v>
      </c>
      <c r="I118" s="8">
        <v>61787</v>
      </c>
      <c r="J118" s="8">
        <v>332744299</v>
      </c>
    </row>
    <row r="119" spans="1:10" x14ac:dyDescent="0.2">
      <c r="A119" s="6" t="s">
        <v>127</v>
      </c>
      <c r="B119" s="6">
        <v>5</v>
      </c>
      <c r="C119" s="8">
        <v>4088</v>
      </c>
      <c r="D119" s="8">
        <v>22678920</v>
      </c>
      <c r="E119" s="8">
        <v>2513</v>
      </c>
      <c r="F119" s="8">
        <v>13744800</v>
      </c>
      <c r="G119" s="8">
        <v>640</v>
      </c>
      <c r="H119" s="8">
        <v>3531462</v>
      </c>
      <c r="I119" s="8">
        <v>5961</v>
      </c>
      <c r="J119" s="8">
        <v>32892258</v>
      </c>
    </row>
    <row r="120" spans="1:10" x14ac:dyDescent="0.2">
      <c r="A120" s="6" t="s">
        <v>128</v>
      </c>
      <c r="B120" s="6">
        <v>5</v>
      </c>
      <c r="C120" s="8">
        <v>900</v>
      </c>
      <c r="D120" s="8">
        <v>13500000</v>
      </c>
      <c r="E120" s="8">
        <v>200</v>
      </c>
      <c r="F120" s="8">
        <v>3000000</v>
      </c>
      <c r="G120" s="8">
        <v>0</v>
      </c>
      <c r="H120" s="8">
        <v>0</v>
      </c>
      <c r="I120" s="8">
        <v>1100</v>
      </c>
      <c r="J120" s="8">
        <v>16500000</v>
      </c>
    </row>
    <row r="121" spans="1:10" x14ac:dyDescent="0.2">
      <c r="A121" s="6" t="s">
        <v>129</v>
      </c>
      <c r="B121" s="6">
        <v>5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</row>
    <row r="122" spans="1:10" x14ac:dyDescent="0.2">
      <c r="A122" s="6" t="s">
        <v>130</v>
      </c>
      <c r="B122" s="6">
        <v>5</v>
      </c>
      <c r="C122" s="8">
        <v>45</v>
      </c>
      <c r="D122" s="8">
        <v>2106810</v>
      </c>
      <c r="E122" s="8">
        <v>80</v>
      </c>
      <c r="F122" s="8">
        <v>3745440</v>
      </c>
      <c r="G122" s="8">
        <v>0</v>
      </c>
      <c r="H122" s="8">
        <v>0</v>
      </c>
      <c r="I122" s="8">
        <v>125</v>
      </c>
      <c r="J122" s="8">
        <v>5852250</v>
      </c>
    </row>
    <row r="123" spans="1:10" x14ac:dyDescent="0.2">
      <c r="A123" s="6" t="s">
        <v>131</v>
      </c>
      <c r="B123" s="6">
        <v>5</v>
      </c>
      <c r="C123" s="8">
        <v>50</v>
      </c>
      <c r="D123" s="8">
        <v>2454550</v>
      </c>
      <c r="E123" s="8">
        <v>16</v>
      </c>
      <c r="F123" s="8">
        <v>785456</v>
      </c>
      <c r="G123" s="8">
        <v>10</v>
      </c>
      <c r="H123" s="8">
        <v>490910</v>
      </c>
      <c r="I123" s="8">
        <v>56</v>
      </c>
      <c r="J123" s="8">
        <v>2749096</v>
      </c>
    </row>
    <row r="124" spans="1:10" x14ac:dyDescent="0.2">
      <c r="A124" s="6" t="s">
        <v>132</v>
      </c>
      <c r="B124" s="6">
        <v>5</v>
      </c>
      <c r="C124" s="8">
        <v>50</v>
      </c>
      <c r="D124" s="8">
        <v>2181800</v>
      </c>
      <c r="E124" s="8">
        <v>300</v>
      </c>
      <c r="F124" s="8">
        <v>13090800</v>
      </c>
      <c r="G124" s="8">
        <v>200</v>
      </c>
      <c r="H124" s="8">
        <v>8727200</v>
      </c>
      <c r="I124" s="8">
        <v>150</v>
      </c>
      <c r="J124" s="8">
        <v>6545400</v>
      </c>
    </row>
    <row r="125" spans="1:10" x14ac:dyDescent="0.2">
      <c r="A125" s="6" t="s">
        <v>133</v>
      </c>
      <c r="B125" s="6">
        <v>5</v>
      </c>
      <c r="C125" s="8">
        <v>51</v>
      </c>
      <c r="D125" s="8">
        <v>1900923</v>
      </c>
      <c r="E125" s="8">
        <v>96</v>
      </c>
      <c r="F125" s="8">
        <v>3578208</v>
      </c>
      <c r="G125" s="8">
        <v>33</v>
      </c>
      <c r="H125" s="8">
        <v>1230009</v>
      </c>
      <c r="I125" s="8">
        <v>114</v>
      </c>
      <c r="J125" s="8">
        <v>4249122</v>
      </c>
    </row>
    <row r="126" spans="1:10" x14ac:dyDescent="0.2">
      <c r="A126" s="6" t="s">
        <v>134</v>
      </c>
      <c r="B126" s="6">
        <v>5</v>
      </c>
      <c r="C126" s="8">
        <v>23</v>
      </c>
      <c r="D126" s="8">
        <v>658628</v>
      </c>
      <c r="E126" s="8">
        <v>0</v>
      </c>
      <c r="F126" s="8">
        <v>0</v>
      </c>
      <c r="G126" s="8">
        <v>0</v>
      </c>
      <c r="H126" s="8">
        <v>0</v>
      </c>
      <c r="I126" s="8">
        <v>23</v>
      </c>
      <c r="J126" s="8">
        <v>658628</v>
      </c>
    </row>
    <row r="127" spans="1:10" x14ac:dyDescent="0.2">
      <c r="A127" s="6" t="s">
        <v>135</v>
      </c>
      <c r="B127" s="6">
        <v>5</v>
      </c>
      <c r="C127" s="8">
        <v>480</v>
      </c>
      <c r="D127" s="8">
        <v>88106465</v>
      </c>
      <c r="E127" s="8">
        <v>170</v>
      </c>
      <c r="F127" s="8">
        <v>31232060</v>
      </c>
      <c r="G127" s="8">
        <v>130</v>
      </c>
      <c r="H127" s="8">
        <v>23867705</v>
      </c>
      <c r="I127" s="8">
        <v>520</v>
      </c>
      <c r="J127" s="8">
        <v>95470820</v>
      </c>
    </row>
    <row r="128" spans="1:10" x14ac:dyDescent="0.2">
      <c r="A128" s="6" t="s">
        <v>136</v>
      </c>
      <c r="B128" s="6">
        <v>5</v>
      </c>
      <c r="C128" s="8">
        <v>7724</v>
      </c>
      <c r="D128" s="8">
        <v>111543247</v>
      </c>
      <c r="E128" s="8">
        <v>4877</v>
      </c>
      <c r="F128" s="8">
        <v>72000000</v>
      </c>
      <c r="G128" s="8">
        <v>6374</v>
      </c>
      <c r="H128" s="8">
        <v>92842207</v>
      </c>
      <c r="I128" s="8">
        <v>6227</v>
      </c>
      <c r="J128" s="8">
        <v>90701040</v>
      </c>
    </row>
    <row r="129" spans="1:10" x14ac:dyDescent="0.2">
      <c r="A129" s="6" t="s">
        <v>137</v>
      </c>
      <c r="B129" s="6">
        <v>5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</row>
    <row r="130" spans="1:10" x14ac:dyDescent="0.2">
      <c r="A130" s="6" t="s">
        <v>138</v>
      </c>
      <c r="B130" s="6">
        <v>5</v>
      </c>
      <c r="C130" s="8">
        <v>0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</row>
    <row r="131" spans="1:10" x14ac:dyDescent="0.2">
      <c r="A131" s="6" t="s">
        <v>139</v>
      </c>
      <c r="B131" s="6">
        <v>5</v>
      </c>
      <c r="C131" s="8">
        <v>188</v>
      </c>
      <c r="D131" s="8">
        <v>34137846</v>
      </c>
      <c r="E131" s="8">
        <v>0</v>
      </c>
      <c r="F131" s="8">
        <v>0</v>
      </c>
      <c r="G131" s="8">
        <v>0</v>
      </c>
      <c r="H131" s="8">
        <v>0</v>
      </c>
      <c r="I131" s="8">
        <v>188</v>
      </c>
      <c r="J131" s="8">
        <v>34137846</v>
      </c>
    </row>
    <row r="132" spans="1:10" x14ac:dyDescent="0.2">
      <c r="A132" s="6" t="s">
        <v>140</v>
      </c>
      <c r="B132" s="6">
        <v>5</v>
      </c>
      <c r="C132" s="8">
        <v>4871</v>
      </c>
      <c r="D132" s="8">
        <v>896164429</v>
      </c>
      <c r="E132" s="8">
        <v>2000</v>
      </c>
      <c r="F132" s="8">
        <v>368946000</v>
      </c>
      <c r="G132" s="8">
        <v>2495</v>
      </c>
      <c r="H132" s="8">
        <v>459387356</v>
      </c>
      <c r="I132" s="8">
        <v>4376</v>
      </c>
      <c r="J132" s="8">
        <v>805723073</v>
      </c>
    </row>
    <row r="133" spans="1:10" x14ac:dyDescent="0.2">
      <c r="A133" s="6" t="s">
        <v>141</v>
      </c>
      <c r="B133" s="6">
        <v>5</v>
      </c>
      <c r="C133" s="8">
        <v>3447</v>
      </c>
      <c r="D133" s="8">
        <v>630867565</v>
      </c>
      <c r="E133" s="8">
        <v>4094</v>
      </c>
      <c r="F133" s="8">
        <v>701366346</v>
      </c>
      <c r="G133" s="8">
        <v>4790</v>
      </c>
      <c r="H133" s="8">
        <v>846227348</v>
      </c>
      <c r="I133" s="8">
        <v>2751</v>
      </c>
      <c r="J133" s="8">
        <v>486006563</v>
      </c>
    </row>
    <row r="134" spans="1:10" x14ac:dyDescent="0.2">
      <c r="A134" s="6" t="s">
        <v>142</v>
      </c>
      <c r="B134" s="6">
        <v>5</v>
      </c>
      <c r="C134" s="8">
        <v>1150</v>
      </c>
      <c r="D134" s="8">
        <v>211217050</v>
      </c>
      <c r="E134" s="8">
        <v>0</v>
      </c>
      <c r="F134" s="8">
        <v>0</v>
      </c>
      <c r="G134" s="8">
        <v>0</v>
      </c>
      <c r="H134" s="8">
        <v>0</v>
      </c>
      <c r="I134" s="8">
        <v>1150</v>
      </c>
      <c r="J134" s="8">
        <v>211217050</v>
      </c>
    </row>
    <row r="135" spans="1:10" x14ac:dyDescent="0.2">
      <c r="A135" s="6" t="s">
        <v>143</v>
      </c>
      <c r="B135" s="6">
        <v>5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</row>
    <row r="136" spans="1:10" x14ac:dyDescent="0.2">
      <c r="A136" s="6" t="s">
        <v>144</v>
      </c>
      <c r="B136" s="6">
        <v>5</v>
      </c>
      <c r="C136" s="8">
        <v>1978</v>
      </c>
      <c r="D136" s="8">
        <v>360525503</v>
      </c>
      <c r="E136" s="8">
        <v>300</v>
      </c>
      <c r="F136" s="8">
        <v>54720000</v>
      </c>
      <c r="G136" s="8">
        <v>0</v>
      </c>
      <c r="H136" s="8">
        <v>0</v>
      </c>
      <c r="I136" s="8">
        <v>2278</v>
      </c>
      <c r="J136" s="8">
        <v>415245503</v>
      </c>
    </row>
    <row r="137" spans="1:10" x14ac:dyDescent="0.2">
      <c r="A137" s="6" t="s">
        <v>145</v>
      </c>
      <c r="B137" s="6">
        <v>5</v>
      </c>
      <c r="C137" s="8">
        <v>523</v>
      </c>
      <c r="D137" s="8">
        <v>93476989</v>
      </c>
      <c r="E137" s="8">
        <v>0</v>
      </c>
      <c r="F137" s="8">
        <v>0</v>
      </c>
      <c r="G137" s="8">
        <v>0</v>
      </c>
      <c r="H137" s="8">
        <v>0</v>
      </c>
      <c r="I137" s="8">
        <v>523</v>
      </c>
      <c r="J137" s="8">
        <v>93476989</v>
      </c>
    </row>
    <row r="138" spans="1:10" x14ac:dyDescent="0.2">
      <c r="A138" s="6" t="s">
        <v>146</v>
      </c>
      <c r="B138" s="6">
        <v>5</v>
      </c>
      <c r="C138" s="8">
        <v>2646</v>
      </c>
      <c r="D138" s="8">
        <v>465816611</v>
      </c>
      <c r="E138" s="8">
        <v>50</v>
      </c>
      <c r="F138" s="8">
        <v>9482750</v>
      </c>
      <c r="G138" s="8">
        <v>260</v>
      </c>
      <c r="H138" s="8">
        <v>45837475</v>
      </c>
      <c r="I138" s="8">
        <v>2436</v>
      </c>
      <c r="J138" s="8">
        <v>429461886</v>
      </c>
    </row>
    <row r="139" spans="1:10" x14ac:dyDescent="0.2">
      <c r="A139" s="6" t="s">
        <v>147</v>
      </c>
      <c r="B139" s="6">
        <v>5</v>
      </c>
      <c r="C139" s="8">
        <v>294</v>
      </c>
      <c r="D139" s="8">
        <v>26874894</v>
      </c>
      <c r="E139" s="8">
        <v>0</v>
      </c>
      <c r="F139" s="8">
        <v>0</v>
      </c>
      <c r="G139" s="8">
        <v>0</v>
      </c>
      <c r="H139" s="8">
        <v>0</v>
      </c>
      <c r="I139" s="8">
        <v>294</v>
      </c>
      <c r="J139" s="8">
        <v>26874894</v>
      </c>
    </row>
    <row r="140" spans="1:10" x14ac:dyDescent="0.2">
      <c r="A140" s="6" t="s">
        <v>148</v>
      </c>
      <c r="B140" s="6">
        <v>5</v>
      </c>
      <c r="C140" s="8">
        <v>1240</v>
      </c>
      <c r="D140" s="8">
        <v>141265189</v>
      </c>
      <c r="E140" s="8">
        <v>134</v>
      </c>
      <c r="F140" s="8">
        <v>15276000</v>
      </c>
      <c r="G140" s="8">
        <v>0</v>
      </c>
      <c r="H140" s="8">
        <v>0</v>
      </c>
      <c r="I140" s="8">
        <v>1374</v>
      </c>
      <c r="J140" s="8">
        <v>156541189</v>
      </c>
    </row>
    <row r="141" spans="1:10" x14ac:dyDescent="0.2">
      <c r="A141" s="6" t="s">
        <v>149</v>
      </c>
      <c r="B141" s="6">
        <v>5</v>
      </c>
      <c r="C141" s="8">
        <v>5709</v>
      </c>
      <c r="D141" s="8">
        <v>1083974099</v>
      </c>
      <c r="E141" s="8">
        <v>80</v>
      </c>
      <c r="F141" s="8">
        <v>15172400</v>
      </c>
      <c r="G141" s="8">
        <v>290</v>
      </c>
      <c r="H141" s="8">
        <v>55061752</v>
      </c>
      <c r="I141" s="8">
        <v>5499</v>
      </c>
      <c r="J141" s="8">
        <v>1044084747</v>
      </c>
    </row>
    <row r="142" spans="1:10" x14ac:dyDescent="0.2">
      <c r="A142" s="6" t="s">
        <v>150</v>
      </c>
      <c r="B142" s="6">
        <v>5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</row>
    <row r="143" spans="1:10" x14ac:dyDescent="0.2">
      <c r="A143" s="6" t="s">
        <v>151</v>
      </c>
      <c r="B143" s="6">
        <v>5</v>
      </c>
      <c r="C143" s="8">
        <v>249</v>
      </c>
      <c r="D143" s="8">
        <v>47306550</v>
      </c>
      <c r="E143" s="8">
        <v>30</v>
      </c>
      <c r="F143" s="8">
        <v>5689650</v>
      </c>
      <c r="G143" s="8">
        <v>20</v>
      </c>
      <c r="H143" s="8">
        <v>3799011</v>
      </c>
      <c r="I143" s="8">
        <v>259</v>
      </c>
      <c r="J143" s="8">
        <v>49197189</v>
      </c>
    </row>
    <row r="144" spans="1:10" x14ac:dyDescent="0.2">
      <c r="A144" s="6" t="s">
        <v>152</v>
      </c>
      <c r="B144" s="6">
        <v>5</v>
      </c>
      <c r="C144" s="8">
        <v>0</v>
      </c>
      <c r="D144" s="8">
        <v>0</v>
      </c>
      <c r="E144" s="8">
        <v>70</v>
      </c>
      <c r="F144" s="8">
        <v>18200000</v>
      </c>
      <c r="G144" s="8">
        <v>70</v>
      </c>
      <c r="H144" s="8">
        <v>18200000</v>
      </c>
      <c r="I144" s="8">
        <v>0</v>
      </c>
      <c r="J144" s="8">
        <v>0</v>
      </c>
    </row>
    <row r="145" spans="1:10" x14ac:dyDescent="0.2">
      <c r="A145" s="6" t="s">
        <v>153</v>
      </c>
      <c r="B145" s="6">
        <v>5</v>
      </c>
      <c r="C145" s="8">
        <v>0</v>
      </c>
      <c r="D145" s="8">
        <v>0</v>
      </c>
      <c r="E145" s="8">
        <v>87</v>
      </c>
      <c r="F145" s="8">
        <v>36105000</v>
      </c>
      <c r="G145" s="8">
        <v>87</v>
      </c>
      <c r="H145" s="8">
        <v>36105000</v>
      </c>
      <c r="I145" s="8">
        <v>0</v>
      </c>
      <c r="J145" s="8">
        <v>0</v>
      </c>
    </row>
    <row r="146" spans="1:10" x14ac:dyDescent="0.2">
      <c r="A146" s="6" t="s">
        <v>154</v>
      </c>
      <c r="B146" s="6">
        <v>5</v>
      </c>
      <c r="C146" s="8">
        <v>0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</row>
    <row r="147" spans="1:10" x14ac:dyDescent="0.2">
      <c r="A147" s="6" t="s">
        <v>155</v>
      </c>
      <c r="B147" s="6">
        <v>5</v>
      </c>
      <c r="C147" s="8">
        <v>204</v>
      </c>
      <c r="D147" s="8">
        <v>59148248</v>
      </c>
      <c r="E147" s="8">
        <v>20</v>
      </c>
      <c r="F147" s="8">
        <v>5803640</v>
      </c>
      <c r="G147" s="8">
        <v>0</v>
      </c>
      <c r="H147" s="8">
        <v>0</v>
      </c>
      <c r="I147" s="8">
        <v>224</v>
      </c>
      <c r="J147" s="8">
        <v>64951888</v>
      </c>
    </row>
    <row r="148" spans="1:10" x14ac:dyDescent="0.2">
      <c r="A148" s="6" t="s">
        <v>156</v>
      </c>
      <c r="B148" s="6">
        <v>5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</row>
    <row r="149" spans="1:10" x14ac:dyDescent="0.2">
      <c r="A149" s="6" t="s">
        <v>157</v>
      </c>
      <c r="B149" s="6">
        <v>5</v>
      </c>
      <c r="C149" s="8">
        <v>0</v>
      </c>
      <c r="D149" s="8">
        <v>0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</row>
    <row r="150" spans="1:10" x14ac:dyDescent="0.2">
      <c r="A150" s="6" t="s">
        <v>158</v>
      </c>
      <c r="B150" s="6">
        <v>5</v>
      </c>
      <c r="C150" s="8">
        <v>133</v>
      </c>
      <c r="D150" s="8">
        <v>28422312</v>
      </c>
      <c r="E150" s="8">
        <v>0</v>
      </c>
      <c r="F150" s="8">
        <v>0</v>
      </c>
      <c r="G150" s="8">
        <v>0</v>
      </c>
      <c r="H150" s="8">
        <v>0</v>
      </c>
      <c r="I150" s="8">
        <v>133</v>
      </c>
      <c r="J150" s="8">
        <v>28422312</v>
      </c>
    </row>
    <row r="151" spans="1:10" x14ac:dyDescent="0.2">
      <c r="A151" s="6" t="s">
        <v>159</v>
      </c>
      <c r="B151" s="6">
        <v>5</v>
      </c>
      <c r="C151" s="8">
        <v>83</v>
      </c>
      <c r="D151" s="8">
        <v>18269863</v>
      </c>
      <c r="E151" s="8">
        <v>0</v>
      </c>
      <c r="F151" s="8">
        <v>0</v>
      </c>
      <c r="G151" s="8">
        <v>0</v>
      </c>
      <c r="H151" s="8">
        <v>0</v>
      </c>
      <c r="I151" s="8">
        <v>83</v>
      </c>
      <c r="J151" s="8">
        <v>18269863</v>
      </c>
    </row>
    <row r="152" spans="1:10" x14ac:dyDescent="0.2">
      <c r="A152" s="6" t="s">
        <v>160</v>
      </c>
      <c r="B152" s="6">
        <v>5</v>
      </c>
      <c r="C152" s="8">
        <v>57</v>
      </c>
      <c r="D152" s="8">
        <v>15066896</v>
      </c>
      <c r="E152" s="8">
        <v>0</v>
      </c>
      <c r="F152" s="8">
        <v>0</v>
      </c>
      <c r="G152" s="8">
        <v>0</v>
      </c>
      <c r="H152" s="8">
        <v>0</v>
      </c>
      <c r="I152" s="8">
        <v>57</v>
      </c>
      <c r="J152" s="8">
        <v>15066896</v>
      </c>
    </row>
    <row r="153" spans="1:10" x14ac:dyDescent="0.2">
      <c r="A153" s="6" t="s">
        <v>161</v>
      </c>
      <c r="B153" s="6">
        <v>5</v>
      </c>
      <c r="C153" s="8">
        <v>20</v>
      </c>
      <c r="D153" s="8">
        <v>4642900</v>
      </c>
      <c r="E153" s="8">
        <v>20</v>
      </c>
      <c r="F153" s="8">
        <v>4642900</v>
      </c>
      <c r="G153" s="8">
        <v>0</v>
      </c>
      <c r="H153" s="8">
        <v>0</v>
      </c>
      <c r="I153" s="8">
        <v>40</v>
      </c>
      <c r="J153" s="8">
        <v>9285800</v>
      </c>
    </row>
    <row r="154" spans="1:10" x14ac:dyDescent="0.2">
      <c r="A154" s="6" t="s">
        <v>162</v>
      </c>
      <c r="B154" s="6">
        <v>5</v>
      </c>
      <c r="C154" s="8">
        <v>1021</v>
      </c>
      <c r="D154" s="8">
        <v>322728911</v>
      </c>
      <c r="E154" s="8">
        <v>0</v>
      </c>
      <c r="F154" s="8">
        <v>0</v>
      </c>
      <c r="G154" s="8">
        <v>0</v>
      </c>
      <c r="H154" s="8">
        <v>0</v>
      </c>
      <c r="I154" s="8">
        <v>1021</v>
      </c>
      <c r="J154" s="8">
        <v>322728911</v>
      </c>
    </row>
    <row r="155" spans="1:10" x14ac:dyDescent="0.2">
      <c r="A155" s="6" t="s">
        <v>163</v>
      </c>
      <c r="B155" s="6">
        <v>5</v>
      </c>
      <c r="C155" s="8">
        <v>0</v>
      </c>
      <c r="D155" s="8">
        <v>0</v>
      </c>
      <c r="E155" s="8">
        <v>384</v>
      </c>
      <c r="F155" s="8">
        <v>121378944</v>
      </c>
      <c r="G155" s="8">
        <v>0</v>
      </c>
      <c r="H155" s="8">
        <v>0</v>
      </c>
      <c r="I155" s="8">
        <v>384</v>
      </c>
      <c r="J155" s="8">
        <v>121378944</v>
      </c>
    </row>
    <row r="156" spans="1:10" x14ac:dyDescent="0.2">
      <c r="A156" s="6" t="s">
        <v>164</v>
      </c>
      <c r="B156" s="6">
        <v>5</v>
      </c>
      <c r="C156" s="8">
        <v>95</v>
      </c>
      <c r="D156" s="8">
        <v>13696836</v>
      </c>
      <c r="E156" s="8">
        <v>0</v>
      </c>
      <c r="F156" s="8">
        <v>0</v>
      </c>
      <c r="G156" s="8">
        <v>0</v>
      </c>
      <c r="H156" s="8">
        <v>0</v>
      </c>
      <c r="I156" s="8">
        <v>95</v>
      </c>
      <c r="J156" s="8">
        <v>13696836</v>
      </c>
    </row>
    <row r="157" spans="1:10" x14ac:dyDescent="0.2">
      <c r="A157" s="6" t="s">
        <v>165</v>
      </c>
      <c r="B157" s="6">
        <v>5</v>
      </c>
      <c r="C157" s="8">
        <v>203</v>
      </c>
      <c r="D157" s="8">
        <v>30591302</v>
      </c>
      <c r="E157" s="8">
        <v>0</v>
      </c>
      <c r="F157" s="8">
        <v>0</v>
      </c>
      <c r="G157" s="8">
        <v>0</v>
      </c>
      <c r="H157" s="8">
        <v>0</v>
      </c>
      <c r="I157" s="8">
        <v>203</v>
      </c>
      <c r="J157" s="8">
        <v>30591302</v>
      </c>
    </row>
    <row r="158" spans="1:10" x14ac:dyDescent="0.2">
      <c r="A158" s="6" t="s">
        <v>166</v>
      </c>
      <c r="B158" s="6">
        <v>5</v>
      </c>
      <c r="C158" s="8">
        <v>0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</row>
    <row r="159" spans="1:10" x14ac:dyDescent="0.2">
      <c r="A159" s="6" t="s">
        <v>167</v>
      </c>
      <c r="B159" s="6">
        <v>5</v>
      </c>
      <c r="C159" s="8">
        <v>0</v>
      </c>
      <c r="D159" s="8">
        <v>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</row>
    <row r="160" spans="1:10" x14ac:dyDescent="0.2">
      <c r="A160" s="6" t="s">
        <v>168</v>
      </c>
      <c r="B160" s="6">
        <v>5</v>
      </c>
      <c r="C160" s="8">
        <v>426</v>
      </c>
      <c r="D160" s="8">
        <v>77699230</v>
      </c>
      <c r="E160" s="8">
        <v>300</v>
      </c>
      <c r="F160" s="8">
        <v>54720000</v>
      </c>
      <c r="G160" s="8">
        <v>0</v>
      </c>
      <c r="H160" s="8">
        <v>0</v>
      </c>
      <c r="I160" s="8">
        <v>726</v>
      </c>
      <c r="J160" s="8">
        <v>132419230</v>
      </c>
    </row>
    <row r="161" spans="1:10" x14ac:dyDescent="0.2">
      <c r="A161" s="6" t="s">
        <v>169</v>
      </c>
      <c r="B161" s="6">
        <v>5</v>
      </c>
      <c r="C161" s="8">
        <v>974</v>
      </c>
      <c r="D161" s="8">
        <v>172484554</v>
      </c>
      <c r="E161" s="8">
        <v>0</v>
      </c>
      <c r="F161" s="8">
        <v>0</v>
      </c>
      <c r="G161" s="8">
        <v>0</v>
      </c>
      <c r="H161" s="8">
        <v>0</v>
      </c>
      <c r="I161" s="8">
        <v>974</v>
      </c>
      <c r="J161" s="8">
        <v>172484554</v>
      </c>
    </row>
    <row r="162" spans="1:10" x14ac:dyDescent="0.2">
      <c r="A162" s="6" t="s">
        <v>170</v>
      </c>
      <c r="B162" s="6">
        <v>5</v>
      </c>
      <c r="C162" s="8">
        <v>124</v>
      </c>
      <c r="D162" s="8">
        <v>34054864</v>
      </c>
      <c r="E162" s="8">
        <v>0</v>
      </c>
      <c r="F162" s="8">
        <v>0</v>
      </c>
      <c r="G162" s="8">
        <v>0</v>
      </c>
      <c r="H162" s="8">
        <v>0</v>
      </c>
      <c r="I162" s="8">
        <v>124</v>
      </c>
      <c r="J162" s="8">
        <v>34054864</v>
      </c>
    </row>
    <row r="163" spans="1:10" x14ac:dyDescent="0.2">
      <c r="A163" s="6" t="s">
        <v>171</v>
      </c>
      <c r="B163" s="6">
        <v>5</v>
      </c>
      <c r="C163" s="8">
        <v>0</v>
      </c>
      <c r="D163" s="8">
        <v>0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</row>
    <row r="164" spans="1:10" x14ac:dyDescent="0.2">
      <c r="A164" s="6" t="s">
        <v>172</v>
      </c>
      <c r="B164" s="6">
        <v>5</v>
      </c>
      <c r="C164" s="8">
        <v>0</v>
      </c>
      <c r="D164" s="8">
        <v>0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</row>
    <row r="165" spans="1:10" x14ac:dyDescent="0.2">
      <c r="A165" s="6" t="s">
        <v>173</v>
      </c>
      <c r="B165" s="6">
        <v>5</v>
      </c>
      <c r="C165" s="8">
        <v>0</v>
      </c>
      <c r="D165" s="8">
        <v>0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</row>
    <row r="166" spans="1:10" x14ac:dyDescent="0.2">
      <c r="A166" s="6" t="s">
        <v>174</v>
      </c>
      <c r="B166" s="6">
        <v>5</v>
      </c>
      <c r="C166" s="8">
        <v>100</v>
      </c>
      <c r="D166" s="8">
        <v>27457840</v>
      </c>
      <c r="E166" s="8">
        <v>0</v>
      </c>
      <c r="F166" s="8">
        <v>0</v>
      </c>
      <c r="G166" s="8">
        <v>0</v>
      </c>
      <c r="H166" s="8">
        <v>0</v>
      </c>
      <c r="I166" s="8">
        <v>100</v>
      </c>
      <c r="J166" s="8">
        <v>27457840</v>
      </c>
    </row>
    <row r="167" spans="1:10" x14ac:dyDescent="0.2">
      <c r="A167" s="6" t="s">
        <v>175</v>
      </c>
      <c r="B167" s="6">
        <v>5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</row>
    <row r="168" spans="1:10" x14ac:dyDescent="0.2">
      <c r="A168" s="6" t="s">
        <v>176</v>
      </c>
      <c r="B168" s="6">
        <v>5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</row>
    <row r="169" spans="1:10" x14ac:dyDescent="0.2">
      <c r="A169" s="6" t="s">
        <v>177</v>
      </c>
      <c r="B169" s="6">
        <v>5</v>
      </c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</row>
    <row r="170" spans="1:10" x14ac:dyDescent="0.2">
      <c r="A170" s="6" t="s">
        <v>178</v>
      </c>
      <c r="B170" s="6">
        <v>5</v>
      </c>
      <c r="C170" s="8">
        <v>0</v>
      </c>
      <c r="D170" s="8">
        <v>0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</row>
    <row r="171" spans="1:10" x14ac:dyDescent="0.2">
      <c r="A171" s="6" t="s">
        <v>179</v>
      </c>
      <c r="B171" s="6">
        <v>5</v>
      </c>
      <c r="C171" s="8">
        <v>19681</v>
      </c>
      <c r="D171" s="8">
        <v>102204506</v>
      </c>
      <c r="E171" s="8">
        <v>18061</v>
      </c>
      <c r="F171" s="8">
        <v>85098000</v>
      </c>
      <c r="G171" s="8">
        <v>1620</v>
      </c>
      <c r="H171" s="8">
        <v>8039586</v>
      </c>
      <c r="I171" s="8">
        <v>36122</v>
      </c>
      <c r="J171" s="8">
        <v>179262920</v>
      </c>
    </row>
    <row r="172" spans="1:10" x14ac:dyDescent="0.2">
      <c r="A172" s="6" t="s">
        <v>180</v>
      </c>
      <c r="B172" s="6">
        <v>5</v>
      </c>
      <c r="C172" s="8">
        <v>0</v>
      </c>
      <c r="D172" s="8">
        <v>0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</row>
    <row r="173" spans="1:10" x14ac:dyDescent="0.2">
      <c r="A173" s="6" t="s">
        <v>181</v>
      </c>
      <c r="B173" s="6">
        <v>5</v>
      </c>
      <c r="C173" s="8">
        <v>1365</v>
      </c>
      <c r="D173" s="8">
        <v>65623300</v>
      </c>
      <c r="E173" s="8">
        <v>450</v>
      </c>
      <c r="F173" s="8">
        <v>23125050</v>
      </c>
      <c r="G173" s="8">
        <v>1368</v>
      </c>
      <c r="H173" s="8">
        <v>66891318</v>
      </c>
      <c r="I173" s="8">
        <v>447</v>
      </c>
      <c r="J173" s="8">
        <v>21857032</v>
      </c>
    </row>
    <row r="174" spans="1:10" x14ac:dyDescent="0.2">
      <c r="A174" s="6" t="s">
        <v>182</v>
      </c>
      <c r="B174" s="6">
        <v>5</v>
      </c>
      <c r="C174" s="8">
        <v>20</v>
      </c>
      <c r="D174" s="8">
        <v>1190400</v>
      </c>
      <c r="E174" s="8">
        <v>0</v>
      </c>
      <c r="F174" s="8">
        <v>0</v>
      </c>
      <c r="G174" s="8">
        <v>0</v>
      </c>
      <c r="H174" s="8">
        <v>0</v>
      </c>
      <c r="I174" s="8">
        <v>20</v>
      </c>
      <c r="J174" s="8">
        <v>1190400</v>
      </c>
    </row>
    <row r="175" spans="1:10" x14ac:dyDescent="0.2">
      <c r="A175" s="6" t="s">
        <v>183</v>
      </c>
      <c r="B175" s="6">
        <v>5</v>
      </c>
      <c r="C175" s="8">
        <v>2840</v>
      </c>
      <c r="D175" s="8">
        <v>154385037</v>
      </c>
      <c r="E175" s="8">
        <v>200</v>
      </c>
      <c r="F175" s="8">
        <v>10880000</v>
      </c>
      <c r="G175" s="8">
        <v>50</v>
      </c>
      <c r="H175" s="8">
        <v>2718175</v>
      </c>
      <c r="I175" s="8">
        <v>2990</v>
      </c>
      <c r="J175" s="8">
        <v>162546862</v>
      </c>
    </row>
    <row r="176" spans="1:10" x14ac:dyDescent="0.2">
      <c r="A176" s="6" t="s">
        <v>184</v>
      </c>
      <c r="B176" s="6">
        <v>5</v>
      </c>
      <c r="C176" s="8">
        <v>3003</v>
      </c>
      <c r="D176" s="8">
        <v>163911650</v>
      </c>
      <c r="E176" s="8">
        <v>200</v>
      </c>
      <c r="F176" s="8">
        <v>10880000</v>
      </c>
      <c r="G176" s="8">
        <v>215</v>
      </c>
      <c r="H176" s="8">
        <v>11732814</v>
      </c>
      <c r="I176" s="8">
        <v>2988</v>
      </c>
      <c r="J176" s="8">
        <v>163058836</v>
      </c>
    </row>
    <row r="177" spans="1:10" x14ac:dyDescent="0.2">
      <c r="A177" s="6" t="s">
        <v>185</v>
      </c>
      <c r="B177" s="6">
        <v>5</v>
      </c>
      <c r="C177" s="8">
        <v>0</v>
      </c>
      <c r="D177" s="8">
        <v>0</v>
      </c>
      <c r="E177" s="8">
        <v>105</v>
      </c>
      <c r="F177" s="8">
        <v>19380000</v>
      </c>
      <c r="G177" s="8">
        <v>50</v>
      </c>
      <c r="H177" s="8">
        <v>9215277</v>
      </c>
      <c r="I177" s="8">
        <v>55</v>
      </c>
      <c r="J177" s="8">
        <v>10164723</v>
      </c>
    </row>
    <row r="178" spans="1:10" x14ac:dyDescent="0.2">
      <c r="A178" s="6" t="s">
        <v>186</v>
      </c>
      <c r="B178" s="6">
        <v>5</v>
      </c>
      <c r="C178" s="8">
        <v>0</v>
      </c>
      <c r="D178" s="8">
        <v>0</v>
      </c>
      <c r="E178" s="8">
        <v>3810</v>
      </c>
      <c r="F178" s="8">
        <v>171460999</v>
      </c>
      <c r="G178" s="8">
        <v>3810</v>
      </c>
      <c r="H178" s="8">
        <v>171460999</v>
      </c>
      <c r="I178" s="8">
        <v>0</v>
      </c>
      <c r="J178" s="8">
        <v>0</v>
      </c>
    </row>
    <row r="179" spans="1:10" x14ac:dyDescent="0.2">
      <c r="A179" s="6" t="s">
        <v>187</v>
      </c>
      <c r="B179" s="6">
        <v>5</v>
      </c>
      <c r="C179" s="8">
        <v>0</v>
      </c>
      <c r="D179" s="8">
        <v>0</v>
      </c>
      <c r="E179" s="8">
        <v>475</v>
      </c>
      <c r="F179" s="8">
        <v>19237500</v>
      </c>
      <c r="G179" s="8">
        <v>475</v>
      </c>
      <c r="H179" s="8">
        <v>19237500</v>
      </c>
      <c r="I179" s="8">
        <v>0</v>
      </c>
      <c r="J179" s="8">
        <v>0</v>
      </c>
    </row>
    <row r="180" spans="1:10" x14ac:dyDescent="0.2">
      <c r="A180" s="6" t="s">
        <v>188</v>
      </c>
      <c r="B180" s="6">
        <v>5</v>
      </c>
      <c r="C180" s="8">
        <v>4317</v>
      </c>
      <c r="D180" s="8">
        <v>796645863</v>
      </c>
      <c r="E180" s="8">
        <v>1155</v>
      </c>
      <c r="F180" s="8">
        <v>211090000</v>
      </c>
      <c r="G180" s="8">
        <v>2100</v>
      </c>
      <c r="H180" s="8">
        <v>386740737</v>
      </c>
      <c r="I180" s="8">
        <v>3372</v>
      </c>
      <c r="J180" s="8">
        <v>620995126</v>
      </c>
    </row>
    <row r="181" spans="1:10" x14ac:dyDescent="0.2">
      <c r="A181" s="6" t="s">
        <v>189</v>
      </c>
      <c r="B181" s="6">
        <v>5</v>
      </c>
      <c r="C181" s="8">
        <v>105</v>
      </c>
      <c r="D181" s="8">
        <v>4663636</v>
      </c>
      <c r="E181" s="8">
        <v>45</v>
      </c>
      <c r="F181" s="8">
        <v>1998701</v>
      </c>
      <c r="G181" s="8">
        <v>150</v>
      </c>
      <c r="H181" s="8">
        <v>6662337</v>
      </c>
      <c r="I181" s="8">
        <v>0</v>
      </c>
      <c r="J181" s="8">
        <v>0</v>
      </c>
    </row>
    <row r="182" spans="1:10" x14ac:dyDescent="0.2">
      <c r="A182" s="6" t="s">
        <v>190</v>
      </c>
      <c r="B182" s="6">
        <v>5</v>
      </c>
      <c r="C182" s="8">
        <v>3024</v>
      </c>
      <c r="D182" s="8">
        <v>88109466</v>
      </c>
      <c r="E182" s="8">
        <v>2205</v>
      </c>
      <c r="F182" s="8">
        <v>63840000</v>
      </c>
      <c r="G182" s="8">
        <v>1050</v>
      </c>
      <c r="H182" s="8">
        <v>30511941</v>
      </c>
      <c r="I182" s="8">
        <v>4179</v>
      </c>
      <c r="J182" s="8">
        <v>121437525</v>
      </c>
    </row>
    <row r="183" spans="1:10" x14ac:dyDescent="0.2">
      <c r="A183" s="6" t="s">
        <v>191</v>
      </c>
      <c r="B183" s="6">
        <v>5</v>
      </c>
      <c r="C183" s="8">
        <v>35010</v>
      </c>
      <c r="D183" s="8">
        <v>899069530</v>
      </c>
      <c r="E183" s="8">
        <v>30240</v>
      </c>
      <c r="F183" s="8">
        <v>864120000</v>
      </c>
      <c r="G183" s="8">
        <v>38785</v>
      </c>
      <c r="H183" s="8">
        <v>1111270418</v>
      </c>
      <c r="I183" s="8">
        <v>26465</v>
      </c>
      <c r="J183" s="8">
        <v>651919112</v>
      </c>
    </row>
    <row r="184" spans="1:10" x14ac:dyDescent="0.2">
      <c r="A184" s="6" t="s">
        <v>192</v>
      </c>
      <c r="B184" s="6">
        <v>5</v>
      </c>
      <c r="C184" s="8">
        <v>4440</v>
      </c>
      <c r="D184" s="8">
        <v>32227416</v>
      </c>
      <c r="E184" s="8">
        <v>1260</v>
      </c>
      <c r="F184" s="8">
        <v>9120000</v>
      </c>
      <c r="G184" s="8">
        <v>3000</v>
      </c>
      <c r="H184" s="8">
        <v>21761798</v>
      </c>
      <c r="I184" s="8">
        <v>2700</v>
      </c>
      <c r="J184" s="8">
        <v>19585618</v>
      </c>
    </row>
    <row r="185" spans="1:10" x14ac:dyDescent="0.2">
      <c r="A185" s="6" t="s">
        <v>193</v>
      </c>
      <c r="B185" s="6">
        <v>5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</row>
    <row r="186" spans="1:10" x14ac:dyDescent="0.2">
      <c r="A186" s="6" t="s">
        <v>194</v>
      </c>
      <c r="B186" s="6">
        <v>5</v>
      </c>
      <c r="C186" s="8">
        <v>168970</v>
      </c>
      <c r="D186" s="8">
        <v>1120366161</v>
      </c>
      <c r="E186" s="8">
        <v>47250</v>
      </c>
      <c r="F186" s="8">
        <v>342000000</v>
      </c>
      <c r="G186" s="8">
        <v>183150</v>
      </c>
      <c r="H186" s="8">
        <v>1336310711</v>
      </c>
      <c r="I186" s="8">
        <v>33070</v>
      </c>
      <c r="J186" s="8">
        <v>126055450</v>
      </c>
    </row>
    <row r="187" spans="1:10" x14ac:dyDescent="0.2">
      <c r="A187" s="6" t="s">
        <v>195</v>
      </c>
      <c r="B187" s="6">
        <v>5</v>
      </c>
      <c r="C187" s="8">
        <v>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</row>
    <row r="188" spans="1:10" x14ac:dyDescent="0.2">
      <c r="A188" s="6" t="s">
        <v>196</v>
      </c>
      <c r="B188" s="6">
        <v>5</v>
      </c>
      <c r="C188" s="8">
        <v>325</v>
      </c>
      <c r="D188" s="8">
        <v>54436698</v>
      </c>
      <c r="E188" s="8">
        <v>210</v>
      </c>
      <c r="F188" s="8">
        <v>35340000</v>
      </c>
      <c r="G188" s="8">
        <v>155</v>
      </c>
      <c r="H188" s="8">
        <v>26010071</v>
      </c>
      <c r="I188" s="8">
        <v>380</v>
      </c>
      <c r="J188" s="8">
        <v>63766627</v>
      </c>
    </row>
    <row r="189" spans="1:10" x14ac:dyDescent="0.2">
      <c r="A189" s="6" t="s">
        <v>197</v>
      </c>
      <c r="B189" s="6">
        <v>5</v>
      </c>
      <c r="C189" s="8">
        <v>0</v>
      </c>
      <c r="D189" s="8">
        <v>0</v>
      </c>
      <c r="E189" s="8">
        <v>630</v>
      </c>
      <c r="F189" s="8">
        <v>4560000</v>
      </c>
      <c r="G189" s="8">
        <v>300</v>
      </c>
      <c r="H189" s="8">
        <v>2171429</v>
      </c>
      <c r="I189" s="8">
        <v>330</v>
      </c>
      <c r="J189" s="8">
        <v>2388571</v>
      </c>
    </row>
    <row r="190" spans="1:10" x14ac:dyDescent="0.2">
      <c r="A190" s="6" t="s">
        <v>198</v>
      </c>
      <c r="B190" s="6">
        <v>5</v>
      </c>
      <c r="C190" s="8">
        <v>0</v>
      </c>
      <c r="D190" s="8">
        <v>0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</row>
    <row r="191" spans="1:10" x14ac:dyDescent="0.2">
      <c r="A191" s="6" t="s">
        <v>199</v>
      </c>
      <c r="B191" s="6">
        <v>5</v>
      </c>
      <c r="C191" s="8">
        <v>77660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77660</v>
      </c>
      <c r="J191" s="8">
        <v>0</v>
      </c>
    </row>
    <row r="192" spans="1:10" x14ac:dyDescent="0.2">
      <c r="A192" s="6" t="s">
        <v>200</v>
      </c>
      <c r="B192" s="6">
        <v>5</v>
      </c>
      <c r="C192" s="8">
        <v>72</v>
      </c>
      <c r="D192" s="8">
        <v>504000</v>
      </c>
      <c r="E192" s="8">
        <v>0</v>
      </c>
      <c r="F192" s="8">
        <v>0</v>
      </c>
      <c r="G192" s="8">
        <v>0</v>
      </c>
      <c r="H192" s="8">
        <v>0</v>
      </c>
      <c r="I192" s="8">
        <v>72</v>
      </c>
      <c r="J192" s="8">
        <v>504000</v>
      </c>
    </row>
    <row r="193" spans="1:10" x14ac:dyDescent="0.2">
      <c r="A193" s="6" t="s">
        <v>201</v>
      </c>
      <c r="B193" s="6">
        <v>5</v>
      </c>
      <c r="C193" s="8">
        <v>1440</v>
      </c>
      <c r="D193" s="8">
        <v>21537059</v>
      </c>
      <c r="E193" s="8">
        <v>0</v>
      </c>
      <c r="F193" s="8">
        <v>0</v>
      </c>
      <c r="G193" s="8">
        <v>0</v>
      </c>
      <c r="H193" s="8">
        <v>0</v>
      </c>
      <c r="I193" s="8">
        <v>1440</v>
      </c>
      <c r="J193" s="8">
        <v>21537059</v>
      </c>
    </row>
    <row r="194" spans="1:10" x14ac:dyDescent="0.2">
      <c r="A194" s="6" t="s">
        <v>202</v>
      </c>
      <c r="B194" s="6">
        <v>5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</row>
    <row r="195" spans="1:10" x14ac:dyDescent="0.2">
      <c r="A195" s="6" t="s">
        <v>203</v>
      </c>
      <c r="B195" s="6">
        <v>5</v>
      </c>
      <c r="C195" s="8">
        <v>2150</v>
      </c>
      <c r="D195" s="8">
        <v>25234550</v>
      </c>
      <c r="E195" s="8">
        <v>3744</v>
      </c>
      <c r="F195" s="8">
        <v>43943328</v>
      </c>
      <c r="G195" s="8">
        <v>0</v>
      </c>
      <c r="H195" s="8">
        <v>0</v>
      </c>
      <c r="I195" s="8">
        <v>5894</v>
      </c>
      <c r="J195" s="8">
        <v>69177878</v>
      </c>
    </row>
    <row r="196" spans="1:10" x14ac:dyDescent="0.2">
      <c r="A196" s="6" t="s">
        <v>204</v>
      </c>
      <c r="B196" s="6">
        <v>5</v>
      </c>
      <c r="C196" s="8">
        <v>5772</v>
      </c>
      <c r="D196" s="8">
        <v>154143658</v>
      </c>
      <c r="E196" s="8">
        <v>1440</v>
      </c>
      <c r="F196" s="8">
        <v>46094400</v>
      </c>
      <c r="G196" s="8">
        <v>549</v>
      </c>
      <c r="H196" s="8">
        <v>15242747</v>
      </c>
      <c r="I196" s="8">
        <v>6663</v>
      </c>
      <c r="J196" s="8">
        <v>184995311</v>
      </c>
    </row>
    <row r="197" spans="1:10" x14ac:dyDescent="0.2">
      <c r="A197" s="6" t="s">
        <v>205</v>
      </c>
      <c r="B197" s="6">
        <v>5</v>
      </c>
      <c r="C197" s="8">
        <v>1392</v>
      </c>
      <c r="D197" s="8">
        <v>89596747</v>
      </c>
      <c r="E197" s="8">
        <v>0</v>
      </c>
      <c r="F197" s="8">
        <v>0</v>
      </c>
      <c r="G197" s="8">
        <v>48</v>
      </c>
      <c r="H197" s="8">
        <v>3089543</v>
      </c>
      <c r="I197" s="8">
        <v>1344</v>
      </c>
      <c r="J197" s="8">
        <v>86507204</v>
      </c>
    </row>
    <row r="198" spans="1:10" x14ac:dyDescent="0.2">
      <c r="A198" s="6" t="s">
        <v>206</v>
      </c>
      <c r="B198" s="6">
        <v>5</v>
      </c>
      <c r="C198" s="8">
        <v>554</v>
      </c>
      <c r="D198" s="8">
        <v>16629666</v>
      </c>
      <c r="E198" s="8">
        <v>480</v>
      </c>
      <c r="F198" s="8">
        <v>15774528</v>
      </c>
      <c r="G198" s="8">
        <v>50</v>
      </c>
      <c r="H198" s="8">
        <v>1566934</v>
      </c>
      <c r="I198" s="8">
        <v>984</v>
      </c>
      <c r="J198" s="8">
        <v>30837260</v>
      </c>
    </row>
    <row r="199" spans="1:10" x14ac:dyDescent="0.2">
      <c r="A199" s="6" t="s">
        <v>207</v>
      </c>
      <c r="B199" s="6">
        <v>5</v>
      </c>
      <c r="C199" s="8">
        <v>0</v>
      </c>
      <c r="D199" s="8">
        <v>0</v>
      </c>
      <c r="E199" s="8">
        <v>1080</v>
      </c>
      <c r="F199" s="8">
        <v>4609440</v>
      </c>
      <c r="G199" s="8">
        <v>0</v>
      </c>
      <c r="H199" s="8">
        <v>0</v>
      </c>
      <c r="I199" s="8">
        <v>1080</v>
      </c>
      <c r="J199" s="8">
        <v>4609440</v>
      </c>
    </row>
    <row r="200" spans="1:10" x14ac:dyDescent="0.2">
      <c r="A200" s="6" t="s">
        <v>208</v>
      </c>
      <c r="B200" s="6">
        <v>5</v>
      </c>
      <c r="C200" s="8">
        <v>1949</v>
      </c>
      <c r="D200" s="8">
        <v>18015639</v>
      </c>
      <c r="E200" s="8">
        <v>0</v>
      </c>
      <c r="F200" s="8">
        <v>0</v>
      </c>
      <c r="G200" s="8">
        <v>72</v>
      </c>
      <c r="H200" s="8">
        <v>665534</v>
      </c>
      <c r="I200" s="8">
        <v>1877</v>
      </c>
      <c r="J200" s="8">
        <v>17350105</v>
      </c>
    </row>
    <row r="201" spans="1:10" x14ac:dyDescent="0.2">
      <c r="A201" s="6" t="s">
        <v>209</v>
      </c>
      <c r="B201" s="6">
        <v>5</v>
      </c>
      <c r="C201" s="8">
        <v>0</v>
      </c>
      <c r="D201" s="8">
        <v>0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</row>
    <row r="202" spans="1:10" x14ac:dyDescent="0.2">
      <c r="A202" s="6" t="s">
        <v>210</v>
      </c>
      <c r="B202" s="6">
        <v>5</v>
      </c>
      <c r="C202" s="8">
        <v>625</v>
      </c>
      <c r="D202" s="8">
        <v>6930861</v>
      </c>
      <c r="E202" s="8">
        <v>0</v>
      </c>
      <c r="F202" s="8">
        <v>0</v>
      </c>
      <c r="G202" s="8">
        <v>0</v>
      </c>
      <c r="H202" s="8">
        <v>0</v>
      </c>
      <c r="I202" s="8">
        <v>625</v>
      </c>
      <c r="J202" s="8">
        <v>6930861</v>
      </c>
    </row>
    <row r="203" spans="1:10" x14ac:dyDescent="0.2">
      <c r="A203" s="6" t="s">
        <v>211</v>
      </c>
      <c r="B203" s="6">
        <v>5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</row>
    <row r="204" spans="1:10" x14ac:dyDescent="0.2">
      <c r="A204" s="6" t="s">
        <v>212</v>
      </c>
      <c r="B204" s="6">
        <v>5</v>
      </c>
      <c r="C204" s="8">
        <v>17663</v>
      </c>
      <c r="D204" s="8">
        <v>219303674</v>
      </c>
      <c r="E204" s="8">
        <v>5040</v>
      </c>
      <c r="F204" s="8">
        <v>62576640</v>
      </c>
      <c r="G204" s="8">
        <v>12032</v>
      </c>
      <c r="H204" s="8">
        <v>149389241</v>
      </c>
      <c r="I204" s="8">
        <v>10671</v>
      </c>
      <c r="J204" s="8">
        <v>132491073</v>
      </c>
    </row>
    <row r="205" spans="1:10" x14ac:dyDescent="0.2">
      <c r="A205" s="6" t="s">
        <v>213</v>
      </c>
      <c r="B205" s="6">
        <v>5</v>
      </c>
      <c r="C205" s="8">
        <v>2160</v>
      </c>
      <c r="D205" s="8">
        <v>45884880</v>
      </c>
      <c r="E205" s="8">
        <v>2160</v>
      </c>
      <c r="F205" s="8">
        <v>45884880</v>
      </c>
      <c r="G205" s="8">
        <v>0</v>
      </c>
      <c r="H205" s="8">
        <v>0</v>
      </c>
      <c r="I205" s="8">
        <v>4320</v>
      </c>
      <c r="J205" s="8">
        <v>91769760</v>
      </c>
    </row>
    <row r="206" spans="1:10" x14ac:dyDescent="0.2">
      <c r="A206" s="6" t="s">
        <v>214</v>
      </c>
      <c r="B206" s="6">
        <v>5</v>
      </c>
      <c r="C206" s="8">
        <v>10143</v>
      </c>
      <c r="D206" s="8">
        <v>231650166</v>
      </c>
      <c r="E206" s="8">
        <v>3240</v>
      </c>
      <c r="F206" s="8">
        <v>79827120</v>
      </c>
      <c r="G206" s="8">
        <v>410</v>
      </c>
      <c r="H206" s="8">
        <v>9542381</v>
      </c>
      <c r="I206" s="8">
        <v>12973</v>
      </c>
      <c r="J206" s="8">
        <v>301934905</v>
      </c>
    </row>
    <row r="207" spans="1:10" x14ac:dyDescent="0.2">
      <c r="A207" s="6" t="s">
        <v>215</v>
      </c>
      <c r="B207" s="6">
        <v>5</v>
      </c>
      <c r="C207" s="8">
        <v>1408</v>
      </c>
      <c r="D207" s="8">
        <v>60093440</v>
      </c>
      <c r="E207" s="8">
        <v>4800</v>
      </c>
      <c r="F207" s="8">
        <v>204864000</v>
      </c>
      <c r="G207" s="8">
        <v>48</v>
      </c>
      <c r="H207" s="8">
        <v>2048640</v>
      </c>
      <c r="I207" s="8">
        <v>6160</v>
      </c>
      <c r="J207" s="8">
        <v>262908800</v>
      </c>
    </row>
    <row r="208" spans="1:10" x14ac:dyDescent="0.2">
      <c r="A208" s="6" t="s">
        <v>216</v>
      </c>
      <c r="B208" s="6">
        <v>5</v>
      </c>
      <c r="C208" s="8">
        <v>0</v>
      </c>
      <c r="D208" s="8">
        <v>0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</row>
    <row r="209" spans="1:10" x14ac:dyDescent="0.2">
      <c r="A209" s="6" t="s">
        <v>217</v>
      </c>
      <c r="B209" s="6">
        <v>5</v>
      </c>
      <c r="C209" s="8">
        <v>10</v>
      </c>
      <c r="D209" s="8">
        <v>1775003</v>
      </c>
      <c r="E209" s="8">
        <v>0</v>
      </c>
      <c r="F209" s="8">
        <v>0</v>
      </c>
      <c r="G209" s="8">
        <v>0</v>
      </c>
      <c r="H209" s="8">
        <v>0</v>
      </c>
      <c r="I209" s="8">
        <v>10</v>
      </c>
      <c r="J209" s="8">
        <v>1775003</v>
      </c>
    </row>
    <row r="210" spans="1:10" x14ac:dyDescent="0.2">
      <c r="A210" s="6" t="s">
        <v>218</v>
      </c>
      <c r="B210" s="6">
        <v>5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</row>
    <row r="211" spans="1:10" x14ac:dyDescent="0.2">
      <c r="A211" s="6" t="s">
        <v>219</v>
      </c>
      <c r="B211" s="6">
        <v>5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</row>
    <row r="212" spans="1:10" x14ac:dyDescent="0.2">
      <c r="A212" s="6" t="s">
        <v>220</v>
      </c>
      <c r="B212" s="6">
        <v>5</v>
      </c>
      <c r="C212" s="8">
        <v>0</v>
      </c>
      <c r="D212" s="8">
        <v>0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</row>
    <row r="213" spans="1:10" x14ac:dyDescent="0.2">
      <c r="A213" s="6" t="s">
        <v>221</v>
      </c>
      <c r="B213" s="6">
        <v>5</v>
      </c>
      <c r="C213" s="8">
        <v>4104</v>
      </c>
      <c r="D213" s="8">
        <v>78988469</v>
      </c>
      <c r="E213" s="8">
        <v>1440</v>
      </c>
      <c r="F213" s="8">
        <v>28355040</v>
      </c>
      <c r="G213" s="8">
        <v>580</v>
      </c>
      <c r="H213" s="8">
        <v>11230021</v>
      </c>
      <c r="I213" s="8">
        <v>4964</v>
      </c>
      <c r="J213" s="8">
        <v>96113488</v>
      </c>
    </row>
    <row r="214" spans="1:10" x14ac:dyDescent="0.2">
      <c r="A214" s="6" t="s">
        <v>222</v>
      </c>
      <c r="B214" s="6">
        <v>5</v>
      </c>
      <c r="C214" s="8">
        <v>601</v>
      </c>
      <c r="D214" s="8">
        <v>11155698</v>
      </c>
      <c r="E214" s="8">
        <v>2160</v>
      </c>
      <c r="F214" s="8">
        <v>51751440</v>
      </c>
      <c r="G214" s="8">
        <v>0</v>
      </c>
      <c r="H214" s="8">
        <v>0</v>
      </c>
      <c r="I214" s="8">
        <v>2761</v>
      </c>
      <c r="J214" s="8">
        <v>62907138</v>
      </c>
    </row>
    <row r="215" spans="1:10" x14ac:dyDescent="0.2">
      <c r="A215" s="6" t="s">
        <v>223</v>
      </c>
      <c r="B215" s="6">
        <v>5</v>
      </c>
      <c r="C215" s="8">
        <v>865</v>
      </c>
      <c r="D215" s="8">
        <v>37407424</v>
      </c>
      <c r="E215" s="8">
        <v>0</v>
      </c>
      <c r="F215" s="8">
        <v>0</v>
      </c>
      <c r="G215" s="8">
        <v>0</v>
      </c>
      <c r="H215" s="8">
        <v>0</v>
      </c>
      <c r="I215" s="8">
        <v>865</v>
      </c>
      <c r="J215" s="8">
        <v>37407424</v>
      </c>
    </row>
    <row r="216" spans="1:10" x14ac:dyDescent="0.2">
      <c r="A216" s="6" t="s">
        <v>224</v>
      </c>
      <c r="B216" s="6">
        <v>5</v>
      </c>
      <c r="C216" s="8">
        <v>336</v>
      </c>
      <c r="D216" s="8">
        <v>6713952</v>
      </c>
      <c r="E216" s="8">
        <v>0</v>
      </c>
      <c r="F216" s="8">
        <v>0</v>
      </c>
      <c r="G216" s="8">
        <v>0</v>
      </c>
      <c r="H216" s="8">
        <v>0</v>
      </c>
      <c r="I216" s="8">
        <v>336</v>
      </c>
      <c r="J216" s="8">
        <v>6713952</v>
      </c>
    </row>
    <row r="217" spans="1:10" x14ac:dyDescent="0.2">
      <c r="A217" s="6" t="s">
        <v>225</v>
      </c>
      <c r="B217" s="6">
        <v>5</v>
      </c>
      <c r="C217" s="8">
        <v>0</v>
      </c>
      <c r="D217" s="8">
        <v>0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</row>
    <row r="218" spans="1:10" x14ac:dyDescent="0.2">
      <c r="A218" s="6" t="s">
        <v>226</v>
      </c>
      <c r="B218" s="6">
        <v>5</v>
      </c>
      <c r="C218" s="8">
        <v>0</v>
      </c>
      <c r="D218" s="8">
        <v>0</v>
      </c>
      <c r="E218" s="8">
        <v>360</v>
      </c>
      <c r="F218" s="8">
        <v>7553196</v>
      </c>
      <c r="G218" s="8">
        <v>0</v>
      </c>
      <c r="H218" s="8">
        <v>0</v>
      </c>
      <c r="I218" s="8">
        <v>360</v>
      </c>
      <c r="J218" s="8">
        <v>7553196</v>
      </c>
    </row>
    <row r="219" spans="1:10" x14ac:dyDescent="0.2">
      <c r="A219" s="6" t="s">
        <v>227</v>
      </c>
      <c r="B219" s="6">
        <v>5</v>
      </c>
      <c r="C219" s="8">
        <v>491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491</v>
      </c>
      <c r="J219" s="8">
        <v>0</v>
      </c>
    </row>
    <row r="220" spans="1:10" x14ac:dyDescent="0.2">
      <c r="A220" s="6" t="s">
        <v>228</v>
      </c>
      <c r="B220" s="6">
        <v>5</v>
      </c>
      <c r="C220" s="8">
        <v>1155</v>
      </c>
      <c r="D220" s="8">
        <v>102372628</v>
      </c>
      <c r="E220" s="8">
        <v>56</v>
      </c>
      <c r="F220" s="8">
        <v>4917248</v>
      </c>
      <c r="G220" s="8">
        <v>0</v>
      </c>
      <c r="H220" s="8">
        <v>0</v>
      </c>
      <c r="I220" s="8">
        <v>1211</v>
      </c>
      <c r="J220" s="8">
        <v>107289876</v>
      </c>
    </row>
    <row r="221" spans="1:10" x14ac:dyDescent="0.2">
      <c r="A221" s="6" t="s">
        <v>229</v>
      </c>
      <c r="B221" s="6">
        <v>5</v>
      </c>
      <c r="C221" s="8">
        <v>1551</v>
      </c>
      <c r="D221" s="8">
        <v>141294093</v>
      </c>
      <c r="E221" s="8">
        <v>462</v>
      </c>
      <c r="F221" s="8">
        <v>43148028</v>
      </c>
      <c r="G221" s="8">
        <v>0</v>
      </c>
      <c r="H221" s="8">
        <v>0</v>
      </c>
      <c r="I221" s="8">
        <v>2013</v>
      </c>
      <c r="J221" s="8">
        <v>184442121</v>
      </c>
    </row>
    <row r="222" spans="1:10" x14ac:dyDescent="0.2">
      <c r="A222" s="6" t="s">
        <v>230</v>
      </c>
      <c r="B222" s="6">
        <v>5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</row>
    <row r="223" spans="1:10" x14ac:dyDescent="0.2">
      <c r="A223" s="6" t="s">
        <v>231</v>
      </c>
      <c r="B223" s="6">
        <v>5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</row>
    <row r="224" spans="1:10" x14ac:dyDescent="0.2">
      <c r="A224" s="6" t="s">
        <v>232</v>
      </c>
      <c r="B224" s="6">
        <v>5</v>
      </c>
      <c r="C224" s="8">
        <v>2195</v>
      </c>
      <c r="D224" s="8">
        <v>136581026</v>
      </c>
      <c r="E224" s="8">
        <v>284</v>
      </c>
      <c r="F224" s="8">
        <v>17277086</v>
      </c>
      <c r="G224" s="8">
        <v>1488</v>
      </c>
      <c r="H224" s="8">
        <v>92352106</v>
      </c>
      <c r="I224" s="8">
        <v>991</v>
      </c>
      <c r="J224" s="8">
        <v>61506006</v>
      </c>
    </row>
    <row r="225" spans="1:10" x14ac:dyDescent="0.2">
      <c r="A225" s="6" t="s">
        <v>233</v>
      </c>
      <c r="B225" s="6">
        <v>5</v>
      </c>
      <c r="C225" s="8">
        <v>6029</v>
      </c>
      <c r="D225" s="8">
        <v>366439886</v>
      </c>
      <c r="E225" s="8">
        <v>2941</v>
      </c>
      <c r="F225" s="8">
        <v>176870400</v>
      </c>
      <c r="G225" s="8">
        <v>7410</v>
      </c>
      <c r="H225" s="8">
        <v>448821541</v>
      </c>
      <c r="I225" s="8">
        <v>1560</v>
      </c>
      <c r="J225" s="8">
        <v>94488745</v>
      </c>
    </row>
    <row r="226" spans="1:10" x14ac:dyDescent="0.2">
      <c r="A226" s="6" t="s">
        <v>234</v>
      </c>
      <c r="B226" s="6">
        <v>5</v>
      </c>
      <c r="C226" s="8">
        <v>15320</v>
      </c>
      <c r="D226" s="8">
        <v>863227991</v>
      </c>
      <c r="E226" s="8">
        <v>14900</v>
      </c>
      <c r="F226" s="8">
        <v>851065320</v>
      </c>
      <c r="G226" s="8">
        <v>19229</v>
      </c>
      <c r="H226" s="8">
        <v>1090805628</v>
      </c>
      <c r="I226" s="8">
        <v>10991</v>
      </c>
      <c r="J226" s="8">
        <v>623487683</v>
      </c>
    </row>
    <row r="227" spans="1:10" x14ac:dyDescent="0.2">
      <c r="A227" s="6" t="s">
        <v>235</v>
      </c>
      <c r="B227" s="6">
        <v>5</v>
      </c>
      <c r="C227" s="8">
        <v>1740</v>
      </c>
      <c r="D227" s="8">
        <v>120251292</v>
      </c>
      <c r="E227" s="8">
        <v>120</v>
      </c>
      <c r="F227" s="8">
        <v>8467200</v>
      </c>
      <c r="G227" s="8">
        <v>792</v>
      </c>
      <c r="H227" s="8">
        <v>54809164</v>
      </c>
      <c r="I227" s="8">
        <v>1068</v>
      </c>
      <c r="J227" s="8">
        <v>73909328</v>
      </c>
    </row>
    <row r="228" spans="1:10" x14ac:dyDescent="0.2">
      <c r="A228" s="6" t="s">
        <v>236</v>
      </c>
      <c r="B228" s="6">
        <v>5</v>
      </c>
      <c r="C228" s="8">
        <v>0</v>
      </c>
      <c r="D228" s="8">
        <v>0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</row>
    <row r="229" spans="1:10" x14ac:dyDescent="0.2">
      <c r="A229" s="6" t="s">
        <v>237</v>
      </c>
      <c r="B229" s="6">
        <v>5</v>
      </c>
      <c r="C229" s="8">
        <v>276</v>
      </c>
      <c r="D229" s="8">
        <v>2253020</v>
      </c>
      <c r="E229" s="8">
        <v>0</v>
      </c>
      <c r="F229" s="8">
        <v>0</v>
      </c>
      <c r="G229" s="8">
        <v>0</v>
      </c>
      <c r="H229" s="8">
        <v>0</v>
      </c>
      <c r="I229" s="8">
        <v>276</v>
      </c>
      <c r="J229" s="8">
        <v>2253020</v>
      </c>
    </row>
    <row r="230" spans="1:10" x14ac:dyDescent="0.2">
      <c r="A230" s="6" t="s">
        <v>238</v>
      </c>
      <c r="B230" s="6">
        <v>5</v>
      </c>
      <c r="C230" s="8">
        <v>892</v>
      </c>
      <c r="D230" s="8">
        <v>51943532</v>
      </c>
      <c r="E230" s="8">
        <v>202</v>
      </c>
      <c r="F230" s="8">
        <v>10779996</v>
      </c>
      <c r="G230" s="8">
        <v>89</v>
      </c>
      <c r="H230" s="8">
        <v>5102737</v>
      </c>
      <c r="I230" s="8">
        <v>1005</v>
      </c>
      <c r="J230" s="8">
        <v>57620791</v>
      </c>
    </row>
    <row r="231" spans="1:10" x14ac:dyDescent="0.2">
      <c r="A231" s="6" t="s">
        <v>239</v>
      </c>
      <c r="B231" s="6">
        <v>5</v>
      </c>
      <c r="C231" s="8">
        <v>0</v>
      </c>
      <c r="D231" s="8">
        <v>0</v>
      </c>
      <c r="E231" s="8">
        <v>40</v>
      </c>
      <c r="F231" s="8">
        <v>4760000</v>
      </c>
      <c r="G231" s="8">
        <v>40</v>
      </c>
      <c r="H231" s="8">
        <v>4760000</v>
      </c>
      <c r="I231" s="8">
        <v>0</v>
      </c>
      <c r="J231" s="8">
        <v>0</v>
      </c>
    </row>
    <row r="232" spans="1:10" x14ac:dyDescent="0.2">
      <c r="A232" s="6" t="s">
        <v>240</v>
      </c>
      <c r="B232" s="6">
        <v>5</v>
      </c>
      <c r="C232" s="8">
        <v>3603</v>
      </c>
      <c r="D232" s="8">
        <v>338804868</v>
      </c>
      <c r="E232" s="8">
        <v>1890</v>
      </c>
      <c r="F232" s="8">
        <v>176699880</v>
      </c>
      <c r="G232" s="8">
        <v>497</v>
      </c>
      <c r="H232" s="8">
        <v>46642246</v>
      </c>
      <c r="I232" s="8">
        <v>4996</v>
      </c>
      <c r="J232" s="8">
        <v>468862502</v>
      </c>
    </row>
    <row r="233" spans="1:10" x14ac:dyDescent="0.2">
      <c r="A233" s="6" t="s">
        <v>241</v>
      </c>
      <c r="B233" s="6">
        <v>5</v>
      </c>
      <c r="C233" s="8">
        <v>1792</v>
      </c>
      <c r="D233" s="8">
        <v>147239492</v>
      </c>
      <c r="E233" s="8">
        <v>68</v>
      </c>
      <c r="F233" s="8">
        <v>0</v>
      </c>
      <c r="G233" s="8">
        <v>228</v>
      </c>
      <c r="H233" s="8">
        <v>18048712</v>
      </c>
      <c r="I233" s="8">
        <v>1632</v>
      </c>
      <c r="J233" s="8">
        <v>129190780</v>
      </c>
    </row>
    <row r="234" spans="1:10" x14ac:dyDescent="0.2">
      <c r="A234" s="6" t="s">
        <v>242</v>
      </c>
      <c r="B234" s="6">
        <v>5</v>
      </c>
      <c r="C234" s="8">
        <v>2082</v>
      </c>
      <c r="D234" s="8">
        <v>142777612</v>
      </c>
      <c r="E234" s="8">
        <v>63</v>
      </c>
      <c r="F234" s="8">
        <v>4556412</v>
      </c>
      <c r="G234" s="8">
        <v>84</v>
      </c>
      <c r="H234" s="8">
        <v>5769724</v>
      </c>
      <c r="I234" s="8">
        <v>2061</v>
      </c>
      <c r="J234" s="8">
        <v>141564300</v>
      </c>
    </row>
    <row r="235" spans="1:10" x14ac:dyDescent="0.2">
      <c r="A235" s="6" t="s">
        <v>243</v>
      </c>
      <c r="B235" s="6">
        <v>5</v>
      </c>
      <c r="C235" s="8">
        <v>1190</v>
      </c>
      <c r="D235" s="8">
        <v>111646076</v>
      </c>
      <c r="E235" s="8">
        <v>259</v>
      </c>
      <c r="F235" s="8">
        <v>24189046</v>
      </c>
      <c r="G235" s="8">
        <v>56</v>
      </c>
      <c r="H235" s="8">
        <v>5249667</v>
      </c>
      <c r="I235" s="8">
        <v>1393</v>
      </c>
      <c r="J235" s="8">
        <v>130585455</v>
      </c>
    </row>
    <row r="236" spans="1:10" x14ac:dyDescent="0.2">
      <c r="A236" s="6" t="s">
        <v>244</v>
      </c>
      <c r="B236" s="6">
        <v>5</v>
      </c>
      <c r="C236" s="8">
        <v>0</v>
      </c>
      <c r="D236" s="8">
        <v>0</v>
      </c>
      <c r="E236" s="8">
        <v>36</v>
      </c>
      <c r="F236" s="8">
        <v>3161088</v>
      </c>
      <c r="G236" s="8">
        <v>0</v>
      </c>
      <c r="H236" s="8">
        <v>0</v>
      </c>
      <c r="I236" s="8">
        <v>36</v>
      </c>
      <c r="J236" s="8">
        <v>3161088</v>
      </c>
    </row>
    <row r="237" spans="1:10" x14ac:dyDescent="0.2">
      <c r="A237" s="6" t="s">
        <v>245</v>
      </c>
      <c r="B237" s="6">
        <v>5</v>
      </c>
      <c r="C237" s="8">
        <v>0</v>
      </c>
      <c r="D237" s="8">
        <v>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</row>
    <row r="238" spans="1:10" x14ac:dyDescent="0.2">
      <c r="A238" s="6" t="s">
        <v>246</v>
      </c>
      <c r="B238" s="6">
        <v>5</v>
      </c>
      <c r="C238" s="8">
        <v>1584</v>
      </c>
      <c r="D238" s="8">
        <v>11290024</v>
      </c>
      <c r="E238" s="8">
        <v>1008</v>
      </c>
      <c r="F238" s="8">
        <v>7184561</v>
      </c>
      <c r="G238" s="8">
        <v>39</v>
      </c>
      <c r="H238" s="8">
        <v>277974</v>
      </c>
      <c r="I238" s="8">
        <v>2553</v>
      </c>
      <c r="J238" s="8">
        <v>18196611</v>
      </c>
    </row>
    <row r="239" spans="1:10" x14ac:dyDescent="0.2">
      <c r="A239" s="6" t="s">
        <v>247</v>
      </c>
      <c r="B239" s="6">
        <v>5</v>
      </c>
      <c r="C239" s="8">
        <v>19747</v>
      </c>
      <c r="D239" s="8">
        <v>133217591</v>
      </c>
      <c r="E239" s="8">
        <v>5040</v>
      </c>
      <c r="F239" s="8">
        <v>35922802</v>
      </c>
      <c r="G239" s="8">
        <v>167</v>
      </c>
      <c r="H239" s="8">
        <v>1139567</v>
      </c>
      <c r="I239" s="8">
        <v>24620</v>
      </c>
      <c r="J239" s="8">
        <v>168000826</v>
      </c>
    </row>
    <row r="240" spans="1:10" x14ac:dyDescent="0.2">
      <c r="A240" s="6" t="s">
        <v>248</v>
      </c>
      <c r="B240" s="6">
        <v>5</v>
      </c>
      <c r="C240" s="8">
        <v>48</v>
      </c>
      <c r="D240" s="8">
        <v>342122</v>
      </c>
      <c r="E240" s="8">
        <v>240</v>
      </c>
      <c r="F240" s="8">
        <v>1710610</v>
      </c>
      <c r="G240" s="8">
        <v>7</v>
      </c>
      <c r="H240" s="8">
        <v>49893</v>
      </c>
      <c r="I240" s="8">
        <v>281</v>
      </c>
      <c r="J240" s="8">
        <v>2002839</v>
      </c>
    </row>
    <row r="241" spans="1:10" x14ac:dyDescent="0.2">
      <c r="A241" s="6" t="s">
        <v>249</v>
      </c>
      <c r="B241" s="6">
        <v>5</v>
      </c>
      <c r="C241" s="8">
        <v>288</v>
      </c>
      <c r="D241" s="8">
        <v>2052732</v>
      </c>
      <c r="E241" s="8">
        <v>0</v>
      </c>
      <c r="F241" s="8">
        <v>0</v>
      </c>
      <c r="G241" s="8">
        <v>3</v>
      </c>
      <c r="H241" s="8">
        <v>21383</v>
      </c>
      <c r="I241" s="8">
        <v>285</v>
      </c>
      <c r="J241" s="8">
        <v>2031349</v>
      </c>
    </row>
    <row r="242" spans="1:10" x14ac:dyDescent="0.2">
      <c r="A242" s="6" t="s">
        <v>250</v>
      </c>
      <c r="B242" s="6">
        <v>5</v>
      </c>
      <c r="C242" s="8">
        <v>3650</v>
      </c>
      <c r="D242" s="8">
        <v>80017895</v>
      </c>
      <c r="E242" s="8">
        <v>3744</v>
      </c>
      <c r="F242" s="8">
        <v>26685510</v>
      </c>
      <c r="G242" s="8">
        <v>97</v>
      </c>
      <c r="H242" s="8">
        <v>1399815</v>
      </c>
      <c r="I242" s="8">
        <v>7297</v>
      </c>
      <c r="J242" s="8">
        <v>105303590</v>
      </c>
    </row>
    <row r="243" spans="1:10" x14ac:dyDescent="0.2">
      <c r="A243" s="6" t="s">
        <v>251</v>
      </c>
      <c r="B243" s="6">
        <v>5</v>
      </c>
      <c r="C243" s="8">
        <v>0</v>
      </c>
      <c r="D243" s="8">
        <v>0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</row>
    <row r="244" spans="1:10" x14ac:dyDescent="0.2">
      <c r="A244" s="6" t="s">
        <v>252</v>
      </c>
      <c r="B244" s="6">
        <v>5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</row>
    <row r="245" spans="1:10" x14ac:dyDescent="0.2">
      <c r="A245" s="6" t="s">
        <v>253</v>
      </c>
      <c r="B245" s="6">
        <v>5</v>
      </c>
      <c r="C245" s="8">
        <v>0</v>
      </c>
      <c r="D245" s="8">
        <v>0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</row>
    <row r="246" spans="1:10" x14ac:dyDescent="0.2">
      <c r="A246" s="6" t="s">
        <v>254</v>
      </c>
      <c r="B246" s="6">
        <v>5</v>
      </c>
      <c r="C246" s="8">
        <v>143</v>
      </c>
      <c r="D246" s="8">
        <v>4813153</v>
      </c>
      <c r="E246" s="8">
        <v>270</v>
      </c>
      <c r="F246" s="8">
        <v>9279360</v>
      </c>
      <c r="G246" s="8">
        <v>280</v>
      </c>
      <c r="H246" s="8">
        <v>9554246</v>
      </c>
      <c r="I246" s="8">
        <v>133</v>
      </c>
      <c r="J246" s="8">
        <v>4538267</v>
      </c>
    </row>
    <row r="247" spans="1:10" x14ac:dyDescent="0.2">
      <c r="A247" s="6" t="s">
        <v>255</v>
      </c>
      <c r="B247" s="6">
        <v>5</v>
      </c>
      <c r="C247" s="8">
        <v>2</v>
      </c>
      <c r="D247" s="8">
        <v>388972</v>
      </c>
      <c r="E247" s="8">
        <v>8</v>
      </c>
      <c r="F247" s="8">
        <v>1588992</v>
      </c>
      <c r="G247" s="8">
        <v>10</v>
      </c>
      <c r="H247" s="8">
        <v>1093106</v>
      </c>
      <c r="I247" s="8">
        <v>0</v>
      </c>
      <c r="J247" s="8">
        <v>884858</v>
      </c>
    </row>
    <row r="248" spans="1:10" x14ac:dyDescent="0.2">
      <c r="A248" s="6" t="s">
        <v>256</v>
      </c>
      <c r="B248" s="6">
        <v>5</v>
      </c>
      <c r="C248" s="8">
        <v>35</v>
      </c>
      <c r="D248" s="8">
        <v>975087</v>
      </c>
      <c r="E248" s="8">
        <v>0</v>
      </c>
      <c r="F248" s="8">
        <v>0</v>
      </c>
      <c r="G248" s="8">
        <v>10</v>
      </c>
      <c r="H248" s="8">
        <v>278596</v>
      </c>
      <c r="I248" s="8">
        <v>25</v>
      </c>
      <c r="J248" s="8">
        <v>696491</v>
      </c>
    </row>
    <row r="249" spans="1:10" x14ac:dyDescent="0.2">
      <c r="A249" s="6" t="s">
        <v>257</v>
      </c>
      <c r="B249" s="6">
        <v>5</v>
      </c>
      <c r="C249" s="8">
        <v>0</v>
      </c>
      <c r="D249" s="8">
        <v>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</row>
    <row r="250" spans="1:10" x14ac:dyDescent="0.2">
      <c r="A250" s="6" t="s">
        <v>258</v>
      </c>
      <c r="B250" s="6">
        <v>5</v>
      </c>
      <c r="C250" s="8">
        <v>1315</v>
      </c>
      <c r="D250" s="8">
        <v>5802072</v>
      </c>
      <c r="E250" s="8">
        <v>330</v>
      </c>
      <c r="F250" s="8">
        <v>5056128</v>
      </c>
      <c r="G250" s="8">
        <v>360</v>
      </c>
      <c r="H250" s="8">
        <v>5479019</v>
      </c>
      <c r="I250" s="8">
        <v>1285</v>
      </c>
      <c r="J250" s="8">
        <v>5379181</v>
      </c>
    </row>
    <row r="251" spans="1:10" x14ac:dyDescent="0.2">
      <c r="A251" s="6" t="s">
        <v>259</v>
      </c>
      <c r="B251" s="6">
        <v>5</v>
      </c>
      <c r="C251" s="8">
        <v>110</v>
      </c>
      <c r="D251" s="8">
        <v>2420810</v>
      </c>
      <c r="E251" s="8">
        <v>0</v>
      </c>
      <c r="F251" s="8">
        <v>0</v>
      </c>
      <c r="G251" s="8">
        <v>0</v>
      </c>
      <c r="H251" s="8">
        <v>0</v>
      </c>
      <c r="I251" s="8">
        <v>110</v>
      </c>
      <c r="J251" s="8">
        <v>2420810</v>
      </c>
    </row>
    <row r="252" spans="1:10" x14ac:dyDescent="0.2">
      <c r="A252" s="6" t="s">
        <v>260</v>
      </c>
      <c r="B252" s="6">
        <v>5</v>
      </c>
      <c r="C252" s="8">
        <v>2</v>
      </c>
      <c r="D252" s="8">
        <v>109792</v>
      </c>
      <c r="E252" s="8">
        <v>0</v>
      </c>
      <c r="F252" s="8">
        <v>0</v>
      </c>
      <c r="G252" s="8">
        <v>0</v>
      </c>
      <c r="H252" s="8">
        <v>0</v>
      </c>
      <c r="I252" s="8">
        <v>2</v>
      </c>
      <c r="J252" s="8">
        <v>109792</v>
      </c>
    </row>
    <row r="253" spans="1:10" x14ac:dyDescent="0.2">
      <c r="A253" s="6" t="s">
        <v>261</v>
      </c>
      <c r="B253" s="6">
        <v>5</v>
      </c>
      <c r="C253" s="8">
        <v>0</v>
      </c>
      <c r="D253" s="8">
        <v>0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</row>
    <row r="254" spans="1:10" x14ac:dyDescent="0.2">
      <c r="A254" s="6" t="s">
        <v>262</v>
      </c>
      <c r="B254" s="6">
        <v>5</v>
      </c>
      <c r="C254" s="8">
        <v>0</v>
      </c>
      <c r="D254" s="8">
        <v>0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</row>
    <row r="255" spans="1:10" x14ac:dyDescent="0.2">
      <c r="A255" s="6" t="s">
        <v>263</v>
      </c>
      <c r="B255" s="6">
        <v>5</v>
      </c>
      <c r="C255" s="8">
        <v>0</v>
      </c>
      <c r="D255" s="8">
        <v>0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</row>
    <row r="256" spans="1:10" x14ac:dyDescent="0.2">
      <c r="A256" s="6" t="s">
        <v>264</v>
      </c>
      <c r="B256" s="6">
        <v>5</v>
      </c>
      <c r="C256" s="8">
        <v>0</v>
      </c>
      <c r="D256" s="8">
        <v>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</row>
    <row r="257" spans="1:10" x14ac:dyDescent="0.2">
      <c r="A257" s="6" t="s">
        <v>265</v>
      </c>
      <c r="B257" s="6">
        <v>5</v>
      </c>
      <c r="C257" s="8">
        <v>0</v>
      </c>
      <c r="D257" s="8">
        <v>0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</row>
    <row r="258" spans="1:10" x14ac:dyDescent="0.2">
      <c r="A258" s="6" t="s">
        <v>266</v>
      </c>
      <c r="B258" s="6">
        <v>5</v>
      </c>
      <c r="C258" s="8">
        <v>0</v>
      </c>
      <c r="D258" s="8">
        <v>0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</row>
    <row r="259" spans="1:10" x14ac:dyDescent="0.2">
      <c r="A259" s="6" t="s">
        <v>267</v>
      </c>
      <c r="B259" s="6">
        <v>5</v>
      </c>
      <c r="C259" s="8">
        <v>1</v>
      </c>
      <c r="D259" s="8">
        <v>39000</v>
      </c>
      <c r="E259" s="8">
        <v>0</v>
      </c>
      <c r="F259" s="8">
        <v>0</v>
      </c>
      <c r="G259" s="8">
        <v>0</v>
      </c>
      <c r="H259" s="8">
        <v>0</v>
      </c>
      <c r="I259" s="8">
        <v>1</v>
      </c>
      <c r="J259" s="8">
        <v>39000</v>
      </c>
    </row>
    <row r="260" spans="1:10" x14ac:dyDescent="0.2">
      <c r="A260" s="6" t="s">
        <v>268</v>
      </c>
      <c r="B260" s="6">
        <v>5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</row>
    <row r="261" spans="1:10" x14ac:dyDescent="0.2">
      <c r="A261" s="6" t="s">
        <v>269</v>
      </c>
      <c r="B261" s="6">
        <v>5</v>
      </c>
      <c r="C261" s="8">
        <v>0</v>
      </c>
      <c r="D261" s="8">
        <v>0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</row>
    <row r="262" spans="1:10" x14ac:dyDescent="0.2">
      <c r="A262" s="6" t="s">
        <v>270</v>
      </c>
      <c r="B262" s="6">
        <v>5</v>
      </c>
      <c r="C262" s="8">
        <v>0</v>
      </c>
      <c r="D262" s="8">
        <v>0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</row>
    <row r="263" spans="1:10" x14ac:dyDescent="0.2">
      <c r="A263" s="6" t="s">
        <v>271</v>
      </c>
      <c r="B263" s="6">
        <v>5</v>
      </c>
      <c r="C263" s="8">
        <v>0</v>
      </c>
      <c r="D263" s="8">
        <v>0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</row>
    <row r="264" spans="1:10" x14ac:dyDescent="0.2">
      <c r="A264" s="6" t="s">
        <v>272</v>
      </c>
      <c r="B264" s="6">
        <v>5</v>
      </c>
      <c r="C264" s="8">
        <v>6</v>
      </c>
      <c r="D264" s="8">
        <v>794727</v>
      </c>
      <c r="E264" s="8">
        <v>0</v>
      </c>
      <c r="F264" s="8">
        <v>0</v>
      </c>
      <c r="G264" s="8">
        <v>0</v>
      </c>
      <c r="H264" s="8">
        <v>0</v>
      </c>
      <c r="I264" s="8">
        <v>6</v>
      </c>
      <c r="J264" s="8">
        <v>794727</v>
      </c>
    </row>
    <row r="265" spans="1:10" x14ac:dyDescent="0.2">
      <c r="A265" s="6" t="s">
        <v>273</v>
      </c>
      <c r="B265" s="6">
        <v>5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</row>
    <row r="266" spans="1:10" x14ac:dyDescent="0.2">
      <c r="A266" s="6" t="s">
        <v>274</v>
      </c>
      <c r="B266" s="6">
        <v>5</v>
      </c>
      <c r="C266" s="8">
        <v>0</v>
      </c>
      <c r="D266" s="8">
        <v>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</row>
    <row r="267" spans="1:10" x14ac:dyDescent="0.2">
      <c r="A267" s="6" t="s">
        <v>275</v>
      </c>
      <c r="B267" s="6">
        <v>5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</row>
    <row r="268" spans="1:10" x14ac:dyDescent="0.2">
      <c r="A268" s="6" t="s">
        <v>276</v>
      </c>
      <c r="B268" s="6">
        <v>5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</row>
    <row r="269" spans="1:10" x14ac:dyDescent="0.2">
      <c r="A269" s="6" t="s">
        <v>277</v>
      </c>
      <c r="B269" s="6">
        <v>5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</row>
    <row r="270" spans="1:10" x14ac:dyDescent="0.2">
      <c r="A270" s="6" t="s">
        <v>278</v>
      </c>
      <c r="B270" s="6">
        <v>5</v>
      </c>
      <c r="C270" s="8">
        <v>0</v>
      </c>
      <c r="D270" s="8">
        <v>0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</row>
    <row r="271" spans="1:10" x14ac:dyDescent="0.2">
      <c r="A271" s="6" t="s">
        <v>279</v>
      </c>
      <c r="B271" s="6">
        <v>5</v>
      </c>
      <c r="C271" s="8">
        <v>0</v>
      </c>
      <c r="D271" s="8">
        <v>0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</row>
    <row r="272" spans="1:10" x14ac:dyDescent="0.2">
      <c r="A272" s="6" t="s">
        <v>280</v>
      </c>
      <c r="B272" s="6">
        <v>5</v>
      </c>
      <c r="C272" s="8">
        <v>0</v>
      </c>
      <c r="D272" s="8">
        <v>0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</row>
    <row r="273" spans="1:10" x14ac:dyDescent="0.2">
      <c r="A273" s="6" t="s">
        <v>281</v>
      </c>
      <c r="B273" s="6">
        <v>5</v>
      </c>
      <c r="C273" s="8">
        <v>3</v>
      </c>
      <c r="D273" s="8">
        <v>50524</v>
      </c>
      <c r="E273" s="8">
        <v>40</v>
      </c>
      <c r="F273" s="8">
        <v>705600</v>
      </c>
      <c r="G273" s="8">
        <v>0</v>
      </c>
      <c r="H273" s="8">
        <v>0</v>
      </c>
      <c r="I273" s="8">
        <v>43</v>
      </c>
      <c r="J273" s="8">
        <v>756124</v>
      </c>
    </row>
    <row r="274" spans="1:10" x14ac:dyDescent="0.2">
      <c r="A274" s="6" t="s">
        <v>282</v>
      </c>
      <c r="B274" s="6">
        <v>5</v>
      </c>
      <c r="C274" s="8">
        <v>0</v>
      </c>
      <c r="D274" s="8">
        <v>0</v>
      </c>
      <c r="E274" s="8">
        <v>18</v>
      </c>
      <c r="F274" s="8">
        <v>1234800</v>
      </c>
      <c r="G274" s="8">
        <v>0</v>
      </c>
      <c r="H274" s="8">
        <v>0</v>
      </c>
      <c r="I274" s="8">
        <v>18</v>
      </c>
      <c r="J274" s="8">
        <v>1234800</v>
      </c>
    </row>
    <row r="275" spans="1:10" x14ac:dyDescent="0.2">
      <c r="A275" s="6" t="s">
        <v>283</v>
      </c>
      <c r="B275" s="6">
        <v>5</v>
      </c>
      <c r="C275" s="8">
        <v>2475</v>
      </c>
      <c r="D275" s="8">
        <v>54043696</v>
      </c>
      <c r="E275" s="8">
        <v>840</v>
      </c>
      <c r="F275" s="8">
        <v>30199680</v>
      </c>
      <c r="G275" s="8">
        <v>1515</v>
      </c>
      <c r="H275" s="8">
        <v>52991132</v>
      </c>
      <c r="I275" s="8">
        <v>1800</v>
      </c>
      <c r="J275" s="8">
        <v>31252244</v>
      </c>
    </row>
    <row r="276" spans="1:10" x14ac:dyDescent="0.2">
      <c r="A276" s="6" t="s">
        <v>284</v>
      </c>
      <c r="B276" s="6">
        <v>5</v>
      </c>
      <c r="C276" s="8">
        <v>120</v>
      </c>
      <c r="D276" s="8">
        <v>5357463</v>
      </c>
      <c r="E276" s="8">
        <v>60</v>
      </c>
      <c r="F276" s="8">
        <v>2761920</v>
      </c>
      <c r="G276" s="8">
        <v>35</v>
      </c>
      <c r="H276" s="8">
        <v>1578769</v>
      </c>
      <c r="I276" s="8">
        <v>145</v>
      </c>
      <c r="J276" s="8">
        <v>6540614</v>
      </c>
    </row>
    <row r="277" spans="1:10" x14ac:dyDescent="0.2">
      <c r="A277" s="6" t="s">
        <v>285</v>
      </c>
      <c r="B277" s="6">
        <v>5</v>
      </c>
      <c r="C277" s="8">
        <v>5</v>
      </c>
      <c r="D277" s="8">
        <v>570110</v>
      </c>
      <c r="E277" s="8">
        <v>10</v>
      </c>
      <c r="F277" s="8">
        <v>1164480</v>
      </c>
      <c r="G277" s="8">
        <v>10</v>
      </c>
      <c r="H277" s="8">
        <v>1147995</v>
      </c>
      <c r="I277" s="8">
        <v>5</v>
      </c>
      <c r="J277" s="8">
        <v>586595</v>
      </c>
    </row>
    <row r="278" spans="1:10" x14ac:dyDescent="0.2">
      <c r="A278" s="6" t="s">
        <v>286</v>
      </c>
      <c r="B278" s="6">
        <v>5</v>
      </c>
      <c r="C278" s="8">
        <v>8</v>
      </c>
      <c r="D278" s="8">
        <v>847410</v>
      </c>
      <c r="E278" s="8">
        <v>0</v>
      </c>
      <c r="F278" s="8">
        <v>0</v>
      </c>
      <c r="G278" s="8">
        <v>0</v>
      </c>
      <c r="H278" s="8">
        <v>0</v>
      </c>
      <c r="I278" s="8">
        <v>8</v>
      </c>
      <c r="J278" s="8">
        <v>847410</v>
      </c>
    </row>
    <row r="279" spans="1:10" x14ac:dyDescent="0.2">
      <c r="A279" s="6" t="s">
        <v>287</v>
      </c>
      <c r="B279" s="6">
        <v>5</v>
      </c>
      <c r="C279" s="8">
        <v>0</v>
      </c>
      <c r="D279" s="8">
        <v>0</v>
      </c>
      <c r="E279" s="8">
        <v>8</v>
      </c>
      <c r="F279" s="8">
        <v>888480</v>
      </c>
      <c r="G279" s="8">
        <v>0</v>
      </c>
      <c r="H279" s="8">
        <v>0</v>
      </c>
      <c r="I279" s="8">
        <v>8</v>
      </c>
      <c r="J279" s="8">
        <v>888480</v>
      </c>
    </row>
    <row r="280" spans="1:10" x14ac:dyDescent="0.2">
      <c r="A280" s="6" t="s">
        <v>288</v>
      </c>
      <c r="B280" s="6">
        <v>5</v>
      </c>
      <c r="C280" s="8">
        <v>0</v>
      </c>
      <c r="D280" s="8">
        <v>0</v>
      </c>
      <c r="E280" s="8">
        <v>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</row>
    <row r="281" spans="1:10" x14ac:dyDescent="0.2">
      <c r="A281" s="6" t="s">
        <v>289</v>
      </c>
      <c r="B281" s="6">
        <v>5</v>
      </c>
      <c r="C281" s="8">
        <v>5241</v>
      </c>
      <c r="D281" s="8">
        <v>18544800</v>
      </c>
      <c r="E281" s="8">
        <v>0</v>
      </c>
      <c r="F281" s="8">
        <v>0</v>
      </c>
      <c r="G281" s="8">
        <v>0</v>
      </c>
      <c r="H281" s="8">
        <v>0</v>
      </c>
      <c r="I281" s="8">
        <v>5241</v>
      </c>
      <c r="J281" s="8">
        <v>18544800</v>
      </c>
    </row>
    <row r="282" spans="1:10" x14ac:dyDescent="0.2">
      <c r="A282" s="6" t="s">
        <v>290</v>
      </c>
      <c r="B282" s="6">
        <v>5</v>
      </c>
      <c r="C282" s="8">
        <v>2026</v>
      </c>
      <c r="D282" s="8">
        <v>180293091</v>
      </c>
      <c r="E282" s="8">
        <v>468</v>
      </c>
      <c r="F282" s="8">
        <v>41644512</v>
      </c>
      <c r="G282" s="8">
        <v>432</v>
      </c>
      <c r="H282" s="8">
        <v>38443081</v>
      </c>
      <c r="I282" s="8">
        <v>2062</v>
      </c>
      <c r="J282" s="8">
        <v>183494522</v>
      </c>
    </row>
    <row r="283" spans="1:10" x14ac:dyDescent="0.2">
      <c r="A283" s="6" t="s">
        <v>291</v>
      </c>
      <c r="B283" s="6">
        <v>5</v>
      </c>
      <c r="C283" s="8">
        <v>3682</v>
      </c>
      <c r="D283" s="8">
        <v>343667715</v>
      </c>
      <c r="E283" s="8">
        <v>1050</v>
      </c>
      <c r="F283" s="8">
        <v>98166600</v>
      </c>
      <c r="G283" s="8">
        <v>91</v>
      </c>
      <c r="H283" s="8">
        <v>8496814</v>
      </c>
      <c r="I283" s="8">
        <v>4641</v>
      </c>
      <c r="J283" s="8">
        <v>433337501</v>
      </c>
    </row>
    <row r="284" spans="1:10" x14ac:dyDescent="0.2">
      <c r="A284" s="6" t="s">
        <v>292</v>
      </c>
      <c r="B284" s="6">
        <v>5</v>
      </c>
      <c r="C284" s="8">
        <v>1191</v>
      </c>
      <c r="D284" s="8">
        <v>86492448</v>
      </c>
      <c r="E284" s="8">
        <v>241</v>
      </c>
      <c r="F284" s="8">
        <v>12813696</v>
      </c>
      <c r="G284" s="8">
        <v>0</v>
      </c>
      <c r="H284" s="8">
        <v>0</v>
      </c>
      <c r="I284" s="8">
        <v>1432</v>
      </c>
      <c r="J284" s="8">
        <v>99306144</v>
      </c>
    </row>
    <row r="285" spans="1:10" x14ac:dyDescent="0.2">
      <c r="A285" s="6"/>
      <c r="B285" s="6"/>
      <c r="C285" s="5">
        <v>1130577</v>
      </c>
      <c r="D285" s="5">
        <v>17417754156</v>
      </c>
      <c r="E285" s="5">
        <v>410719</v>
      </c>
      <c r="F285" s="5">
        <v>7856754302</v>
      </c>
      <c r="G285" s="5">
        <v>436661</v>
      </c>
      <c r="H285" s="5">
        <v>9002504084</v>
      </c>
      <c r="I285" s="5">
        <v>1104635</v>
      </c>
      <c r="J285" s="5">
        <v>16272004374</v>
      </c>
    </row>
  </sheetData>
  <mergeCells count="4">
    <mergeCell ref="C1:D1"/>
    <mergeCell ref="E1:F1"/>
    <mergeCell ref="G1:H1"/>
    <mergeCell ref="I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W285"/>
  <sheetViews>
    <sheetView topLeftCell="A274" workbookViewId="0"/>
  </sheetViews>
  <sheetFormatPr defaultColWidth="12.5703125" defaultRowHeight="15.75" customHeight="1" x14ac:dyDescent="0.2"/>
  <sheetData>
    <row r="1" spans="1:23" x14ac:dyDescent="0.2">
      <c r="A1" s="1"/>
      <c r="B1" s="2"/>
      <c r="C1" s="210" t="s">
        <v>0</v>
      </c>
      <c r="D1" s="211"/>
      <c r="E1" s="210" t="s">
        <v>1</v>
      </c>
      <c r="F1" s="211"/>
      <c r="G1" s="210" t="s">
        <v>2</v>
      </c>
      <c r="H1" s="211"/>
      <c r="I1" s="210" t="s">
        <v>3</v>
      </c>
      <c r="J1" s="21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">
      <c r="A2" s="3" t="s">
        <v>4</v>
      </c>
      <c r="B2" s="4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6</v>
      </c>
      <c r="H2" s="5" t="s">
        <v>10</v>
      </c>
      <c r="I2" s="5" t="s">
        <v>6</v>
      </c>
      <c r="J2" s="5" t="s">
        <v>9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">
      <c r="A3" s="6" t="s">
        <v>11</v>
      </c>
      <c r="B3" s="6">
        <v>6</v>
      </c>
      <c r="C3" s="8">
        <v>211</v>
      </c>
      <c r="D3" s="8">
        <v>5802196</v>
      </c>
      <c r="E3" s="8">
        <v>70</v>
      </c>
      <c r="F3" s="8">
        <v>1942080</v>
      </c>
      <c r="G3" s="8">
        <v>80</v>
      </c>
      <c r="H3" s="8">
        <v>2204776</v>
      </c>
      <c r="I3" s="8">
        <v>201</v>
      </c>
      <c r="J3" s="8">
        <v>5539500</v>
      </c>
    </row>
    <row r="4" spans="1:23" x14ac:dyDescent="0.2">
      <c r="A4" s="6" t="s">
        <v>12</v>
      </c>
      <c r="B4" s="6">
        <v>6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</row>
    <row r="5" spans="1:23" x14ac:dyDescent="0.2">
      <c r="A5" s="6" t="s">
        <v>13</v>
      </c>
      <c r="B5" s="6">
        <v>6</v>
      </c>
      <c r="C5" s="8">
        <v>863</v>
      </c>
      <c r="D5" s="8">
        <v>28305719</v>
      </c>
      <c r="E5" s="8">
        <v>0</v>
      </c>
      <c r="F5" s="8">
        <v>0</v>
      </c>
      <c r="G5" s="8">
        <v>0</v>
      </c>
      <c r="H5" s="8">
        <v>0</v>
      </c>
      <c r="I5" s="8">
        <v>863</v>
      </c>
      <c r="J5" s="8">
        <v>28305719</v>
      </c>
    </row>
    <row r="6" spans="1:23" x14ac:dyDescent="0.2">
      <c r="A6" s="6" t="s">
        <v>14</v>
      </c>
      <c r="B6" s="6">
        <v>6</v>
      </c>
      <c r="C6" s="8">
        <v>120</v>
      </c>
      <c r="D6" s="8">
        <v>35752144</v>
      </c>
      <c r="E6" s="8">
        <v>0</v>
      </c>
      <c r="F6" s="8">
        <v>0</v>
      </c>
      <c r="G6" s="8">
        <v>0</v>
      </c>
      <c r="H6" s="8">
        <v>0</v>
      </c>
      <c r="I6" s="8">
        <v>120</v>
      </c>
      <c r="J6" s="8">
        <v>35752144</v>
      </c>
    </row>
    <row r="7" spans="1:23" x14ac:dyDescent="0.2">
      <c r="A7" s="6" t="s">
        <v>15</v>
      </c>
      <c r="B7" s="6">
        <v>6</v>
      </c>
      <c r="C7" s="8">
        <v>510</v>
      </c>
      <c r="D7" s="8">
        <v>69373706</v>
      </c>
      <c r="E7" s="8">
        <v>0</v>
      </c>
      <c r="F7" s="8">
        <v>0</v>
      </c>
      <c r="G7" s="8">
        <v>0</v>
      </c>
      <c r="H7" s="8">
        <v>0</v>
      </c>
      <c r="I7" s="8">
        <v>510</v>
      </c>
      <c r="J7" s="8">
        <v>69373706</v>
      </c>
    </row>
    <row r="8" spans="1:23" x14ac:dyDescent="0.2">
      <c r="A8" s="6" t="s">
        <v>16</v>
      </c>
      <c r="B8" s="6">
        <v>6</v>
      </c>
      <c r="C8" s="8">
        <v>344</v>
      </c>
      <c r="D8" s="8">
        <v>53839916</v>
      </c>
      <c r="E8" s="8">
        <v>0</v>
      </c>
      <c r="F8" s="8">
        <v>0</v>
      </c>
      <c r="G8" s="8">
        <v>0</v>
      </c>
      <c r="H8" s="8">
        <v>0</v>
      </c>
      <c r="I8" s="8">
        <v>344</v>
      </c>
      <c r="J8" s="8">
        <v>53839916</v>
      </c>
    </row>
    <row r="9" spans="1:23" x14ac:dyDescent="0.2">
      <c r="A9" s="6" t="s">
        <v>17</v>
      </c>
      <c r="B9" s="6">
        <v>6</v>
      </c>
      <c r="C9" s="8">
        <v>159</v>
      </c>
      <c r="D9" s="8">
        <v>38049584</v>
      </c>
      <c r="E9" s="8">
        <v>0</v>
      </c>
      <c r="F9" s="8">
        <v>0</v>
      </c>
      <c r="G9" s="8">
        <v>0</v>
      </c>
      <c r="H9" s="8">
        <v>0</v>
      </c>
      <c r="I9" s="8">
        <v>159</v>
      </c>
      <c r="J9" s="8">
        <v>38049584</v>
      </c>
    </row>
    <row r="10" spans="1:23" x14ac:dyDescent="0.2">
      <c r="A10" s="6" t="s">
        <v>18</v>
      </c>
      <c r="B10" s="6">
        <v>6</v>
      </c>
      <c r="C10" s="8">
        <v>734</v>
      </c>
      <c r="D10" s="8">
        <v>15983688</v>
      </c>
      <c r="E10" s="8">
        <v>0</v>
      </c>
      <c r="F10" s="8">
        <v>0</v>
      </c>
      <c r="G10" s="8">
        <v>0</v>
      </c>
      <c r="H10" s="8">
        <v>0</v>
      </c>
      <c r="I10" s="8">
        <v>734</v>
      </c>
      <c r="J10" s="8">
        <v>15983688</v>
      </c>
    </row>
    <row r="11" spans="1:23" x14ac:dyDescent="0.2">
      <c r="A11" s="6" t="s">
        <v>19</v>
      </c>
      <c r="B11" s="6">
        <v>6</v>
      </c>
      <c r="C11" s="8">
        <v>180</v>
      </c>
      <c r="D11" s="8">
        <v>3904035</v>
      </c>
      <c r="E11" s="8">
        <v>0</v>
      </c>
      <c r="F11" s="8">
        <v>0</v>
      </c>
      <c r="G11" s="8">
        <v>0</v>
      </c>
      <c r="H11" s="8">
        <v>0</v>
      </c>
      <c r="I11" s="8">
        <v>180</v>
      </c>
      <c r="J11" s="8">
        <v>3904035</v>
      </c>
    </row>
    <row r="12" spans="1:23" x14ac:dyDescent="0.2">
      <c r="A12" s="6" t="s">
        <v>20</v>
      </c>
      <c r="B12" s="6">
        <v>6</v>
      </c>
      <c r="C12" s="8">
        <v>295</v>
      </c>
      <c r="D12" s="8">
        <v>31404753</v>
      </c>
      <c r="E12" s="8">
        <v>0</v>
      </c>
      <c r="F12" s="8">
        <v>0</v>
      </c>
      <c r="G12" s="8">
        <v>0</v>
      </c>
      <c r="H12" s="8">
        <v>0</v>
      </c>
      <c r="I12" s="8">
        <v>295</v>
      </c>
      <c r="J12" s="8">
        <v>31404753</v>
      </c>
    </row>
    <row r="13" spans="1:23" x14ac:dyDescent="0.2">
      <c r="A13" s="6" t="s">
        <v>21</v>
      </c>
      <c r="B13" s="6">
        <v>6</v>
      </c>
      <c r="C13" s="8">
        <v>170</v>
      </c>
      <c r="D13" s="8">
        <v>40681945</v>
      </c>
      <c r="E13" s="8">
        <v>0</v>
      </c>
      <c r="F13" s="8">
        <v>0</v>
      </c>
      <c r="G13" s="8">
        <v>0</v>
      </c>
      <c r="H13" s="8">
        <v>0</v>
      </c>
      <c r="I13" s="8">
        <v>170</v>
      </c>
      <c r="J13" s="8">
        <v>40681945</v>
      </c>
    </row>
    <row r="14" spans="1:23" x14ac:dyDescent="0.2">
      <c r="A14" s="6" t="s">
        <v>22</v>
      </c>
      <c r="B14" s="6">
        <v>6</v>
      </c>
      <c r="C14" s="8">
        <v>18</v>
      </c>
      <c r="D14" s="8">
        <v>407934</v>
      </c>
      <c r="E14" s="8">
        <v>0</v>
      </c>
      <c r="F14" s="8">
        <v>0</v>
      </c>
      <c r="G14" s="8">
        <v>0</v>
      </c>
      <c r="H14" s="8">
        <v>0</v>
      </c>
      <c r="I14" s="8">
        <v>18</v>
      </c>
      <c r="J14" s="8">
        <v>407934</v>
      </c>
    </row>
    <row r="15" spans="1:23" x14ac:dyDescent="0.2">
      <c r="A15" s="6" t="s">
        <v>23</v>
      </c>
      <c r="B15" s="6">
        <v>6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</row>
    <row r="16" spans="1:23" x14ac:dyDescent="0.2">
      <c r="A16" s="6" t="s">
        <v>24</v>
      </c>
      <c r="B16" s="6">
        <v>6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</row>
    <row r="17" spans="1:10" x14ac:dyDescent="0.2">
      <c r="A17" s="6" t="s">
        <v>25</v>
      </c>
      <c r="B17" s="6">
        <v>6</v>
      </c>
      <c r="C17" s="8">
        <v>170</v>
      </c>
      <c r="D17" s="8">
        <v>3554530</v>
      </c>
      <c r="E17" s="8">
        <v>7</v>
      </c>
      <c r="F17" s="8">
        <v>146363</v>
      </c>
      <c r="G17" s="8">
        <v>95</v>
      </c>
      <c r="H17" s="8">
        <v>1986355</v>
      </c>
      <c r="I17" s="8">
        <v>82</v>
      </c>
      <c r="J17" s="8">
        <v>1714538</v>
      </c>
    </row>
    <row r="18" spans="1:10" x14ac:dyDescent="0.2">
      <c r="A18" s="6" t="s">
        <v>26</v>
      </c>
      <c r="B18" s="6">
        <v>6</v>
      </c>
      <c r="C18" s="8">
        <v>105</v>
      </c>
      <c r="D18" s="8">
        <v>2672775</v>
      </c>
      <c r="E18" s="8">
        <v>40</v>
      </c>
      <c r="F18" s="8">
        <v>1018200</v>
      </c>
      <c r="G18" s="8">
        <v>35</v>
      </c>
      <c r="H18" s="8">
        <v>890925</v>
      </c>
      <c r="I18" s="8">
        <v>110</v>
      </c>
      <c r="J18" s="8">
        <v>2800050</v>
      </c>
    </row>
    <row r="19" spans="1:10" x14ac:dyDescent="0.2">
      <c r="A19" s="6" t="s">
        <v>27</v>
      </c>
      <c r="B19" s="6">
        <v>6</v>
      </c>
      <c r="C19" s="8">
        <v>142</v>
      </c>
      <c r="D19" s="8">
        <v>4327260</v>
      </c>
      <c r="E19" s="8">
        <v>20</v>
      </c>
      <c r="F19" s="8">
        <v>618180</v>
      </c>
      <c r="G19" s="8">
        <v>0</v>
      </c>
      <c r="H19" s="8">
        <v>0</v>
      </c>
      <c r="I19" s="8">
        <v>162</v>
      </c>
      <c r="J19" s="8">
        <v>4945440</v>
      </c>
    </row>
    <row r="20" spans="1:10" x14ac:dyDescent="0.2">
      <c r="A20" s="6" t="s">
        <v>28</v>
      </c>
      <c r="B20" s="6">
        <v>6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</row>
    <row r="21" spans="1:10" x14ac:dyDescent="0.2">
      <c r="A21" s="6" t="s">
        <v>29</v>
      </c>
      <c r="B21" s="6">
        <v>6</v>
      </c>
      <c r="C21" s="8">
        <v>210</v>
      </c>
      <c r="D21" s="8">
        <v>55497330</v>
      </c>
      <c r="E21" s="8">
        <v>0</v>
      </c>
      <c r="F21" s="8">
        <v>0</v>
      </c>
      <c r="G21" s="8">
        <v>0</v>
      </c>
      <c r="H21" s="8">
        <v>0</v>
      </c>
      <c r="I21" s="8">
        <v>210</v>
      </c>
      <c r="J21" s="8">
        <v>55497330</v>
      </c>
    </row>
    <row r="22" spans="1:10" x14ac:dyDescent="0.2">
      <c r="A22" s="6" t="s">
        <v>30</v>
      </c>
      <c r="B22" s="6">
        <v>6</v>
      </c>
      <c r="C22" s="8">
        <v>164</v>
      </c>
      <c r="D22" s="8">
        <v>34065889</v>
      </c>
      <c r="E22" s="8">
        <v>40</v>
      </c>
      <c r="F22" s="8">
        <v>7378920</v>
      </c>
      <c r="G22" s="8">
        <v>90</v>
      </c>
      <c r="H22" s="8">
        <v>18284475</v>
      </c>
      <c r="I22" s="8">
        <v>114</v>
      </c>
      <c r="J22" s="8">
        <v>23160334</v>
      </c>
    </row>
    <row r="23" spans="1:10" x14ac:dyDescent="0.2">
      <c r="A23" s="6" t="s">
        <v>31</v>
      </c>
      <c r="B23" s="6">
        <v>6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</row>
    <row r="24" spans="1:10" x14ac:dyDescent="0.2">
      <c r="A24" s="6" t="s">
        <v>32</v>
      </c>
      <c r="B24" s="6">
        <v>6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</row>
    <row r="25" spans="1:10" x14ac:dyDescent="0.2">
      <c r="A25" s="6" t="s">
        <v>33</v>
      </c>
      <c r="B25" s="6">
        <v>6</v>
      </c>
      <c r="C25" s="8">
        <v>76</v>
      </c>
      <c r="D25" s="8">
        <v>9285800</v>
      </c>
      <c r="E25" s="8">
        <v>0</v>
      </c>
      <c r="F25" s="8">
        <v>0</v>
      </c>
      <c r="G25" s="8">
        <v>0</v>
      </c>
      <c r="H25" s="8">
        <v>0</v>
      </c>
      <c r="I25" s="8">
        <v>76</v>
      </c>
      <c r="J25" s="8">
        <v>9285800</v>
      </c>
    </row>
    <row r="26" spans="1:10" x14ac:dyDescent="0.2">
      <c r="A26" s="6" t="s">
        <v>34</v>
      </c>
      <c r="B26" s="6">
        <v>6</v>
      </c>
      <c r="C26" s="8">
        <v>20</v>
      </c>
      <c r="D26" s="8">
        <v>4642900</v>
      </c>
      <c r="E26" s="8">
        <v>0</v>
      </c>
      <c r="F26" s="8">
        <v>0</v>
      </c>
      <c r="G26" s="8">
        <v>0</v>
      </c>
      <c r="H26" s="8">
        <v>0</v>
      </c>
      <c r="I26" s="8">
        <v>20</v>
      </c>
      <c r="J26" s="8">
        <v>4642900</v>
      </c>
    </row>
    <row r="27" spans="1:10" x14ac:dyDescent="0.2">
      <c r="A27" s="6" t="s">
        <v>35</v>
      </c>
      <c r="B27" s="6">
        <v>6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</row>
    <row r="28" spans="1:10" x14ac:dyDescent="0.2">
      <c r="A28" s="6" t="s">
        <v>36</v>
      </c>
      <c r="B28" s="6">
        <v>6</v>
      </c>
      <c r="C28" s="8">
        <v>40</v>
      </c>
      <c r="D28" s="8">
        <v>1818200</v>
      </c>
      <c r="E28" s="8">
        <v>0</v>
      </c>
      <c r="F28" s="8">
        <v>0</v>
      </c>
      <c r="G28" s="8">
        <v>0</v>
      </c>
      <c r="H28" s="8">
        <v>0</v>
      </c>
      <c r="I28" s="8">
        <v>40</v>
      </c>
      <c r="J28" s="8">
        <v>1818200</v>
      </c>
    </row>
    <row r="29" spans="1:10" x14ac:dyDescent="0.2">
      <c r="A29" s="6" t="s">
        <v>37</v>
      </c>
      <c r="B29" s="6">
        <v>6</v>
      </c>
      <c r="C29" s="8">
        <v>2700</v>
      </c>
      <c r="D29" s="8">
        <v>146766377</v>
      </c>
      <c r="E29" s="8">
        <v>3040</v>
      </c>
      <c r="F29" s="8">
        <v>169264160</v>
      </c>
      <c r="G29" s="8">
        <v>3621</v>
      </c>
      <c r="H29" s="8">
        <v>199363515</v>
      </c>
      <c r="I29" s="8">
        <v>2119</v>
      </c>
      <c r="J29" s="8">
        <v>116667022</v>
      </c>
    </row>
    <row r="30" spans="1:10" x14ac:dyDescent="0.2">
      <c r="A30" s="6" t="s">
        <v>38</v>
      </c>
      <c r="B30" s="6">
        <v>6</v>
      </c>
      <c r="C30" s="8">
        <v>277560</v>
      </c>
      <c r="D30" s="8">
        <v>368875845</v>
      </c>
      <c r="E30" s="8">
        <v>6480</v>
      </c>
      <c r="F30" s="8">
        <v>202227840</v>
      </c>
      <c r="G30" s="8">
        <v>5842</v>
      </c>
      <c r="H30" s="8">
        <v>181324589</v>
      </c>
      <c r="I30" s="8">
        <v>278198</v>
      </c>
      <c r="J30" s="8">
        <v>389779096</v>
      </c>
    </row>
    <row r="31" spans="1:10" x14ac:dyDescent="0.2">
      <c r="A31" s="6" t="s">
        <v>39</v>
      </c>
      <c r="B31" s="6">
        <v>6</v>
      </c>
      <c r="C31" s="8">
        <v>28775</v>
      </c>
      <c r="D31" s="8">
        <v>149478172</v>
      </c>
      <c r="E31" s="8">
        <v>2250</v>
      </c>
      <c r="F31" s="8">
        <v>81414000</v>
      </c>
      <c r="G31" s="8">
        <v>1050</v>
      </c>
      <c r="H31" s="8">
        <v>37082926</v>
      </c>
      <c r="I31" s="8">
        <v>29975</v>
      </c>
      <c r="J31" s="8">
        <v>193809246</v>
      </c>
    </row>
    <row r="32" spans="1:10" x14ac:dyDescent="0.2">
      <c r="A32" s="6" t="s">
        <v>40</v>
      </c>
      <c r="B32" s="6">
        <v>6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</row>
    <row r="33" spans="1:10" x14ac:dyDescent="0.2">
      <c r="A33" s="6" t="s">
        <v>41</v>
      </c>
      <c r="B33" s="6">
        <v>6</v>
      </c>
      <c r="C33" s="8">
        <v>0</v>
      </c>
      <c r="D33" s="8">
        <v>0</v>
      </c>
      <c r="E33" s="8">
        <v>90</v>
      </c>
      <c r="F33" s="8">
        <v>3256560</v>
      </c>
      <c r="G33" s="8">
        <v>0</v>
      </c>
      <c r="H33" s="8">
        <v>0</v>
      </c>
      <c r="I33" s="8">
        <v>90</v>
      </c>
      <c r="J33" s="8">
        <v>3256560</v>
      </c>
    </row>
    <row r="34" spans="1:10" x14ac:dyDescent="0.2">
      <c r="A34" s="6" t="s">
        <v>42</v>
      </c>
      <c r="B34" s="6">
        <v>6</v>
      </c>
      <c r="C34" s="8">
        <v>0</v>
      </c>
      <c r="D34" s="8">
        <v>0</v>
      </c>
      <c r="E34" s="8">
        <v>64</v>
      </c>
      <c r="F34" s="8">
        <v>3359040</v>
      </c>
      <c r="G34" s="8">
        <v>0</v>
      </c>
      <c r="H34" s="8">
        <v>0</v>
      </c>
      <c r="I34" s="8">
        <v>64</v>
      </c>
      <c r="J34" s="8">
        <v>3359040</v>
      </c>
    </row>
    <row r="35" spans="1:10" x14ac:dyDescent="0.2">
      <c r="A35" s="6" t="s">
        <v>43</v>
      </c>
      <c r="B35" s="6">
        <v>6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</row>
    <row r="36" spans="1:10" x14ac:dyDescent="0.2">
      <c r="A36" s="6" t="s">
        <v>44</v>
      </c>
      <c r="B36" s="6">
        <v>6</v>
      </c>
      <c r="C36" s="8">
        <v>9350</v>
      </c>
      <c r="D36" s="8">
        <v>27819968</v>
      </c>
      <c r="E36" s="8">
        <v>525</v>
      </c>
      <c r="F36" s="8">
        <v>18996600</v>
      </c>
      <c r="G36" s="8">
        <v>1020</v>
      </c>
      <c r="H36" s="8">
        <v>36001198</v>
      </c>
      <c r="I36" s="8">
        <v>8855</v>
      </c>
      <c r="J36" s="8">
        <v>10815370</v>
      </c>
    </row>
    <row r="37" spans="1:10" x14ac:dyDescent="0.2">
      <c r="A37" s="6" t="s">
        <v>45</v>
      </c>
      <c r="B37" s="6">
        <v>6</v>
      </c>
      <c r="C37" s="8">
        <v>390</v>
      </c>
      <c r="D37" s="8">
        <v>13344757</v>
      </c>
      <c r="E37" s="8">
        <v>375</v>
      </c>
      <c r="F37" s="8">
        <v>13569000</v>
      </c>
      <c r="G37" s="8">
        <v>675</v>
      </c>
      <c r="H37" s="8">
        <v>23747433</v>
      </c>
      <c r="I37" s="8">
        <v>90</v>
      </c>
      <c r="J37" s="8">
        <v>3166324</v>
      </c>
    </row>
    <row r="38" spans="1:10" x14ac:dyDescent="0.2">
      <c r="A38" s="6" t="s">
        <v>46</v>
      </c>
      <c r="B38" s="6">
        <v>6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</row>
    <row r="39" spans="1:10" x14ac:dyDescent="0.2">
      <c r="A39" s="6" t="s">
        <v>47</v>
      </c>
      <c r="B39" s="6">
        <v>6</v>
      </c>
      <c r="C39" s="8">
        <v>6100</v>
      </c>
      <c r="D39" s="8">
        <v>28951762</v>
      </c>
      <c r="E39" s="8">
        <v>1500</v>
      </c>
      <c r="F39" s="8">
        <v>7500000</v>
      </c>
      <c r="G39" s="8">
        <v>2850</v>
      </c>
      <c r="H39" s="8">
        <v>13669411</v>
      </c>
      <c r="I39" s="8">
        <v>4750</v>
      </c>
      <c r="J39" s="8">
        <v>22782351</v>
      </c>
    </row>
    <row r="40" spans="1:10" x14ac:dyDescent="0.2">
      <c r="A40" s="6" t="s">
        <v>48</v>
      </c>
      <c r="B40" s="6">
        <v>6</v>
      </c>
      <c r="C40" s="8">
        <v>48</v>
      </c>
      <c r="D40" s="8">
        <v>1156368</v>
      </c>
      <c r="E40" s="8">
        <v>0</v>
      </c>
      <c r="F40" s="8">
        <v>0</v>
      </c>
      <c r="G40" s="8">
        <v>0</v>
      </c>
      <c r="H40" s="8">
        <v>0</v>
      </c>
      <c r="I40" s="8">
        <v>48</v>
      </c>
      <c r="J40" s="8">
        <v>1156368</v>
      </c>
    </row>
    <row r="41" spans="1:10" x14ac:dyDescent="0.2">
      <c r="A41" s="6" t="s">
        <v>49</v>
      </c>
      <c r="B41" s="6">
        <v>6</v>
      </c>
      <c r="C41" s="8">
        <v>3900</v>
      </c>
      <c r="D41" s="8">
        <v>18508643</v>
      </c>
      <c r="E41" s="8">
        <v>1200</v>
      </c>
      <c r="F41" s="8">
        <v>5781600</v>
      </c>
      <c r="G41" s="8">
        <v>2100</v>
      </c>
      <c r="H41" s="8">
        <v>10001865</v>
      </c>
      <c r="I41" s="8">
        <v>3000</v>
      </c>
      <c r="J41" s="8">
        <v>14288378</v>
      </c>
    </row>
    <row r="42" spans="1:10" x14ac:dyDescent="0.2">
      <c r="A42" s="6" t="s">
        <v>50</v>
      </c>
      <c r="B42" s="6">
        <v>6</v>
      </c>
      <c r="C42" s="8">
        <v>1500</v>
      </c>
      <c r="D42" s="8">
        <v>4773000</v>
      </c>
      <c r="E42" s="8">
        <v>0</v>
      </c>
      <c r="F42" s="8">
        <v>0</v>
      </c>
      <c r="G42" s="8">
        <v>0</v>
      </c>
      <c r="H42" s="8">
        <v>0</v>
      </c>
      <c r="I42" s="8">
        <v>1500</v>
      </c>
      <c r="J42" s="8">
        <v>4773000</v>
      </c>
    </row>
    <row r="43" spans="1:10" x14ac:dyDescent="0.2">
      <c r="A43" s="6" t="s">
        <v>51</v>
      </c>
      <c r="B43" s="6">
        <v>6</v>
      </c>
      <c r="C43" s="8">
        <v>2350</v>
      </c>
      <c r="D43" s="8">
        <v>8732188</v>
      </c>
      <c r="E43" s="8">
        <v>750</v>
      </c>
      <c r="F43" s="8">
        <v>3068250</v>
      </c>
      <c r="G43" s="8">
        <v>1500</v>
      </c>
      <c r="H43" s="8">
        <v>5709889</v>
      </c>
      <c r="I43" s="8">
        <v>1600</v>
      </c>
      <c r="J43" s="8">
        <v>6090549</v>
      </c>
    </row>
    <row r="44" spans="1:10" x14ac:dyDescent="0.2">
      <c r="A44" s="6" t="s">
        <v>52</v>
      </c>
      <c r="B44" s="6">
        <v>6</v>
      </c>
      <c r="C44" s="8">
        <v>864</v>
      </c>
      <c r="D44" s="8">
        <v>19636128</v>
      </c>
      <c r="E44" s="8">
        <v>144</v>
      </c>
      <c r="F44" s="8">
        <v>3272688</v>
      </c>
      <c r="G44" s="8">
        <v>0</v>
      </c>
      <c r="H44" s="8">
        <v>0</v>
      </c>
      <c r="I44" s="8">
        <v>1008</v>
      </c>
      <c r="J44" s="8">
        <v>22908816</v>
      </c>
    </row>
    <row r="45" spans="1:10" x14ac:dyDescent="0.2">
      <c r="A45" s="6" t="s">
        <v>53</v>
      </c>
      <c r="B45" s="6">
        <v>6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</row>
    <row r="46" spans="1:10" x14ac:dyDescent="0.2">
      <c r="A46" s="6" t="s">
        <v>54</v>
      </c>
      <c r="B46" s="6">
        <v>6</v>
      </c>
      <c r="C46" s="8">
        <v>6800</v>
      </c>
      <c r="D46" s="8">
        <v>93250497</v>
      </c>
      <c r="E46" s="8">
        <v>1680</v>
      </c>
      <c r="F46" s="8">
        <v>24435600</v>
      </c>
      <c r="G46" s="8">
        <v>401</v>
      </c>
      <c r="H46" s="8">
        <v>5565109</v>
      </c>
      <c r="I46" s="8">
        <v>8079</v>
      </c>
      <c r="J46" s="8">
        <v>112120988</v>
      </c>
    </row>
    <row r="47" spans="1:10" x14ac:dyDescent="0.2">
      <c r="A47" s="6" t="s">
        <v>55</v>
      </c>
      <c r="B47" s="6">
        <v>6</v>
      </c>
      <c r="C47" s="8">
        <v>12</v>
      </c>
      <c r="D47" s="8">
        <v>1041816</v>
      </c>
      <c r="E47" s="8">
        <v>48</v>
      </c>
      <c r="F47" s="8">
        <v>4167264</v>
      </c>
      <c r="G47" s="8">
        <v>0</v>
      </c>
      <c r="H47" s="8">
        <v>0</v>
      </c>
      <c r="I47" s="8">
        <v>60</v>
      </c>
      <c r="J47" s="8">
        <v>5209080</v>
      </c>
    </row>
    <row r="48" spans="1:10" x14ac:dyDescent="0.2">
      <c r="A48" s="6" t="s">
        <v>56</v>
      </c>
      <c r="B48" s="6">
        <v>6</v>
      </c>
      <c r="C48" s="8">
        <v>192</v>
      </c>
      <c r="D48" s="8">
        <v>1815360</v>
      </c>
      <c r="E48" s="8">
        <v>240</v>
      </c>
      <c r="F48" s="8">
        <v>2269200</v>
      </c>
      <c r="G48" s="8">
        <v>0</v>
      </c>
      <c r="H48" s="8">
        <v>0</v>
      </c>
      <c r="I48" s="8">
        <v>432</v>
      </c>
      <c r="J48" s="8">
        <v>4084560</v>
      </c>
    </row>
    <row r="49" spans="1:10" x14ac:dyDescent="0.2">
      <c r="A49" s="6" t="s">
        <v>57</v>
      </c>
      <c r="B49" s="6">
        <v>6</v>
      </c>
      <c r="C49" s="8">
        <v>480</v>
      </c>
      <c r="D49" s="8">
        <v>7636320</v>
      </c>
      <c r="E49" s="8">
        <v>360</v>
      </c>
      <c r="F49" s="8">
        <v>6218280</v>
      </c>
      <c r="G49" s="8">
        <v>0</v>
      </c>
      <c r="H49" s="8">
        <v>0</v>
      </c>
      <c r="I49" s="8">
        <v>840</v>
      </c>
      <c r="J49" s="8">
        <v>13854600</v>
      </c>
    </row>
    <row r="50" spans="1:10" x14ac:dyDescent="0.2">
      <c r="A50" s="6" t="s">
        <v>58</v>
      </c>
      <c r="B50" s="6">
        <v>6</v>
      </c>
      <c r="C50" s="8">
        <v>2640</v>
      </c>
      <c r="D50" s="8">
        <v>20399280</v>
      </c>
      <c r="E50" s="8">
        <v>960</v>
      </c>
      <c r="F50" s="8">
        <v>8116800</v>
      </c>
      <c r="G50" s="8">
        <v>1356</v>
      </c>
      <c r="H50" s="8">
        <v>10741057</v>
      </c>
      <c r="I50" s="8">
        <v>2244</v>
      </c>
      <c r="J50" s="8">
        <v>17775023</v>
      </c>
    </row>
    <row r="51" spans="1:10" x14ac:dyDescent="0.2">
      <c r="A51" s="6" t="s">
        <v>59</v>
      </c>
      <c r="B51" s="6">
        <v>6</v>
      </c>
      <c r="C51" s="8">
        <v>6796</v>
      </c>
      <c r="D51" s="8">
        <v>87112505</v>
      </c>
      <c r="E51" s="8">
        <v>1440</v>
      </c>
      <c r="F51" s="8">
        <v>23564160</v>
      </c>
      <c r="G51" s="8">
        <v>4680</v>
      </c>
      <c r="H51" s="8">
        <v>62890577</v>
      </c>
      <c r="I51" s="8">
        <v>3556</v>
      </c>
      <c r="J51" s="8">
        <v>47786088</v>
      </c>
    </row>
    <row r="52" spans="1:10" x14ac:dyDescent="0.2">
      <c r="A52" s="6" t="s">
        <v>60</v>
      </c>
      <c r="B52" s="6">
        <v>6</v>
      </c>
      <c r="C52" s="8">
        <v>3202</v>
      </c>
      <c r="D52" s="8">
        <v>104417661</v>
      </c>
      <c r="E52" s="8">
        <v>480</v>
      </c>
      <c r="F52" s="8">
        <v>16581600</v>
      </c>
      <c r="G52" s="8">
        <v>420</v>
      </c>
      <c r="H52" s="8">
        <v>13802197</v>
      </c>
      <c r="I52" s="8">
        <v>3262</v>
      </c>
      <c r="J52" s="8">
        <v>107197064</v>
      </c>
    </row>
    <row r="53" spans="1:10" x14ac:dyDescent="0.2">
      <c r="A53" s="6" t="s">
        <v>61</v>
      </c>
      <c r="B53" s="6">
        <v>6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</row>
    <row r="54" spans="1:10" x14ac:dyDescent="0.2">
      <c r="A54" s="6" t="s">
        <v>62</v>
      </c>
      <c r="B54" s="6">
        <v>6</v>
      </c>
      <c r="C54" s="8">
        <v>6789</v>
      </c>
      <c r="D54" s="8">
        <v>32159315</v>
      </c>
      <c r="E54" s="8">
        <v>1200</v>
      </c>
      <c r="F54" s="8">
        <v>5781600</v>
      </c>
      <c r="G54" s="8">
        <v>5585</v>
      </c>
      <c r="H54" s="8">
        <v>26523972</v>
      </c>
      <c r="I54" s="8">
        <v>2404</v>
      </c>
      <c r="J54" s="8">
        <v>11416943</v>
      </c>
    </row>
    <row r="55" spans="1:10" x14ac:dyDescent="0.2">
      <c r="A55" s="6" t="s">
        <v>63</v>
      </c>
      <c r="B55" s="6">
        <v>6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</row>
    <row r="56" spans="1:10" x14ac:dyDescent="0.2">
      <c r="A56" s="6" t="s">
        <v>64</v>
      </c>
      <c r="B56" s="6">
        <v>6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</row>
    <row r="57" spans="1:10" x14ac:dyDescent="0.2">
      <c r="A57" s="6" t="s">
        <v>65</v>
      </c>
      <c r="B57" s="6">
        <v>6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</row>
    <row r="58" spans="1:10" x14ac:dyDescent="0.2">
      <c r="A58" s="6" t="s">
        <v>66</v>
      </c>
      <c r="B58" s="6">
        <v>6</v>
      </c>
      <c r="C58" s="8">
        <v>3408</v>
      </c>
      <c r="D58" s="8">
        <v>49484710</v>
      </c>
      <c r="E58" s="8">
        <v>1800</v>
      </c>
      <c r="F58" s="8">
        <v>27819000</v>
      </c>
      <c r="G58" s="8">
        <v>1812</v>
      </c>
      <c r="H58" s="8">
        <v>26895991</v>
      </c>
      <c r="I58" s="8">
        <v>3396</v>
      </c>
      <c r="J58" s="8">
        <v>50407719</v>
      </c>
    </row>
    <row r="59" spans="1:10" x14ac:dyDescent="0.2">
      <c r="A59" s="6" t="s">
        <v>67</v>
      </c>
      <c r="B59" s="6">
        <v>6</v>
      </c>
      <c r="C59" s="8">
        <v>136</v>
      </c>
      <c r="D59" s="8">
        <v>985256</v>
      </c>
      <c r="E59" s="8">
        <v>0</v>
      </c>
      <c r="F59" s="8">
        <v>0</v>
      </c>
      <c r="G59" s="8">
        <v>0</v>
      </c>
      <c r="H59" s="8">
        <v>0</v>
      </c>
      <c r="I59" s="8">
        <v>136</v>
      </c>
      <c r="J59" s="8">
        <v>985256</v>
      </c>
    </row>
    <row r="60" spans="1:10" x14ac:dyDescent="0.2">
      <c r="A60" s="6" t="s">
        <v>68</v>
      </c>
      <c r="B60" s="6">
        <v>6</v>
      </c>
      <c r="C60" s="8">
        <v>336</v>
      </c>
      <c r="D60" s="8">
        <v>14871168</v>
      </c>
      <c r="E60" s="8">
        <v>96</v>
      </c>
      <c r="F60" s="8">
        <v>4398528</v>
      </c>
      <c r="G60" s="8">
        <v>240</v>
      </c>
      <c r="H60" s="8">
        <v>10705387</v>
      </c>
      <c r="I60" s="8">
        <v>192</v>
      </c>
      <c r="J60" s="8">
        <v>8564309</v>
      </c>
    </row>
    <row r="61" spans="1:10" x14ac:dyDescent="0.2">
      <c r="A61" s="6" t="s">
        <v>69</v>
      </c>
      <c r="B61" s="6">
        <v>6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</row>
    <row r="62" spans="1:10" x14ac:dyDescent="0.2">
      <c r="A62" s="6" t="s">
        <v>70</v>
      </c>
      <c r="B62" s="6">
        <v>6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</row>
    <row r="63" spans="1:10" x14ac:dyDescent="0.2">
      <c r="A63" s="6" t="s">
        <v>71</v>
      </c>
      <c r="B63" s="6">
        <v>6</v>
      </c>
      <c r="C63" s="8">
        <v>840</v>
      </c>
      <c r="D63" s="8">
        <v>12217800</v>
      </c>
      <c r="E63" s="8">
        <v>360</v>
      </c>
      <c r="F63" s="8">
        <v>5563800</v>
      </c>
      <c r="G63" s="8">
        <v>0</v>
      </c>
      <c r="H63" s="8">
        <v>0</v>
      </c>
      <c r="I63" s="8">
        <v>1200</v>
      </c>
      <c r="J63" s="8">
        <v>17781600</v>
      </c>
    </row>
    <row r="64" spans="1:10" x14ac:dyDescent="0.2">
      <c r="A64" s="6" t="s">
        <v>72</v>
      </c>
      <c r="B64" s="6">
        <v>6</v>
      </c>
      <c r="C64" s="8">
        <v>3580</v>
      </c>
      <c r="D64" s="8">
        <v>73536229</v>
      </c>
      <c r="E64" s="8">
        <v>723</v>
      </c>
      <c r="F64" s="8">
        <v>17017920</v>
      </c>
      <c r="G64" s="8">
        <v>960</v>
      </c>
      <c r="H64" s="8">
        <v>20202645</v>
      </c>
      <c r="I64" s="8">
        <v>3343</v>
      </c>
      <c r="J64" s="8">
        <v>70351504</v>
      </c>
    </row>
    <row r="65" spans="1:10" x14ac:dyDescent="0.2">
      <c r="A65" s="6" t="s">
        <v>73</v>
      </c>
      <c r="B65" s="6">
        <v>6</v>
      </c>
      <c r="C65" s="8">
        <v>3467</v>
      </c>
      <c r="D65" s="8">
        <v>111922767</v>
      </c>
      <c r="E65" s="8">
        <v>840</v>
      </c>
      <c r="F65" s="8">
        <v>28254240</v>
      </c>
      <c r="G65" s="8">
        <v>720</v>
      </c>
      <c r="H65" s="8">
        <v>23433352</v>
      </c>
      <c r="I65" s="8">
        <v>3587</v>
      </c>
      <c r="J65" s="8">
        <v>116743655</v>
      </c>
    </row>
    <row r="66" spans="1:10" x14ac:dyDescent="0.2">
      <c r="A66" s="6" t="s">
        <v>74</v>
      </c>
      <c r="B66" s="6">
        <v>6</v>
      </c>
      <c r="C66" s="8">
        <v>1956</v>
      </c>
      <c r="D66" s="8">
        <v>28225042</v>
      </c>
      <c r="E66" s="8">
        <v>1440</v>
      </c>
      <c r="F66" s="8">
        <v>20944800</v>
      </c>
      <c r="G66" s="8">
        <v>276</v>
      </c>
      <c r="H66" s="8">
        <v>3996136</v>
      </c>
      <c r="I66" s="8">
        <v>3120</v>
      </c>
      <c r="J66" s="8">
        <v>45173706</v>
      </c>
    </row>
    <row r="67" spans="1:10" x14ac:dyDescent="0.2">
      <c r="A67" s="6" t="s">
        <v>75</v>
      </c>
      <c r="B67" s="6">
        <v>6</v>
      </c>
      <c r="C67" s="8">
        <v>4560</v>
      </c>
      <c r="D67" s="8">
        <v>1532160</v>
      </c>
      <c r="E67" s="8">
        <v>2400</v>
      </c>
      <c r="F67" s="8">
        <v>873600</v>
      </c>
      <c r="G67" s="8">
        <v>0</v>
      </c>
      <c r="H67" s="8">
        <v>0</v>
      </c>
      <c r="I67" s="8">
        <v>6960</v>
      </c>
      <c r="J67" s="8">
        <v>2405760</v>
      </c>
    </row>
    <row r="68" spans="1:10" x14ac:dyDescent="0.2">
      <c r="A68" s="6" t="s">
        <v>76</v>
      </c>
      <c r="B68" s="6">
        <v>6</v>
      </c>
      <c r="C68" s="8">
        <v>81</v>
      </c>
      <c r="D68" s="8">
        <v>4148190</v>
      </c>
      <c r="E68" s="8">
        <v>45</v>
      </c>
      <c r="F68" s="8">
        <v>2331810</v>
      </c>
      <c r="G68" s="8">
        <v>36</v>
      </c>
      <c r="H68" s="8">
        <v>1851429</v>
      </c>
      <c r="I68" s="8">
        <v>90</v>
      </c>
      <c r="J68" s="8">
        <v>4628571</v>
      </c>
    </row>
    <row r="69" spans="1:10" x14ac:dyDescent="0.2">
      <c r="A69" s="6" t="s">
        <v>77</v>
      </c>
      <c r="B69" s="6">
        <v>6</v>
      </c>
      <c r="C69" s="8">
        <v>240</v>
      </c>
      <c r="D69" s="8">
        <v>1309200</v>
      </c>
      <c r="E69" s="8">
        <v>0</v>
      </c>
      <c r="F69" s="8">
        <v>0</v>
      </c>
      <c r="G69" s="8">
        <v>36</v>
      </c>
      <c r="H69" s="8">
        <v>196380</v>
      </c>
      <c r="I69" s="8">
        <v>204</v>
      </c>
      <c r="J69" s="8">
        <v>1112820</v>
      </c>
    </row>
    <row r="70" spans="1:10" x14ac:dyDescent="0.2">
      <c r="A70" s="6" t="s">
        <v>78</v>
      </c>
      <c r="B70" s="6">
        <v>6</v>
      </c>
      <c r="C70" s="8">
        <v>3224</v>
      </c>
      <c r="D70" s="8">
        <v>12439726</v>
      </c>
      <c r="E70" s="8">
        <v>240</v>
      </c>
      <c r="F70" s="8">
        <v>2618160</v>
      </c>
      <c r="G70" s="8">
        <v>0</v>
      </c>
      <c r="H70" s="8">
        <v>0</v>
      </c>
      <c r="I70" s="8">
        <v>3464</v>
      </c>
      <c r="J70" s="8">
        <v>15057886</v>
      </c>
    </row>
    <row r="71" spans="1:10" x14ac:dyDescent="0.2">
      <c r="A71" s="6" t="s">
        <v>79</v>
      </c>
      <c r="B71" s="6">
        <v>6</v>
      </c>
      <c r="C71" s="8">
        <v>1633</v>
      </c>
      <c r="D71" s="8">
        <v>31847779</v>
      </c>
      <c r="E71" s="8">
        <v>120</v>
      </c>
      <c r="F71" s="8">
        <v>2509080</v>
      </c>
      <c r="G71" s="8">
        <v>180</v>
      </c>
      <c r="H71" s="8">
        <v>3527801</v>
      </c>
      <c r="I71" s="8">
        <v>1573</v>
      </c>
      <c r="J71" s="8">
        <v>30829058</v>
      </c>
    </row>
    <row r="72" spans="1:10" x14ac:dyDescent="0.2">
      <c r="A72" s="6" t="s">
        <v>80</v>
      </c>
      <c r="B72" s="6">
        <v>6</v>
      </c>
      <c r="C72" s="8">
        <v>324</v>
      </c>
      <c r="D72" s="8">
        <v>4369775</v>
      </c>
      <c r="E72" s="8">
        <v>0</v>
      </c>
      <c r="F72" s="8">
        <v>0</v>
      </c>
      <c r="G72" s="8">
        <v>180</v>
      </c>
      <c r="H72" s="8">
        <v>2427653</v>
      </c>
      <c r="I72" s="8">
        <v>144</v>
      </c>
      <c r="J72" s="8">
        <v>1942122</v>
      </c>
    </row>
    <row r="73" spans="1:10" x14ac:dyDescent="0.2">
      <c r="A73" s="6" t="s">
        <v>81</v>
      </c>
      <c r="B73" s="6">
        <v>6</v>
      </c>
      <c r="C73" s="8">
        <v>1512</v>
      </c>
      <c r="D73" s="8">
        <v>22155840</v>
      </c>
      <c r="E73" s="8">
        <v>360</v>
      </c>
      <c r="F73" s="8">
        <v>5563800</v>
      </c>
      <c r="G73" s="8">
        <v>0</v>
      </c>
      <c r="H73" s="8">
        <v>0</v>
      </c>
      <c r="I73" s="8">
        <v>1872</v>
      </c>
      <c r="J73" s="8">
        <v>27719640</v>
      </c>
    </row>
    <row r="74" spans="1:10" x14ac:dyDescent="0.2">
      <c r="A74" s="6" t="s">
        <v>82</v>
      </c>
      <c r="B74" s="6">
        <v>6</v>
      </c>
      <c r="C74" s="8">
        <v>3960</v>
      </c>
      <c r="D74" s="8">
        <v>28080360</v>
      </c>
      <c r="E74" s="8">
        <v>1800</v>
      </c>
      <c r="F74" s="8">
        <v>13091400</v>
      </c>
      <c r="G74" s="8">
        <v>0</v>
      </c>
      <c r="H74" s="8">
        <v>0</v>
      </c>
      <c r="I74" s="8">
        <v>5760</v>
      </c>
      <c r="J74" s="8">
        <v>41171760</v>
      </c>
    </row>
    <row r="75" spans="1:10" x14ac:dyDescent="0.2">
      <c r="A75" s="6" t="s">
        <v>83</v>
      </c>
      <c r="B75" s="6">
        <v>6</v>
      </c>
      <c r="C75" s="8">
        <v>1710</v>
      </c>
      <c r="D75" s="8">
        <v>11520432</v>
      </c>
      <c r="E75" s="8">
        <v>360</v>
      </c>
      <c r="F75" s="8">
        <v>2748960</v>
      </c>
      <c r="G75" s="8">
        <v>756</v>
      </c>
      <c r="H75" s="8">
        <v>5211430</v>
      </c>
      <c r="I75" s="8">
        <v>1314</v>
      </c>
      <c r="J75" s="8">
        <v>9057962</v>
      </c>
    </row>
    <row r="76" spans="1:10" x14ac:dyDescent="0.2">
      <c r="A76" s="6" t="s">
        <v>84</v>
      </c>
      <c r="B76" s="6">
        <v>6</v>
      </c>
      <c r="C76" s="8">
        <v>13899</v>
      </c>
      <c r="D76" s="8">
        <v>401787648</v>
      </c>
      <c r="E76" s="8">
        <v>4080</v>
      </c>
      <c r="F76" s="8">
        <v>126108720</v>
      </c>
      <c r="G76" s="8">
        <v>539</v>
      </c>
      <c r="H76" s="8">
        <v>15826027</v>
      </c>
      <c r="I76" s="8">
        <v>17440</v>
      </c>
      <c r="J76" s="8">
        <v>512070341</v>
      </c>
    </row>
    <row r="77" spans="1:10" x14ac:dyDescent="0.2">
      <c r="A77" s="6" t="s">
        <v>85</v>
      </c>
      <c r="B77" s="6">
        <v>6</v>
      </c>
      <c r="C77" s="8">
        <v>9567</v>
      </c>
      <c r="D77" s="8">
        <v>83246924</v>
      </c>
      <c r="E77" s="8">
        <v>9360</v>
      </c>
      <c r="F77" s="8">
        <v>85091760</v>
      </c>
      <c r="G77" s="8">
        <v>9058</v>
      </c>
      <c r="H77" s="8">
        <v>80562783</v>
      </c>
      <c r="I77" s="8">
        <v>9869</v>
      </c>
      <c r="J77" s="8">
        <v>87775901</v>
      </c>
    </row>
    <row r="78" spans="1:10" x14ac:dyDescent="0.2">
      <c r="A78" s="6" t="s">
        <v>86</v>
      </c>
      <c r="B78" s="6">
        <v>6</v>
      </c>
      <c r="C78" s="8">
        <v>53479</v>
      </c>
      <c r="D78" s="8">
        <v>375917881</v>
      </c>
      <c r="E78" s="8">
        <v>10800</v>
      </c>
      <c r="F78" s="8">
        <v>78548400</v>
      </c>
      <c r="G78" s="8">
        <v>1147</v>
      </c>
      <c r="H78" s="8">
        <v>8109535</v>
      </c>
      <c r="I78" s="8">
        <v>63132</v>
      </c>
      <c r="J78" s="8">
        <v>446356746</v>
      </c>
    </row>
    <row r="79" spans="1:10" x14ac:dyDescent="0.2">
      <c r="A79" s="6" t="s">
        <v>87</v>
      </c>
      <c r="B79" s="6">
        <v>6</v>
      </c>
      <c r="C79" s="8">
        <v>9378</v>
      </c>
      <c r="D79" s="8">
        <v>160259140</v>
      </c>
      <c r="E79" s="8">
        <v>4320</v>
      </c>
      <c r="F79" s="8">
        <v>76580640</v>
      </c>
      <c r="G79" s="8">
        <v>216</v>
      </c>
      <c r="H79" s="8">
        <v>3734661</v>
      </c>
      <c r="I79" s="8">
        <v>13482</v>
      </c>
      <c r="J79" s="8">
        <v>233105119</v>
      </c>
    </row>
    <row r="80" spans="1:10" x14ac:dyDescent="0.2">
      <c r="A80" s="6" t="s">
        <v>88</v>
      </c>
      <c r="B80" s="6">
        <v>6</v>
      </c>
      <c r="C80" s="8">
        <v>768</v>
      </c>
      <c r="D80" s="8">
        <v>16058112</v>
      </c>
      <c r="E80" s="8">
        <v>0</v>
      </c>
      <c r="F80" s="8">
        <v>0</v>
      </c>
      <c r="G80" s="8">
        <v>0</v>
      </c>
      <c r="H80" s="8">
        <v>0</v>
      </c>
      <c r="I80" s="8">
        <v>768</v>
      </c>
      <c r="J80" s="8">
        <v>16058112</v>
      </c>
    </row>
    <row r="81" spans="1:10" x14ac:dyDescent="0.2">
      <c r="A81" s="6" t="s">
        <v>89</v>
      </c>
      <c r="B81" s="6">
        <v>6</v>
      </c>
      <c r="C81" s="8">
        <v>960</v>
      </c>
      <c r="D81" s="8">
        <v>22063440</v>
      </c>
      <c r="E81" s="8">
        <v>120</v>
      </c>
      <c r="F81" s="8">
        <v>2890920</v>
      </c>
      <c r="G81" s="8">
        <v>780</v>
      </c>
      <c r="H81" s="8">
        <v>18022593</v>
      </c>
      <c r="I81" s="8">
        <v>300</v>
      </c>
      <c r="J81" s="8">
        <v>6931767</v>
      </c>
    </row>
    <row r="82" spans="1:10" x14ac:dyDescent="0.2">
      <c r="A82" s="6" t="s">
        <v>90</v>
      </c>
      <c r="B82" s="6">
        <v>6</v>
      </c>
      <c r="C82" s="8">
        <v>3546</v>
      </c>
      <c r="D82" s="8">
        <v>180498382</v>
      </c>
      <c r="E82" s="8">
        <v>1080</v>
      </c>
      <c r="F82" s="8">
        <v>56454840</v>
      </c>
      <c r="G82" s="8">
        <v>1314</v>
      </c>
      <c r="H82" s="8">
        <v>67305779</v>
      </c>
      <c r="I82" s="8">
        <v>3312</v>
      </c>
      <c r="J82" s="8">
        <v>169647443</v>
      </c>
    </row>
    <row r="83" spans="1:10" x14ac:dyDescent="0.2">
      <c r="A83" s="6" t="s">
        <v>91</v>
      </c>
      <c r="B83" s="6">
        <v>6</v>
      </c>
      <c r="C83" s="8">
        <v>10057</v>
      </c>
      <c r="D83" s="8">
        <v>82395143</v>
      </c>
      <c r="E83" s="8">
        <v>3600</v>
      </c>
      <c r="F83" s="8">
        <v>34362000</v>
      </c>
      <c r="G83" s="8">
        <v>5280</v>
      </c>
      <c r="H83" s="8">
        <v>45140054</v>
      </c>
      <c r="I83" s="8">
        <v>8377</v>
      </c>
      <c r="J83" s="8">
        <v>71617089</v>
      </c>
    </row>
    <row r="84" spans="1:10" x14ac:dyDescent="0.2">
      <c r="A84" s="6" t="s">
        <v>92</v>
      </c>
      <c r="B84" s="6">
        <v>6</v>
      </c>
      <c r="C84" s="8">
        <v>54400</v>
      </c>
      <c r="D84" s="8">
        <v>26220800</v>
      </c>
      <c r="E84" s="8">
        <v>20000</v>
      </c>
      <c r="F84" s="8">
        <v>9640000</v>
      </c>
      <c r="G84" s="8">
        <v>8000</v>
      </c>
      <c r="H84" s="8">
        <v>3856000</v>
      </c>
      <c r="I84" s="8">
        <v>66400</v>
      </c>
      <c r="J84" s="8">
        <v>32004800</v>
      </c>
    </row>
    <row r="85" spans="1:10" x14ac:dyDescent="0.2">
      <c r="A85" s="6" t="s">
        <v>93</v>
      </c>
      <c r="B85" s="6">
        <v>6</v>
      </c>
      <c r="C85" s="8">
        <v>444</v>
      </c>
      <c r="D85" s="8">
        <v>22472760</v>
      </c>
      <c r="E85" s="8">
        <v>60</v>
      </c>
      <c r="F85" s="8">
        <v>3136380</v>
      </c>
      <c r="G85" s="8">
        <v>324</v>
      </c>
      <c r="H85" s="8">
        <v>16463019</v>
      </c>
      <c r="I85" s="8">
        <v>180</v>
      </c>
      <c r="J85" s="8">
        <v>9146121</v>
      </c>
    </row>
    <row r="86" spans="1:10" x14ac:dyDescent="0.2">
      <c r="A86" s="6" t="s">
        <v>94</v>
      </c>
      <c r="B86" s="6">
        <v>6</v>
      </c>
      <c r="C86" s="8">
        <v>216</v>
      </c>
      <c r="D86" s="8">
        <v>1904688</v>
      </c>
      <c r="E86" s="8">
        <v>72</v>
      </c>
      <c r="F86" s="8">
        <v>687240</v>
      </c>
      <c r="G86" s="8">
        <v>0</v>
      </c>
      <c r="H86" s="8">
        <v>0</v>
      </c>
      <c r="I86" s="8">
        <v>288</v>
      </c>
      <c r="J86" s="8">
        <v>2591928</v>
      </c>
    </row>
    <row r="87" spans="1:10" x14ac:dyDescent="0.2">
      <c r="A87" s="6" t="s">
        <v>95</v>
      </c>
      <c r="B87" s="6">
        <v>6</v>
      </c>
      <c r="C87" s="8">
        <v>1188</v>
      </c>
      <c r="D87" s="8">
        <v>9536760</v>
      </c>
      <c r="E87" s="8">
        <v>252</v>
      </c>
      <c r="F87" s="8">
        <v>2061864</v>
      </c>
      <c r="G87" s="8">
        <v>0</v>
      </c>
      <c r="H87" s="8">
        <v>0</v>
      </c>
      <c r="I87" s="8">
        <v>1440</v>
      </c>
      <c r="J87" s="8">
        <v>11598624</v>
      </c>
    </row>
    <row r="88" spans="1:10" x14ac:dyDescent="0.2">
      <c r="A88" s="6" t="s">
        <v>96</v>
      </c>
      <c r="B88" s="6">
        <v>6</v>
      </c>
      <c r="C88" s="8">
        <v>396</v>
      </c>
      <c r="D88" s="8">
        <v>42413852</v>
      </c>
      <c r="E88" s="8">
        <v>45</v>
      </c>
      <c r="F88" s="8">
        <v>5134095</v>
      </c>
      <c r="G88" s="8">
        <v>0</v>
      </c>
      <c r="H88" s="8">
        <v>0</v>
      </c>
      <c r="I88" s="8">
        <v>441</v>
      </c>
      <c r="J88" s="8">
        <v>47547947</v>
      </c>
    </row>
    <row r="89" spans="1:10" x14ac:dyDescent="0.2">
      <c r="A89" s="6" t="s">
        <v>97</v>
      </c>
      <c r="B89" s="6">
        <v>6</v>
      </c>
      <c r="C89" s="8">
        <v>54400</v>
      </c>
      <c r="D89" s="8">
        <v>26220800</v>
      </c>
      <c r="E89" s="8">
        <v>20000</v>
      </c>
      <c r="F89" s="8">
        <v>9640000</v>
      </c>
      <c r="G89" s="8">
        <v>4000</v>
      </c>
      <c r="H89" s="8">
        <v>1928000</v>
      </c>
      <c r="I89" s="8">
        <v>70400</v>
      </c>
      <c r="J89" s="8">
        <v>33932800</v>
      </c>
    </row>
    <row r="90" spans="1:10" x14ac:dyDescent="0.2">
      <c r="A90" s="6" t="s">
        <v>98</v>
      </c>
      <c r="B90" s="6">
        <v>6</v>
      </c>
      <c r="C90" s="8">
        <v>3048</v>
      </c>
      <c r="D90" s="8">
        <v>29647896</v>
      </c>
      <c r="E90" s="8">
        <v>120</v>
      </c>
      <c r="F90" s="8">
        <v>1243680</v>
      </c>
      <c r="G90" s="8">
        <v>0</v>
      </c>
      <c r="H90" s="8">
        <v>0</v>
      </c>
      <c r="I90" s="8">
        <v>3168</v>
      </c>
      <c r="J90" s="8">
        <v>30891576</v>
      </c>
    </row>
    <row r="91" spans="1:10" x14ac:dyDescent="0.2">
      <c r="A91" s="6" t="s">
        <v>99</v>
      </c>
      <c r="B91" s="6">
        <v>6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</row>
    <row r="92" spans="1:10" x14ac:dyDescent="0.2">
      <c r="A92" s="6" t="s">
        <v>100</v>
      </c>
      <c r="B92" s="6">
        <v>6</v>
      </c>
      <c r="C92" s="8">
        <v>3928</v>
      </c>
      <c r="D92" s="8">
        <v>186939198</v>
      </c>
      <c r="E92" s="8">
        <v>1500</v>
      </c>
      <c r="F92" s="8">
        <v>78409500</v>
      </c>
      <c r="G92" s="8">
        <v>1400</v>
      </c>
      <c r="H92" s="8">
        <v>68439237</v>
      </c>
      <c r="I92" s="8">
        <v>4028</v>
      </c>
      <c r="J92" s="8">
        <v>196909461</v>
      </c>
    </row>
    <row r="93" spans="1:10" x14ac:dyDescent="0.2">
      <c r="A93" s="6" t="s">
        <v>101</v>
      </c>
      <c r="B93" s="6">
        <v>6</v>
      </c>
      <c r="C93" s="8">
        <v>9536</v>
      </c>
      <c r="D93" s="8">
        <v>41091092</v>
      </c>
      <c r="E93" s="8">
        <v>3600</v>
      </c>
      <c r="F93" s="8">
        <v>34362000</v>
      </c>
      <c r="G93" s="8">
        <v>1283</v>
      </c>
      <c r="H93" s="8">
        <v>7369543</v>
      </c>
      <c r="I93" s="8">
        <v>11853</v>
      </c>
      <c r="J93" s="8">
        <v>68083549</v>
      </c>
    </row>
    <row r="94" spans="1:10" x14ac:dyDescent="0.2">
      <c r="A94" s="6" t="s">
        <v>102</v>
      </c>
      <c r="B94" s="6">
        <v>6</v>
      </c>
      <c r="C94" s="8">
        <v>2604</v>
      </c>
      <c r="D94" s="8">
        <v>59961312</v>
      </c>
      <c r="E94" s="8">
        <v>360</v>
      </c>
      <c r="F94" s="8">
        <v>8672760</v>
      </c>
      <c r="G94" s="8">
        <v>1980</v>
      </c>
      <c r="H94" s="8">
        <v>45848672</v>
      </c>
      <c r="I94" s="8">
        <v>984</v>
      </c>
      <c r="J94" s="8">
        <v>22785400</v>
      </c>
    </row>
    <row r="95" spans="1:10" x14ac:dyDescent="0.2">
      <c r="A95" s="6" t="s">
        <v>103</v>
      </c>
      <c r="B95" s="6">
        <v>6</v>
      </c>
      <c r="C95" s="8">
        <v>3120</v>
      </c>
      <c r="D95" s="8">
        <v>41368196</v>
      </c>
      <c r="E95" s="8">
        <v>960</v>
      </c>
      <c r="F95" s="8">
        <v>13090560</v>
      </c>
      <c r="G95" s="8">
        <v>240</v>
      </c>
      <c r="H95" s="8">
        <v>3203456</v>
      </c>
      <c r="I95" s="8">
        <v>3840</v>
      </c>
      <c r="J95" s="8">
        <v>51255300</v>
      </c>
    </row>
    <row r="96" spans="1:10" x14ac:dyDescent="0.2">
      <c r="A96" s="6" t="s">
        <v>104</v>
      </c>
      <c r="B96" s="6">
        <v>6</v>
      </c>
      <c r="C96" s="8">
        <v>360</v>
      </c>
      <c r="D96" s="8">
        <v>6545520</v>
      </c>
      <c r="E96" s="8">
        <v>0</v>
      </c>
      <c r="F96" s="8">
        <v>0</v>
      </c>
      <c r="G96" s="8">
        <v>0</v>
      </c>
      <c r="H96" s="8">
        <v>0</v>
      </c>
      <c r="I96" s="8">
        <v>360</v>
      </c>
      <c r="J96" s="8">
        <v>6545520</v>
      </c>
    </row>
    <row r="97" spans="1:10" x14ac:dyDescent="0.2">
      <c r="A97" s="6" t="s">
        <v>105</v>
      </c>
      <c r="B97" s="6">
        <v>6</v>
      </c>
      <c r="C97" s="8">
        <v>360</v>
      </c>
      <c r="D97" s="8">
        <v>17961180</v>
      </c>
      <c r="E97" s="8">
        <v>60</v>
      </c>
      <c r="F97" s="8">
        <v>3136380</v>
      </c>
      <c r="G97" s="8">
        <v>0</v>
      </c>
      <c r="H97" s="8">
        <v>0</v>
      </c>
      <c r="I97" s="8">
        <v>420</v>
      </c>
      <c r="J97" s="8">
        <v>21097560</v>
      </c>
    </row>
    <row r="98" spans="1:10" x14ac:dyDescent="0.2">
      <c r="A98" s="6" t="s">
        <v>106</v>
      </c>
      <c r="B98" s="6">
        <v>6</v>
      </c>
      <c r="C98" s="8">
        <v>840</v>
      </c>
      <c r="D98" s="8">
        <v>7407120</v>
      </c>
      <c r="E98" s="8">
        <v>120</v>
      </c>
      <c r="F98" s="8">
        <v>1145400</v>
      </c>
      <c r="G98" s="8">
        <v>0</v>
      </c>
      <c r="H98" s="8">
        <v>0</v>
      </c>
      <c r="I98" s="8">
        <v>960</v>
      </c>
      <c r="J98" s="8">
        <v>8552520</v>
      </c>
    </row>
    <row r="99" spans="1:10" x14ac:dyDescent="0.2">
      <c r="A99" s="6" t="s">
        <v>107</v>
      </c>
      <c r="B99" s="6">
        <v>6</v>
      </c>
      <c r="C99" s="8">
        <v>508</v>
      </c>
      <c r="D99" s="8">
        <v>1341900</v>
      </c>
      <c r="E99" s="8">
        <v>0</v>
      </c>
      <c r="F99" s="8">
        <v>0</v>
      </c>
      <c r="G99" s="8">
        <v>0</v>
      </c>
      <c r="H99" s="8">
        <v>0</v>
      </c>
      <c r="I99" s="8">
        <v>508</v>
      </c>
      <c r="J99" s="8">
        <v>1341900</v>
      </c>
    </row>
    <row r="100" spans="1:10" x14ac:dyDescent="0.2">
      <c r="A100" s="6" t="s">
        <v>108</v>
      </c>
      <c r="B100" s="6">
        <v>6</v>
      </c>
      <c r="C100" s="8">
        <v>16139</v>
      </c>
      <c r="D100" s="8">
        <v>105677475</v>
      </c>
      <c r="E100" s="8">
        <v>6480</v>
      </c>
      <c r="F100" s="8">
        <v>47129040</v>
      </c>
      <c r="G100" s="8">
        <v>3024</v>
      </c>
      <c r="H100" s="8">
        <v>20429148</v>
      </c>
      <c r="I100" s="8">
        <v>19595</v>
      </c>
      <c r="J100" s="8">
        <v>132377367</v>
      </c>
    </row>
    <row r="101" spans="1:10" x14ac:dyDescent="0.2">
      <c r="A101" s="6" t="s">
        <v>109</v>
      </c>
      <c r="B101" s="6">
        <v>6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</row>
    <row r="102" spans="1:10" x14ac:dyDescent="0.2">
      <c r="A102" s="6" t="s">
        <v>110</v>
      </c>
      <c r="B102" s="6">
        <v>6</v>
      </c>
      <c r="C102" s="8">
        <v>2268</v>
      </c>
      <c r="D102" s="8">
        <v>38016560</v>
      </c>
      <c r="E102" s="8">
        <v>540</v>
      </c>
      <c r="F102" s="8">
        <v>9572580</v>
      </c>
      <c r="G102" s="8">
        <v>0</v>
      </c>
      <c r="H102" s="8">
        <v>0</v>
      </c>
      <c r="I102" s="8">
        <v>2808</v>
      </c>
      <c r="J102" s="8">
        <v>47589140</v>
      </c>
    </row>
    <row r="103" spans="1:10" x14ac:dyDescent="0.2">
      <c r="A103" s="6" t="s">
        <v>111</v>
      </c>
      <c r="B103" s="6">
        <v>6</v>
      </c>
      <c r="C103" s="8">
        <v>5907</v>
      </c>
      <c r="D103" s="8">
        <v>46159660</v>
      </c>
      <c r="E103" s="8">
        <v>1200</v>
      </c>
      <c r="F103" s="8">
        <v>9600000</v>
      </c>
      <c r="G103" s="8">
        <v>2810</v>
      </c>
      <c r="H103" s="8">
        <v>22046524</v>
      </c>
      <c r="I103" s="8">
        <v>4297</v>
      </c>
      <c r="J103" s="8">
        <v>33713136</v>
      </c>
    </row>
    <row r="104" spans="1:10" x14ac:dyDescent="0.2">
      <c r="A104" s="6" t="s">
        <v>112</v>
      </c>
      <c r="B104" s="6">
        <v>6</v>
      </c>
      <c r="C104" s="8">
        <v>3480</v>
      </c>
      <c r="D104" s="8">
        <v>27486064</v>
      </c>
      <c r="E104" s="8">
        <v>1560</v>
      </c>
      <c r="F104" s="8">
        <v>12480000</v>
      </c>
      <c r="G104" s="8">
        <v>600</v>
      </c>
      <c r="H104" s="8">
        <v>4757865</v>
      </c>
      <c r="I104" s="8">
        <v>4440</v>
      </c>
      <c r="J104" s="8">
        <v>35208199</v>
      </c>
    </row>
    <row r="105" spans="1:10" x14ac:dyDescent="0.2">
      <c r="A105" s="6" t="s">
        <v>113</v>
      </c>
      <c r="B105" s="6">
        <v>6</v>
      </c>
      <c r="C105" s="8">
        <v>96</v>
      </c>
      <c r="D105" s="8">
        <v>1483680</v>
      </c>
      <c r="E105" s="8">
        <v>0</v>
      </c>
      <c r="F105" s="8">
        <v>0</v>
      </c>
      <c r="G105" s="8">
        <v>0</v>
      </c>
      <c r="H105" s="8">
        <v>0</v>
      </c>
      <c r="I105" s="8">
        <v>96</v>
      </c>
      <c r="J105" s="8">
        <v>1483680</v>
      </c>
    </row>
    <row r="106" spans="1:10" x14ac:dyDescent="0.2">
      <c r="A106" s="6" t="s">
        <v>114</v>
      </c>
      <c r="B106" s="6">
        <v>6</v>
      </c>
      <c r="C106" s="8">
        <v>240</v>
      </c>
      <c r="D106" s="8">
        <v>4363680</v>
      </c>
      <c r="E106" s="8">
        <v>24</v>
      </c>
      <c r="F106" s="8">
        <v>458184</v>
      </c>
      <c r="G106" s="8">
        <v>0</v>
      </c>
      <c r="H106" s="8">
        <v>0</v>
      </c>
      <c r="I106" s="8">
        <v>264</v>
      </c>
      <c r="J106" s="8">
        <v>4821864</v>
      </c>
    </row>
    <row r="107" spans="1:10" x14ac:dyDescent="0.2">
      <c r="A107" s="6" t="s">
        <v>115</v>
      </c>
      <c r="B107" s="6">
        <v>6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</row>
    <row r="108" spans="1:10" x14ac:dyDescent="0.2">
      <c r="A108" s="6" t="s">
        <v>116</v>
      </c>
      <c r="B108" s="6">
        <v>6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</row>
    <row r="109" spans="1:10" x14ac:dyDescent="0.2">
      <c r="A109" s="6" t="s">
        <v>117</v>
      </c>
      <c r="B109" s="6">
        <v>6</v>
      </c>
      <c r="C109" s="8">
        <v>72</v>
      </c>
      <c r="D109" s="8">
        <v>1178208</v>
      </c>
      <c r="E109" s="8">
        <v>0</v>
      </c>
      <c r="F109" s="8">
        <v>0</v>
      </c>
      <c r="G109" s="8">
        <v>0</v>
      </c>
      <c r="H109" s="8">
        <v>0</v>
      </c>
      <c r="I109" s="8">
        <v>72</v>
      </c>
      <c r="J109" s="8">
        <v>1178208</v>
      </c>
    </row>
    <row r="110" spans="1:10" x14ac:dyDescent="0.2">
      <c r="A110" s="6" t="s">
        <v>118</v>
      </c>
      <c r="B110" s="6">
        <v>6</v>
      </c>
      <c r="C110" s="8">
        <v>468</v>
      </c>
      <c r="D110" s="8">
        <v>18670740</v>
      </c>
      <c r="E110" s="8">
        <v>24</v>
      </c>
      <c r="F110" s="8">
        <v>981816</v>
      </c>
      <c r="G110" s="8">
        <v>0</v>
      </c>
      <c r="H110" s="8">
        <v>0</v>
      </c>
      <c r="I110" s="8">
        <v>492</v>
      </c>
      <c r="J110" s="8">
        <v>19652556</v>
      </c>
    </row>
    <row r="111" spans="1:10" x14ac:dyDescent="0.2">
      <c r="A111" s="6" t="s">
        <v>119</v>
      </c>
      <c r="B111" s="6">
        <v>6</v>
      </c>
      <c r="C111" s="8">
        <v>120</v>
      </c>
      <c r="D111" s="8">
        <v>2727240</v>
      </c>
      <c r="E111" s="8">
        <v>80</v>
      </c>
      <c r="F111" s="8">
        <v>1818160</v>
      </c>
      <c r="G111" s="8">
        <v>0</v>
      </c>
      <c r="H111" s="8">
        <v>0</v>
      </c>
      <c r="I111" s="8">
        <v>200</v>
      </c>
      <c r="J111" s="8">
        <v>4545400</v>
      </c>
    </row>
    <row r="112" spans="1:10" x14ac:dyDescent="0.2">
      <c r="A112" s="6" t="s">
        <v>120</v>
      </c>
      <c r="B112" s="6">
        <v>6</v>
      </c>
      <c r="C112" s="8">
        <v>80</v>
      </c>
      <c r="D112" s="8">
        <v>1745440</v>
      </c>
      <c r="E112" s="8">
        <v>40</v>
      </c>
      <c r="F112" s="8">
        <v>872720</v>
      </c>
      <c r="G112" s="8">
        <v>0</v>
      </c>
      <c r="H112" s="8">
        <v>0</v>
      </c>
      <c r="I112" s="8">
        <v>120</v>
      </c>
      <c r="J112" s="8">
        <v>2618160</v>
      </c>
    </row>
    <row r="113" spans="1:10" x14ac:dyDescent="0.2">
      <c r="A113" s="6" t="s">
        <v>121</v>
      </c>
      <c r="B113" s="6">
        <v>6</v>
      </c>
      <c r="C113" s="8">
        <v>3184</v>
      </c>
      <c r="D113" s="8">
        <v>35214451</v>
      </c>
      <c r="E113" s="8">
        <v>3120</v>
      </c>
      <c r="F113" s="8">
        <v>36872160</v>
      </c>
      <c r="G113" s="8">
        <v>360</v>
      </c>
      <c r="H113" s="8">
        <v>4116621</v>
      </c>
      <c r="I113" s="8">
        <v>5944</v>
      </c>
      <c r="J113" s="8">
        <v>67969990</v>
      </c>
    </row>
    <row r="114" spans="1:10" x14ac:dyDescent="0.2">
      <c r="A114" s="6" t="s">
        <v>122</v>
      </c>
      <c r="B114" s="6">
        <v>6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</row>
    <row r="115" spans="1:10" x14ac:dyDescent="0.2">
      <c r="A115" s="6" t="s">
        <v>123</v>
      </c>
      <c r="B115" s="6">
        <v>6</v>
      </c>
      <c r="C115" s="8">
        <v>144</v>
      </c>
      <c r="D115" s="8">
        <v>2421792</v>
      </c>
      <c r="E115" s="8">
        <v>0</v>
      </c>
      <c r="F115" s="8">
        <v>0</v>
      </c>
      <c r="G115" s="8">
        <v>0</v>
      </c>
      <c r="H115" s="8">
        <v>0</v>
      </c>
      <c r="I115" s="8">
        <v>144</v>
      </c>
      <c r="J115" s="8">
        <v>2421792</v>
      </c>
    </row>
    <row r="116" spans="1:10" x14ac:dyDescent="0.2">
      <c r="A116" s="6" t="s">
        <v>124</v>
      </c>
      <c r="B116" s="6">
        <v>6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</row>
    <row r="117" spans="1:10" x14ac:dyDescent="0.2">
      <c r="A117" s="6" t="s">
        <v>125</v>
      </c>
      <c r="B117" s="6">
        <v>6</v>
      </c>
      <c r="C117" s="8">
        <v>2232</v>
      </c>
      <c r="D117" s="8">
        <v>94765929</v>
      </c>
      <c r="E117" s="8">
        <v>180</v>
      </c>
      <c r="F117" s="8">
        <v>7936380</v>
      </c>
      <c r="G117" s="8">
        <v>240</v>
      </c>
      <c r="H117" s="8">
        <v>10219135</v>
      </c>
      <c r="I117" s="8">
        <v>2172</v>
      </c>
      <c r="J117" s="8">
        <v>92483174</v>
      </c>
    </row>
    <row r="118" spans="1:10" x14ac:dyDescent="0.2">
      <c r="A118" s="6" t="s">
        <v>126</v>
      </c>
      <c r="B118" s="6">
        <v>6</v>
      </c>
      <c r="C118" s="8">
        <v>61787</v>
      </c>
      <c r="D118" s="8">
        <v>332744299</v>
      </c>
      <c r="E118" s="8">
        <v>32400</v>
      </c>
      <c r="F118" s="8">
        <v>185554800</v>
      </c>
      <c r="G118" s="8">
        <v>53760</v>
      </c>
      <c r="H118" s="8">
        <v>295834452</v>
      </c>
      <c r="I118" s="8">
        <v>40427</v>
      </c>
      <c r="J118" s="8">
        <v>222464647</v>
      </c>
    </row>
    <row r="119" spans="1:10" x14ac:dyDescent="0.2">
      <c r="A119" s="6" t="s">
        <v>127</v>
      </c>
      <c r="B119" s="6">
        <v>6</v>
      </c>
      <c r="C119" s="8">
        <v>5961</v>
      </c>
      <c r="D119" s="8">
        <v>32892258</v>
      </c>
      <c r="E119" s="8">
        <v>1200</v>
      </c>
      <c r="F119" s="8">
        <v>6872400</v>
      </c>
      <c r="G119" s="8">
        <v>0</v>
      </c>
      <c r="H119" s="8">
        <v>0</v>
      </c>
      <c r="I119" s="8">
        <v>7161</v>
      </c>
      <c r="J119" s="8">
        <v>39764658</v>
      </c>
    </row>
    <row r="120" spans="1:10" x14ac:dyDescent="0.2">
      <c r="A120" s="6" t="s">
        <v>128</v>
      </c>
      <c r="B120" s="6">
        <v>6</v>
      </c>
      <c r="C120" s="8">
        <v>1100</v>
      </c>
      <c r="D120" s="8">
        <v>16500000</v>
      </c>
      <c r="E120" s="8">
        <v>160</v>
      </c>
      <c r="F120" s="8">
        <v>2400000</v>
      </c>
      <c r="G120" s="8">
        <v>0</v>
      </c>
      <c r="H120" s="8">
        <v>0</v>
      </c>
      <c r="I120" s="8">
        <v>1260</v>
      </c>
      <c r="J120" s="8">
        <v>18900000</v>
      </c>
    </row>
    <row r="121" spans="1:10" x14ac:dyDescent="0.2">
      <c r="A121" s="6" t="s">
        <v>129</v>
      </c>
      <c r="B121" s="6">
        <v>6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</row>
    <row r="122" spans="1:10" x14ac:dyDescent="0.2">
      <c r="A122" s="6" t="s">
        <v>130</v>
      </c>
      <c r="B122" s="6">
        <v>6</v>
      </c>
      <c r="C122" s="8">
        <v>125</v>
      </c>
      <c r="D122" s="8">
        <v>5852250</v>
      </c>
      <c r="E122" s="8">
        <v>48</v>
      </c>
      <c r="F122" s="8">
        <v>2247264</v>
      </c>
      <c r="G122" s="8">
        <v>40</v>
      </c>
      <c r="H122" s="8">
        <v>1872720</v>
      </c>
      <c r="I122" s="8">
        <v>133</v>
      </c>
      <c r="J122" s="8">
        <v>6226794</v>
      </c>
    </row>
    <row r="123" spans="1:10" x14ac:dyDescent="0.2">
      <c r="A123" s="6" t="s">
        <v>131</v>
      </c>
      <c r="B123" s="6">
        <v>6</v>
      </c>
      <c r="C123" s="8">
        <v>56</v>
      </c>
      <c r="D123" s="8">
        <v>2749096</v>
      </c>
      <c r="E123" s="8">
        <v>32</v>
      </c>
      <c r="F123" s="8">
        <v>1570912</v>
      </c>
      <c r="G123" s="8">
        <v>0</v>
      </c>
      <c r="H123" s="8">
        <v>0</v>
      </c>
      <c r="I123" s="8">
        <v>88</v>
      </c>
      <c r="J123" s="8">
        <v>4320008</v>
      </c>
    </row>
    <row r="124" spans="1:10" x14ac:dyDescent="0.2">
      <c r="A124" s="6" t="s">
        <v>132</v>
      </c>
      <c r="B124" s="6">
        <v>6</v>
      </c>
      <c r="C124" s="8">
        <v>150</v>
      </c>
      <c r="D124" s="8">
        <v>6545400</v>
      </c>
      <c r="E124" s="8">
        <v>200</v>
      </c>
      <c r="F124" s="8">
        <v>8727200</v>
      </c>
      <c r="G124" s="8">
        <v>160</v>
      </c>
      <c r="H124" s="8">
        <v>6981760</v>
      </c>
      <c r="I124" s="8">
        <v>190</v>
      </c>
      <c r="J124" s="8">
        <v>8290840</v>
      </c>
    </row>
    <row r="125" spans="1:10" x14ac:dyDescent="0.2">
      <c r="A125" s="6" t="s">
        <v>133</v>
      </c>
      <c r="B125" s="6">
        <v>6</v>
      </c>
      <c r="C125" s="8">
        <v>114</v>
      </c>
      <c r="D125" s="8">
        <v>4249122</v>
      </c>
      <c r="E125" s="8">
        <v>64</v>
      </c>
      <c r="F125" s="8">
        <v>2385472</v>
      </c>
      <c r="G125" s="8">
        <v>35</v>
      </c>
      <c r="H125" s="8">
        <v>1304555</v>
      </c>
      <c r="I125" s="8">
        <v>143</v>
      </c>
      <c r="J125" s="8">
        <v>5330039</v>
      </c>
    </row>
    <row r="126" spans="1:10" x14ac:dyDescent="0.2">
      <c r="A126" s="6" t="s">
        <v>134</v>
      </c>
      <c r="B126" s="6">
        <v>6</v>
      </c>
      <c r="C126" s="8">
        <v>23</v>
      </c>
      <c r="D126" s="8">
        <v>658628</v>
      </c>
      <c r="E126" s="8">
        <v>0</v>
      </c>
      <c r="F126" s="8">
        <v>0</v>
      </c>
      <c r="G126" s="8">
        <v>0</v>
      </c>
      <c r="H126" s="8">
        <v>0</v>
      </c>
      <c r="I126" s="8">
        <v>23</v>
      </c>
      <c r="J126" s="8">
        <v>658628</v>
      </c>
    </row>
    <row r="127" spans="1:10" x14ac:dyDescent="0.2">
      <c r="A127" s="6" t="s">
        <v>135</v>
      </c>
      <c r="B127" s="6">
        <v>6</v>
      </c>
      <c r="C127" s="8">
        <v>520</v>
      </c>
      <c r="D127" s="8">
        <v>95470820</v>
      </c>
      <c r="E127" s="8">
        <v>80</v>
      </c>
      <c r="F127" s="8">
        <v>14697440</v>
      </c>
      <c r="G127" s="8">
        <v>390</v>
      </c>
      <c r="H127" s="8">
        <v>71609369</v>
      </c>
      <c r="I127" s="8">
        <v>210</v>
      </c>
      <c r="J127" s="8">
        <v>38558891</v>
      </c>
    </row>
    <row r="128" spans="1:10" x14ac:dyDescent="0.2">
      <c r="A128" s="6" t="s">
        <v>136</v>
      </c>
      <c r="B128" s="6">
        <v>6</v>
      </c>
      <c r="C128" s="8">
        <v>6227</v>
      </c>
      <c r="D128" s="8">
        <v>90701040</v>
      </c>
      <c r="E128" s="8">
        <v>3600</v>
      </c>
      <c r="F128" s="8">
        <v>54000000</v>
      </c>
      <c r="G128" s="8">
        <v>442</v>
      </c>
      <c r="H128" s="8">
        <v>6508381</v>
      </c>
      <c r="I128" s="8">
        <v>9385</v>
      </c>
      <c r="J128" s="8">
        <v>138192659</v>
      </c>
    </row>
    <row r="129" spans="1:10" x14ac:dyDescent="0.2">
      <c r="A129" s="6" t="s">
        <v>137</v>
      </c>
      <c r="B129" s="6">
        <v>6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</row>
    <row r="130" spans="1:10" x14ac:dyDescent="0.2">
      <c r="A130" s="6" t="s">
        <v>138</v>
      </c>
      <c r="B130" s="6">
        <v>6</v>
      </c>
      <c r="C130" s="8">
        <v>0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</row>
    <row r="131" spans="1:10" x14ac:dyDescent="0.2">
      <c r="A131" s="6" t="s">
        <v>139</v>
      </c>
      <c r="B131" s="6">
        <v>6</v>
      </c>
      <c r="C131" s="8">
        <v>188</v>
      </c>
      <c r="D131" s="8">
        <v>34137846</v>
      </c>
      <c r="E131" s="8">
        <v>0</v>
      </c>
      <c r="F131" s="8">
        <v>0</v>
      </c>
      <c r="G131" s="8">
        <v>0</v>
      </c>
      <c r="H131" s="8">
        <v>0</v>
      </c>
      <c r="I131" s="8">
        <v>188</v>
      </c>
      <c r="J131" s="8">
        <v>34137846</v>
      </c>
    </row>
    <row r="132" spans="1:10" x14ac:dyDescent="0.2">
      <c r="A132" s="6" t="s">
        <v>140</v>
      </c>
      <c r="B132" s="6">
        <v>6</v>
      </c>
      <c r="C132" s="8">
        <v>4376</v>
      </c>
      <c r="D132" s="8">
        <v>805723073</v>
      </c>
      <c r="E132" s="8">
        <v>550</v>
      </c>
      <c r="F132" s="8">
        <v>101460150</v>
      </c>
      <c r="G132" s="8">
        <v>1245</v>
      </c>
      <c r="H132" s="8">
        <v>229281996</v>
      </c>
      <c r="I132" s="8">
        <v>3681</v>
      </c>
      <c r="J132" s="8">
        <v>677901227</v>
      </c>
    </row>
    <row r="133" spans="1:10" x14ac:dyDescent="0.2">
      <c r="A133" s="6" t="s">
        <v>141</v>
      </c>
      <c r="B133" s="6">
        <v>6</v>
      </c>
      <c r="C133" s="8">
        <v>2751</v>
      </c>
      <c r="D133" s="8">
        <v>486006563</v>
      </c>
      <c r="E133" s="8">
        <v>595</v>
      </c>
      <c r="F133" s="8">
        <v>14757840</v>
      </c>
      <c r="G133" s="8">
        <v>5</v>
      </c>
      <c r="H133" s="8">
        <v>748303</v>
      </c>
      <c r="I133" s="8">
        <v>3341</v>
      </c>
      <c r="J133" s="8">
        <v>500016100</v>
      </c>
    </row>
    <row r="134" spans="1:10" x14ac:dyDescent="0.2">
      <c r="A134" s="6" t="s">
        <v>142</v>
      </c>
      <c r="B134" s="6">
        <v>6</v>
      </c>
      <c r="C134" s="8">
        <v>1150</v>
      </c>
      <c r="D134" s="8">
        <v>211217050</v>
      </c>
      <c r="E134" s="8">
        <v>0</v>
      </c>
      <c r="F134" s="8">
        <v>0</v>
      </c>
      <c r="G134" s="8">
        <v>0</v>
      </c>
      <c r="H134" s="8">
        <v>0</v>
      </c>
      <c r="I134" s="8">
        <v>1150</v>
      </c>
      <c r="J134" s="8">
        <v>211217050</v>
      </c>
    </row>
    <row r="135" spans="1:10" x14ac:dyDescent="0.2">
      <c r="A135" s="6" t="s">
        <v>143</v>
      </c>
      <c r="B135" s="6">
        <v>6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</row>
    <row r="136" spans="1:10" x14ac:dyDescent="0.2">
      <c r="A136" s="6" t="s">
        <v>144</v>
      </c>
      <c r="B136" s="6">
        <v>6</v>
      </c>
      <c r="C136" s="8">
        <v>2278</v>
      </c>
      <c r="D136" s="8">
        <v>415245503</v>
      </c>
      <c r="E136" s="8">
        <v>580</v>
      </c>
      <c r="F136" s="8">
        <v>105792000</v>
      </c>
      <c r="G136" s="8">
        <v>0</v>
      </c>
      <c r="H136" s="8">
        <v>0</v>
      </c>
      <c r="I136" s="8">
        <v>2858</v>
      </c>
      <c r="J136" s="8">
        <v>521037503</v>
      </c>
    </row>
    <row r="137" spans="1:10" x14ac:dyDescent="0.2">
      <c r="A137" s="6" t="s">
        <v>145</v>
      </c>
      <c r="B137" s="6">
        <v>6</v>
      </c>
      <c r="C137" s="8">
        <v>523</v>
      </c>
      <c r="D137" s="8">
        <v>93476989</v>
      </c>
      <c r="E137" s="8">
        <v>0</v>
      </c>
      <c r="F137" s="8">
        <v>0</v>
      </c>
      <c r="G137" s="8">
        <v>5</v>
      </c>
      <c r="H137" s="8">
        <v>893661</v>
      </c>
      <c r="I137" s="8">
        <v>518</v>
      </c>
      <c r="J137" s="8">
        <v>92583328</v>
      </c>
    </row>
    <row r="138" spans="1:10" x14ac:dyDescent="0.2">
      <c r="A138" s="6" t="s">
        <v>146</v>
      </c>
      <c r="B138" s="6">
        <v>6</v>
      </c>
      <c r="C138" s="8">
        <v>2436</v>
      </c>
      <c r="D138" s="8">
        <v>429461886</v>
      </c>
      <c r="E138" s="8">
        <v>510</v>
      </c>
      <c r="F138" s="8">
        <v>96724050</v>
      </c>
      <c r="G138" s="8">
        <v>1975</v>
      </c>
      <c r="H138" s="8">
        <v>352755337</v>
      </c>
      <c r="I138" s="8">
        <v>971</v>
      </c>
      <c r="J138" s="8">
        <v>173430599</v>
      </c>
    </row>
    <row r="139" spans="1:10" x14ac:dyDescent="0.2">
      <c r="A139" s="6" t="s">
        <v>147</v>
      </c>
      <c r="B139" s="6">
        <v>6</v>
      </c>
      <c r="C139" s="8">
        <v>294</v>
      </c>
      <c r="D139" s="8">
        <v>26874894</v>
      </c>
      <c r="E139" s="8">
        <v>441</v>
      </c>
      <c r="F139" s="8">
        <v>27463600</v>
      </c>
      <c r="G139" s="8">
        <v>1</v>
      </c>
      <c r="H139" s="8">
        <v>74313</v>
      </c>
      <c r="I139" s="8">
        <v>734</v>
      </c>
      <c r="J139" s="8">
        <v>54264181</v>
      </c>
    </row>
    <row r="140" spans="1:10" x14ac:dyDescent="0.2">
      <c r="A140" s="6" t="s">
        <v>148</v>
      </c>
      <c r="B140" s="6">
        <v>6</v>
      </c>
      <c r="C140" s="8">
        <v>1374</v>
      </c>
      <c r="D140" s="8">
        <v>156541189</v>
      </c>
      <c r="E140" s="8">
        <v>100</v>
      </c>
      <c r="F140" s="8">
        <v>11400000</v>
      </c>
      <c r="G140" s="8">
        <v>22</v>
      </c>
      <c r="H140" s="8">
        <v>2506585</v>
      </c>
      <c r="I140" s="8">
        <v>1452</v>
      </c>
      <c r="J140" s="8">
        <v>165434604</v>
      </c>
    </row>
    <row r="141" spans="1:10" x14ac:dyDescent="0.2">
      <c r="A141" s="6" t="s">
        <v>149</v>
      </c>
      <c r="B141" s="6">
        <v>6</v>
      </c>
      <c r="C141" s="8">
        <v>5499</v>
      </c>
      <c r="D141" s="8">
        <v>1044084747</v>
      </c>
      <c r="E141" s="8">
        <v>1000</v>
      </c>
      <c r="F141" s="8">
        <v>189655000</v>
      </c>
      <c r="G141" s="8">
        <v>2496</v>
      </c>
      <c r="H141" s="8">
        <v>473828960</v>
      </c>
      <c r="I141" s="8">
        <v>4003</v>
      </c>
      <c r="J141" s="8">
        <v>759910787</v>
      </c>
    </row>
    <row r="142" spans="1:10" x14ac:dyDescent="0.2">
      <c r="A142" s="6" t="s">
        <v>150</v>
      </c>
      <c r="B142" s="6">
        <v>6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</row>
    <row r="143" spans="1:10" x14ac:dyDescent="0.2">
      <c r="A143" s="6" t="s">
        <v>151</v>
      </c>
      <c r="B143" s="6">
        <v>6</v>
      </c>
      <c r="C143" s="8">
        <v>259</v>
      </c>
      <c r="D143" s="8">
        <v>49197189</v>
      </c>
      <c r="E143" s="8">
        <v>0</v>
      </c>
      <c r="F143" s="8">
        <v>0</v>
      </c>
      <c r="G143" s="8">
        <v>0</v>
      </c>
      <c r="H143" s="8">
        <v>0</v>
      </c>
      <c r="I143" s="8">
        <v>259</v>
      </c>
      <c r="J143" s="8">
        <v>49197189</v>
      </c>
    </row>
    <row r="144" spans="1:10" x14ac:dyDescent="0.2">
      <c r="A144" s="6" t="s">
        <v>152</v>
      </c>
      <c r="B144" s="6">
        <v>6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</row>
    <row r="145" spans="1:10" x14ac:dyDescent="0.2">
      <c r="A145" s="6" t="s">
        <v>153</v>
      </c>
      <c r="B145" s="6">
        <v>6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</row>
    <row r="146" spans="1:10" x14ac:dyDescent="0.2">
      <c r="A146" s="6" t="s">
        <v>154</v>
      </c>
      <c r="B146" s="6">
        <v>6</v>
      </c>
      <c r="C146" s="8">
        <v>0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</row>
    <row r="147" spans="1:10" x14ac:dyDescent="0.2">
      <c r="A147" s="6" t="s">
        <v>155</v>
      </c>
      <c r="B147" s="6">
        <v>6</v>
      </c>
      <c r="C147" s="8">
        <v>224</v>
      </c>
      <c r="D147" s="8">
        <v>64951888</v>
      </c>
      <c r="E147" s="8">
        <v>0</v>
      </c>
      <c r="F147" s="8">
        <v>0</v>
      </c>
      <c r="G147" s="8">
        <v>0</v>
      </c>
      <c r="H147" s="8">
        <v>0</v>
      </c>
      <c r="I147" s="8">
        <v>224</v>
      </c>
      <c r="J147" s="8">
        <v>64951888</v>
      </c>
    </row>
    <row r="148" spans="1:10" x14ac:dyDescent="0.2">
      <c r="A148" s="6" t="s">
        <v>156</v>
      </c>
      <c r="B148" s="6">
        <v>6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</row>
    <row r="149" spans="1:10" x14ac:dyDescent="0.2">
      <c r="A149" s="6" t="s">
        <v>157</v>
      </c>
      <c r="B149" s="6">
        <v>6</v>
      </c>
      <c r="C149" s="8">
        <v>0</v>
      </c>
      <c r="D149" s="8">
        <v>0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</row>
    <row r="150" spans="1:10" x14ac:dyDescent="0.2">
      <c r="A150" s="6" t="s">
        <v>158</v>
      </c>
      <c r="B150" s="6">
        <v>6</v>
      </c>
      <c r="C150" s="8">
        <v>133</v>
      </c>
      <c r="D150" s="8">
        <v>28422312</v>
      </c>
      <c r="E150" s="8">
        <v>0</v>
      </c>
      <c r="F150" s="8">
        <v>0</v>
      </c>
      <c r="G150" s="8">
        <v>0</v>
      </c>
      <c r="H150" s="8">
        <v>0</v>
      </c>
      <c r="I150" s="8">
        <v>133</v>
      </c>
      <c r="J150" s="8">
        <v>28422312</v>
      </c>
    </row>
    <row r="151" spans="1:10" x14ac:dyDescent="0.2">
      <c r="A151" s="6" t="s">
        <v>159</v>
      </c>
      <c r="B151" s="6">
        <v>6</v>
      </c>
      <c r="C151" s="8">
        <v>83</v>
      </c>
      <c r="D151" s="8">
        <v>18269863</v>
      </c>
      <c r="E151" s="8">
        <v>0</v>
      </c>
      <c r="F151" s="8">
        <v>0</v>
      </c>
      <c r="G151" s="8">
        <v>2</v>
      </c>
      <c r="H151" s="8">
        <v>440242</v>
      </c>
      <c r="I151" s="8">
        <v>81</v>
      </c>
      <c r="J151" s="8">
        <v>17829621</v>
      </c>
    </row>
    <row r="152" spans="1:10" x14ac:dyDescent="0.2">
      <c r="A152" s="6" t="s">
        <v>160</v>
      </c>
      <c r="B152" s="6">
        <v>6</v>
      </c>
      <c r="C152" s="8">
        <v>57</v>
      </c>
      <c r="D152" s="8">
        <v>15066896</v>
      </c>
      <c r="E152" s="8">
        <v>0</v>
      </c>
      <c r="F152" s="8">
        <v>0</v>
      </c>
      <c r="G152" s="8">
        <v>6</v>
      </c>
      <c r="H152" s="8">
        <v>1584716</v>
      </c>
      <c r="I152" s="8">
        <v>51</v>
      </c>
      <c r="J152" s="8">
        <v>13482180</v>
      </c>
    </row>
    <row r="153" spans="1:10" x14ac:dyDescent="0.2">
      <c r="A153" s="6" t="s">
        <v>161</v>
      </c>
      <c r="B153" s="6">
        <v>6</v>
      </c>
      <c r="C153" s="8">
        <v>40</v>
      </c>
      <c r="D153" s="8">
        <v>9285800</v>
      </c>
      <c r="E153" s="8">
        <v>0</v>
      </c>
      <c r="F153" s="8">
        <v>0</v>
      </c>
      <c r="G153" s="8">
        <v>0</v>
      </c>
      <c r="H153" s="8">
        <v>0</v>
      </c>
      <c r="I153" s="8">
        <v>40</v>
      </c>
      <c r="J153" s="8">
        <v>9285800</v>
      </c>
    </row>
    <row r="154" spans="1:10" x14ac:dyDescent="0.2">
      <c r="A154" s="6" t="s">
        <v>162</v>
      </c>
      <c r="B154" s="6">
        <v>6</v>
      </c>
      <c r="C154" s="8">
        <v>1021</v>
      </c>
      <c r="D154" s="8">
        <v>322728911</v>
      </c>
      <c r="E154" s="8">
        <v>0</v>
      </c>
      <c r="F154" s="8">
        <v>0</v>
      </c>
      <c r="G154" s="8">
        <v>0</v>
      </c>
      <c r="H154" s="8">
        <v>0</v>
      </c>
      <c r="I154" s="8">
        <v>1021</v>
      </c>
      <c r="J154" s="8">
        <v>322728911</v>
      </c>
    </row>
    <row r="155" spans="1:10" x14ac:dyDescent="0.2">
      <c r="A155" s="6" t="s">
        <v>163</v>
      </c>
      <c r="B155" s="6">
        <v>6</v>
      </c>
      <c r="C155" s="8">
        <v>384</v>
      </c>
      <c r="D155" s="8">
        <v>121378944</v>
      </c>
      <c r="E155" s="8">
        <v>110</v>
      </c>
      <c r="F155" s="8">
        <v>34770010</v>
      </c>
      <c r="G155" s="8">
        <v>0</v>
      </c>
      <c r="H155" s="8">
        <v>0</v>
      </c>
      <c r="I155" s="8">
        <v>494</v>
      </c>
      <c r="J155" s="8">
        <v>156148954</v>
      </c>
    </row>
    <row r="156" spans="1:10" x14ac:dyDescent="0.2">
      <c r="A156" s="6" t="s">
        <v>164</v>
      </c>
      <c r="B156" s="6">
        <v>6</v>
      </c>
      <c r="C156" s="8">
        <v>95</v>
      </c>
      <c r="D156" s="8">
        <v>13696836</v>
      </c>
      <c r="E156" s="8">
        <v>0</v>
      </c>
      <c r="F156" s="8">
        <v>0</v>
      </c>
      <c r="G156" s="8">
        <v>18</v>
      </c>
      <c r="H156" s="8">
        <v>2595190</v>
      </c>
      <c r="I156" s="8">
        <v>77</v>
      </c>
      <c r="J156" s="8">
        <v>11101646</v>
      </c>
    </row>
    <row r="157" spans="1:10" x14ac:dyDescent="0.2">
      <c r="A157" s="6" t="s">
        <v>165</v>
      </c>
      <c r="B157" s="6">
        <v>6</v>
      </c>
      <c r="C157" s="8">
        <v>203</v>
      </c>
      <c r="D157" s="8">
        <v>30591302</v>
      </c>
      <c r="E157" s="8">
        <v>20</v>
      </c>
      <c r="F157" s="8">
        <v>3171280</v>
      </c>
      <c r="G157" s="8">
        <v>33</v>
      </c>
      <c r="H157" s="8">
        <v>4996257</v>
      </c>
      <c r="I157" s="8">
        <v>190</v>
      </c>
      <c r="J157" s="8">
        <v>28766325</v>
      </c>
    </row>
    <row r="158" spans="1:10" x14ac:dyDescent="0.2">
      <c r="A158" s="6" t="s">
        <v>166</v>
      </c>
      <c r="B158" s="6">
        <v>6</v>
      </c>
      <c r="C158" s="8">
        <v>0</v>
      </c>
      <c r="D158" s="8">
        <v>0</v>
      </c>
      <c r="E158" s="8">
        <v>15</v>
      </c>
      <c r="F158" s="8">
        <v>2105835</v>
      </c>
      <c r="G158" s="8">
        <v>15</v>
      </c>
      <c r="H158" s="8">
        <v>2105835</v>
      </c>
      <c r="I158" s="8">
        <v>0</v>
      </c>
      <c r="J158" s="8">
        <v>0</v>
      </c>
    </row>
    <row r="159" spans="1:10" x14ac:dyDescent="0.2">
      <c r="A159" s="6" t="s">
        <v>167</v>
      </c>
      <c r="B159" s="6">
        <v>6</v>
      </c>
      <c r="C159" s="8">
        <v>0</v>
      </c>
      <c r="D159" s="8">
        <v>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</row>
    <row r="160" spans="1:10" x14ac:dyDescent="0.2">
      <c r="A160" s="6" t="s">
        <v>168</v>
      </c>
      <c r="B160" s="6">
        <v>6</v>
      </c>
      <c r="C160" s="8">
        <v>726</v>
      </c>
      <c r="D160" s="8">
        <v>132419230</v>
      </c>
      <c r="E160" s="8">
        <v>120</v>
      </c>
      <c r="F160" s="8">
        <v>21888000</v>
      </c>
      <c r="G160" s="8">
        <v>0</v>
      </c>
      <c r="H160" s="8">
        <v>0</v>
      </c>
      <c r="I160" s="8">
        <v>846</v>
      </c>
      <c r="J160" s="8">
        <v>154307230</v>
      </c>
    </row>
    <row r="161" spans="1:10" x14ac:dyDescent="0.2">
      <c r="A161" s="6" t="s">
        <v>169</v>
      </c>
      <c r="B161" s="6">
        <v>6</v>
      </c>
      <c r="C161" s="8">
        <v>974</v>
      </c>
      <c r="D161" s="8">
        <v>172484554</v>
      </c>
      <c r="E161" s="8">
        <v>0</v>
      </c>
      <c r="F161" s="8">
        <v>0</v>
      </c>
      <c r="G161" s="8">
        <v>5</v>
      </c>
      <c r="H161" s="8">
        <v>885444</v>
      </c>
      <c r="I161" s="8">
        <v>969</v>
      </c>
      <c r="J161" s="8">
        <v>171599110</v>
      </c>
    </row>
    <row r="162" spans="1:10" x14ac:dyDescent="0.2">
      <c r="A162" s="6" t="s">
        <v>170</v>
      </c>
      <c r="B162" s="6">
        <v>6</v>
      </c>
      <c r="C162" s="8">
        <v>124</v>
      </c>
      <c r="D162" s="8">
        <v>34054864</v>
      </c>
      <c r="E162" s="8">
        <v>245</v>
      </c>
      <c r="F162" s="8">
        <v>67285820</v>
      </c>
      <c r="G162" s="8">
        <v>0</v>
      </c>
      <c r="H162" s="8">
        <v>0</v>
      </c>
      <c r="I162" s="8">
        <v>369</v>
      </c>
      <c r="J162" s="8">
        <v>101340684</v>
      </c>
    </row>
    <row r="163" spans="1:10" x14ac:dyDescent="0.2">
      <c r="A163" s="6" t="s">
        <v>171</v>
      </c>
      <c r="B163" s="6">
        <v>6</v>
      </c>
      <c r="C163" s="8">
        <v>0</v>
      </c>
      <c r="D163" s="8">
        <v>0</v>
      </c>
      <c r="E163" s="8">
        <v>1</v>
      </c>
      <c r="F163" s="8">
        <v>274444</v>
      </c>
      <c r="G163" s="8">
        <v>1</v>
      </c>
      <c r="H163" s="8">
        <v>274444</v>
      </c>
      <c r="I163" s="8">
        <v>0</v>
      </c>
      <c r="J163" s="8">
        <v>0</v>
      </c>
    </row>
    <row r="164" spans="1:10" x14ac:dyDescent="0.2">
      <c r="A164" s="6" t="s">
        <v>172</v>
      </c>
      <c r="B164" s="6">
        <v>6</v>
      </c>
      <c r="C164" s="8">
        <v>0</v>
      </c>
      <c r="D164" s="8">
        <v>0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</row>
    <row r="165" spans="1:10" x14ac:dyDescent="0.2">
      <c r="A165" s="6" t="s">
        <v>173</v>
      </c>
      <c r="B165" s="6">
        <v>6</v>
      </c>
      <c r="C165" s="8">
        <v>0</v>
      </c>
      <c r="D165" s="8">
        <v>0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</row>
    <row r="166" spans="1:10" x14ac:dyDescent="0.2">
      <c r="A166" s="6" t="s">
        <v>174</v>
      </c>
      <c r="B166" s="6">
        <v>6</v>
      </c>
      <c r="C166" s="8">
        <v>100</v>
      </c>
      <c r="D166" s="8">
        <v>27457840</v>
      </c>
      <c r="E166" s="8">
        <v>0</v>
      </c>
      <c r="F166" s="8">
        <v>0</v>
      </c>
      <c r="G166" s="8">
        <v>0</v>
      </c>
      <c r="H166" s="8">
        <v>0</v>
      </c>
      <c r="I166" s="8">
        <v>100</v>
      </c>
      <c r="J166" s="8">
        <v>27457840</v>
      </c>
    </row>
    <row r="167" spans="1:10" x14ac:dyDescent="0.2">
      <c r="A167" s="6" t="s">
        <v>175</v>
      </c>
      <c r="B167" s="6">
        <v>6</v>
      </c>
      <c r="C167" s="8">
        <v>0</v>
      </c>
      <c r="D167" s="8">
        <v>0</v>
      </c>
      <c r="E167" s="8">
        <v>18</v>
      </c>
      <c r="F167" s="8">
        <v>2849994</v>
      </c>
      <c r="G167" s="8">
        <v>18</v>
      </c>
      <c r="H167" s="8">
        <v>2849994</v>
      </c>
      <c r="I167" s="8">
        <v>0</v>
      </c>
      <c r="J167" s="8">
        <v>0</v>
      </c>
    </row>
    <row r="168" spans="1:10" x14ac:dyDescent="0.2">
      <c r="A168" s="6" t="s">
        <v>176</v>
      </c>
      <c r="B168" s="6">
        <v>6</v>
      </c>
      <c r="C168" s="8">
        <v>0</v>
      </c>
      <c r="D168" s="8">
        <v>0</v>
      </c>
      <c r="E168" s="8">
        <v>5</v>
      </c>
      <c r="F168" s="8">
        <v>915455</v>
      </c>
      <c r="G168" s="8">
        <v>5</v>
      </c>
      <c r="H168" s="8">
        <v>915455</v>
      </c>
      <c r="I168" s="8">
        <v>0</v>
      </c>
      <c r="J168" s="8">
        <v>0</v>
      </c>
    </row>
    <row r="169" spans="1:10" x14ac:dyDescent="0.2">
      <c r="A169" s="6" t="s">
        <v>177</v>
      </c>
      <c r="B169" s="6">
        <v>6</v>
      </c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</row>
    <row r="170" spans="1:10" x14ac:dyDescent="0.2">
      <c r="A170" s="6" t="s">
        <v>178</v>
      </c>
      <c r="B170" s="6">
        <v>6</v>
      </c>
      <c r="C170" s="8">
        <v>0</v>
      </c>
      <c r="D170" s="8">
        <v>0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</row>
    <row r="171" spans="1:10" x14ac:dyDescent="0.2">
      <c r="A171" s="6" t="s">
        <v>179</v>
      </c>
      <c r="B171" s="6">
        <v>6</v>
      </c>
      <c r="C171" s="8">
        <v>36122</v>
      </c>
      <c r="D171" s="8">
        <v>179262920</v>
      </c>
      <c r="E171" s="8">
        <v>10932</v>
      </c>
      <c r="F171" s="8">
        <v>58914000</v>
      </c>
      <c r="G171" s="8">
        <v>34944</v>
      </c>
      <c r="H171" s="8">
        <v>176878784</v>
      </c>
      <c r="I171" s="8">
        <v>12110</v>
      </c>
      <c r="J171" s="8">
        <v>61298136</v>
      </c>
    </row>
    <row r="172" spans="1:10" x14ac:dyDescent="0.2">
      <c r="A172" s="6" t="s">
        <v>180</v>
      </c>
      <c r="B172" s="6">
        <v>6</v>
      </c>
      <c r="C172" s="8">
        <v>0</v>
      </c>
      <c r="D172" s="8">
        <v>0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</row>
    <row r="173" spans="1:10" x14ac:dyDescent="0.2">
      <c r="A173" s="6" t="s">
        <v>181</v>
      </c>
      <c r="B173" s="6">
        <v>6</v>
      </c>
      <c r="C173" s="8">
        <v>447</v>
      </c>
      <c r="D173" s="8">
        <v>21857032</v>
      </c>
      <c r="E173" s="8">
        <v>675</v>
      </c>
      <c r="F173" s="8">
        <v>34687575</v>
      </c>
      <c r="G173" s="8">
        <v>1005</v>
      </c>
      <c r="H173" s="8">
        <v>50648244</v>
      </c>
      <c r="I173" s="8">
        <v>117</v>
      </c>
      <c r="J173" s="8">
        <v>5896363</v>
      </c>
    </row>
    <row r="174" spans="1:10" x14ac:dyDescent="0.2">
      <c r="A174" s="6" t="s">
        <v>182</v>
      </c>
      <c r="B174" s="6">
        <v>6</v>
      </c>
      <c r="C174" s="8">
        <v>20</v>
      </c>
      <c r="D174" s="8">
        <v>1190400</v>
      </c>
      <c r="E174" s="8">
        <v>0</v>
      </c>
      <c r="F174" s="8">
        <v>0</v>
      </c>
      <c r="G174" s="8">
        <v>0</v>
      </c>
      <c r="H174" s="8">
        <v>0</v>
      </c>
      <c r="I174" s="8">
        <v>20</v>
      </c>
      <c r="J174" s="8">
        <v>1190400</v>
      </c>
    </row>
    <row r="175" spans="1:10" x14ac:dyDescent="0.2">
      <c r="A175" s="6" t="s">
        <v>183</v>
      </c>
      <c r="B175" s="6">
        <v>6</v>
      </c>
      <c r="C175" s="8">
        <v>2990</v>
      </c>
      <c r="D175" s="8">
        <v>162546862</v>
      </c>
      <c r="E175" s="8">
        <v>208</v>
      </c>
      <c r="F175" s="8">
        <v>10880000</v>
      </c>
      <c r="G175" s="8">
        <v>100</v>
      </c>
      <c r="H175" s="8">
        <v>5422979</v>
      </c>
      <c r="I175" s="8">
        <v>3098</v>
      </c>
      <c r="J175" s="8">
        <v>168003883</v>
      </c>
    </row>
    <row r="176" spans="1:10" x14ac:dyDescent="0.2">
      <c r="A176" s="6" t="s">
        <v>184</v>
      </c>
      <c r="B176" s="6">
        <v>6</v>
      </c>
      <c r="C176" s="8">
        <v>2988</v>
      </c>
      <c r="D176" s="8">
        <v>163058836</v>
      </c>
      <c r="E176" s="8">
        <v>208</v>
      </c>
      <c r="F176" s="8">
        <v>10880000</v>
      </c>
      <c r="G176" s="8">
        <v>75</v>
      </c>
      <c r="H176" s="8">
        <v>4081794</v>
      </c>
      <c r="I176" s="8">
        <v>3121</v>
      </c>
      <c r="J176" s="8">
        <v>169857042</v>
      </c>
    </row>
    <row r="177" spans="1:10" x14ac:dyDescent="0.2">
      <c r="A177" s="6" t="s">
        <v>185</v>
      </c>
      <c r="B177" s="6">
        <v>6</v>
      </c>
      <c r="C177" s="8">
        <v>55</v>
      </c>
      <c r="D177" s="8">
        <v>10164723</v>
      </c>
      <c r="E177" s="8">
        <v>170</v>
      </c>
      <c r="F177" s="8">
        <v>31268825</v>
      </c>
      <c r="G177" s="8">
        <v>225</v>
      </c>
      <c r="H177" s="8">
        <v>41433548</v>
      </c>
      <c r="I177" s="8">
        <v>0</v>
      </c>
      <c r="J177" s="8">
        <v>0</v>
      </c>
    </row>
    <row r="178" spans="1:10" x14ac:dyDescent="0.2">
      <c r="A178" s="6" t="s">
        <v>186</v>
      </c>
      <c r="B178" s="6">
        <v>6</v>
      </c>
      <c r="C178" s="8">
        <v>0</v>
      </c>
      <c r="D178" s="8">
        <v>0</v>
      </c>
      <c r="E178" s="8">
        <v>3200</v>
      </c>
      <c r="F178" s="8">
        <v>142430909</v>
      </c>
      <c r="G178" s="8">
        <v>2640</v>
      </c>
      <c r="H178" s="8">
        <v>118240711</v>
      </c>
      <c r="I178" s="8">
        <v>560</v>
      </c>
      <c r="J178" s="8">
        <v>24190198</v>
      </c>
    </row>
    <row r="179" spans="1:10" x14ac:dyDescent="0.2">
      <c r="A179" s="6" t="s">
        <v>187</v>
      </c>
      <c r="B179" s="6">
        <v>6</v>
      </c>
      <c r="C179" s="8">
        <v>0</v>
      </c>
      <c r="D179" s="8">
        <v>0</v>
      </c>
      <c r="E179" s="8">
        <v>585</v>
      </c>
      <c r="F179" s="8">
        <v>23692500</v>
      </c>
      <c r="G179" s="8">
        <v>585</v>
      </c>
      <c r="H179" s="8">
        <v>23692500</v>
      </c>
      <c r="I179" s="8">
        <v>0</v>
      </c>
      <c r="J179" s="8">
        <v>0</v>
      </c>
    </row>
    <row r="180" spans="1:10" x14ac:dyDescent="0.2">
      <c r="A180" s="6" t="s">
        <v>188</v>
      </c>
      <c r="B180" s="6">
        <v>6</v>
      </c>
      <c r="C180" s="8">
        <v>3372</v>
      </c>
      <c r="D180" s="8">
        <v>620995126</v>
      </c>
      <c r="E180" s="8">
        <v>2000</v>
      </c>
      <c r="F180" s="8">
        <v>364610000</v>
      </c>
      <c r="G180" s="8">
        <v>2320</v>
      </c>
      <c r="H180" s="8">
        <v>425652251</v>
      </c>
      <c r="I180" s="8">
        <v>3052</v>
      </c>
      <c r="J180" s="8">
        <v>559952875</v>
      </c>
    </row>
    <row r="181" spans="1:10" x14ac:dyDescent="0.2">
      <c r="A181" s="6" t="s">
        <v>189</v>
      </c>
      <c r="B181" s="6">
        <v>6</v>
      </c>
      <c r="C181" s="8">
        <v>0</v>
      </c>
      <c r="D181" s="8">
        <v>0</v>
      </c>
      <c r="E181" s="8">
        <v>150</v>
      </c>
      <c r="F181" s="8">
        <v>6662337</v>
      </c>
      <c r="G181" s="8">
        <v>150</v>
      </c>
      <c r="H181" s="8">
        <v>6662337</v>
      </c>
      <c r="I181" s="8">
        <v>0</v>
      </c>
      <c r="J181" s="8">
        <v>0</v>
      </c>
    </row>
    <row r="182" spans="1:10" x14ac:dyDescent="0.2">
      <c r="A182" s="6" t="s">
        <v>190</v>
      </c>
      <c r="B182" s="6">
        <v>6</v>
      </c>
      <c r="C182" s="8">
        <v>4179</v>
      </c>
      <c r="D182" s="8">
        <v>121437525</v>
      </c>
      <c r="E182" s="8">
        <v>2100</v>
      </c>
      <c r="F182" s="8">
        <v>60648000</v>
      </c>
      <c r="G182" s="8">
        <v>5985</v>
      </c>
      <c r="H182" s="8">
        <v>173559781</v>
      </c>
      <c r="I182" s="8">
        <v>294</v>
      </c>
      <c r="J182" s="8">
        <v>8525744</v>
      </c>
    </row>
    <row r="183" spans="1:10" x14ac:dyDescent="0.2">
      <c r="A183" s="6" t="s">
        <v>191</v>
      </c>
      <c r="B183" s="6">
        <v>6</v>
      </c>
      <c r="C183" s="8">
        <v>26465</v>
      </c>
      <c r="D183" s="8">
        <v>651919112</v>
      </c>
      <c r="E183" s="8">
        <v>36600</v>
      </c>
      <c r="F183" s="8">
        <v>1050510000</v>
      </c>
      <c r="G183" s="8">
        <v>37743</v>
      </c>
      <c r="H183" s="8">
        <v>1082162949</v>
      </c>
      <c r="I183" s="8">
        <v>25322</v>
      </c>
      <c r="J183" s="8">
        <v>620266163</v>
      </c>
    </row>
    <row r="184" spans="1:10" x14ac:dyDescent="0.2">
      <c r="A184" s="6" t="s">
        <v>192</v>
      </c>
      <c r="B184" s="6">
        <v>6</v>
      </c>
      <c r="C184" s="8">
        <v>2700</v>
      </c>
      <c r="D184" s="8">
        <v>19585618</v>
      </c>
      <c r="E184" s="8">
        <v>1500</v>
      </c>
      <c r="F184" s="8">
        <v>10830000</v>
      </c>
      <c r="G184" s="8">
        <v>4200</v>
      </c>
      <c r="H184" s="8">
        <v>30415618</v>
      </c>
      <c r="I184" s="8">
        <v>0</v>
      </c>
      <c r="J184" s="8">
        <v>0</v>
      </c>
    </row>
    <row r="185" spans="1:10" x14ac:dyDescent="0.2">
      <c r="A185" s="6" t="s">
        <v>193</v>
      </c>
      <c r="B185" s="6">
        <v>6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</row>
    <row r="186" spans="1:10" x14ac:dyDescent="0.2">
      <c r="A186" s="6" t="s">
        <v>194</v>
      </c>
      <c r="B186" s="6">
        <v>6</v>
      </c>
      <c r="C186" s="8">
        <v>33070</v>
      </c>
      <c r="D186" s="8">
        <v>126055450</v>
      </c>
      <c r="E186" s="8">
        <v>180000</v>
      </c>
      <c r="F186" s="8">
        <v>1299600000</v>
      </c>
      <c r="G186" s="8">
        <v>19050</v>
      </c>
      <c r="H186" s="8">
        <v>137959172</v>
      </c>
      <c r="I186" s="8">
        <v>194020</v>
      </c>
      <c r="J186" s="8">
        <v>1287696278</v>
      </c>
    </row>
    <row r="187" spans="1:10" x14ac:dyDescent="0.2">
      <c r="A187" s="6" t="s">
        <v>195</v>
      </c>
      <c r="B187" s="6">
        <v>6</v>
      </c>
      <c r="C187" s="8">
        <v>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</row>
    <row r="188" spans="1:10" x14ac:dyDescent="0.2">
      <c r="A188" s="6" t="s">
        <v>196</v>
      </c>
      <c r="B188" s="6">
        <v>6</v>
      </c>
      <c r="C188" s="8">
        <v>380</v>
      </c>
      <c r="D188" s="8">
        <v>63766627</v>
      </c>
      <c r="E188" s="8">
        <v>145</v>
      </c>
      <c r="F188" s="8">
        <v>24332002</v>
      </c>
      <c r="G188" s="8">
        <v>525</v>
      </c>
      <c r="H188" s="8">
        <v>88098629</v>
      </c>
      <c r="I188" s="8">
        <v>0</v>
      </c>
      <c r="J188" s="8">
        <v>0</v>
      </c>
    </row>
    <row r="189" spans="1:10" x14ac:dyDescent="0.2">
      <c r="A189" s="6" t="s">
        <v>197</v>
      </c>
      <c r="B189" s="6">
        <v>6</v>
      </c>
      <c r="C189" s="8">
        <v>330</v>
      </c>
      <c r="D189" s="8">
        <v>2388571</v>
      </c>
      <c r="E189" s="8">
        <v>600</v>
      </c>
      <c r="F189" s="8">
        <v>4332000</v>
      </c>
      <c r="G189" s="8">
        <v>300</v>
      </c>
      <c r="H189" s="8">
        <v>2167926</v>
      </c>
      <c r="I189" s="8">
        <v>630</v>
      </c>
      <c r="J189" s="8">
        <v>4552645</v>
      </c>
    </row>
    <row r="190" spans="1:10" x14ac:dyDescent="0.2">
      <c r="A190" s="6" t="s">
        <v>198</v>
      </c>
      <c r="B190" s="6">
        <v>6</v>
      </c>
      <c r="C190" s="8">
        <v>0</v>
      </c>
      <c r="D190" s="8">
        <v>0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</row>
    <row r="191" spans="1:10" x14ac:dyDescent="0.2">
      <c r="A191" s="6" t="s">
        <v>199</v>
      </c>
      <c r="B191" s="6">
        <v>6</v>
      </c>
      <c r="C191" s="8">
        <v>77660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77660</v>
      </c>
      <c r="J191" s="8">
        <v>0</v>
      </c>
    </row>
    <row r="192" spans="1:10" x14ac:dyDescent="0.2">
      <c r="A192" s="6" t="s">
        <v>200</v>
      </c>
      <c r="B192" s="6">
        <v>6</v>
      </c>
      <c r="C192" s="8">
        <v>72</v>
      </c>
      <c r="D192" s="8">
        <v>504000</v>
      </c>
      <c r="E192" s="8">
        <v>0</v>
      </c>
      <c r="F192" s="8">
        <v>0</v>
      </c>
      <c r="G192" s="8">
        <v>0</v>
      </c>
      <c r="H192" s="8">
        <v>0</v>
      </c>
      <c r="I192" s="8">
        <v>72</v>
      </c>
      <c r="J192" s="8">
        <v>504000</v>
      </c>
    </row>
    <row r="193" spans="1:10" x14ac:dyDescent="0.2">
      <c r="A193" s="6" t="s">
        <v>201</v>
      </c>
      <c r="B193" s="6">
        <v>6</v>
      </c>
      <c r="C193" s="8">
        <v>1440</v>
      </c>
      <c r="D193" s="8">
        <v>21537059</v>
      </c>
      <c r="E193" s="8">
        <v>120</v>
      </c>
      <c r="F193" s="8">
        <v>1909080</v>
      </c>
      <c r="G193" s="8">
        <v>0</v>
      </c>
      <c r="H193" s="8">
        <v>0</v>
      </c>
      <c r="I193" s="8">
        <v>1560</v>
      </c>
      <c r="J193" s="8">
        <v>23446139</v>
      </c>
    </row>
    <row r="194" spans="1:10" x14ac:dyDescent="0.2">
      <c r="A194" s="6" t="s">
        <v>202</v>
      </c>
      <c r="B194" s="6">
        <v>6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</row>
    <row r="195" spans="1:10" x14ac:dyDescent="0.2">
      <c r="A195" s="6" t="s">
        <v>203</v>
      </c>
      <c r="B195" s="6">
        <v>6</v>
      </c>
      <c r="C195" s="8">
        <v>5894</v>
      </c>
      <c r="D195" s="8">
        <v>69177878</v>
      </c>
      <c r="E195" s="8">
        <v>0</v>
      </c>
      <c r="F195" s="8">
        <v>0</v>
      </c>
      <c r="G195" s="8">
        <v>0</v>
      </c>
      <c r="H195" s="8">
        <v>0</v>
      </c>
      <c r="I195" s="8">
        <v>5894</v>
      </c>
      <c r="J195" s="8">
        <v>69177878</v>
      </c>
    </row>
    <row r="196" spans="1:10" x14ac:dyDescent="0.2">
      <c r="A196" s="6" t="s">
        <v>204</v>
      </c>
      <c r="B196" s="6">
        <v>6</v>
      </c>
      <c r="C196" s="8">
        <v>6663</v>
      </c>
      <c r="D196" s="8">
        <v>184995311</v>
      </c>
      <c r="E196" s="8">
        <v>216</v>
      </c>
      <c r="F196" s="8">
        <v>0</v>
      </c>
      <c r="G196" s="8">
        <v>720</v>
      </c>
      <c r="H196" s="8">
        <v>19362789</v>
      </c>
      <c r="I196" s="8">
        <v>6159</v>
      </c>
      <c r="J196" s="8">
        <v>165632522</v>
      </c>
    </row>
    <row r="197" spans="1:10" x14ac:dyDescent="0.2">
      <c r="A197" s="6" t="s">
        <v>205</v>
      </c>
      <c r="B197" s="6">
        <v>6</v>
      </c>
      <c r="C197" s="8">
        <v>1344</v>
      </c>
      <c r="D197" s="8">
        <v>86507204</v>
      </c>
      <c r="E197" s="8">
        <v>96</v>
      </c>
      <c r="F197" s="8">
        <v>0</v>
      </c>
      <c r="G197" s="8">
        <v>100</v>
      </c>
      <c r="H197" s="8">
        <v>6007445</v>
      </c>
      <c r="I197" s="8">
        <v>1340</v>
      </c>
      <c r="J197" s="8">
        <v>80499759</v>
      </c>
    </row>
    <row r="198" spans="1:10" x14ac:dyDescent="0.2">
      <c r="A198" s="6" t="s">
        <v>206</v>
      </c>
      <c r="B198" s="6">
        <v>6</v>
      </c>
      <c r="C198" s="8">
        <v>984</v>
      </c>
      <c r="D198" s="8">
        <v>30837260</v>
      </c>
      <c r="E198" s="8">
        <v>0</v>
      </c>
      <c r="F198" s="8">
        <v>0</v>
      </c>
      <c r="G198" s="8">
        <v>30</v>
      </c>
      <c r="H198" s="8">
        <v>940160</v>
      </c>
      <c r="I198" s="8">
        <v>954</v>
      </c>
      <c r="J198" s="8">
        <v>29897100</v>
      </c>
    </row>
    <row r="199" spans="1:10" x14ac:dyDescent="0.2">
      <c r="A199" s="6" t="s">
        <v>207</v>
      </c>
      <c r="B199" s="6">
        <v>6</v>
      </c>
      <c r="C199" s="8">
        <v>1080</v>
      </c>
      <c r="D199" s="8">
        <v>4609440</v>
      </c>
      <c r="E199" s="8">
        <v>0</v>
      </c>
      <c r="F199" s="8">
        <v>0</v>
      </c>
      <c r="G199" s="8">
        <v>0</v>
      </c>
      <c r="H199" s="8">
        <v>0</v>
      </c>
      <c r="I199" s="8">
        <v>1080</v>
      </c>
      <c r="J199" s="8">
        <v>4609440</v>
      </c>
    </row>
    <row r="200" spans="1:10" x14ac:dyDescent="0.2">
      <c r="A200" s="6" t="s">
        <v>208</v>
      </c>
      <c r="B200" s="6">
        <v>6</v>
      </c>
      <c r="C200" s="8">
        <v>1877</v>
      </c>
      <c r="D200" s="8">
        <v>17350105</v>
      </c>
      <c r="E200" s="8">
        <v>216</v>
      </c>
      <c r="F200" s="8">
        <v>0</v>
      </c>
      <c r="G200" s="8">
        <v>0</v>
      </c>
      <c r="H200" s="8">
        <v>0</v>
      </c>
      <c r="I200" s="8">
        <v>2093</v>
      </c>
      <c r="J200" s="8">
        <v>17350105</v>
      </c>
    </row>
    <row r="201" spans="1:10" x14ac:dyDescent="0.2">
      <c r="A201" s="6" t="s">
        <v>209</v>
      </c>
      <c r="B201" s="6">
        <v>6</v>
      </c>
      <c r="C201" s="8">
        <v>0</v>
      </c>
      <c r="D201" s="8">
        <v>0</v>
      </c>
      <c r="E201" s="8">
        <v>12</v>
      </c>
      <c r="F201" s="8">
        <v>700920</v>
      </c>
      <c r="G201" s="8">
        <v>0</v>
      </c>
      <c r="H201" s="8">
        <v>0</v>
      </c>
      <c r="I201" s="8">
        <v>12</v>
      </c>
      <c r="J201" s="8">
        <v>700920</v>
      </c>
    </row>
    <row r="202" spans="1:10" x14ac:dyDescent="0.2">
      <c r="A202" s="6" t="s">
        <v>210</v>
      </c>
      <c r="B202" s="6">
        <v>6</v>
      </c>
      <c r="C202" s="8">
        <v>625</v>
      </c>
      <c r="D202" s="8">
        <v>6930861</v>
      </c>
      <c r="E202" s="8">
        <v>0</v>
      </c>
      <c r="F202" s="8">
        <v>0</v>
      </c>
      <c r="G202" s="8">
        <v>0</v>
      </c>
      <c r="H202" s="8">
        <v>0</v>
      </c>
      <c r="I202" s="8">
        <v>625</v>
      </c>
      <c r="J202" s="8">
        <v>6930861</v>
      </c>
    </row>
    <row r="203" spans="1:10" x14ac:dyDescent="0.2">
      <c r="A203" s="6" t="s">
        <v>211</v>
      </c>
      <c r="B203" s="6">
        <v>6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</row>
    <row r="204" spans="1:10" x14ac:dyDescent="0.2">
      <c r="A204" s="6" t="s">
        <v>212</v>
      </c>
      <c r="B204" s="6">
        <v>6</v>
      </c>
      <c r="C204" s="8">
        <v>10671</v>
      </c>
      <c r="D204" s="8">
        <v>132491073</v>
      </c>
      <c r="E204" s="8">
        <v>1562</v>
      </c>
      <c r="F204" s="8">
        <v>0</v>
      </c>
      <c r="G204" s="8">
        <v>4900</v>
      </c>
      <c r="H204" s="8">
        <v>53070077</v>
      </c>
      <c r="I204" s="8">
        <v>7333</v>
      </c>
      <c r="J204" s="8">
        <v>79420996</v>
      </c>
    </row>
    <row r="205" spans="1:10" x14ac:dyDescent="0.2">
      <c r="A205" s="6" t="s">
        <v>213</v>
      </c>
      <c r="B205" s="6">
        <v>6</v>
      </c>
      <c r="C205" s="8">
        <v>4320</v>
      </c>
      <c r="D205" s="8">
        <v>91769760</v>
      </c>
      <c r="E205" s="8">
        <v>0</v>
      </c>
      <c r="F205" s="8">
        <v>0</v>
      </c>
      <c r="G205" s="8">
        <v>300</v>
      </c>
      <c r="H205" s="8">
        <v>6372900</v>
      </c>
      <c r="I205" s="8">
        <v>4020</v>
      </c>
      <c r="J205" s="8">
        <v>85396860</v>
      </c>
    </row>
    <row r="206" spans="1:10" x14ac:dyDescent="0.2">
      <c r="A206" s="6" t="s">
        <v>214</v>
      </c>
      <c r="B206" s="6">
        <v>6</v>
      </c>
      <c r="C206" s="8">
        <v>12973</v>
      </c>
      <c r="D206" s="8">
        <v>301934905</v>
      </c>
      <c r="E206" s="8">
        <v>4644</v>
      </c>
      <c r="F206" s="8">
        <v>88696800</v>
      </c>
      <c r="G206" s="8">
        <v>5380</v>
      </c>
      <c r="H206" s="8">
        <v>119293783</v>
      </c>
      <c r="I206" s="8">
        <v>12237</v>
      </c>
      <c r="J206" s="8">
        <v>271337922</v>
      </c>
    </row>
    <row r="207" spans="1:10" x14ac:dyDescent="0.2">
      <c r="A207" s="6" t="s">
        <v>215</v>
      </c>
      <c r="B207" s="6">
        <v>6</v>
      </c>
      <c r="C207" s="8">
        <v>6160</v>
      </c>
      <c r="D207" s="8">
        <v>262908800</v>
      </c>
      <c r="E207" s="8">
        <v>960</v>
      </c>
      <c r="F207" s="8">
        <v>40972800</v>
      </c>
      <c r="G207" s="8">
        <v>0</v>
      </c>
      <c r="H207" s="8">
        <v>0</v>
      </c>
      <c r="I207" s="8">
        <v>7120</v>
      </c>
      <c r="J207" s="8">
        <v>303881600</v>
      </c>
    </row>
    <row r="208" spans="1:10" x14ac:dyDescent="0.2">
      <c r="A208" s="6" t="s">
        <v>216</v>
      </c>
      <c r="B208" s="6">
        <v>6</v>
      </c>
      <c r="C208" s="8">
        <v>0</v>
      </c>
      <c r="D208" s="8">
        <v>0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</row>
    <row r="209" spans="1:10" x14ac:dyDescent="0.2">
      <c r="A209" s="6" t="s">
        <v>217</v>
      </c>
      <c r="B209" s="6">
        <v>6</v>
      </c>
      <c r="C209" s="8">
        <v>10</v>
      </c>
      <c r="D209" s="8">
        <v>1775003</v>
      </c>
      <c r="E209" s="8">
        <v>0</v>
      </c>
      <c r="F209" s="8">
        <v>0</v>
      </c>
      <c r="G209" s="8">
        <v>0</v>
      </c>
      <c r="H209" s="8">
        <v>0</v>
      </c>
      <c r="I209" s="8">
        <v>10</v>
      </c>
      <c r="J209" s="8">
        <v>1775003</v>
      </c>
    </row>
    <row r="210" spans="1:10" x14ac:dyDescent="0.2">
      <c r="A210" s="6" t="s">
        <v>218</v>
      </c>
      <c r="B210" s="6">
        <v>6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</row>
    <row r="211" spans="1:10" x14ac:dyDescent="0.2">
      <c r="A211" s="6" t="s">
        <v>219</v>
      </c>
      <c r="B211" s="6">
        <v>6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</row>
    <row r="212" spans="1:10" x14ac:dyDescent="0.2">
      <c r="A212" s="6" t="s">
        <v>220</v>
      </c>
      <c r="B212" s="6">
        <v>6</v>
      </c>
      <c r="C212" s="8">
        <v>0</v>
      </c>
      <c r="D212" s="8">
        <v>0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</row>
    <row r="213" spans="1:10" x14ac:dyDescent="0.2">
      <c r="A213" s="6" t="s">
        <v>221</v>
      </c>
      <c r="B213" s="6">
        <v>6</v>
      </c>
      <c r="C213" s="8">
        <v>4964</v>
      </c>
      <c r="D213" s="8">
        <v>96113488</v>
      </c>
      <c r="E213" s="8">
        <v>1800</v>
      </c>
      <c r="F213" s="8">
        <v>35443800</v>
      </c>
      <c r="G213" s="8">
        <v>50</v>
      </c>
      <c r="H213" s="8">
        <v>972481</v>
      </c>
      <c r="I213" s="8">
        <v>6714</v>
      </c>
      <c r="J213" s="8">
        <v>130584807</v>
      </c>
    </row>
    <row r="214" spans="1:10" x14ac:dyDescent="0.2">
      <c r="A214" s="6" t="s">
        <v>222</v>
      </c>
      <c r="B214" s="6">
        <v>6</v>
      </c>
      <c r="C214" s="8">
        <v>2761</v>
      </c>
      <c r="D214" s="8">
        <v>62907138</v>
      </c>
      <c r="E214" s="8">
        <v>2880</v>
      </c>
      <c r="F214" s="8">
        <v>69001920</v>
      </c>
      <c r="G214" s="8">
        <v>20</v>
      </c>
      <c r="H214" s="8">
        <v>467680</v>
      </c>
      <c r="I214" s="8">
        <v>5621</v>
      </c>
      <c r="J214" s="8">
        <v>131441378</v>
      </c>
    </row>
    <row r="215" spans="1:10" x14ac:dyDescent="0.2">
      <c r="A215" s="6" t="s">
        <v>223</v>
      </c>
      <c r="B215" s="6">
        <v>6</v>
      </c>
      <c r="C215" s="8">
        <v>865</v>
      </c>
      <c r="D215" s="8">
        <v>37407424</v>
      </c>
      <c r="E215" s="8">
        <v>144</v>
      </c>
      <c r="F215" s="8">
        <v>6229728</v>
      </c>
      <c r="G215" s="8">
        <v>0</v>
      </c>
      <c r="H215" s="8">
        <v>0</v>
      </c>
      <c r="I215" s="8">
        <v>1009</v>
      </c>
      <c r="J215" s="8">
        <v>43637152</v>
      </c>
    </row>
    <row r="216" spans="1:10" x14ac:dyDescent="0.2">
      <c r="A216" s="6" t="s">
        <v>224</v>
      </c>
      <c r="B216" s="6">
        <v>6</v>
      </c>
      <c r="C216" s="8">
        <v>336</v>
      </c>
      <c r="D216" s="8">
        <v>6713952</v>
      </c>
      <c r="E216" s="8">
        <v>0</v>
      </c>
      <c r="F216" s="8">
        <v>0</v>
      </c>
      <c r="G216" s="8">
        <v>0</v>
      </c>
      <c r="H216" s="8">
        <v>0</v>
      </c>
      <c r="I216" s="8">
        <v>336</v>
      </c>
      <c r="J216" s="8">
        <v>6713952</v>
      </c>
    </row>
    <row r="217" spans="1:10" x14ac:dyDescent="0.2">
      <c r="A217" s="6" t="s">
        <v>225</v>
      </c>
      <c r="B217" s="6">
        <v>6</v>
      </c>
      <c r="C217" s="8">
        <v>0</v>
      </c>
      <c r="D217" s="8">
        <v>0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</row>
    <row r="218" spans="1:10" x14ac:dyDescent="0.2">
      <c r="A218" s="6" t="s">
        <v>226</v>
      </c>
      <c r="B218" s="6">
        <v>6</v>
      </c>
      <c r="C218" s="8">
        <v>360</v>
      </c>
      <c r="D218" s="8">
        <v>7553196</v>
      </c>
      <c r="E218" s="8">
        <v>0</v>
      </c>
      <c r="F218" s="8">
        <v>0</v>
      </c>
      <c r="G218" s="8">
        <v>0</v>
      </c>
      <c r="H218" s="8">
        <v>0</v>
      </c>
      <c r="I218" s="8">
        <v>360</v>
      </c>
      <c r="J218" s="8">
        <v>7553196</v>
      </c>
    </row>
    <row r="219" spans="1:10" x14ac:dyDescent="0.2">
      <c r="A219" s="6" t="s">
        <v>227</v>
      </c>
      <c r="B219" s="6">
        <v>6</v>
      </c>
      <c r="C219" s="8">
        <v>491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491</v>
      </c>
      <c r="J219" s="8">
        <v>0</v>
      </c>
    </row>
    <row r="220" spans="1:10" x14ac:dyDescent="0.2">
      <c r="A220" s="6" t="s">
        <v>228</v>
      </c>
      <c r="B220" s="6">
        <v>6</v>
      </c>
      <c r="C220" s="8">
        <v>1211</v>
      </c>
      <c r="D220" s="8">
        <v>107289876</v>
      </c>
      <c r="E220" s="8">
        <v>20</v>
      </c>
      <c r="F220" s="8">
        <v>1756160</v>
      </c>
      <c r="G220" s="8">
        <v>0</v>
      </c>
      <c r="H220" s="8">
        <v>0</v>
      </c>
      <c r="I220" s="8">
        <v>1231</v>
      </c>
      <c r="J220" s="8">
        <v>109046036</v>
      </c>
    </row>
    <row r="221" spans="1:10" x14ac:dyDescent="0.2">
      <c r="A221" s="6" t="s">
        <v>229</v>
      </c>
      <c r="B221" s="6">
        <v>6</v>
      </c>
      <c r="C221" s="8">
        <v>2013</v>
      </c>
      <c r="D221" s="8">
        <v>184442121</v>
      </c>
      <c r="E221" s="8">
        <v>120</v>
      </c>
      <c r="F221" s="8">
        <v>9806370</v>
      </c>
      <c r="G221" s="8">
        <v>129</v>
      </c>
      <c r="H221" s="8">
        <v>11747799</v>
      </c>
      <c r="I221" s="8">
        <v>2004</v>
      </c>
      <c r="J221" s="8">
        <v>182500692</v>
      </c>
    </row>
    <row r="222" spans="1:10" x14ac:dyDescent="0.2">
      <c r="A222" s="6" t="s">
        <v>230</v>
      </c>
      <c r="B222" s="6">
        <v>6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</row>
    <row r="223" spans="1:10" x14ac:dyDescent="0.2">
      <c r="A223" s="6" t="s">
        <v>231</v>
      </c>
      <c r="B223" s="6">
        <v>6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</row>
    <row r="224" spans="1:10" x14ac:dyDescent="0.2">
      <c r="A224" s="6" t="s">
        <v>232</v>
      </c>
      <c r="B224" s="6">
        <v>6</v>
      </c>
      <c r="C224" s="8">
        <v>991</v>
      </c>
      <c r="D224" s="8">
        <v>61506006</v>
      </c>
      <c r="E224" s="8">
        <v>200</v>
      </c>
      <c r="F224" s="8">
        <v>12703740</v>
      </c>
      <c r="G224" s="8">
        <v>0</v>
      </c>
      <c r="H224" s="8">
        <v>0</v>
      </c>
      <c r="I224" s="8">
        <v>1191</v>
      </c>
      <c r="J224" s="8">
        <v>74209746</v>
      </c>
    </row>
    <row r="225" spans="1:10" x14ac:dyDescent="0.2">
      <c r="A225" s="6" t="s">
        <v>233</v>
      </c>
      <c r="B225" s="6">
        <v>6</v>
      </c>
      <c r="C225" s="8">
        <v>1560</v>
      </c>
      <c r="D225" s="8">
        <v>94488745</v>
      </c>
      <c r="E225" s="8">
        <v>1000</v>
      </c>
      <c r="F225" s="8">
        <v>62720000</v>
      </c>
      <c r="G225" s="8">
        <v>0</v>
      </c>
      <c r="H225" s="8">
        <v>0</v>
      </c>
      <c r="I225" s="8">
        <v>2560</v>
      </c>
      <c r="J225" s="8">
        <v>157208745</v>
      </c>
    </row>
    <row r="226" spans="1:10" x14ac:dyDescent="0.2">
      <c r="A226" s="6" t="s">
        <v>234</v>
      </c>
      <c r="B226" s="6">
        <v>6</v>
      </c>
      <c r="C226" s="8">
        <v>10991</v>
      </c>
      <c r="D226" s="8">
        <v>623487683</v>
      </c>
      <c r="E226" s="8">
        <v>6210</v>
      </c>
      <c r="F226" s="8">
        <v>370625220</v>
      </c>
      <c r="G226" s="8">
        <v>1863</v>
      </c>
      <c r="H226" s="8">
        <v>107670039</v>
      </c>
      <c r="I226" s="8">
        <v>15338</v>
      </c>
      <c r="J226" s="8">
        <v>886442864</v>
      </c>
    </row>
    <row r="227" spans="1:10" x14ac:dyDescent="0.2">
      <c r="A227" s="6" t="s">
        <v>235</v>
      </c>
      <c r="B227" s="6">
        <v>6</v>
      </c>
      <c r="C227" s="8">
        <v>1068</v>
      </c>
      <c r="D227" s="8">
        <v>73909328</v>
      </c>
      <c r="E227" s="8">
        <v>80</v>
      </c>
      <c r="F227" s="8">
        <v>5644800</v>
      </c>
      <c r="G227" s="8">
        <v>670</v>
      </c>
      <c r="H227" s="8">
        <v>46429674</v>
      </c>
      <c r="I227" s="8">
        <v>478</v>
      </c>
      <c r="J227" s="8">
        <v>33124454</v>
      </c>
    </row>
    <row r="228" spans="1:10" x14ac:dyDescent="0.2">
      <c r="A228" s="6" t="s">
        <v>236</v>
      </c>
      <c r="B228" s="6">
        <v>6</v>
      </c>
      <c r="C228" s="8">
        <v>0</v>
      </c>
      <c r="D228" s="8">
        <v>0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</row>
    <row r="229" spans="1:10" x14ac:dyDescent="0.2">
      <c r="A229" s="6" t="s">
        <v>237</v>
      </c>
      <c r="B229" s="6">
        <v>6</v>
      </c>
      <c r="C229" s="8">
        <v>276</v>
      </c>
      <c r="D229" s="8">
        <v>2253020</v>
      </c>
      <c r="E229" s="8">
        <v>0</v>
      </c>
      <c r="F229" s="8">
        <v>0</v>
      </c>
      <c r="G229" s="8">
        <v>19</v>
      </c>
      <c r="H229" s="8">
        <v>155099</v>
      </c>
      <c r="I229" s="8">
        <v>257</v>
      </c>
      <c r="J229" s="8">
        <v>2097921</v>
      </c>
    </row>
    <row r="230" spans="1:10" x14ac:dyDescent="0.2">
      <c r="A230" s="6" t="s">
        <v>238</v>
      </c>
      <c r="B230" s="6">
        <v>6</v>
      </c>
      <c r="C230" s="8">
        <v>1005</v>
      </c>
      <c r="D230" s="8">
        <v>57620791</v>
      </c>
      <c r="E230" s="8">
        <v>46</v>
      </c>
      <c r="F230" s="8">
        <v>2695000</v>
      </c>
      <c r="G230" s="8">
        <v>130</v>
      </c>
      <c r="H230" s="8">
        <v>7460564</v>
      </c>
      <c r="I230" s="8">
        <v>921</v>
      </c>
      <c r="J230" s="8">
        <v>52855227</v>
      </c>
    </row>
    <row r="231" spans="1:10" x14ac:dyDescent="0.2">
      <c r="A231" s="6" t="s">
        <v>239</v>
      </c>
      <c r="B231" s="6">
        <v>6</v>
      </c>
      <c r="C231" s="8">
        <v>0</v>
      </c>
      <c r="D231" s="8">
        <v>0</v>
      </c>
      <c r="E231" s="8">
        <v>816</v>
      </c>
      <c r="F231" s="8">
        <v>97104000</v>
      </c>
      <c r="G231" s="8">
        <v>816</v>
      </c>
      <c r="H231" s="8">
        <v>97104000</v>
      </c>
      <c r="I231" s="8">
        <v>0</v>
      </c>
      <c r="J231" s="8">
        <v>0</v>
      </c>
    </row>
    <row r="232" spans="1:10" x14ac:dyDescent="0.2">
      <c r="A232" s="6" t="s">
        <v>240</v>
      </c>
      <c r="B232" s="6">
        <v>6</v>
      </c>
      <c r="C232" s="8">
        <v>4996</v>
      </c>
      <c r="D232" s="8">
        <v>468862502</v>
      </c>
      <c r="E232" s="8">
        <v>1173</v>
      </c>
      <c r="F232" s="8">
        <v>109619370</v>
      </c>
      <c r="G232" s="8">
        <v>4036</v>
      </c>
      <c r="H232" s="8">
        <v>378465365</v>
      </c>
      <c r="I232" s="8">
        <v>2133</v>
      </c>
      <c r="J232" s="8">
        <v>200016507</v>
      </c>
    </row>
    <row r="233" spans="1:10" x14ac:dyDescent="0.2">
      <c r="A233" s="6" t="s">
        <v>241</v>
      </c>
      <c r="B233" s="6">
        <v>6</v>
      </c>
      <c r="C233" s="8">
        <v>1632</v>
      </c>
      <c r="D233" s="8">
        <v>129190780</v>
      </c>
      <c r="E233" s="8">
        <v>158</v>
      </c>
      <c r="F233" s="8">
        <v>13117104</v>
      </c>
      <c r="G233" s="8">
        <v>44</v>
      </c>
      <c r="H233" s="8">
        <v>3498071</v>
      </c>
      <c r="I233" s="8">
        <v>1746</v>
      </c>
      <c r="J233" s="8">
        <v>138809813</v>
      </c>
    </row>
    <row r="234" spans="1:10" x14ac:dyDescent="0.2">
      <c r="A234" s="6" t="s">
        <v>242</v>
      </c>
      <c r="B234" s="6">
        <v>6</v>
      </c>
      <c r="C234" s="8">
        <v>2061</v>
      </c>
      <c r="D234" s="8">
        <v>141564300</v>
      </c>
      <c r="E234" s="8">
        <v>53</v>
      </c>
      <c r="F234" s="8">
        <v>3797010</v>
      </c>
      <c r="G234" s="8">
        <v>0</v>
      </c>
      <c r="H234" s="8">
        <v>0</v>
      </c>
      <c r="I234" s="8">
        <v>2114</v>
      </c>
      <c r="J234" s="8">
        <v>145361310</v>
      </c>
    </row>
    <row r="235" spans="1:10" x14ac:dyDescent="0.2">
      <c r="A235" s="6" t="s">
        <v>243</v>
      </c>
      <c r="B235" s="6">
        <v>6</v>
      </c>
      <c r="C235" s="8">
        <v>1393</v>
      </c>
      <c r="D235" s="8">
        <v>130585455</v>
      </c>
      <c r="E235" s="8">
        <v>43</v>
      </c>
      <c r="F235" s="8">
        <v>3268790</v>
      </c>
      <c r="G235" s="8">
        <v>63</v>
      </c>
      <c r="H235" s="8">
        <v>5872436</v>
      </c>
      <c r="I235" s="8">
        <v>1373</v>
      </c>
      <c r="J235" s="8">
        <v>127981809</v>
      </c>
    </row>
    <row r="236" spans="1:10" x14ac:dyDescent="0.2">
      <c r="A236" s="6" t="s">
        <v>244</v>
      </c>
      <c r="B236" s="6">
        <v>6</v>
      </c>
      <c r="C236" s="8">
        <v>36</v>
      </c>
      <c r="D236" s="8">
        <v>3161088</v>
      </c>
      <c r="E236" s="8">
        <v>0</v>
      </c>
      <c r="F236" s="8">
        <v>0</v>
      </c>
      <c r="G236" s="8">
        <v>0</v>
      </c>
      <c r="H236" s="8">
        <v>0</v>
      </c>
      <c r="I236" s="8">
        <v>36</v>
      </c>
      <c r="J236" s="8">
        <v>3161088</v>
      </c>
    </row>
    <row r="237" spans="1:10" x14ac:dyDescent="0.2">
      <c r="A237" s="6" t="s">
        <v>245</v>
      </c>
      <c r="B237" s="6">
        <v>6</v>
      </c>
      <c r="C237" s="8">
        <v>0</v>
      </c>
      <c r="D237" s="8">
        <v>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</row>
    <row r="238" spans="1:10" x14ac:dyDescent="0.2">
      <c r="A238" s="6" t="s">
        <v>246</v>
      </c>
      <c r="B238" s="6">
        <v>6</v>
      </c>
      <c r="C238" s="8">
        <v>2553</v>
      </c>
      <c r="D238" s="8">
        <v>18196611</v>
      </c>
      <c r="E238" s="8">
        <v>0</v>
      </c>
      <c r="F238" s="8">
        <v>0</v>
      </c>
      <c r="G238" s="8">
        <v>20</v>
      </c>
      <c r="H238" s="8">
        <v>142551</v>
      </c>
      <c r="I238" s="8">
        <v>2533</v>
      </c>
      <c r="J238" s="8">
        <v>18054060</v>
      </c>
    </row>
    <row r="239" spans="1:10" x14ac:dyDescent="0.2">
      <c r="A239" s="6" t="s">
        <v>247</v>
      </c>
      <c r="B239" s="6">
        <v>6</v>
      </c>
      <c r="C239" s="8">
        <v>24620</v>
      </c>
      <c r="D239" s="8">
        <v>168000826</v>
      </c>
      <c r="E239" s="8">
        <v>1826</v>
      </c>
      <c r="F239" s="8">
        <v>10263658</v>
      </c>
      <c r="G239" s="8">
        <v>41</v>
      </c>
      <c r="H239" s="8">
        <v>276369</v>
      </c>
      <c r="I239" s="8">
        <v>26405</v>
      </c>
      <c r="J239" s="8">
        <v>177988115</v>
      </c>
    </row>
    <row r="240" spans="1:10" x14ac:dyDescent="0.2">
      <c r="A240" s="6" t="s">
        <v>248</v>
      </c>
      <c r="B240" s="6">
        <v>6</v>
      </c>
      <c r="C240" s="8">
        <v>281</v>
      </c>
      <c r="D240" s="8">
        <v>2002839</v>
      </c>
      <c r="E240" s="8">
        <v>0</v>
      </c>
      <c r="F240" s="8">
        <v>0</v>
      </c>
      <c r="G240" s="8">
        <v>14</v>
      </c>
      <c r="H240" s="8">
        <v>99786</v>
      </c>
      <c r="I240" s="8">
        <v>267</v>
      </c>
      <c r="J240" s="8">
        <v>1903053</v>
      </c>
    </row>
    <row r="241" spans="1:10" x14ac:dyDescent="0.2">
      <c r="A241" s="6" t="s">
        <v>249</v>
      </c>
      <c r="B241" s="6">
        <v>6</v>
      </c>
      <c r="C241" s="8">
        <v>285</v>
      </c>
      <c r="D241" s="8">
        <v>2031349</v>
      </c>
      <c r="E241" s="8">
        <v>0</v>
      </c>
      <c r="F241" s="8">
        <v>0</v>
      </c>
      <c r="G241" s="8">
        <v>4</v>
      </c>
      <c r="H241" s="8">
        <v>28510</v>
      </c>
      <c r="I241" s="8">
        <v>281</v>
      </c>
      <c r="J241" s="8">
        <v>2002839</v>
      </c>
    </row>
    <row r="242" spans="1:10" x14ac:dyDescent="0.2">
      <c r="A242" s="6" t="s">
        <v>250</v>
      </c>
      <c r="B242" s="6">
        <v>6</v>
      </c>
      <c r="C242" s="8">
        <v>7297</v>
      </c>
      <c r="D242" s="8">
        <v>105303590</v>
      </c>
      <c r="E242" s="8">
        <v>0</v>
      </c>
      <c r="F242" s="8">
        <v>0</v>
      </c>
      <c r="G242" s="8">
        <v>1</v>
      </c>
      <c r="H242" s="8">
        <v>14431</v>
      </c>
      <c r="I242" s="8">
        <v>7296</v>
      </c>
      <c r="J242" s="8">
        <v>105289159</v>
      </c>
    </row>
    <row r="243" spans="1:10" x14ac:dyDescent="0.2">
      <c r="A243" s="6" t="s">
        <v>251</v>
      </c>
      <c r="B243" s="6">
        <v>6</v>
      </c>
      <c r="C243" s="8">
        <v>0</v>
      </c>
      <c r="D243" s="8">
        <v>0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</row>
    <row r="244" spans="1:10" x14ac:dyDescent="0.2">
      <c r="A244" s="6" t="s">
        <v>252</v>
      </c>
      <c r="B244" s="6">
        <v>6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</row>
    <row r="245" spans="1:10" x14ac:dyDescent="0.2">
      <c r="A245" s="6" t="s">
        <v>253</v>
      </c>
      <c r="B245" s="6">
        <v>6</v>
      </c>
      <c r="C245" s="8">
        <v>0</v>
      </c>
      <c r="D245" s="8">
        <v>0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</row>
    <row r="246" spans="1:10" x14ac:dyDescent="0.2">
      <c r="A246" s="6" t="s">
        <v>254</v>
      </c>
      <c r="B246" s="6">
        <v>6</v>
      </c>
      <c r="C246" s="8">
        <v>133</v>
      </c>
      <c r="D246" s="8">
        <v>4538267</v>
      </c>
      <c r="E246" s="8">
        <v>0</v>
      </c>
      <c r="F246" s="8">
        <v>0</v>
      </c>
      <c r="G246" s="8">
        <v>65</v>
      </c>
      <c r="H246" s="8">
        <v>2217950</v>
      </c>
      <c r="I246" s="8">
        <v>68</v>
      </c>
      <c r="J246" s="8">
        <v>2320317</v>
      </c>
    </row>
    <row r="247" spans="1:10" x14ac:dyDescent="0.2">
      <c r="A247" s="6" t="s">
        <v>255</v>
      </c>
      <c r="B247" s="6">
        <v>6</v>
      </c>
      <c r="C247" s="8">
        <v>0</v>
      </c>
      <c r="D247" s="8">
        <v>884858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884858</v>
      </c>
    </row>
    <row r="248" spans="1:10" x14ac:dyDescent="0.2">
      <c r="A248" s="6" t="s">
        <v>256</v>
      </c>
      <c r="B248" s="6">
        <v>6</v>
      </c>
      <c r="C248" s="8">
        <v>25</v>
      </c>
      <c r="D248" s="8">
        <v>696491</v>
      </c>
      <c r="E248" s="8">
        <v>0</v>
      </c>
      <c r="F248" s="8">
        <v>0</v>
      </c>
      <c r="G248" s="8">
        <v>0</v>
      </c>
      <c r="H248" s="8">
        <v>0</v>
      </c>
      <c r="I248" s="8">
        <v>25</v>
      </c>
      <c r="J248" s="8">
        <v>696491</v>
      </c>
    </row>
    <row r="249" spans="1:10" x14ac:dyDescent="0.2">
      <c r="A249" s="6" t="s">
        <v>257</v>
      </c>
      <c r="B249" s="6">
        <v>6</v>
      </c>
      <c r="C249" s="8">
        <v>0</v>
      </c>
      <c r="D249" s="8">
        <v>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</row>
    <row r="250" spans="1:10" x14ac:dyDescent="0.2">
      <c r="A250" s="6" t="s">
        <v>258</v>
      </c>
      <c r="B250" s="6">
        <v>6</v>
      </c>
      <c r="C250" s="8">
        <v>1285</v>
      </c>
      <c r="D250" s="8">
        <v>5379181</v>
      </c>
      <c r="E250" s="8">
        <v>70</v>
      </c>
      <c r="F250" s="8">
        <v>1072512</v>
      </c>
      <c r="G250" s="8">
        <v>140</v>
      </c>
      <c r="H250" s="8">
        <v>2133263</v>
      </c>
      <c r="I250" s="8">
        <v>1215</v>
      </c>
      <c r="J250" s="8">
        <v>4318430</v>
      </c>
    </row>
    <row r="251" spans="1:10" x14ac:dyDescent="0.2">
      <c r="A251" s="6" t="s">
        <v>259</v>
      </c>
      <c r="B251" s="6">
        <v>6</v>
      </c>
      <c r="C251" s="8">
        <v>110</v>
      </c>
      <c r="D251" s="8">
        <v>2420810</v>
      </c>
      <c r="E251" s="8">
        <v>0</v>
      </c>
      <c r="F251" s="8">
        <v>0</v>
      </c>
      <c r="G251" s="8">
        <v>0</v>
      </c>
      <c r="H251" s="8">
        <v>0</v>
      </c>
      <c r="I251" s="8">
        <v>110</v>
      </c>
      <c r="J251" s="8">
        <v>2420810</v>
      </c>
    </row>
    <row r="252" spans="1:10" x14ac:dyDescent="0.2">
      <c r="A252" s="6" t="s">
        <v>260</v>
      </c>
      <c r="B252" s="6">
        <v>6</v>
      </c>
      <c r="C252" s="8">
        <v>2</v>
      </c>
      <c r="D252" s="8">
        <v>109792</v>
      </c>
      <c r="E252" s="8">
        <v>0</v>
      </c>
      <c r="F252" s="8">
        <v>0</v>
      </c>
      <c r="G252" s="8">
        <v>0</v>
      </c>
      <c r="H252" s="8">
        <v>0</v>
      </c>
      <c r="I252" s="8">
        <v>2</v>
      </c>
      <c r="J252" s="8">
        <v>109792</v>
      </c>
    </row>
    <row r="253" spans="1:10" x14ac:dyDescent="0.2">
      <c r="A253" s="6" t="s">
        <v>261</v>
      </c>
      <c r="B253" s="6">
        <v>6</v>
      </c>
      <c r="C253" s="8">
        <v>0</v>
      </c>
      <c r="D253" s="8">
        <v>0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</row>
    <row r="254" spans="1:10" x14ac:dyDescent="0.2">
      <c r="A254" s="6" t="s">
        <v>262</v>
      </c>
      <c r="B254" s="6">
        <v>6</v>
      </c>
      <c r="C254" s="8">
        <v>0</v>
      </c>
      <c r="D254" s="8">
        <v>0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</row>
    <row r="255" spans="1:10" x14ac:dyDescent="0.2">
      <c r="A255" s="6" t="s">
        <v>263</v>
      </c>
      <c r="B255" s="6">
        <v>6</v>
      </c>
      <c r="C255" s="8">
        <v>0</v>
      </c>
      <c r="D255" s="8">
        <v>0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</row>
    <row r="256" spans="1:10" x14ac:dyDescent="0.2">
      <c r="A256" s="6" t="s">
        <v>264</v>
      </c>
      <c r="B256" s="6">
        <v>6</v>
      </c>
      <c r="C256" s="8">
        <v>0</v>
      </c>
      <c r="D256" s="8">
        <v>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</row>
    <row r="257" spans="1:10" x14ac:dyDescent="0.2">
      <c r="A257" s="6" t="s">
        <v>265</v>
      </c>
      <c r="B257" s="6">
        <v>6</v>
      </c>
      <c r="C257" s="8">
        <v>0</v>
      </c>
      <c r="D257" s="8">
        <v>0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</row>
    <row r="258" spans="1:10" x14ac:dyDescent="0.2">
      <c r="A258" s="6" t="s">
        <v>266</v>
      </c>
      <c r="B258" s="6">
        <v>6</v>
      </c>
      <c r="C258" s="8">
        <v>0</v>
      </c>
      <c r="D258" s="8">
        <v>0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</row>
    <row r="259" spans="1:10" x14ac:dyDescent="0.2">
      <c r="A259" s="6" t="s">
        <v>267</v>
      </c>
      <c r="B259" s="6">
        <v>6</v>
      </c>
      <c r="C259" s="8">
        <v>1</v>
      </c>
      <c r="D259" s="8">
        <v>39000</v>
      </c>
      <c r="E259" s="8">
        <v>0</v>
      </c>
      <c r="F259" s="8">
        <v>0</v>
      </c>
      <c r="G259" s="8">
        <v>0</v>
      </c>
      <c r="H259" s="8">
        <v>0</v>
      </c>
      <c r="I259" s="8">
        <v>1</v>
      </c>
      <c r="J259" s="8">
        <v>39000</v>
      </c>
    </row>
    <row r="260" spans="1:10" x14ac:dyDescent="0.2">
      <c r="A260" s="6" t="s">
        <v>268</v>
      </c>
      <c r="B260" s="6">
        <v>6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</row>
    <row r="261" spans="1:10" x14ac:dyDescent="0.2">
      <c r="A261" s="6" t="s">
        <v>269</v>
      </c>
      <c r="B261" s="6">
        <v>6</v>
      </c>
      <c r="C261" s="8">
        <v>0</v>
      </c>
      <c r="D261" s="8">
        <v>0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</row>
    <row r="262" spans="1:10" x14ac:dyDescent="0.2">
      <c r="A262" s="6" t="s">
        <v>270</v>
      </c>
      <c r="B262" s="6">
        <v>6</v>
      </c>
      <c r="C262" s="8">
        <v>0</v>
      </c>
      <c r="D262" s="8">
        <v>0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</row>
    <row r="263" spans="1:10" x14ac:dyDescent="0.2">
      <c r="A263" s="6" t="s">
        <v>271</v>
      </c>
      <c r="B263" s="6">
        <v>6</v>
      </c>
      <c r="C263" s="8">
        <v>0</v>
      </c>
      <c r="D263" s="8">
        <v>0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</row>
    <row r="264" spans="1:10" x14ac:dyDescent="0.2">
      <c r="A264" s="6" t="s">
        <v>272</v>
      </c>
      <c r="B264" s="6">
        <v>6</v>
      </c>
      <c r="C264" s="8">
        <v>6</v>
      </c>
      <c r="D264" s="8">
        <v>794727</v>
      </c>
      <c r="E264" s="8">
        <v>0</v>
      </c>
      <c r="F264" s="8">
        <v>0</v>
      </c>
      <c r="G264" s="8">
        <v>0</v>
      </c>
      <c r="H264" s="8">
        <v>0</v>
      </c>
      <c r="I264" s="8">
        <v>6</v>
      </c>
      <c r="J264" s="8">
        <v>794727</v>
      </c>
    </row>
    <row r="265" spans="1:10" x14ac:dyDescent="0.2">
      <c r="A265" s="6" t="s">
        <v>273</v>
      </c>
      <c r="B265" s="6">
        <v>6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</row>
    <row r="266" spans="1:10" x14ac:dyDescent="0.2">
      <c r="A266" s="6" t="s">
        <v>274</v>
      </c>
      <c r="B266" s="6">
        <v>6</v>
      </c>
      <c r="C266" s="8">
        <v>0</v>
      </c>
      <c r="D266" s="8">
        <v>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</row>
    <row r="267" spans="1:10" x14ac:dyDescent="0.2">
      <c r="A267" s="6" t="s">
        <v>275</v>
      </c>
      <c r="B267" s="6">
        <v>6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</row>
    <row r="268" spans="1:10" x14ac:dyDescent="0.2">
      <c r="A268" s="6" t="s">
        <v>276</v>
      </c>
      <c r="B268" s="6">
        <v>6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</row>
    <row r="269" spans="1:10" x14ac:dyDescent="0.2">
      <c r="A269" s="6" t="s">
        <v>277</v>
      </c>
      <c r="B269" s="6">
        <v>6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</row>
    <row r="270" spans="1:10" x14ac:dyDescent="0.2">
      <c r="A270" s="6" t="s">
        <v>278</v>
      </c>
      <c r="B270" s="6">
        <v>6</v>
      </c>
      <c r="C270" s="8">
        <v>0</v>
      </c>
      <c r="D270" s="8">
        <v>0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</row>
    <row r="271" spans="1:10" x14ac:dyDescent="0.2">
      <c r="A271" s="6" t="s">
        <v>279</v>
      </c>
      <c r="B271" s="6">
        <v>6</v>
      </c>
      <c r="C271" s="8">
        <v>0</v>
      </c>
      <c r="D271" s="8">
        <v>0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</row>
    <row r="272" spans="1:10" x14ac:dyDescent="0.2">
      <c r="A272" s="6" t="s">
        <v>280</v>
      </c>
      <c r="B272" s="6">
        <v>6</v>
      </c>
      <c r="C272" s="8">
        <v>0</v>
      </c>
      <c r="D272" s="8">
        <v>0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</row>
    <row r="273" spans="1:10" x14ac:dyDescent="0.2">
      <c r="A273" s="6" t="s">
        <v>281</v>
      </c>
      <c r="B273" s="6">
        <v>6</v>
      </c>
      <c r="C273" s="8">
        <v>43</v>
      </c>
      <c r="D273" s="8">
        <v>756124</v>
      </c>
      <c r="E273" s="8">
        <v>20</v>
      </c>
      <c r="F273" s="8">
        <v>352800</v>
      </c>
      <c r="G273" s="8">
        <v>20</v>
      </c>
      <c r="H273" s="8">
        <v>352039</v>
      </c>
      <c r="I273" s="8">
        <v>43</v>
      </c>
      <c r="J273" s="8">
        <v>756885</v>
      </c>
    </row>
    <row r="274" spans="1:10" x14ac:dyDescent="0.2">
      <c r="A274" s="6" t="s">
        <v>282</v>
      </c>
      <c r="B274" s="6">
        <v>6</v>
      </c>
      <c r="C274" s="8">
        <v>18</v>
      </c>
      <c r="D274" s="8">
        <v>1234800</v>
      </c>
      <c r="E274" s="8">
        <v>10</v>
      </c>
      <c r="F274" s="8">
        <v>705600</v>
      </c>
      <c r="G274" s="8">
        <v>0</v>
      </c>
      <c r="H274" s="8">
        <v>0</v>
      </c>
      <c r="I274" s="8">
        <v>28</v>
      </c>
      <c r="J274" s="8">
        <v>1940400</v>
      </c>
    </row>
    <row r="275" spans="1:10" x14ac:dyDescent="0.2">
      <c r="A275" s="6" t="s">
        <v>283</v>
      </c>
      <c r="B275" s="6">
        <v>6</v>
      </c>
      <c r="C275" s="8">
        <v>1800</v>
      </c>
      <c r="D275" s="8">
        <v>31252244</v>
      </c>
      <c r="E275" s="8">
        <v>494</v>
      </c>
      <c r="F275" s="8">
        <v>16537920</v>
      </c>
      <c r="G275" s="8">
        <v>530</v>
      </c>
      <c r="H275" s="8">
        <v>18187483</v>
      </c>
      <c r="I275" s="8">
        <v>1764</v>
      </c>
      <c r="J275" s="8">
        <v>29602681</v>
      </c>
    </row>
    <row r="276" spans="1:10" x14ac:dyDescent="0.2">
      <c r="A276" s="6" t="s">
        <v>284</v>
      </c>
      <c r="B276" s="6">
        <v>6</v>
      </c>
      <c r="C276" s="8">
        <v>145</v>
      </c>
      <c r="D276" s="8">
        <v>6540614</v>
      </c>
      <c r="E276" s="8">
        <v>0</v>
      </c>
      <c r="F276" s="8">
        <v>0</v>
      </c>
      <c r="G276" s="8">
        <v>0</v>
      </c>
      <c r="H276" s="8">
        <v>0</v>
      </c>
      <c r="I276" s="8">
        <v>145</v>
      </c>
      <c r="J276" s="8">
        <v>6540614</v>
      </c>
    </row>
    <row r="277" spans="1:10" x14ac:dyDescent="0.2">
      <c r="A277" s="6" t="s">
        <v>285</v>
      </c>
      <c r="B277" s="6">
        <v>6</v>
      </c>
      <c r="C277" s="8">
        <v>5</v>
      </c>
      <c r="D277" s="8">
        <v>586595</v>
      </c>
      <c r="E277" s="8">
        <v>0</v>
      </c>
      <c r="F277" s="8">
        <v>0</v>
      </c>
      <c r="G277" s="8">
        <v>0</v>
      </c>
      <c r="H277" s="8">
        <v>0</v>
      </c>
      <c r="I277" s="8">
        <v>5</v>
      </c>
      <c r="J277" s="8">
        <v>586595</v>
      </c>
    </row>
    <row r="278" spans="1:10" x14ac:dyDescent="0.2">
      <c r="A278" s="6" t="s">
        <v>286</v>
      </c>
      <c r="B278" s="6">
        <v>6</v>
      </c>
      <c r="C278" s="8">
        <v>8</v>
      </c>
      <c r="D278" s="8">
        <v>847410</v>
      </c>
      <c r="E278" s="8">
        <v>0</v>
      </c>
      <c r="F278" s="8">
        <v>0</v>
      </c>
      <c r="G278" s="8">
        <v>0</v>
      </c>
      <c r="H278" s="8">
        <v>0</v>
      </c>
      <c r="I278" s="8">
        <v>8</v>
      </c>
      <c r="J278" s="8">
        <v>847410</v>
      </c>
    </row>
    <row r="279" spans="1:10" x14ac:dyDescent="0.2">
      <c r="A279" s="6" t="s">
        <v>287</v>
      </c>
      <c r="B279" s="6">
        <v>6</v>
      </c>
      <c r="C279" s="8">
        <v>8</v>
      </c>
      <c r="D279" s="8">
        <v>888480</v>
      </c>
      <c r="E279" s="8">
        <v>0</v>
      </c>
      <c r="F279" s="8">
        <v>0</v>
      </c>
      <c r="G279" s="8">
        <v>0</v>
      </c>
      <c r="H279" s="8">
        <v>0</v>
      </c>
      <c r="I279" s="8">
        <v>8</v>
      </c>
      <c r="J279" s="8">
        <v>888480</v>
      </c>
    </row>
    <row r="280" spans="1:10" x14ac:dyDescent="0.2">
      <c r="A280" s="6" t="s">
        <v>288</v>
      </c>
      <c r="B280" s="6">
        <v>6</v>
      </c>
      <c r="C280" s="8">
        <v>0</v>
      </c>
      <c r="D280" s="8">
        <v>0</v>
      </c>
      <c r="E280" s="8">
        <v>36</v>
      </c>
      <c r="F280" s="8">
        <v>850896</v>
      </c>
      <c r="G280" s="8">
        <v>0</v>
      </c>
      <c r="H280" s="8">
        <v>0</v>
      </c>
      <c r="I280" s="8">
        <v>36</v>
      </c>
      <c r="J280" s="8">
        <v>850896</v>
      </c>
    </row>
    <row r="281" spans="1:10" x14ac:dyDescent="0.2">
      <c r="A281" s="6" t="s">
        <v>289</v>
      </c>
      <c r="B281" s="6">
        <v>6</v>
      </c>
      <c r="C281" s="8">
        <v>5241</v>
      </c>
      <c r="D281" s="8">
        <v>18544800</v>
      </c>
      <c r="E281" s="8">
        <v>0</v>
      </c>
      <c r="F281" s="8">
        <v>0</v>
      </c>
      <c r="G281" s="8">
        <v>0</v>
      </c>
      <c r="H281" s="8">
        <v>0</v>
      </c>
      <c r="I281" s="8">
        <v>5241</v>
      </c>
      <c r="J281" s="8">
        <v>18544800</v>
      </c>
    </row>
    <row r="282" spans="1:10" x14ac:dyDescent="0.2">
      <c r="A282" s="6" t="s">
        <v>290</v>
      </c>
      <c r="B282" s="6">
        <v>6</v>
      </c>
      <c r="C282" s="8">
        <v>2062</v>
      </c>
      <c r="D282" s="8">
        <v>183494522</v>
      </c>
      <c r="E282" s="8">
        <v>396</v>
      </c>
      <c r="F282" s="8">
        <v>35237664</v>
      </c>
      <c r="G282" s="8">
        <v>303</v>
      </c>
      <c r="H282" s="8">
        <v>26963325</v>
      </c>
      <c r="I282" s="8">
        <v>2155</v>
      </c>
      <c r="J282" s="8">
        <v>191768861</v>
      </c>
    </row>
    <row r="283" spans="1:10" x14ac:dyDescent="0.2">
      <c r="A283" s="6" t="s">
        <v>291</v>
      </c>
      <c r="B283" s="6">
        <v>6</v>
      </c>
      <c r="C283" s="8">
        <v>4641</v>
      </c>
      <c r="D283" s="8">
        <v>433337501</v>
      </c>
      <c r="E283" s="8">
        <v>578</v>
      </c>
      <c r="F283" s="8">
        <v>53991630</v>
      </c>
      <c r="G283" s="8">
        <v>2419</v>
      </c>
      <c r="H283" s="8">
        <v>225876445</v>
      </c>
      <c r="I283" s="8">
        <v>2800</v>
      </c>
      <c r="J283" s="8">
        <v>261452686</v>
      </c>
    </row>
    <row r="284" spans="1:10" x14ac:dyDescent="0.2">
      <c r="A284" s="6" t="s">
        <v>292</v>
      </c>
      <c r="B284" s="6">
        <v>6</v>
      </c>
      <c r="C284" s="8">
        <v>1432</v>
      </c>
      <c r="D284" s="8">
        <v>99306144</v>
      </c>
      <c r="E284" s="8">
        <v>198</v>
      </c>
      <c r="F284" s="8">
        <v>17618832</v>
      </c>
      <c r="G284" s="8">
        <v>36</v>
      </c>
      <c r="H284" s="8">
        <v>2582392</v>
      </c>
      <c r="I284" s="8">
        <v>1594</v>
      </c>
      <c r="J284" s="8">
        <v>114342584</v>
      </c>
    </row>
    <row r="285" spans="1:10" x14ac:dyDescent="0.2">
      <c r="A285" s="6"/>
      <c r="B285" s="6"/>
      <c r="C285" s="5"/>
      <c r="D285" s="5">
        <v>16272004374</v>
      </c>
      <c r="E285" s="5"/>
      <c r="F285" s="5">
        <v>6671492500</v>
      </c>
      <c r="G285" s="5"/>
      <c r="H285" s="5">
        <v>6167307223</v>
      </c>
      <c r="I285" s="5"/>
      <c r="J285" s="5">
        <v>16776189651</v>
      </c>
    </row>
  </sheetData>
  <mergeCells count="4">
    <mergeCell ref="C1:D1"/>
    <mergeCell ref="E1:F1"/>
    <mergeCell ref="G1:H1"/>
    <mergeCell ref="I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W285"/>
  <sheetViews>
    <sheetView topLeftCell="A274" workbookViewId="0"/>
  </sheetViews>
  <sheetFormatPr defaultColWidth="12.5703125" defaultRowHeight="15.75" customHeight="1" x14ac:dyDescent="0.2"/>
  <cols>
    <col min="1" max="1" width="36.28515625" customWidth="1"/>
    <col min="2" max="2" width="5.7109375" customWidth="1"/>
    <col min="3" max="3" width="11.5703125" customWidth="1"/>
    <col min="4" max="4" width="12.5703125" customWidth="1"/>
    <col min="5" max="5" width="13.5703125" customWidth="1"/>
    <col min="6" max="6" width="11.5703125" customWidth="1"/>
    <col min="7" max="7" width="13.140625" customWidth="1"/>
    <col min="8" max="9" width="12.42578125" customWidth="1"/>
    <col min="10" max="10" width="12.5703125" customWidth="1"/>
  </cols>
  <sheetData>
    <row r="1" spans="1:23" x14ac:dyDescent="0.2">
      <c r="A1" s="1"/>
      <c r="B1" s="2"/>
      <c r="C1" s="210" t="s">
        <v>0</v>
      </c>
      <c r="D1" s="211"/>
      <c r="E1" s="210" t="s">
        <v>1</v>
      </c>
      <c r="F1" s="211"/>
      <c r="G1" s="210" t="s">
        <v>2</v>
      </c>
      <c r="H1" s="211"/>
      <c r="I1" s="210" t="s">
        <v>3</v>
      </c>
      <c r="J1" s="21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">
      <c r="A2" s="3" t="s">
        <v>4</v>
      </c>
      <c r="B2" s="4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6</v>
      </c>
      <c r="H2" s="5" t="s">
        <v>10</v>
      </c>
      <c r="I2" s="5" t="s">
        <v>6</v>
      </c>
      <c r="J2" s="5" t="s">
        <v>9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">
      <c r="A3" s="6" t="s">
        <v>11</v>
      </c>
      <c r="B3" s="6">
        <v>7</v>
      </c>
      <c r="C3" s="8">
        <v>201</v>
      </c>
      <c r="D3" s="8">
        <v>5539500</v>
      </c>
      <c r="E3" s="8">
        <v>70</v>
      </c>
      <c r="F3" s="8">
        <v>1914336</v>
      </c>
      <c r="G3" s="8">
        <v>125</v>
      </c>
      <c r="H3" s="8">
        <v>3438116</v>
      </c>
      <c r="I3" s="8">
        <v>146</v>
      </c>
      <c r="J3" s="8">
        <v>4015720</v>
      </c>
    </row>
    <row r="4" spans="1:23" x14ac:dyDescent="0.2">
      <c r="A4" s="6" t="s">
        <v>12</v>
      </c>
      <c r="B4" s="6">
        <v>7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</row>
    <row r="5" spans="1:23" x14ac:dyDescent="0.2">
      <c r="A5" s="6" t="s">
        <v>13</v>
      </c>
      <c r="B5" s="6">
        <v>7</v>
      </c>
      <c r="C5" s="8">
        <v>863</v>
      </c>
      <c r="D5" s="8">
        <v>28305719</v>
      </c>
      <c r="E5" s="8">
        <v>0</v>
      </c>
      <c r="F5" s="8">
        <v>0</v>
      </c>
      <c r="G5" s="8">
        <v>60</v>
      </c>
      <c r="H5" s="8">
        <v>1968968</v>
      </c>
      <c r="I5" s="8">
        <v>803</v>
      </c>
      <c r="J5" s="8">
        <v>26336751</v>
      </c>
    </row>
    <row r="6" spans="1:23" x14ac:dyDescent="0.2">
      <c r="A6" s="6" t="s">
        <v>14</v>
      </c>
      <c r="B6" s="6">
        <v>7</v>
      </c>
      <c r="C6" s="8">
        <v>120</v>
      </c>
      <c r="D6" s="8">
        <v>35752144</v>
      </c>
      <c r="E6" s="8">
        <v>0</v>
      </c>
      <c r="F6" s="8">
        <v>0</v>
      </c>
      <c r="G6" s="8">
        <v>0</v>
      </c>
      <c r="H6" s="8">
        <v>0</v>
      </c>
      <c r="I6" s="8">
        <v>120</v>
      </c>
      <c r="J6" s="8">
        <v>35752144</v>
      </c>
    </row>
    <row r="7" spans="1:23" x14ac:dyDescent="0.2">
      <c r="A7" s="6" t="s">
        <v>15</v>
      </c>
      <c r="B7" s="6">
        <v>7</v>
      </c>
      <c r="C7" s="8">
        <v>510</v>
      </c>
      <c r="D7" s="8">
        <v>69373706</v>
      </c>
      <c r="E7" s="8">
        <v>0</v>
      </c>
      <c r="F7" s="8">
        <v>0</v>
      </c>
      <c r="G7" s="8">
        <v>0</v>
      </c>
      <c r="H7" s="8">
        <v>0</v>
      </c>
      <c r="I7" s="8">
        <v>510</v>
      </c>
      <c r="J7" s="8">
        <v>69373706</v>
      </c>
    </row>
    <row r="8" spans="1:23" x14ac:dyDescent="0.2">
      <c r="A8" s="6" t="s">
        <v>16</v>
      </c>
      <c r="B8" s="6">
        <v>7</v>
      </c>
      <c r="C8" s="8">
        <v>344</v>
      </c>
      <c r="D8" s="8">
        <v>53839916</v>
      </c>
      <c r="E8" s="8">
        <v>0</v>
      </c>
      <c r="F8" s="8">
        <v>0</v>
      </c>
      <c r="G8" s="8">
        <v>0</v>
      </c>
      <c r="H8" s="8">
        <v>0</v>
      </c>
      <c r="I8" s="8">
        <v>344</v>
      </c>
      <c r="J8" s="8">
        <v>53839916</v>
      </c>
    </row>
    <row r="9" spans="1:23" x14ac:dyDescent="0.2">
      <c r="A9" s="6" t="s">
        <v>17</v>
      </c>
      <c r="B9" s="6">
        <v>7</v>
      </c>
      <c r="C9" s="8">
        <v>159</v>
      </c>
      <c r="D9" s="8">
        <v>38049584</v>
      </c>
      <c r="E9" s="8">
        <v>0</v>
      </c>
      <c r="F9" s="8">
        <v>0</v>
      </c>
      <c r="G9" s="8">
        <v>0</v>
      </c>
      <c r="H9" s="8">
        <v>0</v>
      </c>
      <c r="I9" s="8">
        <v>159</v>
      </c>
      <c r="J9" s="8">
        <v>38049584</v>
      </c>
    </row>
    <row r="10" spans="1:23" x14ac:dyDescent="0.2">
      <c r="A10" s="6" t="s">
        <v>18</v>
      </c>
      <c r="B10" s="6">
        <v>7</v>
      </c>
      <c r="C10" s="8">
        <v>734</v>
      </c>
      <c r="D10" s="8">
        <v>15983688</v>
      </c>
      <c r="E10" s="8">
        <v>0</v>
      </c>
      <c r="F10" s="8">
        <v>0</v>
      </c>
      <c r="G10" s="8">
        <v>0</v>
      </c>
      <c r="H10" s="8">
        <v>0</v>
      </c>
      <c r="I10" s="8">
        <v>734</v>
      </c>
      <c r="J10" s="8">
        <v>15983688</v>
      </c>
    </row>
    <row r="11" spans="1:23" x14ac:dyDescent="0.2">
      <c r="A11" s="6" t="s">
        <v>19</v>
      </c>
      <c r="B11" s="6">
        <v>7</v>
      </c>
      <c r="C11" s="8">
        <v>180</v>
      </c>
      <c r="D11" s="8">
        <v>3904035</v>
      </c>
      <c r="E11" s="8">
        <v>0</v>
      </c>
      <c r="F11" s="8">
        <v>0</v>
      </c>
      <c r="G11" s="8">
        <v>0</v>
      </c>
      <c r="H11" s="8">
        <v>0</v>
      </c>
      <c r="I11" s="8">
        <v>180</v>
      </c>
      <c r="J11" s="8">
        <v>3904035</v>
      </c>
    </row>
    <row r="12" spans="1:23" x14ac:dyDescent="0.2">
      <c r="A12" s="6" t="s">
        <v>20</v>
      </c>
      <c r="B12" s="6">
        <v>7</v>
      </c>
      <c r="C12" s="8">
        <v>295</v>
      </c>
      <c r="D12" s="8">
        <v>31404753</v>
      </c>
      <c r="E12" s="8">
        <v>0</v>
      </c>
      <c r="F12" s="8">
        <v>0</v>
      </c>
      <c r="G12" s="8">
        <v>0</v>
      </c>
      <c r="H12" s="8">
        <v>0</v>
      </c>
      <c r="I12" s="8">
        <v>295</v>
      </c>
      <c r="J12" s="8">
        <v>31404753</v>
      </c>
    </row>
    <row r="13" spans="1:23" x14ac:dyDescent="0.2">
      <c r="A13" s="6" t="s">
        <v>21</v>
      </c>
      <c r="B13" s="6">
        <v>7</v>
      </c>
      <c r="C13" s="8">
        <v>170</v>
      </c>
      <c r="D13" s="8">
        <v>40681945</v>
      </c>
      <c r="E13" s="8">
        <v>0</v>
      </c>
      <c r="F13" s="8">
        <v>0</v>
      </c>
      <c r="G13" s="8">
        <v>0</v>
      </c>
      <c r="H13" s="8">
        <v>0</v>
      </c>
      <c r="I13" s="8">
        <v>170</v>
      </c>
      <c r="J13" s="8">
        <v>40681945</v>
      </c>
    </row>
    <row r="14" spans="1:23" x14ac:dyDescent="0.2">
      <c r="A14" s="6" t="s">
        <v>22</v>
      </c>
      <c r="B14" s="6">
        <v>7</v>
      </c>
      <c r="C14" s="8">
        <v>18</v>
      </c>
      <c r="D14" s="8">
        <v>407934</v>
      </c>
      <c r="E14" s="8">
        <v>0</v>
      </c>
      <c r="F14" s="8">
        <v>0</v>
      </c>
      <c r="G14" s="8">
        <v>0</v>
      </c>
      <c r="H14" s="8">
        <v>0</v>
      </c>
      <c r="I14" s="8">
        <v>18</v>
      </c>
      <c r="J14" s="8">
        <v>407934</v>
      </c>
    </row>
    <row r="15" spans="1:23" x14ac:dyDescent="0.2">
      <c r="A15" s="6" t="s">
        <v>23</v>
      </c>
      <c r="B15" s="6">
        <v>7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</row>
    <row r="16" spans="1:23" x14ac:dyDescent="0.2">
      <c r="A16" s="6" t="s">
        <v>24</v>
      </c>
      <c r="B16" s="6">
        <v>7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</row>
    <row r="17" spans="1:10" x14ac:dyDescent="0.2">
      <c r="A17" s="6" t="s">
        <v>25</v>
      </c>
      <c r="B17" s="6">
        <v>7</v>
      </c>
      <c r="C17" s="8">
        <v>82</v>
      </c>
      <c r="D17" s="8">
        <v>1714538</v>
      </c>
      <c r="E17" s="8">
        <v>35</v>
      </c>
      <c r="F17" s="8">
        <v>739555</v>
      </c>
      <c r="G17" s="8">
        <v>97</v>
      </c>
      <c r="H17" s="8">
        <v>2034590</v>
      </c>
      <c r="I17" s="8">
        <v>20</v>
      </c>
      <c r="J17" s="8">
        <v>419503</v>
      </c>
    </row>
    <row r="18" spans="1:10" x14ac:dyDescent="0.2">
      <c r="A18" s="6" t="s">
        <v>26</v>
      </c>
      <c r="B18" s="6">
        <v>7</v>
      </c>
      <c r="C18" s="8">
        <v>110</v>
      </c>
      <c r="D18" s="8">
        <v>2800050</v>
      </c>
      <c r="E18" s="8">
        <v>44</v>
      </c>
      <c r="F18" s="8">
        <v>1131324</v>
      </c>
      <c r="G18" s="8">
        <v>130</v>
      </c>
      <c r="H18" s="8">
        <v>3318692</v>
      </c>
      <c r="I18" s="8">
        <v>24</v>
      </c>
      <c r="J18" s="8">
        <v>612682</v>
      </c>
    </row>
    <row r="19" spans="1:10" x14ac:dyDescent="0.2">
      <c r="A19" s="6" t="s">
        <v>27</v>
      </c>
      <c r="B19" s="6">
        <v>7</v>
      </c>
      <c r="C19" s="8">
        <v>162</v>
      </c>
      <c r="D19" s="8">
        <v>4945440</v>
      </c>
      <c r="E19" s="8">
        <v>0</v>
      </c>
      <c r="F19" s="8">
        <v>0</v>
      </c>
      <c r="G19" s="8">
        <v>80</v>
      </c>
      <c r="H19" s="8">
        <v>2442193</v>
      </c>
      <c r="I19" s="8">
        <v>82</v>
      </c>
      <c r="J19" s="8">
        <v>2503247</v>
      </c>
    </row>
    <row r="20" spans="1:10" x14ac:dyDescent="0.2">
      <c r="A20" s="6" t="s">
        <v>28</v>
      </c>
      <c r="B20" s="6">
        <v>7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</row>
    <row r="21" spans="1:10" x14ac:dyDescent="0.2">
      <c r="A21" s="6" t="s">
        <v>29</v>
      </c>
      <c r="B21" s="6">
        <v>7</v>
      </c>
      <c r="C21" s="8">
        <v>210</v>
      </c>
      <c r="D21" s="8">
        <v>55497330</v>
      </c>
      <c r="E21" s="8">
        <v>0</v>
      </c>
      <c r="F21" s="8">
        <v>0</v>
      </c>
      <c r="G21" s="8">
        <v>0</v>
      </c>
      <c r="H21" s="8">
        <v>0</v>
      </c>
      <c r="I21" s="8">
        <v>210</v>
      </c>
      <c r="J21" s="8">
        <v>55497330</v>
      </c>
    </row>
    <row r="22" spans="1:10" x14ac:dyDescent="0.2">
      <c r="A22" s="6" t="s">
        <v>30</v>
      </c>
      <c r="B22" s="6">
        <v>7</v>
      </c>
      <c r="C22" s="8">
        <v>114</v>
      </c>
      <c r="D22" s="8">
        <v>23160334</v>
      </c>
      <c r="E22" s="8">
        <v>0</v>
      </c>
      <c r="F22" s="8">
        <v>0</v>
      </c>
      <c r="G22" s="8">
        <v>0</v>
      </c>
      <c r="H22" s="8">
        <v>0</v>
      </c>
      <c r="I22" s="8">
        <v>114</v>
      </c>
      <c r="J22" s="8">
        <v>23160334</v>
      </c>
    </row>
    <row r="23" spans="1:10" x14ac:dyDescent="0.2">
      <c r="A23" s="6" t="s">
        <v>31</v>
      </c>
      <c r="B23" s="6">
        <v>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</row>
    <row r="24" spans="1:10" x14ac:dyDescent="0.2">
      <c r="A24" s="6" t="s">
        <v>32</v>
      </c>
      <c r="B24" s="6">
        <v>7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</row>
    <row r="25" spans="1:10" x14ac:dyDescent="0.2">
      <c r="A25" s="6" t="s">
        <v>33</v>
      </c>
      <c r="B25" s="6">
        <v>7</v>
      </c>
      <c r="C25" s="8">
        <v>76</v>
      </c>
      <c r="D25" s="8">
        <v>9285800</v>
      </c>
      <c r="E25" s="8">
        <v>0</v>
      </c>
      <c r="F25" s="8">
        <v>0</v>
      </c>
      <c r="G25" s="8">
        <v>0</v>
      </c>
      <c r="H25" s="8">
        <v>0</v>
      </c>
      <c r="I25" s="8">
        <v>76</v>
      </c>
      <c r="J25" s="8">
        <v>9285800</v>
      </c>
    </row>
    <row r="26" spans="1:10" x14ac:dyDescent="0.2">
      <c r="A26" s="6" t="s">
        <v>34</v>
      </c>
      <c r="B26" s="6">
        <v>7</v>
      </c>
      <c r="C26" s="8">
        <v>20</v>
      </c>
      <c r="D26" s="8">
        <v>4642900</v>
      </c>
      <c r="E26" s="8">
        <v>0</v>
      </c>
      <c r="F26" s="8">
        <v>0</v>
      </c>
      <c r="G26" s="8">
        <v>0</v>
      </c>
      <c r="H26" s="8">
        <v>0</v>
      </c>
      <c r="I26" s="8">
        <v>20</v>
      </c>
      <c r="J26" s="8">
        <v>4642900</v>
      </c>
    </row>
    <row r="27" spans="1:10" x14ac:dyDescent="0.2">
      <c r="A27" s="6" t="s">
        <v>35</v>
      </c>
      <c r="B27" s="6">
        <v>7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</row>
    <row r="28" spans="1:10" x14ac:dyDescent="0.2">
      <c r="A28" s="6" t="s">
        <v>36</v>
      </c>
      <c r="B28" s="6">
        <v>7</v>
      </c>
      <c r="C28" s="8">
        <v>40</v>
      </c>
      <c r="D28" s="8">
        <v>1818200</v>
      </c>
      <c r="E28" s="8">
        <v>0</v>
      </c>
      <c r="F28" s="8">
        <v>0</v>
      </c>
      <c r="G28" s="8">
        <v>0</v>
      </c>
      <c r="H28" s="8">
        <v>0</v>
      </c>
      <c r="I28" s="8">
        <v>40</v>
      </c>
      <c r="J28" s="8">
        <v>1818200</v>
      </c>
    </row>
    <row r="29" spans="1:10" x14ac:dyDescent="0.2">
      <c r="A29" s="6" t="s">
        <v>37</v>
      </c>
      <c r="B29" s="6">
        <v>7</v>
      </c>
      <c r="C29" s="8">
        <v>2119</v>
      </c>
      <c r="D29" s="8">
        <v>116667022</v>
      </c>
      <c r="E29" s="8">
        <v>5440</v>
      </c>
      <c r="F29" s="8">
        <v>302893760</v>
      </c>
      <c r="G29" s="8">
        <v>6088</v>
      </c>
      <c r="H29" s="8">
        <v>337913221</v>
      </c>
      <c r="I29" s="8">
        <v>1471</v>
      </c>
      <c r="J29" s="8">
        <v>81647561</v>
      </c>
    </row>
    <row r="30" spans="1:10" x14ac:dyDescent="0.2">
      <c r="A30" s="6" t="s">
        <v>38</v>
      </c>
      <c r="B30" s="6">
        <v>7</v>
      </c>
      <c r="C30" s="8">
        <v>278198</v>
      </c>
      <c r="D30" s="8">
        <v>389779096</v>
      </c>
      <c r="E30" s="8">
        <v>12420</v>
      </c>
      <c r="F30" s="8">
        <v>387603360</v>
      </c>
      <c r="G30" s="8">
        <v>18432</v>
      </c>
      <c r="H30" s="8">
        <v>574201453</v>
      </c>
      <c r="I30" s="8">
        <v>272186</v>
      </c>
      <c r="J30" s="8">
        <v>203181003</v>
      </c>
    </row>
    <row r="31" spans="1:10" x14ac:dyDescent="0.2">
      <c r="A31" s="6" t="s">
        <v>39</v>
      </c>
      <c r="B31" s="6">
        <v>7</v>
      </c>
      <c r="C31" s="8">
        <v>29975</v>
      </c>
      <c r="D31" s="8">
        <v>193809246</v>
      </c>
      <c r="E31" s="8">
        <v>1620</v>
      </c>
      <c r="F31" s="8">
        <v>58618080</v>
      </c>
      <c r="G31" s="8">
        <v>4115</v>
      </c>
      <c r="H31" s="8">
        <v>146370112</v>
      </c>
      <c r="I31" s="8">
        <v>27480</v>
      </c>
      <c r="J31" s="8">
        <v>106057214</v>
      </c>
    </row>
    <row r="32" spans="1:10" x14ac:dyDescent="0.2">
      <c r="A32" s="6" t="s">
        <v>40</v>
      </c>
      <c r="B32" s="6">
        <v>7</v>
      </c>
      <c r="C32" s="8">
        <v>0</v>
      </c>
      <c r="D32" s="8">
        <v>0</v>
      </c>
      <c r="E32" s="8">
        <v>1050</v>
      </c>
      <c r="F32" s="8">
        <v>37993200</v>
      </c>
      <c r="G32" s="8">
        <v>0</v>
      </c>
      <c r="H32" s="8">
        <v>0</v>
      </c>
      <c r="I32" s="8">
        <v>1050</v>
      </c>
      <c r="J32" s="8">
        <v>37993200</v>
      </c>
    </row>
    <row r="33" spans="1:10" x14ac:dyDescent="0.2">
      <c r="A33" s="6" t="s">
        <v>41</v>
      </c>
      <c r="B33" s="6">
        <v>7</v>
      </c>
      <c r="C33" s="8">
        <v>90</v>
      </c>
      <c r="D33" s="8">
        <v>3256560</v>
      </c>
      <c r="E33" s="8">
        <v>0</v>
      </c>
      <c r="F33" s="8">
        <v>0</v>
      </c>
      <c r="G33" s="8">
        <v>0</v>
      </c>
      <c r="H33" s="8">
        <v>0</v>
      </c>
      <c r="I33" s="8">
        <v>90</v>
      </c>
      <c r="J33" s="8">
        <v>3256560</v>
      </c>
    </row>
    <row r="34" spans="1:10" x14ac:dyDescent="0.2">
      <c r="A34" s="6" t="s">
        <v>42</v>
      </c>
      <c r="B34" s="6">
        <v>7</v>
      </c>
      <c r="C34" s="8">
        <v>64</v>
      </c>
      <c r="D34" s="8">
        <v>3359040</v>
      </c>
      <c r="E34" s="8">
        <v>0</v>
      </c>
      <c r="F34" s="8">
        <v>0</v>
      </c>
      <c r="G34" s="8">
        <v>0</v>
      </c>
      <c r="H34" s="8">
        <v>0</v>
      </c>
      <c r="I34" s="8">
        <v>64</v>
      </c>
      <c r="J34" s="8">
        <v>3359040</v>
      </c>
    </row>
    <row r="35" spans="1:10" x14ac:dyDescent="0.2">
      <c r="A35" s="6" t="s">
        <v>43</v>
      </c>
      <c r="B35" s="6">
        <v>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</row>
    <row r="36" spans="1:10" x14ac:dyDescent="0.2">
      <c r="A36" s="6" t="s">
        <v>44</v>
      </c>
      <c r="B36" s="6">
        <v>7</v>
      </c>
      <c r="C36" s="8">
        <v>8855</v>
      </c>
      <c r="D36" s="8">
        <v>10815370</v>
      </c>
      <c r="E36" s="8">
        <v>450</v>
      </c>
      <c r="F36" s="8">
        <v>16282800</v>
      </c>
      <c r="G36" s="8">
        <v>30</v>
      </c>
      <c r="H36" s="8">
        <v>1083596</v>
      </c>
      <c r="I36" s="8">
        <v>9275</v>
      </c>
      <c r="J36" s="8">
        <v>26014574</v>
      </c>
    </row>
    <row r="37" spans="1:10" x14ac:dyDescent="0.2">
      <c r="A37" s="6" t="s">
        <v>45</v>
      </c>
      <c r="B37" s="6">
        <v>7</v>
      </c>
      <c r="C37" s="8">
        <v>90</v>
      </c>
      <c r="D37" s="8">
        <v>3166324</v>
      </c>
      <c r="E37" s="8">
        <v>300</v>
      </c>
      <c r="F37" s="8">
        <v>10855200</v>
      </c>
      <c r="G37" s="8">
        <v>0</v>
      </c>
      <c r="H37" s="8">
        <v>0</v>
      </c>
      <c r="I37" s="8">
        <v>390</v>
      </c>
      <c r="J37" s="8">
        <v>14021524</v>
      </c>
    </row>
    <row r="38" spans="1:10" x14ac:dyDescent="0.2">
      <c r="A38" s="6" t="s">
        <v>46</v>
      </c>
      <c r="B38" s="6">
        <v>7</v>
      </c>
      <c r="C38" s="8">
        <v>0</v>
      </c>
      <c r="D38" s="8">
        <v>0</v>
      </c>
      <c r="E38" s="8">
        <v>45</v>
      </c>
      <c r="F38" s="8">
        <v>1628280</v>
      </c>
      <c r="G38" s="8">
        <v>0</v>
      </c>
      <c r="H38" s="8">
        <v>0</v>
      </c>
      <c r="I38" s="8">
        <v>45</v>
      </c>
      <c r="J38" s="8">
        <v>1628280</v>
      </c>
    </row>
    <row r="39" spans="1:10" x14ac:dyDescent="0.2">
      <c r="A39" s="6" t="s">
        <v>47</v>
      </c>
      <c r="B39" s="6">
        <v>7</v>
      </c>
      <c r="C39" s="8">
        <v>4750</v>
      </c>
      <c r="D39" s="8">
        <v>22782351</v>
      </c>
      <c r="E39" s="8">
        <v>0</v>
      </c>
      <c r="F39" s="8">
        <v>0</v>
      </c>
      <c r="G39" s="8">
        <v>0</v>
      </c>
      <c r="H39" s="8">
        <v>0</v>
      </c>
      <c r="I39" s="8">
        <v>4750</v>
      </c>
      <c r="J39" s="8">
        <v>22782351</v>
      </c>
    </row>
    <row r="40" spans="1:10" x14ac:dyDescent="0.2">
      <c r="A40" s="6" t="s">
        <v>48</v>
      </c>
      <c r="B40" s="6">
        <v>7</v>
      </c>
      <c r="C40" s="8">
        <v>48</v>
      </c>
      <c r="D40" s="8">
        <v>1156368</v>
      </c>
      <c r="E40" s="8">
        <v>0</v>
      </c>
      <c r="F40" s="8">
        <v>0</v>
      </c>
      <c r="G40" s="8">
        <v>0</v>
      </c>
      <c r="H40" s="8">
        <v>0</v>
      </c>
      <c r="I40" s="8">
        <v>48</v>
      </c>
      <c r="J40" s="8">
        <v>1156368</v>
      </c>
    </row>
    <row r="41" spans="1:10" x14ac:dyDescent="0.2">
      <c r="A41" s="6" t="s">
        <v>49</v>
      </c>
      <c r="B41" s="6">
        <v>7</v>
      </c>
      <c r="C41" s="8">
        <v>3000</v>
      </c>
      <c r="D41" s="8">
        <v>14288378</v>
      </c>
      <c r="E41" s="8">
        <v>3240</v>
      </c>
      <c r="F41" s="8">
        <v>15791880</v>
      </c>
      <c r="G41" s="8">
        <v>4200</v>
      </c>
      <c r="H41" s="8">
        <v>20246328</v>
      </c>
      <c r="I41" s="8">
        <v>2040</v>
      </c>
      <c r="J41" s="8">
        <v>9833930</v>
      </c>
    </row>
    <row r="42" spans="1:10" x14ac:dyDescent="0.2">
      <c r="A42" s="6" t="s">
        <v>50</v>
      </c>
      <c r="B42" s="6">
        <v>7</v>
      </c>
      <c r="C42" s="8">
        <v>1500</v>
      </c>
      <c r="D42" s="8">
        <v>4773000</v>
      </c>
      <c r="E42" s="8">
        <v>0</v>
      </c>
      <c r="F42" s="8">
        <v>0</v>
      </c>
      <c r="G42" s="8">
        <v>0</v>
      </c>
      <c r="H42" s="8">
        <v>0</v>
      </c>
      <c r="I42" s="8">
        <v>1500</v>
      </c>
      <c r="J42" s="8">
        <v>4773000</v>
      </c>
    </row>
    <row r="43" spans="1:10" x14ac:dyDescent="0.2">
      <c r="A43" s="6" t="s">
        <v>51</v>
      </c>
      <c r="B43" s="6">
        <v>7</v>
      </c>
      <c r="C43" s="8">
        <v>1600</v>
      </c>
      <c r="D43" s="8">
        <v>6090549</v>
      </c>
      <c r="E43" s="8">
        <v>750</v>
      </c>
      <c r="F43" s="8">
        <v>3106250</v>
      </c>
      <c r="G43" s="8">
        <v>350</v>
      </c>
      <c r="H43" s="8">
        <v>1369736</v>
      </c>
      <c r="I43" s="8">
        <v>2000</v>
      </c>
      <c r="J43" s="8">
        <v>7827063</v>
      </c>
    </row>
    <row r="44" spans="1:10" x14ac:dyDescent="0.2">
      <c r="A44" s="6" t="s">
        <v>52</v>
      </c>
      <c r="B44" s="6">
        <v>7</v>
      </c>
      <c r="C44" s="8">
        <v>1008</v>
      </c>
      <c r="D44" s="8">
        <v>22908816</v>
      </c>
      <c r="E44" s="8">
        <v>528</v>
      </c>
      <c r="F44" s="8">
        <v>12222144</v>
      </c>
      <c r="G44" s="8">
        <v>290</v>
      </c>
      <c r="H44" s="8">
        <v>6632798</v>
      </c>
      <c r="I44" s="8">
        <v>1246</v>
      </c>
      <c r="J44" s="8">
        <v>28498162</v>
      </c>
    </row>
    <row r="45" spans="1:10" x14ac:dyDescent="0.2">
      <c r="A45" s="6" t="s">
        <v>53</v>
      </c>
      <c r="B45" s="6">
        <v>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</row>
    <row r="46" spans="1:10" x14ac:dyDescent="0.2">
      <c r="A46" s="6" t="s">
        <v>54</v>
      </c>
      <c r="B46" s="6">
        <v>7</v>
      </c>
      <c r="C46" s="8">
        <v>8079</v>
      </c>
      <c r="D46" s="8">
        <v>112120988</v>
      </c>
      <c r="E46" s="8">
        <v>4171</v>
      </c>
      <c r="F46" s="8">
        <v>59862000</v>
      </c>
      <c r="G46" s="8">
        <v>8640</v>
      </c>
      <c r="H46" s="8">
        <v>121300654</v>
      </c>
      <c r="I46" s="8">
        <v>3610</v>
      </c>
      <c r="J46" s="8">
        <v>50682334</v>
      </c>
    </row>
    <row r="47" spans="1:10" x14ac:dyDescent="0.2">
      <c r="A47" s="6" t="s">
        <v>55</v>
      </c>
      <c r="B47" s="6">
        <v>7</v>
      </c>
      <c r="C47" s="8">
        <v>60</v>
      </c>
      <c r="D47" s="8">
        <v>5209080</v>
      </c>
      <c r="E47" s="8">
        <v>60</v>
      </c>
      <c r="F47" s="8">
        <v>5276616</v>
      </c>
      <c r="G47" s="8">
        <v>0</v>
      </c>
      <c r="H47" s="8">
        <v>0</v>
      </c>
      <c r="I47" s="8">
        <v>120</v>
      </c>
      <c r="J47" s="8">
        <v>10485696</v>
      </c>
    </row>
    <row r="48" spans="1:10" x14ac:dyDescent="0.2">
      <c r="A48" s="6" t="s">
        <v>56</v>
      </c>
      <c r="B48" s="6">
        <v>7</v>
      </c>
      <c r="C48" s="8">
        <v>432</v>
      </c>
      <c r="D48" s="8">
        <v>4084560</v>
      </c>
      <c r="E48" s="8">
        <v>240</v>
      </c>
      <c r="F48" s="8">
        <v>2311200</v>
      </c>
      <c r="G48" s="8">
        <v>0</v>
      </c>
      <c r="H48" s="8">
        <v>0</v>
      </c>
      <c r="I48" s="8">
        <v>672</v>
      </c>
      <c r="J48" s="8">
        <v>6395760</v>
      </c>
    </row>
    <row r="49" spans="1:10" x14ac:dyDescent="0.2">
      <c r="A49" s="6" t="s">
        <v>57</v>
      </c>
      <c r="B49" s="6">
        <v>7</v>
      </c>
      <c r="C49" s="8">
        <v>840</v>
      </c>
      <c r="D49" s="8">
        <v>13854600</v>
      </c>
      <c r="E49" s="8">
        <v>240</v>
      </c>
      <c r="F49" s="8">
        <v>4222320</v>
      </c>
      <c r="G49" s="8">
        <v>0</v>
      </c>
      <c r="H49" s="8">
        <v>0</v>
      </c>
      <c r="I49" s="8">
        <v>1080</v>
      </c>
      <c r="J49" s="8">
        <v>18076920</v>
      </c>
    </row>
    <row r="50" spans="1:10" x14ac:dyDescent="0.2">
      <c r="A50" s="6" t="s">
        <v>58</v>
      </c>
      <c r="B50" s="6">
        <v>7</v>
      </c>
      <c r="C50" s="8">
        <v>2244</v>
      </c>
      <c r="D50" s="8">
        <v>17775023</v>
      </c>
      <c r="E50" s="8">
        <v>1680</v>
      </c>
      <c r="F50" s="8">
        <v>14466480</v>
      </c>
      <c r="G50" s="8">
        <v>840</v>
      </c>
      <c r="H50" s="8">
        <v>6901851</v>
      </c>
      <c r="I50" s="8">
        <v>3084</v>
      </c>
      <c r="J50" s="8">
        <v>25339652</v>
      </c>
    </row>
    <row r="51" spans="1:10" x14ac:dyDescent="0.2">
      <c r="A51" s="6" t="s">
        <v>59</v>
      </c>
      <c r="B51" s="6">
        <v>7</v>
      </c>
      <c r="C51" s="8">
        <v>3556</v>
      </c>
      <c r="D51" s="8">
        <v>47786088</v>
      </c>
      <c r="E51" s="8">
        <v>3283</v>
      </c>
      <c r="F51" s="8">
        <v>51564720</v>
      </c>
      <c r="G51" s="8">
        <v>1120</v>
      </c>
      <c r="H51" s="8">
        <v>16270347</v>
      </c>
      <c r="I51" s="8">
        <v>5719</v>
      </c>
      <c r="J51" s="8">
        <v>83080461</v>
      </c>
    </row>
    <row r="52" spans="1:10" x14ac:dyDescent="0.2">
      <c r="A52" s="6" t="s">
        <v>60</v>
      </c>
      <c r="B52" s="6">
        <v>7</v>
      </c>
      <c r="C52" s="8">
        <v>3262</v>
      </c>
      <c r="D52" s="8">
        <v>107197064</v>
      </c>
      <c r="E52" s="8">
        <v>778</v>
      </c>
      <c r="F52" s="8">
        <v>23919420</v>
      </c>
      <c r="G52" s="8">
        <v>144</v>
      </c>
      <c r="H52" s="8">
        <v>4673459</v>
      </c>
      <c r="I52" s="8">
        <v>3896</v>
      </c>
      <c r="J52" s="8">
        <v>126443025</v>
      </c>
    </row>
    <row r="53" spans="1:10" x14ac:dyDescent="0.2">
      <c r="A53" s="6" t="s">
        <v>61</v>
      </c>
      <c r="B53" s="6">
        <v>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</row>
    <row r="54" spans="1:10" x14ac:dyDescent="0.2">
      <c r="A54" s="6" t="s">
        <v>62</v>
      </c>
      <c r="B54" s="6">
        <v>7</v>
      </c>
      <c r="C54" s="8">
        <v>2404</v>
      </c>
      <c r="D54" s="8">
        <v>11416943</v>
      </c>
      <c r="E54" s="8">
        <v>3841</v>
      </c>
      <c r="F54" s="8">
        <v>18736080</v>
      </c>
      <c r="G54" s="8">
        <v>0</v>
      </c>
      <c r="H54" s="8">
        <v>0</v>
      </c>
      <c r="I54" s="8">
        <v>6245</v>
      </c>
      <c r="J54" s="8">
        <v>30153023</v>
      </c>
    </row>
    <row r="55" spans="1:10" x14ac:dyDescent="0.2">
      <c r="A55" s="6" t="s">
        <v>63</v>
      </c>
      <c r="B55" s="6">
        <v>7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</row>
    <row r="56" spans="1:10" x14ac:dyDescent="0.2">
      <c r="A56" s="6" t="s">
        <v>64</v>
      </c>
      <c r="B56" s="6">
        <v>7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</row>
    <row r="57" spans="1:10" x14ac:dyDescent="0.2">
      <c r="A57" s="6" t="s">
        <v>65</v>
      </c>
      <c r="B57" s="6">
        <v>7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</row>
    <row r="58" spans="1:10" x14ac:dyDescent="0.2">
      <c r="A58" s="6" t="s">
        <v>66</v>
      </c>
      <c r="B58" s="6">
        <v>7</v>
      </c>
      <c r="C58" s="8">
        <v>3396</v>
      </c>
      <c r="D58" s="8">
        <v>50407719</v>
      </c>
      <c r="E58" s="8">
        <v>1116</v>
      </c>
      <c r="F58" s="8">
        <v>17000280</v>
      </c>
      <c r="G58" s="8">
        <v>3240</v>
      </c>
      <c r="H58" s="8">
        <v>48404680</v>
      </c>
      <c r="I58" s="8">
        <v>1272</v>
      </c>
      <c r="J58" s="8">
        <v>19003319</v>
      </c>
    </row>
    <row r="59" spans="1:10" x14ac:dyDescent="0.2">
      <c r="A59" s="6" t="s">
        <v>67</v>
      </c>
      <c r="B59" s="6">
        <v>7</v>
      </c>
      <c r="C59" s="8">
        <v>136</v>
      </c>
      <c r="D59" s="8">
        <v>985256</v>
      </c>
      <c r="E59" s="8">
        <v>10</v>
      </c>
      <c r="F59" s="8">
        <v>0</v>
      </c>
      <c r="G59" s="8">
        <v>0</v>
      </c>
      <c r="H59" s="8">
        <v>0</v>
      </c>
      <c r="I59" s="8">
        <v>146</v>
      </c>
      <c r="J59" s="8">
        <v>985256</v>
      </c>
    </row>
    <row r="60" spans="1:10" x14ac:dyDescent="0.2">
      <c r="A60" s="6" t="s">
        <v>68</v>
      </c>
      <c r="B60" s="6">
        <v>7</v>
      </c>
      <c r="C60" s="8">
        <v>192</v>
      </c>
      <c r="D60" s="8">
        <v>8564309</v>
      </c>
      <c r="E60" s="8">
        <v>180</v>
      </c>
      <c r="F60" s="8">
        <v>8349120</v>
      </c>
      <c r="G60" s="8">
        <v>0</v>
      </c>
      <c r="H60" s="8">
        <v>0</v>
      </c>
      <c r="I60" s="8">
        <v>372</v>
      </c>
      <c r="J60" s="8">
        <v>16913429</v>
      </c>
    </row>
    <row r="61" spans="1:10" x14ac:dyDescent="0.2">
      <c r="A61" s="6" t="s">
        <v>69</v>
      </c>
      <c r="B61" s="6">
        <v>7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</row>
    <row r="62" spans="1:10" x14ac:dyDescent="0.2">
      <c r="A62" s="6" t="s">
        <v>70</v>
      </c>
      <c r="B62" s="6">
        <v>7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</row>
    <row r="63" spans="1:10" x14ac:dyDescent="0.2">
      <c r="A63" s="6" t="s">
        <v>71</v>
      </c>
      <c r="B63" s="6">
        <v>7</v>
      </c>
      <c r="C63" s="8">
        <v>1200</v>
      </c>
      <c r="D63" s="8">
        <v>17781600</v>
      </c>
      <c r="E63" s="8">
        <v>480</v>
      </c>
      <c r="F63" s="8">
        <v>7521360</v>
      </c>
      <c r="G63" s="8">
        <v>120</v>
      </c>
      <c r="H63" s="8">
        <v>1807354</v>
      </c>
      <c r="I63" s="8">
        <v>1560</v>
      </c>
      <c r="J63" s="8">
        <v>23495606</v>
      </c>
    </row>
    <row r="64" spans="1:10" x14ac:dyDescent="0.2">
      <c r="A64" s="6" t="s">
        <v>72</v>
      </c>
      <c r="B64" s="6">
        <v>7</v>
      </c>
      <c r="C64" s="8">
        <v>3343</v>
      </c>
      <c r="D64" s="8">
        <v>70351504</v>
      </c>
      <c r="E64" s="8">
        <v>1206</v>
      </c>
      <c r="F64" s="8">
        <v>28573440</v>
      </c>
      <c r="G64" s="8">
        <v>480</v>
      </c>
      <c r="H64" s="8">
        <v>10438332</v>
      </c>
      <c r="I64" s="8">
        <v>4069</v>
      </c>
      <c r="J64" s="8">
        <v>88486612</v>
      </c>
    </row>
    <row r="65" spans="1:10" x14ac:dyDescent="0.2">
      <c r="A65" s="6" t="s">
        <v>73</v>
      </c>
      <c r="B65" s="6">
        <v>7</v>
      </c>
      <c r="C65" s="8">
        <v>3587</v>
      </c>
      <c r="D65" s="8">
        <v>116743655</v>
      </c>
      <c r="E65" s="8">
        <v>2280</v>
      </c>
      <c r="F65" s="8">
        <v>77886240</v>
      </c>
      <c r="G65" s="8">
        <v>1320</v>
      </c>
      <c r="H65" s="8">
        <v>43789238</v>
      </c>
      <c r="I65" s="8">
        <v>4547</v>
      </c>
      <c r="J65" s="8">
        <v>150840657</v>
      </c>
    </row>
    <row r="66" spans="1:10" x14ac:dyDescent="0.2">
      <c r="A66" s="6" t="s">
        <v>74</v>
      </c>
      <c r="B66" s="6">
        <v>7</v>
      </c>
      <c r="C66" s="8">
        <v>3120</v>
      </c>
      <c r="D66" s="8">
        <v>45173706</v>
      </c>
      <c r="E66" s="8">
        <v>2160</v>
      </c>
      <c r="F66" s="8">
        <v>31870800</v>
      </c>
      <c r="G66" s="8">
        <v>1272</v>
      </c>
      <c r="H66" s="8">
        <v>18560722</v>
      </c>
      <c r="I66" s="8">
        <v>4008</v>
      </c>
      <c r="J66" s="8">
        <v>58483784</v>
      </c>
    </row>
    <row r="67" spans="1:10" x14ac:dyDescent="0.2">
      <c r="A67" s="6" t="s">
        <v>75</v>
      </c>
      <c r="B67" s="6">
        <v>7</v>
      </c>
      <c r="C67" s="8">
        <v>6960</v>
      </c>
      <c r="D67" s="8">
        <v>2405760</v>
      </c>
      <c r="E67" s="8">
        <v>0</v>
      </c>
      <c r="F67" s="8">
        <v>0</v>
      </c>
      <c r="G67" s="8">
        <v>0</v>
      </c>
      <c r="H67" s="8">
        <v>0</v>
      </c>
      <c r="I67" s="8">
        <v>6960</v>
      </c>
      <c r="J67" s="8">
        <v>2405760</v>
      </c>
    </row>
    <row r="68" spans="1:10" x14ac:dyDescent="0.2">
      <c r="A68" s="6" t="s">
        <v>76</v>
      </c>
      <c r="B68" s="6">
        <v>7</v>
      </c>
      <c r="C68" s="8">
        <v>90</v>
      </c>
      <c r="D68" s="8">
        <v>4628571</v>
      </c>
      <c r="E68" s="8">
        <v>33</v>
      </c>
      <c r="F68" s="8">
        <v>1741674</v>
      </c>
      <c r="G68" s="8">
        <v>0</v>
      </c>
      <c r="H68" s="8">
        <v>0</v>
      </c>
      <c r="I68" s="8">
        <v>123</v>
      </c>
      <c r="J68" s="8">
        <v>6370245</v>
      </c>
    </row>
    <row r="69" spans="1:10" x14ac:dyDescent="0.2">
      <c r="A69" s="6" t="s">
        <v>77</v>
      </c>
      <c r="B69" s="6">
        <v>7</v>
      </c>
      <c r="C69" s="8">
        <v>204</v>
      </c>
      <c r="D69" s="8">
        <v>1112820</v>
      </c>
      <c r="E69" s="8">
        <v>96</v>
      </c>
      <c r="F69" s="8">
        <v>604416</v>
      </c>
      <c r="G69" s="8">
        <v>12</v>
      </c>
      <c r="H69" s="8">
        <v>68689</v>
      </c>
      <c r="I69" s="8">
        <v>288</v>
      </c>
      <c r="J69" s="8">
        <v>1648547</v>
      </c>
    </row>
    <row r="70" spans="1:10" x14ac:dyDescent="0.2">
      <c r="A70" s="6" t="s">
        <v>78</v>
      </c>
      <c r="B70" s="6">
        <v>7</v>
      </c>
      <c r="C70" s="8">
        <v>3464</v>
      </c>
      <c r="D70" s="8">
        <v>15057886</v>
      </c>
      <c r="E70" s="8">
        <v>1461</v>
      </c>
      <c r="F70" s="8">
        <v>7951440</v>
      </c>
      <c r="G70" s="8">
        <v>0</v>
      </c>
      <c r="H70" s="8">
        <v>0</v>
      </c>
      <c r="I70" s="8">
        <v>4925</v>
      </c>
      <c r="J70" s="8">
        <v>23009326</v>
      </c>
    </row>
    <row r="71" spans="1:10" x14ac:dyDescent="0.2">
      <c r="A71" s="6" t="s">
        <v>79</v>
      </c>
      <c r="B71" s="6">
        <v>7</v>
      </c>
      <c r="C71" s="8">
        <v>1573</v>
      </c>
      <c r="D71" s="8">
        <v>30829058</v>
      </c>
      <c r="E71" s="8">
        <v>467</v>
      </c>
      <c r="F71" s="8">
        <v>9673824</v>
      </c>
      <c r="G71" s="8">
        <v>0</v>
      </c>
      <c r="H71" s="8">
        <v>0</v>
      </c>
      <c r="I71" s="8">
        <v>2040</v>
      </c>
      <c r="J71" s="8">
        <v>40502882</v>
      </c>
    </row>
    <row r="72" spans="1:10" x14ac:dyDescent="0.2">
      <c r="A72" s="6" t="s">
        <v>80</v>
      </c>
      <c r="B72" s="6">
        <v>7</v>
      </c>
      <c r="C72" s="8">
        <v>144</v>
      </c>
      <c r="D72" s="8">
        <v>1942122</v>
      </c>
      <c r="E72" s="8">
        <v>72</v>
      </c>
      <c r="F72" s="8">
        <v>1066680</v>
      </c>
      <c r="G72" s="8">
        <v>0</v>
      </c>
      <c r="H72" s="8">
        <v>0</v>
      </c>
      <c r="I72" s="8">
        <v>216</v>
      </c>
      <c r="J72" s="8">
        <v>3008802</v>
      </c>
    </row>
    <row r="73" spans="1:10" x14ac:dyDescent="0.2">
      <c r="A73" s="6" t="s">
        <v>81</v>
      </c>
      <c r="B73" s="6">
        <v>7</v>
      </c>
      <c r="C73" s="8">
        <v>1872</v>
      </c>
      <c r="D73" s="8">
        <v>27719640</v>
      </c>
      <c r="E73" s="8">
        <v>216</v>
      </c>
      <c r="F73" s="8">
        <v>3400056</v>
      </c>
      <c r="G73" s="8">
        <v>0</v>
      </c>
      <c r="H73" s="8">
        <v>0</v>
      </c>
      <c r="I73" s="8">
        <v>2088</v>
      </c>
      <c r="J73" s="8">
        <v>31119696</v>
      </c>
    </row>
    <row r="74" spans="1:10" x14ac:dyDescent="0.2">
      <c r="A74" s="6" t="s">
        <v>82</v>
      </c>
      <c r="B74" s="6">
        <v>7</v>
      </c>
      <c r="C74" s="8">
        <v>5760</v>
      </c>
      <c r="D74" s="8">
        <v>41171760</v>
      </c>
      <c r="E74" s="8">
        <v>1080</v>
      </c>
      <c r="F74" s="8">
        <v>7951320</v>
      </c>
      <c r="G74" s="8">
        <v>0</v>
      </c>
      <c r="H74" s="8">
        <v>0</v>
      </c>
      <c r="I74" s="8">
        <v>6840</v>
      </c>
      <c r="J74" s="8">
        <v>49123080</v>
      </c>
    </row>
    <row r="75" spans="1:10" x14ac:dyDescent="0.2">
      <c r="A75" s="6" t="s">
        <v>83</v>
      </c>
      <c r="B75" s="6">
        <v>7</v>
      </c>
      <c r="C75" s="8">
        <v>1314</v>
      </c>
      <c r="D75" s="8">
        <v>9057962</v>
      </c>
      <c r="E75" s="8">
        <v>360</v>
      </c>
      <c r="F75" s="8">
        <v>2800080</v>
      </c>
      <c r="G75" s="8">
        <v>0</v>
      </c>
      <c r="H75" s="8">
        <v>0</v>
      </c>
      <c r="I75" s="8">
        <v>1674</v>
      </c>
      <c r="J75" s="8">
        <v>11858042</v>
      </c>
    </row>
    <row r="76" spans="1:10" x14ac:dyDescent="0.2">
      <c r="A76" s="6" t="s">
        <v>84</v>
      </c>
      <c r="B76" s="6">
        <v>7</v>
      </c>
      <c r="C76" s="8">
        <v>17440</v>
      </c>
      <c r="D76" s="8">
        <v>512070341</v>
      </c>
      <c r="E76" s="8">
        <v>5904</v>
      </c>
      <c r="F76" s="8">
        <v>180506880</v>
      </c>
      <c r="G76" s="8">
        <v>13944</v>
      </c>
      <c r="H76" s="8">
        <v>413695030</v>
      </c>
      <c r="I76" s="8">
        <v>9400</v>
      </c>
      <c r="J76" s="8">
        <v>278882191</v>
      </c>
    </row>
    <row r="77" spans="1:10" x14ac:dyDescent="0.2">
      <c r="A77" s="6" t="s">
        <v>85</v>
      </c>
      <c r="B77" s="6">
        <v>7</v>
      </c>
      <c r="C77" s="8">
        <v>9869</v>
      </c>
      <c r="D77" s="8">
        <v>87775901</v>
      </c>
      <c r="E77" s="8">
        <v>10220</v>
      </c>
      <c r="F77" s="8">
        <v>92967840</v>
      </c>
      <c r="G77" s="8">
        <v>11520</v>
      </c>
      <c r="H77" s="8">
        <v>103647165</v>
      </c>
      <c r="I77" s="8">
        <v>8569</v>
      </c>
      <c r="J77" s="8">
        <v>77096576</v>
      </c>
    </row>
    <row r="78" spans="1:10" x14ac:dyDescent="0.2">
      <c r="A78" s="6" t="s">
        <v>86</v>
      </c>
      <c r="B78" s="6">
        <v>7</v>
      </c>
      <c r="C78" s="8">
        <v>63132</v>
      </c>
      <c r="D78" s="8">
        <v>446356746</v>
      </c>
      <c r="E78" s="8">
        <v>23476</v>
      </c>
      <c r="F78" s="8">
        <v>169981920</v>
      </c>
      <c r="G78" s="8">
        <v>44640</v>
      </c>
      <c r="H78" s="8">
        <v>317676866</v>
      </c>
      <c r="I78" s="8">
        <v>41968</v>
      </c>
      <c r="J78" s="8">
        <v>298661800</v>
      </c>
    </row>
    <row r="79" spans="1:10" x14ac:dyDescent="0.2">
      <c r="A79" s="6" t="s">
        <v>87</v>
      </c>
      <c r="B79" s="6">
        <v>7</v>
      </c>
      <c r="C79" s="8">
        <v>13482</v>
      </c>
      <c r="D79" s="8">
        <v>233105119</v>
      </c>
      <c r="E79" s="8">
        <v>4944</v>
      </c>
      <c r="F79" s="8">
        <v>87159960</v>
      </c>
      <c r="G79" s="8">
        <v>1296</v>
      </c>
      <c r="H79" s="8">
        <v>22525971</v>
      </c>
      <c r="I79" s="8">
        <v>17130</v>
      </c>
      <c r="J79" s="8">
        <v>297739108</v>
      </c>
    </row>
    <row r="80" spans="1:10" x14ac:dyDescent="0.2">
      <c r="A80" s="6" t="s">
        <v>88</v>
      </c>
      <c r="B80" s="6">
        <v>7</v>
      </c>
      <c r="C80" s="8">
        <v>768</v>
      </c>
      <c r="D80" s="8">
        <v>16058112</v>
      </c>
      <c r="E80" s="8">
        <v>0</v>
      </c>
      <c r="F80" s="8">
        <v>0</v>
      </c>
      <c r="G80" s="8">
        <v>0</v>
      </c>
      <c r="H80" s="8">
        <v>0</v>
      </c>
      <c r="I80" s="8">
        <v>768</v>
      </c>
      <c r="J80" s="8">
        <v>16058112</v>
      </c>
    </row>
    <row r="81" spans="1:10" x14ac:dyDescent="0.2">
      <c r="A81" s="6" t="s">
        <v>89</v>
      </c>
      <c r="B81" s="6">
        <v>7</v>
      </c>
      <c r="C81" s="8">
        <v>300</v>
      </c>
      <c r="D81" s="8">
        <v>6931767</v>
      </c>
      <c r="E81" s="8">
        <v>240</v>
      </c>
      <c r="F81" s="8">
        <v>5835360</v>
      </c>
      <c r="G81" s="8">
        <v>420</v>
      </c>
      <c r="H81" s="8">
        <v>9929988</v>
      </c>
      <c r="I81" s="8">
        <v>120</v>
      </c>
      <c r="J81" s="8">
        <v>2837139</v>
      </c>
    </row>
    <row r="82" spans="1:10" x14ac:dyDescent="0.2">
      <c r="A82" s="6" t="s">
        <v>90</v>
      </c>
      <c r="B82" s="6">
        <v>7</v>
      </c>
      <c r="C82" s="8">
        <v>3312</v>
      </c>
      <c r="D82" s="8">
        <v>169647443</v>
      </c>
      <c r="E82" s="8">
        <v>1110</v>
      </c>
      <c r="F82" s="8">
        <v>58690950</v>
      </c>
      <c r="G82" s="8">
        <v>3654</v>
      </c>
      <c r="H82" s="8">
        <v>188681251</v>
      </c>
      <c r="I82" s="8">
        <v>768</v>
      </c>
      <c r="J82" s="8">
        <v>39657142</v>
      </c>
    </row>
    <row r="83" spans="1:10" x14ac:dyDescent="0.2">
      <c r="A83" s="6" t="s">
        <v>91</v>
      </c>
      <c r="B83" s="6">
        <v>7</v>
      </c>
      <c r="C83" s="8">
        <v>8377</v>
      </c>
      <c r="D83" s="8">
        <v>71617089</v>
      </c>
      <c r="E83" s="8">
        <v>5975</v>
      </c>
      <c r="F83" s="8">
        <v>53325600</v>
      </c>
      <c r="G83" s="8">
        <v>8353</v>
      </c>
      <c r="H83" s="8">
        <v>72717829</v>
      </c>
      <c r="I83" s="8">
        <v>5999</v>
      </c>
      <c r="J83" s="8">
        <v>52224860</v>
      </c>
    </row>
    <row r="84" spans="1:10" x14ac:dyDescent="0.2">
      <c r="A84" s="6" t="s">
        <v>92</v>
      </c>
      <c r="B84" s="6">
        <v>7</v>
      </c>
      <c r="C84" s="8">
        <v>66400</v>
      </c>
      <c r="D84" s="8">
        <v>32004800</v>
      </c>
      <c r="E84" s="8">
        <v>20000</v>
      </c>
      <c r="F84" s="8">
        <v>9748000</v>
      </c>
      <c r="G84" s="8">
        <v>74400</v>
      </c>
      <c r="H84" s="8">
        <v>35953800</v>
      </c>
      <c r="I84" s="8">
        <v>12000</v>
      </c>
      <c r="J84" s="8">
        <v>5799000</v>
      </c>
    </row>
    <row r="85" spans="1:10" x14ac:dyDescent="0.2">
      <c r="A85" s="6" t="s">
        <v>93</v>
      </c>
      <c r="B85" s="6">
        <v>7</v>
      </c>
      <c r="C85" s="8">
        <v>180</v>
      </c>
      <c r="D85" s="8">
        <v>9146121</v>
      </c>
      <c r="E85" s="8">
        <v>60</v>
      </c>
      <c r="F85" s="8">
        <v>3165420</v>
      </c>
      <c r="G85" s="8">
        <v>0</v>
      </c>
      <c r="H85" s="8">
        <v>0</v>
      </c>
      <c r="I85" s="8">
        <v>240</v>
      </c>
      <c r="J85" s="8">
        <v>12311541</v>
      </c>
    </row>
    <row r="86" spans="1:10" x14ac:dyDescent="0.2">
      <c r="A86" s="6" t="s">
        <v>94</v>
      </c>
      <c r="B86" s="6">
        <v>7</v>
      </c>
      <c r="C86" s="8">
        <v>288</v>
      </c>
      <c r="D86" s="8">
        <v>2591928</v>
      </c>
      <c r="E86" s="8">
        <v>48</v>
      </c>
      <c r="F86" s="8">
        <v>466656</v>
      </c>
      <c r="G86" s="8">
        <v>0</v>
      </c>
      <c r="H86" s="8">
        <v>0</v>
      </c>
      <c r="I86" s="8">
        <v>336</v>
      </c>
      <c r="J86" s="8">
        <v>3058584</v>
      </c>
    </row>
    <row r="87" spans="1:10" x14ac:dyDescent="0.2">
      <c r="A87" s="6" t="s">
        <v>95</v>
      </c>
      <c r="B87" s="6">
        <v>7</v>
      </c>
      <c r="C87" s="8">
        <v>1440</v>
      </c>
      <c r="D87" s="8">
        <v>11598624</v>
      </c>
      <c r="E87" s="8">
        <v>360</v>
      </c>
      <c r="F87" s="8">
        <v>2983572</v>
      </c>
      <c r="G87" s="8">
        <v>0</v>
      </c>
      <c r="H87" s="8">
        <v>0</v>
      </c>
      <c r="I87" s="8">
        <v>1800</v>
      </c>
      <c r="J87" s="8">
        <v>14582196</v>
      </c>
    </row>
    <row r="88" spans="1:10" x14ac:dyDescent="0.2">
      <c r="A88" s="6" t="s">
        <v>96</v>
      </c>
      <c r="B88" s="6">
        <v>7</v>
      </c>
      <c r="C88" s="8">
        <v>441</v>
      </c>
      <c r="D88" s="8">
        <v>47547947</v>
      </c>
      <c r="E88" s="8">
        <v>135</v>
      </c>
      <c r="F88" s="8">
        <v>15592455</v>
      </c>
      <c r="G88" s="8">
        <v>87</v>
      </c>
      <c r="H88" s="8">
        <v>9536832</v>
      </c>
      <c r="I88" s="8">
        <v>489</v>
      </c>
      <c r="J88" s="8">
        <v>53603570</v>
      </c>
    </row>
    <row r="89" spans="1:10" x14ac:dyDescent="0.2">
      <c r="A89" s="6" t="s">
        <v>97</v>
      </c>
      <c r="B89" s="6">
        <v>7</v>
      </c>
      <c r="C89" s="8">
        <v>70400</v>
      </c>
      <c r="D89" s="8">
        <v>33932800</v>
      </c>
      <c r="E89" s="8">
        <v>24000</v>
      </c>
      <c r="F89" s="8">
        <v>11712000</v>
      </c>
      <c r="G89" s="8">
        <v>78400</v>
      </c>
      <c r="H89" s="8">
        <v>37908393</v>
      </c>
      <c r="I89" s="8">
        <v>16000</v>
      </c>
      <c r="J89" s="8">
        <v>7736407</v>
      </c>
    </row>
    <row r="90" spans="1:10" x14ac:dyDescent="0.2">
      <c r="A90" s="6" t="s">
        <v>98</v>
      </c>
      <c r="B90" s="6">
        <v>7</v>
      </c>
      <c r="C90" s="8">
        <v>3168</v>
      </c>
      <c r="D90" s="8">
        <v>30891576</v>
      </c>
      <c r="E90" s="8">
        <v>600</v>
      </c>
      <c r="F90" s="8">
        <v>6333600</v>
      </c>
      <c r="G90" s="8">
        <v>240</v>
      </c>
      <c r="H90" s="8">
        <v>2371030</v>
      </c>
      <c r="I90" s="8">
        <v>3528</v>
      </c>
      <c r="J90" s="8">
        <v>34854146</v>
      </c>
    </row>
    <row r="91" spans="1:10" x14ac:dyDescent="0.2">
      <c r="A91" s="6" t="s">
        <v>99</v>
      </c>
      <c r="B91" s="6">
        <v>7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</row>
    <row r="92" spans="1:10" x14ac:dyDescent="0.2">
      <c r="A92" s="6" t="s">
        <v>100</v>
      </c>
      <c r="B92" s="6">
        <v>7</v>
      </c>
      <c r="C92" s="8">
        <v>4028</v>
      </c>
      <c r="D92" s="8">
        <v>196909461</v>
      </c>
      <c r="E92" s="8">
        <v>1229</v>
      </c>
      <c r="F92" s="8">
        <v>58690950</v>
      </c>
      <c r="G92" s="8">
        <v>3894</v>
      </c>
      <c r="H92" s="8">
        <v>189330036</v>
      </c>
      <c r="I92" s="8">
        <v>1363</v>
      </c>
      <c r="J92" s="8">
        <v>66270375</v>
      </c>
    </row>
    <row r="93" spans="1:10" x14ac:dyDescent="0.2">
      <c r="A93" s="6" t="s">
        <v>101</v>
      </c>
      <c r="B93" s="6">
        <v>7</v>
      </c>
      <c r="C93" s="8">
        <v>11853</v>
      </c>
      <c r="D93" s="8">
        <v>68083549</v>
      </c>
      <c r="E93" s="8">
        <v>9930</v>
      </c>
      <c r="F93" s="8">
        <v>78694320</v>
      </c>
      <c r="G93" s="8">
        <v>7248</v>
      </c>
      <c r="H93" s="8">
        <v>48838360</v>
      </c>
      <c r="I93" s="8">
        <v>14535</v>
      </c>
      <c r="J93" s="8">
        <v>97939509</v>
      </c>
    </row>
    <row r="94" spans="1:10" x14ac:dyDescent="0.2">
      <c r="A94" s="6" t="s">
        <v>102</v>
      </c>
      <c r="B94" s="6">
        <v>7</v>
      </c>
      <c r="C94" s="8">
        <v>984</v>
      </c>
      <c r="D94" s="8">
        <v>22785400</v>
      </c>
      <c r="E94" s="8">
        <v>720</v>
      </c>
      <c r="F94" s="8">
        <v>17559600</v>
      </c>
      <c r="G94" s="8">
        <v>1200</v>
      </c>
      <c r="H94" s="8">
        <v>28411973</v>
      </c>
      <c r="I94" s="8">
        <v>504</v>
      </c>
      <c r="J94" s="8">
        <v>11933027</v>
      </c>
    </row>
    <row r="95" spans="1:10" x14ac:dyDescent="0.2">
      <c r="A95" s="6" t="s">
        <v>103</v>
      </c>
      <c r="B95" s="6">
        <v>7</v>
      </c>
      <c r="C95" s="8">
        <v>3840</v>
      </c>
      <c r="D95" s="8">
        <v>51255300</v>
      </c>
      <c r="E95" s="8">
        <v>420</v>
      </c>
      <c r="F95" s="8">
        <v>2666688</v>
      </c>
      <c r="G95" s="8">
        <v>0</v>
      </c>
      <c r="H95" s="8">
        <v>0</v>
      </c>
      <c r="I95" s="8">
        <v>4260</v>
      </c>
      <c r="J95" s="8">
        <v>53921988</v>
      </c>
    </row>
    <row r="96" spans="1:10" x14ac:dyDescent="0.2">
      <c r="A96" s="6" t="s">
        <v>104</v>
      </c>
      <c r="B96" s="6">
        <v>7</v>
      </c>
      <c r="C96" s="8">
        <v>360</v>
      </c>
      <c r="D96" s="8">
        <v>6545520</v>
      </c>
      <c r="E96" s="8">
        <v>0</v>
      </c>
      <c r="F96" s="8">
        <v>0</v>
      </c>
      <c r="G96" s="8">
        <v>0</v>
      </c>
      <c r="H96" s="8">
        <v>0</v>
      </c>
      <c r="I96" s="8">
        <v>360</v>
      </c>
      <c r="J96" s="8">
        <v>6545520</v>
      </c>
    </row>
    <row r="97" spans="1:10" x14ac:dyDescent="0.2">
      <c r="A97" s="6" t="s">
        <v>105</v>
      </c>
      <c r="B97" s="6">
        <v>7</v>
      </c>
      <c r="C97" s="8">
        <v>420</v>
      </c>
      <c r="D97" s="8">
        <v>21097560</v>
      </c>
      <c r="E97" s="8">
        <v>60</v>
      </c>
      <c r="F97" s="8">
        <v>3165420</v>
      </c>
      <c r="G97" s="8">
        <v>30</v>
      </c>
      <c r="H97" s="8">
        <v>1516436</v>
      </c>
      <c r="I97" s="8">
        <v>450</v>
      </c>
      <c r="J97" s="8">
        <v>22746544</v>
      </c>
    </row>
    <row r="98" spans="1:10" x14ac:dyDescent="0.2">
      <c r="A98" s="6" t="s">
        <v>106</v>
      </c>
      <c r="B98" s="6">
        <v>7</v>
      </c>
      <c r="C98" s="8">
        <v>960</v>
      </c>
      <c r="D98" s="8">
        <v>8552520</v>
      </c>
      <c r="E98" s="8">
        <v>312</v>
      </c>
      <c r="F98" s="8">
        <v>3012024</v>
      </c>
      <c r="G98" s="8">
        <v>0</v>
      </c>
      <c r="H98" s="8">
        <v>0</v>
      </c>
      <c r="I98" s="8">
        <v>1272</v>
      </c>
      <c r="J98" s="8">
        <v>11564544</v>
      </c>
    </row>
    <row r="99" spans="1:10" x14ac:dyDescent="0.2">
      <c r="A99" s="6" t="s">
        <v>107</v>
      </c>
      <c r="B99" s="6">
        <v>7</v>
      </c>
      <c r="C99" s="8">
        <v>508</v>
      </c>
      <c r="D99" s="8">
        <v>1341900</v>
      </c>
      <c r="E99" s="8">
        <v>32</v>
      </c>
      <c r="F99" s="8">
        <v>0</v>
      </c>
      <c r="G99" s="8">
        <v>0</v>
      </c>
      <c r="H99" s="8">
        <v>0</v>
      </c>
      <c r="I99" s="8">
        <v>540</v>
      </c>
      <c r="J99" s="8">
        <v>1341900</v>
      </c>
    </row>
    <row r="100" spans="1:10" x14ac:dyDescent="0.2">
      <c r="A100" s="6" t="s">
        <v>108</v>
      </c>
      <c r="B100" s="6">
        <v>7</v>
      </c>
      <c r="C100" s="8">
        <v>19595</v>
      </c>
      <c r="D100" s="8">
        <v>132377367</v>
      </c>
      <c r="E100" s="8">
        <v>8280</v>
      </c>
      <c r="F100" s="8">
        <v>60606360</v>
      </c>
      <c r="G100" s="8">
        <v>576</v>
      </c>
      <c r="H100" s="8">
        <v>3987753</v>
      </c>
      <c r="I100" s="8">
        <v>27299</v>
      </c>
      <c r="J100" s="8">
        <v>188995974</v>
      </c>
    </row>
    <row r="101" spans="1:10" x14ac:dyDescent="0.2">
      <c r="A101" s="6" t="s">
        <v>109</v>
      </c>
      <c r="B101" s="6">
        <v>7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</row>
    <row r="102" spans="1:10" x14ac:dyDescent="0.2">
      <c r="A102" s="6" t="s">
        <v>110</v>
      </c>
      <c r="B102" s="6">
        <v>7</v>
      </c>
      <c r="C102" s="8">
        <v>2808</v>
      </c>
      <c r="D102" s="8">
        <v>47589140</v>
      </c>
      <c r="E102" s="8">
        <v>900</v>
      </c>
      <c r="F102" s="8">
        <v>16250400</v>
      </c>
      <c r="G102" s="8">
        <v>2268</v>
      </c>
      <c r="H102" s="8">
        <v>39047486</v>
      </c>
      <c r="I102" s="8">
        <v>1440</v>
      </c>
      <c r="J102" s="8">
        <v>24792054</v>
      </c>
    </row>
    <row r="103" spans="1:10" x14ac:dyDescent="0.2">
      <c r="A103" s="6" t="s">
        <v>111</v>
      </c>
      <c r="B103" s="6">
        <v>7</v>
      </c>
      <c r="C103" s="8">
        <v>4297</v>
      </c>
      <c r="D103" s="8">
        <v>33713136</v>
      </c>
      <c r="E103" s="8">
        <v>6617</v>
      </c>
      <c r="F103" s="8">
        <v>53510400</v>
      </c>
      <c r="G103" s="8">
        <v>0</v>
      </c>
      <c r="H103" s="8">
        <v>0</v>
      </c>
      <c r="I103" s="8">
        <v>10914</v>
      </c>
      <c r="J103" s="8">
        <v>87223536</v>
      </c>
    </row>
    <row r="104" spans="1:10" x14ac:dyDescent="0.2">
      <c r="A104" s="6" t="s">
        <v>112</v>
      </c>
      <c r="B104" s="6">
        <v>7</v>
      </c>
      <c r="C104" s="8">
        <v>4440</v>
      </c>
      <c r="D104" s="8">
        <v>35208199</v>
      </c>
      <c r="E104" s="8">
        <v>1320</v>
      </c>
      <c r="F104" s="8">
        <v>10702080</v>
      </c>
      <c r="G104" s="8">
        <v>1080</v>
      </c>
      <c r="H104" s="8">
        <v>8608177</v>
      </c>
      <c r="I104" s="8">
        <v>4680</v>
      </c>
      <c r="J104" s="8">
        <v>37302102</v>
      </c>
    </row>
    <row r="105" spans="1:10" x14ac:dyDescent="0.2">
      <c r="A105" s="6" t="s">
        <v>113</v>
      </c>
      <c r="B105" s="6">
        <v>7</v>
      </c>
      <c r="C105" s="8">
        <v>96</v>
      </c>
      <c r="D105" s="8">
        <v>1483680</v>
      </c>
      <c r="E105" s="8">
        <v>48</v>
      </c>
      <c r="F105" s="8">
        <v>800016</v>
      </c>
      <c r="G105" s="8">
        <v>0</v>
      </c>
      <c r="H105" s="8">
        <v>0</v>
      </c>
      <c r="I105" s="8">
        <v>144</v>
      </c>
      <c r="J105" s="8">
        <v>2283696</v>
      </c>
    </row>
    <row r="106" spans="1:10" x14ac:dyDescent="0.2">
      <c r="A106" s="6" t="s">
        <v>114</v>
      </c>
      <c r="B106" s="6">
        <v>7</v>
      </c>
      <c r="C106" s="8">
        <v>264</v>
      </c>
      <c r="D106" s="8">
        <v>4821864</v>
      </c>
      <c r="E106" s="8">
        <v>0</v>
      </c>
      <c r="F106" s="8">
        <v>0</v>
      </c>
      <c r="G106" s="8">
        <v>0</v>
      </c>
      <c r="H106" s="8">
        <v>0</v>
      </c>
      <c r="I106" s="8">
        <v>264</v>
      </c>
      <c r="J106" s="8">
        <v>4821864</v>
      </c>
    </row>
    <row r="107" spans="1:10" x14ac:dyDescent="0.2">
      <c r="A107" s="6" t="s">
        <v>115</v>
      </c>
      <c r="B107" s="6">
        <v>7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</row>
    <row r="108" spans="1:10" x14ac:dyDescent="0.2">
      <c r="A108" s="6" t="s">
        <v>116</v>
      </c>
      <c r="B108" s="6">
        <v>7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</row>
    <row r="109" spans="1:10" x14ac:dyDescent="0.2">
      <c r="A109" s="6" t="s">
        <v>117</v>
      </c>
      <c r="B109" s="6">
        <v>7</v>
      </c>
      <c r="C109" s="8">
        <v>72</v>
      </c>
      <c r="D109" s="8">
        <v>1178208</v>
      </c>
      <c r="E109" s="8">
        <v>24</v>
      </c>
      <c r="F109" s="8">
        <v>422232</v>
      </c>
      <c r="G109" s="8">
        <v>0</v>
      </c>
      <c r="H109" s="8">
        <v>0</v>
      </c>
      <c r="I109" s="8">
        <v>96</v>
      </c>
      <c r="J109" s="8">
        <v>1600440</v>
      </c>
    </row>
    <row r="110" spans="1:10" x14ac:dyDescent="0.2">
      <c r="A110" s="6" t="s">
        <v>118</v>
      </c>
      <c r="B110" s="6">
        <v>7</v>
      </c>
      <c r="C110" s="8">
        <v>492</v>
      </c>
      <c r="D110" s="8">
        <v>19652556</v>
      </c>
      <c r="E110" s="8">
        <v>240</v>
      </c>
      <c r="F110" s="8">
        <v>9972792</v>
      </c>
      <c r="G110" s="8">
        <v>0</v>
      </c>
      <c r="H110" s="8">
        <v>0</v>
      </c>
      <c r="I110" s="8">
        <v>732</v>
      </c>
      <c r="J110" s="8">
        <v>29625348</v>
      </c>
    </row>
    <row r="111" spans="1:10" x14ac:dyDescent="0.2">
      <c r="A111" s="6" t="s">
        <v>119</v>
      </c>
      <c r="B111" s="6">
        <v>7</v>
      </c>
      <c r="C111" s="8">
        <v>200</v>
      </c>
      <c r="D111" s="8">
        <v>4545400</v>
      </c>
      <c r="E111" s="8">
        <v>120</v>
      </c>
      <c r="F111" s="8">
        <v>2777760</v>
      </c>
      <c r="G111" s="8">
        <v>0</v>
      </c>
      <c r="H111" s="8">
        <v>0</v>
      </c>
      <c r="I111" s="8">
        <v>320</v>
      </c>
      <c r="J111" s="8">
        <v>7323160</v>
      </c>
    </row>
    <row r="112" spans="1:10" x14ac:dyDescent="0.2">
      <c r="A112" s="6" t="s">
        <v>120</v>
      </c>
      <c r="B112" s="6">
        <v>7</v>
      </c>
      <c r="C112" s="8">
        <v>120</v>
      </c>
      <c r="D112" s="8">
        <v>2618160</v>
      </c>
      <c r="E112" s="8">
        <v>40</v>
      </c>
      <c r="F112" s="8">
        <v>888880</v>
      </c>
      <c r="G112" s="8">
        <v>0</v>
      </c>
      <c r="H112" s="8">
        <v>0</v>
      </c>
      <c r="I112" s="8">
        <v>160</v>
      </c>
      <c r="J112" s="8">
        <v>3507040</v>
      </c>
    </row>
    <row r="113" spans="1:10" x14ac:dyDescent="0.2">
      <c r="A113" s="6" t="s">
        <v>121</v>
      </c>
      <c r="B113" s="6">
        <v>7</v>
      </c>
      <c r="C113" s="8">
        <v>5944</v>
      </c>
      <c r="D113" s="8">
        <v>67969990</v>
      </c>
      <c r="E113" s="8">
        <v>2675</v>
      </c>
      <c r="F113" s="8">
        <v>31620000</v>
      </c>
      <c r="G113" s="8">
        <v>1080</v>
      </c>
      <c r="H113" s="8">
        <v>12479080</v>
      </c>
      <c r="I113" s="8">
        <v>7539</v>
      </c>
      <c r="J113" s="8">
        <v>87110910</v>
      </c>
    </row>
    <row r="114" spans="1:10" x14ac:dyDescent="0.2">
      <c r="A114" s="6" t="s">
        <v>122</v>
      </c>
      <c r="B114" s="6">
        <v>7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</row>
    <row r="115" spans="1:10" x14ac:dyDescent="0.2">
      <c r="A115" s="6" t="s">
        <v>123</v>
      </c>
      <c r="B115" s="6">
        <v>7</v>
      </c>
      <c r="C115" s="8">
        <v>144</v>
      </c>
      <c r="D115" s="8">
        <v>2421792</v>
      </c>
      <c r="E115" s="8">
        <v>0</v>
      </c>
      <c r="F115" s="8">
        <v>0</v>
      </c>
      <c r="G115" s="8">
        <v>0</v>
      </c>
      <c r="H115" s="8">
        <v>0</v>
      </c>
      <c r="I115" s="8">
        <v>144</v>
      </c>
      <c r="J115" s="8">
        <v>2421792</v>
      </c>
    </row>
    <row r="116" spans="1:10" x14ac:dyDescent="0.2">
      <c r="A116" s="6" t="s">
        <v>124</v>
      </c>
      <c r="B116" s="6">
        <v>7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</row>
    <row r="117" spans="1:10" x14ac:dyDescent="0.2">
      <c r="A117" s="6" t="s">
        <v>125</v>
      </c>
      <c r="B117" s="6">
        <v>7</v>
      </c>
      <c r="C117" s="8">
        <v>2172</v>
      </c>
      <c r="D117" s="8">
        <v>92483174</v>
      </c>
      <c r="E117" s="8">
        <v>480</v>
      </c>
      <c r="F117" s="8">
        <v>21555360</v>
      </c>
      <c r="G117" s="8">
        <v>540</v>
      </c>
      <c r="H117" s="8">
        <v>23220516</v>
      </c>
      <c r="I117" s="8">
        <v>2112</v>
      </c>
      <c r="J117" s="8">
        <v>90818018</v>
      </c>
    </row>
    <row r="118" spans="1:10" x14ac:dyDescent="0.2">
      <c r="A118" s="6" t="s">
        <v>126</v>
      </c>
      <c r="B118" s="6">
        <v>7</v>
      </c>
      <c r="C118" s="8">
        <v>40427</v>
      </c>
      <c r="D118" s="8">
        <v>222464647</v>
      </c>
      <c r="E118" s="8">
        <v>18300</v>
      </c>
      <c r="F118" s="8">
        <v>83995200</v>
      </c>
      <c r="G118" s="8">
        <v>36095</v>
      </c>
      <c r="H118" s="8">
        <v>188357454</v>
      </c>
      <c r="I118" s="8">
        <v>22632</v>
      </c>
      <c r="J118" s="8">
        <v>118102393</v>
      </c>
    </row>
    <row r="119" spans="1:10" x14ac:dyDescent="0.2">
      <c r="A119" s="6" t="s">
        <v>127</v>
      </c>
      <c r="B119" s="6">
        <v>7</v>
      </c>
      <c r="C119" s="8">
        <v>7161</v>
      </c>
      <c r="D119" s="8">
        <v>39764658</v>
      </c>
      <c r="E119" s="8">
        <v>2230</v>
      </c>
      <c r="F119" s="8">
        <v>12472080</v>
      </c>
      <c r="G119" s="8">
        <v>0</v>
      </c>
      <c r="H119" s="8">
        <v>0</v>
      </c>
      <c r="I119" s="8">
        <v>9391</v>
      </c>
      <c r="J119" s="8">
        <v>52236738</v>
      </c>
    </row>
    <row r="120" spans="1:10" x14ac:dyDescent="0.2">
      <c r="A120" s="6" t="s">
        <v>128</v>
      </c>
      <c r="B120" s="6">
        <v>7</v>
      </c>
      <c r="C120" s="8">
        <v>1260</v>
      </c>
      <c r="D120" s="8">
        <v>18900000</v>
      </c>
      <c r="E120" s="8">
        <v>200</v>
      </c>
      <c r="F120" s="8">
        <v>3055600</v>
      </c>
      <c r="G120" s="8">
        <v>100</v>
      </c>
      <c r="H120" s="8">
        <v>1503808</v>
      </c>
      <c r="I120" s="8">
        <v>1360</v>
      </c>
      <c r="J120" s="8">
        <v>20451792</v>
      </c>
    </row>
    <row r="121" spans="1:10" x14ac:dyDescent="0.2">
      <c r="A121" s="6" t="s">
        <v>129</v>
      </c>
      <c r="B121" s="6">
        <v>7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</row>
    <row r="122" spans="1:10" x14ac:dyDescent="0.2">
      <c r="A122" s="6" t="s">
        <v>130</v>
      </c>
      <c r="B122" s="6">
        <v>7</v>
      </c>
      <c r="C122" s="8">
        <v>133</v>
      </c>
      <c r="D122" s="8">
        <v>6226794</v>
      </c>
      <c r="E122" s="8">
        <v>28</v>
      </c>
      <c r="F122" s="8">
        <v>1335180</v>
      </c>
      <c r="G122" s="8">
        <v>133</v>
      </c>
      <c r="H122" s="8">
        <v>6246848</v>
      </c>
      <c r="I122" s="8">
        <v>28</v>
      </c>
      <c r="J122" s="8">
        <v>1315126</v>
      </c>
    </row>
    <row r="123" spans="1:10" x14ac:dyDescent="0.2">
      <c r="A123" s="6" t="s">
        <v>131</v>
      </c>
      <c r="B123" s="6">
        <v>7</v>
      </c>
      <c r="C123" s="8">
        <v>88</v>
      </c>
      <c r="D123" s="8">
        <v>4320008</v>
      </c>
      <c r="E123" s="8">
        <v>0</v>
      </c>
      <c r="F123" s="8">
        <v>0</v>
      </c>
      <c r="G123" s="8">
        <v>25</v>
      </c>
      <c r="H123" s="8">
        <v>1227275</v>
      </c>
      <c r="I123" s="8">
        <v>63</v>
      </c>
      <c r="J123" s="8">
        <v>3092733</v>
      </c>
    </row>
    <row r="124" spans="1:10" x14ac:dyDescent="0.2">
      <c r="A124" s="6" t="s">
        <v>132</v>
      </c>
      <c r="B124" s="6">
        <v>7</v>
      </c>
      <c r="C124" s="8">
        <v>190</v>
      </c>
      <c r="D124" s="8">
        <v>8290840</v>
      </c>
      <c r="E124" s="8">
        <v>201</v>
      </c>
      <c r="F124" s="8">
        <v>8933244</v>
      </c>
      <c r="G124" s="8">
        <v>190</v>
      </c>
      <c r="H124" s="8">
        <v>8369759</v>
      </c>
      <c r="I124" s="8">
        <v>201</v>
      </c>
      <c r="J124" s="8">
        <v>8854325</v>
      </c>
    </row>
    <row r="125" spans="1:10" x14ac:dyDescent="0.2">
      <c r="A125" s="6" t="s">
        <v>133</v>
      </c>
      <c r="B125" s="6">
        <v>7</v>
      </c>
      <c r="C125" s="8">
        <v>143</v>
      </c>
      <c r="D125" s="8">
        <v>5330039</v>
      </c>
      <c r="E125" s="8">
        <v>38</v>
      </c>
      <c r="F125" s="8">
        <v>1438454</v>
      </c>
      <c r="G125" s="8">
        <v>149</v>
      </c>
      <c r="H125" s="8">
        <v>5571853</v>
      </c>
      <c r="I125" s="8">
        <v>32</v>
      </c>
      <c r="J125" s="8">
        <v>1196640</v>
      </c>
    </row>
    <row r="126" spans="1:10" x14ac:dyDescent="0.2">
      <c r="A126" s="6" t="s">
        <v>134</v>
      </c>
      <c r="B126" s="6">
        <v>7</v>
      </c>
      <c r="C126" s="8">
        <v>23</v>
      </c>
      <c r="D126" s="8">
        <v>658628</v>
      </c>
      <c r="E126" s="8">
        <v>15</v>
      </c>
      <c r="F126" s="8">
        <v>429540</v>
      </c>
      <c r="G126" s="8">
        <v>0</v>
      </c>
      <c r="H126" s="8">
        <v>0</v>
      </c>
      <c r="I126" s="8">
        <v>38</v>
      </c>
      <c r="J126" s="8">
        <v>1088168</v>
      </c>
    </row>
    <row r="127" spans="1:10" x14ac:dyDescent="0.2">
      <c r="A127" s="6" t="s">
        <v>135</v>
      </c>
      <c r="B127" s="6">
        <v>7</v>
      </c>
      <c r="C127" s="8">
        <v>210</v>
      </c>
      <c r="D127" s="8">
        <v>38558891</v>
      </c>
      <c r="E127" s="8">
        <v>160</v>
      </c>
      <c r="F127" s="8">
        <v>29394880</v>
      </c>
      <c r="G127" s="8">
        <v>248</v>
      </c>
      <c r="H127" s="8">
        <v>45547392</v>
      </c>
      <c r="I127" s="8">
        <v>122</v>
      </c>
      <c r="J127" s="8">
        <v>22406379</v>
      </c>
    </row>
    <row r="128" spans="1:10" x14ac:dyDescent="0.2">
      <c r="A128" s="6" t="s">
        <v>136</v>
      </c>
      <c r="B128" s="6">
        <v>7</v>
      </c>
      <c r="C128" s="8">
        <v>9385</v>
      </c>
      <c r="D128" s="8">
        <v>138192659</v>
      </c>
      <c r="E128" s="8">
        <v>3204</v>
      </c>
      <c r="F128" s="8">
        <v>47267040</v>
      </c>
      <c r="G128" s="8">
        <v>9840</v>
      </c>
      <c r="H128" s="8">
        <v>144961747</v>
      </c>
      <c r="I128" s="8">
        <v>2749</v>
      </c>
      <c r="J128" s="8">
        <v>40497952</v>
      </c>
    </row>
    <row r="129" spans="1:10" x14ac:dyDescent="0.2">
      <c r="A129" s="6" t="s">
        <v>137</v>
      </c>
      <c r="B129" s="6">
        <v>7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</row>
    <row r="130" spans="1:10" x14ac:dyDescent="0.2">
      <c r="A130" s="6" t="s">
        <v>138</v>
      </c>
      <c r="B130" s="6">
        <v>7</v>
      </c>
      <c r="C130" s="8">
        <v>0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</row>
    <row r="131" spans="1:10" x14ac:dyDescent="0.2">
      <c r="A131" s="6" t="s">
        <v>139</v>
      </c>
      <c r="B131" s="6">
        <v>7</v>
      </c>
      <c r="C131" s="8">
        <v>188</v>
      </c>
      <c r="D131" s="8">
        <v>34137846</v>
      </c>
      <c r="E131" s="8">
        <v>0</v>
      </c>
      <c r="F131" s="8">
        <v>0</v>
      </c>
      <c r="G131" s="8">
        <v>0</v>
      </c>
      <c r="H131" s="8">
        <v>0</v>
      </c>
      <c r="I131" s="8">
        <v>188</v>
      </c>
      <c r="J131" s="8">
        <v>34137846</v>
      </c>
    </row>
    <row r="132" spans="1:10" x14ac:dyDescent="0.2">
      <c r="A132" s="6" t="s">
        <v>140</v>
      </c>
      <c r="B132" s="6">
        <v>7</v>
      </c>
      <c r="C132" s="8">
        <v>3681</v>
      </c>
      <c r="D132" s="8">
        <v>677901227</v>
      </c>
      <c r="E132" s="8">
        <v>825</v>
      </c>
      <c r="F132" s="8">
        <v>152190225</v>
      </c>
      <c r="G132" s="8">
        <v>1306</v>
      </c>
      <c r="H132" s="8">
        <v>240590199</v>
      </c>
      <c r="I132" s="8">
        <v>3200</v>
      </c>
      <c r="J132" s="8">
        <v>589501253</v>
      </c>
    </row>
    <row r="133" spans="1:10" x14ac:dyDescent="0.2">
      <c r="A133" s="6" t="s">
        <v>141</v>
      </c>
      <c r="B133" s="6">
        <v>7</v>
      </c>
      <c r="C133" s="8">
        <v>3341</v>
      </c>
      <c r="D133" s="8">
        <v>500016100</v>
      </c>
      <c r="E133" s="8">
        <v>1351</v>
      </c>
      <c r="F133" s="8">
        <v>202920300</v>
      </c>
      <c r="G133" s="8">
        <v>1892</v>
      </c>
      <c r="H133" s="8">
        <v>283451762</v>
      </c>
      <c r="I133" s="8">
        <v>2800</v>
      </c>
      <c r="J133" s="8">
        <v>419484638</v>
      </c>
    </row>
    <row r="134" spans="1:10" x14ac:dyDescent="0.2">
      <c r="A134" s="6" t="s">
        <v>142</v>
      </c>
      <c r="B134" s="6">
        <v>7</v>
      </c>
      <c r="C134" s="8">
        <v>1150</v>
      </c>
      <c r="D134" s="8">
        <v>211217050</v>
      </c>
      <c r="E134" s="8">
        <v>0</v>
      </c>
      <c r="F134" s="8">
        <v>0</v>
      </c>
      <c r="G134" s="8">
        <v>0</v>
      </c>
      <c r="H134" s="8">
        <v>0</v>
      </c>
      <c r="I134" s="8">
        <v>1150</v>
      </c>
      <c r="J134" s="8">
        <v>211217050</v>
      </c>
    </row>
    <row r="135" spans="1:10" x14ac:dyDescent="0.2">
      <c r="A135" s="6" t="s">
        <v>143</v>
      </c>
      <c r="B135" s="6">
        <v>7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</row>
    <row r="136" spans="1:10" x14ac:dyDescent="0.2">
      <c r="A136" s="6" t="s">
        <v>144</v>
      </c>
      <c r="B136" s="6">
        <v>7</v>
      </c>
      <c r="C136" s="8">
        <v>2858</v>
      </c>
      <c r="D136" s="8">
        <v>521037503</v>
      </c>
      <c r="E136" s="8">
        <v>450</v>
      </c>
      <c r="F136" s="8">
        <v>82080000</v>
      </c>
      <c r="G136" s="8">
        <v>525</v>
      </c>
      <c r="H136" s="8">
        <v>95718467</v>
      </c>
      <c r="I136" s="8">
        <v>2783</v>
      </c>
      <c r="J136" s="8">
        <v>507399036</v>
      </c>
    </row>
    <row r="137" spans="1:10" x14ac:dyDescent="0.2">
      <c r="A137" s="6" t="s">
        <v>145</v>
      </c>
      <c r="B137" s="6">
        <v>7</v>
      </c>
      <c r="C137" s="8">
        <v>518</v>
      </c>
      <c r="D137" s="8">
        <v>92583328</v>
      </c>
      <c r="E137" s="8">
        <v>0</v>
      </c>
      <c r="F137" s="8">
        <v>0</v>
      </c>
      <c r="G137" s="8">
        <v>25</v>
      </c>
      <c r="H137" s="8">
        <v>4468307</v>
      </c>
      <c r="I137" s="8">
        <v>493</v>
      </c>
      <c r="J137" s="8">
        <v>88115021</v>
      </c>
    </row>
    <row r="138" spans="1:10" x14ac:dyDescent="0.2">
      <c r="A138" s="6" t="s">
        <v>146</v>
      </c>
      <c r="B138" s="6">
        <v>7</v>
      </c>
      <c r="C138" s="8">
        <v>971</v>
      </c>
      <c r="D138" s="8">
        <v>173430599</v>
      </c>
      <c r="E138" s="8">
        <v>0</v>
      </c>
      <c r="F138" s="8">
        <v>0</v>
      </c>
      <c r="G138" s="8">
        <v>702</v>
      </c>
      <c r="H138" s="8">
        <v>125384429</v>
      </c>
      <c r="I138" s="8">
        <v>269</v>
      </c>
      <c r="J138" s="8">
        <v>48046170</v>
      </c>
    </row>
    <row r="139" spans="1:10" x14ac:dyDescent="0.2">
      <c r="A139" s="6" t="s">
        <v>147</v>
      </c>
      <c r="B139" s="6">
        <v>7</v>
      </c>
      <c r="C139" s="8">
        <v>734</v>
      </c>
      <c r="D139" s="8">
        <v>54264181</v>
      </c>
      <c r="E139" s="8">
        <v>51</v>
      </c>
      <c r="F139" s="8">
        <v>8239080</v>
      </c>
      <c r="G139" s="8">
        <v>0</v>
      </c>
      <c r="H139" s="8">
        <v>0</v>
      </c>
      <c r="I139" s="8">
        <v>785</v>
      </c>
      <c r="J139" s="8">
        <v>62503261</v>
      </c>
    </row>
    <row r="140" spans="1:10" x14ac:dyDescent="0.2">
      <c r="A140" s="6" t="s">
        <v>148</v>
      </c>
      <c r="B140" s="6">
        <v>7</v>
      </c>
      <c r="C140" s="8">
        <v>1452</v>
      </c>
      <c r="D140" s="8">
        <v>165434604</v>
      </c>
      <c r="E140" s="8">
        <v>0</v>
      </c>
      <c r="F140" s="8">
        <v>0</v>
      </c>
      <c r="G140" s="8">
        <v>0</v>
      </c>
      <c r="H140" s="8">
        <v>0</v>
      </c>
      <c r="I140" s="8">
        <v>1452</v>
      </c>
      <c r="J140" s="8">
        <v>165434604</v>
      </c>
    </row>
    <row r="141" spans="1:10" x14ac:dyDescent="0.2">
      <c r="A141" s="6" t="s">
        <v>149</v>
      </c>
      <c r="B141" s="6">
        <v>7</v>
      </c>
      <c r="C141" s="8">
        <v>4003</v>
      </c>
      <c r="D141" s="8">
        <v>759910787</v>
      </c>
      <c r="E141" s="8">
        <v>0</v>
      </c>
      <c r="F141" s="8">
        <v>0</v>
      </c>
      <c r="G141" s="8">
        <v>684</v>
      </c>
      <c r="H141" s="8">
        <v>129847359</v>
      </c>
      <c r="I141" s="8">
        <v>3319</v>
      </c>
      <c r="J141" s="8">
        <v>630063428</v>
      </c>
    </row>
    <row r="142" spans="1:10" x14ac:dyDescent="0.2">
      <c r="A142" s="6" t="s">
        <v>150</v>
      </c>
      <c r="B142" s="6">
        <v>7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</row>
    <row r="143" spans="1:10" x14ac:dyDescent="0.2">
      <c r="A143" s="6" t="s">
        <v>151</v>
      </c>
      <c r="B143" s="6">
        <v>7</v>
      </c>
      <c r="C143" s="8">
        <v>259</v>
      </c>
      <c r="D143" s="8">
        <v>49197189</v>
      </c>
      <c r="E143" s="8">
        <v>0</v>
      </c>
      <c r="F143" s="8">
        <v>0</v>
      </c>
      <c r="G143" s="8">
        <v>0</v>
      </c>
      <c r="H143" s="8">
        <v>0</v>
      </c>
      <c r="I143" s="8">
        <v>259</v>
      </c>
      <c r="J143" s="8">
        <v>49197189</v>
      </c>
    </row>
    <row r="144" spans="1:10" x14ac:dyDescent="0.2">
      <c r="A144" s="6" t="s">
        <v>152</v>
      </c>
      <c r="B144" s="6">
        <v>7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</row>
    <row r="145" spans="1:10" x14ac:dyDescent="0.2">
      <c r="A145" s="6" t="s">
        <v>153</v>
      </c>
      <c r="B145" s="6">
        <v>7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</row>
    <row r="146" spans="1:10" x14ac:dyDescent="0.2">
      <c r="A146" s="6" t="s">
        <v>154</v>
      </c>
      <c r="B146" s="6">
        <v>7</v>
      </c>
      <c r="C146" s="8">
        <v>0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</row>
    <row r="147" spans="1:10" x14ac:dyDescent="0.2">
      <c r="A147" s="6" t="s">
        <v>155</v>
      </c>
      <c r="B147" s="6">
        <v>7</v>
      </c>
      <c r="C147" s="8">
        <v>224</v>
      </c>
      <c r="D147" s="8">
        <v>64951888</v>
      </c>
      <c r="E147" s="8">
        <v>0</v>
      </c>
      <c r="F147" s="8">
        <v>0</v>
      </c>
      <c r="G147" s="8">
        <v>0</v>
      </c>
      <c r="H147" s="8">
        <v>0</v>
      </c>
      <c r="I147" s="8">
        <v>224</v>
      </c>
      <c r="J147" s="8">
        <v>64951888</v>
      </c>
    </row>
    <row r="148" spans="1:10" x14ac:dyDescent="0.2">
      <c r="A148" s="6" t="s">
        <v>156</v>
      </c>
      <c r="B148" s="6">
        <v>7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</row>
    <row r="149" spans="1:10" x14ac:dyDescent="0.2">
      <c r="A149" s="6" t="s">
        <v>157</v>
      </c>
      <c r="B149" s="6">
        <v>7</v>
      </c>
      <c r="C149" s="8">
        <v>0</v>
      </c>
      <c r="D149" s="8">
        <v>0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</row>
    <row r="150" spans="1:10" x14ac:dyDescent="0.2">
      <c r="A150" s="6" t="s">
        <v>158</v>
      </c>
      <c r="B150" s="6">
        <v>7</v>
      </c>
      <c r="C150" s="8">
        <v>133</v>
      </c>
      <c r="D150" s="8">
        <v>28422312</v>
      </c>
      <c r="E150" s="8">
        <v>0</v>
      </c>
      <c r="F150" s="8">
        <v>0</v>
      </c>
      <c r="G150" s="8">
        <v>0</v>
      </c>
      <c r="H150" s="8">
        <v>0</v>
      </c>
      <c r="I150" s="8">
        <v>133</v>
      </c>
      <c r="J150" s="8">
        <v>28422312</v>
      </c>
    </row>
    <row r="151" spans="1:10" x14ac:dyDescent="0.2">
      <c r="A151" s="6" t="s">
        <v>159</v>
      </c>
      <c r="B151" s="6">
        <v>7</v>
      </c>
      <c r="C151" s="8">
        <v>81</v>
      </c>
      <c r="D151" s="8">
        <v>17829621</v>
      </c>
      <c r="E151" s="8">
        <v>0</v>
      </c>
      <c r="F151" s="8">
        <v>0</v>
      </c>
      <c r="G151" s="8">
        <v>0</v>
      </c>
      <c r="H151" s="8">
        <v>0</v>
      </c>
      <c r="I151" s="8">
        <v>81</v>
      </c>
      <c r="J151" s="8">
        <v>17829621</v>
      </c>
    </row>
    <row r="152" spans="1:10" x14ac:dyDescent="0.2">
      <c r="A152" s="6" t="s">
        <v>160</v>
      </c>
      <c r="B152" s="6">
        <v>7</v>
      </c>
      <c r="C152" s="8">
        <v>51</v>
      </c>
      <c r="D152" s="8">
        <v>13482180</v>
      </c>
      <c r="E152" s="8">
        <v>0</v>
      </c>
      <c r="F152" s="8">
        <v>0</v>
      </c>
      <c r="G152" s="8">
        <v>0</v>
      </c>
      <c r="H152" s="8">
        <v>0</v>
      </c>
      <c r="I152" s="8">
        <v>51</v>
      </c>
      <c r="J152" s="8">
        <v>13482180</v>
      </c>
    </row>
    <row r="153" spans="1:10" x14ac:dyDescent="0.2">
      <c r="A153" s="6" t="s">
        <v>161</v>
      </c>
      <c r="B153" s="6">
        <v>7</v>
      </c>
      <c r="C153" s="8">
        <v>40</v>
      </c>
      <c r="D153" s="8">
        <v>9285800</v>
      </c>
      <c r="E153" s="8">
        <v>0</v>
      </c>
      <c r="F153" s="8">
        <v>0</v>
      </c>
      <c r="G153" s="8">
        <v>0</v>
      </c>
      <c r="H153" s="8">
        <v>0</v>
      </c>
      <c r="I153" s="8">
        <v>40</v>
      </c>
      <c r="J153" s="8">
        <v>9285800</v>
      </c>
    </row>
    <row r="154" spans="1:10" x14ac:dyDescent="0.2">
      <c r="A154" s="6" t="s">
        <v>162</v>
      </c>
      <c r="B154" s="6">
        <v>7</v>
      </c>
      <c r="C154" s="8">
        <v>1021</v>
      </c>
      <c r="D154" s="8">
        <v>322728911</v>
      </c>
      <c r="E154" s="8">
        <v>0</v>
      </c>
      <c r="F154" s="8">
        <v>0</v>
      </c>
      <c r="G154" s="8">
        <v>0</v>
      </c>
      <c r="H154" s="8">
        <v>0</v>
      </c>
      <c r="I154" s="8">
        <v>1021</v>
      </c>
      <c r="J154" s="8">
        <v>322728911</v>
      </c>
    </row>
    <row r="155" spans="1:10" x14ac:dyDescent="0.2">
      <c r="A155" s="6" t="s">
        <v>163</v>
      </c>
      <c r="B155" s="6">
        <v>7</v>
      </c>
      <c r="C155" s="8">
        <v>494</v>
      </c>
      <c r="D155" s="8">
        <v>156148954</v>
      </c>
      <c r="E155" s="8">
        <v>253</v>
      </c>
      <c r="F155" s="8">
        <v>79971023</v>
      </c>
      <c r="G155" s="8">
        <v>0</v>
      </c>
      <c r="H155" s="8">
        <v>0</v>
      </c>
      <c r="I155" s="8">
        <v>747</v>
      </c>
      <c r="J155" s="8">
        <v>236119977</v>
      </c>
    </row>
    <row r="156" spans="1:10" x14ac:dyDescent="0.2">
      <c r="A156" s="6" t="s">
        <v>164</v>
      </c>
      <c r="B156" s="6">
        <v>7</v>
      </c>
      <c r="C156" s="8">
        <v>77</v>
      </c>
      <c r="D156" s="8">
        <v>11101646</v>
      </c>
      <c r="E156" s="8">
        <v>0</v>
      </c>
      <c r="F156" s="8">
        <v>0</v>
      </c>
      <c r="G156" s="8">
        <v>0</v>
      </c>
      <c r="H156" s="8">
        <v>0</v>
      </c>
      <c r="I156" s="8">
        <v>77</v>
      </c>
      <c r="J156" s="8">
        <v>11101646</v>
      </c>
    </row>
    <row r="157" spans="1:10" x14ac:dyDescent="0.2">
      <c r="A157" s="6" t="s">
        <v>165</v>
      </c>
      <c r="B157" s="6">
        <v>7</v>
      </c>
      <c r="C157" s="8">
        <v>190</v>
      </c>
      <c r="D157" s="8">
        <v>28766325</v>
      </c>
      <c r="E157" s="8">
        <v>0</v>
      </c>
      <c r="F157" s="8">
        <v>0</v>
      </c>
      <c r="G157" s="8">
        <v>0</v>
      </c>
      <c r="H157" s="8">
        <v>0</v>
      </c>
      <c r="I157" s="8">
        <v>190</v>
      </c>
      <c r="J157" s="8">
        <v>28766325</v>
      </c>
    </row>
    <row r="158" spans="1:10" x14ac:dyDescent="0.2">
      <c r="A158" s="6" t="s">
        <v>166</v>
      </c>
      <c r="B158" s="6">
        <v>7</v>
      </c>
      <c r="C158" s="8">
        <v>0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</row>
    <row r="159" spans="1:10" x14ac:dyDescent="0.2">
      <c r="A159" s="6" t="s">
        <v>167</v>
      </c>
      <c r="B159" s="6">
        <v>7</v>
      </c>
      <c r="C159" s="8">
        <v>0</v>
      </c>
      <c r="D159" s="8">
        <v>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</row>
    <row r="160" spans="1:10" x14ac:dyDescent="0.2">
      <c r="A160" s="6" t="s">
        <v>168</v>
      </c>
      <c r="B160" s="6">
        <v>7</v>
      </c>
      <c r="C160" s="8">
        <v>846</v>
      </c>
      <c r="D160" s="8">
        <v>154307230</v>
      </c>
      <c r="E160" s="8">
        <v>150</v>
      </c>
      <c r="F160" s="8">
        <v>27360000</v>
      </c>
      <c r="G160" s="8">
        <v>0</v>
      </c>
      <c r="H160" s="8">
        <v>0</v>
      </c>
      <c r="I160" s="8">
        <v>996</v>
      </c>
      <c r="J160" s="8">
        <v>181667230</v>
      </c>
    </row>
    <row r="161" spans="1:10" x14ac:dyDescent="0.2">
      <c r="A161" s="6" t="s">
        <v>169</v>
      </c>
      <c r="B161" s="6">
        <v>7</v>
      </c>
      <c r="C161" s="8">
        <v>969</v>
      </c>
      <c r="D161" s="8">
        <v>171599110</v>
      </c>
      <c r="E161" s="8">
        <v>0</v>
      </c>
      <c r="F161" s="8">
        <v>0</v>
      </c>
      <c r="G161" s="8">
        <v>0</v>
      </c>
      <c r="H161" s="8">
        <v>0</v>
      </c>
      <c r="I161" s="8">
        <v>969</v>
      </c>
      <c r="J161" s="8">
        <v>171599110</v>
      </c>
    </row>
    <row r="162" spans="1:10" x14ac:dyDescent="0.2">
      <c r="A162" s="6" t="s">
        <v>170</v>
      </c>
      <c r="B162" s="6">
        <v>7</v>
      </c>
      <c r="C162" s="8">
        <v>369</v>
      </c>
      <c r="D162" s="8">
        <v>101340684</v>
      </c>
      <c r="E162" s="8">
        <v>0</v>
      </c>
      <c r="F162" s="8">
        <v>0</v>
      </c>
      <c r="G162" s="8">
        <v>0</v>
      </c>
      <c r="H162" s="8">
        <v>0</v>
      </c>
      <c r="I162" s="8">
        <v>369</v>
      </c>
      <c r="J162" s="8">
        <v>101340684</v>
      </c>
    </row>
    <row r="163" spans="1:10" x14ac:dyDescent="0.2">
      <c r="A163" s="6" t="s">
        <v>171</v>
      </c>
      <c r="B163" s="6">
        <v>7</v>
      </c>
      <c r="C163" s="8">
        <v>0</v>
      </c>
      <c r="D163" s="8">
        <v>0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</row>
    <row r="164" spans="1:10" x14ac:dyDescent="0.2">
      <c r="A164" s="6" t="s">
        <v>172</v>
      </c>
      <c r="B164" s="6">
        <v>7</v>
      </c>
      <c r="C164" s="8">
        <v>0</v>
      </c>
      <c r="D164" s="8">
        <v>0</v>
      </c>
      <c r="E164" s="8">
        <v>350</v>
      </c>
      <c r="F164" s="8">
        <v>65290750</v>
      </c>
      <c r="G164" s="8">
        <v>0</v>
      </c>
      <c r="H164" s="8">
        <v>0</v>
      </c>
      <c r="I164" s="8">
        <v>350</v>
      </c>
      <c r="J164" s="8">
        <v>65290750</v>
      </c>
    </row>
    <row r="165" spans="1:10" x14ac:dyDescent="0.2">
      <c r="A165" s="6" t="s">
        <v>173</v>
      </c>
      <c r="B165" s="6">
        <v>7</v>
      </c>
      <c r="C165" s="8">
        <v>0</v>
      </c>
      <c r="D165" s="8">
        <v>0</v>
      </c>
      <c r="E165" s="8">
        <v>302</v>
      </c>
      <c r="F165" s="8">
        <v>55963500</v>
      </c>
      <c r="G165" s="8">
        <v>0</v>
      </c>
      <c r="H165" s="8">
        <v>0</v>
      </c>
      <c r="I165" s="8">
        <v>302</v>
      </c>
      <c r="J165" s="8">
        <v>55963500</v>
      </c>
    </row>
    <row r="166" spans="1:10" x14ac:dyDescent="0.2">
      <c r="A166" s="6" t="s">
        <v>174</v>
      </c>
      <c r="B166" s="6">
        <v>7</v>
      </c>
      <c r="C166" s="8">
        <v>100</v>
      </c>
      <c r="D166" s="8">
        <v>27457840</v>
      </c>
      <c r="E166" s="8">
        <v>0</v>
      </c>
      <c r="F166" s="8">
        <v>0</v>
      </c>
      <c r="G166" s="8">
        <v>0</v>
      </c>
      <c r="H166" s="8">
        <v>0</v>
      </c>
      <c r="I166" s="8">
        <v>100</v>
      </c>
      <c r="J166" s="8">
        <v>27457840</v>
      </c>
    </row>
    <row r="167" spans="1:10" x14ac:dyDescent="0.2">
      <c r="A167" s="6" t="s">
        <v>175</v>
      </c>
      <c r="B167" s="6">
        <v>7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</row>
    <row r="168" spans="1:10" x14ac:dyDescent="0.2">
      <c r="A168" s="6" t="s">
        <v>176</v>
      </c>
      <c r="B168" s="6">
        <v>7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</row>
    <row r="169" spans="1:10" x14ac:dyDescent="0.2">
      <c r="A169" s="6" t="s">
        <v>177</v>
      </c>
      <c r="B169" s="6">
        <v>7</v>
      </c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</row>
    <row r="170" spans="1:10" x14ac:dyDescent="0.2">
      <c r="A170" s="6" t="s">
        <v>178</v>
      </c>
      <c r="B170" s="6">
        <v>7</v>
      </c>
      <c r="C170" s="8">
        <v>0</v>
      </c>
      <c r="D170" s="8">
        <v>0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</row>
    <row r="171" spans="1:10" x14ac:dyDescent="0.2">
      <c r="A171" s="6" t="s">
        <v>179</v>
      </c>
      <c r="B171" s="6">
        <v>7</v>
      </c>
      <c r="C171" s="8">
        <v>12110</v>
      </c>
      <c r="D171" s="8">
        <v>61298136</v>
      </c>
      <c r="E171" s="8">
        <v>13187</v>
      </c>
      <c r="F171" s="8">
        <v>66187200</v>
      </c>
      <c r="G171" s="8">
        <v>5604</v>
      </c>
      <c r="H171" s="8">
        <v>28241603</v>
      </c>
      <c r="I171" s="8">
        <v>19693</v>
      </c>
      <c r="J171" s="8">
        <v>99243733</v>
      </c>
    </row>
    <row r="172" spans="1:10" x14ac:dyDescent="0.2">
      <c r="A172" s="6" t="s">
        <v>180</v>
      </c>
      <c r="B172" s="6">
        <v>7</v>
      </c>
      <c r="C172" s="8">
        <v>0</v>
      </c>
      <c r="D172" s="8">
        <v>0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</row>
    <row r="173" spans="1:10" x14ac:dyDescent="0.2">
      <c r="A173" s="6" t="s">
        <v>181</v>
      </c>
      <c r="B173" s="6">
        <v>7</v>
      </c>
      <c r="C173" s="8">
        <v>117</v>
      </c>
      <c r="D173" s="8">
        <v>5896363</v>
      </c>
      <c r="E173" s="8">
        <v>225</v>
      </c>
      <c r="F173" s="8">
        <v>11562525</v>
      </c>
      <c r="G173" s="8">
        <v>60</v>
      </c>
      <c r="H173" s="8">
        <v>3062963</v>
      </c>
      <c r="I173" s="8">
        <v>282</v>
      </c>
      <c r="J173" s="8">
        <v>14395925</v>
      </c>
    </row>
    <row r="174" spans="1:10" x14ac:dyDescent="0.2">
      <c r="A174" s="6" t="s">
        <v>182</v>
      </c>
      <c r="B174" s="6">
        <v>7</v>
      </c>
      <c r="C174" s="8">
        <v>20</v>
      </c>
      <c r="D174" s="8">
        <v>1190400</v>
      </c>
      <c r="E174" s="8">
        <v>0</v>
      </c>
      <c r="F174" s="8">
        <v>0</v>
      </c>
      <c r="G174" s="8">
        <v>0</v>
      </c>
      <c r="H174" s="8">
        <v>0</v>
      </c>
      <c r="I174" s="8">
        <v>20</v>
      </c>
      <c r="J174" s="8">
        <v>1190400</v>
      </c>
    </row>
    <row r="175" spans="1:10" x14ac:dyDescent="0.2">
      <c r="A175" s="6" t="s">
        <v>183</v>
      </c>
      <c r="B175" s="6">
        <v>7</v>
      </c>
      <c r="C175" s="8">
        <v>3098</v>
      </c>
      <c r="D175" s="8">
        <v>168003883</v>
      </c>
      <c r="E175" s="8">
        <v>104</v>
      </c>
      <c r="F175" s="8">
        <v>5440000</v>
      </c>
      <c r="G175" s="8">
        <v>395</v>
      </c>
      <c r="H175" s="8">
        <v>21396107</v>
      </c>
      <c r="I175" s="8">
        <v>2807</v>
      </c>
      <c r="J175" s="8">
        <v>152047776</v>
      </c>
    </row>
    <row r="176" spans="1:10" x14ac:dyDescent="0.2">
      <c r="A176" s="6" t="s">
        <v>184</v>
      </c>
      <c r="B176" s="6">
        <v>7</v>
      </c>
      <c r="C176" s="8">
        <v>3121</v>
      </c>
      <c r="D176" s="8">
        <v>169857042</v>
      </c>
      <c r="E176" s="8">
        <v>156</v>
      </c>
      <c r="F176" s="8">
        <v>8160000</v>
      </c>
      <c r="G176" s="8">
        <v>425</v>
      </c>
      <c r="H176" s="8">
        <v>23087349</v>
      </c>
      <c r="I176" s="8">
        <v>2852</v>
      </c>
      <c r="J176" s="8">
        <v>154929693</v>
      </c>
    </row>
    <row r="177" spans="1:10" x14ac:dyDescent="0.2">
      <c r="A177" s="6" t="s">
        <v>185</v>
      </c>
      <c r="B177" s="6">
        <v>7</v>
      </c>
      <c r="C177" s="8">
        <v>0</v>
      </c>
      <c r="D177" s="8">
        <v>0</v>
      </c>
      <c r="E177" s="8">
        <v>100</v>
      </c>
      <c r="F177" s="8">
        <v>18414910</v>
      </c>
      <c r="G177" s="8">
        <v>100</v>
      </c>
      <c r="H177" s="8">
        <v>18414910</v>
      </c>
      <c r="I177" s="8">
        <v>0</v>
      </c>
      <c r="J177" s="8">
        <v>0</v>
      </c>
    </row>
    <row r="178" spans="1:10" x14ac:dyDescent="0.2">
      <c r="A178" s="6" t="s">
        <v>186</v>
      </c>
      <c r="B178" s="6">
        <v>7</v>
      </c>
      <c r="C178" s="8">
        <v>560</v>
      </c>
      <c r="D178" s="8">
        <v>24190198</v>
      </c>
      <c r="E178" s="8">
        <v>11340</v>
      </c>
      <c r="F178" s="8">
        <v>498895963</v>
      </c>
      <c r="G178" s="8">
        <v>11900</v>
      </c>
      <c r="H178" s="8">
        <v>523086161</v>
      </c>
      <c r="I178" s="8">
        <v>0</v>
      </c>
      <c r="J178" s="8">
        <v>0</v>
      </c>
    </row>
    <row r="179" spans="1:10" x14ac:dyDescent="0.2">
      <c r="A179" s="6" t="s">
        <v>187</v>
      </c>
      <c r="B179" s="6">
        <v>7</v>
      </c>
      <c r="C179" s="8">
        <v>0</v>
      </c>
      <c r="D179" s="8">
        <v>0</v>
      </c>
      <c r="E179" s="8">
        <v>1050</v>
      </c>
      <c r="F179" s="8">
        <v>37107000</v>
      </c>
      <c r="G179" s="8">
        <v>0</v>
      </c>
      <c r="H179" s="8">
        <v>0</v>
      </c>
      <c r="I179" s="8">
        <v>1050</v>
      </c>
      <c r="J179" s="8">
        <v>37107000</v>
      </c>
    </row>
    <row r="180" spans="1:10" x14ac:dyDescent="0.2">
      <c r="A180" s="6" t="s">
        <v>188</v>
      </c>
      <c r="B180" s="6">
        <v>7</v>
      </c>
      <c r="C180" s="8">
        <v>3052</v>
      </c>
      <c r="D180" s="8">
        <v>559952875</v>
      </c>
      <c r="E180" s="8">
        <v>3650</v>
      </c>
      <c r="F180" s="8">
        <v>653966700</v>
      </c>
      <c r="G180" s="8">
        <v>4780</v>
      </c>
      <c r="H180" s="8">
        <v>865791640</v>
      </c>
      <c r="I180" s="8">
        <v>1922</v>
      </c>
      <c r="J180" s="8">
        <v>348127935</v>
      </c>
    </row>
    <row r="181" spans="1:10" x14ac:dyDescent="0.2">
      <c r="A181" s="6" t="s">
        <v>189</v>
      </c>
      <c r="B181" s="6">
        <v>7</v>
      </c>
      <c r="C181" s="8">
        <v>0</v>
      </c>
      <c r="D181" s="8">
        <v>0</v>
      </c>
      <c r="E181" s="8">
        <v>100</v>
      </c>
      <c r="F181" s="8">
        <v>4337182</v>
      </c>
      <c r="G181" s="8">
        <v>0</v>
      </c>
      <c r="H181" s="8">
        <v>0</v>
      </c>
      <c r="I181" s="8">
        <v>100</v>
      </c>
      <c r="J181" s="8">
        <v>4337182</v>
      </c>
    </row>
    <row r="182" spans="1:10" x14ac:dyDescent="0.2">
      <c r="A182" s="6" t="s">
        <v>190</v>
      </c>
      <c r="B182" s="6">
        <v>7</v>
      </c>
      <c r="C182" s="8">
        <v>294</v>
      </c>
      <c r="D182" s="8">
        <v>8525744</v>
      </c>
      <c r="E182" s="8">
        <v>5250</v>
      </c>
      <c r="F182" s="8">
        <v>148428000</v>
      </c>
      <c r="G182" s="8">
        <v>4200</v>
      </c>
      <c r="H182" s="8">
        <v>118904352</v>
      </c>
      <c r="I182" s="8">
        <v>1344</v>
      </c>
      <c r="J182" s="8">
        <v>38049392</v>
      </c>
    </row>
    <row r="183" spans="1:10" x14ac:dyDescent="0.2">
      <c r="A183" s="6" t="s">
        <v>191</v>
      </c>
      <c r="B183" s="6">
        <v>7</v>
      </c>
      <c r="C183" s="8">
        <v>25322</v>
      </c>
      <c r="D183" s="8">
        <v>620266163</v>
      </c>
      <c r="E183" s="8">
        <v>53550</v>
      </c>
      <c r="F183" s="8">
        <v>1495412100</v>
      </c>
      <c r="G183" s="8">
        <v>59435</v>
      </c>
      <c r="H183" s="8">
        <v>1682294657</v>
      </c>
      <c r="I183" s="8">
        <v>19437</v>
      </c>
      <c r="J183" s="8">
        <v>433383606</v>
      </c>
    </row>
    <row r="184" spans="1:10" x14ac:dyDescent="0.2">
      <c r="A184" s="6" t="s">
        <v>192</v>
      </c>
      <c r="B184" s="6">
        <v>7</v>
      </c>
      <c r="C184" s="8">
        <v>0</v>
      </c>
      <c r="D184" s="8">
        <v>0</v>
      </c>
      <c r="E184" s="8">
        <v>6000</v>
      </c>
      <c r="F184" s="8">
        <v>42408000</v>
      </c>
      <c r="G184" s="8">
        <v>1500</v>
      </c>
      <c r="H184" s="8">
        <v>10602000</v>
      </c>
      <c r="I184" s="8">
        <v>4500</v>
      </c>
      <c r="J184" s="8">
        <v>31806000</v>
      </c>
    </row>
    <row r="185" spans="1:10" x14ac:dyDescent="0.2">
      <c r="A185" s="6" t="s">
        <v>193</v>
      </c>
      <c r="B185" s="6">
        <v>7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</row>
    <row r="186" spans="1:10" x14ac:dyDescent="0.2">
      <c r="A186" s="6" t="s">
        <v>194</v>
      </c>
      <c r="B186" s="6">
        <v>7</v>
      </c>
      <c r="C186" s="8">
        <v>194020</v>
      </c>
      <c r="D186" s="8">
        <v>1287696278</v>
      </c>
      <c r="E186" s="8">
        <v>231000</v>
      </c>
      <c r="F186" s="8">
        <v>1632708000</v>
      </c>
      <c r="G186" s="8">
        <v>225300</v>
      </c>
      <c r="H186" s="8">
        <v>1612129868</v>
      </c>
      <c r="I186" s="8">
        <v>199720</v>
      </c>
      <c r="J186" s="8">
        <v>1308274410</v>
      </c>
    </row>
    <row r="187" spans="1:10" x14ac:dyDescent="0.2">
      <c r="A187" s="6" t="s">
        <v>195</v>
      </c>
      <c r="B187" s="6">
        <v>7</v>
      </c>
      <c r="C187" s="8">
        <v>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</row>
    <row r="188" spans="1:10" x14ac:dyDescent="0.2">
      <c r="A188" s="6" t="s">
        <v>196</v>
      </c>
      <c r="B188" s="6">
        <v>7</v>
      </c>
      <c r="C188" s="8">
        <v>0</v>
      </c>
      <c r="D188" s="8">
        <v>0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</row>
    <row r="189" spans="1:10" x14ac:dyDescent="0.2">
      <c r="A189" s="6" t="s">
        <v>197</v>
      </c>
      <c r="B189" s="6">
        <v>7</v>
      </c>
      <c r="C189" s="8">
        <v>630</v>
      </c>
      <c r="D189" s="8">
        <v>4552645</v>
      </c>
      <c r="E189" s="8">
        <v>300</v>
      </c>
      <c r="F189" s="8">
        <v>2120400</v>
      </c>
      <c r="G189" s="8">
        <v>600</v>
      </c>
      <c r="H189" s="8">
        <v>4305190</v>
      </c>
      <c r="I189" s="8">
        <v>330</v>
      </c>
      <c r="J189" s="8">
        <v>2367855</v>
      </c>
    </row>
    <row r="190" spans="1:10" x14ac:dyDescent="0.2">
      <c r="A190" s="6" t="s">
        <v>198</v>
      </c>
      <c r="B190" s="6">
        <v>7</v>
      </c>
      <c r="C190" s="8">
        <v>0</v>
      </c>
      <c r="D190" s="8">
        <v>0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</row>
    <row r="191" spans="1:10" x14ac:dyDescent="0.2">
      <c r="A191" s="6" t="s">
        <v>199</v>
      </c>
      <c r="B191" s="6">
        <v>7</v>
      </c>
      <c r="C191" s="8">
        <v>77660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77660</v>
      </c>
      <c r="J191" s="8">
        <v>0</v>
      </c>
    </row>
    <row r="192" spans="1:10" x14ac:dyDescent="0.2">
      <c r="A192" s="6" t="s">
        <v>200</v>
      </c>
      <c r="B192" s="6">
        <v>7</v>
      </c>
      <c r="C192" s="8">
        <v>72</v>
      </c>
      <c r="D192" s="8">
        <v>504000</v>
      </c>
      <c r="E192" s="8">
        <v>0</v>
      </c>
      <c r="F192" s="8">
        <v>0</v>
      </c>
      <c r="G192" s="8">
        <v>0</v>
      </c>
      <c r="H192" s="8">
        <v>0</v>
      </c>
      <c r="I192" s="8">
        <v>72</v>
      </c>
      <c r="J192" s="8">
        <v>504000</v>
      </c>
    </row>
    <row r="193" spans="1:10" x14ac:dyDescent="0.2">
      <c r="A193" s="6" t="s">
        <v>201</v>
      </c>
      <c r="B193" s="6">
        <v>7</v>
      </c>
      <c r="C193" s="8">
        <v>1560</v>
      </c>
      <c r="D193" s="8">
        <v>23446139</v>
      </c>
      <c r="E193" s="8">
        <v>240</v>
      </c>
      <c r="F193" s="8">
        <v>3853560</v>
      </c>
      <c r="G193" s="8">
        <v>0</v>
      </c>
      <c r="H193" s="8">
        <v>0</v>
      </c>
      <c r="I193" s="8">
        <v>1800</v>
      </c>
      <c r="J193" s="8">
        <v>27299699</v>
      </c>
    </row>
    <row r="194" spans="1:10" x14ac:dyDescent="0.2">
      <c r="A194" s="6" t="s">
        <v>202</v>
      </c>
      <c r="B194" s="6">
        <v>7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</row>
    <row r="195" spans="1:10" x14ac:dyDescent="0.2">
      <c r="A195" s="6" t="s">
        <v>203</v>
      </c>
      <c r="B195" s="6">
        <v>7</v>
      </c>
      <c r="C195" s="8">
        <v>5894</v>
      </c>
      <c r="D195" s="8">
        <v>69177878</v>
      </c>
      <c r="E195" s="8">
        <v>338</v>
      </c>
      <c r="F195" s="8">
        <v>0</v>
      </c>
      <c r="G195" s="8">
        <v>0</v>
      </c>
      <c r="H195" s="8">
        <v>0</v>
      </c>
      <c r="I195" s="8">
        <v>6232</v>
      </c>
      <c r="J195" s="8">
        <v>69177878</v>
      </c>
    </row>
    <row r="196" spans="1:10" x14ac:dyDescent="0.2">
      <c r="A196" s="6" t="s">
        <v>204</v>
      </c>
      <c r="B196" s="6">
        <v>7</v>
      </c>
      <c r="C196" s="8">
        <v>6159</v>
      </c>
      <c r="D196" s="8">
        <v>165632522</v>
      </c>
      <c r="E196" s="8">
        <v>144</v>
      </c>
      <c r="F196" s="8">
        <v>0</v>
      </c>
      <c r="G196" s="8">
        <v>2890</v>
      </c>
      <c r="H196" s="8">
        <v>75944469</v>
      </c>
      <c r="I196" s="8">
        <v>3413</v>
      </c>
      <c r="J196" s="8">
        <v>89688053</v>
      </c>
    </row>
    <row r="197" spans="1:10" x14ac:dyDescent="0.2">
      <c r="A197" s="6" t="s">
        <v>205</v>
      </c>
      <c r="B197" s="6">
        <v>7</v>
      </c>
      <c r="C197" s="8">
        <v>1340</v>
      </c>
      <c r="D197" s="8">
        <v>80499759</v>
      </c>
      <c r="E197" s="8">
        <v>2400</v>
      </c>
      <c r="F197" s="8">
        <v>161097600</v>
      </c>
      <c r="G197" s="8">
        <v>760</v>
      </c>
      <c r="H197" s="8">
        <v>49094650</v>
      </c>
      <c r="I197" s="8">
        <v>2980</v>
      </c>
      <c r="J197" s="8">
        <v>192502709</v>
      </c>
    </row>
    <row r="198" spans="1:10" x14ac:dyDescent="0.2">
      <c r="A198" s="6" t="s">
        <v>206</v>
      </c>
      <c r="B198" s="6">
        <v>7</v>
      </c>
      <c r="C198" s="8">
        <v>954</v>
      </c>
      <c r="D198" s="8">
        <v>29897100</v>
      </c>
      <c r="E198" s="8">
        <v>144</v>
      </c>
      <c r="F198" s="8">
        <v>4732358</v>
      </c>
      <c r="G198" s="8">
        <v>0</v>
      </c>
      <c r="H198" s="8">
        <v>0</v>
      </c>
      <c r="I198" s="8">
        <v>1098</v>
      </c>
      <c r="J198" s="8">
        <v>34629458</v>
      </c>
    </row>
    <row r="199" spans="1:10" x14ac:dyDescent="0.2">
      <c r="A199" s="6" t="s">
        <v>207</v>
      </c>
      <c r="B199" s="6">
        <v>7</v>
      </c>
      <c r="C199" s="8">
        <v>1080</v>
      </c>
      <c r="D199" s="8">
        <v>4609440</v>
      </c>
      <c r="E199" s="8">
        <v>576</v>
      </c>
      <c r="F199" s="8">
        <v>0</v>
      </c>
      <c r="G199" s="8">
        <v>0</v>
      </c>
      <c r="H199" s="8">
        <v>0</v>
      </c>
      <c r="I199" s="8">
        <v>1656</v>
      </c>
      <c r="J199" s="8">
        <v>4609440</v>
      </c>
    </row>
    <row r="200" spans="1:10" x14ac:dyDescent="0.2">
      <c r="A200" s="6" t="s">
        <v>208</v>
      </c>
      <c r="B200" s="6">
        <v>7</v>
      </c>
      <c r="C200" s="8">
        <v>2093</v>
      </c>
      <c r="D200" s="8">
        <v>17350105</v>
      </c>
      <c r="E200" s="8">
        <v>0</v>
      </c>
      <c r="F200" s="8">
        <v>0</v>
      </c>
      <c r="G200" s="8">
        <v>2080</v>
      </c>
      <c r="H200" s="8">
        <v>17242340</v>
      </c>
      <c r="I200" s="8">
        <v>13</v>
      </c>
      <c r="J200" s="8">
        <v>107765</v>
      </c>
    </row>
    <row r="201" spans="1:10" x14ac:dyDescent="0.2">
      <c r="A201" s="6" t="s">
        <v>209</v>
      </c>
      <c r="B201" s="6">
        <v>7</v>
      </c>
      <c r="C201" s="8">
        <v>12</v>
      </c>
      <c r="D201" s="8">
        <v>700920</v>
      </c>
      <c r="E201" s="8">
        <v>0</v>
      </c>
      <c r="F201" s="8">
        <v>0</v>
      </c>
      <c r="G201" s="8">
        <v>0</v>
      </c>
      <c r="H201" s="8">
        <v>0</v>
      </c>
      <c r="I201" s="8">
        <v>12</v>
      </c>
      <c r="J201" s="8">
        <v>700920</v>
      </c>
    </row>
    <row r="202" spans="1:10" x14ac:dyDescent="0.2">
      <c r="A202" s="6" t="s">
        <v>210</v>
      </c>
      <c r="B202" s="6">
        <v>7</v>
      </c>
      <c r="C202" s="8">
        <v>625</v>
      </c>
      <c r="D202" s="8">
        <v>6930861</v>
      </c>
      <c r="E202" s="8">
        <v>0</v>
      </c>
      <c r="F202" s="8">
        <v>0</v>
      </c>
      <c r="G202" s="8">
        <v>0</v>
      </c>
      <c r="H202" s="8">
        <v>0</v>
      </c>
      <c r="I202" s="8">
        <v>625</v>
      </c>
      <c r="J202" s="8">
        <v>6930861</v>
      </c>
    </row>
    <row r="203" spans="1:10" x14ac:dyDescent="0.2">
      <c r="A203" s="6" t="s">
        <v>211</v>
      </c>
      <c r="B203" s="6">
        <v>7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</row>
    <row r="204" spans="1:10" x14ac:dyDescent="0.2">
      <c r="A204" s="6" t="s">
        <v>212</v>
      </c>
      <c r="B204" s="6">
        <v>7</v>
      </c>
      <c r="C204" s="8">
        <v>7333</v>
      </c>
      <c r="D204" s="8">
        <v>79420996</v>
      </c>
      <c r="E204" s="8">
        <v>3960</v>
      </c>
      <c r="F204" s="8">
        <v>49167360</v>
      </c>
      <c r="G204" s="8">
        <v>9860</v>
      </c>
      <c r="H204" s="8">
        <v>112271424</v>
      </c>
      <c r="I204" s="8">
        <v>1433</v>
      </c>
      <c r="J204" s="8">
        <v>16316932</v>
      </c>
    </row>
    <row r="205" spans="1:10" x14ac:dyDescent="0.2">
      <c r="A205" s="6" t="s">
        <v>213</v>
      </c>
      <c r="B205" s="6">
        <v>7</v>
      </c>
      <c r="C205" s="8">
        <v>4020</v>
      </c>
      <c r="D205" s="8">
        <v>85396860</v>
      </c>
      <c r="E205" s="8">
        <v>6120</v>
      </c>
      <c r="F205" s="8">
        <v>130007160</v>
      </c>
      <c r="G205" s="8">
        <v>0</v>
      </c>
      <c r="H205" s="8">
        <v>0</v>
      </c>
      <c r="I205" s="8">
        <v>10140</v>
      </c>
      <c r="J205" s="8">
        <v>215404020</v>
      </c>
    </row>
    <row r="206" spans="1:10" x14ac:dyDescent="0.2">
      <c r="A206" s="6" t="s">
        <v>214</v>
      </c>
      <c r="B206" s="6">
        <v>7</v>
      </c>
      <c r="C206" s="8">
        <v>12237</v>
      </c>
      <c r="D206" s="8">
        <v>271337922</v>
      </c>
      <c r="E206" s="8">
        <v>7560</v>
      </c>
      <c r="F206" s="8">
        <v>186263280</v>
      </c>
      <c r="G206" s="8">
        <v>5160</v>
      </c>
      <c r="H206" s="8">
        <v>119271718</v>
      </c>
      <c r="I206" s="8">
        <v>14637</v>
      </c>
      <c r="J206" s="8">
        <v>338329484</v>
      </c>
    </row>
    <row r="207" spans="1:10" x14ac:dyDescent="0.2">
      <c r="A207" s="6" t="s">
        <v>215</v>
      </c>
      <c r="B207" s="6">
        <v>7</v>
      </c>
      <c r="C207" s="8">
        <v>7120</v>
      </c>
      <c r="D207" s="8">
        <v>303881600</v>
      </c>
      <c r="E207" s="8">
        <v>480</v>
      </c>
      <c r="F207" s="8">
        <v>0</v>
      </c>
      <c r="G207" s="8">
        <v>0</v>
      </c>
      <c r="H207" s="8">
        <v>0</v>
      </c>
      <c r="I207" s="8">
        <v>7600</v>
      </c>
      <c r="J207" s="8">
        <v>303881600</v>
      </c>
    </row>
    <row r="208" spans="1:10" x14ac:dyDescent="0.2">
      <c r="A208" s="6" t="s">
        <v>216</v>
      </c>
      <c r="B208" s="6">
        <v>7</v>
      </c>
      <c r="C208" s="8">
        <v>0</v>
      </c>
      <c r="D208" s="8">
        <v>0</v>
      </c>
      <c r="E208" s="8">
        <v>144</v>
      </c>
      <c r="F208" s="8">
        <v>2500272</v>
      </c>
      <c r="G208" s="8">
        <v>0</v>
      </c>
      <c r="H208" s="8">
        <v>0</v>
      </c>
      <c r="I208" s="8">
        <v>144</v>
      </c>
      <c r="J208" s="8">
        <v>2500272</v>
      </c>
    </row>
    <row r="209" spans="1:10" x14ac:dyDescent="0.2">
      <c r="A209" s="6" t="s">
        <v>217</v>
      </c>
      <c r="B209" s="6">
        <v>7</v>
      </c>
      <c r="C209" s="8">
        <v>10</v>
      </c>
      <c r="D209" s="8">
        <v>1775003</v>
      </c>
      <c r="E209" s="8">
        <v>0</v>
      </c>
      <c r="F209" s="8">
        <v>0</v>
      </c>
      <c r="G209" s="8">
        <v>0</v>
      </c>
      <c r="H209" s="8">
        <v>0</v>
      </c>
      <c r="I209" s="8">
        <v>10</v>
      </c>
      <c r="J209" s="8">
        <v>1775003</v>
      </c>
    </row>
    <row r="210" spans="1:10" x14ac:dyDescent="0.2">
      <c r="A210" s="6" t="s">
        <v>218</v>
      </c>
      <c r="B210" s="6">
        <v>7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</row>
    <row r="211" spans="1:10" x14ac:dyDescent="0.2">
      <c r="A211" s="6" t="s">
        <v>219</v>
      </c>
      <c r="B211" s="6">
        <v>7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</row>
    <row r="212" spans="1:10" x14ac:dyDescent="0.2">
      <c r="A212" s="6" t="s">
        <v>220</v>
      </c>
      <c r="B212" s="6">
        <v>7</v>
      </c>
      <c r="C212" s="8">
        <v>0</v>
      </c>
      <c r="D212" s="8">
        <v>0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</row>
    <row r="213" spans="1:10" x14ac:dyDescent="0.2">
      <c r="A213" s="6" t="s">
        <v>221</v>
      </c>
      <c r="B213" s="6">
        <v>7</v>
      </c>
      <c r="C213" s="8">
        <v>6714</v>
      </c>
      <c r="D213" s="8">
        <v>130584807</v>
      </c>
      <c r="E213" s="8">
        <v>0</v>
      </c>
      <c r="F213" s="8">
        <v>0</v>
      </c>
      <c r="G213" s="8">
        <v>4200</v>
      </c>
      <c r="H213" s="8">
        <v>81688440</v>
      </c>
      <c r="I213" s="8">
        <v>2514</v>
      </c>
      <c r="J213" s="8">
        <v>48896367</v>
      </c>
    </row>
    <row r="214" spans="1:10" x14ac:dyDescent="0.2">
      <c r="A214" s="6" t="s">
        <v>222</v>
      </c>
      <c r="B214" s="6">
        <v>7</v>
      </c>
      <c r="C214" s="8">
        <v>5621</v>
      </c>
      <c r="D214" s="8">
        <v>131441378</v>
      </c>
      <c r="E214" s="8">
        <v>504</v>
      </c>
      <c r="F214" s="8">
        <v>0</v>
      </c>
      <c r="G214" s="8">
        <v>289</v>
      </c>
      <c r="H214" s="8">
        <v>6201887</v>
      </c>
      <c r="I214" s="8">
        <v>5836</v>
      </c>
      <c r="J214" s="8">
        <v>125239491</v>
      </c>
    </row>
    <row r="215" spans="1:10" x14ac:dyDescent="0.2">
      <c r="A215" s="6" t="s">
        <v>223</v>
      </c>
      <c r="B215" s="6">
        <v>7</v>
      </c>
      <c r="C215" s="8">
        <v>1009</v>
      </c>
      <c r="D215" s="8">
        <v>43637152</v>
      </c>
      <c r="E215" s="8">
        <v>0</v>
      </c>
      <c r="F215" s="8">
        <v>0</v>
      </c>
      <c r="G215" s="8">
        <v>0</v>
      </c>
      <c r="H215" s="8">
        <v>0</v>
      </c>
      <c r="I215" s="8">
        <v>1009</v>
      </c>
      <c r="J215" s="8">
        <v>43637152</v>
      </c>
    </row>
    <row r="216" spans="1:10" x14ac:dyDescent="0.2">
      <c r="A216" s="6" t="s">
        <v>224</v>
      </c>
      <c r="B216" s="6">
        <v>7</v>
      </c>
      <c r="C216" s="8">
        <v>336</v>
      </c>
      <c r="D216" s="8">
        <v>6713952</v>
      </c>
      <c r="E216" s="8">
        <v>0</v>
      </c>
      <c r="F216" s="8">
        <v>0</v>
      </c>
      <c r="G216" s="8">
        <v>0</v>
      </c>
      <c r="H216" s="8">
        <v>0</v>
      </c>
      <c r="I216" s="8">
        <v>336</v>
      </c>
      <c r="J216" s="8">
        <v>6713952</v>
      </c>
    </row>
    <row r="217" spans="1:10" x14ac:dyDescent="0.2">
      <c r="A217" s="6" t="s">
        <v>225</v>
      </c>
      <c r="B217" s="6">
        <v>7</v>
      </c>
      <c r="C217" s="8">
        <v>0</v>
      </c>
      <c r="D217" s="8">
        <v>0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</row>
    <row r="218" spans="1:10" x14ac:dyDescent="0.2">
      <c r="A218" s="6" t="s">
        <v>226</v>
      </c>
      <c r="B218" s="6">
        <v>7</v>
      </c>
      <c r="C218" s="8">
        <v>360</v>
      </c>
      <c r="D218" s="8">
        <v>7553196</v>
      </c>
      <c r="E218" s="8">
        <v>0</v>
      </c>
      <c r="F218" s="8">
        <v>0</v>
      </c>
      <c r="G218" s="8">
        <v>0</v>
      </c>
      <c r="H218" s="8">
        <v>0</v>
      </c>
      <c r="I218" s="8">
        <v>360</v>
      </c>
      <c r="J218" s="8">
        <v>7553196</v>
      </c>
    </row>
    <row r="219" spans="1:10" x14ac:dyDescent="0.2">
      <c r="A219" s="6" t="s">
        <v>227</v>
      </c>
      <c r="B219" s="6">
        <v>7</v>
      </c>
      <c r="C219" s="8">
        <v>491</v>
      </c>
      <c r="D219" s="8">
        <v>0</v>
      </c>
      <c r="E219" s="8">
        <v>0</v>
      </c>
      <c r="F219" s="8">
        <v>0</v>
      </c>
      <c r="G219" s="8">
        <v>1</v>
      </c>
      <c r="H219" s="8">
        <v>0</v>
      </c>
      <c r="I219" s="8">
        <v>490</v>
      </c>
      <c r="J219" s="8">
        <v>0</v>
      </c>
    </row>
    <row r="220" spans="1:10" x14ac:dyDescent="0.2">
      <c r="A220" s="6" t="s">
        <v>228</v>
      </c>
      <c r="B220" s="6">
        <v>7</v>
      </c>
      <c r="C220" s="8">
        <v>1231</v>
      </c>
      <c r="D220" s="8">
        <v>109046036</v>
      </c>
      <c r="E220" s="8">
        <v>80</v>
      </c>
      <c r="F220" s="8">
        <v>7024640</v>
      </c>
      <c r="G220" s="8">
        <v>0</v>
      </c>
      <c r="H220" s="8">
        <v>0</v>
      </c>
      <c r="I220" s="8">
        <v>1311</v>
      </c>
      <c r="J220" s="8">
        <v>116070676</v>
      </c>
    </row>
    <row r="221" spans="1:10" x14ac:dyDescent="0.2">
      <c r="A221" s="6" t="s">
        <v>229</v>
      </c>
      <c r="B221" s="6">
        <v>7</v>
      </c>
      <c r="C221" s="8">
        <v>2004</v>
      </c>
      <c r="D221" s="8">
        <v>182500692</v>
      </c>
      <c r="E221" s="8">
        <v>290</v>
      </c>
      <c r="F221" s="8">
        <v>26150320</v>
      </c>
      <c r="G221" s="8">
        <v>119</v>
      </c>
      <c r="H221" s="8">
        <v>10823658</v>
      </c>
      <c r="I221" s="8">
        <v>2175</v>
      </c>
      <c r="J221" s="8">
        <v>197827354</v>
      </c>
    </row>
    <row r="222" spans="1:10" x14ac:dyDescent="0.2">
      <c r="A222" s="6" t="s">
        <v>230</v>
      </c>
      <c r="B222" s="6">
        <v>7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</row>
    <row r="223" spans="1:10" x14ac:dyDescent="0.2">
      <c r="A223" s="6" t="s">
        <v>231</v>
      </c>
      <c r="B223" s="6">
        <v>7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</row>
    <row r="224" spans="1:10" x14ac:dyDescent="0.2">
      <c r="A224" s="6" t="s">
        <v>232</v>
      </c>
      <c r="B224" s="6">
        <v>7</v>
      </c>
      <c r="C224" s="8">
        <v>1191</v>
      </c>
      <c r="D224" s="8">
        <v>74209746</v>
      </c>
      <c r="E224" s="8">
        <v>653</v>
      </c>
      <c r="F224" s="8">
        <v>40651968</v>
      </c>
      <c r="G224" s="8">
        <v>428</v>
      </c>
      <c r="H224" s="8">
        <v>26659877</v>
      </c>
      <c r="I224" s="8">
        <v>1416</v>
      </c>
      <c r="J224" s="8">
        <v>88201837</v>
      </c>
    </row>
    <row r="225" spans="1:10" x14ac:dyDescent="0.2">
      <c r="A225" s="6" t="s">
        <v>233</v>
      </c>
      <c r="B225" s="6">
        <v>7</v>
      </c>
      <c r="C225" s="8">
        <v>2560</v>
      </c>
      <c r="D225" s="8">
        <v>157208745</v>
      </c>
      <c r="E225" s="8">
        <v>2151</v>
      </c>
      <c r="F225" s="8">
        <v>125440000</v>
      </c>
      <c r="G225" s="8">
        <v>3026</v>
      </c>
      <c r="H225" s="8">
        <v>181552771</v>
      </c>
      <c r="I225" s="8">
        <v>1685</v>
      </c>
      <c r="J225" s="8">
        <v>101095974</v>
      </c>
    </row>
    <row r="226" spans="1:10" x14ac:dyDescent="0.2">
      <c r="A226" s="6" t="s">
        <v>234</v>
      </c>
      <c r="B226" s="6">
        <v>7</v>
      </c>
      <c r="C226" s="8">
        <v>15338</v>
      </c>
      <c r="D226" s="8">
        <v>886442864</v>
      </c>
      <c r="E226" s="8">
        <v>10430</v>
      </c>
      <c r="F226" s="8">
        <v>577900806</v>
      </c>
      <c r="G226" s="8">
        <v>15088</v>
      </c>
      <c r="H226" s="8">
        <v>857420727</v>
      </c>
      <c r="I226" s="8">
        <v>10680</v>
      </c>
      <c r="J226" s="8">
        <v>606922943</v>
      </c>
    </row>
    <row r="227" spans="1:10" x14ac:dyDescent="0.2">
      <c r="A227" s="6" t="s">
        <v>235</v>
      </c>
      <c r="B227" s="6">
        <v>7</v>
      </c>
      <c r="C227" s="8">
        <v>478</v>
      </c>
      <c r="D227" s="8">
        <v>33124454</v>
      </c>
      <c r="E227" s="8">
        <v>184</v>
      </c>
      <c r="F227" s="8">
        <v>12983040</v>
      </c>
      <c r="G227" s="8">
        <v>448</v>
      </c>
      <c r="H227" s="8">
        <v>31202655</v>
      </c>
      <c r="I227" s="8">
        <v>214</v>
      </c>
      <c r="J227" s="8">
        <v>14904839</v>
      </c>
    </row>
    <row r="228" spans="1:10" x14ac:dyDescent="0.2">
      <c r="A228" s="6" t="s">
        <v>236</v>
      </c>
      <c r="B228" s="6">
        <v>7</v>
      </c>
      <c r="C228" s="8">
        <v>0</v>
      </c>
      <c r="D228" s="8">
        <v>0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</row>
    <row r="229" spans="1:10" x14ac:dyDescent="0.2">
      <c r="A229" s="6" t="s">
        <v>237</v>
      </c>
      <c r="B229" s="6">
        <v>7</v>
      </c>
      <c r="C229" s="8">
        <v>257</v>
      </c>
      <c r="D229" s="8">
        <v>2097921</v>
      </c>
      <c r="E229" s="8">
        <v>0</v>
      </c>
      <c r="F229" s="8">
        <v>0</v>
      </c>
      <c r="G229" s="8">
        <v>0</v>
      </c>
      <c r="H229" s="8">
        <v>0</v>
      </c>
      <c r="I229" s="8">
        <v>257</v>
      </c>
      <c r="J229" s="8">
        <v>2097921</v>
      </c>
    </row>
    <row r="230" spans="1:10" x14ac:dyDescent="0.2">
      <c r="A230" s="6" t="s">
        <v>238</v>
      </c>
      <c r="B230" s="6">
        <v>7</v>
      </c>
      <c r="C230" s="8">
        <v>921</v>
      </c>
      <c r="D230" s="8">
        <v>52855227</v>
      </c>
      <c r="E230" s="8">
        <v>331</v>
      </c>
      <c r="F230" s="8">
        <v>18864994</v>
      </c>
      <c r="G230" s="8">
        <v>184</v>
      </c>
      <c r="H230" s="8">
        <v>10540352</v>
      </c>
      <c r="I230" s="8">
        <v>1068</v>
      </c>
      <c r="J230" s="8">
        <v>61179869</v>
      </c>
    </row>
    <row r="231" spans="1:10" x14ac:dyDescent="0.2">
      <c r="A231" s="6" t="s">
        <v>239</v>
      </c>
      <c r="B231" s="6">
        <v>7</v>
      </c>
      <c r="C231" s="8">
        <v>0</v>
      </c>
      <c r="D231" s="8">
        <v>0</v>
      </c>
      <c r="E231" s="8">
        <v>64</v>
      </c>
      <c r="F231" s="8">
        <v>7616000</v>
      </c>
      <c r="G231" s="8">
        <v>64</v>
      </c>
      <c r="H231" s="8">
        <v>7616000</v>
      </c>
      <c r="I231" s="8">
        <v>0</v>
      </c>
      <c r="J231" s="8">
        <v>0</v>
      </c>
    </row>
    <row r="232" spans="1:10" x14ac:dyDescent="0.2">
      <c r="A232" s="6" t="s">
        <v>240</v>
      </c>
      <c r="B232" s="6">
        <v>7</v>
      </c>
      <c r="C232" s="8">
        <v>2133</v>
      </c>
      <c r="D232" s="8">
        <v>200016507</v>
      </c>
      <c r="E232" s="8">
        <v>2450</v>
      </c>
      <c r="F232" s="8">
        <v>229055400</v>
      </c>
      <c r="G232" s="8">
        <v>2548</v>
      </c>
      <c r="H232" s="8">
        <v>238550124</v>
      </c>
      <c r="I232" s="8">
        <v>2035</v>
      </c>
      <c r="J232" s="8">
        <v>190521783</v>
      </c>
    </row>
    <row r="233" spans="1:10" x14ac:dyDescent="0.2">
      <c r="A233" s="6" t="s">
        <v>241</v>
      </c>
      <c r="B233" s="6">
        <v>7</v>
      </c>
      <c r="C233" s="8">
        <v>1746</v>
      </c>
      <c r="D233" s="8">
        <v>138809813</v>
      </c>
      <c r="E233" s="8">
        <v>463</v>
      </c>
      <c r="F233" s="8">
        <v>29513484</v>
      </c>
      <c r="G233" s="8">
        <v>1078</v>
      </c>
      <c r="H233" s="8">
        <v>82142379</v>
      </c>
      <c r="I233" s="8">
        <v>1131</v>
      </c>
      <c r="J233" s="8">
        <v>86180918</v>
      </c>
    </row>
    <row r="234" spans="1:10" x14ac:dyDescent="0.2">
      <c r="A234" s="6" t="s">
        <v>242</v>
      </c>
      <c r="B234" s="6">
        <v>7</v>
      </c>
      <c r="C234" s="8">
        <v>2114</v>
      </c>
      <c r="D234" s="8">
        <v>145361310</v>
      </c>
      <c r="E234" s="8">
        <v>63</v>
      </c>
      <c r="F234" s="8">
        <v>4556412</v>
      </c>
      <c r="G234" s="8">
        <v>1622</v>
      </c>
      <c r="H234" s="8">
        <v>111698000</v>
      </c>
      <c r="I234" s="8">
        <v>555</v>
      </c>
      <c r="J234" s="8">
        <v>38219722</v>
      </c>
    </row>
    <row r="235" spans="1:10" x14ac:dyDescent="0.2">
      <c r="A235" s="6" t="s">
        <v>243</v>
      </c>
      <c r="B235" s="6">
        <v>7</v>
      </c>
      <c r="C235" s="8">
        <v>1373</v>
      </c>
      <c r="D235" s="8">
        <v>127981809</v>
      </c>
      <c r="E235" s="8">
        <v>180</v>
      </c>
      <c r="F235" s="8">
        <v>16343950</v>
      </c>
      <c r="G235" s="8">
        <v>0</v>
      </c>
      <c r="H235" s="8">
        <v>0</v>
      </c>
      <c r="I235" s="8">
        <v>1553</v>
      </c>
      <c r="J235" s="8">
        <v>144325759</v>
      </c>
    </row>
    <row r="236" spans="1:10" x14ac:dyDescent="0.2">
      <c r="A236" s="6" t="s">
        <v>244</v>
      </c>
      <c r="B236" s="6">
        <v>7</v>
      </c>
      <c r="C236" s="8">
        <v>36</v>
      </c>
      <c r="D236" s="8">
        <v>3161088</v>
      </c>
      <c r="E236" s="8">
        <v>0</v>
      </c>
      <c r="F236" s="8">
        <v>0</v>
      </c>
      <c r="G236" s="8">
        <v>0</v>
      </c>
      <c r="H236" s="8">
        <v>0</v>
      </c>
      <c r="I236" s="8">
        <v>36</v>
      </c>
      <c r="J236" s="8">
        <v>3161088</v>
      </c>
    </row>
    <row r="237" spans="1:10" x14ac:dyDescent="0.2">
      <c r="A237" s="6" t="s">
        <v>245</v>
      </c>
      <c r="B237" s="6">
        <v>7</v>
      </c>
      <c r="C237" s="8">
        <v>0</v>
      </c>
      <c r="D237" s="8">
        <v>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</row>
    <row r="238" spans="1:10" x14ac:dyDescent="0.2">
      <c r="A238" s="6" t="s">
        <v>246</v>
      </c>
      <c r="B238" s="6">
        <v>7</v>
      </c>
      <c r="C238" s="8">
        <v>2533</v>
      </c>
      <c r="D238" s="8">
        <v>18054060</v>
      </c>
      <c r="E238" s="8">
        <v>480</v>
      </c>
      <c r="F238" s="8">
        <v>3421219</v>
      </c>
      <c r="G238" s="8">
        <v>0</v>
      </c>
      <c r="H238" s="8">
        <v>0</v>
      </c>
      <c r="I238" s="8">
        <v>3013</v>
      </c>
      <c r="J238" s="8">
        <v>21475279</v>
      </c>
    </row>
    <row r="239" spans="1:10" x14ac:dyDescent="0.2">
      <c r="A239" s="6" t="s">
        <v>247</v>
      </c>
      <c r="B239" s="6">
        <v>7</v>
      </c>
      <c r="C239" s="8">
        <v>26405</v>
      </c>
      <c r="D239" s="8">
        <v>177988115</v>
      </c>
      <c r="E239" s="8">
        <v>4703</v>
      </c>
      <c r="F239" s="8">
        <v>30790972</v>
      </c>
      <c r="G239" s="8">
        <v>147</v>
      </c>
      <c r="H239" s="8">
        <v>986580</v>
      </c>
      <c r="I239" s="8">
        <v>30961</v>
      </c>
      <c r="J239" s="8">
        <v>207792507</v>
      </c>
    </row>
    <row r="240" spans="1:10" x14ac:dyDescent="0.2">
      <c r="A240" s="6" t="s">
        <v>248</v>
      </c>
      <c r="B240" s="6">
        <v>7</v>
      </c>
      <c r="C240" s="8">
        <v>267</v>
      </c>
      <c r="D240" s="8">
        <v>1903053</v>
      </c>
      <c r="E240" s="8">
        <v>0</v>
      </c>
      <c r="F240" s="8">
        <v>0</v>
      </c>
      <c r="G240" s="8">
        <v>3</v>
      </c>
      <c r="H240" s="8">
        <v>21383</v>
      </c>
      <c r="I240" s="8">
        <v>264</v>
      </c>
      <c r="J240" s="8">
        <v>1881670</v>
      </c>
    </row>
    <row r="241" spans="1:10" x14ac:dyDescent="0.2">
      <c r="A241" s="6" t="s">
        <v>249</v>
      </c>
      <c r="B241" s="6">
        <v>7</v>
      </c>
      <c r="C241" s="8">
        <v>281</v>
      </c>
      <c r="D241" s="8">
        <v>2002839</v>
      </c>
      <c r="E241" s="8">
        <v>0</v>
      </c>
      <c r="F241" s="8">
        <v>0</v>
      </c>
      <c r="G241" s="8">
        <v>0</v>
      </c>
      <c r="H241" s="8">
        <v>0</v>
      </c>
      <c r="I241" s="8">
        <v>281</v>
      </c>
      <c r="J241" s="8">
        <v>2002839</v>
      </c>
    </row>
    <row r="242" spans="1:10" x14ac:dyDescent="0.2">
      <c r="A242" s="6" t="s">
        <v>250</v>
      </c>
      <c r="B242" s="6">
        <v>7</v>
      </c>
      <c r="C242" s="8">
        <v>7296</v>
      </c>
      <c r="D242" s="8">
        <v>105289159</v>
      </c>
      <c r="E242" s="8">
        <v>2400</v>
      </c>
      <c r="F242" s="8">
        <v>17106096</v>
      </c>
      <c r="G242" s="8">
        <v>123</v>
      </c>
      <c r="H242" s="8">
        <v>1552663</v>
      </c>
      <c r="I242" s="8">
        <v>9573</v>
      </c>
      <c r="J242" s="8">
        <v>120842592</v>
      </c>
    </row>
    <row r="243" spans="1:10" x14ac:dyDescent="0.2">
      <c r="A243" s="6" t="s">
        <v>251</v>
      </c>
      <c r="B243" s="6">
        <v>7</v>
      </c>
      <c r="C243" s="8">
        <v>0</v>
      </c>
      <c r="D243" s="8">
        <v>0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</row>
    <row r="244" spans="1:10" x14ac:dyDescent="0.2">
      <c r="A244" s="6" t="s">
        <v>252</v>
      </c>
      <c r="B244" s="6">
        <v>7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</row>
    <row r="245" spans="1:10" x14ac:dyDescent="0.2">
      <c r="A245" s="6" t="s">
        <v>253</v>
      </c>
      <c r="B245" s="6">
        <v>7</v>
      </c>
      <c r="C245" s="8">
        <v>0</v>
      </c>
      <c r="D245" s="8">
        <v>0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</row>
    <row r="246" spans="1:10" x14ac:dyDescent="0.2">
      <c r="A246" s="6" t="s">
        <v>254</v>
      </c>
      <c r="B246" s="6">
        <v>7</v>
      </c>
      <c r="C246" s="8">
        <v>68</v>
      </c>
      <c r="D246" s="8">
        <v>2320317</v>
      </c>
      <c r="E246" s="8">
        <v>80</v>
      </c>
      <c r="F246" s="8">
        <v>2749440</v>
      </c>
      <c r="G246" s="8">
        <v>120</v>
      </c>
      <c r="H246" s="8">
        <v>4110614</v>
      </c>
      <c r="I246" s="8">
        <v>28</v>
      </c>
      <c r="J246" s="8">
        <v>959143</v>
      </c>
    </row>
    <row r="247" spans="1:10" x14ac:dyDescent="0.2">
      <c r="A247" s="6" t="s">
        <v>255</v>
      </c>
      <c r="B247" s="6">
        <v>7</v>
      </c>
      <c r="C247" s="8">
        <v>0</v>
      </c>
      <c r="D247" s="8">
        <v>884858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884858</v>
      </c>
    </row>
    <row r="248" spans="1:10" x14ac:dyDescent="0.2">
      <c r="A248" s="6" t="s">
        <v>256</v>
      </c>
      <c r="B248" s="6">
        <v>7</v>
      </c>
      <c r="C248" s="8">
        <v>25</v>
      </c>
      <c r="D248" s="8">
        <v>696491</v>
      </c>
      <c r="E248" s="8">
        <v>0</v>
      </c>
      <c r="F248" s="8">
        <v>0</v>
      </c>
      <c r="G248" s="8">
        <v>10</v>
      </c>
      <c r="H248" s="8">
        <v>278596</v>
      </c>
      <c r="I248" s="8">
        <v>15</v>
      </c>
      <c r="J248" s="8">
        <v>417895</v>
      </c>
    </row>
    <row r="249" spans="1:10" x14ac:dyDescent="0.2">
      <c r="A249" s="6" t="s">
        <v>257</v>
      </c>
      <c r="B249" s="6">
        <v>7</v>
      </c>
      <c r="C249" s="8">
        <v>0</v>
      </c>
      <c r="D249" s="8">
        <v>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</row>
    <row r="250" spans="1:10" x14ac:dyDescent="0.2">
      <c r="A250" s="6" t="s">
        <v>258</v>
      </c>
      <c r="B250" s="6">
        <v>7</v>
      </c>
      <c r="C250" s="8">
        <v>1215</v>
      </c>
      <c r="D250" s="8">
        <v>4318430</v>
      </c>
      <c r="E250" s="8">
        <v>220</v>
      </c>
      <c r="F250" s="8">
        <v>3370752</v>
      </c>
      <c r="G250" s="8">
        <v>280</v>
      </c>
      <c r="H250" s="8">
        <v>4277420</v>
      </c>
      <c r="I250" s="8">
        <v>1155</v>
      </c>
      <c r="J250" s="8">
        <v>3411762</v>
      </c>
    </row>
    <row r="251" spans="1:10" x14ac:dyDescent="0.2">
      <c r="A251" s="6" t="s">
        <v>259</v>
      </c>
      <c r="B251" s="6">
        <v>7</v>
      </c>
      <c r="C251" s="8">
        <v>110</v>
      </c>
      <c r="D251" s="8">
        <v>2420810</v>
      </c>
      <c r="E251" s="8">
        <v>0</v>
      </c>
      <c r="F251" s="8">
        <v>0</v>
      </c>
      <c r="G251" s="8">
        <v>0</v>
      </c>
      <c r="H251" s="8">
        <v>0</v>
      </c>
      <c r="I251" s="8">
        <v>110</v>
      </c>
      <c r="J251" s="8">
        <v>2420810</v>
      </c>
    </row>
    <row r="252" spans="1:10" x14ac:dyDescent="0.2">
      <c r="A252" s="6" t="s">
        <v>260</v>
      </c>
      <c r="B252" s="6">
        <v>7</v>
      </c>
      <c r="C252" s="8">
        <v>2</v>
      </c>
      <c r="D252" s="8">
        <v>109792</v>
      </c>
      <c r="E252" s="8">
        <v>0</v>
      </c>
      <c r="F252" s="8">
        <v>0</v>
      </c>
      <c r="G252" s="8">
        <v>0</v>
      </c>
      <c r="H252" s="8">
        <v>0</v>
      </c>
      <c r="I252" s="8">
        <v>2</v>
      </c>
      <c r="J252" s="8">
        <v>109792</v>
      </c>
    </row>
    <row r="253" spans="1:10" x14ac:dyDescent="0.2">
      <c r="A253" s="6" t="s">
        <v>261</v>
      </c>
      <c r="B253" s="6">
        <v>7</v>
      </c>
      <c r="C253" s="8">
        <v>0</v>
      </c>
      <c r="D253" s="8">
        <v>0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</row>
    <row r="254" spans="1:10" x14ac:dyDescent="0.2">
      <c r="A254" s="6" t="s">
        <v>262</v>
      </c>
      <c r="B254" s="6">
        <v>7</v>
      </c>
      <c r="C254" s="8">
        <v>0</v>
      </c>
      <c r="D254" s="8">
        <v>0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</row>
    <row r="255" spans="1:10" x14ac:dyDescent="0.2">
      <c r="A255" s="6" t="s">
        <v>263</v>
      </c>
      <c r="B255" s="6">
        <v>7</v>
      </c>
      <c r="C255" s="8">
        <v>0</v>
      </c>
      <c r="D255" s="8">
        <v>0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</row>
    <row r="256" spans="1:10" x14ac:dyDescent="0.2">
      <c r="A256" s="6" t="s">
        <v>264</v>
      </c>
      <c r="B256" s="6">
        <v>7</v>
      </c>
      <c r="C256" s="8">
        <v>0</v>
      </c>
      <c r="D256" s="8">
        <v>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</row>
    <row r="257" spans="1:10" x14ac:dyDescent="0.2">
      <c r="A257" s="6" t="s">
        <v>265</v>
      </c>
      <c r="B257" s="6">
        <v>7</v>
      </c>
      <c r="C257" s="8">
        <v>0</v>
      </c>
      <c r="D257" s="8">
        <v>0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</row>
    <row r="258" spans="1:10" x14ac:dyDescent="0.2">
      <c r="A258" s="6" t="s">
        <v>266</v>
      </c>
      <c r="B258" s="6">
        <v>7</v>
      </c>
      <c r="C258" s="8">
        <v>0</v>
      </c>
      <c r="D258" s="8">
        <v>0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</row>
    <row r="259" spans="1:10" x14ac:dyDescent="0.2">
      <c r="A259" s="6" t="s">
        <v>267</v>
      </c>
      <c r="B259" s="6">
        <v>7</v>
      </c>
      <c r="C259" s="8">
        <v>1</v>
      </c>
      <c r="D259" s="8">
        <v>39000</v>
      </c>
      <c r="E259" s="8">
        <v>0</v>
      </c>
      <c r="F259" s="8">
        <v>0</v>
      </c>
      <c r="G259" s="8">
        <v>0</v>
      </c>
      <c r="H259" s="8">
        <v>0</v>
      </c>
      <c r="I259" s="8">
        <v>1</v>
      </c>
      <c r="J259" s="8">
        <v>39000</v>
      </c>
    </row>
    <row r="260" spans="1:10" x14ac:dyDescent="0.2">
      <c r="A260" s="6" t="s">
        <v>268</v>
      </c>
      <c r="B260" s="6">
        <v>7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</row>
    <row r="261" spans="1:10" x14ac:dyDescent="0.2">
      <c r="A261" s="6" t="s">
        <v>269</v>
      </c>
      <c r="B261" s="6">
        <v>7</v>
      </c>
      <c r="C261" s="8">
        <v>0</v>
      </c>
      <c r="D261" s="8">
        <v>0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</row>
    <row r="262" spans="1:10" x14ac:dyDescent="0.2">
      <c r="A262" s="6" t="s">
        <v>270</v>
      </c>
      <c r="B262" s="6">
        <v>7</v>
      </c>
      <c r="C262" s="8">
        <v>0</v>
      </c>
      <c r="D262" s="8">
        <v>0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</row>
    <row r="263" spans="1:10" x14ac:dyDescent="0.2">
      <c r="A263" s="6" t="s">
        <v>271</v>
      </c>
      <c r="B263" s="6">
        <v>7</v>
      </c>
      <c r="C263" s="8">
        <v>0</v>
      </c>
      <c r="D263" s="8">
        <v>0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</row>
    <row r="264" spans="1:10" x14ac:dyDescent="0.2">
      <c r="A264" s="6" t="s">
        <v>272</v>
      </c>
      <c r="B264" s="6">
        <v>7</v>
      </c>
      <c r="C264" s="8">
        <v>6</v>
      </c>
      <c r="D264" s="8">
        <v>794727</v>
      </c>
      <c r="E264" s="8">
        <v>0</v>
      </c>
      <c r="F264" s="8">
        <v>0</v>
      </c>
      <c r="G264" s="8">
        <v>0</v>
      </c>
      <c r="H264" s="8">
        <v>0</v>
      </c>
      <c r="I264" s="8">
        <v>6</v>
      </c>
      <c r="J264" s="8">
        <v>794727</v>
      </c>
    </row>
    <row r="265" spans="1:10" x14ac:dyDescent="0.2">
      <c r="A265" s="6" t="s">
        <v>273</v>
      </c>
      <c r="B265" s="6">
        <v>7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</row>
    <row r="266" spans="1:10" x14ac:dyDescent="0.2">
      <c r="A266" s="6" t="s">
        <v>274</v>
      </c>
      <c r="B266" s="6">
        <v>7</v>
      </c>
      <c r="C266" s="8">
        <v>0</v>
      </c>
      <c r="D266" s="8">
        <v>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</row>
    <row r="267" spans="1:10" x14ac:dyDescent="0.2">
      <c r="A267" s="6" t="s">
        <v>275</v>
      </c>
      <c r="B267" s="6">
        <v>7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</row>
    <row r="268" spans="1:10" x14ac:dyDescent="0.2">
      <c r="A268" s="6" t="s">
        <v>276</v>
      </c>
      <c r="B268" s="6">
        <v>7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</row>
    <row r="269" spans="1:10" x14ac:dyDescent="0.2">
      <c r="A269" s="6" t="s">
        <v>277</v>
      </c>
      <c r="B269" s="6">
        <v>7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</row>
    <row r="270" spans="1:10" x14ac:dyDescent="0.2">
      <c r="A270" s="6" t="s">
        <v>278</v>
      </c>
      <c r="B270" s="6">
        <v>7</v>
      </c>
      <c r="C270" s="8">
        <v>0</v>
      </c>
      <c r="D270" s="8">
        <v>0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</row>
    <row r="271" spans="1:10" x14ac:dyDescent="0.2">
      <c r="A271" s="6" t="s">
        <v>279</v>
      </c>
      <c r="B271" s="6">
        <v>7</v>
      </c>
      <c r="C271" s="8">
        <v>0</v>
      </c>
      <c r="D271" s="8">
        <v>0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</row>
    <row r="272" spans="1:10" x14ac:dyDescent="0.2">
      <c r="A272" s="6" t="s">
        <v>280</v>
      </c>
      <c r="B272" s="6">
        <v>7</v>
      </c>
      <c r="C272" s="8">
        <v>0</v>
      </c>
      <c r="D272" s="8">
        <v>0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</row>
    <row r="273" spans="1:10" x14ac:dyDescent="0.2">
      <c r="A273" s="6" t="s">
        <v>281</v>
      </c>
      <c r="B273" s="6">
        <v>7</v>
      </c>
      <c r="C273" s="8">
        <v>43</v>
      </c>
      <c r="D273" s="8">
        <v>756885</v>
      </c>
      <c r="E273" s="8">
        <v>100</v>
      </c>
      <c r="F273" s="8">
        <v>1764000</v>
      </c>
      <c r="G273" s="8">
        <v>120</v>
      </c>
      <c r="H273" s="8">
        <v>2115428</v>
      </c>
      <c r="I273" s="8">
        <v>23</v>
      </c>
      <c r="J273" s="8">
        <v>405457</v>
      </c>
    </row>
    <row r="274" spans="1:10" x14ac:dyDescent="0.2">
      <c r="A274" s="6" t="s">
        <v>282</v>
      </c>
      <c r="B274" s="6">
        <v>7</v>
      </c>
      <c r="C274" s="8">
        <v>28</v>
      </c>
      <c r="D274" s="8">
        <v>1940400</v>
      </c>
      <c r="E274" s="8">
        <v>10</v>
      </c>
      <c r="F274" s="8">
        <v>705600</v>
      </c>
      <c r="G274" s="8">
        <v>10</v>
      </c>
      <c r="H274" s="8">
        <v>682325</v>
      </c>
      <c r="I274" s="8">
        <v>28</v>
      </c>
      <c r="J274" s="8">
        <v>1963675</v>
      </c>
    </row>
    <row r="275" spans="1:10" x14ac:dyDescent="0.2">
      <c r="A275" s="6" t="s">
        <v>283</v>
      </c>
      <c r="B275" s="6">
        <v>7</v>
      </c>
      <c r="C275" s="8">
        <v>1764</v>
      </c>
      <c r="D275" s="8">
        <v>29602681</v>
      </c>
      <c r="E275" s="8">
        <v>782</v>
      </c>
      <c r="F275" s="8">
        <v>26964000</v>
      </c>
      <c r="G275" s="8">
        <v>278</v>
      </c>
      <c r="H275" s="8">
        <v>9565964</v>
      </c>
      <c r="I275" s="8">
        <v>2268</v>
      </c>
      <c r="J275" s="8">
        <v>47000717</v>
      </c>
    </row>
    <row r="276" spans="1:10" x14ac:dyDescent="0.2">
      <c r="A276" s="6" t="s">
        <v>284</v>
      </c>
      <c r="B276" s="6">
        <v>7</v>
      </c>
      <c r="C276" s="8">
        <v>145</v>
      </c>
      <c r="D276" s="8">
        <v>6540614</v>
      </c>
      <c r="E276" s="8">
        <v>60</v>
      </c>
      <c r="F276" s="8">
        <v>2761920</v>
      </c>
      <c r="G276" s="8">
        <v>85</v>
      </c>
      <c r="H276" s="8">
        <v>3857149</v>
      </c>
      <c r="I276" s="8">
        <v>120</v>
      </c>
      <c r="J276" s="8">
        <v>5445385</v>
      </c>
    </row>
    <row r="277" spans="1:10" x14ac:dyDescent="0.2">
      <c r="A277" s="6" t="s">
        <v>285</v>
      </c>
      <c r="B277" s="6">
        <v>7</v>
      </c>
      <c r="C277" s="8">
        <v>5</v>
      </c>
      <c r="D277" s="8">
        <v>586595</v>
      </c>
      <c r="E277" s="8">
        <v>0</v>
      </c>
      <c r="F277" s="8">
        <v>0</v>
      </c>
      <c r="G277" s="8">
        <v>0</v>
      </c>
      <c r="H277" s="8">
        <v>0</v>
      </c>
      <c r="I277" s="8">
        <v>5</v>
      </c>
      <c r="J277" s="8">
        <v>586595</v>
      </c>
    </row>
    <row r="278" spans="1:10" x14ac:dyDescent="0.2">
      <c r="A278" s="6" t="s">
        <v>286</v>
      </c>
      <c r="B278" s="6">
        <v>7</v>
      </c>
      <c r="C278" s="8">
        <v>8</v>
      </c>
      <c r="D278" s="8">
        <v>847410</v>
      </c>
      <c r="E278" s="8">
        <v>0</v>
      </c>
      <c r="F278" s="8">
        <v>0</v>
      </c>
      <c r="G278" s="8">
        <v>0</v>
      </c>
      <c r="H278" s="8">
        <v>0</v>
      </c>
      <c r="I278" s="8">
        <v>8</v>
      </c>
      <c r="J278" s="8">
        <v>847410</v>
      </c>
    </row>
    <row r="279" spans="1:10" x14ac:dyDescent="0.2">
      <c r="A279" s="6" t="s">
        <v>287</v>
      </c>
      <c r="B279" s="6">
        <v>7</v>
      </c>
      <c r="C279" s="8">
        <v>8</v>
      </c>
      <c r="D279" s="8">
        <v>888480</v>
      </c>
      <c r="E279" s="8">
        <v>0</v>
      </c>
      <c r="F279" s="8">
        <v>0</v>
      </c>
      <c r="G279" s="8">
        <v>0</v>
      </c>
      <c r="H279" s="8">
        <v>0</v>
      </c>
      <c r="I279" s="8">
        <v>8</v>
      </c>
      <c r="J279" s="8">
        <v>888480</v>
      </c>
    </row>
    <row r="280" spans="1:10" x14ac:dyDescent="0.2">
      <c r="A280" s="6" t="s">
        <v>288</v>
      </c>
      <c r="B280" s="6">
        <v>7</v>
      </c>
      <c r="C280" s="8">
        <v>36</v>
      </c>
      <c r="D280" s="8">
        <v>850896</v>
      </c>
      <c r="E280" s="8">
        <v>36</v>
      </c>
      <c r="F280" s="8">
        <v>866664</v>
      </c>
      <c r="G280" s="8">
        <v>0</v>
      </c>
      <c r="H280" s="8">
        <v>0</v>
      </c>
      <c r="I280" s="8">
        <v>72</v>
      </c>
      <c r="J280" s="8">
        <v>1717560</v>
      </c>
    </row>
    <row r="281" spans="1:10" x14ac:dyDescent="0.2">
      <c r="A281" s="6" t="s">
        <v>289</v>
      </c>
      <c r="B281" s="6">
        <v>7</v>
      </c>
      <c r="C281" s="8">
        <v>5241</v>
      </c>
      <c r="D281" s="8">
        <v>18544800</v>
      </c>
      <c r="E281" s="8">
        <v>0</v>
      </c>
      <c r="F281" s="8">
        <v>0</v>
      </c>
      <c r="G281" s="8">
        <v>0</v>
      </c>
      <c r="H281" s="8">
        <v>0</v>
      </c>
      <c r="I281" s="8">
        <v>5241</v>
      </c>
      <c r="J281" s="8">
        <v>18544800</v>
      </c>
    </row>
    <row r="282" spans="1:10" x14ac:dyDescent="0.2">
      <c r="A282" s="6" t="s">
        <v>290</v>
      </c>
      <c r="B282" s="6">
        <v>7</v>
      </c>
      <c r="C282" s="8">
        <v>2155</v>
      </c>
      <c r="D282" s="8">
        <v>191768861</v>
      </c>
      <c r="E282" s="8">
        <v>540</v>
      </c>
      <c r="F282" s="8">
        <v>48051360</v>
      </c>
      <c r="G282" s="8">
        <v>234</v>
      </c>
      <c r="H282" s="8">
        <v>20822980</v>
      </c>
      <c r="I282" s="8">
        <v>2461</v>
      </c>
      <c r="J282" s="8">
        <v>218997241</v>
      </c>
    </row>
    <row r="283" spans="1:10" x14ac:dyDescent="0.2">
      <c r="A283" s="6" t="s">
        <v>291</v>
      </c>
      <c r="B283" s="6">
        <v>7</v>
      </c>
      <c r="C283" s="8">
        <v>2800</v>
      </c>
      <c r="D283" s="8">
        <v>261452686</v>
      </c>
      <c r="E283" s="8">
        <v>1018</v>
      </c>
      <c r="F283" s="8">
        <v>94485353</v>
      </c>
      <c r="G283" s="8">
        <v>1344</v>
      </c>
      <c r="H283" s="8">
        <v>125296156</v>
      </c>
      <c r="I283" s="8">
        <v>2474</v>
      </c>
      <c r="J283" s="8">
        <v>230641883</v>
      </c>
    </row>
    <row r="284" spans="1:10" x14ac:dyDescent="0.2">
      <c r="A284" s="6" t="s">
        <v>292</v>
      </c>
      <c r="B284" s="6">
        <v>7</v>
      </c>
      <c r="C284" s="8">
        <v>1594</v>
      </c>
      <c r="D284" s="8">
        <v>114342584</v>
      </c>
      <c r="E284" s="8">
        <v>436</v>
      </c>
      <c r="F284" s="8">
        <v>32034240</v>
      </c>
      <c r="G284" s="8">
        <v>108</v>
      </c>
      <c r="H284" s="8">
        <v>7787535</v>
      </c>
      <c r="I284" s="8">
        <v>1922</v>
      </c>
      <c r="J284" s="8">
        <v>138589289</v>
      </c>
    </row>
    <row r="285" spans="1:10" x14ac:dyDescent="0.2">
      <c r="A285" s="6"/>
      <c r="B285" s="6"/>
      <c r="C285" s="5"/>
      <c r="D285" s="5">
        <v>16776189651</v>
      </c>
      <c r="E285" s="5"/>
      <c r="F285" s="5">
        <v>9695173526</v>
      </c>
      <c r="G285" s="5"/>
      <c r="H285" s="5">
        <v>11337158824</v>
      </c>
      <c r="I285" s="5">
        <v>1128743</v>
      </c>
      <c r="J285" s="5">
        <v>15134204353</v>
      </c>
    </row>
  </sheetData>
  <mergeCells count="4">
    <mergeCell ref="C1:D1"/>
    <mergeCell ref="E1:F1"/>
    <mergeCell ref="G1:H1"/>
    <mergeCell ref="I1:J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W285"/>
  <sheetViews>
    <sheetView topLeftCell="A277" workbookViewId="0"/>
  </sheetViews>
  <sheetFormatPr defaultColWidth="12.5703125" defaultRowHeight="15.75" customHeight="1" x14ac:dyDescent="0.2"/>
  <sheetData>
    <row r="1" spans="1:23" x14ac:dyDescent="0.2">
      <c r="A1" s="1"/>
      <c r="B1" s="2"/>
      <c r="C1" s="210" t="s">
        <v>0</v>
      </c>
      <c r="D1" s="211"/>
      <c r="E1" s="210" t="s">
        <v>1</v>
      </c>
      <c r="F1" s="211"/>
      <c r="G1" s="210" t="s">
        <v>2</v>
      </c>
      <c r="H1" s="211"/>
      <c r="I1" s="210" t="s">
        <v>3</v>
      </c>
      <c r="J1" s="21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">
      <c r="A2" s="3" t="s">
        <v>4</v>
      </c>
      <c r="B2" s="4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6</v>
      </c>
      <c r="H2" s="5" t="s">
        <v>10</v>
      </c>
      <c r="I2" s="5" t="s">
        <v>6</v>
      </c>
      <c r="J2" s="5" t="s">
        <v>9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">
      <c r="A3" s="3" t="s">
        <v>11</v>
      </c>
      <c r="B3" s="4">
        <v>8</v>
      </c>
      <c r="C3" s="5">
        <v>146</v>
      </c>
      <c r="D3" s="5">
        <v>4015720</v>
      </c>
      <c r="E3" s="5">
        <v>100</v>
      </c>
      <c r="F3" s="5">
        <v>2774400</v>
      </c>
      <c r="G3" s="5">
        <v>0</v>
      </c>
      <c r="H3" s="5">
        <v>0</v>
      </c>
      <c r="I3" s="5">
        <v>246</v>
      </c>
      <c r="J3" s="5">
        <v>6790120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">
      <c r="A4" s="6" t="s">
        <v>12</v>
      </c>
      <c r="B4" s="6">
        <v>8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</row>
    <row r="5" spans="1:23" x14ac:dyDescent="0.2">
      <c r="A5" s="6" t="s">
        <v>13</v>
      </c>
      <c r="B5" s="6">
        <v>8</v>
      </c>
      <c r="C5" s="8">
        <v>803</v>
      </c>
      <c r="D5" s="8">
        <v>26336751</v>
      </c>
      <c r="E5" s="8">
        <v>0</v>
      </c>
      <c r="F5" s="8">
        <v>0</v>
      </c>
      <c r="G5" s="8">
        <v>0</v>
      </c>
      <c r="H5" s="8">
        <v>0</v>
      </c>
      <c r="I5" s="8">
        <v>803</v>
      </c>
      <c r="J5" s="8">
        <v>26336751</v>
      </c>
    </row>
    <row r="6" spans="1:23" x14ac:dyDescent="0.2">
      <c r="A6" s="6" t="s">
        <v>14</v>
      </c>
      <c r="B6" s="6">
        <v>8</v>
      </c>
      <c r="C6" s="8">
        <v>120</v>
      </c>
      <c r="D6" s="8">
        <v>35752144</v>
      </c>
      <c r="E6" s="8">
        <v>0</v>
      </c>
      <c r="F6" s="8">
        <v>0</v>
      </c>
      <c r="G6" s="8">
        <v>0</v>
      </c>
      <c r="H6" s="8">
        <v>0</v>
      </c>
      <c r="I6" s="8">
        <v>120</v>
      </c>
      <c r="J6" s="8">
        <v>35752144</v>
      </c>
    </row>
    <row r="7" spans="1:23" x14ac:dyDescent="0.2">
      <c r="A7" s="6" t="s">
        <v>15</v>
      </c>
      <c r="B7" s="6">
        <v>8</v>
      </c>
      <c r="C7" s="8">
        <v>510</v>
      </c>
      <c r="D7" s="8">
        <v>69373706</v>
      </c>
      <c r="E7" s="8">
        <v>0</v>
      </c>
      <c r="F7" s="8">
        <v>0</v>
      </c>
      <c r="G7" s="8">
        <v>0</v>
      </c>
      <c r="H7" s="8">
        <v>0</v>
      </c>
      <c r="I7" s="8">
        <v>510</v>
      </c>
      <c r="J7" s="8">
        <v>69373706</v>
      </c>
    </row>
    <row r="8" spans="1:23" x14ac:dyDescent="0.2">
      <c r="A8" s="6" t="s">
        <v>16</v>
      </c>
      <c r="B8" s="6">
        <v>8</v>
      </c>
      <c r="C8" s="8">
        <v>344</v>
      </c>
      <c r="D8" s="8">
        <v>53839916</v>
      </c>
      <c r="E8" s="8">
        <v>0</v>
      </c>
      <c r="F8" s="8">
        <v>0</v>
      </c>
      <c r="G8" s="8">
        <v>0</v>
      </c>
      <c r="H8" s="8">
        <v>0</v>
      </c>
      <c r="I8" s="8">
        <v>344</v>
      </c>
      <c r="J8" s="8">
        <v>53839916</v>
      </c>
    </row>
    <row r="9" spans="1:23" x14ac:dyDescent="0.2">
      <c r="A9" s="6" t="s">
        <v>17</v>
      </c>
      <c r="B9" s="6">
        <v>8</v>
      </c>
      <c r="C9" s="8">
        <v>159</v>
      </c>
      <c r="D9" s="8">
        <v>38049584</v>
      </c>
      <c r="E9" s="8">
        <v>0</v>
      </c>
      <c r="F9" s="8">
        <v>0</v>
      </c>
      <c r="G9" s="8">
        <v>0</v>
      </c>
      <c r="H9" s="8">
        <v>0</v>
      </c>
      <c r="I9" s="8">
        <v>159</v>
      </c>
      <c r="J9" s="8">
        <v>38049584</v>
      </c>
    </row>
    <row r="10" spans="1:23" x14ac:dyDescent="0.2">
      <c r="A10" s="6" t="s">
        <v>18</v>
      </c>
      <c r="B10" s="6">
        <v>8</v>
      </c>
      <c r="C10" s="8">
        <v>734</v>
      </c>
      <c r="D10" s="8">
        <v>15983688</v>
      </c>
      <c r="E10" s="8">
        <v>0</v>
      </c>
      <c r="F10" s="8">
        <v>0</v>
      </c>
      <c r="G10" s="8">
        <v>60</v>
      </c>
      <c r="H10" s="8">
        <v>1306569</v>
      </c>
      <c r="I10" s="8">
        <v>674</v>
      </c>
      <c r="J10" s="8">
        <v>14677119</v>
      </c>
    </row>
    <row r="11" spans="1:23" x14ac:dyDescent="0.2">
      <c r="A11" s="6" t="s">
        <v>19</v>
      </c>
      <c r="B11" s="6">
        <v>8</v>
      </c>
      <c r="C11" s="8">
        <v>180</v>
      </c>
      <c r="D11" s="8">
        <v>3904035</v>
      </c>
      <c r="E11" s="8">
        <v>0</v>
      </c>
      <c r="F11" s="8">
        <v>0</v>
      </c>
      <c r="G11" s="8">
        <v>0</v>
      </c>
      <c r="H11" s="8">
        <v>0</v>
      </c>
      <c r="I11" s="8">
        <v>180</v>
      </c>
      <c r="J11" s="8">
        <v>3904035</v>
      </c>
    </row>
    <row r="12" spans="1:23" x14ac:dyDescent="0.2">
      <c r="A12" s="6" t="s">
        <v>20</v>
      </c>
      <c r="B12" s="6">
        <v>8</v>
      </c>
      <c r="C12" s="8">
        <v>295</v>
      </c>
      <c r="D12" s="8">
        <v>31404753</v>
      </c>
      <c r="E12" s="8">
        <v>0</v>
      </c>
      <c r="F12" s="8">
        <v>0</v>
      </c>
      <c r="G12" s="8">
        <v>0</v>
      </c>
      <c r="H12" s="8">
        <v>0</v>
      </c>
      <c r="I12" s="8">
        <v>295</v>
      </c>
      <c r="J12" s="8">
        <v>31404753</v>
      </c>
    </row>
    <row r="13" spans="1:23" x14ac:dyDescent="0.2">
      <c r="A13" s="6" t="s">
        <v>21</v>
      </c>
      <c r="B13" s="6">
        <v>8</v>
      </c>
      <c r="C13" s="8">
        <v>170</v>
      </c>
      <c r="D13" s="8">
        <v>40681945</v>
      </c>
      <c r="E13" s="8">
        <v>0</v>
      </c>
      <c r="F13" s="8">
        <v>0</v>
      </c>
      <c r="G13" s="8">
        <v>0</v>
      </c>
      <c r="H13" s="8">
        <v>0</v>
      </c>
      <c r="I13" s="8">
        <v>170</v>
      </c>
      <c r="J13" s="8">
        <v>40681945</v>
      </c>
    </row>
    <row r="14" spans="1:23" x14ac:dyDescent="0.2">
      <c r="A14" s="6" t="s">
        <v>22</v>
      </c>
      <c r="B14" s="6">
        <v>8</v>
      </c>
      <c r="C14" s="8">
        <v>18</v>
      </c>
      <c r="D14" s="8">
        <v>407934</v>
      </c>
      <c r="E14" s="8">
        <v>0</v>
      </c>
      <c r="F14" s="8">
        <v>0</v>
      </c>
      <c r="G14" s="8">
        <v>0</v>
      </c>
      <c r="H14" s="8">
        <v>0</v>
      </c>
      <c r="I14" s="8">
        <v>18</v>
      </c>
      <c r="J14" s="8">
        <v>407934</v>
      </c>
    </row>
    <row r="15" spans="1:23" x14ac:dyDescent="0.2">
      <c r="A15" s="6" t="s">
        <v>23</v>
      </c>
      <c r="B15" s="6">
        <v>8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</row>
    <row r="16" spans="1:23" x14ac:dyDescent="0.2">
      <c r="A16" s="6" t="s">
        <v>24</v>
      </c>
      <c r="B16" s="6">
        <v>8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</row>
    <row r="17" spans="1:10" x14ac:dyDescent="0.2">
      <c r="A17" s="6" t="s">
        <v>25</v>
      </c>
      <c r="B17" s="6">
        <v>8</v>
      </c>
      <c r="C17" s="8">
        <v>20</v>
      </c>
      <c r="D17" s="8">
        <v>419503</v>
      </c>
      <c r="E17" s="8">
        <v>50</v>
      </c>
      <c r="F17" s="8">
        <v>1059987</v>
      </c>
      <c r="G17" s="8">
        <v>70</v>
      </c>
      <c r="H17" s="8">
        <v>1479490</v>
      </c>
      <c r="I17" s="8">
        <v>0</v>
      </c>
      <c r="J17" s="8">
        <v>0</v>
      </c>
    </row>
    <row r="18" spans="1:10" x14ac:dyDescent="0.2">
      <c r="A18" s="6" t="s">
        <v>26</v>
      </c>
      <c r="B18" s="6">
        <v>8</v>
      </c>
      <c r="C18" s="8">
        <v>24</v>
      </c>
      <c r="D18" s="8">
        <v>612682</v>
      </c>
      <c r="E18" s="8">
        <v>60</v>
      </c>
      <c r="F18" s="8">
        <v>1555560</v>
      </c>
      <c r="G18" s="8">
        <v>0</v>
      </c>
      <c r="H18" s="8">
        <v>0</v>
      </c>
      <c r="I18" s="8">
        <v>84</v>
      </c>
      <c r="J18" s="8">
        <v>2168242</v>
      </c>
    </row>
    <row r="19" spans="1:10" x14ac:dyDescent="0.2">
      <c r="A19" s="6" t="s">
        <v>27</v>
      </c>
      <c r="B19" s="6">
        <v>8</v>
      </c>
      <c r="C19" s="8">
        <v>82</v>
      </c>
      <c r="D19" s="8">
        <v>2503247</v>
      </c>
      <c r="E19" s="8">
        <v>20</v>
      </c>
      <c r="F19" s="8">
        <v>629620</v>
      </c>
      <c r="G19" s="8">
        <v>65</v>
      </c>
      <c r="H19" s="8">
        <v>1996435</v>
      </c>
      <c r="I19" s="8">
        <v>37</v>
      </c>
      <c r="J19" s="8">
        <v>1136432</v>
      </c>
    </row>
    <row r="20" spans="1:10" x14ac:dyDescent="0.2">
      <c r="A20" s="6" t="s">
        <v>28</v>
      </c>
      <c r="B20" s="6">
        <v>8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</row>
    <row r="21" spans="1:10" x14ac:dyDescent="0.2">
      <c r="A21" s="6" t="s">
        <v>29</v>
      </c>
      <c r="B21" s="6">
        <v>8</v>
      </c>
      <c r="C21" s="8">
        <v>210</v>
      </c>
      <c r="D21" s="8">
        <v>55497330</v>
      </c>
      <c r="E21" s="8">
        <v>20</v>
      </c>
      <c r="F21" s="8">
        <v>5285460</v>
      </c>
      <c r="G21" s="8">
        <v>0</v>
      </c>
      <c r="H21" s="8">
        <v>0</v>
      </c>
      <c r="I21" s="8">
        <v>230</v>
      </c>
      <c r="J21" s="8">
        <v>60782790</v>
      </c>
    </row>
    <row r="22" spans="1:10" x14ac:dyDescent="0.2">
      <c r="A22" s="6" t="s">
        <v>30</v>
      </c>
      <c r="B22" s="6">
        <v>8</v>
      </c>
      <c r="C22" s="8">
        <v>114</v>
      </c>
      <c r="D22" s="8">
        <v>23160334</v>
      </c>
      <c r="E22" s="8">
        <v>53</v>
      </c>
      <c r="F22" s="8">
        <v>9223650</v>
      </c>
      <c r="G22" s="8">
        <v>0</v>
      </c>
      <c r="H22" s="8">
        <v>0</v>
      </c>
      <c r="I22" s="8">
        <v>167</v>
      </c>
      <c r="J22" s="8">
        <v>32383984</v>
      </c>
    </row>
    <row r="23" spans="1:10" x14ac:dyDescent="0.2">
      <c r="A23" s="6" t="s">
        <v>31</v>
      </c>
      <c r="B23" s="6">
        <v>8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</row>
    <row r="24" spans="1:10" x14ac:dyDescent="0.2">
      <c r="A24" s="6" t="s">
        <v>32</v>
      </c>
      <c r="B24" s="6">
        <v>8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</row>
    <row r="25" spans="1:10" x14ac:dyDescent="0.2">
      <c r="A25" s="6" t="s">
        <v>33</v>
      </c>
      <c r="B25" s="6">
        <v>8</v>
      </c>
      <c r="C25" s="8">
        <v>76</v>
      </c>
      <c r="D25" s="8">
        <v>9285800</v>
      </c>
      <c r="E25" s="8">
        <v>0</v>
      </c>
      <c r="F25" s="8">
        <v>0</v>
      </c>
      <c r="G25" s="8">
        <v>0</v>
      </c>
      <c r="H25" s="8">
        <v>0</v>
      </c>
      <c r="I25" s="8">
        <v>76</v>
      </c>
      <c r="J25" s="8">
        <v>9285800</v>
      </c>
    </row>
    <row r="26" spans="1:10" x14ac:dyDescent="0.2">
      <c r="A26" s="6" t="s">
        <v>34</v>
      </c>
      <c r="B26" s="6">
        <v>8</v>
      </c>
      <c r="C26" s="8">
        <v>20</v>
      </c>
      <c r="D26" s="8">
        <v>4642900</v>
      </c>
      <c r="E26" s="8">
        <v>9</v>
      </c>
      <c r="F26" s="8">
        <v>0</v>
      </c>
      <c r="G26" s="8">
        <v>0</v>
      </c>
      <c r="H26" s="8">
        <v>0</v>
      </c>
      <c r="I26" s="8">
        <v>29</v>
      </c>
      <c r="J26" s="8">
        <v>4642900</v>
      </c>
    </row>
    <row r="27" spans="1:10" x14ac:dyDescent="0.2">
      <c r="A27" s="6" t="s">
        <v>35</v>
      </c>
      <c r="B27" s="6">
        <v>8</v>
      </c>
      <c r="C27" s="8">
        <v>0</v>
      </c>
      <c r="D27" s="8">
        <v>0</v>
      </c>
      <c r="E27" s="8">
        <v>150</v>
      </c>
      <c r="F27" s="8">
        <v>17100000</v>
      </c>
      <c r="G27" s="8">
        <v>0</v>
      </c>
      <c r="H27" s="8">
        <v>0</v>
      </c>
      <c r="I27" s="8">
        <v>150</v>
      </c>
      <c r="J27" s="8">
        <v>17100000</v>
      </c>
    </row>
    <row r="28" spans="1:10" x14ac:dyDescent="0.2">
      <c r="A28" s="6" t="s">
        <v>36</v>
      </c>
      <c r="B28" s="6">
        <v>8</v>
      </c>
      <c r="C28" s="8">
        <v>40</v>
      </c>
      <c r="D28" s="8">
        <v>1818200</v>
      </c>
      <c r="E28" s="8">
        <v>0</v>
      </c>
      <c r="F28" s="8">
        <v>0</v>
      </c>
      <c r="G28" s="8">
        <v>0</v>
      </c>
      <c r="H28" s="8">
        <v>0</v>
      </c>
      <c r="I28" s="8">
        <v>40</v>
      </c>
      <c r="J28" s="8">
        <v>1818200</v>
      </c>
    </row>
    <row r="29" spans="1:10" x14ac:dyDescent="0.2">
      <c r="A29" s="6" t="s">
        <v>37</v>
      </c>
      <c r="B29" s="6">
        <v>8</v>
      </c>
      <c r="C29" s="8">
        <v>1471</v>
      </c>
      <c r="D29" s="8">
        <v>81647561</v>
      </c>
      <c r="E29" s="8">
        <v>4480</v>
      </c>
      <c r="F29" s="8">
        <v>249441920</v>
      </c>
      <c r="G29" s="8">
        <v>4746</v>
      </c>
      <c r="H29" s="8">
        <v>264048173</v>
      </c>
      <c r="I29" s="8">
        <v>1205</v>
      </c>
      <c r="J29" s="8">
        <v>67041308</v>
      </c>
    </row>
    <row r="30" spans="1:10" x14ac:dyDescent="0.2">
      <c r="A30" s="6" t="s">
        <v>38</v>
      </c>
      <c r="B30" s="6">
        <v>8</v>
      </c>
      <c r="C30" s="8">
        <v>272186</v>
      </c>
      <c r="D30" s="8">
        <v>203181003</v>
      </c>
      <c r="E30" s="8">
        <v>11160</v>
      </c>
      <c r="F30" s="8">
        <v>348281280</v>
      </c>
      <c r="G30" s="8">
        <v>10908</v>
      </c>
      <c r="H30" s="8">
        <v>340415455</v>
      </c>
      <c r="I30" s="8">
        <v>272438</v>
      </c>
      <c r="J30" s="8">
        <v>211046828</v>
      </c>
    </row>
    <row r="31" spans="1:10" x14ac:dyDescent="0.2">
      <c r="A31" s="6" t="s">
        <v>39</v>
      </c>
      <c r="B31" s="6">
        <v>8</v>
      </c>
      <c r="C31" s="8">
        <v>27480</v>
      </c>
      <c r="D31" s="8">
        <v>106057214</v>
      </c>
      <c r="E31" s="8">
        <v>1920</v>
      </c>
      <c r="F31" s="8">
        <v>69473280</v>
      </c>
      <c r="G31" s="8">
        <v>3375</v>
      </c>
      <c r="H31" s="8">
        <v>121232739</v>
      </c>
      <c r="I31" s="8">
        <v>26025</v>
      </c>
      <c r="J31" s="8">
        <v>54297755</v>
      </c>
    </row>
    <row r="32" spans="1:10" x14ac:dyDescent="0.2">
      <c r="A32" s="6" t="s">
        <v>40</v>
      </c>
      <c r="B32" s="6">
        <v>8</v>
      </c>
      <c r="C32" s="8">
        <v>1050</v>
      </c>
      <c r="D32" s="8">
        <v>37993200</v>
      </c>
      <c r="E32" s="8">
        <v>1380</v>
      </c>
      <c r="F32" s="8">
        <v>49933920</v>
      </c>
      <c r="G32" s="8">
        <v>0</v>
      </c>
      <c r="H32" s="8">
        <v>0</v>
      </c>
      <c r="I32" s="8">
        <v>2430</v>
      </c>
      <c r="J32" s="8">
        <v>87927120</v>
      </c>
    </row>
    <row r="33" spans="1:10" x14ac:dyDescent="0.2">
      <c r="A33" s="6" t="s">
        <v>41</v>
      </c>
      <c r="B33" s="6">
        <v>8</v>
      </c>
      <c r="C33" s="8">
        <v>90</v>
      </c>
      <c r="D33" s="8">
        <v>3256560</v>
      </c>
      <c r="E33" s="8">
        <v>0</v>
      </c>
      <c r="F33" s="8">
        <v>0</v>
      </c>
      <c r="G33" s="8">
        <v>0</v>
      </c>
      <c r="H33" s="8">
        <v>0</v>
      </c>
      <c r="I33" s="8">
        <v>90</v>
      </c>
      <c r="J33" s="8">
        <v>3256560</v>
      </c>
    </row>
    <row r="34" spans="1:10" x14ac:dyDescent="0.2">
      <c r="A34" s="6" t="s">
        <v>42</v>
      </c>
      <c r="B34" s="6">
        <v>8</v>
      </c>
      <c r="C34" s="8">
        <v>64</v>
      </c>
      <c r="D34" s="8">
        <v>3359040</v>
      </c>
      <c r="E34" s="8">
        <v>64</v>
      </c>
      <c r="F34" s="8">
        <v>3359040</v>
      </c>
      <c r="G34" s="8">
        <v>32</v>
      </c>
      <c r="H34" s="8">
        <v>1589647</v>
      </c>
      <c r="I34" s="8">
        <v>96</v>
      </c>
      <c r="J34" s="8">
        <v>5128433</v>
      </c>
    </row>
    <row r="35" spans="1:10" x14ac:dyDescent="0.2">
      <c r="A35" s="6" t="s">
        <v>43</v>
      </c>
      <c r="B35" s="6">
        <v>8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</row>
    <row r="36" spans="1:10" x14ac:dyDescent="0.2">
      <c r="A36" s="6" t="s">
        <v>44</v>
      </c>
      <c r="B36" s="6">
        <v>8</v>
      </c>
      <c r="C36" s="8">
        <v>9275</v>
      </c>
      <c r="D36" s="8">
        <v>26014574</v>
      </c>
      <c r="E36" s="8">
        <v>615</v>
      </c>
      <c r="F36" s="8">
        <v>22253160</v>
      </c>
      <c r="G36" s="8">
        <v>465</v>
      </c>
      <c r="H36" s="8">
        <v>16812879</v>
      </c>
      <c r="I36" s="8">
        <v>9425</v>
      </c>
      <c r="J36" s="8">
        <v>31454855</v>
      </c>
    </row>
    <row r="37" spans="1:10" x14ac:dyDescent="0.2">
      <c r="A37" s="6" t="s">
        <v>45</v>
      </c>
      <c r="B37" s="6">
        <v>8</v>
      </c>
      <c r="C37" s="8">
        <v>390</v>
      </c>
      <c r="D37" s="8">
        <v>14021524</v>
      </c>
      <c r="E37" s="8">
        <v>840</v>
      </c>
      <c r="F37" s="8">
        <v>30394560</v>
      </c>
      <c r="G37" s="8">
        <v>300</v>
      </c>
      <c r="H37" s="8">
        <v>10833191</v>
      </c>
      <c r="I37" s="8">
        <v>930</v>
      </c>
      <c r="J37" s="8">
        <v>33582893</v>
      </c>
    </row>
    <row r="38" spans="1:10" x14ac:dyDescent="0.2">
      <c r="A38" s="6" t="s">
        <v>46</v>
      </c>
      <c r="B38" s="6">
        <v>8</v>
      </c>
      <c r="C38" s="8">
        <v>45</v>
      </c>
      <c r="D38" s="8">
        <v>1628280</v>
      </c>
      <c r="E38" s="8">
        <v>165</v>
      </c>
      <c r="F38" s="8">
        <v>5970360</v>
      </c>
      <c r="G38" s="8">
        <v>0</v>
      </c>
      <c r="H38" s="8">
        <v>0</v>
      </c>
      <c r="I38" s="8">
        <v>210</v>
      </c>
      <c r="J38" s="8">
        <v>7598640</v>
      </c>
    </row>
    <row r="39" spans="1:10" x14ac:dyDescent="0.2">
      <c r="A39" s="6" t="s">
        <v>47</v>
      </c>
      <c r="B39" s="6">
        <v>8</v>
      </c>
      <c r="C39" s="8">
        <v>4750</v>
      </c>
      <c r="D39" s="8">
        <v>22782351</v>
      </c>
      <c r="E39" s="8">
        <v>1750</v>
      </c>
      <c r="F39" s="8">
        <v>8912750</v>
      </c>
      <c r="G39" s="8">
        <v>4750</v>
      </c>
      <c r="H39" s="8">
        <v>23161805</v>
      </c>
      <c r="I39" s="8">
        <v>1750</v>
      </c>
      <c r="J39" s="8">
        <v>8533296</v>
      </c>
    </row>
    <row r="40" spans="1:10" x14ac:dyDescent="0.2">
      <c r="A40" s="6" t="s">
        <v>48</v>
      </c>
      <c r="B40" s="6">
        <v>8</v>
      </c>
      <c r="C40" s="8">
        <v>48</v>
      </c>
      <c r="D40" s="8">
        <v>1156368</v>
      </c>
      <c r="E40" s="8">
        <v>0</v>
      </c>
      <c r="F40" s="8">
        <v>0</v>
      </c>
      <c r="G40" s="8">
        <v>0</v>
      </c>
      <c r="H40" s="8">
        <v>0</v>
      </c>
      <c r="I40" s="8">
        <v>48</v>
      </c>
      <c r="J40" s="8">
        <v>1156368</v>
      </c>
    </row>
    <row r="41" spans="1:10" x14ac:dyDescent="0.2">
      <c r="A41" s="6" t="s">
        <v>49</v>
      </c>
      <c r="B41" s="6">
        <v>8</v>
      </c>
      <c r="C41" s="8">
        <v>2040</v>
      </c>
      <c r="D41" s="8">
        <v>9833930</v>
      </c>
      <c r="E41" s="8">
        <v>3000</v>
      </c>
      <c r="F41" s="8">
        <v>14721000</v>
      </c>
      <c r="G41" s="8">
        <v>600</v>
      </c>
      <c r="H41" s="8">
        <v>2923206</v>
      </c>
      <c r="I41" s="8">
        <v>4440</v>
      </c>
      <c r="J41" s="8">
        <v>21631724</v>
      </c>
    </row>
    <row r="42" spans="1:10" x14ac:dyDescent="0.2">
      <c r="A42" s="6" t="s">
        <v>50</v>
      </c>
      <c r="B42" s="6">
        <v>8</v>
      </c>
      <c r="C42" s="8">
        <v>1500</v>
      </c>
      <c r="D42" s="8">
        <v>4773000</v>
      </c>
      <c r="E42" s="8">
        <v>0</v>
      </c>
      <c r="F42" s="8">
        <v>0</v>
      </c>
      <c r="G42" s="8">
        <v>0</v>
      </c>
      <c r="H42" s="8">
        <v>0</v>
      </c>
      <c r="I42" s="8">
        <v>1500</v>
      </c>
      <c r="J42" s="8">
        <v>4773000</v>
      </c>
    </row>
    <row r="43" spans="1:10" x14ac:dyDescent="0.2">
      <c r="A43" s="6" t="s">
        <v>51</v>
      </c>
      <c r="B43" s="6">
        <v>8</v>
      </c>
      <c r="C43" s="8">
        <v>2000</v>
      </c>
      <c r="D43" s="8">
        <v>7827063</v>
      </c>
      <c r="E43" s="8">
        <v>1500</v>
      </c>
      <c r="F43" s="8">
        <v>6250500</v>
      </c>
      <c r="G43" s="8">
        <v>1500</v>
      </c>
      <c r="H43" s="8">
        <v>6033241</v>
      </c>
      <c r="I43" s="8">
        <v>2000</v>
      </c>
      <c r="J43" s="8">
        <v>8044322</v>
      </c>
    </row>
    <row r="44" spans="1:10" x14ac:dyDescent="0.2">
      <c r="A44" s="6" t="s">
        <v>52</v>
      </c>
      <c r="B44" s="6">
        <v>8</v>
      </c>
      <c r="C44" s="8">
        <v>1246</v>
      </c>
      <c r="D44" s="8">
        <v>28498162</v>
      </c>
      <c r="E44" s="8">
        <v>336</v>
      </c>
      <c r="F44" s="8">
        <v>7777728</v>
      </c>
      <c r="G44" s="8">
        <v>240</v>
      </c>
      <c r="H44" s="8">
        <v>5503296</v>
      </c>
      <c r="I44" s="8">
        <v>1342</v>
      </c>
      <c r="J44" s="8">
        <v>30772594</v>
      </c>
    </row>
    <row r="45" spans="1:10" x14ac:dyDescent="0.2">
      <c r="A45" s="6" t="s">
        <v>53</v>
      </c>
      <c r="B45" s="6">
        <v>8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</row>
    <row r="46" spans="1:10" x14ac:dyDescent="0.2">
      <c r="A46" s="6" t="s">
        <v>54</v>
      </c>
      <c r="B46" s="6">
        <v>8</v>
      </c>
      <c r="C46" s="8">
        <v>3610</v>
      </c>
      <c r="D46" s="8">
        <v>50682334</v>
      </c>
      <c r="E46" s="8">
        <v>2998</v>
      </c>
      <c r="F46" s="8">
        <v>42667200</v>
      </c>
      <c r="G46" s="8">
        <v>2568</v>
      </c>
      <c r="H46" s="8">
        <v>36277482</v>
      </c>
      <c r="I46" s="8">
        <v>4040</v>
      </c>
      <c r="J46" s="8">
        <v>57072052</v>
      </c>
    </row>
    <row r="47" spans="1:10" x14ac:dyDescent="0.2">
      <c r="A47" s="6" t="s">
        <v>55</v>
      </c>
      <c r="B47" s="6">
        <v>8</v>
      </c>
      <c r="C47" s="8">
        <v>120</v>
      </c>
      <c r="D47" s="8">
        <v>10485696</v>
      </c>
      <c r="E47" s="8">
        <v>30</v>
      </c>
      <c r="F47" s="8">
        <v>2652780</v>
      </c>
      <c r="G47" s="8">
        <v>0</v>
      </c>
      <c r="H47" s="8">
        <v>0</v>
      </c>
      <c r="I47" s="8">
        <v>150</v>
      </c>
      <c r="J47" s="8">
        <v>13138476</v>
      </c>
    </row>
    <row r="48" spans="1:10" x14ac:dyDescent="0.2">
      <c r="A48" s="6" t="s">
        <v>56</v>
      </c>
      <c r="B48" s="6">
        <v>8</v>
      </c>
      <c r="C48" s="8">
        <v>672</v>
      </c>
      <c r="D48" s="8">
        <v>6395760</v>
      </c>
      <c r="E48" s="8">
        <v>240</v>
      </c>
      <c r="F48" s="8">
        <v>2311200</v>
      </c>
      <c r="G48" s="8">
        <v>0</v>
      </c>
      <c r="H48" s="8">
        <v>0</v>
      </c>
      <c r="I48" s="8">
        <v>912</v>
      </c>
      <c r="J48" s="8">
        <v>8706960</v>
      </c>
    </row>
    <row r="49" spans="1:10" x14ac:dyDescent="0.2">
      <c r="A49" s="6" t="s">
        <v>57</v>
      </c>
      <c r="B49" s="6">
        <v>8</v>
      </c>
      <c r="C49" s="8">
        <v>1080</v>
      </c>
      <c r="D49" s="8">
        <v>18076920</v>
      </c>
      <c r="E49" s="8">
        <v>1080</v>
      </c>
      <c r="F49" s="8">
        <v>19000440</v>
      </c>
      <c r="G49" s="8">
        <v>0</v>
      </c>
      <c r="H49" s="8">
        <v>0</v>
      </c>
      <c r="I49" s="8">
        <v>2160</v>
      </c>
      <c r="J49" s="8">
        <v>37077360</v>
      </c>
    </row>
    <row r="50" spans="1:10" x14ac:dyDescent="0.2">
      <c r="A50" s="6" t="s">
        <v>58</v>
      </c>
      <c r="B50" s="6">
        <v>8</v>
      </c>
      <c r="C50" s="8">
        <v>3084</v>
      </c>
      <c r="D50" s="8">
        <v>25339652</v>
      </c>
      <c r="E50" s="8">
        <v>960</v>
      </c>
      <c r="F50" s="8">
        <v>8266560</v>
      </c>
      <c r="G50" s="8">
        <v>1620</v>
      </c>
      <c r="H50" s="8">
        <v>13462429</v>
      </c>
      <c r="I50" s="8">
        <v>2424</v>
      </c>
      <c r="J50" s="8">
        <v>20143783</v>
      </c>
    </row>
    <row r="51" spans="1:10" x14ac:dyDescent="0.2">
      <c r="A51" s="6" t="s">
        <v>59</v>
      </c>
      <c r="B51" s="6">
        <v>8</v>
      </c>
      <c r="C51" s="8">
        <v>5719</v>
      </c>
      <c r="D51" s="8">
        <v>83080461</v>
      </c>
      <c r="E51" s="8">
        <v>4628</v>
      </c>
      <c r="F51" s="8">
        <v>72001440</v>
      </c>
      <c r="G51" s="8">
        <v>6708</v>
      </c>
      <c r="H51" s="8">
        <v>100540194</v>
      </c>
      <c r="I51" s="8">
        <v>3639</v>
      </c>
      <c r="J51" s="8">
        <v>54541707</v>
      </c>
    </row>
    <row r="52" spans="1:10" x14ac:dyDescent="0.2">
      <c r="A52" s="6" t="s">
        <v>60</v>
      </c>
      <c r="B52" s="6">
        <v>8</v>
      </c>
      <c r="C52" s="8">
        <v>3896</v>
      </c>
      <c r="D52" s="8">
        <v>126443025</v>
      </c>
      <c r="E52" s="8">
        <v>813</v>
      </c>
      <c r="F52" s="8">
        <v>27066528</v>
      </c>
      <c r="G52" s="8">
        <v>36</v>
      </c>
      <c r="H52" s="8">
        <v>1173571</v>
      </c>
      <c r="I52" s="8">
        <v>4673</v>
      </c>
      <c r="J52" s="8">
        <v>152335982</v>
      </c>
    </row>
    <row r="53" spans="1:10" x14ac:dyDescent="0.2">
      <c r="A53" s="6" t="s">
        <v>61</v>
      </c>
      <c r="B53" s="6">
        <v>8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</row>
    <row r="54" spans="1:10" x14ac:dyDescent="0.2">
      <c r="A54" s="6" t="s">
        <v>62</v>
      </c>
      <c r="B54" s="6">
        <v>8</v>
      </c>
      <c r="C54" s="8">
        <v>6245</v>
      </c>
      <c r="D54" s="8">
        <v>30153023</v>
      </c>
      <c r="E54" s="8">
        <v>3005</v>
      </c>
      <c r="F54" s="8">
        <v>14721000</v>
      </c>
      <c r="G54" s="8">
        <v>3000</v>
      </c>
      <c r="H54" s="8">
        <v>14553737</v>
      </c>
      <c r="I54" s="8">
        <v>6250</v>
      </c>
      <c r="J54" s="8">
        <v>30320286</v>
      </c>
    </row>
    <row r="55" spans="1:10" x14ac:dyDescent="0.2">
      <c r="A55" s="6" t="s">
        <v>63</v>
      </c>
      <c r="B55" s="6">
        <v>8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</row>
    <row r="56" spans="1:10" x14ac:dyDescent="0.2">
      <c r="A56" s="6" t="s">
        <v>64</v>
      </c>
      <c r="B56" s="6">
        <v>8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</row>
    <row r="57" spans="1:10" x14ac:dyDescent="0.2">
      <c r="A57" s="6" t="s">
        <v>65</v>
      </c>
      <c r="B57" s="6">
        <v>8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</row>
    <row r="58" spans="1:10" x14ac:dyDescent="0.2">
      <c r="A58" s="6" t="s">
        <v>66</v>
      </c>
      <c r="B58" s="6">
        <v>8</v>
      </c>
      <c r="C58" s="8">
        <v>1272</v>
      </c>
      <c r="D58" s="8">
        <v>19003319</v>
      </c>
      <c r="E58" s="8">
        <v>2748</v>
      </c>
      <c r="F58" s="8">
        <v>42500700</v>
      </c>
      <c r="G58" s="8">
        <v>2412</v>
      </c>
      <c r="H58" s="8">
        <v>36902411</v>
      </c>
      <c r="I58" s="8">
        <v>1608</v>
      </c>
      <c r="J58" s="8">
        <v>24601608</v>
      </c>
    </row>
    <row r="59" spans="1:10" x14ac:dyDescent="0.2">
      <c r="A59" s="6" t="s">
        <v>67</v>
      </c>
      <c r="B59" s="6">
        <v>8</v>
      </c>
      <c r="C59" s="8">
        <v>146</v>
      </c>
      <c r="D59" s="8">
        <v>985256</v>
      </c>
      <c r="E59" s="8">
        <v>0</v>
      </c>
      <c r="F59" s="8">
        <v>0</v>
      </c>
      <c r="G59" s="8">
        <v>0</v>
      </c>
      <c r="H59" s="8">
        <v>0</v>
      </c>
      <c r="I59" s="8">
        <v>146</v>
      </c>
      <c r="J59" s="8">
        <v>985256</v>
      </c>
    </row>
    <row r="60" spans="1:10" x14ac:dyDescent="0.2">
      <c r="A60" s="6" t="s">
        <v>68</v>
      </c>
      <c r="B60" s="6">
        <v>8</v>
      </c>
      <c r="C60" s="8">
        <v>372</v>
      </c>
      <c r="D60" s="8">
        <v>16913429</v>
      </c>
      <c r="E60" s="8">
        <v>120</v>
      </c>
      <c r="F60" s="8">
        <v>5600040</v>
      </c>
      <c r="G60" s="8">
        <v>0</v>
      </c>
      <c r="H60" s="8">
        <v>0</v>
      </c>
      <c r="I60" s="8">
        <v>492</v>
      </c>
      <c r="J60" s="8">
        <v>22513469</v>
      </c>
    </row>
    <row r="61" spans="1:10" x14ac:dyDescent="0.2">
      <c r="A61" s="6" t="s">
        <v>69</v>
      </c>
      <c r="B61" s="6">
        <v>8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</row>
    <row r="62" spans="1:10" x14ac:dyDescent="0.2">
      <c r="A62" s="6" t="s">
        <v>70</v>
      </c>
      <c r="B62" s="6">
        <v>8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</row>
    <row r="63" spans="1:10" x14ac:dyDescent="0.2">
      <c r="A63" s="6" t="s">
        <v>71</v>
      </c>
      <c r="B63" s="6">
        <v>8</v>
      </c>
      <c r="C63" s="8">
        <v>1560</v>
      </c>
      <c r="D63" s="8">
        <v>23495606</v>
      </c>
      <c r="E63" s="8">
        <v>480</v>
      </c>
      <c r="F63" s="8">
        <v>7555680</v>
      </c>
      <c r="G63" s="8">
        <v>252</v>
      </c>
      <c r="H63" s="8">
        <v>3835747</v>
      </c>
      <c r="I63" s="8">
        <v>1788</v>
      </c>
      <c r="J63" s="8">
        <v>27215539</v>
      </c>
    </row>
    <row r="64" spans="1:10" x14ac:dyDescent="0.2">
      <c r="A64" s="6" t="s">
        <v>72</v>
      </c>
      <c r="B64" s="6">
        <v>8</v>
      </c>
      <c r="C64" s="8">
        <v>4069</v>
      </c>
      <c r="D64" s="8">
        <v>88486612</v>
      </c>
      <c r="E64" s="8">
        <v>1686</v>
      </c>
      <c r="F64" s="8">
        <v>40444320</v>
      </c>
      <c r="G64" s="8">
        <v>3115</v>
      </c>
      <c r="H64" s="8">
        <v>69786247</v>
      </c>
      <c r="I64" s="8">
        <v>2640</v>
      </c>
      <c r="J64" s="8">
        <v>59144685</v>
      </c>
    </row>
    <row r="65" spans="1:10" x14ac:dyDescent="0.2">
      <c r="A65" s="6" t="s">
        <v>73</v>
      </c>
      <c r="B65" s="6">
        <v>8</v>
      </c>
      <c r="C65" s="8">
        <v>4547</v>
      </c>
      <c r="D65" s="8">
        <v>150840657</v>
      </c>
      <c r="E65" s="8">
        <v>1440</v>
      </c>
      <c r="F65" s="8">
        <v>49332960</v>
      </c>
      <c r="G65" s="8">
        <v>2267</v>
      </c>
      <c r="H65" s="8">
        <v>75796491</v>
      </c>
      <c r="I65" s="8">
        <v>3720</v>
      </c>
      <c r="J65" s="8">
        <v>124377126</v>
      </c>
    </row>
    <row r="66" spans="1:10" x14ac:dyDescent="0.2">
      <c r="A66" s="6" t="s">
        <v>74</v>
      </c>
      <c r="B66" s="6">
        <v>8</v>
      </c>
      <c r="C66" s="8">
        <v>4008</v>
      </c>
      <c r="D66" s="8">
        <v>58483784</v>
      </c>
      <c r="E66" s="8">
        <v>1680</v>
      </c>
      <c r="F66" s="8">
        <v>24889200</v>
      </c>
      <c r="G66" s="8">
        <v>0</v>
      </c>
      <c r="H66" s="8">
        <v>0</v>
      </c>
      <c r="I66" s="8">
        <v>5688</v>
      </c>
      <c r="J66" s="8">
        <v>83372984</v>
      </c>
    </row>
    <row r="67" spans="1:10" x14ac:dyDescent="0.2">
      <c r="A67" s="6" t="s">
        <v>75</v>
      </c>
      <c r="B67" s="6">
        <v>8</v>
      </c>
      <c r="C67" s="8">
        <v>6960</v>
      </c>
      <c r="D67" s="8">
        <v>2405760</v>
      </c>
      <c r="E67" s="8">
        <v>1600</v>
      </c>
      <c r="F67" s="8">
        <v>592000</v>
      </c>
      <c r="G67" s="8">
        <v>6400</v>
      </c>
      <c r="H67" s="8">
        <v>2241316</v>
      </c>
      <c r="I67" s="8">
        <v>2160</v>
      </c>
      <c r="J67" s="8">
        <v>756444</v>
      </c>
    </row>
    <row r="68" spans="1:10" x14ac:dyDescent="0.2">
      <c r="A68" s="6" t="s">
        <v>76</v>
      </c>
      <c r="B68" s="6">
        <v>8</v>
      </c>
      <c r="C68" s="8">
        <v>123</v>
      </c>
      <c r="D68" s="8">
        <v>6370245</v>
      </c>
      <c r="E68" s="8">
        <v>45</v>
      </c>
      <c r="F68" s="8">
        <v>2375010</v>
      </c>
      <c r="G68" s="8">
        <v>0</v>
      </c>
      <c r="H68" s="8">
        <v>0</v>
      </c>
      <c r="I68" s="8">
        <v>168</v>
      </c>
      <c r="J68" s="8">
        <v>8745255</v>
      </c>
    </row>
    <row r="69" spans="1:10" x14ac:dyDescent="0.2">
      <c r="A69" s="6" t="s">
        <v>77</v>
      </c>
      <c r="B69" s="6">
        <v>8</v>
      </c>
      <c r="C69" s="8">
        <v>288</v>
      </c>
      <c r="D69" s="8">
        <v>1648547</v>
      </c>
      <c r="E69" s="8">
        <v>336</v>
      </c>
      <c r="F69" s="8">
        <v>2115456</v>
      </c>
      <c r="G69" s="8">
        <v>36</v>
      </c>
      <c r="H69" s="8">
        <v>217154</v>
      </c>
      <c r="I69" s="8">
        <v>588</v>
      </c>
      <c r="J69" s="8">
        <v>3546849</v>
      </c>
    </row>
    <row r="70" spans="1:10" x14ac:dyDescent="0.2">
      <c r="A70" s="6" t="s">
        <v>78</v>
      </c>
      <c r="B70" s="6">
        <v>8</v>
      </c>
      <c r="C70" s="8">
        <v>4925</v>
      </c>
      <c r="D70" s="8">
        <v>23009326</v>
      </c>
      <c r="E70" s="8">
        <v>1549</v>
      </c>
      <c r="F70" s="8">
        <v>11999880</v>
      </c>
      <c r="G70" s="8">
        <v>1728</v>
      </c>
      <c r="H70" s="8">
        <v>9344441</v>
      </c>
      <c r="I70" s="8">
        <v>4746</v>
      </c>
      <c r="J70" s="8">
        <v>25664765</v>
      </c>
    </row>
    <row r="71" spans="1:10" x14ac:dyDescent="0.2">
      <c r="A71" s="6" t="s">
        <v>79</v>
      </c>
      <c r="B71" s="6">
        <v>8</v>
      </c>
      <c r="C71" s="8">
        <v>2040</v>
      </c>
      <c r="D71" s="8">
        <v>40502882</v>
      </c>
      <c r="E71" s="8">
        <v>37</v>
      </c>
      <c r="F71" s="8">
        <v>0</v>
      </c>
      <c r="G71" s="8">
        <v>0</v>
      </c>
      <c r="H71" s="8">
        <v>0</v>
      </c>
      <c r="I71" s="8">
        <v>2077</v>
      </c>
      <c r="J71" s="8">
        <v>40502882</v>
      </c>
    </row>
    <row r="72" spans="1:10" x14ac:dyDescent="0.2">
      <c r="A72" s="6" t="s">
        <v>80</v>
      </c>
      <c r="B72" s="6">
        <v>8</v>
      </c>
      <c r="C72" s="8">
        <v>216</v>
      </c>
      <c r="D72" s="8">
        <v>3008802</v>
      </c>
      <c r="E72" s="8">
        <v>0</v>
      </c>
      <c r="F72" s="8">
        <v>0</v>
      </c>
      <c r="G72" s="8">
        <v>0</v>
      </c>
      <c r="H72" s="8">
        <v>0</v>
      </c>
      <c r="I72" s="8">
        <v>216</v>
      </c>
      <c r="J72" s="8">
        <v>3008802</v>
      </c>
    </row>
    <row r="73" spans="1:10" x14ac:dyDescent="0.2">
      <c r="A73" s="6" t="s">
        <v>81</v>
      </c>
      <c r="B73" s="6">
        <v>8</v>
      </c>
      <c r="C73" s="8">
        <v>2088</v>
      </c>
      <c r="D73" s="8">
        <v>31119696</v>
      </c>
      <c r="E73" s="8">
        <v>216</v>
      </c>
      <c r="F73" s="8">
        <v>3400056</v>
      </c>
      <c r="G73" s="8">
        <v>0</v>
      </c>
      <c r="H73" s="8">
        <v>0</v>
      </c>
      <c r="I73" s="8">
        <v>2304</v>
      </c>
      <c r="J73" s="8">
        <v>34519752</v>
      </c>
    </row>
    <row r="74" spans="1:10" x14ac:dyDescent="0.2">
      <c r="A74" s="6" t="s">
        <v>82</v>
      </c>
      <c r="B74" s="6">
        <v>8</v>
      </c>
      <c r="C74" s="8">
        <v>6840</v>
      </c>
      <c r="D74" s="8">
        <v>49123080</v>
      </c>
      <c r="E74" s="8">
        <v>1440</v>
      </c>
      <c r="F74" s="8">
        <v>10666080</v>
      </c>
      <c r="G74" s="8">
        <v>0</v>
      </c>
      <c r="H74" s="8">
        <v>0</v>
      </c>
      <c r="I74" s="8">
        <v>8280</v>
      </c>
      <c r="J74" s="8">
        <v>59789160</v>
      </c>
    </row>
    <row r="75" spans="1:10" x14ac:dyDescent="0.2">
      <c r="A75" s="6" t="s">
        <v>83</v>
      </c>
      <c r="B75" s="6">
        <v>8</v>
      </c>
      <c r="C75" s="8">
        <v>1674</v>
      </c>
      <c r="D75" s="8">
        <v>11858042</v>
      </c>
      <c r="E75" s="8">
        <v>0</v>
      </c>
      <c r="F75" s="8">
        <v>0</v>
      </c>
      <c r="G75" s="8">
        <v>0</v>
      </c>
      <c r="H75" s="8">
        <v>0</v>
      </c>
      <c r="I75" s="8">
        <v>1674</v>
      </c>
      <c r="J75" s="8">
        <v>11858042</v>
      </c>
    </row>
    <row r="76" spans="1:10" x14ac:dyDescent="0.2">
      <c r="A76" s="6" t="s">
        <v>84</v>
      </c>
      <c r="B76" s="6">
        <v>8</v>
      </c>
      <c r="C76" s="8">
        <v>9400</v>
      </c>
      <c r="D76" s="8">
        <v>278882191</v>
      </c>
      <c r="E76" s="8">
        <v>8440</v>
      </c>
      <c r="F76" s="8">
        <v>256884960</v>
      </c>
      <c r="G76" s="8">
        <v>6114</v>
      </c>
      <c r="H76" s="8">
        <v>183614370</v>
      </c>
      <c r="I76" s="8">
        <v>11726</v>
      </c>
      <c r="J76" s="8">
        <v>352152781</v>
      </c>
    </row>
    <row r="77" spans="1:10" x14ac:dyDescent="0.2">
      <c r="A77" s="6" t="s">
        <v>85</v>
      </c>
      <c r="B77" s="6">
        <v>8</v>
      </c>
      <c r="C77" s="8">
        <v>8569</v>
      </c>
      <c r="D77" s="8">
        <v>77096576</v>
      </c>
      <c r="E77" s="8">
        <v>11868</v>
      </c>
      <c r="F77" s="8">
        <v>106663680</v>
      </c>
      <c r="G77" s="8">
        <v>7614</v>
      </c>
      <c r="H77" s="8">
        <v>68461643</v>
      </c>
      <c r="I77" s="8">
        <v>12823</v>
      </c>
      <c r="J77" s="8">
        <v>115298613</v>
      </c>
    </row>
    <row r="78" spans="1:10" x14ac:dyDescent="0.2">
      <c r="A78" s="6" t="s">
        <v>86</v>
      </c>
      <c r="B78" s="6">
        <v>8</v>
      </c>
      <c r="C78" s="8">
        <v>41968</v>
      </c>
      <c r="D78" s="8">
        <v>298661800</v>
      </c>
      <c r="E78" s="8">
        <v>37217</v>
      </c>
      <c r="F78" s="8">
        <v>266652000</v>
      </c>
      <c r="G78" s="8">
        <v>40320</v>
      </c>
      <c r="H78" s="8">
        <v>287850634</v>
      </c>
      <c r="I78" s="8">
        <v>38865</v>
      </c>
      <c r="J78" s="8">
        <v>277463166</v>
      </c>
    </row>
    <row r="79" spans="1:10" x14ac:dyDescent="0.2">
      <c r="A79" s="6" t="s">
        <v>87</v>
      </c>
      <c r="B79" s="6">
        <v>8</v>
      </c>
      <c r="C79" s="8">
        <v>17130</v>
      </c>
      <c r="D79" s="8">
        <v>297739108</v>
      </c>
      <c r="E79" s="8">
        <v>6636</v>
      </c>
      <c r="F79" s="8">
        <v>117002880</v>
      </c>
      <c r="G79" s="8">
        <v>22752</v>
      </c>
      <c r="H79" s="8">
        <v>397046609</v>
      </c>
      <c r="I79" s="8">
        <v>1014</v>
      </c>
      <c r="J79" s="8">
        <v>17695379</v>
      </c>
    </row>
    <row r="80" spans="1:10" x14ac:dyDescent="0.2">
      <c r="A80" s="6" t="s">
        <v>88</v>
      </c>
      <c r="B80" s="6">
        <v>8</v>
      </c>
      <c r="C80" s="8">
        <v>768</v>
      </c>
      <c r="D80" s="8">
        <v>16058112</v>
      </c>
      <c r="E80" s="8">
        <v>0</v>
      </c>
      <c r="F80" s="8">
        <v>0</v>
      </c>
      <c r="G80" s="8">
        <v>0</v>
      </c>
      <c r="H80" s="8">
        <v>0</v>
      </c>
      <c r="I80" s="8">
        <v>768</v>
      </c>
      <c r="J80" s="8">
        <v>16058112</v>
      </c>
    </row>
    <row r="81" spans="1:10" x14ac:dyDescent="0.2">
      <c r="A81" s="6" t="s">
        <v>89</v>
      </c>
      <c r="B81" s="6">
        <v>8</v>
      </c>
      <c r="C81" s="8">
        <v>120</v>
      </c>
      <c r="D81" s="8">
        <v>2837139</v>
      </c>
      <c r="E81" s="8">
        <v>120</v>
      </c>
      <c r="F81" s="8">
        <v>2944440</v>
      </c>
      <c r="G81" s="8">
        <v>0</v>
      </c>
      <c r="H81" s="8">
        <v>0</v>
      </c>
      <c r="I81" s="8">
        <v>240</v>
      </c>
      <c r="J81" s="8">
        <v>5781579</v>
      </c>
    </row>
    <row r="82" spans="1:10" x14ac:dyDescent="0.2">
      <c r="A82" s="6" t="s">
        <v>90</v>
      </c>
      <c r="B82" s="6">
        <v>8</v>
      </c>
      <c r="C82" s="8">
        <v>768</v>
      </c>
      <c r="D82" s="8">
        <v>39657142</v>
      </c>
      <c r="E82" s="8">
        <v>1620</v>
      </c>
      <c r="F82" s="8">
        <v>86250420</v>
      </c>
      <c r="G82" s="8">
        <v>1914</v>
      </c>
      <c r="H82" s="8">
        <v>100915861</v>
      </c>
      <c r="I82" s="8">
        <v>474</v>
      </c>
      <c r="J82" s="8">
        <v>24991701</v>
      </c>
    </row>
    <row r="83" spans="1:10" x14ac:dyDescent="0.2">
      <c r="A83" s="6" t="s">
        <v>91</v>
      </c>
      <c r="B83" s="6">
        <v>8</v>
      </c>
      <c r="C83" s="8">
        <v>5999</v>
      </c>
      <c r="D83" s="8">
        <v>52224860</v>
      </c>
      <c r="E83" s="8">
        <v>5029</v>
      </c>
      <c r="F83" s="8">
        <v>41999040</v>
      </c>
      <c r="G83" s="8">
        <v>7428</v>
      </c>
      <c r="H83" s="8">
        <v>63465282</v>
      </c>
      <c r="I83" s="8">
        <v>3600</v>
      </c>
      <c r="J83" s="8">
        <v>30758618</v>
      </c>
    </row>
    <row r="84" spans="1:10" x14ac:dyDescent="0.2">
      <c r="A84" s="6" t="s">
        <v>92</v>
      </c>
      <c r="B84" s="6">
        <v>8</v>
      </c>
      <c r="C84" s="8">
        <v>12000</v>
      </c>
      <c r="D84" s="8">
        <v>5799000</v>
      </c>
      <c r="E84" s="8">
        <v>4000</v>
      </c>
      <c r="F84" s="8">
        <v>1964000</v>
      </c>
      <c r="G84" s="8">
        <v>5600</v>
      </c>
      <c r="H84" s="8">
        <v>2717050</v>
      </c>
      <c r="I84" s="8">
        <v>10400</v>
      </c>
      <c r="J84" s="8">
        <v>5045950</v>
      </c>
    </row>
    <row r="85" spans="1:10" x14ac:dyDescent="0.2">
      <c r="A85" s="6" t="s">
        <v>93</v>
      </c>
      <c r="B85" s="6">
        <v>8</v>
      </c>
      <c r="C85" s="8">
        <v>240</v>
      </c>
      <c r="D85" s="8">
        <v>12311541</v>
      </c>
      <c r="E85" s="8">
        <v>150</v>
      </c>
      <c r="F85" s="8">
        <v>7986150</v>
      </c>
      <c r="G85" s="8">
        <v>30</v>
      </c>
      <c r="H85" s="8">
        <v>1561361</v>
      </c>
      <c r="I85" s="8">
        <v>360</v>
      </c>
      <c r="J85" s="8">
        <v>18736330</v>
      </c>
    </row>
    <row r="86" spans="1:10" x14ac:dyDescent="0.2">
      <c r="A86" s="6" t="s">
        <v>94</v>
      </c>
      <c r="B86" s="6">
        <v>8</v>
      </c>
      <c r="C86" s="8">
        <v>336</v>
      </c>
      <c r="D86" s="8">
        <v>3058584</v>
      </c>
      <c r="E86" s="8">
        <v>48</v>
      </c>
      <c r="F86" s="8">
        <v>466656</v>
      </c>
      <c r="G86" s="8">
        <v>0</v>
      </c>
      <c r="H86" s="8">
        <v>0</v>
      </c>
      <c r="I86" s="8">
        <v>384</v>
      </c>
      <c r="J86" s="8">
        <v>3525240</v>
      </c>
    </row>
    <row r="87" spans="1:10" x14ac:dyDescent="0.2">
      <c r="A87" s="6" t="s">
        <v>95</v>
      </c>
      <c r="B87" s="6">
        <v>8</v>
      </c>
      <c r="C87" s="8">
        <v>1800</v>
      </c>
      <c r="D87" s="8">
        <v>14582196</v>
      </c>
      <c r="E87" s="8">
        <v>252</v>
      </c>
      <c r="F87" s="8">
        <v>2099916</v>
      </c>
      <c r="G87" s="8">
        <v>0</v>
      </c>
      <c r="H87" s="8">
        <v>0</v>
      </c>
      <c r="I87" s="8">
        <v>2052</v>
      </c>
      <c r="J87" s="8">
        <v>16682112</v>
      </c>
    </row>
    <row r="88" spans="1:10" x14ac:dyDescent="0.2">
      <c r="A88" s="6" t="s">
        <v>96</v>
      </c>
      <c r="B88" s="6">
        <v>8</v>
      </c>
      <c r="C88" s="8">
        <v>489</v>
      </c>
      <c r="D88" s="8">
        <v>53603570</v>
      </c>
      <c r="E88" s="8">
        <v>105</v>
      </c>
      <c r="F88" s="8">
        <v>12201420</v>
      </c>
      <c r="G88" s="8">
        <v>0</v>
      </c>
      <c r="H88" s="8">
        <v>0</v>
      </c>
      <c r="I88" s="8">
        <v>594</v>
      </c>
      <c r="J88" s="8">
        <v>65804990</v>
      </c>
    </row>
    <row r="89" spans="1:10" x14ac:dyDescent="0.2">
      <c r="A89" s="6" t="s">
        <v>97</v>
      </c>
      <c r="B89" s="6">
        <v>8</v>
      </c>
      <c r="C89" s="8">
        <v>16000</v>
      </c>
      <c r="D89" s="8">
        <v>7736407</v>
      </c>
      <c r="E89" s="8">
        <v>16000</v>
      </c>
      <c r="F89" s="8">
        <v>7856000</v>
      </c>
      <c r="G89" s="8">
        <v>13600</v>
      </c>
      <c r="H89" s="8">
        <v>6626773</v>
      </c>
      <c r="I89" s="8">
        <v>18400</v>
      </c>
      <c r="J89" s="8">
        <v>8965634</v>
      </c>
    </row>
    <row r="90" spans="1:10" x14ac:dyDescent="0.2">
      <c r="A90" s="6" t="s">
        <v>98</v>
      </c>
      <c r="B90" s="6">
        <v>8</v>
      </c>
      <c r="C90" s="8">
        <v>3528</v>
      </c>
      <c r="D90" s="8">
        <v>34854146</v>
      </c>
      <c r="E90" s="8">
        <v>240</v>
      </c>
      <c r="F90" s="8">
        <v>2533440</v>
      </c>
      <c r="G90" s="8">
        <v>360</v>
      </c>
      <c r="H90" s="8">
        <v>3572062</v>
      </c>
      <c r="I90" s="8">
        <v>3408</v>
      </c>
      <c r="J90" s="8">
        <v>33815524</v>
      </c>
    </row>
    <row r="91" spans="1:10" x14ac:dyDescent="0.2">
      <c r="A91" s="6" t="s">
        <v>99</v>
      </c>
      <c r="B91" s="6">
        <v>8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</row>
    <row r="92" spans="1:10" x14ac:dyDescent="0.2">
      <c r="A92" s="6" t="s">
        <v>100</v>
      </c>
      <c r="B92" s="6">
        <v>8</v>
      </c>
      <c r="C92" s="8">
        <v>1363</v>
      </c>
      <c r="D92" s="8">
        <v>66270375</v>
      </c>
      <c r="E92" s="8">
        <v>2441</v>
      </c>
      <c r="F92" s="8">
        <v>121389480</v>
      </c>
      <c r="G92" s="8">
        <v>2424</v>
      </c>
      <c r="H92" s="8">
        <v>119581359</v>
      </c>
      <c r="I92" s="8">
        <v>1380</v>
      </c>
      <c r="J92" s="8">
        <v>68078496</v>
      </c>
    </row>
    <row r="93" spans="1:10" x14ac:dyDescent="0.2">
      <c r="A93" s="6" t="s">
        <v>101</v>
      </c>
      <c r="B93" s="6">
        <v>8</v>
      </c>
      <c r="C93" s="8">
        <v>14535</v>
      </c>
      <c r="D93" s="8">
        <v>97939509</v>
      </c>
      <c r="E93" s="8">
        <v>6900</v>
      </c>
      <c r="F93" s="8">
        <v>25666080</v>
      </c>
      <c r="G93" s="8">
        <v>6768</v>
      </c>
      <c r="H93" s="8">
        <v>39027881</v>
      </c>
      <c r="I93" s="8">
        <v>14667</v>
      </c>
      <c r="J93" s="8">
        <v>84577708</v>
      </c>
    </row>
    <row r="94" spans="1:10" x14ac:dyDescent="0.2">
      <c r="A94" s="6" t="s">
        <v>102</v>
      </c>
      <c r="B94" s="6">
        <v>8</v>
      </c>
      <c r="C94" s="8">
        <v>504</v>
      </c>
      <c r="D94" s="8">
        <v>11933027</v>
      </c>
      <c r="E94" s="8">
        <v>840</v>
      </c>
      <c r="F94" s="8">
        <v>20611080</v>
      </c>
      <c r="G94" s="8">
        <v>1008</v>
      </c>
      <c r="H94" s="8">
        <v>24408081</v>
      </c>
      <c r="I94" s="8">
        <v>336</v>
      </c>
      <c r="J94" s="8">
        <v>8136026</v>
      </c>
    </row>
    <row r="95" spans="1:10" x14ac:dyDescent="0.2">
      <c r="A95" s="6" t="s">
        <v>103</v>
      </c>
      <c r="B95" s="6">
        <v>8</v>
      </c>
      <c r="C95" s="8">
        <v>4260</v>
      </c>
      <c r="D95" s="8">
        <v>53921988</v>
      </c>
      <c r="E95" s="8">
        <v>418</v>
      </c>
      <c r="F95" s="8">
        <v>0</v>
      </c>
      <c r="G95" s="8">
        <v>0</v>
      </c>
      <c r="H95" s="8">
        <v>0</v>
      </c>
      <c r="I95" s="8">
        <v>4678</v>
      </c>
      <c r="J95" s="8">
        <v>53921988</v>
      </c>
    </row>
    <row r="96" spans="1:10" x14ac:dyDescent="0.2">
      <c r="A96" s="6" t="s">
        <v>104</v>
      </c>
      <c r="B96" s="6">
        <v>8</v>
      </c>
      <c r="C96" s="8">
        <v>360</v>
      </c>
      <c r="D96" s="8">
        <v>6545520</v>
      </c>
      <c r="E96" s="8">
        <v>24</v>
      </c>
      <c r="F96" s="8">
        <v>466656</v>
      </c>
      <c r="G96" s="8">
        <v>0</v>
      </c>
      <c r="H96" s="8">
        <v>0</v>
      </c>
      <c r="I96" s="8">
        <v>384</v>
      </c>
      <c r="J96" s="8">
        <v>7012176</v>
      </c>
    </row>
    <row r="97" spans="1:10" x14ac:dyDescent="0.2">
      <c r="A97" s="6" t="s">
        <v>105</v>
      </c>
      <c r="B97" s="6">
        <v>8</v>
      </c>
      <c r="C97" s="8">
        <v>450</v>
      </c>
      <c r="D97" s="8">
        <v>22746544</v>
      </c>
      <c r="E97" s="8">
        <v>18</v>
      </c>
      <c r="F97" s="8">
        <v>958338</v>
      </c>
      <c r="G97" s="8">
        <v>6</v>
      </c>
      <c r="H97" s="8">
        <v>303909</v>
      </c>
      <c r="I97" s="8">
        <v>462</v>
      </c>
      <c r="J97" s="8">
        <v>23400973</v>
      </c>
    </row>
    <row r="98" spans="1:10" x14ac:dyDescent="0.2">
      <c r="A98" s="6" t="s">
        <v>106</v>
      </c>
      <c r="B98" s="6">
        <v>8</v>
      </c>
      <c r="C98" s="8">
        <v>1272</v>
      </c>
      <c r="D98" s="8">
        <v>11564544</v>
      </c>
      <c r="E98" s="8">
        <v>240</v>
      </c>
      <c r="F98" s="8">
        <v>2333280</v>
      </c>
      <c r="G98" s="8">
        <v>240</v>
      </c>
      <c r="H98" s="8">
        <v>2206004</v>
      </c>
      <c r="I98" s="8">
        <v>1272</v>
      </c>
      <c r="J98" s="8">
        <v>11691820</v>
      </c>
    </row>
    <row r="99" spans="1:10" x14ac:dyDescent="0.2">
      <c r="A99" s="6" t="s">
        <v>107</v>
      </c>
      <c r="B99" s="6">
        <v>8</v>
      </c>
      <c r="C99" s="8">
        <v>540</v>
      </c>
      <c r="D99" s="8">
        <v>1341900</v>
      </c>
      <c r="E99" s="8">
        <v>176</v>
      </c>
      <c r="F99" s="8">
        <v>0</v>
      </c>
      <c r="G99" s="8">
        <v>0</v>
      </c>
      <c r="H99" s="8">
        <v>0</v>
      </c>
      <c r="I99" s="8">
        <v>716</v>
      </c>
      <c r="J99" s="8">
        <v>1341900</v>
      </c>
    </row>
    <row r="100" spans="1:10" x14ac:dyDescent="0.2">
      <c r="A100" s="6" t="s">
        <v>108</v>
      </c>
      <c r="B100" s="6">
        <v>8</v>
      </c>
      <c r="C100" s="8">
        <v>27299</v>
      </c>
      <c r="D100" s="8">
        <v>188995974</v>
      </c>
      <c r="E100" s="8">
        <v>9000</v>
      </c>
      <c r="F100" s="8">
        <v>66663000</v>
      </c>
      <c r="G100" s="8">
        <v>5159</v>
      </c>
      <c r="H100" s="8">
        <v>36335564</v>
      </c>
      <c r="I100" s="8">
        <v>31140</v>
      </c>
      <c r="J100" s="8">
        <v>219323410</v>
      </c>
    </row>
    <row r="101" spans="1:10" x14ac:dyDescent="0.2">
      <c r="A101" s="6" t="s">
        <v>109</v>
      </c>
      <c r="B101" s="6">
        <v>8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</row>
    <row r="102" spans="1:10" x14ac:dyDescent="0.2">
      <c r="A102" s="6" t="s">
        <v>110</v>
      </c>
      <c r="B102" s="6">
        <v>8</v>
      </c>
      <c r="C102" s="8">
        <v>1440</v>
      </c>
      <c r="D102" s="8">
        <v>24792054</v>
      </c>
      <c r="E102" s="8">
        <v>540</v>
      </c>
      <c r="F102" s="8">
        <v>9750240</v>
      </c>
      <c r="G102" s="8">
        <v>120</v>
      </c>
      <c r="H102" s="8">
        <v>2093472</v>
      </c>
      <c r="I102" s="8">
        <v>1860</v>
      </c>
      <c r="J102" s="8">
        <v>32448822</v>
      </c>
    </row>
    <row r="103" spans="1:10" x14ac:dyDescent="0.2">
      <c r="A103" s="6" t="s">
        <v>111</v>
      </c>
      <c r="B103" s="6">
        <v>8</v>
      </c>
      <c r="C103" s="8">
        <v>10914</v>
      </c>
      <c r="D103" s="8">
        <v>87223536</v>
      </c>
      <c r="E103" s="8">
        <v>6000</v>
      </c>
      <c r="F103" s="8">
        <v>48888000</v>
      </c>
      <c r="G103" s="8">
        <v>16340</v>
      </c>
      <c r="H103" s="8">
        <v>131492403</v>
      </c>
      <c r="I103" s="8">
        <v>574</v>
      </c>
      <c r="J103" s="8">
        <v>4619133</v>
      </c>
    </row>
    <row r="104" spans="1:10" x14ac:dyDescent="0.2">
      <c r="A104" s="6" t="s">
        <v>112</v>
      </c>
      <c r="B104" s="6">
        <v>8</v>
      </c>
      <c r="C104" s="8">
        <v>4680</v>
      </c>
      <c r="D104" s="8">
        <v>37302102</v>
      </c>
      <c r="E104" s="8">
        <v>1560</v>
      </c>
      <c r="F104" s="8">
        <v>12710880</v>
      </c>
      <c r="G104" s="8">
        <v>5760</v>
      </c>
      <c r="H104" s="8">
        <v>46165830</v>
      </c>
      <c r="I104" s="8">
        <v>480</v>
      </c>
      <c r="J104" s="8">
        <v>3847152</v>
      </c>
    </row>
    <row r="105" spans="1:10" x14ac:dyDescent="0.2">
      <c r="A105" s="6" t="s">
        <v>113</v>
      </c>
      <c r="B105" s="6">
        <v>8</v>
      </c>
      <c r="C105" s="8">
        <v>144</v>
      </c>
      <c r="D105" s="8">
        <v>2283696</v>
      </c>
      <c r="E105" s="8">
        <v>72</v>
      </c>
      <c r="F105" s="8">
        <v>1200024</v>
      </c>
      <c r="G105" s="8">
        <v>0</v>
      </c>
      <c r="H105" s="8">
        <v>0</v>
      </c>
      <c r="I105" s="8">
        <v>216</v>
      </c>
      <c r="J105" s="8">
        <v>3483720</v>
      </c>
    </row>
    <row r="106" spans="1:10" x14ac:dyDescent="0.2">
      <c r="A106" s="6" t="s">
        <v>114</v>
      </c>
      <c r="B106" s="6">
        <v>8</v>
      </c>
      <c r="C106" s="8">
        <v>264</v>
      </c>
      <c r="D106" s="8">
        <v>4821864</v>
      </c>
      <c r="E106" s="8">
        <v>24</v>
      </c>
      <c r="F106" s="8">
        <v>466656</v>
      </c>
      <c r="G106" s="8">
        <v>0</v>
      </c>
      <c r="H106" s="8">
        <v>0</v>
      </c>
      <c r="I106" s="8">
        <v>288</v>
      </c>
      <c r="J106" s="8">
        <v>5288520</v>
      </c>
    </row>
    <row r="107" spans="1:10" x14ac:dyDescent="0.2">
      <c r="A107" s="6" t="s">
        <v>115</v>
      </c>
      <c r="B107" s="6">
        <v>8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</row>
    <row r="108" spans="1:10" x14ac:dyDescent="0.2">
      <c r="A108" s="6" t="s">
        <v>116</v>
      </c>
      <c r="B108" s="6">
        <v>8</v>
      </c>
      <c r="C108" s="8">
        <v>0</v>
      </c>
      <c r="D108" s="8">
        <v>0</v>
      </c>
      <c r="E108" s="8">
        <v>1925</v>
      </c>
      <c r="F108" s="8">
        <v>39110400</v>
      </c>
      <c r="G108" s="8">
        <v>0</v>
      </c>
      <c r="H108" s="8">
        <v>0</v>
      </c>
      <c r="I108" s="8">
        <v>1925</v>
      </c>
      <c r="J108" s="8">
        <v>39110400</v>
      </c>
    </row>
    <row r="109" spans="1:10" x14ac:dyDescent="0.2">
      <c r="A109" s="6" t="s">
        <v>117</v>
      </c>
      <c r="B109" s="6">
        <v>8</v>
      </c>
      <c r="C109" s="8">
        <v>96</v>
      </c>
      <c r="D109" s="8">
        <v>1600440</v>
      </c>
      <c r="E109" s="8">
        <v>192</v>
      </c>
      <c r="F109" s="8">
        <v>3377856</v>
      </c>
      <c r="G109" s="8">
        <v>0</v>
      </c>
      <c r="H109" s="8">
        <v>0</v>
      </c>
      <c r="I109" s="8">
        <v>288</v>
      </c>
      <c r="J109" s="8">
        <v>4978296</v>
      </c>
    </row>
    <row r="110" spans="1:10" x14ac:dyDescent="0.2">
      <c r="A110" s="6" t="s">
        <v>118</v>
      </c>
      <c r="B110" s="6">
        <v>8</v>
      </c>
      <c r="C110" s="8">
        <v>732</v>
      </c>
      <c r="D110" s="8">
        <v>29625348</v>
      </c>
      <c r="E110" s="8">
        <v>0</v>
      </c>
      <c r="F110" s="8">
        <v>0</v>
      </c>
      <c r="G110" s="8">
        <v>6</v>
      </c>
      <c r="H110" s="8">
        <v>242831</v>
      </c>
      <c r="I110" s="8">
        <v>726</v>
      </c>
      <c r="J110" s="8">
        <v>29382517</v>
      </c>
    </row>
    <row r="111" spans="1:10" x14ac:dyDescent="0.2">
      <c r="A111" s="6" t="s">
        <v>119</v>
      </c>
      <c r="B111" s="6">
        <v>8</v>
      </c>
      <c r="C111" s="8">
        <v>320</v>
      </c>
      <c r="D111" s="8">
        <v>7323160</v>
      </c>
      <c r="E111" s="8">
        <v>0</v>
      </c>
      <c r="F111" s="8">
        <v>0</v>
      </c>
      <c r="G111" s="8">
        <v>0</v>
      </c>
      <c r="H111" s="8">
        <v>0</v>
      </c>
      <c r="I111" s="8">
        <v>320</v>
      </c>
      <c r="J111" s="8">
        <v>7323160</v>
      </c>
    </row>
    <row r="112" spans="1:10" x14ac:dyDescent="0.2">
      <c r="A112" s="6" t="s">
        <v>120</v>
      </c>
      <c r="B112" s="6">
        <v>8</v>
      </c>
      <c r="C112" s="8">
        <v>160</v>
      </c>
      <c r="D112" s="8">
        <v>3507040</v>
      </c>
      <c r="E112" s="8">
        <v>0</v>
      </c>
      <c r="F112" s="8">
        <v>0</v>
      </c>
      <c r="G112" s="8">
        <v>0</v>
      </c>
      <c r="H112" s="8">
        <v>0</v>
      </c>
      <c r="I112" s="8">
        <v>160</v>
      </c>
      <c r="J112" s="8">
        <v>3507040</v>
      </c>
    </row>
    <row r="113" spans="1:10" x14ac:dyDescent="0.2">
      <c r="A113" s="6" t="s">
        <v>121</v>
      </c>
      <c r="B113" s="6">
        <v>8</v>
      </c>
      <c r="C113" s="8">
        <v>7539</v>
      </c>
      <c r="D113" s="8">
        <v>87110910</v>
      </c>
      <c r="E113" s="8">
        <v>1228</v>
      </c>
      <c r="F113" s="8">
        <v>14444400</v>
      </c>
      <c r="G113" s="8">
        <v>1392</v>
      </c>
      <c r="H113" s="8">
        <v>16124671</v>
      </c>
      <c r="I113" s="8">
        <v>7375</v>
      </c>
      <c r="J113" s="8">
        <v>85430639</v>
      </c>
    </row>
    <row r="114" spans="1:10" x14ac:dyDescent="0.2">
      <c r="A114" s="6" t="s">
        <v>122</v>
      </c>
      <c r="B114" s="6">
        <v>8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</row>
    <row r="115" spans="1:10" x14ac:dyDescent="0.2">
      <c r="A115" s="6" t="s">
        <v>123</v>
      </c>
      <c r="B115" s="6">
        <v>8</v>
      </c>
      <c r="C115" s="8">
        <v>144</v>
      </c>
      <c r="D115" s="8">
        <v>2421792</v>
      </c>
      <c r="E115" s="8">
        <v>72</v>
      </c>
      <c r="F115" s="8">
        <v>1333368</v>
      </c>
      <c r="G115" s="8">
        <v>0</v>
      </c>
      <c r="H115" s="8">
        <v>0</v>
      </c>
      <c r="I115" s="8">
        <v>216</v>
      </c>
      <c r="J115" s="8">
        <v>3755160</v>
      </c>
    </row>
    <row r="116" spans="1:10" x14ac:dyDescent="0.2">
      <c r="A116" s="6" t="s">
        <v>124</v>
      </c>
      <c r="B116" s="6">
        <v>8</v>
      </c>
      <c r="C116" s="8">
        <v>0</v>
      </c>
      <c r="D116" s="8">
        <v>0</v>
      </c>
      <c r="E116" s="8">
        <v>72</v>
      </c>
      <c r="F116" s="8">
        <v>1333368</v>
      </c>
      <c r="G116" s="8">
        <v>0</v>
      </c>
      <c r="H116" s="8">
        <v>0</v>
      </c>
      <c r="I116" s="8">
        <v>72</v>
      </c>
      <c r="J116" s="8">
        <v>1333368</v>
      </c>
    </row>
    <row r="117" spans="1:10" x14ac:dyDescent="0.2">
      <c r="A117" s="6" t="s">
        <v>125</v>
      </c>
      <c r="B117" s="6">
        <v>8</v>
      </c>
      <c r="C117" s="8">
        <v>2112</v>
      </c>
      <c r="D117" s="8">
        <v>90818018</v>
      </c>
      <c r="E117" s="8">
        <v>420</v>
      </c>
      <c r="F117" s="8">
        <v>18860940</v>
      </c>
      <c r="G117" s="8">
        <v>2212</v>
      </c>
      <c r="H117" s="8">
        <v>95817478</v>
      </c>
      <c r="I117" s="8">
        <v>320</v>
      </c>
      <c r="J117" s="8">
        <v>13861480</v>
      </c>
    </row>
    <row r="118" spans="1:10" x14ac:dyDescent="0.2">
      <c r="A118" s="6" t="s">
        <v>126</v>
      </c>
      <c r="B118" s="6">
        <v>8</v>
      </c>
      <c r="C118" s="8">
        <v>22632</v>
      </c>
      <c r="D118" s="8">
        <v>118102393</v>
      </c>
      <c r="E118" s="8">
        <v>31769</v>
      </c>
      <c r="F118" s="8">
        <v>159590880</v>
      </c>
      <c r="G118" s="8">
        <v>37080</v>
      </c>
      <c r="H118" s="8">
        <v>189277156</v>
      </c>
      <c r="I118" s="8">
        <v>17321</v>
      </c>
      <c r="J118" s="8">
        <v>88416117</v>
      </c>
    </row>
    <row r="119" spans="1:10" x14ac:dyDescent="0.2">
      <c r="A119" s="6" t="s">
        <v>127</v>
      </c>
      <c r="B119" s="6">
        <v>8</v>
      </c>
      <c r="C119" s="8">
        <v>9391</v>
      </c>
      <c r="D119" s="8">
        <v>52236738</v>
      </c>
      <c r="E119" s="8">
        <v>1335</v>
      </c>
      <c r="F119" s="8">
        <v>6999600</v>
      </c>
      <c r="G119" s="8">
        <v>0</v>
      </c>
      <c r="H119" s="8">
        <v>0</v>
      </c>
      <c r="I119" s="8">
        <v>10726</v>
      </c>
      <c r="J119" s="8">
        <v>59236338</v>
      </c>
    </row>
    <row r="120" spans="1:10" x14ac:dyDescent="0.2">
      <c r="A120" s="6" t="s">
        <v>128</v>
      </c>
      <c r="B120" s="6">
        <v>8</v>
      </c>
      <c r="C120" s="8">
        <v>1360</v>
      </c>
      <c r="D120" s="8">
        <v>20451792</v>
      </c>
      <c r="E120" s="8">
        <v>200</v>
      </c>
      <c r="F120" s="8">
        <v>3055600</v>
      </c>
      <c r="G120" s="8">
        <v>500</v>
      </c>
      <c r="H120" s="8">
        <v>7534421</v>
      </c>
      <c r="I120" s="8">
        <v>1060</v>
      </c>
      <c r="J120" s="8">
        <v>15972971</v>
      </c>
    </row>
    <row r="121" spans="1:10" x14ac:dyDescent="0.2">
      <c r="A121" s="6" t="s">
        <v>129</v>
      </c>
      <c r="B121" s="6">
        <v>8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</row>
    <row r="122" spans="1:10" x14ac:dyDescent="0.2">
      <c r="A122" s="6" t="s">
        <v>130</v>
      </c>
      <c r="B122" s="6">
        <v>8</v>
      </c>
      <c r="C122" s="8">
        <v>28</v>
      </c>
      <c r="D122" s="8">
        <v>1315126</v>
      </c>
      <c r="E122" s="8">
        <v>64</v>
      </c>
      <c r="F122" s="8">
        <v>3051840</v>
      </c>
      <c r="G122" s="8">
        <v>0</v>
      </c>
      <c r="H122" s="8">
        <v>0</v>
      </c>
      <c r="I122" s="8">
        <v>92</v>
      </c>
      <c r="J122" s="8">
        <v>4366966</v>
      </c>
    </row>
    <row r="123" spans="1:10" x14ac:dyDescent="0.2">
      <c r="A123" s="6" t="s">
        <v>131</v>
      </c>
      <c r="B123" s="6">
        <v>8</v>
      </c>
      <c r="C123" s="8">
        <v>63</v>
      </c>
      <c r="D123" s="8">
        <v>3092733</v>
      </c>
      <c r="E123" s="8">
        <v>16</v>
      </c>
      <c r="F123" s="8">
        <v>800000</v>
      </c>
      <c r="G123" s="8">
        <v>63</v>
      </c>
      <c r="H123" s="8">
        <v>3104331</v>
      </c>
      <c r="I123" s="8">
        <v>16</v>
      </c>
      <c r="J123" s="8">
        <v>788402</v>
      </c>
    </row>
    <row r="124" spans="1:10" x14ac:dyDescent="0.2">
      <c r="A124" s="6" t="s">
        <v>132</v>
      </c>
      <c r="B124" s="6">
        <v>8</v>
      </c>
      <c r="C124" s="8">
        <v>201</v>
      </c>
      <c r="D124" s="8">
        <v>8854325</v>
      </c>
      <c r="E124" s="8">
        <v>21</v>
      </c>
      <c r="F124" s="8">
        <v>925079</v>
      </c>
      <c r="G124" s="8">
        <v>222</v>
      </c>
      <c r="H124" s="8">
        <v>9779404</v>
      </c>
      <c r="I124" s="8">
        <v>0</v>
      </c>
      <c r="J124" s="8">
        <v>0</v>
      </c>
    </row>
    <row r="125" spans="1:10" x14ac:dyDescent="0.2">
      <c r="A125" s="6" t="s">
        <v>133</v>
      </c>
      <c r="B125" s="6">
        <v>8</v>
      </c>
      <c r="C125" s="8">
        <v>32</v>
      </c>
      <c r="D125" s="8">
        <v>1196640</v>
      </c>
      <c r="E125" s="8">
        <v>32</v>
      </c>
      <c r="F125" s="8">
        <v>1214816</v>
      </c>
      <c r="G125" s="8">
        <v>0</v>
      </c>
      <c r="H125" s="8">
        <v>0</v>
      </c>
      <c r="I125" s="8">
        <v>64</v>
      </c>
      <c r="J125" s="8">
        <v>2411456</v>
      </c>
    </row>
    <row r="126" spans="1:10" x14ac:dyDescent="0.2">
      <c r="A126" s="6" t="s">
        <v>134</v>
      </c>
      <c r="B126" s="6">
        <v>8</v>
      </c>
      <c r="C126" s="8">
        <v>38</v>
      </c>
      <c r="D126" s="8">
        <v>1088168</v>
      </c>
      <c r="E126" s="8">
        <v>0</v>
      </c>
      <c r="F126" s="8">
        <v>0</v>
      </c>
      <c r="G126" s="8">
        <v>0</v>
      </c>
      <c r="H126" s="8">
        <v>0</v>
      </c>
      <c r="I126" s="8">
        <v>38</v>
      </c>
      <c r="J126" s="8">
        <v>1088168</v>
      </c>
    </row>
    <row r="127" spans="1:10" x14ac:dyDescent="0.2">
      <c r="A127" s="6" t="s">
        <v>135</v>
      </c>
      <c r="B127" s="6">
        <v>8</v>
      </c>
      <c r="C127" s="8">
        <v>122</v>
      </c>
      <c r="D127" s="8">
        <v>22406379</v>
      </c>
      <c r="E127" s="8">
        <v>240</v>
      </c>
      <c r="F127" s="8">
        <v>44092320</v>
      </c>
      <c r="G127" s="8">
        <v>248</v>
      </c>
      <c r="H127" s="8">
        <v>45557120</v>
      </c>
      <c r="I127" s="8">
        <v>114</v>
      </c>
      <c r="J127" s="8">
        <v>20941579</v>
      </c>
    </row>
    <row r="128" spans="1:10" x14ac:dyDescent="0.2">
      <c r="A128" s="6" t="s">
        <v>136</v>
      </c>
      <c r="B128" s="6">
        <v>8</v>
      </c>
      <c r="C128" s="8">
        <v>2749</v>
      </c>
      <c r="D128" s="8">
        <v>40497952</v>
      </c>
      <c r="E128" s="8">
        <v>3112</v>
      </c>
      <c r="F128" s="8">
        <v>45834000</v>
      </c>
      <c r="G128" s="8">
        <v>1992</v>
      </c>
      <c r="H128" s="8">
        <v>29341964</v>
      </c>
      <c r="I128" s="8">
        <v>3869</v>
      </c>
      <c r="J128" s="8">
        <v>56989988</v>
      </c>
    </row>
    <row r="129" spans="1:10" x14ac:dyDescent="0.2">
      <c r="A129" s="6" t="s">
        <v>137</v>
      </c>
      <c r="B129" s="6">
        <v>8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</row>
    <row r="130" spans="1:10" x14ac:dyDescent="0.2">
      <c r="A130" s="6" t="s">
        <v>138</v>
      </c>
      <c r="B130" s="6">
        <v>8</v>
      </c>
      <c r="C130" s="8">
        <v>0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</row>
    <row r="131" spans="1:10" x14ac:dyDescent="0.2">
      <c r="A131" s="6" t="s">
        <v>139</v>
      </c>
      <c r="B131" s="6">
        <v>8</v>
      </c>
      <c r="C131" s="8">
        <v>188</v>
      </c>
      <c r="D131" s="8">
        <v>34137846</v>
      </c>
      <c r="E131" s="8">
        <v>0</v>
      </c>
      <c r="F131" s="8">
        <v>0</v>
      </c>
      <c r="G131" s="8">
        <v>0</v>
      </c>
      <c r="H131" s="8">
        <v>0</v>
      </c>
      <c r="I131" s="8">
        <v>188</v>
      </c>
      <c r="J131" s="8">
        <v>34137846</v>
      </c>
    </row>
    <row r="132" spans="1:10" x14ac:dyDescent="0.2">
      <c r="A132" s="6" t="s">
        <v>140</v>
      </c>
      <c r="B132" s="6">
        <v>8</v>
      </c>
      <c r="C132" s="8">
        <v>3200</v>
      </c>
      <c r="D132" s="8">
        <v>589501253</v>
      </c>
      <c r="E132" s="8">
        <v>1200</v>
      </c>
      <c r="F132" s="8">
        <v>221367600</v>
      </c>
      <c r="G132" s="8">
        <v>2460</v>
      </c>
      <c r="H132" s="8">
        <v>453349404</v>
      </c>
      <c r="I132" s="8">
        <v>1940</v>
      </c>
      <c r="J132" s="8">
        <v>357519449</v>
      </c>
    </row>
    <row r="133" spans="1:10" x14ac:dyDescent="0.2">
      <c r="A133" s="6" t="s">
        <v>141</v>
      </c>
      <c r="B133" s="6">
        <v>8</v>
      </c>
      <c r="C133" s="8">
        <v>2800</v>
      </c>
      <c r="D133" s="8">
        <v>419484638</v>
      </c>
      <c r="E133" s="8">
        <v>2819</v>
      </c>
      <c r="F133" s="8">
        <v>391082760</v>
      </c>
      <c r="G133" s="8">
        <v>3360</v>
      </c>
      <c r="H133" s="8">
        <v>484695935</v>
      </c>
      <c r="I133" s="8">
        <v>2259</v>
      </c>
      <c r="J133" s="8">
        <v>325871463</v>
      </c>
    </row>
    <row r="134" spans="1:10" x14ac:dyDescent="0.2">
      <c r="A134" s="6" t="s">
        <v>142</v>
      </c>
      <c r="B134" s="6">
        <v>8</v>
      </c>
      <c r="C134" s="8">
        <v>1150</v>
      </c>
      <c r="D134" s="8">
        <v>211217050</v>
      </c>
      <c r="E134" s="8">
        <v>0</v>
      </c>
      <c r="F134" s="8">
        <v>0</v>
      </c>
      <c r="G134" s="8">
        <v>0</v>
      </c>
      <c r="H134" s="8">
        <v>0</v>
      </c>
      <c r="I134" s="8">
        <v>1150</v>
      </c>
      <c r="J134" s="8">
        <v>211217050</v>
      </c>
    </row>
    <row r="135" spans="1:10" x14ac:dyDescent="0.2">
      <c r="A135" s="6" t="s">
        <v>143</v>
      </c>
      <c r="B135" s="6">
        <v>8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</row>
    <row r="136" spans="1:10" x14ac:dyDescent="0.2">
      <c r="A136" s="6" t="s">
        <v>144</v>
      </c>
      <c r="B136" s="6">
        <v>8</v>
      </c>
      <c r="C136" s="8">
        <v>2783</v>
      </c>
      <c r="D136" s="8">
        <v>507399036</v>
      </c>
      <c r="E136" s="8">
        <v>270</v>
      </c>
      <c r="F136" s="8">
        <v>49248000</v>
      </c>
      <c r="G136" s="8">
        <v>1060</v>
      </c>
      <c r="H136" s="8">
        <v>193267559</v>
      </c>
      <c r="I136" s="8">
        <v>1993</v>
      </c>
      <c r="J136" s="8">
        <v>363379477</v>
      </c>
    </row>
    <row r="137" spans="1:10" x14ac:dyDescent="0.2">
      <c r="A137" s="6" t="s">
        <v>145</v>
      </c>
      <c r="B137" s="6">
        <v>8</v>
      </c>
      <c r="C137" s="8">
        <v>493</v>
      </c>
      <c r="D137" s="8">
        <v>88115021</v>
      </c>
      <c r="E137" s="8">
        <v>0</v>
      </c>
      <c r="F137" s="8">
        <v>0</v>
      </c>
      <c r="G137" s="8">
        <v>50</v>
      </c>
      <c r="H137" s="8">
        <v>8936615</v>
      </c>
      <c r="I137" s="8">
        <v>443</v>
      </c>
      <c r="J137" s="8">
        <v>79178406</v>
      </c>
    </row>
    <row r="138" spans="1:10" x14ac:dyDescent="0.2">
      <c r="A138" s="6" t="s">
        <v>146</v>
      </c>
      <c r="B138" s="6">
        <v>8</v>
      </c>
      <c r="C138" s="8">
        <v>269</v>
      </c>
      <c r="D138" s="8">
        <v>48046170</v>
      </c>
      <c r="E138" s="8">
        <v>3295</v>
      </c>
      <c r="F138" s="8">
        <v>623506932</v>
      </c>
      <c r="G138" s="8">
        <v>3564</v>
      </c>
      <c r="H138" s="8">
        <v>671553102</v>
      </c>
      <c r="I138" s="8">
        <v>0</v>
      </c>
      <c r="J138" s="8">
        <v>0</v>
      </c>
    </row>
    <row r="139" spans="1:10" x14ac:dyDescent="0.2">
      <c r="A139" s="6" t="s">
        <v>147</v>
      </c>
      <c r="B139" s="6">
        <v>8</v>
      </c>
      <c r="C139" s="8">
        <v>785</v>
      </c>
      <c r="D139" s="8">
        <v>62503261</v>
      </c>
      <c r="E139" s="8">
        <v>103</v>
      </c>
      <c r="F139" s="8">
        <v>0</v>
      </c>
      <c r="G139" s="8">
        <v>0</v>
      </c>
      <c r="H139" s="8">
        <v>0</v>
      </c>
      <c r="I139" s="8">
        <v>888</v>
      </c>
      <c r="J139" s="8">
        <v>62503261</v>
      </c>
    </row>
    <row r="140" spans="1:10" x14ac:dyDescent="0.2">
      <c r="A140" s="6" t="s">
        <v>148</v>
      </c>
      <c r="B140" s="6">
        <v>8</v>
      </c>
      <c r="C140" s="8">
        <v>1452</v>
      </c>
      <c r="D140" s="8">
        <v>165434604</v>
      </c>
      <c r="E140" s="8">
        <v>450</v>
      </c>
      <c r="F140" s="8">
        <v>51300000</v>
      </c>
      <c r="G140" s="8">
        <v>1015</v>
      </c>
      <c r="H140" s="8">
        <v>115660159</v>
      </c>
      <c r="I140" s="8">
        <v>887</v>
      </c>
      <c r="J140" s="8">
        <v>101074445</v>
      </c>
    </row>
    <row r="141" spans="1:10" x14ac:dyDescent="0.2">
      <c r="A141" s="6" t="s">
        <v>149</v>
      </c>
      <c r="B141" s="6">
        <v>8</v>
      </c>
      <c r="C141" s="8">
        <v>3319</v>
      </c>
      <c r="D141" s="8">
        <v>630063428</v>
      </c>
      <c r="E141" s="8">
        <v>1300</v>
      </c>
      <c r="F141" s="8">
        <v>246551500</v>
      </c>
      <c r="G141" s="8">
        <v>2724</v>
      </c>
      <c r="H141" s="8">
        <v>516973168</v>
      </c>
      <c r="I141" s="8">
        <v>1895</v>
      </c>
      <c r="J141" s="8">
        <v>359641760</v>
      </c>
    </row>
    <row r="142" spans="1:10" x14ac:dyDescent="0.2">
      <c r="A142" s="6" t="s">
        <v>150</v>
      </c>
      <c r="B142" s="6">
        <v>8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</row>
    <row r="143" spans="1:10" x14ac:dyDescent="0.2">
      <c r="A143" s="6" t="s">
        <v>151</v>
      </c>
      <c r="B143" s="6">
        <v>8</v>
      </c>
      <c r="C143" s="8">
        <v>259</v>
      </c>
      <c r="D143" s="8">
        <v>49197189</v>
      </c>
      <c r="E143" s="8">
        <v>60</v>
      </c>
      <c r="F143" s="8">
        <v>11379300</v>
      </c>
      <c r="G143" s="8">
        <v>0</v>
      </c>
      <c r="H143" s="8">
        <v>0</v>
      </c>
      <c r="I143" s="8">
        <v>319</v>
      </c>
      <c r="J143" s="8">
        <v>60576489</v>
      </c>
    </row>
    <row r="144" spans="1:10" x14ac:dyDescent="0.2">
      <c r="A144" s="6" t="s">
        <v>152</v>
      </c>
      <c r="B144" s="6">
        <v>8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</row>
    <row r="145" spans="1:10" x14ac:dyDescent="0.2">
      <c r="A145" s="6" t="s">
        <v>153</v>
      </c>
      <c r="B145" s="6">
        <v>8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</row>
    <row r="146" spans="1:10" x14ac:dyDescent="0.2">
      <c r="A146" s="6" t="s">
        <v>154</v>
      </c>
      <c r="B146" s="6">
        <v>8</v>
      </c>
      <c r="C146" s="8">
        <v>0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</row>
    <row r="147" spans="1:10" x14ac:dyDescent="0.2">
      <c r="A147" s="6" t="s">
        <v>155</v>
      </c>
      <c r="B147" s="6">
        <v>8</v>
      </c>
      <c r="C147" s="8">
        <v>224</v>
      </c>
      <c r="D147" s="8">
        <v>64951888</v>
      </c>
      <c r="E147" s="8">
        <v>0</v>
      </c>
      <c r="F147" s="8">
        <v>0</v>
      </c>
      <c r="G147" s="8">
        <v>0</v>
      </c>
      <c r="H147" s="8">
        <v>0</v>
      </c>
      <c r="I147" s="8">
        <v>224</v>
      </c>
      <c r="J147" s="8">
        <v>64951888</v>
      </c>
    </row>
    <row r="148" spans="1:10" x14ac:dyDescent="0.2">
      <c r="A148" s="6" t="s">
        <v>156</v>
      </c>
      <c r="B148" s="6">
        <v>8</v>
      </c>
      <c r="C148" s="8">
        <v>0</v>
      </c>
      <c r="D148" s="8">
        <v>0</v>
      </c>
      <c r="E148" s="8">
        <v>55</v>
      </c>
      <c r="F148" s="8">
        <v>12071540</v>
      </c>
      <c r="G148" s="8">
        <v>0</v>
      </c>
      <c r="H148" s="8">
        <v>0</v>
      </c>
      <c r="I148" s="8">
        <v>55</v>
      </c>
      <c r="J148" s="8">
        <v>12071540</v>
      </c>
    </row>
    <row r="149" spans="1:10" x14ac:dyDescent="0.2">
      <c r="A149" s="6" t="s">
        <v>157</v>
      </c>
      <c r="B149" s="6">
        <v>8</v>
      </c>
      <c r="C149" s="8">
        <v>0</v>
      </c>
      <c r="D149" s="8">
        <v>0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</row>
    <row r="150" spans="1:10" x14ac:dyDescent="0.2">
      <c r="A150" s="6" t="s">
        <v>158</v>
      </c>
      <c r="B150" s="6">
        <v>8</v>
      </c>
      <c r="C150" s="8">
        <v>133</v>
      </c>
      <c r="D150" s="8">
        <v>28422312</v>
      </c>
      <c r="E150" s="8">
        <v>40</v>
      </c>
      <c r="F150" s="8">
        <v>11607280</v>
      </c>
      <c r="G150" s="8">
        <v>0</v>
      </c>
      <c r="H150" s="8">
        <v>0</v>
      </c>
      <c r="I150" s="8">
        <v>173</v>
      </c>
      <c r="J150" s="8">
        <v>40029592</v>
      </c>
    </row>
    <row r="151" spans="1:10" x14ac:dyDescent="0.2">
      <c r="A151" s="6" t="s">
        <v>159</v>
      </c>
      <c r="B151" s="6">
        <v>8</v>
      </c>
      <c r="C151" s="8">
        <v>81</v>
      </c>
      <c r="D151" s="8">
        <v>17829621</v>
      </c>
      <c r="E151" s="8">
        <v>0</v>
      </c>
      <c r="F151" s="8">
        <v>0</v>
      </c>
      <c r="G151" s="8">
        <v>0</v>
      </c>
      <c r="H151" s="8">
        <v>0</v>
      </c>
      <c r="I151" s="8">
        <v>81</v>
      </c>
      <c r="J151" s="8">
        <v>17829621</v>
      </c>
    </row>
    <row r="152" spans="1:10" x14ac:dyDescent="0.2">
      <c r="A152" s="6" t="s">
        <v>160</v>
      </c>
      <c r="B152" s="6">
        <v>8</v>
      </c>
      <c r="C152" s="8">
        <v>51</v>
      </c>
      <c r="D152" s="8">
        <v>13482180</v>
      </c>
      <c r="E152" s="8">
        <v>0</v>
      </c>
      <c r="F152" s="8">
        <v>0</v>
      </c>
      <c r="G152" s="8">
        <v>0</v>
      </c>
      <c r="H152" s="8">
        <v>0</v>
      </c>
      <c r="I152" s="8">
        <v>51</v>
      </c>
      <c r="J152" s="8">
        <v>13482180</v>
      </c>
    </row>
    <row r="153" spans="1:10" x14ac:dyDescent="0.2">
      <c r="A153" s="6" t="s">
        <v>161</v>
      </c>
      <c r="B153" s="6">
        <v>8</v>
      </c>
      <c r="C153" s="8">
        <v>40</v>
      </c>
      <c r="D153" s="8">
        <v>9285800</v>
      </c>
      <c r="E153" s="8">
        <v>0</v>
      </c>
      <c r="F153" s="8">
        <v>0</v>
      </c>
      <c r="G153" s="8">
        <v>0</v>
      </c>
      <c r="H153" s="8">
        <v>0</v>
      </c>
      <c r="I153" s="8">
        <v>40</v>
      </c>
      <c r="J153" s="8">
        <v>9285800</v>
      </c>
    </row>
    <row r="154" spans="1:10" x14ac:dyDescent="0.2">
      <c r="A154" s="6" t="s">
        <v>162</v>
      </c>
      <c r="B154" s="6">
        <v>8</v>
      </c>
      <c r="C154" s="8">
        <v>1021</v>
      </c>
      <c r="D154" s="8">
        <v>322728911</v>
      </c>
      <c r="E154" s="8">
        <v>0</v>
      </c>
      <c r="F154" s="8">
        <v>0</v>
      </c>
      <c r="G154" s="8">
        <v>567</v>
      </c>
      <c r="H154" s="8">
        <v>179223597</v>
      </c>
      <c r="I154" s="8">
        <v>454</v>
      </c>
      <c r="J154" s="8">
        <v>143505314</v>
      </c>
    </row>
    <row r="155" spans="1:10" x14ac:dyDescent="0.2">
      <c r="A155" s="6" t="s">
        <v>163</v>
      </c>
      <c r="B155" s="6">
        <v>8</v>
      </c>
      <c r="C155" s="8">
        <v>747</v>
      </c>
      <c r="D155" s="8">
        <v>236119977</v>
      </c>
      <c r="E155" s="8">
        <v>50</v>
      </c>
      <c r="F155" s="8">
        <v>15804550</v>
      </c>
      <c r="G155" s="8">
        <v>95</v>
      </c>
      <c r="H155" s="8">
        <v>30028645</v>
      </c>
      <c r="I155" s="8">
        <v>702</v>
      </c>
      <c r="J155" s="8">
        <v>221895882</v>
      </c>
    </row>
    <row r="156" spans="1:10" x14ac:dyDescent="0.2">
      <c r="A156" s="6" t="s">
        <v>164</v>
      </c>
      <c r="B156" s="6">
        <v>8</v>
      </c>
      <c r="C156" s="8">
        <v>77</v>
      </c>
      <c r="D156" s="8">
        <v>11101646</v>
      </c>
      <c r="E156" s="8">
        <v>0</v>
      </c>
      <c r="F156" s="8">
        <v>0</v>
      </c>
      <c r="G156" s="8">
        <v>0</v>
      </c>
      <c r="H156" s="8">
        <v>0</v>
      </c>
      <c r="I156" s="8">
        <v>77</v>
      </c>
      <c r="J156" s="8">
        <v>11101646</v>
      </c>
    </row>
    <row r="157" spans="1:10" x14ac:dyDescent="0.2">
      <c r="A157" s="6" t="s">
        <v>165</v>
      </c>
      <c r="B157" s="6">
        <v>8</v>
      </c>
      <c r="C157" s="8">
        <v>190</v>
      </c>
      <c r="D157" s="8">
        <v>28766325</v>
      </c>
      <c r="E157" s="8">
        <v>20</v>
      </c>
      <c r="F157" s="8">
        <v>3171280</v>
      </c>
      <c r="G157" s="8">
        <v>0</v>
      </c>
      <c r="H157" s="8">
        <v>0</v>
      </c>
      <c r="I157" s="8">
        <v>210</v>
      </c>
      <c r="J157" s="8">
        <v>31937605</v>
      </c>
    </row>
    <row r="158" spans="1:10" x14ac:dyDescent="0.2">
      <c r="A158" s="6" t="s">
        <v>166</v>
      </c>
      <c r="B158" s="6">
        <v>8</v>
      </c>
      <c r="C158" s="8">
        <v>0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</row>
    <row r="159" spans="1:10" x14ac:dyDescent="0.2">
      <c r="A159" s="6" t="s">
        <v>167</v>
      </c>
      <c r="B159" s="6">
        <v>8</v>
      </c>
      <c r="C159" s="8">
        <v>0</v>
      </c>
      <c r="D159" s="8">
        <v>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</row>
    <row r="160" spans="1:10" x14ac:dyDescent="0.2">
      <c r="A160" s="6" t="s">
        <v>168</v>
      </c>
      <c r="B160" s="6">
        <v>8</v>
      </c>
      <c r="C160" s="8">
        <v>996</v>
      </c>
      <c r="D160" s="8">
        <v>181667230</v>
      </c>
      <c r="E160" s="8">
        <v>10</v>
      </c>
      <c r="F160" s="8">
        <v>1824000</v>
      </c>
      <c r="G160" s="8">
        <v>10</v>
      </c>
      <c r="H160" s="8">
        <v>1823968</v>
      </c>
      <c r="I160" s="8">
        <v>996</v>
      </c>
      <c r="J160" s="8">
        <v>181667262</v>
      </c>
    </row>
    <row r="161" spans="1:10" x14ac:dyDescent="0.2">
      <c r="A161" s="6" t="s">
        <v>169</v>
      </c>
      <c r="B161" s="6">
        <v>8</v>
      </c>
      <c r="C161" s="8">
        <v>969</v>
      </c>
      <c r="D161" s="8">
        <v>171599110</v>
      </c>
      <c r="E161" s="8">
        <v>0</v>
      </c>
      <c r="F161" s="8">
        <v>0</v>
      </c>
      <c r="G161" s="8">
        <v>110</v>
      </c>
      <c r="H161" s="8">
        <v>19479775</v>
      </c>
      <c r="I161" s="8">
        <v>859</v>
      </c>
      <c r="J161" s="8">
        <v>152119335</v>
      </c>
    </row>
    <row r="162" spans="1:10" x14ac:dyDescent="0.2">
      <c r="A162" s="6" t="s">
        <v>170</v>
      </c>
      <c r="B162" s="6">
        <v>8</v>
      </c>
      <c r="C162" s="8">
        <v>369</v>
      </c>
      <c r="D162" s="8">
        <v>101340684</v>
      </c>
      <c r="E162" s="8">
        <v>0</v>
      </c>
      <c r="F162" s="8">
        <v>0</v>
      </c>
      <c r="G162" s="8">
        <v>0</v>
      </c>
      <c r="H162" s="8">
        <v>0</v>
      </c>
      <c r="I162" s="8">
        <v>369</v>
      </c>
      <c r="J162" s="8">
        <v>101340684</v>
      </c>
    </row>
    <row r="163" spans="1:10" x14ac:dyDescent="0.2">
      <c r="A163" s="6" t="s">
        <v>171</v>
      </c>
      <c r="B163" s="6">
        <v>8</v>
      </c>
      <c r="C163" s="8">
        <v>0</v>
      </c>
      <c r="D163" s="8">
        <v>0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</row>
    <row r="164" spans="1:10" x14ac:dyDescent="0.2">
      <c r="A164" s="6" t="s">
        <v>172</v>
      </c>
      <c r="B164" s="6">
        <v>8</v>
      </c>
      <c r="C164" s="8">
        <v>350</v>
      </c>
      <c r="D164" s="8">
        <v>65290750</v>
      </c>
      <c r="E164" s="8">
        <v>2</v>
      </c>
      <c r="F164" s="8">
        <v>0</v>
      </c>
      <c r="G164" s="8">
        <v>3</v>
      </c>
      <c r="H164" s="8">
        <v>556455</v>
      </c>
      <c r="I164" s="8">
        <v>349</v>
      </c>
      <c r="J164" s="8">
        <v>64734295</v>
      </c>
    </row>
    <row r="165" spans="1:10" x14ac:dyDescent="0.2">
      <c r="A165" s="6" t="s">
        <v>173</v>
      </c>
      <c r="B165" s="6">
        <v>8</v>
      </c>
      <c r="C165" s="8">
        <v>302</v>
      </c>
      <c r="D165" s="8">
        <v>55963500</v>
      </c>
      <c r="E165" s="8">
        <v>94</v>
      </c>
      <c r="F165" s="8">
        <v>17535230</v>
      </c>
      <c r="G165" s="8">
        <v>4</v>
      </c>
      <c r="H165" s="8">
        <v>742411</v>
      </c>
      <c r="I165" s="8">
        <v>392</v>
      </c>
      <c r="J165" s="8">
        <v>72756319</v>
      </c>
    </row>
    <row r="166" spans="1:10" x14ac:dyDescent="0.2">
      <c r="A166" s="6" t="s">
        <v>174</v>
      </c>
      <c r="B166" s="6">
        <v>8</v>
      </c>
      <c r="C166" s="8">
        <v>100</v>
      </c>
      <c r="D166" s="8">
        <v>27457840</v>
      </c>
      <c r="E166" s="8">
        <v>0</v>
      </c>
      <c r="F166" s="8">
        <v>0</v>
      </c>
      <c r="G166" s="8">
        <v>0</v>
      </c>
      <c r="H166" s="8">
        <v>0</v>
      </c>
      <c r="I166" s="8">
        <v>100</v>
      </c>
      <c r="J166" s="8">
        <v>27457840</v>
      </c>
    </row>
    <row r="167" spans="1:10" x14ac:dyDescent="0.2">
      <c r="A167" s="6" t="s">
        <v>175</v>
      </c>
      <c r="B167" s="6">
        <v>8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</row>
    <row r="168" spans="1:10" x14ac:dyDescent="0.2">
      <c r="A168" s="6" t="s">
        <v>176</v>
      </c>
      <c r="B168" s="6">
        <v>8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</row>
    <row r="169" spans="1:10" x14ac:dyDescent="0.2">
      <c r="A169" s="6" t="s">
        <v>177</v>
      </c>
      <c r="B169" s="6">
        <v>8</v>
      </c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</row>
    <row r="170" spans="1:10" x14ac:dyDescent="0.2">
      <c r="A170" s="6" t="s">
        <v>178</v>
      </c>
      <c r="B170" s="6">
        <v>8</v>
      </c>
      <c r="C170" s="8">
        <v>0</v>
      </c>
      <c r="D170" s="8">
        <v>0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</row>
    <row r="171" spans="1:10" x14ac:dyDescent="0.2">
      <c r="A171" s="6" t="s">
        <v>179</v>
      </c>
      <c r="B171" s="6">
        <v>8</v>
      </c>
      <c r="C171" s="8">
        <v>19693</v>
      </c>
      <c r="D171" s="8">
        <v>99243733</v>
      </c>
      <c r="E171" s="8">
        <v>11190</v>
      </c>
      <c r="F171" s="8">
        <v>46670400</v>
      </c>
      <c r="G171" s="8">
        <v>15360</v>
      </c>
      <c r="H171" s="8">
        <v>72572000</v>
      </c>
      <c r="I171" s="8">
        <v>15523</v>
      </c>
      <c r="J171" s="8">
        <v>73342133</v>
      </c>
    </row>
    <row r="172" spans="1:10" x14ac:dyDescent="0.2">
      <c r="A172" s="6" t="s">
        <v>180</v>
      </c>
      <c r="B172" s="6">
        <v>8</v>
      </c>
      <c r="C172" s="8">
        <v>0</v>
      </c>
      <c r="D172" s="8">
        <v>0</v>
      </c>
      <c r="E172" s="8">
        <v>336</v>
      </c>
      <c r="F172" s="8">
        <v>26402880</v>
      </c>
      <c r="G172" s="8">
        <v>0</v>
      </c>
      <c r="H172" s="8">
        <v>0</v>
      </c>
      <c r="I172" s="8">
        <v>336</v>
      </c>
      <c r="J172" s="8">
        <v>26402880</v>
      </c>
    </row>
    <row r="173" spans="1:10" x14ac:dyDescent="0.2">
      <c r="A173" s="6" t="s">
        <v>181</v>
      </c>
      <c r="B173" s="6">
        <v>8</v>
      </c>
      <c r="C173" s="8">
        <v>282</v>
      </c>
      <c r="D173" s="8">
        <v>14395925</v>
      </c>
      <c r="E173" s="8">
        <v>990</v>
      </c>
      <c r="F173" s="8">
        <v>50875110</v>
      </c>
      <c r="G173" s="8">
        <v>420</v>
      </c>
      <c r="H173" s="8">
        <v>21551757</v>
      </c>
      <c r="I173" s="8">
        <v>852</v>
      </c>
      <c r="J173" s="8">
        <v>43719278</v>
      </c>
    </row>
    <row r="174" spans="1:10" x14ac:dyDescent="0.2">
      <c r="A174" s="6" t="s">
        <v>182</v>
      </c>
      <c r="B174" s="6">
        <v>8</v>
      </c>
      <c r="C174" s="8">
        <v>20</v>
      </c>
      <c r="D174" s="8">
        <v>1190400</v>
      </c>
      <c r="E174" s="8">
        <v>0</v>
      </c>
      <c r="F174" s="8">
        <v>0</v>
      </c>
      <c r="G174" s="8">
        <v>0</v>
      </c>
      <c r="H174" s="8">
        <v>0</v>
      </c>
      <c r="I174" s="8">
        <v>20</v>
      </c>
      <c r="J174" s="8">
        <v>1190400</v>
      </c>
    </row>
    <row r="175" spans="1:10" x14ac:dyDescent="0.2">
      <c r="A175" s="6" t="s">
        <v>183</v>
      </c>
      <c r="B175" s="6">
        <v>8</v>
      </c>
      <c r="C175" s="8">
        <v>2807</v>
      </c>
      <c r="D175" s="8">
        <v>152047776</v>
      </c>
      <c r="E175" s="8">
        <v>208</v>
      </c>
      <c r="F175" s="8">
        <v>10881037</v>
      </c>
      <c r="G175" s="8">
        <v>220</v>
      </c>
      <c r="H175" s="8">
        <v>11888670</v>
      </c>
      <c r="I175" s="8">
        <v>2795</v>
      </c>
      <c r="J175" s="8">
        <v>151040143</v>
      </c>
    </row>
    <row r="176" spans="1:10" x14ac:dyDescent="0.2">
      <c r="A176" s="6" t="s">
        <v>184</v>
      </c>
      <c r="B176" s="6">
        <v>8</v>
      </c>
      <c r="C176" s="8">
        <v>2852</v>
      </c>
      <c r="D176" s="8">
        <v>154929693</v>
      </c>
      <c r="E176" s="8">
        <v>208</v>
      </c>
      <c r="F176" s="8">
        <v>10881037</v>
      </c>
      <c r="G176" s="8">
        <v>245</v>
      </c>
      <c r="H176" s="8">
        <v>13275696</v>
      </c>
      <c r="I176" s="8">
        <v>2815</v>
      </c>
      <c r="J176" s="8">
        <v>152535034</v>
      </c>
    </row>
    <row r="177" spans="1:10" x14ac:dyDescent="0.2">
      <c r="A177" s="6" t="s">
        <v>185</v>
      </c>
      <c r="B177" s="6">
        <v>8</v>
      </c>
      <c r="C177" s="8">
        <v>0</v>
      </c>
      <c r="D177" s="8">
        <v>0</v>
      </c>
      <c r="E177" s="8">
        <v>210</v>
      </c>
      <c r="F177" s="8">
        <v>38760000</v>
      </c>
      <c r="G177" s="8">
        <v>0</v>
      </c>
      <c r="H177" s="8">
        <v>0</v>
      </c>
      <c r="I177" s="8">
        <v>210</v>
      </c>
      <c r="J177" s="8">
        <v>38760000</v>
      </c>
    </row>
    <row r="178" spans="1:10" x14ac:dyDescent="0.2">
      <c r="A178" s="6" t="s">
        <v>186</v>
      </c>
      <c r="B178" s="6">
        <v>8</v>
      </c>
      <c r="C178" s="8">
        <v>0</v>
      </c>
      <c r="D178" s="8">
        <v>0</v>
      </c>
      <c r="E178" s="8">
        <v>26400</v>
      </c>
      <c r="F178" s="8">
        <v>1126225000</v>
      </c>
      <c r="G178" s="8">
        <v>1360</v>
      </c>
      <c r="H178" s="8">
        <v>58476718</v>
      </c>
      <c r="I178" s="8">
        <v>25040</v>
      </c>
      <c r="J178" s="8">
        <v>1067748282</v>
      </c>
    </row>
    <row r="179" spans="1:10" x14ac:dyDescent="0.2">
      <c r="A179" s="6" t="s">
        <v>187</v>
      </c>
      <c r="B179" s="6">
        <v>8</v>
      </c>
      <c r="C179" s="8">
        <v>1050</v>
      </c>
      <c r="D179" s="8">
        <v>37107000</v>
      </c>
      <c r="E179" s="8">
        <v>1323</v>
      </c>
      <c r="F179" s="8">
        <v>47880000</v>
      </c>
      <c r="G179" s="8">
        <v>105</v>
      </c>
      <c r="H179" s="8">
        <v>3785346</v>
      </c>
      <c r="I179" s="8">
        <v>2268</v>
      </c>
      <c r="J179" s="8">
        <v>81201654</v>
      </c>
    </row>
    <row r="180" spans="1:10" x14ac:dyDescent="0.2">
      <c r="A180" s="6" t="s">
        <v>188</v>
      </c>
      <c r="B180" s="6">
        <v>8</v>
      </c>
      <c r="C180" s="8">
        <v>1922</v>
      </c>
      <c r="D180" s="8">
        <v>348127935</v>
      </c>
      <c r="E180" s="8">
        <v>1680</v>
      </c>
      <c r="F180" s="8">
        <v>307040000</v>
      </c>
      <c r="G180" s="8">
        <v>2636</v>
      </c>
      <c r="H180" s="8">
        <v>479462153</v>
      </c>
      <c r="I180" s="8">
        <v>966</v>
      </c>
      <c r="J180" s="8">
        <v>175705782</v>
      </c>
    </row>
    <row r="181" spans="1:10" x14ac:dyDescent="0.2">
      <c r="A181" s="6" t="s">
        <v>189</v>
      </c>
      <c r="B181" s="6">
        <v>8</v>
      </c>
      <c r="C181" s="8">
        <v>100</v>
      </c>
      <c r="D181" s="8">
        <v>4337182</v>
      </c>
      <c r="E181" s="8">
        <v>220</v>
      </c>
      <c r="F181" s="8">
        <v>9327593</v>
      </c>
      <c r="G181" s="8">
        <v>0</v>
      </c>
      <c r="H181" s="8">
        <v>0</v>
      </c>
      <c r="I181" s="8">
        <v>320</v>
      </c>
      <c r="J181" s="8">
        <v>13664775</v>
      </c>
    </row>
    <row r="182" spans="1:10" x14ac:dyDescent="0.2">
      <c r="A182" s="6" t="s">
        <v>190</v>
      </c>
      <c r="B182" s="6">
        <v>8</v>
      </c>
      <c r="C182" s="8">
        <v>1344</v>
      </c>
      <c r="D182" s="8">
        <v>38049392</v>
      </c>
      <c r="E182" s="8">
        <v>3276</v>
      </c>
      <c r="F182" s="8">
        <v>94587686</v>
      </c>
      <c r="G182" s="8">
        <v>4620</v>
      </c>
      <c r="H182" s="8">
        <v>132637078</v>
      </c>
      <c r="I182" s="8">
        <v>0</v>
      </c>
      <c r="J182" s="8">
        <v>0</v>
      </c>
    </row>
    <row r="183" spans="1:10" x14ac:dyDescent="0.2">
      <c r="A183" s="6" t="s">
        <v>191</v>
      </c>
      <c r="B183" s="6">
        <v>8</v>
      </c>
      <c r="C183" s="8">
        <v>19437</v>
      </c>
      <c r="D183" s="8">
        <v>433383606</v>
      </c>
      <c r="E183" s="8">
        <v>24885</v>
      </c>
      <c r="F183" s="8">
        <v>707940000</v>
      </c>
      <c r="G183" s="8">
        <v>38235</v>
      </c>
      <c r="H183" s="8">
        <v>1084072731</v>
      </c>
      <c r="I183" s="8">
        <v>6087</v>
      </c>
      <c r="J183" s="8">
        <v>57250875</v>
      </c>
    </row>
    <row r="184" spans="1:10" x14ac:dyDescent="0.2">
      <c r="A184" s="6" t="s">
        <v>192</v>
      </c>
      <c r="B184" s="6">
        <v>8</v>
      </c>
      <c r="C184" s="8">
        <v>4500</v>
      </c>
      <c r="D184" s="8">
        <v>31806000</v>
      </c>
      <c r="E184" s="8">
        <v>3150</v>
      </c>
      <c r="F184" s="8">
        <v>22800000</v>
      </c>
      <c r="G184" s="8">
        <v>0</v>
      </c>
      <c r="H184" s="8">
        <v>0</v>
      </c>
      <c r="I184" s="8">
        <v>7650</v>
      </c>
      <c r="J184" s="8">
        <v>54606000</v>
      </c>
    </row>
    <row r="185" spans="1:10" x14ac:dyDescent="0.2">
      <c r="A185" s="6" t="s">
        <v>193</v>
      </c>
      <c r="B185" s="6">
        <v>8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</row>
    <row r="186" spans="1:10" x14ac:dyDescent="0.2">
      <c r="A186" s="6" t="s">
        <v>194</v>
      </c>
      <c r="B186" s="6">
        <v>8</v>
      </c>
      <c r="C186" s="8">
        <v>199720</v>
      </c>
      <c r="D186" s="8">
        <v>1308274410</v>
      </c>
      <c r="E186" s="8">
        <v>31500</v>
      </c>
      <c r="F186" s="8">
        <v>228000000</v>
      </c>
      <c r="G186" s="8">
        <v>176940</v>
      </c>
      <c r="H186" s="8">
        <v>1267790547</v>
      </c>
      <c r="I186" s="8">
        <v>54280</v>
      </c>
      <c r="J186" s="8">
        <v>268483863</v>
      </c>
    </row>
    <row r="187" spans="1:10" x14ac:dyDescent="0.2">
      <c r="A187" s="6" t="s">
        <v>195</v>
      </c>
      <c r="B187" s="6">
        <v>8</v>
      </c>
      <c r="C187" s="8">
        <v>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</row>
    <row r="188" spans="1:10" x14ac:dyDescent="0.2">
      <c r="A188" s="6" t="s">
        <v>196</v>
      </c>
      <c r="B188" s="6">
        <v>8</v>
      </c>
      <c r="C188" s="8">
        <v>0</v>
      </c>
      <c r="D188" s="8">
        <v>0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</row>
    <row r="189" spans="1:10" x14ac:dyDescent="0.2">
      <c r="A189" s="6" t="s">
        <v>197</v>
      </c>
      <c r="B189" s="6">
        <v>8</v>
      </c>
      <c r="C189" s="8">
        <v>330</v>
      </c>
      <c r="D189" s="8">
        <v>2367855</v>
      </c>
      <c r="E189" s="8">
        <v>0</v>
      </c>
      <c r="F189" s="8">
        <v>0</v>
      </c>
      <c r="G189" s="8">
        <v>0</v>
      </c>
      <c r="H189" s="8">
        <v>0</v>
      </c>
      <c r="I189" s="8">
        <v>330</v>
      </c>
      <c r="J189" s="8">
        <v>2367855</v>
      </c>
    </row>
    <row r="190" spans="1:10" x14ac:dyDescent="0.2">
      <c r="A190" s="6" t="s">
        <v>198</v>
      </c>
      <c r="B190" s="6">
        <v>8</v>
      </c>
      <c r="C190" s="8">
        <v>0</v>
      </c>
      <c r="D190" s="8">
        <v>0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</row>
    <row r="191" spans="1:10" x14ac:dyDescent="0.2">
      <c r="A191" s="6" t="s">
        <v>199</v>
      </c>
      <c r="B191" s="6">
        <v>8</v>
      </c>
      <c r="C191" s="8">
        <v>77660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77660</v>
      </c>
      <c r="J191" s="8">
        <v>0</v>
      </c>
    </row>
    <row r="192" spans="1:10" x14ac:dyDescent="0.2">
      <c r="A192" s="6" t="s">
        <v>200</v>
      </c>
      <c r="B192" s="6">
        <v>8</v>
      </c>
      <c r="C192" s="8">
        <v>72</v>
      </c>
      <c r="D192" s="8">
        <v>504000</v>
      </c>
      <c r="E192" s="8">
        <v>0</v>
      </c>
      <c r="F192" s="8">
        <v>0</v>
      </c>
      <c r="G192" s="8">
        <v>0</v>
      </c>
      <c r="H192" s="8">
        <v>0</v>
      </c>
      <c r="I192" s="8">
        <v>72</v>
      </c>
      <c r="J192" s="8">
        <v>504000</v>
      </c>
    </row>
    <row r="193" spans="1:10" x14ac:dyDescent="0.2">
      <c r="A193" s="6" t="s">
        <v>201</v>
      </c>
      <c r="B193" s="6">
        <v>8</v>
      </c>
      <c r="C193" s="8">
        <v>1800</v>
      </c>
      <c r="D193" s="8">
        <v>27299699</v>
      </c>
      <c r="E193" s="8">
        <v>300</v>
      </c>
      <c r="F193" s="8">
        <v>4861200</v>
      </c>
      <c r="G193" s="8">
        <v>0</v>
      </c>
      <c r="H193" s="8">
        <v>0</v>
      </c>
      <c r="I193" s="8">
        <v>2100</v>
      </c>
      <c r="J193" s="8">
        <v>32160899</v>
      </c>
    </row>
    <row r="194" spans="1:10" x14ac:dyDescent="0.2">
      <c r="A194" s="6" t="s">
        <v>202</v>
      </c>
      <c r="B194" s="6">
        <v>8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</row>
    <row r="195" spans="1:10" x14ac:dyDescent="0.2">
      <c r="A195" s="6" t="s">
        <v>203</v>
      </c>
      <c r="B195" s="6">
        <v>8</v>
      </c>
      <c r="C195" s="8">
        <v>6232</v>
      </c>
      <c r="D195" s="8">
        <v>69177878</v>
      </c>
      <c r="E195" s="8">
        <v>1440</v>
      </c>
      <c r="F195" s="8">
        <v>16901280</v>
      </c>
      <c r="G195" s="8">
        <v>0</v>
      </c>
      <c r="H195" s="8">
        <v>0</v>
      </c>
      <c r="I195" s="8">
        <v>7672</v>
      </c>
      <c r="J195" s="8">
        <v>86079158</v>
      </c>
    </row>
    <row r="196" spans="1:10" x14ac:dyDescent="0.2">
      <c r="A196" s="6" t="s">
        <v>204</v>
      </c>
      <c r="B196" s="6">
        <v>8</v>
      </c>
      <c r="C196" s="8">
        <v>3413</v>
      </c>
      <c r="D196" s="8">
        <v>89688053</v>
      </c>
      <c r="E196" s="8">
        <v>4752</v>
      </c>
      <c r="F196" s="8">
        <v>138283200</v>
      </c>
      <c r="G196" s="8">
        <v>2740</v>
      </c>
      <c r="H196" s="8">
        <v>76502294</v>
      </c>
      <c r="I196" s="8">
        <v>5425</v>
      </c>
      <c r="J196" s="8">
        <v>151468959</v>
      </c>
    </row>
    <row r="197" spans="1:10" x14ac:dyDescent="0.2">
      <c r="A197" s="6" t="s">
        <v>205</v>
      </c>
      <c r="B197" s="6">
        <v>8</v>
      </c>
      <c r="C197" s="8">
        <v>2980</v>
      </c>
      <c r="D197" s="8">
        <v>192502709</v>
      </c>
      <c r="E197" s="8">
        <v>240</v>
      </c>
      <c r="F197" s="8">
        <v>0</v>
      </c>
      <c r="G197" s="8">
        <v>1990</v>
      </c>
      <c r="H197" s="8">
        <v>118969066</v>
      </c>
      <c r="I197" s="8">
        <v>1230</v>
      </c>
      <c r="J197" s="8">
        <v>73533643</v>
      </c>
    </row>
    <row r="198" spans="1:10" x14ac:dyDescent="0.2">
      <c r="A198" s="6" t="s">
        <v>206</v>
      </c>
      <c r="B198" s="6">
        <v>8</v>
      </c>
      <c r="C198" s="8">
        <v>1098</v>
      </c>
      <c r="D198" s="8">
        <v>34629458</v>
      </c>
      <c r="E198" s="8">
        <v>96</v>
      </c>
      <c r="F198" s="8">
        <v>3154906</v>
      </c>
      <c r="G198" s="8">
        <v>50</v>
      </c>
      <c r="H198" s="8">
        <v>1582260</v>
      </c>
      <c r="I198" s="8">
        <v>1144</v>
      </c>
      <c r="J198" s="8">
        <v>36202104</v>
      </c>
    </row>
    <row r="199" spans="1:10" x14ac:dyDescent="0.2">
      <c r="A199" s="6" t="s">
        <v>207</v>
      </c>
      <c r="B199" s="6">
        <v>8</v>
      </c>
      <c r="C199" s="8">
        <v>1656</v>
      </c>
      <c r="D199" s="8">
        <v>4609440</v>
      </c>
      <c r="E199" s="8">
        <v>180</v>
      </c>
      <c r="F199" s="8">
        <v>0</v>
      </c>
      <c r="G199" s="8">
        <v>0</v>
      </c>
      <c r="H199" s="8">
        <v>0</v>
      </c>
      <c r="I199" s="8">
        <v>1836</v>
      </c>
      <c r="J199" s="8">
        <v>4609440</v>
      </c>
    </row>
    <row r="200" spans="1:10" x14ac:dyDescent="0.2">
      <c r="A200" s="6" t="s">
        <v>208</v>
      </c>
      <c r="B200" s="6">
        <v>8</v>
      </c>
      <c r="C200" s="8">
        <v>13</v>
      </c>
      <c r="D200" s="8">
        <v>107765</v>
      </c>
      <c r="E200" s="8">
        <v>0</v>
      </c>
      <c r="F200" s="8">
        <v>0</v>
      </c>
      <c r="G200" s="8">
        <v>0</v>
      </c>
      <c r="H200" s="8">
        <v>0</v>
      </c>
      <c r="I200" s="8">
        <v>13</v>
      </c>
      <c r="J200" s="8">
        <v>107765</v>
      </c>
    </row>
    <row r="201" spans="1:10" x14ac:dyDescent="0.2">
      <c r="A201" s="6" t="s">
        <v>209</v>
      </c>
      <c r="B201" s="6">
        <v>8</v>
      </c>
      <c r="C201" s="8">
        <v>12</v>
      </c>
      <c r="D201" s="8">
        <v>700920</v>
      </c>
      <c r="E201" s="8">
        <v>12</v>
      </c>
      <c r="F201" s="8">
        <v>700920</v>
      </c>
      <c r="G201" s="8">
        <v>0</v>
      </c>
      <c r="H201" s="8">
        <v>0</v>
      </c>
      <c r="I201" s="8">
        <v>24</v>
      </c>
      <c r="J201" s="8">
        <v>1401840</v>
      </c>
    </row>
    <row r="202" spans="1:10" x14ac:dyDescent="0.2">
      <c r="A202" s="6" t="s">
        <v>210</v>
      </c>
      <c r="B202" s="6">
        <v>8</v>
      </c>
      <c r="C202" s="8">
        <v>625</v>
      </c>
      <c r="D202" s="8">
        <v>6930861</v>
      </c>
      <c r="E202" s="8">
        <v>0</v>
      </c>
      <c r="F202" s="8">
        <v>0</v>
      </c>
      <c r="G202" s="8">
        <v>0</v>
      </c>
      <c r="H202" s="8">
        <v>0</v>
      </c>
      <c r="I202" s="8">
        <v>625</v>
      </c>
      <c r="J202" s="8">
        <v>6930861</v>
      </c>
    </row>
    <row r="203" spans="1:10" x14ac:dyDescent="0.2">
      <c r="A203" s="6" t="s">
        <v>211</v>
      </c>
      <c r="B203" s="6">
        <v>8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</row>
    <row r="204" spans="1:10" x14ac:dyDescent="0.2">
      <c r="A204" s="6" t="s">
        <v>212</v>
      </c>
      <c r="B204" s="6">
        <v>8</v>
      </c>
      <c r="C204" s="8">
        <v>1433</v>
      </c>
      <c r="D204" s="8">
        <v>16316932</v>
      </c>
      <c r="E204" s="8">
        <v>3024</v>
      </c>
      <c r="F204" s="8">
        <v>37545984</v>
      </c>
      <c r="G204" s="8">
        <v>880</v>
      </c>
      <c r="H204" s="8">
        <v>10634814</v>
      </c>
      <c r="I204" s="8">
        <v>3577</v>
      </c>
      <c r="J204" s="8">
        <v>43228102</v>
      </c>
    </row>
    <row r="205" spans="1:10" x14ac:dyDescent="0.2">
      <c r="A205" s="6" t="s">
        <v>213</v>
      </c>
      <c r="B205" s="6">
        <v>8</v>
      </c>
      <c r="C205" s="8">
        <v>10140</v>
      </c>
      <c r="D205" s="8">
        <v>215404020</v>
      </c>
      <c r="E205" s="8">
        <v>612</v>
      </c>
      <c r="F205" s="8">
        <v>0</v>
      </c>
      <c r="G205" s="8">
        <v>0</v>
      </c>
      <c r="H205" s="8">
        <v>0</v>
      </c>
      <c r="I205" s="8">
        <v>10752</v>
      </c>
      <c r="J205" s="8">
        <v>215404020</v>
      </c>
    </row>
    <row r="206" spans="1:10" x14ac:dyDescent="0.2">
      <c r="A206" s="6" t="s">
        <v>214</v>
      </c>
      <c r="B206" s="6">
        <v>8</v>
      </c>
      <c r="C206" s="8">
        <v>14637</v>
      </c>
      <c r="D206" s="8">
        <v>338329484</v>
      </c>
      <c r="E206" s="8">
        <v>5004</v>
      </c>
      <c r="F206" s="8">
        <v>102888288</v>
      </c>
      <c r="G206" s="8">
        <v>7772</v>
      </c>
      <c r="H206" s="8">
        <v>174591137</v>
      </c>
      <c r="I206" s="8">
        <v>11869</v>
      </c>
      <c r="J206" s="8">
        <v>266626635</v>
      </c>
    </row>
    <row r="207" spans="1:10" x14ac:dyDescent="0.2">
      <c r="A207" s="6" t="s">
        <v>215</v>
      </c>
      <c r="B207" s="6">
        <v>8</v>
      </c>
      <c r="C207" s="8">
        <v>7600</v>
      </c>
      <c r="D207" s="8">
        <v>303881600</v>
      </c>
      <c r="E207" s="8">
        <v>0</v>
      </c>
      <c r="F207" s="8">
        <v>0</v>
      </c>
      <c r="G207" s="8">
        <v>0</v>
      </c>
      <c r="H207" s="8">
        <v>0</v>
      </c>
      <c r="I207" s="8">
        <v>7600</v>
      </c>
      <c r="J207" s="8">
        <v>303881600</v>
      </c>
    </row>
    <row r="208" spans="1:10" x14ac:dyDescent="0.2">
      <c r="A208" s="6" t="s">
        <v>216</v>
      </c>
      <c r="B208" s="6">
        <v>8</v>
      </c>
      <c r="C208" s="8">
        <v>144</v>
      </c>
      <c r="D208" s="8">
        <v>2500272</v>
      </c>
      <c r="E208" s="8">
        <v>144</v>
      </c>
      <c r="F208" s="8">
        <v>2500272</v>
      </c>
      <c r="G208" s="8">
        <v>0</v>
      </c>
      <c r="H208" s="8">
        <v>0</v>
      </c>
      <c r="I208" s="8">
        <v>288</v>
      </c>
      <c r="J208" s="8">
        <v>5000544</v>
      </c>
    </row>
    <row r="209" spans="1:10" x14ac:dyDescent="0.2">
      <c r="A209" s="6" t="s">
        <v>217</v>
      </c>
      <c r="B209" s="6">
        <v>8</v>
      </c>
      <c r="C209" s="8">
        <v>10</v>
      </c>
      <c r="D209" s="8">
        <v>1775003</v>
      </c>
      <c r="E209" s="8">
        <v>0</v>
      </c>
      <c r="F209" s="8">
        <v>0</v>
      </c>
      <c r="G209" s="8">
        <v>0</v>
      </c>
      <c r="H209" s="8">
        <v>0</v>
      </c>
      <c r="I209" s="8">
        <v>10</v>
      </c>
      <c r="J209" s="8">
        <v>1775003</v>
      </c>
    </row>
    <row r="210" spans="1:10" x14ac:dyDescent="0.2">
      <c r="A210" s="6" t="s">
        <v>218</v>
      </c>
      <c r="B210" s="6">
        <v>8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</row>
    <row r="211" spans="1:10" x14ac:dyDescent="0.2">
      <c r="A211" s="6" t="s">
        <v>219</v>
      </c>
      <c r="B211" s="6">
        <v>8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</row>
    <row r="212" spans="1:10" x14ac:dyDescent="0.2">
      <c r="A212" s="6" t="s">
        <v>220</v>
      </c>
      <c r="B212" s="6">
        <v>8</v>
      </c>
      <c r="C212" s="8">
        <v>0</v>
      </c>
      <c r="D212" s="8">
        <v>0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</row>
    <row r="213" spans="1:10" x14ac:dyDescent="0.2">
      <c r="A213" s="6" t="s">
        <v>221</v>
      </c>
      <c r="B213" s="6">
        <v>8</v>
      </c>
      <c r="C213" s="8">
        <v>2514</v>
      </c>
      <c r="D213" s="8">
        <v>48896367</v>
      </c>
      <c r="E213" s="8">
        <v>1080</v>
      </c>
      <c r="F213" s="8">
        <v>21266280</v>
      </c>
      <c r="G213" s="8">
        <v>600</v>
      </c>
      <c r="H213" s="8">
        <v>11713297</v>
      </c>
      <c r="I213" s="8">
        <v>2994</v>
      </c>
      <c r="J213" s="8">
        <v>58449350</v>
      </c>
    </row>
    <row r="214" spans="1:10" x14ac:dyDescent="0.2">
      <c r="A214" s="6" t="s">
        <v>222</v>
      </c>
      <c r="B214" s="6">
        <v>8</v>
      </c>
      <c r="C214" s="8">
        <v>5836</v>
      </c>
      <c r="D214" s="8">
        <v>125239491</v>
      </c>
      <c r="E214" s="8">
        <v>0</v>
      </c>
      <c r="F214" s="8">
        <v>0</v>
      </c>
      <c r="G214" s="8">
        <v>4760</v>
      </c>
      <c r="H214" s="8">
        <v>102148728</v>
      </c>
      <c r="I214" s="8">
        <v>1076</v>
      </c>
      <c r="J214" s="8">
        <v>23090763</v>
      </c>
    </row>
    <row r="215" spans="1:10" x14ac:dyDescent="0.2">
      <c r="A215" s="6" t="s">
        <v>223</v>
      </c>
      <c r="B215" s="6">
        <v>8</v>
      </c>
      <c r="C215" s="8">
        <v>1009</v>
      </c>
      <c r="D215" s="8">
        <v>43637152</v>
      </c>
      <c r="E215" s="8">
        <v>48</v>
      </c>
      <c r="F215" s="8">
        <v>2076576</v>
      </c>
      <c r="G215" s="8">
        <v>0</v>
      </c>
      <c r="H215" s="8">
        <v>0</v>
      </c>
      <c r="I215" s="8">
        <v>1057</v>
      </c>
      <c r="J215" s="8">
        <v>45713728</v>
      </c>
    </row>
    <row r="216" spans="1:10" x14ac:dyDescent="0.2">
      <c r="A216" s="6" t="s">
        <v>224</v>
      </c>
      <c r="B216" s="6">
        <v>8</v>
      </c>
      <c r="C216" s="8">
        <v>336</v>
      </c>
      <c r="D216" s="8">
        <v>6713952</v>
      </c>
      <c r="E216" s="8">
        <v>0</v>
      </c>
      <c r="F216" s="8">
        <v>0</v>
      </c>
      <c r="G216" s="8">
        <v>0</v>
      </c>
      <c r="H216" s="8">
        <v>0</v>
      </c>
      <c r="I216" s="8">
        <v>336</v>
      </c>
      <c r="J216" s="8">
        <v>6713952</v>
      </c>
    </row>
    <row r="217" spans="1:10" x14ac:dyDescent="0.2">
      <c r="A217" s="6" t="s">
        <v>225</v>
      </c>
      <c r="B217" s="6">
        <v>8</v>
      </c>
      <c r="C217" s="8">
        <v>0</v>
      </c>
      <c r="D217" s="8">
        <v>0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</row>
    <row r="218" spans="1:10" x14ac:dyDescent="0.2">
      <c r="A218" s="6" t="s">
        <v>226</v>
      </c>
      <c r="B218" s="6">
        <v>8</v>
      </c>
      <c r="C218" s="8">
        <v>360</v>
      </c>
      <c r="D218" s="8">
        <v>7553196</v>
      </c>
      <c r="E218" s="8">
        <v>0</v>
      </c>
      <c r="F218" s="8">
        <v>0</v>
      </c>
      <c r="G218" s="8">
        <v>0</v>
      </c>
      <c r="H218" s="8">
        <v>0</v>
      </c>
      <c r="I218" s="8">
        <v>360</v>
      </c>
      <c r="J218" s="8">
        <v>7553196</v>
      </c>
    </row>
    <row r="219" spans="1:10" x14ac:dyDescent="0.2">
      <c r="A219" s="6" t="s">
        <v>227</v>
      </c>
      <c r="B219" s="6">
        <v>8</v>
      </c>
      <c r="C219" s="8">
        <v>490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490</v>
      </c>
      <c r="J219" s="8">
        <v>0</v>
      </c>
    </row>
    <row r="220" spans="1:10" x14ac:dyDescent="0.2">
      <c r="A220" s="6" t="s">
        <v>228</v>
      </c>
      <c r="B220" s="6">
        <v>8</v>
      </c>
      <c r="C220" s="8">
        <v>1311</v>
      </c>
      <c r="D220" s="8">
        <v>116070676</v>
      </c>
      <c r="E220" s="8">
        <v>20</v>
      </c>
      <c r="F220" s="8">
        <v>1756160</v>
      </c>
      <c r="G220" s="8">
        <v>380</v>
      </c>
      <c r="H220" s="8">
        <v>33639517</v>
      </c>
      <c r="I220" s="8">
        <v>951</v>
      </c>
      <c r="J220" s="8">
        <v>84187319</v>
      </c>
    </row>
    <row r="221" spans="1:10" x14ac:dyDescent="0.2">
      <c r="A221" s="6" t="s">
        <v>229</v>
      </c>
      <c r="B221" s="6">
        <v>8</v>
      </c>
      <c r="C221" s="8">
        <v>2175</v>
      </c>
      <c r="D221" s="8">
        <v>197827354</v>
      </c>
      <c r="E221" s="8">
        <v>732</v>
      </c>
      <c r="F221" s="8">
        <v>65375800</v>
      </c>
      <c r="G221" s="8">
        <v>532</v>
      </c>
      <c r="H221" s="8">
        <v>48167897</v>
      </c>
      <c r="I221" s="8">
        <v>2375</v>
      </c>
      <c r="J221" s="8">
        <v>215035257</v>
      </c>
    </row>
    <row r="222" spans="1:10" x14ac:dyDescent="0.2">
      <c r="A222" s="6" t="s">
        <v>230</v>
      </c>
      <c r="B222" s="6">
        <v>8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</row>
    <row r="223" spans="1:10" x14ac:dyDescent="0.2">
      <c r="A223" s="6" t="s">
        <v>231</v>
      </c>
      <c r="B223" s="6">
        <v>8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</row>
    <row r="224" spans="1:10" x14ac:dyDescent="0.2">
      <c r="A224" s="6" t="s">
        <v>232</v>
      </c>
      <c r="B224" s="6">
        <v>8</v>
      </c>
      <c r="C224" s="8">
        <v>1416</v>
      </c>
      <c r="D224" s="8">
        <v>88201837</v>
      </c>
      <c r="E224" s="8">
        <v>922</v>
      </c>
      <c r="F224" s="8">
        <v>55896456</v>
      </c>
      <c r="G224" s="8">
        <v>660</v>
      </c>
      <c r="H224" s="8">
        <v>40677876</v>
      </c>
      <c r="I224" s="8">
        <v>1678</v>
      </c>
      <c r="J224" s="8">
        <v>103420417</v>
      </c>
    </row>
    <row r="225" spans="1:10" x14ac:dyDescent="0.2">
      <c r="A225" s="6" t="s">
        <v>233</v>
      </c>
      <c r="B225" s="6">
        <v>8</v>
      </c>
      <c r="C225" s="8">
        <v>1685</v>
      </c>
      <c r="D225" s="8">
        <v>101095974</v>
      </c>
      <c r="E225" s="8">
        <v>3672</v>
      </c>
      <c r="F225" s="8">
        <v>213248000</v>
      </c>
      <c r="G225" s="8">
        <v>0</v>
      </c>
      <c r="H225" s="8">
        <v>0</v>
      </c>
      <c r="I225" s="8">
        <v>5357</v>
      </c>
      <c r="J225" s="8">
        <v>314343974</v>
      </c>
    </row>
    <row r="226" spans="1:10" x14ac:dyDescent="0.2">
      <c r="A226" s="6" t="s">
        <v>234</v>
      </c>
      <c r="B226" s="6">
        <v>8</v>
      </c>
      <c r="C226" s="8">
        <v>10680</v>
      </c>
      <c r="D226" s="8">
        <v>606922943</v>
      </c>
      <c r="E226" s="8">
        <v>14638</v>
      </c>
      <c r="F226" s="8">
        <v>851065320</v>
      </c>
      <c r="G226" s="8">
        <v>17</v>
      </c>
      <c r="H226" s="8">
        <v>978979</v>
      </c>
      <c r="I226" s="8">
        <v>25301</v>
      </c>
      <c r="J226" s="8">
        <v>1457009284</v>
      </c>
    </row>
    <row r="227" spans="1:10" x14ac:dyDescent="0.2">
      <c r="A227" s="6" t="s">
        <v>235</v>
      </c>
      <c r="B227" s="6">
        <v>8</v>
      </c>
      <c r="C227" s="8">
        <v>214</v>
      </c>
      <c r="D227" s="8">
        <v>14904839</v>
      </c>
      <c r="E227" s="8">
        <v>80</v>
      </c>
      <c r="F227" s="8">
        <v>5644800</v>
      </c>
      <c r="G227" s="8">
        <v>80</v>
      </c>
      <c r="H227" s="8">
        <v>5591739</v>
      </c>
      <c r="I227" s="8">
        <v>214</v>
      </c>
      <c r="J227" s="8">
        <v>14957900</v>
      </c>
    </row>
    <row r="228" spans="1:10" x14ac:dyDescent="0.2">
      <c r="A228" s="6" t="s">
        <v>236</v>
      </c>
      <c r="B228" s="6">
        <v>8</v>
      </c>
      <c r="C228" s="8">
        <v>0</v>
      </c>
      <c r="D228" s="8">
        <v>0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</row>
    <row r="229" spans="1:10" x14ac:dyDescent="0.2">
      <c r="A229" s="6" t="s">
        <v>237</v>
      </c>
      <c r="B229" s="6">
        <v>8</v>
      </c>
      <c r="C229" s="8">
        <v>257</v>
      </c>
      <c r="D229" s="8">
        <v>2097921</v>
      </c>
      <c r="E229" s="8">
        <v>0</v>
      </c>
      <c r="F229" s="8">
        <v>0</v>
      </c>
      <c r="G229" s="8">
        <v>0</v>
      </c>
      <c r="H229" s="8">
        <v>0</v>
      </c>
      <c r="I229" s="8">
        <v>257</v>
      </c>
      <c r="J229" s="8">
        <v>2097921</v>
      </c>
    </row>
    <row r="230" spans="1:10" x14ac:dyDescent="0.2">
      <c r="A230" s="6" t="s">
        <v>238</v>
      </c>
      <c r="B230" s="6">
        <v>8</v>
      </c>
      <c r="C230" s="8">
        <v>1068</v>
      </c>
      <c r="D230" s="8">
        <v>61179869</v>
      </c>
      <c r="E230" s="8">
        <v>516</v>
      </c>
      <c r="F230" s="8">
        <v>29644989</v>
      </c>
      <c r="G230" s="8">
        <v>309</v>
      </c>
      <c r="H230" s="8">
        <v>17717728</v>
      </c>
      <c r="I230" s="8">
        <v>1275</v>
      </c>
      <c r="J230" s="8">
        <v>73107130</v>
      </c>
    </row>
    <row r="231" spans="1:10" x14ac:dyDescent="0.2">
      <c r="A231" s="6" t="s">
        <v>239</v>
      </c>
      <c r="B231" s="6">
        <v>8</v>
      </c>
      <c r="C231" s="8">
        <v>0</v>
      </c>
      <c r="D231" s="8">
        <v>0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</row>
    <row r="232" spans="1:10" x14ac:dyDescent="0.2">
      <c r="A232" s="6" t="s">
        <v>240</v>
      </c>
      <c r="B232" s="6">
        <v>8</v>
      </c>
      <c r="C232" s="8">
        <v>2035</v>
      </c>
      <c r="D232" s="8">
        <v>190521783</v>
      </c>
      <c r="E232" s="8">
        <v>2730</v>
      </c>
      <c r="F232" s="8">
        <v>255233160</v>
      </c>
      <c r="G232" s="8">
        <v>1698</v>
      </c>
      <c r="H232" s="8">
        <v>158844049</v>
      </c>
      <c r="I232" s="8">
        <v>3067</v>
      </c>
      <c r="J232" s="8">
        <v>286910894</v>
      </c>
    </row>
    <row r="233" spans="1:10" x14ac:dyDescent="0.2">
      <c r="A233" s="6" t="s">
        <v>241</v>
      </c>
      <c r="B233" s="6">
        <v>8</v>
      </c>
      <c r="C233" s="8">
        <v>1131</v>
      </c>
      <c r="D233" s="8">
        <v>86180918</v>
      </c>
      <c r="E233" s="8">
        <v>428</v>
      </c>
      <c r="F233" s="8">
        <v>29580408</v>
      </c>
      <c r="G233" s="8">
        <v>752</v>
      </c>
      <c r="H233" s="8">
        <v>55838690</v>
      </c>
      <c r="I233" s="8">
        <v>807</v>
      </c>
      <c r="J233" s="8">
        <v>59922636</v>
      </c>
    </row>
    <row r="234" spans="1:10" x14ac:dyDescent="0.2">
      <c r="A234" s="6" t="s">
        <v>242</v>
      </c>
      <c r="B234" s="6">
        <v>8</v>
      </c>
      <c r="C234" s="8">
        <v>555</v>
      </c>
      <c r="D234" s="8">
        <v>38219722</v>
      </c>
      <c r="E234" s="8">
        <v>126</v>
      </c>
      <c r="F234" s="8">
        <v>9112824</v>
      </c>
      <c r="G234" s="8">
        <v>452</v>
      </c>
      <c r="H234" s="8">
        <v>31416022</v>
      </c>
      <c r="I234" s="8">
        <v>229</v>
      </c>
      <c r="J234" s="8">
        <v>15916524</v>
      </c>
    </row>
    <row r="235" spans="1:10" x14ac:dyDescent="0.2">
      <c r="A235" s="6" t="s">
        <v>243</v>
      </c>
      <c r="B235" s="6">
        <v>8</v>
      </c>
      <c r="C235" s="8">
        <v>1553</v>
      </c>
      <c r="D235" s="8">
        <v>144325759</v>
      </c>
      <c r="E235" s="8">
        <v>253</v>
      </c>
      <c r="F235" s="8">
        <v>22881530</v>
      </c>
      <c r="G235" s="8">
        <v>154</v>
      </c>
      <c r="H235" s="8">
        <v>14257986</v>
      </c>
      <c r="I235" s="8">
        <v>1652</v>
      </c>
      <c r="J235" s="8">
        <v>152949303</v>
      </c>
    </row>
    <row r="236" spans="1:10" x14ac:dyDescent="0.2">
      <c r="A236" s="6" t="s">
        <v>244</v>
      </c>
      <c r="B236" s="6">
        <v>8</v>
      </c>
      <c r="C236" s="8">
        <v>36</v>
      </c>
      <c r="D236" s="8">
        <v>3161088</v>
      </c>
      <c r="E236" s="8">
        <v>4</v>
      </c>
      <c r="F236" s="8">
        <v>351232</v>
      </c>
      <c r="G236" s="8">
        <v>0</v>
      </c>
      <c r="H236" s="8">
        <v>0</v>
      </c>
      <c r="I236" s="8">
        <v>40</v>
      </c>
      <c r="J236" s="8">
        <v>3512320</v>
      </c>
    </row>
    <row r="237" spans="1:10" x14ac:dyDescent="0.2">
      <c r="A237" s="6" t="s">
        <v>245</v>
      </c>
      <c r="B237" s="6">
        <v>8</v>
      </c>
      <c r="C237" s="8">
        <v>0</v>
      </c>
      <c r="D237" s="8">
        <v>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</row>
    <row r="238" spans="1:10" x14ac:dyDescent="0.2">
      <c r="A238" s="6" t="s">
        <v>246</v>
      </c>
      <c r="B238" s="6">
        <v>8</v>
      </c>
      <c r="C238" s="8">
        <v>3013</v>
      </c>
      <c r="D238" s="8">
        <v>21475279</v>
      </c>
      <c r="E238" s="8">
        <v>1920</v>
      </c>
      <c r="F238" s="8">
        <v>13684876</v>
      </c>
      <c r="G238" s="8">
        <v>0</v>
      </c>
      <c r="H238" s="8">
        <v>0</v>
      </c>
      <c r="I238" s="8">
        <v>4933</v>
      </c>
      <c r="J238" s="8">
        <v>35160155</v>
      </c>
    </row>
    <row r="239" spans="1:10" x14ac:dyDescent="0.2">
      <c r="A239" s="6" t="s">
        <v>247</v>
      </c>
      <c r="B239" s="6">
        <v>8</v>
      </c>
      <c r="C239" s="8">
        <v>30961</v>
      </c>
      <c r="D239" s="8">
        <v>207792507</v>
      </c>
      <c r="E239" s="8">
        <v>4910</v>
      </c>
      <c r="F239" s="8">
        <v>30790972</v>
      </c>
      <c r="G239" s="8">
        <v>130</v>
      </c>
      <c r="H239" s="8">
        <v>864650</v>
      </c>
      <c r="I239" s="8">
        <v>35741</v>
      </c>
      <c r="J239" s="8">
        <v>237718829</v>
      </c>
    </row>
    <row r="240" spans="1:10" x14ac:dyDescent="0.2">
      <c r="A240" s="6" t="s">
        <v>248</v>
      </c>
      <c r="B240" s="6">
        <v>8</v>
      </c>
      <c r="C240" s="8">
        <v>264</v>
      </c>
      <c r="D240" s="8">
        <v>1881670</v>
      </c>
      <c r="E240" s="8">
        <v>0</v>
      </c>
      <c r="F240" s="8">
        <v>0</v>
      </c>
      <c r="G240" s="8">
        <v>0</v>
      </c>
      <c r="H240" s="8">
        <v>0</v>
      </c>
      <c r="I240" s="8">
        <v>264</v>
      </c>
      <c r="J240" s="8">
        <v>1881670</v>
      </c>
    </row>
    <row r="241" spans="1:10" x14ac:dyDescent="0.2">
      <c r="A241" s="6" t="s">
        <v>249</v>
      </c>
      <c r="B241" s="6">
        <v>8</v>
      </c>
      <c r="C241" s="8">
        <v>281</v>
      </c>
      <c r="D241" s="8">
        <v>2002839</v>
      </c>
      <c r="E241" s="8">
        <v>0</v>
      </c>
      <c r="F241" s="8">
        <v>0</v>
      </c>
      <c r="G241" s="8">
        <v>0</v>
      </c>
      <c r="H241" s="8">
        <v>0</v>
      </c>
      <c r="I241" s="8">
        <v>281</v>
      </c>
      <c r="J241" s="8">
        <v>2002839</v>
      </c>
    </row>
    <row r="242" spans="1:10" x14ac:dyDescent="0.2">
      <c r="A242" s="6" t="s">
        <v>250</v>
      </c>
      <c r="B242" s="6">
        <v>8</v>
      </c>
      <c r="C242" s="8">
        <v>9573</v>
      </c>
      <c r="D242" s="8">
        <v>120842592</v>
      </c>
      <c r="E242" s="8">
        <v>2400</v>
      </c>
      <c r="F242" s="8">
        <v>17106095</v>
      </c>
      <c r="G242" s="8">
        <v>112</v>
      </c>
      <c r="H242" s="8">
        <v>1290425</v>
      </c>
      <c r="I242" s="8">
        <v>11861</v>
      </c>
      <c r="J242" s="8">
        <v>136658262</v>
      </c>
    </row>
    <row r="243" spans="1:10" x14ac:dyDescent="0.2">
      <c r="A243" s="6" t="s">
        <v>251</v>
      </c>
      <c r="B243" s="6">
        <v>8</v>
      </c>
      <c r="C243" s="8">
        <v>0</v>
      </c>
      <c r="D243" s="8">
        <v>0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</row>
    <row r="244" spans="1:10" x14ac:dyDescent="0.2">
      <c r="A244" s="6" t="s">
        <v>252</v>
      </c>
      <c r="B244" s="6">
        <v>8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</row>
    <row r="245" spans="1:10" x14ac:dyDescent="0.2">
      <c r="A245" s="6" t="s">
        <v>253</v>
      </c>
      <c r="B245" s="6">
        <v>8</v>
      </c>
      <c r="C245" s="8">
        <v>0</v>
      </c>
      <c r="D245" s="8">
        <v>0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</row>
    <row r="246" spans="1:10" x14ac:dyDescent="0.2">
      <c r="A246" s="6" t="s">
        <v>254</v>
      </c>
      <c r="B246" s="6">
        <v>8</v>
      </c>
      <c r="C246" s="8">
        <v>28</v>
      </c>
      <c r="D246" s="8">
        <v>959143</v>
      </c>
      <c r="E246" s="8">
        <v>200</v>
      </c>
      <c r="F246" s="8">
        <v>6873600</v>
      </c>
      <c r="G246" s="8">
        <v>90</v>
      </c>
      <c r="H246" s="8">
        <v>3091872</v>
      </c>
      <c r="I246" s="8">
        <v>138</v>
      </c>
      <c r="J246" s="8">
        <v>4740871</v>
      </c>
    </row>
    <row r="247" spans="1:10" x14ac:dyDescent="0.2">
      <c r="A247" s="6" t="s">
        <v>255</v>
      </c>
      <c r="B247" s="6">
        <v>8</v>
      </c>
      <c r="C247" s="8">
        <v>0</v>
      </c>
      <c r="D247" s="8">
        <v>884858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884858</v>
      </c>
    </row>
    <row r="248" spans="1:10" x14ac:dyDescent="0.2">
      <c r="A248" s="6" t="s">
        <v>256</v>
      </c>
      <c r="B248" s="6">
        <v>8</v>
      </c>
      <c r="C248" s="8">
        <v>15</v>
      </c>
      <c r="D248" s="8">
        <v>417895</v>
      </c>
      <c r="E248" s="8">
        <v>50</v>
      </c>
      <c r="F248" s="8">
        <v>2181840</v>
      </c>
      <c r="G248" s="8">
        <v>30</v>
      </c>
      <c r="H248" s="8">
        <v>1199878</v>
      </c>
      <c r="I248" s="8">
        <v>35</v>
      </c>
      <c r="J248" s="8">
        <v>1399857</v>
      </c>
    </row>
    <row r="249" spans="1:10" x14ac:dyDescent="0.2">
      <c r="A249" s="6" t="s">
        <v>257</v>
      </c>
      <c r="B249" s="6">
        <v>8</v>
      </c>
      <c r="C249" s="8">
        <v>0</v>
      </c>
      <c r="D249" s="8">
        <v>0</v>
      </c>
      <c r="E249" s="8">
        <v>5</v>
      </c>
      <c r="F249" s="8">
        <v>284640</v>
      </c>
      <c r="G249" s="8">
        <v>0</v>
      </c>
      <c r="H249" s="8">
        <v>0</v>
      </c>
      <c r="I249" s="8">
        <v>5</v>
      </c>
      <c r="J249" s="8">
        <v>284640</v>
      </c>
    </row>
    <row r="250" spans="1:10" x14ac:dyDescent="0.2">
      <c r="A250" s="6" t="s">
        <v>258</v>
      </c>
      <c r="B250" s="6">
        <v>8</v>
      </c>
      <c r="C250" s="8">
        <v>1155</v>
      </c>
      <c r="D250" s="8">
        <v>3411762</v>
      </c>
      <c r="E250" s="8">
        <v>430</v>
      </c>
      <c r="F250" s="8">
        <v>6588288</v>
      </c>
      <c r="G250" s="8">
        <v>320</v>
      </c>
      <c r="H250" s="8">
        <v>4898409</v>
      </c>
      <c r="I250" s="8">
        <v>1265</v>
      </c>
      <c r="J250" s="8">
        <v>5101641</v>
      </c>
    </row>
    <row r="251" spans="1:10" x14ac:dyDescent="0.2">
      <c r="A251" s="6" t="s">
        <v>259</v>
      </c>
      <c r="B251" s="6">
        <v>8</v>
      </c>
      <c r="C251" s="8">
        <v>110</v>
      </c>
      <c r="D251" s="8">
        <v>2420810</v>
      </c>
      <c r="E251" s="8">
        <v>0</v>
      </c>
      <c r="F251" s="8">
        <v>0</v>
      </c>
      <c r="G251" s="8">
        <v>0</v>
      </c>
      <c r="H251" s="8">
        <v>0</v>
      </c>
      <c r="I251" s="8">
        <v>110</v>
      </c>
      <c r="J251" s="8">
        <v>2420810</v>
      </c>
    </row>
    <row r="252" spans="1:10" x14ac:dyDescent="0.2">
      <c r="A252" s="6" t="s">
        <v>260</v>
      </c>
      <c r="B252" s="6">
        <v>8</v>
      </c>
      <c r="C252" s="8">
        <v>2</v>
      </c>
      <c r="D252" s="8">
        <v>109792</v>
      </c>
      <c r="E252" s="8">
        <v>0</v>
      </c>
      <c r="F252" s="8">
        <v>0</v>
      </c>
      <c r="G252" s="8">
        <v>0</v>
      </c>
      <c r="H252" s="8">
        <v>0</v>
      </c>
      <c r="I252" s="8">
        <v>2</v>
      </c>
      <c r="J252" s="8">
        <v>109792</v>
      </c>
    </row>
    <row r="253" spans="1:10" x14ac:dyDescent="0.2">
      <c r="A253" s="6" t="s">
        <v>261</v>
      </c>
      <c r="B253" s="6">
        <v>8</v>
      </c>
      <c r="C253" s="8">
        <v>0</v>
      </c>
      <c r="D253" s="8">
        <v>0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</row>
    <row r="254" spans="1:10" x14ac:dyDescent="0.2">
      <c r="A254" s="6" t="s">
        <v>262</v>
      </c>
      <c r="B254" s="6">
        <v>8</v>
      </c>
      <c r="C254" s="8">
        <v>0</v>
      </c>
      <c r="D254" s="8">
        <v>0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</row>
    <row r="255" spans="1:10" x14ac:dyDescent="0.2">
      <c r="A255" s="6" t="s">
        <v>263</v>
      </c>
      <c r="B255" s="6">
        <v>8</v>
      </c>
      <c r="C255" s="8">
        <v>0</v>
      </c>
      <c r="D255" s="8">
        <v>0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</row>
    <row r="256" spans="1:10" x14ac:dyDescent="0.2">
      <c r="A256" s="6" t="s">
        <v>264</v>
      </c>
      <c r="B256" s="6">
        <v>8</v>
      </c>
      <c r="C256" s="8">
        <v>0</v>
      </c>
      <c r="D256" s="8">
        <v>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</row>
    <row r="257" spans="1:10" x14ac:dyDescent="0.2">
      <c r="A257" s="6" t="s">
        <v>265</v>
      </c>
      <c r="B257" s="6">
        <v>8</v>
      </c>
      <c r="C257" s="8">
        <v>0</v>
      </c>
      <c r="D257" s="8">
        <v>0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</row>
    <row r="258" spans="1:10" x14ac:dyDescent="0.2">
      <c r="A258" s="6" t="s">
        <v>266</v>
      </c>
      <c r="B258" s="6">
        <v>8</v>
      </c>
      <c r="C258" s="8">
        <v>0</v>
      </c>
      <c r="D258" s="8">
        <v>0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</row>
    <row r="259" spans="1:10" x14ac:dyDescent="0.2">
      <c r="A259" s="6" t="s">
        <v>267</v>
      </c>
      <c r="B259" s="6">
        <v>8</v>
      </c>
      <c r="C259" s="8">
        <v>1</v>
      </c>
      <c r="D259" s="8">
        <v>39000</v>
      </c>
      <c r="E259" s="8">
        <v>0</v>
      </c>
      <c r="F259" s="8">
        <v>0</v>
      </c>
      <c r="G259" s="8">
        <v>0</v>
      </c>
      <c r="H259" s="8">
        <v>0</v>
      </c>
      <c r="I259" s="8">
        <v>1</v>
      </c>
      <c r="J259" s="8">
        <v>39000</v>
      </c>
    </row>
    <row r="260" spans="1:10" x14ac:dyDescent="0.2">
      <c r="A260" s="6" t="s">
        <v>268</v>
      </c>
      <c r="B260" s="6">
        <v>8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</row>
    <row r="261" spans="1:10" x14ac:dyDescent="0.2">
      <c r="A261" s="6" t="s">
        <v>269</v>
      </c>
      <c r="B261" s="6">
        <v>8</v>
      </c>
      <c r="C261" s="8">
        <v>0</v>
      </c>
      <c r="D261" s="8">
        <v>0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</row>
    <row r="262" spans="1:10" x14ac:dyDescent="0.2">
      <c r="A262" s="6" t="s">
        <v>270</v>
      </c>
      <c r="B262" s="6">
        <v>8</v>
      </c>
      <c r="C262" s="8">
        <v>0</v>
      </c>
      <c r="D262" s="8">
        <v>0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</row>
    <row r="263" spans="1:10" x14ac:dyDescent="0.2">
      <c r="A263" s="6" t="s">
        <v>271</v>
      </c>
      <c r="B263" s="6">
        <v>8</v>
      </c>
      <c r="C263" s="8">
        <v>0</v>
      </c>
      <c r="D263" s="8">
        <v>0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</row>
    <row r="264" spans="1:10" x14ac:dyDescent="0.2">
      <c r="A264" s="6" t="s">
        <v>272</v>
      </c>
      <c r="B264" s="6">
        <v>8</v>
      </c>
      <c r="C264" s="8">
        <v>6</v>
      </c>
      <c r="D264" s="8">
        <v>794727</v>
      </c>
      <c r="E264" s="8">
        <v>2</v>
      </c>
      <c r="F264" s="8">
        <v>270545</v>
      </c>
      <c r="G264" s="8">
        <v>0</v>
      </c>
      <c r="H264" s="8">
        <v>0</v>
      </c>
      <c r="I264" s="8">
        <v>8</v>
      </c>
      <c r="J264" s="8">
        <v>1065272</v>
      </c>
    </row>
    <row r="265" spans="1:10" x14ac:dyDescent="0.2">
      <c r="A265" s="6" t="s">
        <v>273</v>
      </c>
      <c r="B265" s="6">
        <v>8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</row>
    <row r="266" spans="1:10" x14ac:dyDescent="0.2">
      <c r="A266" s="6" t="s">
        <v>274</v>
      </c>
      <c r="B266" s="6">
        <v>8</v>
      </c>
      <c r="C266" s="8">
        <v>0</v>
      </c>
      <c r="D266" s="8">
        <v>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</row>
    <row r="267" spans="1:10" x14ac:dyDescent="0.2">
      <c r="A267" s="6" t="s">
        <v>275</v>
      </c>
      <c r="B267" s="6">
        <v>8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</row>
    <row r="268" spans="1:10" x14ac:dyDescent="0.2">
      <c r="A268" s="6" t="s">
        <v>276</v>
      </c>
      <c r="B268" s="6">
        <v>8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</row>
    <row r="269" spans="1:10" x14ac:dyDescent="0.2">
      <c r="A269" s="6" t="s">
        <v>277</v>
      </c>
      <c r="B269" s="6">
        <v>8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</row>
    <row r="270" spans="1:10" x14ac:dyDescent="0.2">
      <c r="A270" s="6" t="s">
        <v>278</v>
      </c>
      <c r="B270" s="6">
        <v>8</v>
      </c>
      <c r="C270" s="8">
        <v>0</v>
      </c>
      <c r="D270" s="8">
        <v>0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</row>
    <row r="271" spans="1:10" x14ac:dyDescent="0.2">
      <c r="A271" s="6" t="s">
        <v>279</v>
      </c>
      <c r="B271" s="6">
        <v>8</v>
      </c>
      <c r="C271" s="8">
        <v>0</v>
      </c>
      <c r="D271" s="8">
        <v>0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</row>
    <row r="272" spans="1:10" x14ac:dyDescent="0.2">
      <c r="A272" s="6" t="s">
        <v>280</v>
      </c>
      <c r="B272" s="6">
        <v>8</v>
      </c>
      <c r="C272" s="8">
        <v>0</v>
      </c>
      <c r="D272" s="8">
        <v>0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</row>
    <row r="273" spans="1:23" x14ac:dyDescent="0.2">
      <c r="A273" s="6" t="s">
        <v>281</v>
      </c>
      <c r="B273" s="6">
        <v>8</v>
      </c>
      <c r="C273" s="8">
        <v>23</v>
      </c>
      <c r="D273" s="8">
        <v>405457</v>
      </c>
      <c r="E273" s="8">
        <v>92</v>
      </c>
      <c r="F273" s="8">
        <v>1587600</v>
      </c>
      <c r="G273" s="8">
        <v>30</v>
      </c>
      <c r="H273" s="8">
        <v>519928</v>
      </c>
      <c r="I273" s="8">
        <v>85</v>
      </c>
      <c r="J273" s="8">
        <v>1473129</v>
      </c>
    </row>
    <row r="274" spans="1:23" x14ac:dyDescent="0.2">
      <c r="A274" s="6" t="s">
        <v>282</v>
      </c>
      <c r="B274" s="6">
        <v>8</v>
      </c>
      <c r="C274" s="8">
        <v>28</v>
      </c>
      <c r="D274" s="8">
        <v>1963675</v>
      </c>
      <c r="E274" s="8">
        <v>30</v>
      </c>
      <c r="F274" s="8">
        <v>2116800</v>
      </c>
      <c r="G274" s="8">
        <v>0</v>
      </c>
      <c r="H274" s="8">
        <v>0</v>
      </c>
      <c r="I274" s="8">
        <v>58</v>
      </c>
      <c r="J274" s="8">
        <v>4080475</v>
      </c>
    </row>
    <row r="275" spans="1:23" x14ac:dyDescent="0.2">
      <c r="A275" s="6" t="s">
        <v>283</v>
      </c>
      <c r="B275" s="6">
        <v>8</v>
      </c>
      <c r="C275" s="8">
        <v>2268</v>
      </c>
      <c r="D275" s="8">
        <v>47000717</v>
      </c>
      <c r="E275" s="8">
        <v>1412</v>
      </c>
      <c r="F275" s="8">
        <v>48535200</v>
      </c>
      <c r="G275" s="8">
        <v>1202</v>
      </c>
      <c r="H275" s="8">
        <v>41335983</v>
      </c>
      <c r="I275" s="8">
        <v>2478</v>
      </c>
      <c r="J275" s="8">
        <v>54199934</v>
      </c>
    </row>
    <row r="276" spans="1:23" x14ac:dyDescent="0.2">
      <c r="A276" s="6" t="s">
        <v>284</v>
      </c>
      <c r="B276" s="6">
        <v>8</v>
      </c>
      <c r="C276" s="8">
        <v>120</v>
      </c>
      <c r="D276" s="8">
        <v>5445385</v>
      </c>
      <c r="E276" s="8">
        <v>70</v>
      </c>
      <c r="F276" s="8">
        <v>3222240</v>
      </c>
      <c r="G276" s="8">
        <v>10</v>
      </c>
      <c r="H276" s="8">
        <v>456191</v>
      </c>
      <c r="I276" s="8">
        <v>180</v>
      </c>
      <c r="J276" s="8">
        <v>8211434</v>
      </c>
    </row>
    <row r="277" spans="1:23" x14ac:dyDescent="0.2">
      <c r="A277" s="6" t="s">
        <v>285</v>
      </c>
      <c r="B277" s="6">
        <v>8</v>
      </c>
      <c r="C277" s="8">
        <v>5</v>
      </c>
      <c r="D277" s="8">
        <v>586595</v>
      </c>
      <c r="E277" s="8">
        <v>0</v>
      </c>
      <c r="F277" s="8">
        <v>0</v>
      </c>
      <c r="G277" s="8">
        <v>0</v>
      </c>
      <c r="H277" s="8">
        <v>0</v>
      </c>
      <c r="I277" s="8">
        <v>5</v>
      </c>
      <c r="J277" s="8">
        <v>586595</v>
      </c>
    </row>
    <row r="278" spans="1:23" x14ac:dyDescent="0.2">
      <c r="A278" s="6" t="s">
        <v>286</v>
      </c>
      <c r="B278" s="6">
        <v>8</v>
      </c>
      <c r="C278" s="8">
        <v>8</v>
      </c>
      <c r="D278" s="8">
        <v>847410</v>
      </c>
      <c r="E278" s="8">
        <v>0</v>
      </c>
      <c r="F278" s="8">
        <v>0</v>
      </c>
      <c r="G278" s="8">
        <v>0</v>
      </c>
      <c r="H278" s="8">
        <v>0</v>
      </c>
      <c r="I278" s="8">
        <v>8</v>
      </c>
      <c r="J278" s="8">
        <v>847410</v>
      </c>
    </row>
    <row r="279" spans="1:23" x14ac:dyDescent="0.2">
      <c r="A279" s="6" t="s">
        <v>287</v>
      </c>
      <c r="B279" s="6">
        <v>8</v>
      </c>
      <c r="C279" s="8">
        <v>8</v>
      </c>
      <c r="D279" s="8">
        <v>888480</v>
      </c>
      <c r="E279" s="8">
        <v>0</v>
      </c>
      <c r="F279" s="8">
        <v>0</v>
      </c>
      <c r="G279" s="8">
        <v>0</v>
      </c>
      <c r="H279" s="8">
        <v>0</v>
      </c>
      <c r="I279" s="8">
        <v>8</v>
      </c>
      <c r="J279" s="8">
        <v>888480</v>
      </c>
    </row>
    <row r="280" spans="1:23" x14ac:dyDescent="0.2">
      <c r="A280" s="6" t="s">
        <v>288</v>
      </c>
      <c r="B280" s="6">
        <v>8</v>
      </c>
      <c r="C280" s="8">
        <v>72</v>
      </c>
      <c r="D280" s="8">
        <v>1717560</v>
      </c>
      <c r="E280" s="8">
        <v>0</v>
      </c>
      <c r="F280" s="8">
        <v>0</v>
      </c>
      <c r="G280" s="8">
        <v>0</v>
      </c>
      <c r="H280" s="8">
        <v>0</v>
      </c>
      <c r="I280" s="8">
        <v>72</v>
      </c>
      <c r="J280" s="8">
        <v>1717560</v>
      </c>
    </row>
    <row r="281" spans="1:23" x14ac:dyDescent="0.2">
      <c r="A281" s="6" t="s">
        <v>289</v>
      </c>
      <c r="B281" s="6">
        <v>8</v>
      </c>
      <c r="C281" s="8">
        <v>5241</v>
      </c>
      <c r="D281" s="8">
        <v>18544800</v>
      </c>
      <c r="E281" s="8">
        <v>0</v>
      </c>
      <c r="F281" s="8">
        <v>0</v>
      </c>
      <c r="G281" s="8">
        <v>0</v>
      </c>
      <c r="H281" s="8">
        <v>0</v>
      </c>
      <c r="I281" s="8">
        <v>5241</v>
      </c>
      <c r="J281" s="8">
        <v>18544800</v>
      </c>
    </row>
    <row r="282" spans="1:23" x14ac:dyDescent="0.2">
      <c r="A282" s="6" t="s">
        <v>290</v>
      </c>
      <c r="B282" s="6">
        <v>8</v>
      </c>
      <c r="C282" s="8">
        <v>2461</v>
      </c>
      <c r="D282" s="8">
        <v>218997241</v>
      </c>
      <c r="E282" s="8">
        <v>720</v>
      </c>
      <c r="F282" s="8">
        <v>64068480</v>
      </c>
      <c r="G282" s="8">
        <v>14</v>
      </c>
      <c r="H282" s="8">
        <v>1245810</v>
      </c>
      <c r="I282" s="8">
        <v>3167</v>
      </c>
      <c r="J282" s="8">
        <v>281819911</v>
      </c>
    </row>
    <row r="283" spans="1:23" x14ac:dyDescent="0.2">
      <c r="A283" s="6" t="s">
        <v>291</v>
      </c>
      <c r="B283" s="6">
        <v>8</v>
      </c>
      <c r="C283" s="8">
        <v>2474</v>
      </c>
      <c r="D283" s="8">
        <v>230641883</v>
      </c>
      <c r="E283" s="8">
        <v>1295</v>
      </c>
      <c r="F283" s="8">
        <v>121072140</v>
      </c>
      <c r="G283" s="8">
        <v>175</v>
      </c>
      <c r="H283" s="8">
        <v>16330579</v>
      </c>
      <c r="I283" s="8">
        <v>3594</v>
      </c>
      <c r="J283" s="8">
        <v>335383444</v>
      </c>
    </row>
    <row r="284" spans="1:23" x14ac:dyDescent="0.2">
      <c r="A284" s="6" t="s">
        <v>292</v>
      </c>
      <c r="B284" s="6">
        <v>8</v>
      </c>
      <c r="C284" s="8">
        <v>1922</v>
      </c>
      <c r="D284" s="8">
        <v>138589289</v>
      </c>
      <c r="E284" s="8">
        <v>270</v>
      </c>
      <c r="F284" s="8">
        <v>24025680</v>
      </c>
      <c r="G284" s="8">
        <v>0</v>
      </c>
      <c r="H284" s="8">
        <v>0</v>
      </c>
      <c r="I284" s="8">
        <v>2192</v>
      </c>
      <c r="J284" s="8">
        <v>162614969</v>
      </c>
    </row>
    <row r="285" spans="1:23" x14ac:dyDescent="0.2">
      <c r="A285" s="3"/>
      <c r="B285" s="3"/>
      <c r="C285" s="5">
        <f t="shared" ref="C285:J285" si="0">SUM(C2:C284)</f>
        <v>1128743</v>
      </c>
      <c r="D285" s="5">
        <f t="shared" si="0"/>
        <v>15134204353</v>
      </c>
      <c r="E285" s="5">
        <f t="shared" si="0"/>
        <v>385682</v>
      </c>
      <c r="F285" s="5">
        <f t="shared" si="0"/>
        <v>9410289184</v>
      </c>
      <c r="G285" s="5">
        <f t="shared" si="0"/>
        <v>525627</v>
      </c>
      <c r="H285" s="5">
        <f t="shared" si="0"/>
        <v>9872002163</v>
      </c>
      <c r="I285" s="5">
        <f t="shared" si="0"/>
        <v>988798</v>
      </c>
      <c r="J285" s="5">
        <f t="shared" si="0"/>
        <v>14672491374</v>
      </c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</sheetData>
  <mergeCells count="4">
    <mergeCell ref="C1:D1"/>
    <mergeCell ref="E1:F1"/>
    <mergeCell ref="G1:H1"/>
    <mergeCell ref="I1:J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W285"/>
  <sheetViews>
    <sheetView topLeftCell="A274" workbookViewId="0"/>
  </sheetViews>
  <sheetFormatPr defaultColWidth="12.5703125" defaultRowHeight="15.75" customHeight="1" x14ac:dyDescent="0.2"/>
  <sheetData>
    <row r="1" spans="1:23" x14ac:dyDescent="0.2">
      <c r="A1" s="1"/>
      <c r="B1" s="2"/>
      <c r="C1" s="210" t="s">
        <v>0</v>
      </c>
      <c r="D1" s="211"/>
      <c r="E1" s="210" t="s">
        <v>1</v>
      </c>
      <c r="F1" s="211"/>
      <c r="G1" s="210" t="s">
        <v>2</v>
      </c>
      <c r="H1" s="211"/>
      <c r="I1" s="210" t="s">
        <v>3</v>
      </c>
      <c r="J1" s="21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">
      <c r="A2" s="3" t="s">
        <v>4</v>
      </c>
      <c r="B2" s="4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6</v>
      </c>
      <c r="H2" s="5" t="s">
        <v>10</v>
      </c>
      <c r="I2" s="5" t="s">
        <v>6</v>
      </c>
      <c r="J2" s="5" t="s">
        <v>9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">
      <c r="A3" s="6" t="s">
        <v>11</v>
      </c>
      <c r="B3" s="6">
        <v>9</v>
      </c>
      <c r="C3" s="8">
        <v>246</v>
      </c>
      <c r="D3" s="8">
        <v>6790120</v>
      </c>
      <c r="E3" s="8">
        <v>70</v>
      </c>
      <c r="F3" s="8">
        <v>1942080</v>
      </c>
      <c r="G3" s="8">
        <v>110</v>
      </c>
      <c r="H3" s="8">
        <v>3039690</v>
      </c>
      <c r="I3" s="8">
        <v>206</v>
      </c>
      <c r="J3" s="8">
        <v>5692510</v>
      </c>
    </row>
    <row r="4" spans="1:23" x14ac:dyDescent="0.2">
      <c r="A4" s="6" t="s">
        <v>12</v>
      </c>
      <c r="B4" s="6">
        <v>9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</row>
    <row r="5" spans="1:23" x14ac:dyDescent="0.2">
      <c r="A5" s="6" t="s">
        <v>13</v>
      </c>
      <c r="B5" s="6">
        <v>9</v>
      </c>
      <c r="C5" s="8">
        <v>803</v>
      </c>
      <c r="D5" s="8">
        <v>26336751</v>
      </c>
      <c r="E5" s="8">
        <v>0</v>
      </c>
      <c r="F5" s="8">
        <v>0</v>
      </c>
      <c r="G5" s="8">
        <v>60</v>
      </c>
      <c r="H5" s="8">
        <v>1968968</v>
      </c>
      <c r="I5" s="8">
        <v>743</v>
      </c>
      <c r="J5" s="8">
        <v>24367783</v>
      </c>
    </row>
    <row r="6" spans="1:23" x14ac:dyDescent="0.2">
      <c r="A6" s="6" t="s">
        <v>14</v>
      </c>
      <c r="B6" s="6">
        <v>9</v>
      </c>
      <c r="C6" s="8">
        <v>120</v>
      </c>
      <c r="D6" s="8">
        <v>35752144</v>
      </c>
      <c r="E6" s="8">
        <v>0</v>
      </c>
      <c r="F6" s="8">
        <v>0</v>
      </c>
      <c r="G6" s="8">
        <v>0</v>
      </c>
      <c r="H6" s="8">
        <v>0</v>
      </c>
      <c r="I6" s="8">
        <v>120</v>
      </c>
      <c r="J6" s="8">
        <v>35752144</v>
      </c>
    </row>
    <row r="7" spans="1:23" x14ac:dyDescent="0.2">
      <c r="A7" s="6" t="s">
        <v>15</v>
      </c>
      <c r="B7" s="6">
        <v>9</v>
      </c>
      <c r="C7" s="8">
        <v>510</v>
      </c>
      <c r="D7" s="8">
        <v>69373706</v>
      </c>
      <c r="E7" s="8">
        <v>0</v>
      </c>
      <c r="F7" s="8">
        <v>0</v>
      </c>
      <c r="G7" s="8">
        <v>6</v>
      </c>
      <c r="H7" s="8">
        <v>816161</v>
      </c>
      <c r="I7" s="8">
        <v>504</v>
      </c>
      <c r="J7" s="8">
        <v>68557545</v>
      </c>
    </row>
    <row r="8" spans="1:23" x14ac:dyDescent="0.2">
      <c r="A8" s="6" t="s">
        <v>16</v>
      </c>
      <c r="B8" s="6">
        <v>9</v>
      </c>
      <c r="C8" s="8">
        <v>344</v>
      </c>
      <c r="D8" s="8">
        <v>53839916</v>
      </c>
      <c r="E8" s="8">
        <v>0</v>
      </c>
      <c r="F8" s="8">
        <v>0</v>
      </c>
      <c r="G8" s="8">
        <v>0</v>
      </c>
      <c r="H8" s="8">
        <v>0</v>
      </c>
      <c r="I8" s="8">
        <v>344</v>
      </c>
      <c r="J8" s="8">
        <v>53839916</v>
      </c>
    </row>
    <row r="9" spans="1:23" x14ac:dyDescent="0.2">
      <c r="A9" s="6" t="s">
        <v>17</v>
      </c>
      <c r="B9" s="6">
        <v>9</v>
      </c>
      <c r="C9" s="8">
        <v>159</v>
      </c>
      <c r="D9" s="8">
        <v>38049584</v>
      </c>
      <c r="E9" s="8">
        <v>0</v>
      </c>
      <c r="F9" s="8">
        <v>0</v>
      </c>
      <c r="G9" s="8">
        <v>6</v>
      </c>
      <c r="H9" s="8">
        <v>1435833</v>
      </c>
      <c r="I9" s="8">
        <v>153</v>
      </c>
      <c r="J9" s="8">
        <v>36613751</v>
      </c>
    </row>
    <row r="10" spans="1:23" x14ac:dyDescent="0.2">
      <c r="A10" s="6" t="s">
        <v>18</v>
      </c>
      <c r="B10" s="6">
        <v>9</v>
      </c>
      <c r="C10" s="8">
        <v>674</v>
      </c>
      <c r="D10" s="8">
        <v>14677119</v>
      </c>
      <c r="E10" s="8">
        <v>0</v>
      </c>
      <c r="F10" s="8">
        <v>0</v>
      </c>
      <c r="G10" s="8">
        <v>0</v>
      </c>
      <c r="H10" s="8">
        <v>0</v>
      </c>
      <c r="I10" s="8">
        <v>674</v>
      </c>
      <c r="J10" s="8">
        <v>14677119</v>
      </c>
    </row>
    <row r="11" spans="1:23" x14ac:dyDescent="0.2">
      <c r="A11" s="6" t="s">
        <v>19</v>
      </c>
      <c r="B11" s="6">
        <v>9</v>
      </c>
      <c r="C11" s="8">
        <v>180</v>
      </c>
      <c r="D11" s="8">
        <v>3904035</v>
      </c>
      <c r="E11" s="8">
        <v>0</v>
      </c>
      <c r="F11" s="8">
        <v>0</v>
      </c>
      <c r="G11" s="8">
        <v>0</v>
      </c>
      <c r="H11" s="8">
        <v>0</v>
      </c>
      <c r="I11" s="8">
        <v>180</v>
      </c>
      <c r="J11" s="8">
        <v>3904035</v>
      </c>
    </row>
    <row r="12" spans="1:23" x14ac:dyDescent="0.2">
      <c r="A12" s="6" t="s">
        <v>20</v>
      </c>
      <c r="B12" s="6">
        <v>9</v>
      </c>
      <c r="C12" s="8">
        <v>295</v>
      </c>
      <c r="D12" s="8">
        <v>31404753</v>
      </c>
      <c r="E12" s="8">
        <v>0</v>
      </c>
      <c r="F12" s="8">
        <v>0</v>
      </c>
      <c r="G12" s="8">
        <v>0</v>
      </c>
      <c r="H12" s="8">
        <v>0</v>
      </c>
      <c r="I12" s="8">
        <v>295</v>
      </c>
      <c r="J12" s="8">
        <v>31404753</v>
      </c>
    </row>
    <row r="13" spans="1:23" x14ac:dyDescent="0.2">
      <c r="A13" s="6" t="s">
        <v>21</v>
      </c>
      <c r="B13" s="6">
        <v>9</v>
      </c>
      <c r="C13" s="8">
        <v>170</v>
      </c>
      <c r="D13" s="8">
        <v>40681945</v>
      </c>
      <c r="E13" s="8">
        <v>0</v>
      </c>
      <c r="F13" s="8">
        <v>0</v>
      </c>
      <c r="G13" s="8">
        <v>0</v>
      </c>
      <c r="H13" s="8">
        <v>0</v>
      </c>
      <c r="I13" s="8">
        <v>170</v>
      </c>
      <c r="J13" s="8">
        <v>40681945</v>
      </c>
    </row>
    <row r="14" spans="1:23" x14ac:dyDescent="0.2">
      <c r="A14" s="6" t="s">
        <v>22</v>
      </c>
      <c r="B14" s="6">
        <v>9</v>
      </c>
      <c r="C14" s="8">
        <v>18</v>
      </c>
      <c r="D14" s="8">
        <v>407934</v>
      </c>
      <c r="E14" s="8">
        <v>0</v>
      </c>
      <c r="F14" s="8">
        <v>0</v>
      </c>
      <c r="G14" s="8">
        <v>0</v>
      </c>
      <c r="H14" s="8">
        <v>0</v>
      </c>
      <c r="I14" s="8">
        <v>18</v>
      </c>
      <c r="J14" s="8">
        <v>407934</v>
      </c>
    </row>
    <row r="15" spans="1:23" x14ac:dyDescent="0.2">
      <c r="A15" s="6" t="s">
        <v>23</v>
      </c>
      <c r="B15" s="6">
        <v>9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</row>
    <row r="16" spans="1:23" x14ac:dyDescent="0.2">
      <c r="A16" s="6" t="s">
        <v>24</v>
      </c>
      <c r="B16" s="6">
        <v>9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</row>
    <row r="17" spans="1:10" x14ac:dyDescent="0.2">
      <c r="A17" s="6" t="s">
        <v>25</v>
      </c>
      <c r="B17" s="6">
        <v>9</v>
      </c>
      <c r="C17" s="8">
        <v>0</v>
      </c>
      <c r="D17" s="8">
        <v>0</v>
      </c>
      <c r="E17" s="8">
        <v>90</v>
      </c>
      <c r="F17" s="8">
        <v>1912702</v>
      </c>
      <c r="G17" s="8">
        <v>90</v>
      </c>
      <c r="H17" s="8">
        <v>1912702</v>
      </c>
      <c r="I17" s="8">
        <v>0</v>
      </c>
      <c r="J17" s="8">
        <v>0</v>
      </c>
    </row>
    <row r="18" spans="1:10" x14ac:dyDescent="0.2">
      <c r="A18" s="6" t="s">
        <v>26</v>
      </c>
      <c r="B18" s="6">
        <v>9</v>
      </c>
      <c r="C18" s="8">
        <v>84</v>
      </c>
      <c r="D18" s="8">
        <v>2168242</v>
      </c>
      <c r="E18" s="8">
        <v>20</v>
      </c>
      <c r="F18" s="8">
        <v>518520</v>
      </c>
      <c r="G18" s="8">
        <v>40</v>
      </c>
      <c r="H18" s="8">
        <v>1033370</v>
      </c>
      <c r="I18" s="8">
        <v>64</v>
      </c>
      <c r="J18" s="8">
        <v>1653392</v>
      </c>
    </row>
    <row r="19" spans="1:10" x14ac:dyDescent="0.2">
      <c r="A19" s="6" t="s">
        <v>27</v>
      </c>
      <c r="B19" s="6">
        <v>9</v>
      </c>
      <c r="C19" s="8">
        <v>37</v>
      </c>
      <c r="D19" s="8">
        <v>1136432</v>
      </c>
      <c r="E19" s="8">
        <v>15</v>
      </c>
      <c r="F19" s="8">
        <v>472215</v>
      </c>
      <c r="G19" s="8">
        <v>5</v>
      </c>
      <c r="H19" s="8">
        <v>154678</v>
      </c>
      <c r="I19" s="8">
        <v>47</v>
      </c>
      <c r="J19" s="8">
        <v>1453969</v>
      </c>
    </row>
    <row r="20" spans="1:10" x14ac:dyDescent="0.2">
      <c r="A20" s="6" t="s">
        <v>28</v>
      </c>
      <c r="B20" s="6">
        <v>9</v>
      </c>
      <c r="C20" s="8">
        <v>0</v>
      </c>
      <c r="D20" s="8">
        <v>0</v>
      </c>
      <c r="E20" s="8">
        <v>50</v>
      </c>
      <c r="F20" s="8">
        <v>5700000</v>
      </c>
      <c r="G20" s="8">
        <v>0</v>
      </c>
      <c r="H20" s="8">
        <v>0</v>
      </c>
      <c r="I20" s="8">
        <v>50</v>
      </c>
      <c r="J20" s="8">
        <v>5700000</v>
      </c>
    </row>
    <row r="21" spans="1:10" x14ac:dyDescent="0.2">
      <c r="A21" s="6" t="s">
        <v>29</v>
      </c>
      <c r="B21" s="6">
        <v>9</v>
      </c>
      <c r="C21" s="8">
        <v>230</v>
      </c>
      <c r="D21" s="8">
        <v>60782790</v>
      </c>
      <c r="E21" s="8">
        <v>10</v>
      </c>
      <c r="F21" s="8">
        <v>2642730</v>
      </c>
      <c r="G21" s="8">
        <v>0</v>
      </c>
      <c r="H21" s="8">
        <v>0</v>
      </c>
      <c r="I21" s="8">
        <v>240</v>
      </c>
      <c r="J21" s="8">
        <v>63425520</v>
      </c>
    </row>
    <row r="22" spans="1:10" x14ac:dyDescent="0.2">
      <c r="A22" s="6" t="s">
        <v>30</v>
      </c>
      <c r="B22" s="6">
        <v>9</v>
      </c>
      <c r="C22" s="8">
        <v>167</v>
      </c>
      <c r="D22" s="8">
        <v>32383984</v>
      </c>
      <c r="E22" s="8">
        <v>0</v>
      </c>
      <c r="F22" s="8">
        <v>0</v>
      </c>
      <c r="G22" s="8">
        <v>0</v>
      </c>
      <c r="H22" s="8">
        <v>0</v>
      </c>
      <c r="I22" s="8">
        <v>167</v>
      </c>
      <c r="J22" s="8">
        <v>32383984</v>
      </c>
    </row>
    <row r="23" spans="1:10" x14ac:dyDescent="0.2">
      <c r="A23" s="6" t="s">
        <v>31</v>
      </c>
      <c r="B23" s="6">
        <v>9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</row>
    <row r="24" spans="1:10" x14ac:dyDescent="0.2">
      <c r="A24" s="6" t="s">
        <v>32</v>
      </c>
      <c r="B24" s="6">
        <v>9</v>
      </c>
      <c r="C24" s="8">
        <v>0</v>
      </c>
      <c r="D24" s="8">
        <v>0</v>
      </c>
      <c r="E24" s="8">
        <v>77</v>
      </c>
      <c r="F24" s="8">
        <v>12767986</v>
      </c>
      <c r="G24" s="8">
        <v>0</v>
      </c>
      <c r="H24" s="8">
        <v>0</v>
      </c>
      <c r="I24" s="8">
        <v>77</v>
      </c>
      <c r="J24" s="8">
        <v>12767986</v>
      </c>
    </row>
    <row r="25" spans="1:10" x14ac:dyDescent="0.2">
      <c r="A25" s="6" t="s">
        <v>33</v>
      </c>
      <c r="B25" s="6">
        <v>9</v>
      </c>
      <c r="C25" s="8">
        <v>76</v>
      </c>
      <c r="D25" s="8">
        <v>9285800</v>
      </c>
      <c r="E25" s="8">
        <v>0</v>
      </c>
      <c r="F25" s="8">
        <v>0</v>
      </c>
      <c r="G25" s="8">
        <v>0</v>
      </c>
      <c r="H25" s="8">
        <v>0</v>
      </c>
      <c r="I25" s="8">
        <v>76</v>
      </c>
      <c r="J25" s="8">
        <v>9285800</v>
      </c>
    </row>
    <row r="26" spans="1:10" x14ac:dyDescent="0.2">
      <c r="A26" s="6" t="s">
        <v>34</v>
      </c>
      <c r="B26" s="6">
        <v>9</v>
      </c>
      <c r="C26" s="8">
        <v>29</v>
      </c>
      <c r="D26" s="8">
        <v>4642900</v>
      </c>
      <c r="E26" s="8">
        <v>30</v>
      </c>
      <c r="F26" s="8">
        <v>6964350</v>
      </c>
      <c r="G26" s="8">
        <v>9</v>
      </c>
      <c r="H26" s="8">
        <v>1770597</v>
      </c>
      <c r="I26" s="8">
        <v>50</v>
      </c>
      <c r="J26" s="8">
        <v>9836653</v>
      </c>
    </row>
    <row r="27" spans="1:10" x14ac:dyDescent="0.2">
      <c r="A27" s="6" t="s">
        <v>35</v>
      </c>
      <c r="B27" s="6">
        <v>9</v>
      </c>
      <c r="C27" s="8">
        <v>150</v>
      </c>
      <c r="D27" s="8">
        <v>17100000</v>
      </c>
      <c r="E27" s="8">
        <v>51</v>
      </c>
      <c r="F27" s="8">
        <v>5814000</v>
      </c>
      <c r="G27" s="8">
        <v>0</v>
      </c>
      <c r="H27" s="8">
        <v>0</v>
      </c>
      <c r="I27" s="8">
        <v>201</v>
      </c>
      <c r="J27" s="8">
        <v>22914000</v>
      </c>
    </row>
    <row r="28" spans="1:10" x14ac:dyDescent="0.2">
      <c r="A28" s="6" t="s">
        <v>36</v>
      </c>
      <c r="B28" s="6">
        <v>9</v>
      </c>
      <c r="C28" s="8">
        <v>40</v>
      </c>
      <c r="D28" s="8">
        <v>1818200</v>
      </c>
      <c r="E28" s="8">
        <v>0</v>
      </c>
      <c r="F28" s="8">
        <v>0</v>
      </c>
      <c r="G28" s="8">
        <v>0</v>
      </c>
      <c r="H28" s="8">
        <v>0</v>
      </c>
      <c r="I28" s="8">
        <v>40</v>
      </c>
      <c r="J28" s="8">
        <v>1818200</v>
      </c>
    </row>
    <row r="29" spans="1:10" x14ac:dyDescent="0.2">
      <c r="A29" s="6" t="s">
        <v>37</v>
      </c>
      <c r="B29" s="6">
        <v>9</v>
      </c>
      <c r="C29" s="8">
        <v>1205</v>
      </c>
      <c r="D29" s="8">
        <v>67041308</v>
      </c>
      <c r="E29" s="8">
        <v>4480</v>
      </c>
      <c r="F29" s="8">
        <v>249441920</v>
      </c>
      <c r="G29" s="8">
        <v>4032</v>
      </c>
      <c r="H29" s="8">
        <v>224460928</v>
      </c>
      <c r="I29" s="8">
        <v>1653</v>
      </c>
      <c r="J29" s="8">
        <v>92022300</v>
      </c>
    </row>
    <row r="30" spans="1:10" x14ac:dyDescent="0.2">
      <c r="A30" s="6" t="s">
        <v>38</v>
      </c>
      <c r="B30" s="6">
        <v>9</v>
      </c>
      <c r="C30" s="8">
        <v>272438</v>
      </c>
      <c r="D30" s="8">
        <v>211046828</v>
      </c>
      <c r="E30" s="8">
        <v>7200</v>
      </c>
      <c r="F30" s="8">
        <v>224697600</v>
      </c>
      <c r="G30" s="8">
        <v>5076</v>
      </c>
      <c r="H30" s="8">
        <v>158411784</v>
      </c>
      <c r="I30" s="8">
        <v>274562</v>
      </c>
      <c r="J30" s="8">
        <v>277332644</v>
      </c>
    </row>
    <row r="31" spans="1:10" x14ac:dyDescent="0.2">
      <c r="A31" s="6" t="s">
        <v>39</v>
      </c>
      <c r="B31" s="6">
        <v>9</v>
      </c>
      <c r="C31" s="8">
        <v>26025</v>
      </c>
      <c r="D31" s="8">
        <v>54297755</v>
      </c>
      <c r="E31" s="8">
        <v>2130</v>
      </c>
      <c r="F31" s="8">
        <v>77071920</v>
      </c>
      <c r="G31" s="8">
        <v>1965</v>
      </c>
      <c r="H31" s="8">
        <v>71097943</v>
      </c>
      <c r="I31" s="8">
        <v>26190</v>
      </c>
      <c r="J31" s="8">
        <v>60271732</v>
      </c>
    </row>
    <row r="32" spans="1:10" x14ac:dyDescent="0.2">
      <c r="A32" s="6" t="s">
        <v>40</v>
      </c>
      <c r="B32" s="6">
        <v>9</v>
      </c>
      <c r="C32" s="8">
        <v>2430</v>
      </c>
      <c r="D32" s="8">
        <v>87927120</v>
      </c>
      <c r="E32" s="8">
        <v>0</v>
      </c>
      <c r="F32" s="8">
        <v>0</v>
      </c>
      <c r="G32" s="8">
        <v>0</v>
      </c>
      <c r="H32" s="8">
        <v>0</v>
      </c>
      <c r="I32" s="8">
        <v>2430</v>
      </c>
      <c r="J32" s="8">
        <v>87927120</v>
      </c>
    </row>
    <row r="33" spans="1:10" x14ac:dyDescent="0.2">
      <c r="A33" s="6" t="s">
        <v>41</v>
      </c>
      <c r="B33" s="6">
        <v>9</v>
      </c>
      <c r="C33" s="8">
        <v>90</v>
      </c>
      <c r="D33" s="8">
        <v>3256560</v>
      </c>
      <c r="E33" s="8">
        <v>0</v>
      </c>
      <c r="F33" s="8">
        <v>0</v>
      </c>
      <c r="G33" s="8">
        <v>0</v>
      </c>
      <c r="H33" s="8">
        <v>0</v>
      </c>
      <c r="I33" s="8">
        <v>90</v>
      </c>
      <c r="J33" s="8">
        <v>3256560</v>
      </c>
    </row>
    <row r="34" spans="1:10" x14ac:dyDescent="0.2">
      <c r="A34" s="6" t="s">
        <v>42</v>
      </c>
      <c r="B34" s="6">
        <v>9</v>
      </c>
      <c r="C34" s="8">
        <v>96</v>
      </c>
      <c r="D34" s="8">
        <v>5128433</v>
      </c>
      <c r="E34" s="8">
        <v>32</v>
      </c>
      <c r="F34" s="8">
        <v>1679520</v>
      </c>
      <c r="G34" s="8">
        <v>0</v>
      </c>
      <c r="H34" s="8">
        <v>0</v>
      </c>
      <c r="I34" s="8">
        <v>128</v>
      </c>
      <c r="J34" s="8">
        <v>6807953</v>
      </c>
    </row>
    <row r="35" spans="1:10" x14ac:dyDescent="0.2">
      <c r="A35" s="6" t="s">
        <v>43</v>
      </c>
      <c r="B35" s="6">
        <v>9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</row>
    <row r="36" spans="1:10" x14ac:dyDescent="0.2">
      <c r="A36" s="6" t="s">
        <v>44</v>
      </c>
      <c r="B36" s="6">
        <v>9</v>
      </c>
      <c r="C36" s="8">
        <v>9425</v>
      </c>
      <c r="D36" s="8">
        <v>31454855</v>
      </c>
      <c r="E36" s="8">
        <v>825</v>
      </c>
      <c r="F36" s="8">
        <v>29851800</v>
      </c>
      <c r="G36" s="8">
        <v>915</v>
      </c>
      <c r="H36" s="8">
        <v>33097802</v>
      </c>
      <c r="I36" s="8">
        <v>9335</v>
      </c>
      <c r="J36" s="8">
        <v>28208853</v>
      </c>
    </row>
    <row r="37" spans="1:10" x14ac:dyDescent="0.2">
      <c r="A37" s="6" t="s">
        <v>45</v>
      </c>
      <c r="B37" s="6">
        <v>9</v>
      </c>
      <c r="C37" s="8">
        <v>930</v>
      </c>
      <c r="D37" s="8">
        <v>33582893</v>
      </c>
      <c r="E37" s="8">
        <v>450</v>
      </c>
      <c r="F37" s="8">
        <v>16282800</v>
      </c>
      <c r="G37" s="8">
        <v>780</v>
      </c>
      <c r="H37" s="8">
        <v>28184957</v>
      </c>
      <c r="I37" s="8">
        <v>600</v>
      </c>
      <c r="J37" s="8">
        <v>21680736</v>
      </c>
    </row>
    <row r="38" spans="1:10" x14ac:dyDescent="0.2">
      <c r="A38" s="6" t="s">
        <v>46</v>
      </c>
      <c r="B38" s="6">
        <v>9</v>
      </c>
      <c r="C38" s="8">
        <v>210</v>
      </c>
      <c r="D38" s="8">
        <v>7598640</v>
      </c>
      <c r="E38" s="8">
        <v>75</v>
      </c>
      <c r="F38" s="8">
        <v>2713800</v>
      </c>
      <c r="G38" s="8">
        <v>0</v>
      </c>
      <c r="H38" s="8">
        <v>0</v>
      </c>
      <c r="I38" s="8">
        <v>285</v>
      </c>
      <c r="J38" s="8">
        <v>10312440</v>
      </c>
    </row>
    <row r="39" spans="1:10" x14ac:dyDescent="0.2">
      <c r="A39" s="6" t="s">
        <v>47</v>
      </c>
      <c r="B39" s="6">
        <v>9</v>
      </c>
      <c r="C39" s="8">
        <v>1750</v>
      </c>
      <c r="D39" s="8">
        <v>8533296</v>
      </c>
      <c r="E39" s="8">
        <v>500</v>
      </c>
      <c r="F39" s="8">
        <v>2546500</v>
      </c>
      <c r="G39" s="8">
        <v>750</v>
      </c>
      <c r="H39" s="8">
        <v>3693265</v>
      </c>
      <c r="I39" s="8">
        <v>1500</v>
      </c>
      <c r="J39" s="8">
        <v>7386531</v>
      </c>
    </row>
    <row r="40" spans="1:10" x14ac:dyDescent="0.2">
      <c r="A40" s="6" t="s">
        <v>48</v>
      </c>
      <c r="B40" s="6">
        <v>9</v>
      </c>
      <c r="C40" s="8">
        <v>48</v>
      </c>
      <c r="D40" s="8">
        <v>1156368</v>
      </c>
      <c r="E40" s="8">
        <v>0</v>
      </c>
      <c r="F40" s="8">
        <v>0</v>
      </c>
      <c r="G40" s="8">
        <v>0</v>
      </c>
      <c r="H40" s="8">
        <v>0</v>
      </c>
      <c r="I40" s="8">
        <v>48</v>
      </c>
      <c r="J40" s="8">
        <v>1156368</v>
      </c>
    </row>
    <row r="41" spans="1:10" x14ac:dyDescent="0.2">
      <c r="A41" s="6" t="s">
        <v>49</v>
      </c>
      <c r="B41" s="6">
        <v>9</v>
      </c>
      <c r="C41" s="8">
        <v>4440</v>
      </c>
      <c r="D41" s="8">
        <v>21631724</v>
      </c>
      <c r="E41" s="8">
        <v>1800</v>
      </c>
      <c r="F41" s="8">
        <v>8832600</v>
      </c>
      <c r="G41" s="8">
        <v>1800</v>
      </c>
      <c r="H41" s="8">
        <v>8787786</v>
      </c>
      <c r="I41" s="8">
        <v>4440</v>
      </c>
      <c r="J41" s="8">
        <v>21676538</v>
      </c>
    </row>
    <row r="42" spans="1:10" x14ac:dyDescent="0.2">
      <c r="A42" s="6" t="s">
        <v>50</v>
      </c>
      <c r="B42" s="6">
        <v>9</v>
      </c>
      <c r="C42" s="8">
        <v>1500</v>
      </c>
      <c r="D42" s="8">
        <v>4773000</v>
      </c>
      <c r="E42" s="8">
        <v>0</v>
      </c>
      <c r="F42" s="8">
        <v>0</v>
      </c>
      <c r="G42" s="8">
        <v>0</v>
      </c>
      <c r="H42" s="8">
        <v>0</v>
      </c>
      <c r="I42" s="8">
        <v>1500</v>
      </c>
      <c r="J42" s="8">
        <v>4773000</v>
      </c>
    </row>
    <row r="43" spans="1:10" x14ac:dyDescent="0.2">
      <c r="A43" s="6" t="s">
        <v>51</v>
      </c>
      <c r="B43" s="6">
        <v>9</v>
      </c>
      <c r="C43" s="8">
        <v>2000</v>
      </c>
      <c r="D43" s="8">
        <v>8044322</v>
      </c>
      <c r="E43" s="8">
        <v>0</v>
      </c>
      <c r="F43" s="8">
        <v>0</v>
      </c>
      <c r="G43" s="8">
        <v>500</v>
      </c>
      <c r="H43" s="8">
        <v>2011081</v>
      </c>
      <c r="I43" s="8">
        <v>1500</v>
      </c>
      <c r="J43" s="8">
        <v>6033241</v>
      </c>
    </row>
    <row r="44" spans="1:10" x14ac:dyDescent="0.2">
      <c r="A44" s="6" t="s">
        <v>52</v>
      </c>
      <c r="B44" s="6">
        <v>9</v>
      </c>
      <c r="C44" s="8">
        <v>1342</v>
      </c>
      <c r="D44" s="8">
        <v>30772594</v>
      </c>
      <c r="E44" s="8">
        <v>192</v>
      </c>
      <c r="F44" s="8">
        <v>4444416</v>
      </c>
      <c r="G44" s="8">
        <v>722</v>
      </c>
      <c r="H44" s="8">
        <v>16575411</v>
      </c>
      <c r="I44" s="8">
        <v>812</v>
      </c>
      <c r="J44" s="8">
        <v>18641599</v>
      </c>
    </row>
    <row r="45" spans="1:10" x14ac:dyDescent="0.2">
      <c r="A45" s="6" t="s">
        <v>53</v>
      </c>
      <c r="B45" s="6">
        <v>9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</row>
    <row r="46" spans="1:10" x14ac:dyDescent="0.2">
      <c r="A46" s="6" t="s">
        <v>54</v>
      </c>
      <c r="B46" s="6">
        <v>9</v>
      </c>
      <c r="C46" s="8">
        <v>4040</v>
      </c>
      <c r="D46" s="8">
        <v>57072052</v>
      </c>
      <c r="E46" s="8">
        <v>3402</v>
      </c>
      <c r="F46" s="8">
        <v>49778400</v>
      </c>
      <c r="G46" s="8">
        <v>3624</v>
      </c>
      <c r="H46" s="8">
        <v>52032523</v>
      </c>
      <c r="I46" s="8">
        <v>3818</v>
      </c>
      <c r="J46" s="8">
        <v>54817929</v>
      </c>
    </row>
    <row r="47" spans="1:10" x14ac:dyDescent="0.2">
      <c r="A47" s="6" t="s">
        <v>55</v>
      </c>
      <c r="B47" s="6">
        <v>9</v>
      </c>
      <c r="C47" s="8">
        <v>150</v>
      </c>
      <c r="D47" s="8">
        <v>13138476</v>
      </c>
      <c r="E47" s="8">
        <v>0</v>
      </c>
      <c r="F47" s="8">
        <v>0</v>
      </c>
      <c r="G47" s="8">
        <v>84</v>
      </c>
      <c r="H47" s="8">
        <v>7357547</v>
      </c>
      <c r="I47" s="8">
        <v>66</v>
      </c>
      <c r="J47" s="8">
        <v>5780929</v>
      </c>
    </row>
    <row r="48" spans="1:10" x14ac:dyDescent="0.2">
      <c r="A48" s="6" t="s">
        <v>56</v>
      </c>
      <c r="B48" s="6">
        <v>9</v>
      </c>
      <c r="C48" s="8">
        <v>912</v>
      </c>
      <c r="D48" s="8">
        <v>8706960</v>
      </c>
      <c r="E48" s="8">
        <v>528</v>
      </c>
      <c r="F48" s="8">
        <v>5084640</v>
      </c>
      <c r="G48" s="8">
        <v>672</v>
      </c>
      <c r="H48" s="8">
        <v>6436080</v>
      </c>
      <c r="I48" s="8">
        <v>768</v>
      </c>
      <c r="J48" s="8">
        <v>7355520</v>
      </c>
    </row>
    <row r="49" spans="1:10" x14ac:dyDescent="0.2">
      <c r="A49" s="6" t="s">
        <v>57</v>
      </c>
      <c r="B49" s="6">
        <v>9</v>
      </c>
      <c r="C49" s="8">
        <v>2160</v>
      </c>
      <c r="D49" s="8">
        <v>37077360</v>
      </c>
      <c r="E49" s="8">
        <v>0</v>
      </c>
      <c r="F49" s="8">
        <v>0</v>
      </c>
      <c r="G49" s="8">
        <v>1560</v>
      </c>
      <c r="H49" s="8">
        <v>26778093</v>
      </c>
      <c r="I49" s="8">
        <v>600</v>
      </c>
      <c r="J49" s="8">
        <v>10299267</v>
      </c>
    </row>
    <row r="50" spans="1:10" x14ac:dyDescent="0.2">
      <c r="A50" s="6" t="s">
        <v>58</v>
      </c>
      <c r="B50" s="6">
        <v>9</v>
      </c>
      <c r="C50" s="8">
        <v>2424</v>
      </c>
      <c r="D50" s="8">
        <v>20143783</v>
      </c>
      <c r="E50" s="8">
        <v>480</v>
      </c>
      <c r="F50" s="8">
        <v>4133280</v>
      </c>
      <c r="G50" s="8">
        <v>288</v>
      </c>
      <c r="H50" s="8">
        <v>2407643</v>
      </c>
      <c r="I50" s="8">
        <v>2616</v>
      </c>
      <c r="J50" s="8">
        <v>21869420</v>
      </c>
    </row>
    <row r="51" spans="1:10" x14ac:dyDescent="0.2">
      <c r="A51" s="6" t="s">
        <v>59</v>
      </c>
      <c r="B51" s="6">
        <v>9</v>
      </c>
      <c r="C51" s="8">
        <v>3639</v>
      </c>
      <c r="D51" s="8">
        <v>54541707</v>
      </c>
      <c r="E51" s="8">
        <v>2552</v>
      </c>
      <c r="F51" s="8">
        <v>40000800</v>
      </c>
      <c r="G51" s="8">
        <v>4080</v>
      </c>
      <c r="H51" s="8">
        <v>62305513</v>
      </c>
      <c r="I51" s="8">
        <v>2111</v>
      </c>
      <c r="J51" s="8">
        <v>32236994</v>
      </c>
    </row>
    <row r="52" spans="1:10" x14ac:dyDescent="0.2">
      <c r="A52" s="6" t="s">
        <v>60</v>
      </c>
      <c r="B52" s="6">
        <v>9</v>
      </c>
      <c r="C52" s="8">
        <v>4673</v>
      </c>
      <c r="D52" s="8">
        <v>152335982</v>
      </c>
      <c r="E52" s="8">
        <v>938</v>
      </c>
      <c r="F52" s="8">
        <v>25766532</v>
      </c>
      <c r="G52" s="8">
        <v>60</v>
      </c>
      <c r="H52" s="8">
        <v>1904500</v>
      </c>
      <c r="I52" s="8">
        <v>5551</v>
      </c>
      <c r="J52" s="8">
        <v>176198014</v>
      </c>
    </row>
    <row r="53" spans="1:10" x14ac:dyDescent="0.2">
      <c r="A53" s="6" t="s">
        <v>61</v>
      </c>
      <c r="B53" s="6">
        <v>9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</row>
    <row r="54" spans="1:10" x14ac:dyDescent="0.2">
      <c r="A54" s="6" t="s">
        <v>62</v>
      </c>
      <c r="B54" s="6">
        <v>9</v>
      </c>
      <c r="C54" s="8">
        <v>6250</v>
      </c>
      <c r="D54" s="8">
        <v>30320286</v>
      </c>
      <c r="E54" s="8">
        <v>2403</v>
      </c>
      <c r="F54" s="8">
        <v>11776800</v>
      </c>
      <c r="G54" s="8">
        <v>3600</v>
      </c>
      <c r="H54" s="8">
        <v>17514100</v>
      </c>
      <c r="I54" s="8">
        <v>5053</v>
      </c>
      <c r="J54" s="8">
        <v>24582986</v>
      </c>
    </row>
    <row r="55" spans="1:10" x14ac:dyDescent="0.2">
      <c r="A55" s="6" t="s">
        <v>63</v>
      </c>
      <c r="B55" s="6">
        <v>9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</row>
    <row r="56" spans="1:10" x14ac:dyDescent="0.2">
      <c r="A56" s="6" t="s">
        <v>64</v>
      </c>
      <c r="B56" s="6">
        <v>9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</row>
    <row r="57" spans="1:10" x14ac:dyDescent="0.2">
      <c r="A57" s="6" t="s">
        <v>65</v>
      </c>
      <c r="B57" s="6">
        <v>9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</row>
    <row r="58" spans="1:10" x14ac:dyDescent="0.2">
      <c r="A58" s="6" t="s">
        <v>66</v>
      </c>
      <c r="B58" s="6">
        <v>9</v>
      </c>
      <c r="C58" s="8">
        <v>1608</v>
      </c>
      <c r="D58" s="8">
        <v>24601608</v>
      </c>
      <c r="E58" s="8">
        <v>1839</v>
      </c>
      <c r="F58" s="8">
        <v>28333800</v>
      </c>
      <c r="G58" s="8">
        <v>1800</v>
      </c>
      <c r="H58" s="8">
        <v>27642511</v>
      </c>
      <c r="I58" s="8">
        <v>1647</v>
      </c>
      <c r="J58" s="8">
        <v>25292897</v>
      </c>
    </row>
    <row r="59" spans="1:10" x14ac:dyDescent="0.2">
      <c r="A59" s="6" t="s">
        <v>67</v>
      </c>
      <c r="B59" s="6">
        <v>9</v>
      </c>
      <c r="C59" s="8">
        <v>146</v>
      </c>
      <c r="D59" s="8">
        <v>985256</v>
      </c>
      <c r="E59" s="8">
        <v>0</v>
      </c>
      <c r="F59" s="8">
        <v>0</v>
      </c>
      <c r="G59" s="8">
        <v>0</v>
      </c>
      <c r="H59" s="8">
        <v>0</v>
      </c>
      <c r="I59" s="8">
        <v>146</v>
      </c>
      <c r="J59" s="8">
        <v>985256</v>
      </c>
    </row>
    <row r="60" spans="1:10" x14ac:dyDescent="0.2">
      <c r="A60" s="6" t="s">
        <v>68</v>
      </c>
      <c r="B60" s="6">
        <v>9</v>
      </c>
      <c r="C60" s="8">
        <v>492</v>
      </c>
      <c r="D60" s="8">
        <v>22513469</v>
      </c>
      <c r="E60" s="8">
        <v>60</v>
      </c>
      <c r="F60" s="8">
        <v>2800020</v>
      </c>
      <c r="G60" s="8">
        <v>312</v>
      </c>
      <c r="H60" s="8">
        <v>14307624</v>
      </c>
      <c r="I60" s="8">
        <v>240</v>
      </c>
      <c r="J60" s="8">
        <v>11005865</v>
      </c>
    </row>
    <row r="61" spans="1:10" x14ac:dyDescent="0.2">
      <c r="A61" s="6" t="s">
        <v>69</v>
      </c>
      <c r="B61" s="6">
        <v>9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</row>
    <row r="62" spans="1:10" x14ac:dyDescent="0.2">
      <c r="A62" s="6" t="s">
        <v>70</v>
      </c>
      <c r="B62" s="6">
        <v>9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</row>
    <row r="63" spans="1:10" x14ac:dyDescent="0.2">
      <c r="A63" s="6" t="s">
        <v>71</v>
      </c>
      <c r="B63" s="6">
        <v>9</v>
      </c>
      <c r="C63" s="8">
        <v>1788</v>
      </c>
      <c r="D63" s="8">
        <v>27215539</v>
      </c>
      <c r="E63" s="8">
        <v>840</v>
      </c>
      <c r="F63" s="8">
        <v>13222440</v>
      </c>
      <c r="G63" s="8">
        <v>1668</v>
      </c>
      <c r="H63" s="8">
        <v>25666115</v>
      </c>
      <c r="I63" s="8">
        <v>960</v>
      </c>
      <c r="J63" s="8">
        <v>14771864</v>
      </c>
    </row>
    <row r="64" spans="1:10" x14ac:dyDescent="0.2">
      <c r="A64" s="6" t="s">
        <v>72</v>
      </c>
      <c r="B64" s="6">
        <v>9</v>
      </c>
      <c r="C64" s="8">
        <v>2640</v>
      </c>
      <c r="D64" s="8">
        <v>59144685</v>
      </c>
      <c r="E64" s="8">
        <v>726</v>
      </c>
      <c r="F64" s="8">
        <v>17333280</v>
      </c>
      <c r="G64" s="8">
        <v>240</v>
      </c>
      <c r="H64" s="8">
        <v>5452974</v>
      </c>
      <c r="I64" s="8">
        <v>3126</v>
      </c>
      <c r="J64" s="8">
        <v>71024991</v>
      </c>
    </row>
    <row r="65" spans="1:10" x14ac:dyDescent="0.2">
      <c r="A65" s="6" t="s">
        <v>73</v>
      </c>
      <c r="B65" s="6">
        <v>9</v>
      </c>
      <c r="C65" s="8">
        <v>3720</v>
      </c>
      <c r="D65" s="8">
        <v>124377126</v>
      </c>
      <c r="E65" s="8">
        <v>1800</v>
      </c>
      <c r="F65" s="8">
        <v>61666200</v>
      </c>
      <c r="G65" s="8">
        <v>2982</v>
      </c>
      <c r="H65" s="8">
        <v>100503840</v>
      </c>
      <c r="I65" s="8">
        <v>2538</v>
      </c>
      <c r="J65" s="8">
        <v>85539486</v>
      </c>
    </row>
    <row r="66" spans="1:10" x14ac:dyDescent="0.2">
      <c r="A66" s="6" t="s">
        <v>74</v>
      </c>
      <c r="B66" s="6">
        <v>9</v>
      </c>
      <c r="C66" s="8">
        <v>5688</v>
      </c>
      <c r="D66" s="8">
        <v>83372984</v>
      </c>
      <c r="E66" s="8">
        <v>1920</v>
      </c>
      <c r="F66" s="8">
        <v>28444800</v>
      </c>
      <c r="G66" s="8">
        <v>2568</v>
      </c>
      <c r="H66" s="8">
        <v>37742911</v>
      </c>
      <c r="I66" s="8">
        <v>5040</v>
      </c>
      <c r="J66" s="8">
        <v>74074873</v>
      </c>
    </row>
    <row r="67" spans="1:10" x14ac:dyDescent="0.2">
      <c r="A67" s="6" t="s">
        <v>75</v>
      </c>
      <c r="B67" s="6">
        <v>9</v>
      </c>
      <c r="C67" s="8">
        <v>2160</v>
      </c>
      <c r="D67" s="8">
        <v>756444</v>
      </c>
      <c r="E67" s="8">
        <v>800</v>
      </c>
      <c r="F67" s="8">
        <v>296000</v>
      </c>
      <c r="G67" s="8">
        <v>560</v>
      </c>
      <c r="H67" s="8">
        <v>199111</v>
      </c>
      <c r="I67" s="8">
        <v>2400</v>
      </c>
      <c r="J67" s="8">
        <v>853333</v>
      </c>
    </row>
    <row r="68" spans="1:10" x14ac:dyDescent="0.2">
      <c r="A68" s="6" t="s">
        <v>76</v>
      </c>
      <c r="B68" s="6">
        <v>9</v>
      </c>
      <c r="C68" s="8">
        <v>168</v>
      </c>
      <c r="D68" s="8">
        <v>8745255</v>
      </c>
      <c r="E68" s="8">
        <v>45</v>
      </c>
      <c r="F68" s="8">
        <v>4277790</v>
      </c>
      <c r="G68" s="8">
        <v>93</v>
      </c>
      <c r="H68" s="8">
        <v>5686118</v>
      </c>
      <c r="I68" s="8">
        <v>120</v>
      </c>
      <c r="J68" s="8">
        <v>7336927</v>
      </c>
    </row>
    <row r="69" spans="1:10" x14ac:dyDescent="0.2">
      <c r="A69" s="6" t="s">
        <v>77</v>
      </c>
      <c r="B69" s="6">
        <v>9</v>
      </c>
      <c r="C69" s="8">
        <v>588</v>
      </c>
      <c r="D69" s="8">
        <v>3546849</v>
      </c>
      <c r="E69" s="8">
        <v>96</v>
      </c>
      <c r="F69" s="8">
        <v>604416</v>
      </c>
      <c r="G69" s="8">
        <v>60</v>
      </c>
      <c r="H69" s="8">
        <v>364146</v>
      </c>
      <c r="I69" s="8">
        <v>624</v>
      </c>
      <c r="J69" s="8">
        <v>3787119</v>
      </c>
    </row>
    <row r="70" spans="1:10" x14ac:dyDescent="0.2">
      <c r="A70" s="6" t="s">
        <v>78</v>
      </c>
      <c r="B70" s="6">
        <v>9</v>
      </c>
      <c r="C70" s="8">
        <v>4746</v>
      </c>
      <c r="D70" s="8">
        <v>25664765</v>
      </c>
      <c r="E70" s="8">
        <v>2875</v>
      </c>
      <c r="F70" s="8">
        <v>29333040</v>
      </c>
      <c r="G70" s="8">
        <v>2376</v>
      </c>
      <c r="H70" s="8">
        <v>17146672</v>
      </c>
      <c r="I70" s="8">
        <v>5245</v>
      </c>
      <c r="J70" s="8">
        <v>37851133</v>
      </c>
    </row>
    <row r="71" spans="1:10" x14ac:dyDescent="0.2">
      <c r="A71" s="6" t="s">
        <v>79</v>
      </c>
      <c r="B71" s="6">
        <v>9</v>
      </c>
      <c r="C71" s="8">
        <v>2077</v>
      </c>
      <c r="D71" s="8">
        <v>40502882</v>
      </c>
      <c r="E71" s="8">
        <v>360</v>
      </c>
      <c r="F71" s="8">
        <v>7666560</v>
      </c>
      <c r="G71" s="8">
        <v>42</v>
      </c>
      <c r="H71" s="8">
        <v>830167</v>
      </c>
      <c r="I71" s="8">
        <v>2395</v>
      </c>
      <c r="J71" s="8">
        <v>47339275</v>
      </c>
    </row>
    <row r="72" spans="1:10" x14ac:dyDescent="0.2">
      <c r="A72" s="6" t="s">
        <v>80</v>
      </c>
      <c r="B72" s="6">
        <v>9</v>
      </c>
      <c r="C72" s="8">
        <v>216</v>
      </c>
      <c r="D72" s="8">
        <v>3008802</v>
      </c>
      <c r="E72" s="8">
        <v>0</v>
      </c>
      <c r="F72" s="8">
        <v>0</v>
      </c>
      <c r="G72" s="8">
        <v>144</v>
      </c>
      <c r="H72" s="8">
        <v>2005868</v>
      </c>
      <c r="I72" s="8">
        <v>72</v>
      </c>
      <c r="J72" s="8">
        <v>1002934</v>
      </c>
    </row>
    <row r="73" spans="1:10" x14ac:dyDescent="0.2">
      <c r="A73" s="6" t="s">
        <v>81</v>
      </c>
      <c r="B73" s="6">
        <v>9</v>
      </c>
      <c r="C73" s="8">
        <v>2304</v>
      </c>
      <c r="D73" s="8">
        <v>34519752</v>
      </c>
      <c r="E73" s="8">
        <v>360</v>
      </c>
      <c r="F73" s="8">
        <v>5666760</v>
      </c>
      <c r="G73" s="8">
        <v>1332</v>
      </c>
      <c r="H73" s="8">
        <v>20093256</v>
      </c>
      <c r="I73" s="8">
        <v>1332</v>
      </c>
      <c r="J73" s="8">
        <v>20093256</v>
      </c>
    </row>
    <row r="74" spans="1:10" x14ac:dyDescent="0.2">
      <c r="A74" s="6" t="s">
        <v>82</v>
      </c>
      <c r="B74" s="6">
        <v>9</v>
      </c>
      <c r="C74" s="8">
        <v>8280</v>
      </c>
      <c r="D74" s="8">
        <v>59789160</v>
      </c>
      <c r="E74" s="8">
        <v>1080</v>
      </c>
      <c r="F74" s="8">
        <v>7999560</v>
      </c>
      <c r="G74" s="8">
        <v>5760</v>
      </c>
      <c r="H74" s="8">
        <v>41716135</v>
      </c>
      <c r="I74" s="8">
        <v>3600</v>
      </c>
      <c r="J74" s="8">
        <v>26072585</v>
      </c>
    </row>
    <row r="75" spans="1:10" x14ac:dyDescent="0.2">
      <c r="A75" s="6" t="s">
        <v>83</v>
      </c>
      <c r="B75" s="6">
        <v>9</v>
      </c>
      <c r="C75" s="8">
        <v>1674</v>
      </c>
      <c r="D75" s="8">
        <v>11858042</v>
      </c>
      <c r="E75" s="8">
        <v>1080</v>
      </c>
      <c r="F75" s="8">
        <v>8400240</v>
      </c>
      <c r="G75" s="8">
        <v>1188</v>
      </c>
      <c r="H75" s="8">
        <v>8738867</v>
      </c>
      <c r="I75" s="8">
        <v>1566</v>
      </c>
      <c r="J75" s="8">
        <v>11519415</v>
      </c>
    </row>
    <row r="76" spans="1:10" x14ac:dyDescent="0.2">
      <c r="A76" s="6" t="s">
        <v>84</v>
      </c>
      <c r="B76" s="6">
        <v>9</v>
      </c>
      <c r="C76" s="8">
        <v>11726</v>
      </c>
      <c r="D76" s="8">
        <v>352152781</v>
      </c>
      <c r="E76" s="8">
        <v>5710</v>
      </c>
      <c r="F76" s="8">
        <v>173775120</v>
      </c>
      <c r="G76" s="8">
        <v>3624</v>
      </c>
      <c r="H76" s="8">
        <v>109311924</v>
      </c>
      <c r="I76" s="8">
        <v>13812</v>
      </c>
      <c r="J76" s="8">
        <v>416615977</v>
      </c>
    </row>
    <row r="77" spans="1:10" x14ac:dyDescent="0.2">
      <c r="A77" s="6" t="s">
        <v>85</v>
      </c>
      <c r="B77" s="6">
        <v>9</v>
      </c>
      <c r="C77" s="8">
        <v>12823</v>
      </c>
      <c r="D77" s="8">
        <v>115298613</v>
      </c>
      <c r="E77" s="8">
        <v>5924</v>
      </c>
      <c r="F77" s="8">
        <v>53331840</v>
      </c>
      <c r="G77" s="8">
        <v>2088</v>
      </c>
      <c r="H77" s="8">
        <v>18781692</v>
      </c>
      <c r="I77" s="8">
        <v>16659</v>
      </c>
      <c r="J77" s="8">
        <v>149848761</v>
      </c>
    </row>
    <row r="78" spans="1:10" x14ac:dyDescent="0.2">
      <c r="A78" s="6" t="s">
        <v>86</v>
      </c>
      <c r="B78" s="6">
        <v>9</v>
      </c>
      <c r="C78" s="8">
        <v>38865</v>
      </c>
      <c r="D78" s="8">
        <v>277463166</v>
      </c>
      <c r="E78" s="8">
        <v>21411</v>
      </c>
      <c r="F78" s="8">
        <v>154658160</v>
      </c>
      <c r="G78" s="8">
        <v>6192</v>
      </c>
      <c r="H78" s="8">
        <v>44390724</v>
      </c>
      <c r="I78" s="8">
        <v>54084</v>
      </c>
      <c r="J78" s="8">
        <v>387730602</v>
      </c>
    </row>
    <row r="79" spans="1:10" x14ac:dyDescent="0.2">
      <c r="A79" s="6" t="s">
        <v>87</v>
      </c>
      <c r="B79" s="6">
        <v>9</v>
      </c>
      <c r="C79" s="8">
        <v>1014</v>
      </c>
      <c r="D79" s="8">
        <v>17695379</v>
      </c>
      <c r="E79" s="8">
        <v>3793</v>
      </c>
      <c r="F79" s="8">
        <v>68251680</v>
      </c>
      <c r="G79" s="8">
        <v>3276</v>
      </c>
      <c r="H79" s="8">
        <v>58573448</v>
      </c>
      <c r="I79" s="8">
        <v>1531</v>
      </c>
      <c r="J79" s="8">
        <v>27373611</v>
      </c>
    </row>
    <row r="80" spans="1:10" x14ac:dyDescent="0.2">
      <c r="A80" s="6" t="s">
        <v>88</v>
      </c>
      <c r="B80" s="6">
        <v>9</v>
      </c>
      <c r="C80" s="8">
        <v>768</v>
      </c>
      <c r="D80" s="8">
        <v>16058112</v>
      </c>
      <c r="E80" s="8">
        <v>0</v>
      </c>
      <c r="F80" s="8">
        <v>0</v>
      </c>
      <c r="G80" s="8">
        <v>0</v>
      </c>
      <c r="H80" s="8">
        <v>0</v>
      </c>
      <c r="I80" s="8">
        <v>768</v>
      </c>
      <c r="J80" s="8">
        <v>16058112</v>
      </c>
    </row>
    <row r="81" spans="1:10" x14ac:dyDescent="0.2">
      <c r="A81" s="6" t="s">
        <v>89</v>
      </c>
      <c r="B81" s="6">
        <v>9</v>
      </c>
      <c r="C81" s="8">
        <v>240</v>
      </c>
      <c r="D81" s="8">
        <v>5781579</v>
      </c>
      <c r="E81" s="8">
        <v>180</v>
      </c>
      <c r="F81" s="8">
        <v>4416660</v>
      </c>
      <c r="G81" s="8">
        <v>0</v>
      </c>
      <c r="H81" s="8">
        <v>0</v>
      </c>
      <c r="I81" s="8">
        <v>420</v>
      </c>
      <c r="J81" s="8">
        <v>10198239</v>
      </c>
    </row>
    <row r="82" spans="1:10" x14ac:dyDescent="0.2">
      <c r="A82" s="6" t="s">
        <v>90</v>
      </c>
      <c r="B82" s="6">
        <v>9</v>
      </c>
      <c r="C82" s="8">
        <v>474</v>
      </c>
      <c r="D82" s="8">
        <v>24991701</v>
      </c>
      <c r="E82" s="8">
        <v>1620</v>
      </c>
      <c r="F82" s="8">
        <v>86250420</v>
      </c>
      <c r="G82" s="8">
        <v>1347</v>
      </c>
      <c r="H82" s="8">
        <v>71558328</v>
      </c>
      <c r="I82" s="8">
        <v>747</v>
      </c>
      <c r="J82" s="8">
        <v>39683793</v>
      </c>
    </row>
    <row r="83" spans="1:10" x14ac:dyDescent="0.2">
      <c r="A83" s="6" t="s">
        <v>91</v>
      </c>
      <c r="B83" s="6">
        <v>9</v>
      </c>
      <c r="C83" s="8">
        <v>3600</v>
      </c>
      <c r="D83" s="8">
        <v>30758618</v>
      </c>
      <c r="E83" s="8">
        <v>6120</v>
      </c>
      <c r="F83" s="8">
        <v>55998720</v>
      </c>
      <c r="G83" s="8">
        <v>5280</v>
      </c>
      <c r="H83" s="8">
        <v>47127443</v>
      </c>
      <c r="I83" s="8">
        <v>4440</v>
      </c>
      <c r="J83" s="8">
        <v>39629895</v>
      </c>
    </row>
    <row r="84" spans="1:10" x14ac:dyDescent="0.2">
      <c r="A84" s="6" t="s">
        <v>92</v>
      </c>
      <c r="B84" s="6">
        <v>9</v>
      </c>
      <c r="C84" s="8">
        <v>10400</v>
      </c>
      <c r="D84" s="8">
        <v>5045950</v>
      </c>
      <c r="E84" s="8">
        <v>8000</v>
      </c>
      <c r="F84" s="8">
        <v>3928000</v>
      </c>
      <c r="G84" s="8">
        <v>800</v>
      </c>
      <c r="H84" s="8">
        <v>390172</v>
      </c>
      <c r="I84" s="8">
        <v>17600</v>
      </c>
      <c r="J84" s="8">
        <v>8583778</v>
      </c>
    </row>
    <row r="85" spans="1:10" x14ac:dyDescent="0.2">
      <c r="A85" s="6" t="s">
        <v>93</v>
      </c>
      <c r="B85" s="6">
        <v>9</v>
      </c>
      <c r="C85" s="8">
        <v>360</v>
      </c>
      <c r="D85" s="8">
        <v>18736330</v>
      </c>
      <c r="E85" s="8">
        <v>60</v>
      </c>
      <c r="F85" s="8">
        <v>3194460</v>
      </c>
      <c r="G85" s="8">
        <v>180</v>
      </c>
      <c r="H85" s="8">
        <v>9398910</v>
      </c>
      <c r="I85" s="8">
        <v>240</v>
      </c>
      <c r="J85" s="8">
        <v>12531880</v>
      </c>
    </row>
    <row r="86" spans="1:10" x14ac:dyDescent="0.2">
      <c r="A86" s="6" t="s">
        <v>94</v>
      </c>
      <c r="B86" s="6">
        <v>9</v>
      </c>
      <c r="C86" s="8">
        <v>384</v>
      </c>
      <c r="D86" s="8">
        <v>3525240</v>
      </c>
      <c r="E86" s="8">
        <v>72</v>
      </c>
      <c r="F86" s="8">
        <v>699984</v>
      </c>
      <c r="G86" s="8">
        <v>216</v>
      </c>
      <c r="H86" s="8">
        <v>2001422</v>
      </c>
      <c r="I86" s="8">
        <v>240</v>
      </c>
      <c r="J86" s="8">
        <v>2223802</v>
      </c>
    </row>
    <row r="87" spans="1:10" x14ac:dyDescent="0.2">
      <c r="A87" s="6" t="s">
        <v>95</v>
      </c>
      <c r="B87" s="6">
        <v>9</v>
      </c>
      <c r="C87" s="8">
        <v>2052</v>
      </c>
      <c r="D87" s="8">
        <v>16682112</v>
      </c>
      <c r="E87" s="8">
        <v>360</v>
      </c>
      <c r="F87" s="8">
        <v>2999880</v>
      </c>
      <c r="G87" s="8">
        <v>1368</v>
      </c>
      <c r="H87" s="8">
        <v>11162921</v>
      </c>
      <c r="I87" s="8">
        <v>1044</v>
      </c>
      <c r="J87" s="8">
        <v>8519071</v>
      </c>
    </row>
    <row r="88" spans="1:10" x14ac:dyDescent="0.2">
      <c r="A88" s="6" t="s">
        <v>96</v>
      </c>
      <c r="B88" s="6">
        <v>9</v>
      </c>
      <c r="C88" s="8">
        <v>594</v>
      </c>
      <c r="D88" s="8">
        <v>65804990</v>
      </c>
      <c r="E88" s="8">
        <v>120</v>
      </c>
      <c r="F88" s="8">
        <v>13944480</v>
      </c>
      <c r="G88" s="8">
        <v>612</v>
      </c>
      <c r="H88" s="8">
        <v>68356689</v>
      </c>
      <c r="I88" s="8">
        <v>102</v>
      </c>
      <c r="J88" s="8">
        <v>11392781</v>
      </c>
    </row>
    <row r="89" spans="1:10" x14ac:dyDescent="0.2">
      <c r="A89" s="6" t="s">
        <v>97</v>
      </c>
      <c r="B89" s="6">
        <v>9</v>
      </c>
      <c r="C89" s="8">
        <v>18400</v>
      </c>
      <c r="D89" s="8">
        <v>8965634</v>
      </c>
      <c r="E89" s="8">
        <v>8000</v>
      </c>
      <c r="F89" s="8">
        <v>3928000</v>
      </c>
      <c r="G89" s="8">
        <v>0</v>
      </c>
      <c r="H89" s="8">
        <v>0</v>
      </c>
      <c r="I89" s="8">
        <v>26400</v>
      </c>
      <c r="J89" s="8">
        <v>12893634</v>
      </c>
    </row>
    <row r="90" spans="1:10" x14ac:dyDescent="0.2">
      <c r="A90" s="6" t="s">
        <v>98</v>
      </c>
      <c r="B90" s="6">
        <v>9</v>
      </c>
      <c r="C90" s="8">
        <v>3408</v>
      </c>
      <c r="D90" s="8">
        <v>33815524</v>
      </c>
      <c r="E90" s="8">
        <v>480</v>
      </c>
      <c r="F90" s="8">
        <v>5066880</v>
      </c>
      <c r="G90" s="8">
        <v>2448</v>
      </c>
      <c r="H90" s="8">
        <v>24481514</v>
      </c>
      <c r="I90" s="8">
        <v>1440</v>
      </c>
      <c r="J90" s="8">
        <v>14400890</v>
      </c>
    </row>
    <row r="91" spans="1:10" x14ac:dyDescent="0.2">
      <c r="A91" s="6" t="s">
        <v>99</v>
      </c>
      <c r="B91" s="6">
        <v>9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</row>
    <row r="92" spans="1:10" x14ac:dyDescent="0.2">
      <c r="A92" s="6" t="s">
        <v>100</v>
      </c>
      <c r="B92" s="6">
        <v>9</v>
      </c>
      <c r="C92" s="8">
        <v>1380</v>
      </c>
      <c r="D92" s="8">
        <v>68078496</v>
      </c>
      <c r="E92" s="8">
        <v>1704</v>
      </c>
      <c r="F92" s="8">
        <v>83055960</v>
      </c>
      <c r="G92" s="8">
        <v>1425</v>
      </c>
      <c r="H92" s="8">
        <v>69833528</v>
      </c>
      <c r="I92" s="8">
        <v>1659</v>
      </c>
      <c r="J92" s="8">
        <v>81300928</v>
      </c>
    </row>
    <row r="93" spans="1:10" x14ac:dyDescent="0.2">
      <c r="A93" s="6" t="s">
        <v>101</v>
      </c>
      <c r="B93" s="6">
        <v>9</v>
      </c>
      <c r="C93" s="8">
        <v>14667</v>
      </c>
      <c r="D93" s="8">
        <v>84577708</v>
      </c>
      <c r="E93" s="8">
        <v>7783</v>
      </c>
      <c r="F93" s="8">
        <v>55998720</v>
      </c>
      <c r="G93" s="8">
        <v>1080</v>
      </c>
      <c r="H93" s="8">
        <v>6762697</v>
      </c>
      <c r="I93" s="8">
        <v>21370</v>
      </c>
      <c r="J93" s="8">
        <v>133813731</v>
      </c>
    </row>
    <row r="94" spans="1:10" x14ac:dyDescent="0.2">
      <c r="A94" s="6" t="s">
        <v>102</v>
      </c>
      <c r="B94" s="6">
        <v>9</v>
      </c>
      <c r="C94" s="8">
        <v>336</v>
      </c>
      <c r="D94" s="8">
        <v>8136026</v>
      </c>
      <c r="E94" s="8">
        <v>480</v>
      </c>
      <c r="F94" s="8">
        <v>11777760</v>
      </c>
      <c r="G94" s="8">
        <v>0</v>
      </c>
      <c r="H94" s="8">
        <v>0</v>
      </c>
      <c r="I94" s="8">
        <v>816</v>
      </c>
      <c r="J94" s="8">
        <v>19913786</v>
      </c>
    </row>
    <row r="95" spans="1:10" x14ac:dyDescent="0.2">
      <c r="A95" s="6" t="s">
        <v>103</v>
      </c>
      <c r="B95" s="6">
        <v>9</v>
      </c>
      <c r="C95" s="8">
        <v>4678</v>
      </c>
      <c r="D95" s="8">
        <v>53921988</v>
      </c>
      <c r="E95" s="8">
        <v>288</v>
      </c>
      <c r="F95" s="8">
        <v>0</v>
      </c>
      <c r="G95" s="8">
        <v>1048</v>
      </c>
      <c r="H95" s="8">
        <v>11379429</v>
      </c>
      <c r="I95" s="8">
        <v>3918</v>
      </c>
      <c r="J95" s="8">
        <v>42542559</v>
      </c>
    </row>
    <row r="96" spans="1:10" x14ac:dyDescent="0.2">
      <c r="A96" s="6" t="s">
        <v>104</v>
      </c>
      <c r="B96" s="6">
        <v>9</v>
      </c>
      <c r="C96" s="8">
        <v>384</v>
      </c>
      <c r="D96" s="8">
        <v>7012176</v>
      </c>
      <c r="E96" s="8">
        <v>48</v>
      </c>
      <c r="F96" s="8">
        <v>933312</v>
      </c>
      <c r="G96" s="8">
        <v>360</v>
      </c>
      <c r="H96" s="8">
        <v>6621240</v>
      </c>
      <c r="I96" s="8">
        <v>72</v>
      </c>
      <c r="J96" s="8">
        <v>1324248</v>
      </c>
    </row>
    <row r="97" spans="1:10" x14ac:dyDescent="0.2">
      <c r="A97" s="6" t="s">
        <v>105</v>
      </c>
      <c r="B97" s="6">
        <v>9</v>
      </c>
      <c r="C97" s="8">
        <v>462</v>
      </c>
      <c r="D97" s="8">
        <v>23400973</v>
      </c>
      <c r="E97" s="8">
        <v>30</v>
      </c>
      <c r="F97" s="8">
        <v>1597230</v>
      </c>
      <c r="G97" s="8">
        <v>324</v>
      </c>
      <c r="H97" s="8">
        <v>16462231</v>
      </c>
      <c r="I97" s="8">
        <v>168</v>
      </c>
      <c r="J97" s="8">
        <v>8535972</v>
      </c>
    </row>
    <row r="98" spans="1:10" x14ac:dyDescent="0.2">
      <c r="A98" s="6" t="s">
        <v>106</v>
      </c>
      <c r="B98" s="6">
        <v>9</v>
      </c>
      <c r="C98" s="8">
        <v>1272</v>
      </c>
      <c r="D98" s="8">
        <v>11691820</v>
      </c>
      <c r="E98" s="8">
        <v>240</v>
      </c>
      <c r="F98" s="8">
        <v>2333280</v>
      </c>
      <c r="G98" s="8">
        <v>600</v>
      </c>
      <c r="H98" s="8">
        <v>5565516</v>
      </c>
      <c r="I98" s="8">
        <v>912</v>
      </c>
      <c r="J98" s="8">
        <v>8459584</v>
      </c>
    </row>
    <row r="99" spans="1:10" x14ac:dyDescent="0.2">
      <c r="A99" s="6" t="s">
        <v>107</v>
      </c>
      <c r="B99" s="6">
        <v>9</v>
      </c>
      <c r="C99" s="8">
        <v>716</v>
      </c>
      <c r="D99" s="8">
        <v>1341900</v>
      </c>
      <c r="E99" s="8">
        <v>60</v>
      </c>
      <c r="F99" s="8">
        <v>0</v>
      </c>
      <c r="G99" s="8">
        <v>0</v>
      </c>
      <c r="H99" s="8">
        <v>0</v>
      </c>
      <c r="I99" s="8">
        <v>776</v>
      </c>
      <c r="J99" s="8">
        <v>1341900</v>
      </c>
    </row>
    <row r="100" spans="1:10" x14ac:dyDescent="0.2">
      <c r="A100" s="6" t="s">
        <v>108</v>
      </c>
      <c r="B100" s="6">
        <v>9</v>
      </c>
      <c r="C100" s="8">
        <v>31140</v>
      </c>
      <c r="D100" s="8">
        <v>219323410</v>
      </c>
      <c r="E100" s="8">
        <v>6480</v>
      </c>
      <c r="F100" s="8">
        <v>47997360</v>
      </c>
      <c r="G100" s="8">
        <v>2304</v>
      </c>
      <c r="H100" s="8">
        <v>16371798</v>
      </c>
      <c r="I100" s="8">
        <v>35316</v>
      </c>
      <c r="J100" s="8">
        <v>250948972</v>
      </c>
    </row>
    <row r="101" spans="1:10" x14ac:dyDescent="0.2">
      <c r="A101" s="6" t="s">
        <v>109</v>
      </c>
      <c r="B101" s="6">
        <v>9</v>
      </c>
      <c r="C101" s="8">
        <v>0</v>
      </c>
      <c r="D101" s="8">
        <v>0</v>
      </c>
      <c r="E101" s="8">
        <v>240</v>
      </c>
      <c r="F101" s="8">
        <v>3720000</v>
      </c>
      <c r="G101" s="8">
        <v>240</v>
      </c>
      <c r="H101" s="8">
        <v>3720000</v>
      </c>
      <c r="I101" s="8">
        <v>0</v>
      </c>
      <c r="J101" s="8">
        <v>0</v>
      </c>
    </row>
    <row r="102" spans="1:10" x14ac:dyDescent="0.2">
      <c r="A102" s="6" t="s">
        <v>110</v>
      </c>
      <c r="B102" s="6">
        <v>9</v>
      </c>
      <c r="C102" s="8">
        <v>1860</v>
      </c>
      <c r="D102" s="8">
        <v>32448822</v>
      </c>
      <c r="E102" s="8">
        <v>540</v>
      </c>
      <c r="F102" s="8">
        <v>9750240</v>
      </c>
      <c r="G102" s="8">
        <v>0</v>
      </c>
      <c r="H102" s="8">
        <v>0</v>
      </c>
      <c r="I102" s="8">
        <v>2400</v>
      </c>
      <c r="J102" s="8">
        <v>42199062</v>
      </c>
    </row>
    <row r="103" spans="1:10" x14ac:dyDescent="0.2">
      <c r="A103" s="6" t="s">
        <v>111</v>
      </c>
      <c r="B103" s="6">
        <v>9</v>
      </c>
      <c r="C103" s="8">
        <v>574</v>
      </c>
      <c r="D103" s="8">
        <v>4619133</v>
      </c>
      <c r="E103" s="8">
        <v>5400</v>
      </c>
      <c r="F103" s="8">
        <v>43999200</v>
      </c>
      <c r="G103" s="8">
        <v>4760</v>
      </c>
      <c r="H103" s="8">
        <v>38738411</v>
      </c>
      <c r="I103" s="8">
        <v>1214</v>
      </c>
      <c r="J103" s="8">
        <v>9879922</v>
      </c>
    </row>
    <row r="104" spans="1:10" x14ac:dyDescent="0.2">
      <c r="A104" s="6" t="s">
        <v>112</v>
      </c>
      <c r="B104" s="6">
        <v>9</v>
      </c>
      <c r="C104" s="8">
        <v>480</v>
      </c>
      <c r="D104" s="8">
        <v>3847152</v>
      </c>
      <c r="E104" s="8">
        <v>1800</v>
      </c>
      <c r="F104" s="8">
        <v>14666400</v>
      </c>
      <c r="G104" s="8">
        <v>380</v>
      </c>
      <c r="H104" s="8">
        <v>3085592</v>
      </c>
      <c r="I104" s="8">
        <v>1900</v>
      </c>
      <c r="J104" s="8">
        <v>15427960</v>
      </c>
    </row>
    <row r="105" spans="1:10" x14ac:dyDescent="0.2">
      <c r="A105" s="6" t="s">
        <v>113</v>
      </c>
      <c r="B105" s="6">
        <v>9</v>
      </c>
      <c r="C105" s="8">
        <v>216</v>
      </c>
      <c r="D105" s="8">
        <v>3483720</v>
      </c>
      <c r="E105" s="8">
        <v>0</v>
      </c>
      <c r="F105" s="8">
        <v>0</v>
      </c>
      <c r="G105" s="8">
        <v>96</v>
      </c>
      <c r="H105" s="8">
        <v>1548320</v>
      </c>
      <c r="I105" s="8">
        <v>120</v>
      </c>
      <c r="J105" s="8">
        <v>1935400</v>
      </c>
    </row>
    <row r="106" spans="1:10" x14ac:dyDescent="0.2">
      <c r="A106" s="6" t="s">
        <v>114</v>
      </c>
      <c r="B106" s="6">
        <v>9</v>
      </c>
      <c r="C106" s="8">
        <v>288</v>
      </c>
      <c r="D106" s="8">
        <v>5288520</v>
      </c>
      <c r="E106" s="8">
        <v>72</v>
      </c>
      <c r="F106" s="8">
        <v>1399968</v>
      </c>
      <c r="G106" s="8">
        <v>264</v>
      </c>
      <c r="H106" s="8">
        <v>4904891</v>
      </c>
      <c r="I106" s="8">
        <v>96</v>
      </c>
      <c r="J106" s="8">
        <v>1783597</v>
      </c>
    </row>
    <row r="107" spans="1:10" x14ac:dyDescent="0.2">
      <c r="A107" s="6" t="s">
        <v>115</v>
      </c>
      <c r="B107" s="6">
        <v>9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</row>
    <row r="108" spans="1:10" x14ac:dyDescent="0.2">
      <c r="A108" s="6" t="s">
        <v>116</v>
      </c>
      <c r="B108" s="6">
        <v>9</v>
      </c>
      <c r="C108" s="8">
        <v>1925</v>
      </c>
      <c r="D108" s="8">
        <v>39110400</v>
      </c>
      <c r="E108" s="8">
        <v>1608</v>
      </c>
      <c r="F108" s="8">
        <v>32754960</v>
      </c>
      <c r="G108" s="8">
        <v>0</v>
      </c>
      <c r="H108" s="8">
        <v>0</v>
      </c>
      <c r="I108" s="8">
        <v>3533</v>
      </c>
      <c r="J108" s="8">
        <v>71865360</v>
      </c>
    </row>
    <row r="109" spans="1:10" x14ac:dyDescent="0.2">
      <c r="A109" s="6" t="s">
        <v>117</v>
      </c>
      <c r="B109" s="6">
        <v>9</v>
      </c>
      <c r="C109" s="8">
        <v>288</v>
      </c>
      <c r="D109" s="8">
        <v>4978296</v>
      </c>
      <c r="E109" s="8">
        <v>48</v>
      </c>
      <c r="F109" s="8">
        <v>844464</v>
      </c>
      <c r="G109" s="8">
        <v>72</v>
      </c>
      <c r="H109" s="8">
        <v>1247734</v>
      </c>
      <c r="I109" s="8">
        <v>264</v>
      </c>
      <c r="J109" s="8">
        <v>4575026</v>
      </c>
    </row>
    <row r="110" spans="1:10" x14ac:dyDescent="0.2">
      <c r="A110" s="6" t="s">
        <v>118</v>
      </c>
      <c r="B110" s="6">
        <v>9</v>
      </c>
      <c r="C110" s="8">
        <v>726</v>
      </c>
      <c r="D110" s="8">
        <v>29382517</v>
      </c>
      <c r="E110" s="8">
        <v>0</v>
      </c>
      <c r="F110" s="8">
        <v>0</v>
      </c>
      <c r="G110" s="8">
        <v>342</v>
      </c>
      <c r="H110" s="8">
        <v>13841351</v>
      </c>
      <c r="I110" s="8">
        <v>384</v>
      </c>
      <c r="J110" s="8">
        <v>15541166</v>
      </c>
    </row>
    <row r="111" spans="1:10" x14ac:dyDescent="0.2">
      <c r="A111" s="6" t="s">
        <v>119</v>
      </c>
      <c r="B111" s="6">
        <v>9</v>
      </c>
      <c r="C111" s="8">
        <v>320</v>
      </c>
      <c r="D111" s="8">
        <v>7323160</v>
      </c>
      <c r="E111" s="8">
        <v>80</v>
      </c>
      <c r="F111" s="8">
        <v>1851840</v>
      </c>
      <c r="G111" s="8">
        <v>200</v>
      </c>
      <c r="H111" s="8">
        <v>4587500</v>
      </c>
      <c r="I111" s="8">
        <v>200</v>
      </c>
      <c r="J111" s="8">
        <v>4587500</v>
      </c>
    </row>
    <row r="112" spans="1:10" x14ac:dyDescent="0.2">
      <c r="A112" s="6" t="s">
        <v>120</v>
      </c>
      <c r="B112" s="6">
        <v>9</v>
      </c>
      <c r="C112" s="8">
        <v>160</v>
      </c>
      <c r="D112" s="8">
        <v>3507040</v>
      </c>
      <c r="E112" s="8">
        <v>0</v>
      </c>
      <c r="F112" s="8">
        <v>0</v>
      </c>
      <c r="G112" s="8">
        <v>120</v>
      </c>
      <c r="H112" s="8">
        <v>2630280</v>
      </c>
      <c r="I112" s="8">
        <v>40</v>
      </c>
      <c r="J112" s="8">
        <v>876760</v>
      </c>
    </row>
    <row r="113" spans="1:10" x14ac:dyDescent="0.2">
      <c r="A113" s="6" t="s">
        <v>121</v>
      </c>
      <c r="B113" s="6">
        <v>9</v>
      </c>
      <c r="C113" s="8">
        <v>7375</v>
      </c>
      <c r="D113" s="8">
        <v>85430639</v>
      </c>
      <c r="E113" s="8">
        <v>2656</v>
      </c>
      <c r="F113" s="8">
        <v>31777680</v>
      </c>
      <c r="G113" s="8">
        <v>5299</v>
      </c>
      <c r="H113" s="8">
        <v>61916746</v>
      </c>
      <c r="I113" s="8">
        <v>4732</v>
      </c>
      <c r="J113" s="8">
        <v>55291573</v>
      </c>
    </row>
    <row r="114" spans="1:10" x14ac:dyDescent="0.2">
      <c r="A114" s="6" t="s">
        <v>122</v>
      </c>
      <c r="B114" s="6">
        <v>9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</row>
    <row r="115" spans="1:10" x14ac:dyDescent="0.2">
      <c r="A115" s="6" t="s">
        <v>123</v>
      </c>
      <c r="B115" s="6">
        <v>9</v>
      </c>
      <c r="C115" s="8">
        <v>216</v>
      </c>
      <c r="D115" s="8">
        <v>3755160</v>
      </c>
      <c r="E115" s="8">
        <v>0</v>
      </c>
      <c r="F115" s="8">
        <v>0</v>
      </c>
      <c r="G115" s="8">
        <v>0</v>
      </c>
      <c r="H115" s="8">
        <v>0</v>
      </c>
      <c r="I115" s="8">
        <v>216</v>
      </c>
      <c r="J115" s="8">
        <v>3755160</v>
      </c>
    </row>
    <row r="116" spans="1:10" x14ac:dyDescent="0.2">
      <c r="A116" s="6" t="s">
        <v>124</v>
      </c>
      <c r="B116" s="6">
        <v>9</v>
      </c>
      <c r="C116" s="8">
        <v>72</v>
      </c>
      <c r="D116" s="8">
        <v>1333368</v>
      </c>
      <c r="E116" s="8">
        <v>0</v>
      </c>
      <c r="F116" s="8">
        <v>0</v>
      </c>
      <c r="G116" s="8">
        <v>0</v>
      </c>
      <c r="H116" s="8">
        <v>0</v>
      </c>
      <c r="I116" s="8">
        <v>72</v>
      </c>
      <c r="J116" s="8">
        <v>1333368</v>
      </c>
    </row>
    <row r="117" spans="1:10" x14ac:dyDescent="0.2">
      <c r="A117" s="6" t="s">
        <v>125</v>
      </c>
      <c r="B117" s="6">
        <v>9</v>
      </c>
      <c r="C117" s="8">
        <v>320</v>
      </c>
      <c r="D117" s="8">
        <v>13861480</v>
      </c>
      <c r="E117" s="8">
        <v>360</v>
      </c>
      <c r="F117" s="8">
        <v>16166520</v>
      </c>
      <c r="G117" s="8">
        <v>0</v>
      </c>
      <c r="H117" s="8">
        <v>0</v>
      </c>
      <c r="I117" s="8">
        <v>680</v>
      </c>
      <c r="J117" s="8">
        <v>30028000</v>
      </c>
    </row>
    <row r="118" spans="1:10" x14ac:dyDescent="0.2">
      <c r="A118" s="6" t="s">
        <v>126</v>
      </c>
      <c r="B118" s="6">
        <v>9</v>
      </c>
      <c r="C118" s="8">
        <v>17321</v>
      </c>
      <c r="D118" s="8">
        <v>88416117</v>
      </c>
      <c r="E118" s="8">
        <v>19985</v>
      </c>
      <c r="F118" s="8">
        <v>104994000</v>
      </c>
      <c r="G118" s="8">
        <v>12240</v>
      </c>
      <c r="H118" s="8">
        <v>63457348</v>
      </c>
      <c r="I118" s="8">
        <v>25066</v>
      </c>
      <c r="J118" s="8">
        <v>129952769</v>
      </c>
    </row>
    <row r="119" spans="1:10" x14ac:dyDescent="0.2">
      <c r="A119" s="6" t="s">
        <v>127</v>
      </c>
      <c r="B119" s="6">
        <v>9</v>
      </c>
      <c r="C119" s="8">
        <v>10726</v>
      </c>
      <c r="D119" s="8">
        <v>59236338</v>
      </c>
      <c r="E119" s="8">
        <v>1897</v>
      </c>
      <c r="F119" s="8">
        <v>10499400</v>
      </c>
      <c r="G119" s="8">
        <v>0</v>
      </c>
      <c r="H119" s="8">
        <v>0</v>
      </c>
      <c r="I119" s="8">
        <v>12623</v>
      </c>
      <c r="J119" s="8">
        <v>69735738</v>
      </c>
    </row>
    <row r="120" spans="1:10" x14ac:dyDescent="0.2">
      <c r="A120" s="6" t="s">
        <v>128</v>
      </c>
      <c r="B120" s="6">
        <v>9</v>
      </c>
      <c r="C120" s="8">
        <v>1060</v>
      </c>
      <c r="D120" s="8">
        <v>15972971</v>
      </c>
      <c r="E120" s="8">
        <v>200</v>
      </c>
      <c r="F120" s="8">
        <v>3055600</v>
      </c>
      <c r="G120" s="8">
        <v>766</v>
      </c>
      <c r="H120" s="8">
        <v>11568163</v>
      </c>
      <c r="I120" s="8">
        <v>494</v>
      </c>
      <c r="J120" s="8">
        <v>7460408</v>
      </c>
    </row>
    <row r="121" spans="1:10" x14ac:dyDescent="0.2">
      <c r="A121" s="6" t="s">
        <v>129</v>
      </c>
      <c r="B121" s="6">
        <v>9</v>
      </c>
      <c r="C121" s="8">
        <v>0</v>
      </c>
      <c r="D121" s="8">
        <v>0</v>
      </c>
      <c r="E121" s="8">
        <v>20</v>
      </c>
      <c r="F121" s="8">
        <v>685180</v>
      </c>
      <c r="G121" s="8">
        <v>0</v>
      </c>
      <c r="H121" s="8">
        <v>0</v>
      </c>
      <c r="I121" s="8">
        <v>20</v>
      </c>
      <c r="J121" s="8">
        <v>685180</v>
      </c>
    </row>
    <row r="122" spans="1:10" x14ac:dyDescent="0.2">
      <c r="A122" s="6" t="s">
        <v>130</v>
      </c>
      <c r="B122" s="6">
        <v>9</v>
      </c>
      <c r="C122" s="8">
        <v>92</v>
      </c>
      <c r="D122" s="8">
        <v>4366966</v>
      </c>
      <c r="E122" s="8">
        <v>48</v>
      </c>
      <c r="F122" s="8">
        <v>2288880</v>
      </c>
      <c r="G122" s="8">
        <v>60</v>
      </c>
      <c r="H122" s="8">
        <v>2852505</v>
      </c>
      <c r="I122" s="8">
        <v>80</v>
      </c>
      <c r="J122" s="8">
        <v>3803341</v>
      </c>
    </row>
    <row r="123" spans="1:10" x14ac:dyDescent="0.2">
      <c r="A123" s="6" t="s">
        <v>131</v>
      </c>
      <c r="B123" s="6">
        <v>9</v>
      </c>
      <c r="C123" s="8">
        <v>16</v>
      </c>
      <c r="D123" s="8">
        <v>788402</v>
      </c>
      <c r="E123" s="8">
        <v>32</v>
      </c>
      <c r="F123" s="8">
        <v>1600000</v>
      </c>
      <c r="G123" s="8">
        <v>0</v>
      </c>
      <c r="H123" s="8">
        <v>0</v>
      </c>
      <c r="I123" s="8">
        <v>48</v>
      </c>
      <c r="J123" s="8">
        <v>2388402</v>
      </c>
    </row>
    <row r="124" spans="1:10" x14ac:dyDescent="0.2">
      <c r="A124" s="6" t="s">
        <v>132</v>
      </c>
      <c r="B124" s="6">
        <v>9</v>
      </c>
      <c r="C124" s="8">
        <v>0</v>
      </c>
      <c r="D124" s="8">
        <v>0</v>
      </c>
      <c r="E124" s="8">
        <v>304</v>
      </c>
      <c r="F124" s="8">
        <v>13502649</v>
      </c>
      <c r="G124" s="8">
        <v>304</v>
      </c>
      <c r="H124" s="8">
        <v>13502649</v>
      </c>
      <c r="I124" s="8">
        <v>0</v>
      </c>
      <c r="J124" s="8">
        <v>0</v>
      </c>
    </row>
    <row r="125" spans="1:10" x14ac:dyDescent="0.2">
      <c r="A125" s="6" t="s">
        <v>133</v>
      </c>
      <c r="B125" s="6">
        <v>9</v>
      </c>
      <c r="C125" s="8">
        <v>64</v>
      </c>
      <c r="D125" s="8">
        <v>2411456</v>
      </c>
      <c r="E125" s="8">
        <v>48</v>
      </c>
      <c r="F125" s="8">
        <v>1822224</v>
      </c>
      <c r="G125" s="8">
        <v>40</v>
      </c>
      <c r="H125" s="8">
        <v>1512029</v>
      </c>
      <c r="I125" s="8">
        <v>72</v>
      </c>
      <c r="J125" s="8">
        <v>2721651</v>
      </c>
    </row>
    <row r="126" spans="1:10" x14ac:dyDescent="0.2">
      <c r="A126" s="6" t="s">
        <v>134</v>
      </c>
      <c r="B126" s="6">
        <v>9</v>
      </c>
      <c r="C126" s="8">
        <v>38</v>
      </c>
      <c r="D126" s="8">
        <v>1088168</v>
      </c>
      <c r="E126" s="8">
        <v>15</v>
      </c>
      <c r="F126" s="8">
        <v>437505</v>
      </c>
      <c r="G126" s="8">
        <v>38</v>
      </c>
      <c r="H126" s="8">
        <v>1093879</v>
      </c>
      <c r="I126" s="8">
        <v>15</v>
      </c>
      <c r="J126" s="8">
        <v>431794</v>
      </c>
    </row>
    <row r="127" spans="1:10" x14ac:dyDescent="0.2">
      <c r="A127" s="6" t="s">
        <v>135</v>
      </c>
      <c r="B127" s="6">
        <v>9</v>
      </c>
      <c r="C127" s="8">
        <v>114</v>
      </c>
      <c r="D127" s="8">
        <v>20941579</v>
      </c>
      <c r="E127" s="8">
        <v>240</v>
      </c>
      <c r="F127" s="8">
        <v>44092320</v>
      </c>
      <c r="G127" s="8">
        <v>104</v>
      </c>
      <c r="H127" s="8">
        <v>19106004</v>
      </c>
      <c r="I127" s="8">
        <v>250</v>
      </c>
      <c r="J127" s="8">
        <v>45927895</v>
      </c>
    </row>
    <row r="128" spans="1:10" x14ac:dyDescent="0.2">
      <c r="A128" s="6" t="s">
        <v>136</v>
      </c>
      <c r="B128" s="6">
        <v>9</v>
      </c>
      <c r="C128" s="8">
        <v>3869</v>
      </c>
      <c r="D128" s="8">
        <v>56989988</v>
      </c>
      <c r="E128" s="8">
        <v>3616</v>
      </c>
      <c r="F128" s="8">
        <v>55000800</v>
      </c>
      <c r="G128" s="8">
        <v>4116</v>
      </c>
      <c r="H128" s="8">
        <v>61583712</v>
      </c>
      <c r="I128" s="8">
        <v>3369</v>
      </c>
      <c r="J128" s="8">
        <v>50407076</v>
      </c>
    </row>
    <row r="129" spans="1:10" x14ac:dyDescent="0.2">
      <c r="A129" s="6" t="s">
        <v>137</v>
      </c>
      <c r="B129" s="6">
        <v>9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</row>
    <row r="130" spans="1:10" x14ac:dyDescent="0.2">
      <c r="A130" s="6" t="s">
        <v>138</v>
      </c>
      <c r="B130" s="6">
        <v>9</v>
      </c>
      <c r="C130" s="8">
        <v>0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</row>
    <row r="131" spans="1:10" x14ac:dyDescent="0.2">
      <c r="A131" s="6" t="s">
        <v>139</v>
      </c>
      <c r="B131" s="6">
        <v>9</v>
      </c>
      <c r="C131" s="8">
        <v>188</v>
      </c>
      <c r="D131" s="8">
        <v>34137846</v>
      </c>
      <c r="E131" s="8">
        <v>0</v>
      </c>
      <c r="F131" s="8">
        <v>0</v>
      </c>
      <c r="G131" s="8">
        <v>0</v>
      </c>
      <c r="H131" s="8">
        <v>0</v>
      </c>
      <c r="I131" s="8">
        <v>188</v>
      </c>
      <c r="J131" s="8">
        <v>34137846</v>
      </c>
    </row>
    <row r="132" spans="1:10" x14ac:dyDescent="0.2">
      <c r="A132" s="6" t="s">
        <v>140</v>
      </c>
      <c r="B132" s="6">
        <v>9</v>
      </c>
      <c r="C132" s="8">
        <v>1940</v>
      </c>
      <c r="D132" s="8">
        <v>357519449</v>
      </c>
      <c r="E132" s="8">
        <v>425</v>
      </c>
      <c r="F132" s="8">
        <v>78401025</v>
      </c>
      <c r="G132" s="8">
        <v>426</v>
      </c>
      <c r="H132" s="8">
        <v>78520982</v>
      </c>
      <c r="I132" s="8">
        <v>1939</v>
      </c>
      <c r="J132" s="8">
        <v>357399492</v>
      </c>
    </row>
    <row r="133" spans="1:10" x14ac:dyDescent="0.2">
      <c r="A133" s="6" t="s">
        <v>141</v>
      </c>
      <c r="B133" s="6">
        <v>9</v>
      </c>
      <c r="C133" s="8">
        <v>2259</v>
      </c>
      <c r="D133" s="8">
        <v>325871463</v>
      </c>
      <c r="E133" s="8">
        <v>400</v>
      </c>
      <c r="F133" s="8">
        <v>73789200</v>
      </c>
      <c r="G133" s="8">
        <v>390</v>
      </c>
      <c r="H133" s="8">
        <v>58618901</v>
      </c>
      <c r="I133" s="8">
        <v>2269</v>
      </c>
      <c r="J133" s="8">
        <v>341041762</v>
      </c>
    </row>
    <row r="134" spans="1:10" x14ac:dyDescent="0.2">
      <c r="A134" s="6" t="s">
        <v>142</v>
      </c>
      <c r="B134" s="6">
        <v>9</v>
      </c>
      <c r="C134" s="8">
        <v>1150</v>
      </c>
      <c r="D134" s="8">
        <v>211217050</v>
      </c>
      <c r="E134" s="8">
        <v>0</v>
      </c>
      <c r="F134" s="8">
        <v>0</v>
      </c>
      <c r="G134" s="8">
        <v>0</v>
      </c>
      <c r="H134" s="8">
        <v>0</v>
      </c>
      <c r="I134" s="8">
        <v>1150</v>
      </c>
      <c r="J134" s="8">
        <v>211217050</v>
      </c>
    </row>
    <row r="135" spans="1:10" x14ac:dyDescent="0.2">
      <c r="A135" s="6" t="s">
        <v>143</v>
      </c>
      <c r="B135" s="6">
        <v>9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</row>
    <row r="136" spans="1:10" x14ac:dyDescent="0.2">
      <c r="A136" s="6" t="s">
        <v>144</v>
      </c>
      <c r="B136" s="6">
        <v>9</v>
      </c>
      <c r="C136" s="8">
        <v>1993</v>
      </c>
      <c r="D136" s="8">
        <v>363379477</v>
      </c>
      <c r="E136" s="8">
        <v>400</v>
      </c>
      <c r="F136" s="8">
        <v>72960000</v>
      </c>
      <c r="G136" s="8">
        <v>0</v>
      </c>
      <c r="H136" s="8">
        <v>0</v>
      </c>
      <c r="I136" s="8">
        <v>2393</v>
      </c>
      <c r="J136" s="8">
        <v>436339477</v>
      </c>
    </row>
    <row r="137" spans="1:10" x14ac:dyDescent="0.2">
      <c r="A137" s="6" t="s">
        <v>145</v>
      </c>
      <c r="B137" s="6">
        <v>9</v>
      </c>
      <c r="C137" s="8">
        <v>443</v>
      </c>
      <c r="D137" s="8">
        <v>79178406</v>
      </c>
      <c r="E137" s="8">
        <v>0</v>
      </c>
      <c r="F137" s="8">
        <v>0</v>
      </c>
      <c r="G137" s="8">
        <v>80</v>
      </c>
      <c r="H137" s="8">
        <v>14298583</v>
      </c>
      <c r="I137" s="8">
        <v>363</v>
      </c>
      <c r="J137" s="8">
        <v>64879823</v>
      </c>
    </row>
    <row r="138" spans="1:10" x14ac:dyDescent="0.2">
      <c r="A138" s="6" t="s">
        <v>146</v>
      </c>
      <c r="B138" s="6">
        <v>9</v>
      </c>
      <c r="C138" s="8">
        <v>0</v>
      </c>
      <c r="D138" s="8">
        <v>0</v>
      </c>
      <c r="E138" s="8">
        <v>446</v>
      </c>
      <c r="F138" s="8">
        <v>84177526</v>
      </c>
      <c r="G138" s="8">
        <v>446</v>
      </c>
      <c r="H138" s="8">
        <v>84177526</v>
      </c>
      <c r="I138" s="8">
        <v>0</v>
      </c>
      <c r="J138" s="8">
        <v>0</v>
      </c>
    </row>
    <row r="139" spans="1:10" x14ac:dyDescent="0.2">
      <c r="A139" s="6" t="s">
        <v>147</v>
      </c>
      <c r="B139" s="6">
        <v>9</v>
      </c>
      <c r="C139" s="8">
        <v>888</v>
      </c>
      <c r="D139" s="8">
        <v>62503261</v>
      </c>
      <c r="E139" s="8">
        <v>0</v>
      </c>
      <c r="F139" s="8">
        <v>0</v>
      </c>
      <c r="G139" s="8">
        <v>0</v>
      </c>
      <c r="H139" s="8">
        <v>0</v>
      </c>
      <c r="I139" s="8">
        <v>888</v>
      </c>
      <c r="J139" s="8">
        <v>62503261</v>
      </c>
    </row>
    <row r="140" spans="1:10" x14ac:dyDescent="0.2">
      <c r="A140" s="6" t="s">
        <v>148</v>
      </c>
      <c r="B140" s="6">
        <v>9</v>
      </c>
      <c r="C140" s="8">
        <v>887</v>
      </c>
      <c r="D140" s="8">
        <v>101074445</v>
      </c>
      <c r="E140" s="8">
        <v>1003</v>
      </c>
      <c r="F140" s="8">
        <v>114292749</v>
      </c>
      <c r="G140" s="8">
        <v>1890</v>
      </c>
      <c r="H140" s="8">
        <v>215367194</v>
      </c>
      <c r="I140" s="8">
        <v>0</v>
      </c>
      <c r="J140" s="8">
        <v>0</v>
      </c>
    </row>
    <row r="141" spans="1:10" x14ac:dyDescent="0.2">
      <c r="A141" s="6" t="s">
        <v>149</v>
      </c>
      <c r="B141" s="6">
        <v>9</v>
      </c>
      <c r="C141" s="8">
        <v>1895</v>
      </c>
      <c r="D141" s="8">
        <v>359641760</v>
      </c>
      <c r="E141" s="8">
        <v>170</v>
      </c>
      <c r="F141" s="8">
        <v>32241350</v>
      </c>
      <c r="G141" s="8">
        <v>284</v>
      </c>
      <c r="H141" s="8">
        <v>53895788</v>
      </c>
      <c r="I141" s="8">
        <v>1781</v>
      </c>
      <c r="J141" s="8">
        <v>337987322</v>
      </c>
    </row>
    <row r="142" spans="1:10" x14ac:dyDescent="0.2">
      <c r="A142" s="6" t="s">
        <v>150</v>
      </c>
      <c r="B142" s="6">
        <v>9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</row>
    <row r="143" spans="1:10" x14ac:dyDescent="0.2">
      <c r="A143" s="6" t="s">
        <v>151</v>
      </c>
      <c r="B143" s="6">
        <v>9</v>
      </c>
      <c r="C143" s="8">
        <v>319</v>
      </c>
      <c r="D143" s="8">
        <v>60576489</v>
      </c>
      <c r="E143" s="8">
        <v>0</v>
      </c>
      <c r="F143" s="8">
        <v>0</v>
      </c>
      <c r="G143" s="8">
        <v>0</v>
      </c>
      <c r="H143" s="8">
        <v>0</v>
      </c>
      <c r="I143" s="8">
        <v>319</v>
      </c>
      <c r="J143" s="8">
        <v>60576489</v>
      </c>
    </row>
    <row r="144" spans="1:10" x14ac:dyDescent="0.2">
      <c r="A144" s="6" t="s">
        <v>152</v>
      </c>
      <c r="B144" s="6">
        <v>9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</row>
    <row r="145" spans="1:10" x14ac:dyDescent="0.2">
      <c r="A145" s="6" t="s">
        <v>153</v>
      </c>
      <c r="B145" s="6">
        <v>9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</row>
    <row r="146" spans="1:10" x14ac:dyDescent="0.2">
      <c r="A146" s="6" t="s">
        <v>154</v>
      </c>
      <c r="B146" s="6">
        <v>9</v>
      </c>
      <c r="C146" s="8">
        <v>0</v>
      </c>
      <c r="D146" s="8">
        <v>0</v>
      </c>
      <c r="E146" s="8">
        <v>20</v>
      </c>
      <c r="F146" s="8">
        <v>4642900</v>
      </c>
      <c r="G146" s="8">
        <v>0</v>
      </c>
      <c r="H146" s="8">
        <v>0</v>
      </c>
      <c r="I146" s="8">
        <v>20</v>
      </c>
      <c r="J146" s="8">
        <v>4642900</v>
      </c>
    </row>
    <row r="147" spans="1:10" x14ac:dyDescent="0.2">
      <c r="A147" s="6" t="s">
        <v>155</v>
      </c>
      <c r="B147" s="6">
        <v>9</v>
      </c>
      <c r="C147" s="8">
        <v>224</v>
      </c>
      <c r="D147" s="8">
        <v>64951888</v>
      </c>
      <c r="E147" s="8">
        <v>0</v>
      </c>
      <c r="F147" s="8">
        <v>0</v>
      </c>
      <c r="G147" s="8">
        <v>155</v>
      </c>
      <c r="H147" s="8">
        <v>44944387</v>
      </c>
      <c r="I147" s="8">
        <v>69</v>
      </c>
      <c r="J147" s="8">
        <v>20007501</v>
      </c>
    </row>
    <row r="148" spans="1:10" x14ac:dyDescent="0.2">
      <c r="A148" s="6" t="s">
        <v>156</v>
      </c>
      <c r="B148" s="6">
        <v>9</v>
      </c>
      <c r="C148" s="8">
        <v>55</v>
      </c>
      <c r="D148" s="8">
        <v>12071540</v>
      </c>
      <c r="E148" s="8">
        <v>170</v>
      </c>
      <c r="F148" s="8">
        <v>39464650</v>
      </c>
      <c r="G148" s="8">
        <v>0</v>
      </c>
      <c r="H148" s="8">
        <v>0</v>
      </c>
      <c r="I148" s="8">
        <v>225</v>
      </c>
      <c r="J148" s="8">
        <v>51536190</v>
      </c>
    </row>
    <row r="149" spans="1:10" x14ac:dyDescent="0.2">
      <c r="A149" s="6" t="s">
        <v>157</v>
      </c>
      <c r="B149" s="6">
        <v>9</v>
      </c>
      <c r="C149" s="8">
        <v>0</v>
      </c>
      <c r="D149" s="8">
        <v>0</v>
      </c>
      <c r="E149" s="8">
        <v>20</v>
      </c>
      <c r="F149" s="8">
        <v>4642900</v>
      </c>
      <c r="G149" s="8">
        <v>0</v>
      </c>
      <c r="H149" s="8">
        <v>0</v>
      </c>
      <c r="I149" s="8">
        <v>20</v>
      </c>
      <c r="J149" s="8">
        <v>4642900</v>
      </c>
    </row>
    <row r="150" spans="1:10" x14ac:dyDescent="0.2">
      <c r="A150" s="6" t="s">
        <v>158</v>
      </c>
      <c r="B150" s="6">
        <v>9</v>
      </c>
      <c r="C150" s="8">
        <v>173</v>
      </c>
      <c r="D150" s="8">
        <v>40029592</v>
      </c>
      <c r="E150" s="8">
        <v>0</v>
      </c>
      <c r="F150" s="8">
        <v>0</v>
      </c>
      <c r="G150" s="8">
        <v>120</v>
      </c>
      <c r="H150" s="8">
        <v>27766191</v>
      </c>
      <c r="I150" s="8">
        <v>53</v>
      </c>
      <c r="J150" s="8">
        <v>12263401</v>
      </c>
    </row>
    <row r="151" spans="1:10" x14ac:dyDescent="0.2">
      <c r="A151" s="6" t="s">
        <v>159</v>
      </c>
      <c r="B151" s="6">
        <v>9</v>
      </c>
      <c r="C151" s="8">
        <v>81</v>
      </c>
      <c r="D151" s="8">
        <v>17829621</v>
      </c>
      <c r="E151" s="8">
        <v>0</v>
      </c>
      <c r="F151" s="8">
        <v>0</v>
      </c>
      <c r="G151" s="8">
        <v>0</v>
      </c>
      <c r="H151" s="8">
        <v>0</v>
      </c>
      <c r="I151" s="8">
        <v>81</v>
      </c>
      <c r="J151" s="8">
        <v>17829621</v>
      </c>
    </row>
    <row r="152" spans="1:10" x14ac:dyDescent="0.2">
      <c r="A152" s="6" t="s">
        <v>160</v>
      </c>
      <c r="B152" s="6">
        <v>9</v>
      </c>
      <c r="C152" s="8">
        <v>51</v>
      </c>
      <c r="D152" s="8">
        <v>13482180</v>
      </c>
      <c r="E152" s="8">
        <v>0</v>
      </c>
      <c r="F152" s="8">
        <v>0</v>
      </c>
      <c r="G152" s="8">
        <v>0</v>
      </c>
      <c r="H152" s="8">
        <v>0</v>
      </c>
      <c r="I152" s="8">
        <v>51</v>
      </c>
      <c r="J152" s="8">
        <v>13482180</v>
      </c>
    </row>
    <row r="153" spans="1:10" x14ac:dyDescent="0.2">
      <c r="A153" s="6" t="s">
        <v>161</v>
      </c>
      <c r="B153" s="6">
        <v>9</v>
      </c>
      <c r="C153" s="8">
        <v>40</v>
      </c>
      <c r="D153" s="8">
        <v>9285800</v>
      </c>
      <c r="E153" s="8">
        <v>30</v>
      </c>
      <c r="F153" s="8">
        <v>6964350</v>
      </c>
      <c r="G153" s="8">
        <v>0</v>
      </c>
      <c r="H153" s="8">
        <v>0</v>
      </c>
      <c r="I153" s="8">
        <v>70</v>
      </c>
      <c r="J153" s="8">
        <v>16250150</v>
      </c>
    </row>
    <row r="154" spans="1:10" x14ac:dyDescent="0.2">
      <c r="A154" s="6" t="s">
        <v>162</v>
      </c>
      <c r="B154" s="6">
        <v>9</v>
      </c>
      <c r="C154" s="8">
        <v>454</v>
      </c>
      <c r="D154" s="8">
        <v>143505314</v>
      </c>
      <c r="E154" s="8">
        <v>301</v>
      </c>
      <c r="F154" s="8">
        <v>95143391</v>
      </c>
      <c r="G154" s="8">
        <v>755</v>
      </c>
      <c r="H154" s="8">
        <v>238648705</v>
      </c>
      <c r="I154" s="8">
        <v>0</v>
      </c>
      <c r="J154" s="8">
        <v>0</v>
      </c>
    </row>
    <row r="155" spans="1:10" x14ac:dyDescent="0.2">
      <c r="A155" s="6" t="s">
        <v>163</v>
      </c>
      <c r="B155" s="6">
        <v>9</v>
      </c>
      <c r="C155" s="8">
        <v>702</v>
      </c>
      <c r="D155" s="8">
        <v>221895882</v>
      </c>
      <c r="E155" s="8">
        <v>0</v>
      </c>
      <c r="F155" s="8">
        <v>0</v>
      </c>
      <c r="G155" s="8">
        <v>0</v>
      </c>
      <c r="H155" s="8">
        <v>0</v>
      </c>
      <c r="I155" s="8">
        <v>702</v>
      </c>
      <c r="J155" s="8">
        <v>221895882</v>
      </c>
    </row>
    <row r="156" spans="1:10" x14ac:dyDescent="0.2">
      <c r="A156" s="6" t="s">
        <v>164</v>
      </c>
      <c r="B156" s="6">
        <v>9</v>
      </c>
      <c r="C156" s="8">
        <v>77</v>
      </c>
      <c r="D156" s="8">
        <v>11101646</v>
      </c>
      <c r="E156" s="8">
        <v>3</v>
      </c>
      <c r="F156" s="8">
        <v>432532</v>
      </c>
      <c r="G156" s="8">
        <v>80</v>
      </c>
      <c r="H156" s="8">
        <v>11534178</v>
      </c>
      <c r="I156" s="8">
        <v>0</v>
      </c>
      <c r="J156" s="8">
        <v>0</v>
      </c>
    </row>
    <row r="157" spans="1:10" x14ac:dyDescent="0.2">
      <c r="A157" s="6" t="s">
        <v>165</v>
      </c>
      <c r="B157" s="6">
        <v>9</v>
      </c>
      <c r="C157" s="8">
        <v>210</v>
      </c>
      <c r="D157" s="8">
        <v>31937605</v>
      </c>
      <c r="E157" s="8">
        <v>0</v>
      </c>
      <c r="F157" s="8">
        <v>0</v>
      </c>
      <c r="G157" s="8">
        <v>110</v>
      </c>
      <c r="H157" s="8">
        <v>16729222</v>
      </c>
      <c r="I157" s="8">
        <v>100</v>
      </c>
      <c r="J157" s="8">
        <v>15208383</v>
      </c>
    </row>
    <row r="158" spans="1:10" x14ac:dyDescent="0.2">
      <c r="A158" s="6" t="s">
        <v>166</v>
      </c>
      <c r="B158" s="6">
        <v>9</v>
      </c>
      <c r="C158" s="8">
        <v>0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</row>
    <row r="159" spans="1:10" x14ac:dyDescent="0.2">
      <c r="A159" s="6" t="s">
        <v>167</v>
      </c>
      <c r="B159" s="6">
        <v>9</v>
      </c>
      <c r="C159" s="8">
        <v>0</v>
      </c>
      <c r="D159" s="8">
        <v>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</row>
    <row r="160" spans="1:10" x14ac:dyDescent="0.2">
      <c r="A160" s="6" t="s">
        <v>168</v>
      </c>
      <c r="B160" s="6">
        <v>9</v>
      </c>
      <c r="C160" s="8">
        <v>996</v>
      </c>
      <c r="D160" s="8">
        <v>181667262</v>
      </c>
      <c r="E160" s="8">
        <v>100</v>
      </c>
      <c r="F160" s="8">
        <v>18240000</v>
      </c>
      <c r="G160" s="8">
        <v>0</v>
      </c>
      <c r="H160" s="8">
        <v>0</v>
      </c>
      <c r="I160" s="8">
        <v>1096</v>
      </c>
      <c r="J160" s="8">
        <v>199907262</v>
      </c>
    </row>
    <row r="161" spans="1:10" x14ac:dyDescent="0.2">
      <c r="A161" s="6" t="s">
        <v>169</v>
      </c>
      <c r="B161" s="6">
        <v>9</v>
      </c>
      <c r="C161" s="8">
        <v>859</v>
      </c>
      <c r="D161" s="8">
        <v>152119335</v>
      </c>
      <c r="E161" s="8">
        <v>0</v>
      </c>
      <c r="F161" s="8">
        <v>0</v>
      </c>
      <c r="G161" s="8">
        <v>3</v>
      </c>
      <c r="H161" s="8">
        <v>531267</v>
      </c>
      <c r="I161" s="8">
        <v>856</v>
      </c>
      <c r="J161" s="8">
        <v>151588068</v>
      </c>
    </row>
    <row r="162" spans="1:10" x14ac:dyDescent="0.2">
      <c r="A162" s="6" t="s">
        <v>170</v>
      </c>
      <c r="B162" s="6">
        <v>9</v>
      </c>
      <c r="C162" s="8">
        <v>369</v>
      </c>
      <c r="D162" s="8">
        <v>101340684</v>
      </c>
      <c r="E162" s="8">
        <v>0</v>
      </c>
      <c r="F162" s="8">
        <v>0</v>
      </c>
      <c r="G162" s="8">
        <v>0</v>
      </c>
      <c r="H162" s="8">
        <v>0</v>
      </c>
      <c r="I162" s="8">
        <v>369</v>
      </c>
      <c r="J162" s="8">
        <v>101340684</v>
      </c>
    </row>
    <row r="163" spans="1:10" x14ac:dyDescent="0.2">
      <c r="A163" s="6" t="s">
        <v>171</v>
      </c>
      <c r="B163" s="6">
        <v>9</v>
      </c>
      <c r="C163" s="8">
        <v>0</v>
      </c>
      <c r="D163" s="8">
        <v>0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</row>
    <row r="164" spans="1:10" x14ac:dyDescent="0.2">
      <c r="A164" s="6" t="s">
        <v>172</v>
      </c>
      <c r="B164" s="6">
        <v>9</v>
      </c>
      <c r="C164" s="8">
        <v>349</v>
      </c>
      <c r="D164" s="8">
        <v>64734295</v>
      </c>
      <c r="E164" s="8">
        <v>0</v>
      </c>
      <c r="F164" s="8">
        <v>0</v>
      </c>
      <c r="G164" s="8">
        <v>10</v>
      </c>
      <c r="H164" s="8">
        <v>1854851</v>
      </c>
      <c r="I164" s="8">
        <v>339</v>
      </c>
      <c r="J164" s="8">
        <v>62879444</v>
      </c>
    </row>
    <row r="165" spans="1:10" x14ac:dyDescent="0.2">
      <c r="A165" s="6" t="s">
        <v>173</v>
      </c>
      <c r="B165" s="6">
        <v>9</v>
      </c>
      <c r="C165" s="8">
        <v>392</v>
      </c>
      <c r="D165" s="8">
        <v>72756319</v>
      </c>
      <c r="E165" s="8">
        <v>0</v>
      </c>
      <c r="F165" s="8">
        <v>0</v>
      </c>
      <c r="G165" s="8">
        <v>10</v>
      </c>
      <c r="H165" s="8">
        <v>1856029</v>
      </c>
      <c r="I165" s="8">
        <v>382</v>
      </c>
      <c r="J165" s="8">
        <v>70900290</v>
      </c>
    </row>
    <row r="166" spans="1:10" x14ac:dyDescent="0.2">
      <c r="A166" s="6" t="s">
        <v>174</v>
      </c>
      <c r="B166" s="6">
        <v>9</v>
      </c>
      <c r="C166" s="8">
        <v>100</v>
      </c>
      <c r="D166" s="8">
        <v>27457840</v>
      </c>
      <c r="E166" s="8">
        <v>0</v>
      </c>
      <c r="F166" s="8">
        <v>0</v>
      </c>
      <c r="G166" s="8">
        <v>0</v>
      </c>
      <c r="H166" s="8">
        <v>0</v>
      </c>
      <c r="I166" s="8">
        <v>100</v>
      </c>
      <c r="J166" s="8">
        <v>27457840</v>
      </c>
    </row>
    <row r="167" spans="1:10" x14ac:dyDescent="0.2">
      <c r="A167" s="6" t="s">
        <v>175</v>
      </c>
      <c r="B167" s="6">
        <v>9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</row>
    <row r="168" spans="1:10" x14ac:dyDescent="0.2">
      <c r="A168" s="6" t="s">
        <v>176</v>
      </c>
      <c r="B168" s="6">
        <v>9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</row>
    <row r="169" spans="1:10" x14ac:dyDescent="0.2">
      <c r="A169" s="6" t="s">
        <v>177</v>
      </c>
      <c r="B169" s="6">
        <v>9</v>
      </c>
      <c r="C169" s="8">
        <v>0</v>
      </c>
      <c r="D169" s="8">
        <v>0</v>
      </c>
      <c r="E169" s="8">
        <v>1</v>
      </c>
      <c r="F169" s="8">
        <v>537037</v>
      </c>
      <c r="G169" s="8">
        <v>0</v>
      </c>
      <c r="H169" s="8">
        <v>0</v>
      </c>
      <c r="I169" s="8">
        <v>1</v>
      </c>
      <c r="J169" s="8">
        <v>537037</v>
      </c>
    </row>
    <row r="170" spans="1:10" x14ac:dyDescent="0.2">
      <c r="A170" s="6" t="s">
        <v>178</v>
      </c>
      <c r="B170" s="6">
        <v>9</v>
      </c>
      <c r="C170" s="8">
        <v>0</v>
      </c>
      <c r="D170" s="8">
        <v>0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</row>
    <row r="171" spans="1:10" x14ac:dyDescent="0.2">
      <c r="A171" s="6" t="s">
        <v>179</v>
      </c>
      <c r="B171" s="6">
        <v>9</v>
      </c>
      <c r="C171" s="8">
        <v>15523</v>
      </c>
      <c r="D171" s="8">
        <v>73342133</v>
      </c>
      <c r="E171" s="8">
        <v>16578</v>
      </c>
      <c r="F171" s="8">
        <v>80006400</v>
      </c>
      <c r="G171" s="8">
        <v>8856</v>
      </c>
      <c r="H171" s="8">
        <v>42305679</v>
      </c>
      <c r="I171" s="8">
        <v>23245</v>
      </c>
      <c r="J171" s="8">
        <v>111042854</v>
      </c>
    </row>
    <row r="172" spans="1:10" x14ac:dyDescent="0.2">
      <c r="A172" s="6" t="s">
        <v>180</v>
      </c>
      <c r="B172" s="6">
        <v>9</v>
      </c>
      <c r="C172" s="8">
        <v>336</v>
      </c>
      <c r="D172" s="8">
        <v>26402880</v>
      </c>
      <c r="E172" s="8">
        <v>360</v>
      </c>
      <c r="F172" s="8">
        <v>28288800</v>
      </c>
      <c r="G172" s="8">
        <v>0</v>
      </c>
      <c r="H172" s="8">
        <v>0</v>
      </c>
      <c r="I172" s="8">
        <v>696</v>
      </c>
      <c r="J172" s="8">
        <v>54691680</v>
      </c>
    </row>
    <row r="173" spans="1:10" x14ac:dyDescent="0.2">
      <c r="A173" s="6" t="s">
        <v>181</v>
      </c>
      <c r="B173" s="6">
        <v>9</v>
      </c>
      <c r="C173" s="8">
        <v>852</v>
      </c>
      <c r="D173" s="8">
        <v>43719278</v>
      </c>
      <c r="E173" s="8">
        <v>360</v>
      </c>
      <c r="F173" s="8">
        <v>18500040</v>
      </c>
      <c r="G173" s="8">
        <v>360</v>
      </c>
      <c r="H173" s="8">
        <v>18480986</v>
      </c>
      <c r="I173" s="8">
        <v>852</v>
      </c>
      <c r="J173" s="8">
        <v>43738332</v>
      </c>
    </row>
    <row r="174" spans="1:10" x14ac:dyDescent="0.2">
      <c r="A174" s="6" t="s">
        <v>182</v>
      </c>
      <c r="B174" s="6">
        <v>9</v>
      </c>
      <c r="C174" s="8">
        <v>20</v>
      </c>
      <c r="D174" s="8">
        <v>1190400</v>
      </c>
      <c r="E174" s="8">
        <v>0</v>
      </c>
      <c r="F174" s="8">
        <v>0</v>
      </c>
      <c r="G174" s="8">
        <v>0</v>
      </c>
      <c r="H174" s="8">
        <v>0</v>
      </c>
      <c r="I174" s="8">
        <v>20</v>
      </c>
      <c r="J174" s="8">
        <v>1190400</v>
      </c>
    </row>
    <row r="175" spans="1:10" x14ac:dyDescent="0.2">
      <c r="A175" s="6" t="s">
        <v>183</v>
      </c>
      <c r="B175" s="6">
        <v>9</v>
      </c>
      <c r="C175" s="8">
        <v>2795</v>
      </c>
      <c r="D175" s="8">
        <v>151040143</v>
      </c>
      <c r="E175" s="8">
        <v>156</v>
      </c>
      <c r="F175" s="8">
        <v>8160778</v>
      </c>
      <c r="G175" s="8">
        <v>200</v>
      </c>
      <c r="H175" s="8">
        <v>10789625</v>
      </c>
      <c r="I175" s="8">
        <v>2751</v>
      </c>
      <c r="J175" s="8">
        <v>148411296</v>
      </c>
    </row>
    <row r="176" spans="1:10" x14ac:dyDescent="0.2">
      <c r="A176" s="6" t="s">
        <v>184</v>
      </c>
      <c r="B176" s="6">
        <v>9</v>
      </c>
      <c r="C176" s="8">
        <v>2815</v>
      </c>
      <c r="D176" s="8">
        <v>152535034</v>
      </c>
      <c r="E176" s="8">
        <v>208</v>
      </c>
      <c r="F176" s="8">
        <v>10881037</v>
      </c>
      <c r="G176" s="8">
        <v>320</v>
      </c>
      <c r="H176" s="8">
        <v>17298426</v>
      </c>
      <c r="I176" s="8">
        <v>2703</v>
      </c>
      <c r="J176" s="8">
        <v>146117645</v>
      </c>
    </row>
    <row r="177" spans="1:10" x14ac:dyDescent="0.2">
      <c r="A177" s="6" t="s">
        <v>185</v>
      </c>
      <c r="B177" s="6">
        <v>9</v>
      </c>
      <c r="C177" s="8">
        <v>210</v>
      </c>
      <c r="D177" s="8">
        <v>38760000</v>
      </c>
      <c r="E177" s="8">
        <v>250</v>
      </c>
      <c r="F177" s="8">
        <v>46027500</v>
      </c>
      <c r="G177" s="8">
        <v>0</v>
      </c>
      <c r="H177" s="8">
        <v>0</v>
      </c>
      <c r="I177" s="8">
        <v>460</v>
      </c>
      <c r="J177" s="8">
        <v>84787500</v>
      </c>
    </row>
    <row r="178" spans="1:10" x14ac:dyDescent="0.2">
      <c r="A178" s="6" t="s">
        <v>186</v>
      </c>
      <c r="B178" s="6">
        <v>9</v>
      </c>
      <c r="C178" s="8">
        <v>25040</v>
      </c>
      <c r="D178" s="8">
        <v>1067748282</v>
      </c>
      <c r="E178" s="8">
        <v>0</v>
      </c>
      <c r="F178" s="8">
        <v>0</v>
      </c>
      <c r="G178" s="8">
        <v>17070</v>
      </c>
      <c r="H178" s="8">
        <v>733968800</v>
      </c>
      <c r="I178" s="8">
        <v>7970</v>
      </c>
      <c r="J178" s="8">
        <v>333779482</v>
      </c>
    </row>
    <row r="179" spans="1:10" x14ac:dyDescent="0.2">
      <c r="A179" s="6" t="s">
        <v>187</v>
      </c>
      <c r="B179" s="6">
        <v>9</v>
      </c>
      <c r="C179" s="8">
        <v>2268</v>
      </c>
      <c r="D179" s="8">
        <v>81201654</v>
      </c>
      <c r="E179" s="8">
        <v>0</v>
      </c>
      <c r="F179" s="8">
        <v>0</v>
      </c>
      <c r="G179" s="8">
        <v>945</v>
      </c>
      <c r="H179" s="8">
        <v>34068110</v>
      </c>
      <c r="I179" s="8">
        <v>1323</v>
      </c>
      <c r="J179" s="8">
        <v>47133544</v>
      </c>
    </row>
    <row r="180" spans="1:10" x14ac:dyDescent="0.2">
      <c r="A180" s="6" t="s">
        <v>188</v>
      </c>
      <c r="B180" s="6">
        <v>9</v>
      </c>
      <c r="C180" s="8">
        <v>966</v>
      </c>
      <c r="D180" s="8">
        <v>175705782</v>
      </c>
      <c r="E180" s="8">
        <v>7100</v>
      </c>
      <c r="F180" s="8">
        <v>1299600000</v>
      </c>
      <c r="G180" s="8">
        <v>1145</v>
      </c>
      <c r="H180" s="8">
        <v>209425381</v>
      </c>
      <c r="I180" s="8">
        <v>6921</v>
      </c>
      <c r="J180" s="8">
        <v>1265880401</v>
      </c>
    </row>
    <row r="181" spans="1:10" x14ac:dyDescent="0.2">
      <c r="A181" s="6" t="s">
        <v>189</v>
      </c>
      <c r="B181" s="6">
        <v>9</v>
      </c>
      <c r="C181" s="8">
        <v>320</v>
      </c>
      <c r="D181" s="8">
        <v>13664775</v>
      </c>
      <c r="E181" s="8">
        <v>900</v>
      </c>
      <c r="F181" s="8">
        <v>39875458</v>
      </c>
      <c r="G181" s="8">
        <v>100</v>
      </c>
      <c r="H181" s="8">
        <v>4413458</v>
      </c>
      <c r="I181" s="8">
        <v>1120</v>
      </c>
      <c r="J181" s="8">
        <v>49126775</v>
      </c>
    </row>
    <row r="182" spans="1:10" x14ac:dyDescent="0.2">
      <c r="A182" s="6" t="s">
        <v>190</v>
      </c>
      <c r="B182" s="6">
        <v>9</v>
      </c>
      <c r="C182" s="8">
        <v>0</v>
      </c>
      <c r="D182" s="8">
        <v>0</v>
      </c>
      <c r="E182" s="8">
        <v>7350</v>
      </c>
      <c r="F182" s="8">
        <v>212268000</v>
      </c>
      <c r="G182" s="8">
        <v>630</v>
      </c>
      <c r="H182" s="8">
        <v>18180725</v>
      </c>
      <c r="I182" s="8">
        <v>6720</v>
      </c>
      <c r="J182" s="8">
        <v>194087275</v>
      </c>
    </row>
    <row r="183" spans="1:10" x14ac:dyDescent="0.2">
      <c r="A183" s="6" t="s">
        <v>191</v>
      </c>
      <c r="B183" s="6">
        <v>9</v>
      </c>
      <c r="C183" s="8">
        <v>6087</v>
      </c>
      <c r="D183" s="8">
        <v>57250875</v>
      </c>
      <c r="E183" s="8">
        <v>14093</v>
      </c>
      <c r="F183" s="8">
        <v>517039410</v>
      </c>
      <c r="G183" s="8">
        <v>20180</v>
      </c>
      <c r="H183" s="8">
        <v>574290285</v>
      </c>
      <c r="I183" s="8">
        <v>0</v>
      </c>
      <c r="J183" s="8">
        <v>0</v>
      </c>
    </row>
    <row r="184" spans="1:10" x14ac:dyDescent="0.2">
      <c r="A184" s="6" t="s">
        <v>192</v>
      </c>
      <c r="B184" s="6">
        <v>9</v>
      </c>
      <c r="C184" s="8">
        <v>7650</v>
      </c>
      <c r="D184" s="8">
        <v>54606000</v>
      </c>
      <c r="E184" s="8">
        <v>6000</v>
      </c>
      <c r="F184" s="8">
        <v>43320000</v>
      </c>
      <c r="G184" s="8">
        <v>6000</v>
      </c>
      <c r="H184" s="8">
        <v>43044396</v>
      </c>
      <c r="I184" s="8">
        <v>7650</v>
      </c>
      <c r="J184" s="8">
        <v>54881604</v>
      </c>
    </row>
    <row r="185" spans="1:10" x14ac:dyDescent="0.2">
      <c r="A185" s="6" t="s">
        <v>193</v>
      </c>
      <c r="B185" s="6">
        <v>9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</row>
    <row r="186" spans="1:10" x14ac:dyDescent="0.2">
      <c r="A186" s="6" t="s">
        <v>194</v>
      </c>
      <c r="B186" s="6">
        <v>9</v>
      </c>
      <c r="C186" s="8">
        <v>54280</v>
      </c>
      <c r="D186" s="8">
        <v>268483863</v>
      </c>
      <c r="E186" s="8">
        <v>180000</v>
      </c>
      <c r="F186" s="8">
        <v>1299600000</v>
      </c>
      <c r="G186" s="8">
        <v>29480</v>
      </c>
      <c r="H186" s="8">
        <v>212290392</v>
      </c>
      <c r="I186" s="8">
        <v>204800</v>
      </c>
      <c r="J186" s="8">
        <v>1355793471</v>
      </c>
    </row>
    <row r="187" spans="1:10" x14ac:dyDescent="0.2">
      <c r="A187" s="6" t="s">
        <v>195</v>
      </c>
      <c r="B187" s="6">
        <v>9</v>
      </c>
      <c r="C187" s="8">
        <v>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</row>
    <row r="188" spans="1:10" x14ac:dyDescent="0.2">
      <c r="A188" s="6" t="s">
        <v>196</v>
      </c>
      <c r="B188" s="6">
        <v>9</v>
      </c>
      <c r="C188" s="8">
        <v>0</v>
      </c>
      <c r="D188" s="8">
        <v>0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</row>
    <row r="189" spans="1:10" x14ac:dyDescent="0.2">
      <c r="A189" s="6" t="s">
        <v>197</v>
      </c>
      <c r="B189" s="6">
        <v>9</v>
      </c>
      <c r="C189" s="8">
        <v>330</v>
      </c>
      <c r="D189" s="8">
        <v>2367855</v>
      </c>
      <c r="E189" s="8">
        <v>0</v>
      </c>
      <c r="F189" s="8">
        <v>0</v>
      </c>
      <c r="G189" s="8">
        <v>0</v>
      </c>
      <c r="H189" s="8">
        <v>0</v>
      </c>
      <c r="I189" s="8">
        <v>330</v>
      </c>
      <c r="J189" s="8">
        <v>2367855</v>
      </c>
    </row>
    <row r="190" spans="1:10" x14ac:dyDescent="0.2">
      <c r="A190" s="6" t="s">
        <v>198</v>
      </c>
      <c r="B190" s="6">
        <v>9</v>
      </c>
      <c r="C190" s="8">
        <v>0</v>
      </c>
      <c r="D190" s="8">
        <v>0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</row>
    <row r="191" spans="1:10" x14ac:dyDescent="0.2">
      <c r="A191" s="6" t="s">
        <v>199</v>
      </c>
      <c r="B191" s="6">
        <v>9</v>
      </c>
      <c r="C191" s="8">
        <v>77660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77660</v>
      </c>
      <c r="J191" s="8">
        <v>0</v>
      </c>
    </row>
    <row r="192" spans="1:10" x14ac:dyDescent="0.2">
      <c r="A192" s="6" t="s">
        <v>200</v>
      </c>
      <c r="B192" s="6">
        <v>9</v>
      </c>
      <c r="C192" s="8">
        <v>72</v>
      </c>
      <c r="D192" s="8">
        <v>504000</v>
      </c>
      <c r="E192" s="8">
        <v>0</v>
      </c>
      <c r="F192" s="8">
        <v>0</v>
      </c>
      <c r="G192" s="8">
        <v>0</v>
      </c>
      <c r="H192" s="8">
        <v>0</v>
      </c>
      <c r="I192" s="8">
        <v>72</v>
      </c>
      <c r="J192" s="8">
        <v>504000</v>
      </c>
    </row>
    <row r="193" spans="1:10" x14ac:dyDescent="0.2">
      <c r="A193" s="6" t="s">
        <v>201</v>
      </c>
      <c r="B193" s="6">
        <v>9</v>
      </c>
      <c r="C193" s="8">
        <v>2100</v>
      </c>
      <c r="D193" s="8">
        <v>32160899</v>
      </c>
      <c r="E193" s="8">
        <v>420</v>
      </c>
      <c r="F193" s="8">
        <v>6805680</v>
      </c>
      <c r="G193" s="8">
        <v>1320</v>
      </c>
      <c r="H193" s="8">
        <v>20411065</v>
      </c>
      <c r="I193" s="8">
        <v>1200</v>
      </c>
      <c r="J193" s="8">
        <v>18555514</v>
      </c>
    </row>
    <row r="194" spans="1:10" x14ac:dyDescent="0.2">
      <c r="A194" s="6" t="s">
        <v>202</v>
      </c>
      <c r="B194" s="6">
        <v>9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</row>
    <row r="195" spans="1:10" x14ac:dyDescent="0.2">
      <c r="A195" s="6" t="s">
        <v>203</v>
      </c>
      <c r="B195" s="6">
        <v>9</v>
      </c>
      <c r="C195" s="8">
        <v>7672</v>
      </c>
      <c r="D195" s="8">
        <v>86079158</v>
      </c>
      <c r="E195" s="8">
        <v>0</v>
      </c>
      <c r="F195" s="8">
        <v>0</v>
      </c>
      <c r="G195" s="8">
        <v>2050</v>
      </c>
      <c r="H195" s="8">
        <v>23000818</v>
      </c>
      <c r="I195" s="8">
        <v>5622</v>
      </c>
      <c r="J195" s="8">
        <v>63078340</v>
      </c>
    </row>
    <row r="196" spans="1:10" x14ac:dyDescent="0.2">
      <c r="A196" s="6" t="s">
        <v>204</v>
      </c>
      <c r="B196" s="6">
        <v>9</v>
      </c>
      <c r="C196" s="8">
        <v>5425</v>
      </c>
      <c r="D196" s="8">
        <v>151468959</v>
      </c>
      <c r="E196" s="8">
        <v>3600</v>
      </c>
      <c r="F196" s="8">
        <v>115236000</v>
      </c>
      <c r="G196" s="8">
        <v>1150</v>
      </c>
      <c r="H196" s="8">
        <v>33984565</v>
      </c>
      <c r="I196" s="8">
        <v>7875</v>
      </c>
      <c r="J196" s="8">
        <v>232720394</v>
      </c>
    </row>
    <row r="197" spans="1:10" x14ac:dyDescent="0.2">
      <c r="A197" s="6" t="s">
        <v>205</v>
      </c>
      <c r="B197" s="6">
        <v>9</v>
      </c>
      <c r="C197" s="8">
        <v>1230</v>
      </c>
      <c r="D197" s="8">
        <v>73533643</v>
      </c>
      <c r="E197" s="8">
        <v>0</v>
      </c>
      <c r="F197" s="8">
        <v>0</v>
      </c>
      <c r="G197" s="8">
        <v>310</v>
      </c>
      <c r="H197" s="8">
        <v>18532870</v>
      </c>
      <c r="I197" s="8">
        <v>920</v>
      </c>
      <c r="J197" s="8">
        <v>55000773</v>
      </c>
    </row>
    <row r="198" spans="1:10" x14ac:dyDescent="0.2">
      <c r="A198" s="6" t="s">
        <v>206</v>
      </c>
      <c r="B198" s="6">
        <v>9</v>
      </c>
      <c r="C198" s="8">
        <v>1144</v>
      </c>
      <c r="D198" s="8">
        <v>36202104</v>
      </c>
      <c r="E198" s="8">
        <v>192</v>
      </c>
      <c r="F198" s="8">
        <v>6309811</v>
      </c>
      <c r="G198" s="8">
        <v>284</v>
      </c>
      <c r="H198" s="8">
        <v>9036964</v>
      </c>
      <c r="I198" s="8">
        <v>1052</v>
      </c>
      <c r="J198" s="8">
        <v>33474951</v>
      </c>
    </row>
    <row r="199" spans="1:10" x14ac:dyDescent="0.2">
      <c r="A199" s="6" t="s">
        <v>207</v>
      </c>
      <c r="B199" s="6">
        <v>9</v>
      </c>
      <c r="C199" s="8">
        <v>1836</v>
      </c>
      <c r="D199" s="8">
        <v>4609440</v>
      </c>
      <c r="E199" s="8">
        <v>288</v>
      </c>
      <c r="F199" s="8">
        <v>0</v>
      </c>
      <c r="G199" s="8">
        <v>360</v>
      </c>
      <c r="H199" s="8">
        <v>781261</v>
      </c>
      <c r="I199" s="8">
        <v>1764</v>
      </c>
      <c r="J199" s="8">
        <v>3828179</v>
      </c>
    </row>
    <row r="200" spans="1:10" x14ac:dyDescent="0.2">
      <c r="A200" s="6" t="s">
        <v>208</v>
      </c>
      <c r="B200" s="6">
        <v>9</v>
      </c>
      <c r="C200" s="8">
        <v>13</v>
      </c>
      <c r="D200" s="8">
        <v>107765</v>
      </c>
      <c r="E200" s="8">
        <v>0</v>
      </c>
      <c r="F200" s="8">
        <v>0</v>
      </c>
      <c r="G200" s="8">
        <v>0</v>
      </c>
      <c r="H200" s="8">
        <v>0</v>
      </c>
      <c r="I200" s="8">
        <v>13</v>
      </c>
      <c r="J200" s="8">
        <v>107765</v>
      </c>
    </row>
    <row r="201" spans="1:10" x14ac:dyDescent="0.2">
      <c r="A201" s="6" t="s">
        <v>209</v>
      </c>
      <c r="B201" s="6">
        <v>9</v>
      </c>
      <c r="C201" s="8">
        <v>24</v>
      </c>
      <c r="D201" s="8">
        <v>1401840</v>
      </c>
      <c r="E201" s="8">
        <v>0</v>
      </c>
      <c r="F201" s="8">
        <v>0</v>
      </c>
      <c r="G201" s="8">
        <v>0</v>
      </c>
      <c r="H201" s="8">
        <v>0</v>
      </c>
      <c r="I201" s="8">
        <v>24</v>
      </c>
      <c r="J201" s="8">
        <v>1401840</v>
      </c>
    </row>
    <row r="202" spans="1:10" x14ac:dyDescent="0.2">
      <c r="A202" s="6" t="s">
        <v>210</v>
      </c>
      <c r="B202" s="6">
        <v>9</v>
      </c>
      <c r="C202" s="8">
        <v>625</v>
      </c>
      <c r="D202" s="8">
        <v>6930861</v>
      </c>
      <c r="E202" s="8">
        <v>0</v>
      </c>
      <c r="F202" s="8">
        <v>0</v>
      </c>
      <c r="G202" s="8">
        <v>0</v>
      </c>
      <c r="H202" s="8">
        <v>0</v>
      </c>
      <c r="I202" s="8">
        <v>625</v>
      </c>
      <c r="J202" s="8">
        <v>6930861</v>
      </c>
    </row>
    <row r="203" spans="1:10" x14ac:dyDescent="0.2">
      <c r="A203" s="6" t="s">
        <v>211</v>
      </c>
      <c r="B203" s="6">
        <v>9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</row>
    <row r="204" spans="1:10" x14ac:dyDescent="0.2">
      <c r="A204" s="6" t="s">
        <v>212</v>
      </c>
      <c r="B204" s="6">
        <v>9</v>
      </c>
      <c r="C204" s="8">
        <v>3577</v>
      </c>
      <c r="D204" s="8">
        <v>43228102</v>
      </c>
      <c r="E204" s="8">
        <v>5040</v>
      </c>
      <c r="F204" s="8">
        <v>62576640</v>
      </c>
      <c r="G204" s="8">
        <v>100</v>
      </c>
      <c r="H204" s="8">
        <v>1227861</v>
      </c>
      <c r="I204" s="8">
        <v>8517</v>
      </c>
      <c r="J204" s="8">
        <v>104576881</v>
      </c>
    </row>
    <row r="205" spans="1:10" x14ac:dyDescent="0.2">
      <c r="A205" s="6" t="s">
        <v>213</v>
      </c>
      <c r="B205" s="6">
        <v>9</v>
      </c>
      <c r="C205" s="8">
        <v>10752</v>
      </c>
      <c r="D205" s="8">
        <v>215404020</v>
      </c>
      <c r="E205" s="8">
        <v>0</v>
      </c>
      <c r="F205" s="8">
        <v>0</v>
      </c>
      <c r="G205" s="8">
        <v>4820</v>
      </c>
      <c r="H205" s="8">
        <v>96563186</v>
      </c>
      <c r="I205" s="8">
        <v>5932</v>
      </c>
      <c r="J205" s="8">
        <v>118840834</v>
      </c>
    </row>
    <row r="206" spans="1:10" x14ac:dyDescent="0.2">
      <c r="A206" s="6" t="s">
        <v>214</v>
      </c>
      <c r="B206" s="6">
        <v>9</v>
      </c>
      <c r="C206" s="8">
        <v>11869</v>
      </c>
      <c r="D206" s="8">
        <v>266626635</v>
      </c>
      <c r="E206" s="8">
        <v>3369</v>
      </c>
      <c r="F206" s="8">
        <v>74505312</v>
      </c>
      <c r="G206" s="8">
        <v>1180</v>
      </c>
      <c r="H206" s="8">
        <v>26416570</v>
      </c>
      <c r="I206" s="8">
        <v>14058</v>
      </c>
      <c r="J206" s="8">
        <v>314715377</v>
      </c>
    </row>
    <row r="207" spans="1:10" x14ac:dyDescent="0.2">
      <c r="A207" s="6" t="s">
        <v>215</v>
      </c>
      <c r="B207" s="6">
        <v>9</v>
      </c>
      <c r="C207" s="8">
        <v>7600</v>
      </c>
      <c r="D207" s="8">
        <v>303881600</v>
      </c>
      <c r="E207" s="8">
        <v>0</v>
      </c>
      <c r="F207" s="8">
        <v>0</v>
      </c>
      <c r="G207" s="8">
        <v>2620</v>
      </c>
      <c r="H207" s="8">
        <v>104759183</v>
      </c>
      <c r="I207" s="8">
        <v>4980</v>
      </c>
      <c r="J207" s="8">
        <v>199122417</v>
      </c>
    </row>
    <row r="208" spans="1:10" x14ac:dyDescent="0.2">
      <c r="A208" s="6" t="s">
        <v>216</v>
      </c>
      <c r="B208" s="6">
        <v>9</v>
      </c>
      <c r="C208" s="8">
        <v>288</v>
      </c>
      <c r="D208" s="8">
        <v>5000544</v>
      </c>
      <c r="E208" s="8">
        <v>144</v>
      </c>
      <c r="F208" s="8">
        <v>2500272</v>
      </c>
      <c r="G208" s="8">
        <v>0</v>
      </c>
      <c r="H208" s="8">
        <v>0</v>
      </c>
      <c r="I208" s="8">
        <v>432</v>
      </c>
      <c r="J208" s="8">
        <v>7500816</v>
      </c>
    </row>
    <row r="209" spans="1:10" x14ac:dyDescent="0.2">
      <c r="A209" s="6" t="s">
        <v>217</v>
      </c>
      <c r="B209" s="6">
        <v>9</v>
      </c>
      <c r="C209" s="8">
        <v>10</v>
      </c>
      <c r="D209" s="8">
        <v>1775003</v>
      </c>
      <c r="E209" s="8">
        <v>0</v>
      </c>
      <c r="F209" s="8">
        <v>0</v>
      </c>
      <c r="G209" s="8">
        <v>0</v>
      </c>
      <c r="H209" s="8">
        <v>0</v>
      </c>
      <c r="I209" s="8">
        <v>10</v>
      </c>
      <c r="J209" s="8">
        <v>1775003</v>
      </c>
    </row>
    <row r="210" spans="1:10" x14ac:dyDescent="0.2">
      <c r="A210" s="6" t="s">
        <v>218</v>
      </c>
      <c r="B210" s="6">
        <v>9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</row>
    <row r="211" spans="1:10" x14ac:dyDescent="0.2">
      <c r="A211" s="6" t="s">
        <v>219</v>
      </c>
      <c r="B211" s="6">
        <v>9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</row>
    <row r="212" spans="1:10" x14ac:dyDescent="0.2">
      <c r="A212" s="6" t="s">
        <v>220</v>
      </c>
      <c r="B212" s="6">
        <v>9</v>
      </c>
      <c r="C212" s="8">
        <v>0</v>
      </c>
      <c r="D212" s="8">
        <v>0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</row>
    <row r="213" spans="1:10" x14ac:dyDescent="0.2">
      <c r="A213" s="6" t="s">
        <v>221</v>
      </c>
      <c r="B213" s="6">
        <v>9</v>
      </c>
      <c r="C213" s="8">
        <v>2994</v>
      </c>
      <c r="D213" s="8">
        <v>58449350</v>
      </c>
      <c r="E213" s="8">
        <v>360</v>
      </c>
      <c r="F213" s="8">
        <v>7088760</v>
      </c>
      <c r="G213" s="8">
        <v>400</v>
      </c>
      <c r="H213" s="8">
        <v>7816113</v>
      </c>
      <c r="I213" s="8">
        <v>2954</v>
      </c>
      <c r="J213" s="8">
        <v>57721997</v>
      </c>
    </row>
    <row r="214" spans="1:10" x14ac:dyDescent="0.2">
      <c r="A214" s="6" t="s">
        <v>222</v>
      </c>
      <c r="B214" s="6">
        <v>9</v>
      </c>
      <c r="C214" s="8">
        <v>1076</v>
      </c>
      <c r="D214" s="8">
        <v>23090763</v>
      </c>
      <c r="E214" s="8">
        <v>0</v>
      </c>
      <c r="F214" s="8">
        <v>0</v>
      </c>
      <c r="G214" s="8">
        <v>0</v>
      </c>
      <c r="H214" s="8">
        <v>0</v>
      </c>
      <c r="I214" s="8">
        <v>1076</v>
      </c>
      <c r="J214" s="8">
        <v>23090763</v>
      </c>
    </row>
    <row r="215" spans="1:10" x14ac:dyDescent="0.2">
      <c r="A215" s="6" t="s">
        <v>223</v>
      </c>
      <c r="B215" s="6">
        <v>9</v>
      </c>
      <c r="C215" s="8">
        <v>1057</v>
      </c>
      <c r="D215" s="8">
        <v>45713728</v>
      </c>
      <c r="E215" s="8">
        <v>48</v>
      </c>
      <c r="F215" s="8">
        <v>2076576</v>
      </c>
      <c r="G215" s="8">
        <v>0</v>
      </c>
      <c r="H215" s="8">
        <v>0</v>
      </c>
      <c r="I215" s="8">
        <v>1105</v>
      </c>
      <c r="J215" s="8">
        <v>47790304</v>
      </c>
    </row>
    <row r="216" spans="1:10" x14ac:dyDescent="0.2">
      <c r="A216" s="6" t="s">
        <v>224</v>
      </c>
      <c r="B216" s="6">
        <v>9</v>
      </c>
      <c r="C216" s="8">
        <v>336</v>
      </c>
      <c r="D216" s="8">
        <v>6713952</v>
      </c>
      <c r="E216" s="8">
        <v>0</v>
      </c>
      <c r="F216" s="8">
        <v>0</v>
      </c>
      <c r="G216" s="8">
        <v>0</v>
      </c>
      <c r="H216" s="8">
        <v>0</v>
      </c>
      <c r="I216" s="8">
        <v>336</v>
      </c>
      <c r="J216" s="8">
        <v>6713952</v>
      </c>
    </row>
    <row r="217" spans="1:10" x14ac:dyDescent="0.2">
      <c r="A217" s="6" t="s">
        <v>225</v>
      </c>
      <c r="B217" s="6">
        <v>9</v>
      </c>
      <c r="C217" s="8">
        <v>0</v>
      </c>
      <c r="D217" s="8">
        <v>0</v>
      </c>
      <c r="E217" s="8">
        <v>72</v>
      </c>
      <c r="F217" s="8">
        <v>1510639</v>
      </c>
      <c r="G217" s="8">
        <v>0</v>
      </c>
      <c r="H217" s="8">
        <v>0</v>
      </c>
      <c r="I217" s="8">
        <v>72</v>
      </c>
      <c r="J217" s="8">
        <v>1510639</v>
      </c>
    </row>
    <row r="218" spans="1:10" x14ac:dyDescent="0.2">
      <c r="A218" s="6" t="s">
        <v>226</v>
      </c>
      <c r="B218" s="6">
        <v>9</v>
      </c>
      <c r="C218" s="8">
        <v>360</v>
      </c>
      <c r="D218" s="8">
        <v>7553196</v>
      </c>
      <c r="E218" s="8">
        <v>0</v>
      </c>
      <c r="F218" s="8">
        <v>0</v>
      </c>
      <c r="G218" s="8">
        <v>0</v>
      </c>
      <c r="H218" s="8">
        <v>0</v>
      </c>
      <c r="I218" s="8">
        <v>360</v>
      </c>
      <c r="J218" s="8">
        <v>7553196</v>
      </c>
    </row>
    <row r="219" spans="1:10" x14ac:dyDescent="0.2">
      <c r="A219" s="6" t="s">
        <v>227</v>
      </c>
      <c r="B219" s="6">
        <v>9</v>
      </c>
      <c r="C219" s="8">
        <v>490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490</v>
      </c>
      <c r="J219" s="8">
        <v>0</v>
      </c>
    </row>
    <row r="220" spans="1:10" x14ac:dyDescent="0.2">
      <c r="A220" s="6" t="s">
        <v>228</v>
      </c>
      <c r="B220" s="6">
        <v>9</v>
      </c>
      <c r="C220" s="8">
        <v>951</v>
      </c>
      <c r="D220" s="8">
        <v>84187319</v>
      </c>
      <c r="E220" s="8">
        <v>80</v>
      </c>
      <c r="F220" s="8">
        <v>7024640</v>
      </c>
      <c r="G220" s="8">
        <v>0</v>
      </c>
      <c r="H220" s="8">
        <v>0</v>
      </c>
      <c r="I220" s="8">
        <v>1031</v>
      </c>
      <c r="J220" s="8">
        <v>91211959</v>
      </c>
    </row>
    <row r="221" spans="1:10" x14ac:dyDescent="0.2">
      <c r="A221" s="6" t="s">
        <v>229</v>
      </c>
      <c r="B221" s="6">
        <v>9</v>
      </c>
      <c r="C221" s="8">
        <v>2375</v>
      </c>
      <c r="D221" s="8">
        <v>215035257</v>
      </c>
      <c r="E221" s="8">
        <v>334</v>
      </c>
      <c r="F221" s="8">
        <v>29419110</v>
      </c>
      <c r="G221" s="8">
        <v>343</v>
      </c>
      <c r="H221" s="8">
        <v>30951587</v>
      </c>
      <c r="I221" s="8">
        <v>2366</v>
      </c>
      <c r="J221" s="8">
        <v>213502780</v>
      </c>
    </row>
    <row r="222" spans="1:10" x14ac:dyDescent="0.2">
      <c r="A222" s="6" t="s">
        <v>230</v>
      </c>
      <c r="B222" s="6">
        <v>9</v>
      </c>
      <c r="C222" s="8">
        <v>0</v>
      </c>
      <c r="D222" s="8">
        <v>0</v>
      </c>
      <c r="E222" s="8">
        <v>688</v>
      </c>
      <c r="F222" s="8">
        <v>44836960</v>
      </c>
      <c r="G222" s="8">
        <v>0</v>
      </c>
      <c r="H222" s="8">
        <v>0</v>
      </c>
      <c r="I222" s="8">
        <v>688</v>
      </c>
      <c r="J222" s="8">
        <v>44836960</v>
      </c>
    </row>
    <row r="223" spans="1:10" x14ac:dyDescent="0.2">
      <c r="A223" s="6" t="s">
        <v>231</v>
      </c>
      <c r="B223" s="6">
        <v>9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</row>
    <row r="224" spans="1:10" x14ac:dyDescent="0.2">
      <c r="A224" s="6" t="s">
        <v>232</v>
      </c>
      <c r="B224" s="6">
        <v>9</v>
      </c>
      <c r="C224" s="8">
        <v>1678</v>
      </c>
      <c r="D224" s="8">
        <v>103420417</v>
      </c>
      <c r="E224" s="8">
        <v>25</v>
      </c>
      <c r="F224" s="8">
        <v>0</v>
      </c>
      <c r="G224" s="8">
        <v>440</v>
      </c>
      <c r="H224" s="8">
        <v>26720484</v>
      </c>
      <c r="I224" s="8">
        <v>1263</v>
      </c>
      <c r="J224" s="8">
        <v>76699933</v>
      </c>
    </row>
    <row r="225" spans="1:10" x14ac:dyDescent="0.2">
      <c r="A225" s="6" t="s">
        <v>233</v>
      </c>
      <c r="B225" s="6">
        <v>9</v>
      </c>
      <c r="C225" s="8">
        <v>5357</v>
      </c>
      <c r="D225" s="8">
        <v>314343974</v>
      </c>
      <c r="E225" s="8">
        <v>2421</v>
      </c>
      <c r="F225" s="8">
        <v>137984000</v>
      </c>
      <c r="G225" s="8">
        <v>4850</v>
      </c>
      <c r="H225" s="8">
        <v>282050742</v>
      </c>
      <c r="I225" s="8">
        <v>2928</v>
      </c>
      <c r="J225" s="8">
        <v>170277232</v>
      </c>
    </row>
    <row r="226" spans="1:10" x14ac:dyDescent="0.2">
      <c r="A226" s="6" t="s">
        <v>234</v>
      </c>
      <c r="B226" s="6">
        <v>9</v>
      </c>
      <c r="C226" s="8">
        <v>25301</v>
      </c>
      <c r="D226" s="8">
        <v>1457009284</v>
      </c>
      <c r="E226" s="8">
        <v>13491</v>
      </c>
      <c r="F226" s="8">
        <v>727523581</v>
      </c>
      <c r="G226" s="8">
        <v>17817</v>
      </c>
      <c r="H226" s="8">
        <v>1003346619</v>
      </c>
      <c r="I226" s="8">
        <v>20975</v>
      </c>
      <c r="J226" s="8">
        <v>1181186246</v>
      </c>
    </row>
    <row r="227" spans="1:10" x14ac:dyDescent="0.2">
      <c r="A227" s="6" t="s">
        <v>235</v>
      </c>
      <c r="B227" s="6">
        <v>9</v>
      </c>
      <c r="C227" s="8">
        <v>214</v>
      </c>
      <c r="D227" s="8">
        <v>14957900</v>
      </c>
      <c r="E227" s="8">
        <v>80</v>
      </c>
      <c r="F227" s="8">
        <v>5644800</v>
      </c>
      <c r="G227" s="8">
        <v>0</v>
      </c>
      <c r="H227" s="8">
        <v>0</v>
      </c>
      <c r="I227" s="8">
        <v>294</v>
      </c>
      <c r="J227" s="8">
        <v>20602700</v>
      </c>
    </row>
    <row r="228" spans="1:10" x14ac:dyDescent="0.2">
      <c r="A228" s="6" t="s">
        <v>236</v>
      </c>
      <c r="B228" s="6">
        <v>9</v>
      </c>
      <c r="C228" s="8">
        <v>0</v>
      </c>
      <c r="D228" s="8">
        <v>0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</row>
    <row r="229" spans="1:10" x14ac:dyDescent="0.2">
      <c r="A229" s="6" t="s">
        <v>237</v>
      </c>
      <c r="B229" s="6">
        <v>9</v>
      </c>
      <c r="C229" s="8">
        <v>257</v>
      </c>
      <c r="D229" s="8">
        <v>2097921</v>
      </c>
      <c r="E229" s="8">
        <v>0</v>
      </c>
      <c r="F229" s="8">
        <v>0</v>
      </c>
      <c r="G229" s="8">
        <v>0</v>
      </c>
      <c r="H229" s="8">
        <v>0</v>
      </c>
      <c r="I229" s="8">
        <v>257</v>
      </c>
      <c r="J229" s="8">
        <v>2097921</v>
      </c>
    </row>
    <row r="230" spans="1:10" x14ac:dyDescent="0.2">
      <c r="A230" s="6" t="s">
        <v>238</v>
      </c>
      <c r="B230" s="6">
        <v>9</v>
      </c>
      <c r="C230" s="8">
        <v>1275</v>
      </c>
      <c r="D230" s="8">
        <v>73107130</v>
      </c>
      <c r="E230" s="8">
        <v>383</v>
      </c>
      <c r="F230" s="8">
        <v>21559992</v>
      </c>
      <c r="G230" s="8">
        <v>161</v>
      </c>
      <c r="H230" s="8">
        <v>9192646</v>
      </c>
      <c r="I230" s="8">
        <v>1497</v>
      </c>
      <c r="J230" s="8">
        <v>85474476</v>
      </c>
    </row>
    <row r="231" spans="1:10" x14ac:dyDescent="0.2">
      <c r="A231" s="6" t="s">
        <v>239</v>
      </c>
      <c r="B231" s="6">
        <v>9</v>
      </c>
      <c r="C231" s="8">
        <v>0</v>
      </c>
      <c r="D231" s="8">
        <v>0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</row>
    <row r="232" spans="1:10" x14ac:dyDescent="0.2">
      <c r="A232" s="6" t="s">
        <v>240</v>
      </c>
      <c r="B232" s="6">
        <v>9</v>
      </c>
      <c r="C232" s="8">
        <v>3067</v>
      </c>
      <c r="D232" s="8">
        <v>286910894</v>
      </c>
      <c r="E232" s="8">
        <v>1400</v>
      </c>
      <c r="F232" s="8">
        <v>130888800</v>
      </c>
      <c r="G232" s="8">
        <v>2819</v>
      </c>
      <c r="H232" s="8">
        <v>263661817</v>
      </c>
      <c r="I232" s="8">
        <v>1648</v>
      </c>
      <c r="J232" s="8">
        <v>154137877</v>
      </c>
    </row>
    <row r="233" spans="1:10" x14ac:dyDescent="0.2">
      <c r="A233" s="6" t="s">
        <v>241</v>
      </c>
      <c r="B233" s="6">
        <v>9</v>
      </c>
      <c r="C233" s="8">
        <v>807</v>
      </c>
      <c r="D233" s="8">
        <v>59922636</v>
      </c>
      <c r="E233" s="8">
        <v>397</v>
      </c>
      <c r="F233" s="8">
        <v>30082338</v>
      </c>
      <c r="G233" s="8">
        <v>344</v>
      </c>
      <c r="H233" s="8">
        <v>25715707</v>
      </c>
      <c r="I233" s="8">
        <v>860</v>
      </c>
      <c r="J233" s="8">
        <v>64289267</v>
      </c>
    </row>
    <row r="234" spans="1:10" x14ac:dyDescent="0.2">
      <c r="A234" s="6" t="s">
        <v>242</v>
      </c>
      <c r="B234" s="6">
        <v>9</v>
      </c>
      <c r="C234" s="8">
        <v>229</v>
      </c>
      <c r="D234" s="8">
        <v>15916524</v>
      </c>
      <c r="E234" s="8">
        <v>42</v>
      </c>
      <c r="F234" s="8">
        <v>3037608</v>
      </c>
      <c r="G234" s="8">
        <v>63</v>
      </c>
      <c r="H234" s="8">
        <v>4406311</v>
      </c>
      <c r="I234" s="8">
        <v>208</v>
      </c>
      <c r="J234" s="8">
        <v>14547821</v>
      </c>
    </row>
    <row r="235" spans="1:10" x14ac:dyDescent="0.2">
      <c r="A235" s="6" t="s">
        <v>243</v>
      </c>
      <c r="B235" s="6">
        <v>9</v>
      </c>
      <c r="C235" s="8">
        <v>1652</v>
      </c>
      <c r="D235" s="8">
        <v>152949303</v>
      </c>
      <c r="E235" s="8">
        <v>74</v>
      </c>
      <c r="F235" s="8">
        <v>6537580</v>
      </c>
      <c r="G235" s="8">
        <v>14</v>
      </c>
      <c r="H235" s="8">
        <v>1293636</v>
      </c>
      <c r="I235" s="8">
        <v>1712</v>
      </c>
      <c r="J235" s="8">
        <v>158193247</v>
      </c>
    </row>
    <row r="236" spans="1:10" x14ac:dyDescent="0.2">
      <c r="A236" s="6" t="s">
        <v>244</v>
      </c>
      <c r="B236" s="6">
        <v>9</v>
      </c>
      <c r="C236" s="8">
        <v>40</v>
      </c>
      <c r="D236" s="8">
        <v>3512320</v>
      </c>
      <c r="E236" s="8">
        <v>4</v>
      </c>
      <c r="F236" s="8">
        <v>351232</v>
      </c>
      <c r="G236" s="8">
        <v>0</v>
      </c>
      <c r="H236" s="8">
        <v>0</v>
      </c>
      <c r="I236" s="8">
        <v>44</v>
      </c>
      <c r="J236" s="8">
        <v>3863552</v>
      </c>
    </row>
    <row r="237" spans="1:10" x14ac:dyDescent="0.2">
      <c r="A237" s="6" t="s">
        <v>245</v>
      </c>
      <c r="B237" s="6">
        <v>9</v>
      </c>
      <c r="C237" s="8">
        <v>0</v>
      </c>
      <c r="D237" s="8">
        <v>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</row>
    <row r="238" spans="1:10" x14ac:dyDescent="0.2">
      <c r="A238" s="6" t="s">
        <v>246</v>
      </c>
      <c r="B238" s="6">
        <v>9</v>
      </c>
      <c r="C238" s="8">
        <v>4933</v>
      </c>
      <c r="D238" s="8">
        <v>35160155</v>
      </c>
      <c r="E238" s="8">
        <v>1200</v>
      </c>
      <c r="F238" s="8">
        <v>8553048</v>
      </c>
      <c r="G238" s="8">
        <v>0</v>
      </c>
      <c r="H238" s="8">
        <v>0</v>
      </c>
      <c r="I238" s="8">
        <v>6133</v>
      </c>
      <c r="J238" s="8">
        <v>43713203</v>
      </c>
    </row>
    <row r="239" spans="1:10" x14ac:dyDescent="0.2">
      <c r="A239" s="6" t="s">
        <v>247</v>
      </c>
      <c r="B239" s="6">
        <v>9</v>
      </c>
      <c r="C239" s="8">
        <v>35741</v>
      </c>
      <c r="D239" s="8">
        <v>237718829</v>
      </c>
      <c r="E239" s="8">
        <v>2700</v>
      </c>
      <c r="F239" s="8">
        <v>17106095</v>
      </c>
      <c r="G239" s="8">
        <v>65</v>
      </c>
      <c r="H239" s="8">
        <v>430884</v>
      </c>
      <c r="I239" s="8">
        <v>38376</v>
      </c>
      <c r="J239" s="8">
        <v>254394040</v>
      </c>
    </row>
    <row r="240" spans="1:10" x14ac:dyDescent="0.2">
      <c r="A240" s="6" t="s">
        <v>248</v>
      </c>
      <c r="B240" s="6">
        <v>9</v>
      </c>
      <c r="C240" s="8">
        <v>264</v>
      </c>
      <c r="D240" s="8">
        <v>1881670</v>
      </c>
      <c r="E240" s="8">
        <v>0</v>
      </c>
      <c r="F240" s="8">
        <v>0</v>
      </c>
      <c r="G240" s="8">
        <v>0</v>
      </c>
      <c r="H240" s="8">
        <v>0</v>
      </c>
      <c r="I240" s="8">
        <v>264</v>
      </c>
      <c r="J240" s="8">
        <v>1881670</v>
      </c>
    </row>
    <row r="241" spans="1:10" x14ac:dyDescent="0.2">
      <c r="A241" s="6" t="s">
        <v>249</v>
      </c>
      <c r="B241" s="6">
        <v>9</v>
      </c>
      <c r="C241" s="8">
        <v>281</v>
      </c>
      <c r="D241" s="8">
        <v>2002839</v>
      </c>
      <c r="E241" s="8">
        <v>0</v>
      </c>
      <c r="F241" s="8">
        <v>0</v>
      </c>
      <c r="G241" s="8">
        <v>0</v>
      </c>
      <c r="H241" s="8">
        <v>0</v>
      </c>
      <c r="I241" s="8">
        <v>281</v>
      </c>
      <c r="J241" s="8">
        <v>2002839</v>
      </c>
    </row>
    <row r="242" spans="1:10" x14ac:dyDescent="0.2">
      <c r="A242" s="6" t="s">
        <v>250</v>
      </c>
      <c r="B242" s="6">
        <v>9</v>
      </c>
      <c r="C242" s="8">
        <v>11861</v>
      </c>
      <c r="D242" s="8">
        <v>136658262</v>
      </c>
      <c r="E242" s="8">
        <v>1920</v>
      </c>
      <c r="F242" s="8">
        <v>13684876</v>
      </c>
      <c r="G242" s="8">
        <v>47</v>
      </c>
      <c r="H242" s="8">
        <v>512744</v>
      </c>
      <c r="I242" s="8">
        <v>13734</v>
      </c>
      <c r="J242" s="8">
        <v>149830394</v>
      </c>
    </row>
    <row r="243" spans="1:10" x14ac:dyDescent="0.2">
      <c r="A243" s="6" t="s">
        <v>251</v>
      </c>
      <c r="B243" s="6">
        <v>9</v>
      </c>
      <c r="C243" s="8">
        <v>0</v>
      </c>
      <c r="D243" s="8">
        <v>0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</row>
    <row r="244" spans="1:10" x14ac:dyDescent="0.2">
      <c r="A244" s="6" t="s">
        <v>252</v>
      </c>
      <c r="B244" s="6">
        <v>9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</row>
    <row r="245" spans="1:10" x14ac:dyDescent="0.2">
      <c r="A245" s="6" t="s">
        <v>253</v>
      </c>
      <c r="B245" s="6">
        <v>9</v>
      </c>
      <c r="C245" s="8">
        <v>0</v>
      </c>
      <c r="D245" s="8">
        <v>0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</row>
    <row r="246" spans="1:10" x14ac:dyDescent="0.2">
      <c r="A246" s="6" t="s">
        <v>254</v>
      </c>
      <c r="B246" s="6">
        <v>9</v>
      </c>
      <c r="C246" s="8">
        <v>138</v>
      </c>
      <c r="D246" s="8">
        <v>4740871</v>
      </c>
      <c r="E246" s="8">
        <v>70</v>
      </c>
      <c r="F246" s="8">
        <v>2405760</v>
      </c>
      <c r="G246" s="8">
        <v>110</v>
      </c>
      <c r="H246" s="8">
        <v>3779468</v>
      </c>
      <c r="I246" s="8">
        <v>98</v>
      </c>
      <c r="J246" s="8">
        <v>3367163</v>
      </c>
    </row>
    <row r="247" spans="1:10" x14ac:dyDescent="0.2">
      <c r="A247" s="6" t="s">
        <v>255</v>
      </c>
      <c r="B247" s="6">
        <v>9</v>
      </c>
      <c r="C247" s="8">
        <v>0</v>
      </c>
      <c r="D247" s="8">
        <v>884858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884858</v>
      </c>
    </row>
    <row r="248" spans="1:10" x14ac:dyDescent="0.2">
      <c r="A248" s="6" t="s">
        <v>256</v>
      </c>
      <c r="B248" s="6">
        <v>9</v>
      </c>
      <c r="C248" s="8">
        <v>35</v>
      </c>
      <c r="D248" s="8">
        <v>1399857</v>
      </c>
      <c r="E248" s="8">
        <v>0</v>
      </c>
      <c r="F248" s="8">
        <v>0</v>
      </c>
      <c r="G248" s="8">
        <v>0</v>
      </c>
      <c r="H248" s="8">
        <v>0</v>
      </c>
      <c r="I248" s="8">
        <v>35</v>
      </c>
      <c r="J248" s="8">
        <v>1399857</v>
      </c>
    </row>
    <row r="249" spans="1:10" x14ac:dyDescent="0.2">
      <c r="A249" s="6" t="s">
        <v>257</v>
      </c>
      <c r="B249" s="6">
        <v>9</v>
      </c>
      <c r="C249" s="8">
        <v>5</v>
      </c>
      <c r="D249" s="8">
        <v>284640</v>
      </c>
      <c r="E249" s="8">
        <v>10</v>
      </c>
      <c r="F249" s="8">
        <v>569280</v>
      </c>
      <c r="G249" s="8">
        <v>0</v>
      </c>
      <c r="H249" s="8">
        <v>0</v>
      </c>
      <c r="I249" s="8">
        <v>15</v>
      </c>
      <c r="J249" s="8">
        <v>853920</v>
      </c>
    </row>
    <row r="250" spans="1:10" x14ac:dyDescent="0.2">
      <c r="A250" s="6" t="s">
        <v>258</v>
      </c>
      <c r="B250" s="6">
        <v>9</v>
      </c>
      <c r="C250" s="8">
        <v>1265</v>
      </c>
      <c r="D250" s="8">
        <v>5101641</v>
      </c>
      <c r="E250" s="8">
        <v>150</v>
      </c>
      <c r="F250" s="8">
        <v>2298240</v>
      </c>
      <c r="G250" s="8">
        <v>90</v>
      </c>
      <c r="H250" s="8">
        <v>1378095</v>
      </c>
      <c r="I250" s="8">
        <v>1325</v>
      </c>
      <c r="J250" s="8">
        <v>6021786</v>
      </c>
    </row>
    <row r="251" spans="1:10" x14ac:dyDescent="0.2">
      <c r="A251" s="6" t="s">
        <v>259</v>
      </c>
      <c r="B251" s="6">
        <v>9</v>
      </c>
      <c r="C251" s="8">
        <v>110</v>
      </c>
      <c r="D251" s="8">
        <v>2420810</v>
      </c>
      <c r="E251" s="8">
        <v>0</v>
      </c>
      <c r="F251" s="8">
        <v>0</v>
      </c>
      <c r="G251" s="8">
        <v>0</v>
      </c>
      <c r="H251" s="8">
        <v>0</v>
      </c>
      <c r="I251" s="8">
        <v>110</v>
      </c>
      <c r="J251" s="8">
        <v>2420810</v>
      </c>
    </row>
    <row r="252" spans="1:10" x14ac:dyDescent="0.2">
      <c r="A252" s="6" t="s">
        <v>260</v>
      </c>
      <c r="B252" s="6">
        <v>9</v>
      </c>
      <c r="C252" s="8">
        <v>2</v>
      </c>
      <c r="D252" s="8">
        <v>109792</v>
      </c>
      <c r="E252" s="8">
        <v>0</v>
      </c>
      <c r="F252" s="8">
        <v>0</v>
      </c>
      <c r="G252" s="8">
        <v>0</v>
      </c>
      <c r="H252" s="8">
        <v>0</v>
      </c>
      <c r="I252" s="8">
        <v>2</v>
      </c>
      <c r="J252" s="8">
        <v>109792</v>
      </c>
    </row>
    <row r="253" spans="1:10" x14ac:dyDescent="0.2">
      <c r="A253" s="6" t="s">
        <v>261</v>
      </c>
      <c r="B253" s="6">
        <v>9</v>
      </c>
      <c r="C253" s="8">
        <v>0</v>
      </c>
      <c r="D253" s="8">
        <v>0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</row>
    <row r="254" spans="1:10" x14ac:dyDescent="0.2">
      <c r="A254" s="6" t="s">
        <v>262</v>
      </c>
      <c r="B254" s="6">
        <v>9</v>
      </c>
      <c r="C254" s="8">
        <v>0</v>
      </c>
      <c r="D254" s="8">
        <v>0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</row>
    <row r="255" spans="1:10" x14ac:dyDescent="0.2">
      <c r="A255" s="6" t="s">
        <v>263</v>
      </c>
      <c r="B255" s="6">
        <v>9</v>
      </c>
      <c r="C255" s="8">
        <v>0</v>
      </c>
      <c r="D255" s="8">
        <v>0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</row>
    <row r="256" spans="1:10" x14ac:dyDescent="0.2">
      <c r="A256" s="6" t="s">
        <v>264</v>
      </c>
      <c r="B256" s="6">
        <v>9</v>
      </c>
      <c r="C256" s="8">
        <v>0</v>
      </c>
      <c r="D256" s="8">
        <v>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</row>
    <row r="257" spans="1:10" x14ac:dyDescent="0.2">
      <c r="A257" s="6" t="s">
        <v>265</v>
      </c>
      <c r="B257" s="6">
        <v>9</v>
      </c>
      <c r="C257" s="8">
        <v>0</v>
      </c>
      <c r="D257" s="8">
        <v>0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</row>
    <row r="258" spans="1:10" x14ac:dyDescent="0.2">
      <c r="A258" s="6" t="s">
        <v>266</v>
      </c>
      <c r="B258" s="6">
        <v>9</v>
      </c>
      <c r="C258" s="8">
        <v>0</v>
      </c>
      <c r="D258" s="8">
        <v>0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</row>
    <row r="259" spans="1:10" x14ac:dyDescent="0.2">
      <c r="A259" s="6" t="s">
        <v>267</v>
      </c>
      <c r="B259" s="6">
        <v>9</v>
      </c>
      <c r="C259" s="8">
        <v>1</v>
      </c>
      <c r="D259" s="8">
        <v>39000</v>
      </c>
      <c r="E259" s="8">
        <v>0</v>
      </c>
      <c r="F259" s="8">
        <v>0</v>
      </c>
      <c r="G259" s="8">
        <v>0</v>
      </c>
      <c r="H259" s="8">
        <v>0</v>
      </c>
      <c r="I259" s="8">
        <v>1</v>
      </c>
      <c r="J259" s="8">
        <v>39000</v>
      </c>
    </row>
    <row r="260" spans="1:10" x14ac:dyDescent="0.2">
      <c r="A260" s="6" t="s">
        <v>268</v>
      </c>
      <c r="B260" s="6">
        <v>9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</row>
    <row r="261" spans="1:10" x14ac:dyDescent="0.2">
      <c r="A261" s="6" t="s">
        <v>269</v>
      </c>
      <c r="B261" s="6">
        <v>9</v>
      </c>
      <c r="C261" s="8">
        <v>0</v>
      </c>
      <c r="D261" s="8">
        <v>0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</row>
    <row r="262" spans="1:10" x14ac:dyDescent="0.2">
      <c r="A262" s="6" t="s">
        <v>270</v>
      </c>
      <c r="B262" s="6">
        <v>9</v>
      </c>
      <c r="C262" s="8">
        <v>0</v>
      </c>
      <c r="D262" s="8">
        <v>0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</row>
    <row r="263" spans="1:10" x14ac:dyDescent="0.2">
      <c r="A263" s="6" t="s">
        <v>271</v>
      </c>
      <c r="B263" s="6">
        <v>9</v>
      </c>
      <c r="C263" s="8">
        <v>0</v>
      </c>
      <c r="D263" s="8">
        <v>0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</row>
    <row r="264" spans="1:10" x14ac:dyDescent="0.2">
      <c r="A264" s="6" t="s">
        <v>272</v>
      </c>
      <c r="B264" s="6">
        <v>9</v>
      </c>
      <c r="C264" s="8">
        <v>8</v>
      </c>
      <c r="D264" s="8">
        <v>1065272</v>
      </c>
      <c r="E264" s="8">
        <v>0</v>
      </c>
      <c r="F264" s="8">
        <v>0</v>
      </c>
      <c r="G264" s="8">
        <v>0</v>
      </c>
      <c r="H264" s="8">
        <v>0</v>
      </c>
      <c r="I264" s="8">
        <v>8</v>
      </c>
      <c r="J264" s="8">
        <v>1065272</v>
      </c>
    </row>
    <row r="265" spans="1:10" x14ac:dyDescent="0.2">
      <c r="A265" s="6" t="s">
        <v>273</v>
      </c>
      <c r="B265" s="6">
        <v>9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</row>
    <row r="266" spans="1:10" x14ac:dyDescent="0.2">
      <c r="A266" s="6" t="s">
        <v>274</v>
      </c>
      <c r="B266" s="6">
        <v>9</v>
      </c>
      <c r="C266" s="8">
        <v>0</v>
      </c>
      <c r="D266" s="8">
        <v>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</row>
    <row r="267" spans="1:10" x14ac:dyDescent="0.2">
      <c r="A267" s="6" t="s">
        <v>275</v>
      </c>
      <c r="B267" s="6">
        <v>9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</row>
    <row r="268" spans="1:10" x14ac:dyDescent="0.2">
      <c r="A268" s="6" t="s">
        <v>276</v>
      </c>
      <c r="B268" s="6">
        <v>9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</row>
    <row r="269" spans="1:10" x14ac:dyDescent="0.2">
      <c r="A269" s="6" t="s">
        <v>277</v>
      </c>
      <c r="B269" s="6">
        <v>9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</row>
    <row r="270" spans="1:10" x14ac:dyDescent="0.2">
      <c r="A270" s="6" t="s">
        <v>278</v>
      </c>
      <c r="B270" s="6">
        <v>9</v>
      </c>
      <c r="C270" s="8">
        <v>0</v>
      </c>
      <c r="D270" s="8">
        <v>0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</row>
    <row r="271" spans="1:10" x14ac:dyDescent="0.2">
      <c r="A271" s="6" t="s">
        <v>279</v>
      </c>
      <c r="B271" s="6">
        <v>9</v>
      </c>
      <c r="C271" s="8">
        <v>0</v>
      </c>
      <c r="D271" s="8">
        <v>0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</row>
    <row r="272" spans="1:10" x14ac:dyDescent="0.2">
      <c r="A272" s="6" t="s">
        <v>280</v>
      </c>
      <c r="B272" s="6">
        <v>9</v>
      </c>
      <c r="C272" s="8">
        <v>0</v>
      </c>
      <c r="D272" s="8">
        <v>0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</row>
    <row r="273" spans="1:10" x14ac:dyDescent="0.2">
      <c r="A273" s="6" t="s">
        <v>281</v>
      </c>
      <c r="B273" s="6">
        <v>9</v>
      </c>
      <c r="C273" s="8">
        <v>85</v>
      </c>
      <c r="D273" s="8">
        <v>1473129</v>
      </c>
      <c r="E273" s="8">
        <v>92</v>
      </c>
      <c r="F273" s="8">
        <v>1587600</v>
      </c>
      <c r="G273" s="8">
        <v>20</v>
      </c>
      <c r="H273" s="8">
        <v>345845</v>
      </c>
      <c r="I273" s="8">
        <v>157</v>
      </c>
      <c r="J273" s="8">
        <v>2714884</v>
      </c>
    </row>
    <row r="274" spans="1:10" x14ac:dyDescent="0.2">
      <c r="A274" s="6" t="s">
        <v>282</v>
      </c>
      <c r="B274" s="6">
        <v>9</v>
      </c>
      <c r="C274" s="8">
        <v>58</v>
      </c>
      <c r="D274" s="8">
        <v>4080475</v>
      </c>
      <c r="E274" s="8">
        <v>20</v>
      </c>
      <c r="F274" s="8">
        <v>1411200</v>
      </c>
      <c r="G274" s="8">
        <v>0</v>
      </c>
      <c r="H274" s="8">
        <v>0</v>
      </c>
      <c r="I274" s="8">
        <v>78</v>
      </c>
      <c r="J274" s="8">
        <v>5491675</v>
      </c>
    </row>
    <row r="275" spans="1:10" x14ac:dyDescent="0.2">
      <c r="A275" s="6" t="s">
        <v>283</v>
      </c>
      <c r="B275" s="6">
        <v>9</v>
      </c>
      <c r="C275" s="8">
        <v>2478</v>
      </c>
      <c r="D275" s="8">
        <v>54199934</v>
      </c>
      <c r="E275" s="8">
        <v>1134</v>
      </c>
      <c r="F275" s="8">
        <v>39547200</v>
      </c>
      <c r="G275" s="8">
        <v>1345</v>
      </c>
      <c r="H275" s="8">
        <v>46556914</v>
      </c>
      <c r="I275" s="8">
        <v>2267</v>
      </c>
      <c r="J275" s="8">
        <v>47190220</v>
      </c>
    </row>
    <row r="276" spans="1:10" x14ac:dyDescent="0.2">
      <c r="A276" s="6" t="s">
        <v>284</v>
      </c>
      <c r="B276" s="6">
        <v>9</v>
      </c>
      <c r="C276" s="8">
        <v>180</v>
      </c>
      <c r="D276" s="8">
        <v>8211434</v>
      </c>
      <c r="E276" s="8">
        <v>50</v>
      </c>
      <c r="F276" s="8">
        <v>2301600</v>
      </c>
      <c r="G276" s="8">
        <v>40</v>
      </c>
      <c r="H276" s="8">
        <v>1828354</v>
      </c>
      <c r="I276" s="8">
        <v>190</v>
      </c>
      <c r="J276" s="8">
        <v>8684680</v>
      </c>
    </row>
    <row r="277" spans="1:10" x14ac:dyDescent="0.2">
      <c r="A277" s="6" t="s">
        <v>285</v>
      </c>
      <c r="B277" s="6">
        <v>9</v>
      </c>
      <c r="C277" s="8">
        <v>5</v>
      </c>
      <c r="D277" s="8">
        <v>586595</v>
      </c>
      <c r="E277" s="8">
        <v>0</v>
      </c>
      <c r="F277" s="8">
        <v>0</v>
      </c>
      <c r="G277" s="8">
        <v>0</v>
      </c>
      <c r="H277" s="8">
        <v>0</v>
      </c>
      <c r="I277" s="8">
        <v>5</v>
      </c>
      <c r="J277" s="8">
        <v>586595</v>
      </c>
    </row>
    <row r="278" spans="1:10" x14ac:dyDescent="0.2">
      <c r="A278" s="6" t="s">
        <v>286</v>
      </c>
      <c r="B278" s="6">
        <v>9</v>
      </c>
      <c r="C278" s="8">
        <v>8</v>
      </c>
      <c r="D278" s="8">
        <v>847410</v>
      </c>
      <c r="E278" s="8">
        <v>0</v>
      </c>
      <c r="F278" s="8">
        <v>0</v>
      </c>
      <c r="G278" s="8">
        <v>0</v>
      </c>
      <c r="H278" s="8">
        <v>0</v>
      </c>
      <c r="I278" s="8">
        <v>8</v>
      </c>
      <c r="J278" s="8">
        <v>847410</v>
      </c>
    </row>
    <row r="279" spans="1:10" x14ac:dyDescent="0.2">
      <c r="A279" s="6" t="s">
        <v>287</v>
      </c>
      <c r="B279" s="6">
        <v>9</v>
      </c>
      <c r="C279" s="8">
        <v>8</v>
      </c>
      <c r="D279" s="8">
        <v>888480</v>
      </c>
      <c r="E279" s="8">
        <v>0</v>
      </c>
      <c r="F279" s="8">
        <v>0</v>
      </c>
      <c r="G279" s="8">
        <v>0</v>
      </c>
      <c r="H279" s="8">
        <v>0</v>
      </c>
      <c r="I279" s="8">
        <v>8</v>
      </c>
      <c r="J279" s="8">
        <v>888480</v>
      </c>
    </row>
    <row r="280" spans="1:10" x14ac:dyDescent="0.2">
      <c r="A280" s="6" t="s">
        <v>288</v>
      </c>
      <c r="B280" s="6">
        <v>9</v>
      </c>
      <c r="C280" s="8">
        <v>72</v>
      </c>
      <c r="D280" s="8">
        <v>1717560</v>
      </c>
      <c r="E280" s="8">
        <v>0</v>
      </c>
      <c r="F280" s="8">
        <v>0</v>
      </c>
      <c r="G280" s="8">
        <v>0</v>
      </c>
      <c r="H280" s="8">
        <v>0</v>
      </c>
      <c r="I280" s="8">
        <v>72</v>
      </c>
      <c r="J280" s="8">
        <v>1717560</v>
      </c>
    </row>
    <row r="281" spans="1:10" x14ac:dyDescent="0.2">
      <c r="A281" s="6" t="s">
        <v>289</v>
      </c>
      <c r="B281" s="6">
        <v>9</v>
      </c>
      <c r="C281" s="8">
        <v>5241</v>
      </c>
      <c r="D281" s="8">
        <v>18544800</v>
      </c>
      <c r="E281" s="8">
        <v>204</v>
      </c>
      <c r="F281" s="8">
        <v>0</v>
      </c>
      <c r="G281" s="8">
        <v>0</v>
      </c>
      <c r="H281" s="8">
        <v>0</v>
      </c>
      <c r="I281" s="8">
        <v>5445</v>
      </c>
      <c r="J281" s="8">
        <v>18544800</v>
      </c>
    </row>
    <row r="282" spans="1:10" x14ac:dyDescent="0.2">
      <c r="A282" s="6" t="s">
        <v>290</v>
      </c>
      <c r="B282" s="6">
        <v>9</v>
      </c>
      <c r="C282" s="8">
        <v>3167</v>
      </c>
      <c r="D282" s="8">
        <v>281819911</v>
      </c>
      <c r="E282" s="8">
        <v>576</v>
      </c>
      <c r="F282" s="8">
        <v>51254784</v>
      </c>
      <c r="G282" s="8">
        <v>2254</v>
      </c>
      <c r="H282" s="8">
        <v>200574502</v>
      </c>
      <c r="I282" s="8">
        <v>1489</v>
      </c>
      <c r="J282" s="8">
        <v>132500193</v>
      </c>
    </row>
    <row r="283" spans="1:10" x14ac:dyDescent="0.2">
      <c r="A283" s="6" t="s">
        <v>291</v>
      </c>
      <c r="B283" s="6">
        <v>9</v>
      </c>
      <c r="C283" s="8">
        <v>3594</v>
      </c>
      <c r="D283" s="8">
        <v>335383444</v>
      </c>
      <c r="E283" s="8">
        <v>840</v>
      </c>
      <c r="F283" s="8">
        <v>78533280</v>
      </c>
      <c r="G283" s="8">
        <v>1876</v>
      </c>
      <c r="H283" s="8">
        <v>175125795</v>
      </c>
      <c r="I283" s="8">
        <v>2558</v>
      </c>
      <c r="J283" s="8">
        <v>238790929</v>
      </c>
    </row>
    <row r="284" spans="1:10" x14ac:dyDescent="0.2">
      <c r="A284" s="6" t="s">
        <v>292</v>
      </c>
      <c r="B284" s="6">
        <v>9</v>
      </c>
      <c r="C284" s="8">
        <v>2192</v>
      </c>
      <c r="D284" s="8">
        <v>162614969</v>
      </c>
      <c r="E284" s="8">
        <v>270</v>
      </c>
      <c r="F284" s="8">
        <v>24025680</v>
      </c>
      <c r="G284" s="8">
        <v>1530</v>
      </c>
      <c r="H284" s="8">
        <v>115987081</v>
      </c>
      <c r="I284" s="8">
        <v>932</v>
      </c>
      <c r="J284" s="8">
        <v>70653568</v>
      </c>
    </row>
    <row r="285" spans="1:10" x14ac:dyDescent="0.2">
      <c r="A285" s="6"/>
      <c r="B285" s="6"/>
      <c r="C285" s="5"/>
      <c r="D285" s="5">
        <v>14672491374</v>
      </c>
      <c r="E285" s="5"/>
      <c r="F285" s="5">
        <v>8134206560</v>
      </c>
      <c r="G285" s="5"/>
      <c r="H285" s="5">
        <v>7256403764</v>
      </c>
      <c r="I285" s="5"/>
      <c r="J285" s="5">
        <v>15550294170</v>
      </c>
    </row>
  </sheetData>
  <mergeCells count="4">
    <mergeCell ref="C1:D1"/>
    <mergeCell ref="E1:F1"/>
    <mergeCell ref="G1:H1"/>
    <mergeCell ref="I1:J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W285"/>
  <sheetViews>
    <sheetView topLeftCell="A277" workbookViewId="0"/>
  </sheetViews>
  <sheetFormatPr defaultColWidth="12.5703125" defaultRowHeight="15.75" customHeight="1" x14ac:dyDescent="0.2"/>
  <sheetData>
    <row r="1" spans="1:23" x14ac:dyDescent="0.2">
      <c r="A1" s="1"/>
      <c r="B1" s="2"/>
      <c r="C1" s="210" t="s">
        <v>0</v>
      </c>
      <c r="D1" s="211"/>
      <c r="E1" s="210" t="s">
        <v>1</v>
      </c>
      <c r="F1" s="211"/>
      <c r="G1" s="210" t="s">
        <v>2</v>
      </c>
      <c r="H1" s="211"/>
      <c r="I1" s="210" t="s">
        <v>3</v>
      </c>
      <c r="J1" s="21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">
      <c r="A2" s="3" t="s">
        <v>4</v>
      </c>
      <c r="B2" s="4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6</v>
      </c>
      <c r="H2" s="5" t="s">
        <v>10</v>
      </c>
      <c r="I2" s="5" t="s">
        <v>6</v>
      </c>
      <c r="J2" s="5" t="s">
        <v>9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">
      <c r="A3" s="6" t="s">
        <v>11</v>
      </c>
      <c r="B3" s="6">
        <v>10</v>
      </c>
      <c r="C3" s="8">
        <v>206</v>
      </c>
      <c r="D3" s="8">
        <v>5692510</v>
      </c>
      <c r="E3" s="8">
        <v>80</v>
      </c>
      <c r="F3" s="8">
        <v>2219520</v>
      </c>
      <c r="G3" s="8">
        <v>80</v>
      </c>
      <c r="H3" s="8">
        <v>2213155</v>
      </c>
      <c r="I3" s="8">
        <v>206</v>
      </c>
      <c r="J3" s="8">
        <v>5698875</v>
      </c>
    </row>
    <row r="4" spans="1:23" x14ac:dyDescent="0.2">
      <c r="A4" s="6" t="s">
        <v>12</v>
      </c>
      <c r="B4" s="6">
        <v>10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</row>
    <row r="5" spans="1:23" x14ac:dyDescent="0.2">
      <c r="A5" s="6" t="s">
        <v>13</v>
      </c>
      <c r="B5" s="6">
        <v>10</v>
      </c>
      <c r="C5" s="8">
        <v>743</v>
      </c>
      <c r="D5" s="8">
        <v>24367783</v>
      </c>
      <c r="E5" s="8">
        <v>0</v>
      </c>
      <c r="F5" s="8">
        <v>0</v>
      </c>
      <c r="G5" s="8">
        <v>156</v>
      </c>
      <c r="H5" s="8">
        <v>5119317</v>
      </c>
      <c r="I5" s="8">
        <v>587</v>
      </c>
      <c r="J5" s="8">
        <v>19248466</v>
      </c>
    </row>
    <row r="6" spans="1:23" x14ac:dyDescent="0.2">
      <c r="A6" s="6" t="s">
        <v>14</v>
      </c>
      <c r="B6" s="6">
        <v>10</v>
      </c>
      <c r="C6" s="8">
        <v>120</v>
      </c>
      <c r="D6" s="8">
        <v>35752144</v>
      </c>
      <c r="E6" s="8">
        <v>0</v>
      </c>
      <c r="F6" s="8">
        <v>0</v>
      </c>
      <c r="G6" s="8">
        <v>0</v>
      </c>
      <c r="H6" s="8">
        <v>0</v>
      </c>
      <c r="I6" s="8">
        <v>120</v>
      </c>
      <c r="J6" s="8">
        <v>35752144</v>
      </c>
    </row>
    <row r="7" spans="1:23" x14ac:dyDescent="0.2">
      <c r="A7" s="6" t="s">
        <v>15</v>
      </c>
      <c r="B7" s="6">
        <v>10</v>
      </c>
      <c r="C7" s="8">
        <v>504</v>
      </c>
      <c r="D7" s="8">
        <v>68557545</v>
      </c>
      <c r="E7" s="8">
        <v>0</v>
      </c>
      <c r="F7" s="8">
        <v>0</v>
      </c>
      <c r="G7" s="8">
        <v>0</v>
      </c>
      <c r="H7" s="8">
        <v>0</v>
      </c>
      <c r="I7" s="8">
        <v>504</v>
      </c>
      <c r="J7" s="8">
        <v>68557545</v>
      </c>
    </row>
    <row r="8" spans="1:23" x14ac:dyDescent="0.2">
      <c r="A8" s="6" t="s">
        <v>16</v>
      </c>
      <c r="B8" s="6">
        <v>10</v>
      </c>
      <c r="C8" s="8">
        <v>344</v>
      </c>
      <c r="D8" s="8">
        <v>53839916</v>
      </c>
      <c r="E8" s="8">
        <v>0</v>
      </c>
      <c r="F8" s="8">
        <v>0</v>
      </c>
      <c r="G8" s="8">
        <v>0</v>
      </c>
      <c r="H8" s="8">
        <v>0</v>
      </c>
      <c r="I8" s="8">
        <v>344</v>
      </c>
      <c r="J8" s="8">
        <v>53839916</v>
      </c>
    </row>
    <row r="9" spans="1:23" x14ac:dyDescent="0.2">
      <c r="A9" s="6" t="s">
        <v>17</v>
      </c>
      <c r="B9" s="6">
        <v>10</v>
      </c>
      <c r="C9" s="8">
        <v>153</v>
      </c>
      <c r="D9" s="8">
        <v>36613751</v>
      </c>
      <c r="E9" s="8">
        <v>0</v>
      </c>
      <c r="F9" s="8">
        <v>0</v>
      </c>
      <c r="G9" s="8">
        <v>0</v>
      </c>
      <c r="H9" s="8">
        <v>0</v>
      </c>
      <c r="I9" s="8">
        <v>153</v>
      </c>
      <c r="J9" s="8">
        <v>36613751</v>
      </c>
    </row>
    <row r="10" spans="1:23" x14ac:dyDescent="0.2">
      <c r="A10" s="6" t="s">
        <v>18</v>
      </c>
      <c r="B10" s="6">
        <v>10</v>
      </c>
      <c r="C10" s="8">
        <v>674</v>
      </c>
      <c r="D10" s="8">
        <v>14677119</v>
      </c>
      <c r="E10" s="8">
        <v>0</v>
      </c>
      <c r="F10" s="8">
        <v>0</v>
      </c>
      <c r="G10" s="8">
        <v>120</v>
      </c>
      <c r="H10" s="8">
        <v>2613137</v>
      </c>
      <c r="I10" s="8">
        <v>554</v>
      </c>
      <c r="J10" s="8">
        <v>12063982</v>
      </c>
    </row>
    <row r="11" spans="1:23" x14ac:dyDescent="0.2">
      <c r="A11" s="6" t="s">
        <v>19</v>
      </c>
      <c r="B11" s="6">
        <v>10</v>
      </c>
      <c r="C11" s="8">
        <v>180</v>
      </c>
      <c r="D11" s="8">
        <v>3904035</v>
      </c>
      <c r="E11" s="8">
        <v>0</v>
      </c>
      <c r="F11" s="8">
        <v>0</v>
      </c>
      <c r="G11" s="8">
        <v>0</v>
      </c>
      <c r="H11" s="8">
        <v>0</v>
      </c>
      <c r="I11" s="8">
        <v>180</v>
      </c>
      <c r="J11" s="8">
        <v>3904035</v>
      </c>
    </row>
    <row r="12" spans="1:23" x14ac:dyDescent="0.2">
      <c r="A12" s="6" t="s">
        <v>20</v>
      </c>
      <c r="B12" s="6">
        <v>10</v>
      </c>
      <c r="C12" s="8">
        <v>295</v>
      </c>
      <c r="D12" s="8">
        <v>31404753</v>
      </c>
      <c r="E12" s="8">
        <v>0</v>
      </c>
      <c r="F12" s="8">
        <v>0</v>
      </c>
      <c r="G12" s="8">
        <v>0</v>
      </c>
      <c r="H12" s="8">
        <v>0</v>
      </c>
      <c r="I12" s="8">
        <v>295</v>
      </c>
      <c r="J12" s="8">
        <v>31404753</v>
      </c>
    </row>
    <row r="13" spans="1:23" x14ac:dyDescent="0.2">
      <c r="A13" s="6" t="s">
        <v>21</v>
      </c>
      <c r="B13" s="6">
        <v>10</v>
      </c>
      <c r="C13" s="8">
        <v>170</v>
      </c>
      <c r="D13" s="8">
        <v>40681945</v>
      </c>
      <c r="E13" s="8">
        <v>0</v>
      </c>
      <c r="F13" s="8">
        <v>0</v>
      </c>
      <c r="G13" s="8">
        <v>0</v>
      </c>
      <c r="H13" s="8">
        <v>0</v>
      </c>
      <c r="I13" s="8">
        <v>170</v>
      </c>
      <c r="J13" s="8">
        <v>40681945</v>
      </c>
    </row>
    <row r="14" spans="1:23" x14ac:dyDescent="0.2">
      <c r="A14" s="6" t="s">
        <v>22</v>
      </c>
      <c r="B14" s="6">
        <v>10</v>
      </c>
      <c r="C14" s="8">
        <v>18</v>
      </c>
      <c r="D14" s="8">
        <v>407934</v>
      </c>
      <c r="E14" s="8">
        <v>0</v>
      </c>
      <c r="F14" s="8">
        <v>0</v>
      </c>
      <c r="G14" s="8">
        <v>0</v>
      </c>
      <c r="H14" s="8">
        <v>0</v>
      </c>
      <c r="I14" s="8">
        <v>18</v>
      </c>
      <c r="J14" s="8">
        <v>407934</v>
      </c>
    </row>
    <row r="15" spans="1:23" x14ac:dyDescent="0.2">
      <c r="A15" s="6" t="s">
        <v>23</v>
      </c>
      <c r="B15" s="6">
        <v>10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</row>
    <row r="16" spans="1:23" x14ac:dyDescent="0.2">
      <c r="A16" s="6" t="s">
        <v>24</v>
      </c>
      <c r="B16" s="6">
        <v>10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</row>
    <row r="17" spans="1:10" x14ac:dyDescent="0.2">
      <c r="A17" s="6" t="s">
        <v>25</v>
      </c>
      <c r="B17" s="6">
        <v>10</v>
      </c>
      <c r="C17" s="8">
        <v>0</v>
      </c>
      <c r="D17" s="8">
        <v>0</v>
      </c>
      <c r="E17" s="8">
        <v>90</v>
      </c>
      <c r="F17" s="8">
        <v>1915328</v>
      </c>
      <c r="G17" s="8">
        <v>90</v>
      </c>
      <c r="H17" s="8">
        <v>1915328</v>
      </c>
      <c r="I17" s="8">
        <v>0</v>
      </c>
      <c r="J17" s="8">
        <v>0</v>
      </c>
    </row>
    <row r="18" spans="1:10" x14ac:dyDescent="0.2">
      <c r="A18" s="6" t="s">
        <v>26</v>
      </c>
      <c r="B18" s="6">
        <v>10</v>
      </c>
      <c r="C18" s="8">
        <v>64</v>
      </c>
      <c r="D18" s="8">
        <v>1653392</v>
      </c>
      <c r="E18" s="8">
        <v>70</v>
      </c>
      <c r="F18" s="8">
        <v>1814820</v>
      </c>
      <c r="G18" s="8">
        <v>70</v>
      </c>
      <c r="H18" s="8">
        <v>1811753</v>
      </c>
      <c r="I18" s="8">
        <v>64</v>
      </c>
      <c r="J18" s="8">
        <v>1656459</v>
      </c>
    </row>
    <row r="19" spans="1:10" x14ac:dyDescent="0.2">
      <c r="A19" s="6" t="s">
        <v>27</v>
      </c>
      <c r="B19" s="6">
        <v>10</v>
      </c>
      <c r="C19" s="8">
        <v>47</v>
      </c>
      <c r="D19" s="8">
        <v>1453969</v>
      </c>
      <c r="E19" s="8">
        <v>0</v>
      </c>
      <c r="F19" s="8">
        <v>0</v>
      </c>
      <c r="G19" s="8">
        <v>0</v>
      </c>
      <c r="H19" s="8">
        <v>0</v>
      </c>
      <c r="I19" s="8">
        <v>47</v>
      </c>
      <c r="J19" s="8">
        <v>1453969</v>
      </c>
    </row>
    <row r="20" spans="1:10" x14ac:dyDescent="0.2">
      <c r="A20" s="6" t="s">
        <v>28</v>
      </c>
      <c r="B20" s="6">
        <v>10</v>
      </c>
      <c r="C20" s="8">
        <v>50</v>
      </c>
      <c r="D20" s="8">
        <v>5700000</v>
      </c>
      <c r="E20" s="8">
        <v>300</v>
      </c>
      <c r="F20" s="8">
        <v>34440000</v>
      </c>
      <c r="G20" s="8">
        <v>0</v>
      </c>
      <c r="H20" s="8">
        <v>0</v>
      </c>
      <c r="I20" s="8">
        <v>350</v>
      </c>
      <c r="J20" s="8">
        <v>40140000</v>
      </c>
    </row>
    <row r="21" spans="1:10" x14ac:dyDescent="0.2">
      <c r="A21" s="6" t="s">
        <v>29</v>
      </c>
      <c r="B21" s="6">
        <v>10</v>
      </c>
      <c r="C21" s="8">
        <v>240</v>
      </c>
      <c r="D21" s="8">
        <v>63425520</v>
      </c>
      <c r="E21" s="8">
        <v>40</v>
      </c>
      <c r="F21" s="8">
        <v>10626560</v>
      </c>
      <c r="G21" s="8">
        <v>0</v>
      </c>
      <c r="H21" s="8">
        <v>0</v>
      </c>
      <c r="I21" s="8">
        <v>280</v>
      </c>
      <c r="J21" s="8">
        <v>74052080</v>
      </c>
    </row>
    <row r="22" spans="1:10" x14ac:dyDescent="0.2">
      <c r="A22" s="6" t="s">
        <v>30</v>
      </c>
      <c r="B22" s="6">
        <v>10</v>
      </c>
      <c r="C22" s="8">
        <v>167</v>
      </c>
      <c r="D22" s="8">
        <v>32383984</v>
      </c>
      <c r="E22" s="8">
        <v>0</v>
      </c>
      <c r="F22" s="8">
        <v>0</v>
      </c>
      <c r="G22" s="8">
        <v>0</v>
      </c>
      <c r="H22" s="8">
        <v>0</v>
      </c>
      <c r="I22" s="8">
        <v>167</v>
      </c>
      <c r="J22" s="8">
        <v>32383984</v>
      </c>
    </row>
    <row r="23" spans="1:10" x14ac:dyDescent="0.2">
      <c r="A23" s="6" t="s">
        <v>31</v>
      </c>
      <c r="B23" s="6">
        <v>10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</row>
    <row r="24" spans="1:10" x14ac:dyDescent="0.2">
      <c r="A24" s="6" t="s">
        <v>32</v>
      </c>
      <c r="B24" s="6">
        <v>10</v>
      </c>
      <c r="C24" s="8">
        <v>77</v>
      </c>
      <c r="D24" s="8">
        <v>12767986</v>
      </c>
      <c r="E24" s="8">
        <v>40</v>
      </c>
      <c r="F24" s="8">
        <v>6702560</v>
      </c>
      <c r="G24" s="8">
        <v>0</v>
      </c>
      <c r="H24" s="8">
        <v>0</v>
      </c>
      <c r="I24" s="8">
        <v>117</v>
      </c>
      <c r="J24" s="8">
        <v>19470546</v>
      </c>
    </row>
    <row r="25" spans="1:10" x14ac:dyDescent="0.2">
      <c r="A25" s="6" t="s">
        <v>33</v>
      </c>
      <c r="B25" s="6">
        <v>10</v>
      </c>
      <c r="C25" s="8">
        <v>76</v>
      </c>
      <c r="D25" s="8">
        <v>9285800</v>
      </c>
      <c r="E25" s="8">
        <v>30</v>
      </c>
      <c r="F25" s="8">
        <v>7037670</v>
      </c>
      <c r="G25" s="8">
        <v>0</v>
      </c>
      <c r="H25" s="8">
        <v>0</v>
      </c>
      <c r="I25" s="8">
        <v>106</v>
      </c>
      <c r="J25" s="8">
        <v>16323470</v>
      </c>
    </row>
    <row r="26" spans="1:10" x14ac:dyDescent="0.2">
      <c r="A26" s="6" t="s">
        <v>34</v>
      </c>
      <c r="B26" s="6">
        <v>10</v>
      </c>
      <c r="C26" s="8">
        <v>50</v>
      </c>
      <c r="D26" s="8">
        <v>9836653</v>
      </c>
      <c r="E26" s="8">
        <v>54</v>
      </c>
      <c r="F26" s="8">
        <v>9383560</v>
      </c>
      <c r="G26" s="8">
        <v>0</v>
      </c>
      <c r="H26" s="8">
        <v>0</v>
      </c>
      <c r="I26" s="8">
        <v>104</v>
      </c>
      <c r="J26" s="8">
        <v>19220213</v>
      </c>
    </row>
    <row r="27" spans="1:10" x14ac:dyDescent="0.2">
      <c r="A27" s="6" t="s">
        <v>35</v>
      </c>
      <c r="B27" s="6">
        <v>10</v>
      </c>
      <c r="C27" s="8">
        <v>201</v>
      </c>
      <c r="D27" s="8">
        <v>22914000</v>
      </c>
      <c r="E27" s="8">
        <v>100</v>
      </c>
      <c r="F27" s="8">
        <v>11520000</v>
      </c>
      <c r="G27" s="8">
        <v>0</v>
      </c>
      <c r="H27" s="8">
        <v>0</v>
      </c>
      <c r="I27" s="8">
        <v>301</v>
      </c>
      <c r="J27" s="8">
        <v>34434000</v>
      </c>
    </row>
    <row r="28" spans="1:10" x14ac:dyDescent="0.2">
      <c r="A28" s="6" t="s">
        <v>36</v>
      </c>
      <c r="B28" s="6">
        <v>10</v>
      </c>
      <c r="C28" s="8">
        <v>40</v>
      </c>
      <c r="D28" s="8">
        <v>1818200</v>
      </c>
      <c r="E28" s="8">
        <v>0</v>
      </c>
      <c r="F28" s="8">
        <v>0</v>
      </c>
      <c r="G28" s="8">
        <v>0</v>
      </c>
      <c r="H28" s="8">
        <v>0</v>
      </c>
      <c r="I28" s="8">
        <v>40</v>
      </c>
      <c r="J28" s="8">
        <v>1818200</v>
      </c>
    </row>
    <row r="29" spans="1:10" x14ac:dyDescent="0.2">
      <c r="A29" s="6" t="s">
        <v>37</v>
      </c>
      <c r="B29" s="6">
        <v>10</v>
      </c>
      <c r="C29" s="8">
        <v>1653</v>
      </c>
      <c r="D29" s="8">
        <v>92022300</v>
      </c>
      <c r="E29" s="8">
        <v>2560</v>
      </c>
      <c r="F29" s="8">
        <v>142538240</v>
      </c>
      <c r="G29" s="8">
        <v>1440</v>
      </c>
      <c r="H29" s="8">
        <v>80172603</v>
      </c>
      <c r="I29" s="8">
        <v>2773</v>
      </c>
      <c r="J29" s="8">
        <v>154387937</v>
      </c>
    </row>
    <row r="30" spans="1:10" x14ac:dyDescent="0.2">
      <c r="A30" s="6" t="s">
        <v>38</v>
      </c>
      <c r="B30" s="6">
        <v>10</v>
      </c>
      <c r="C30" s="8">
        <v>274562</v>
      </c>
      <c r="D30" s="8">
        <v>277332644</v>
      </c>
      <c r="E30" s="8">
        <v>7776</v>
      </c>
      <c r="F30" s="8">
        <v>242673408</v>
      </c>
      <c r="G30" s="8">
        <v>8592</v>
      </c>
      <c r="H30" s="8">
        <v>268139126</v>
      </c>
      <c r="I30" s="8">
        <v>273746</v>
      </c>
      <c r="J30" s="8">
        <v>251866926</v>
      </c>
    </row>
    <row r="31" spans="1:10" x14ac:dyDescent="0.2">
      <c r="A31" s="6" t="s">
        <v>39</v>
      </c>
      <c r="B31" s="6">
        <v>10</v>
      </c>
      <c r="C31" s="8">
        <v>26190</v>
      </c>
      <c r="D31" s="8">
        <v>60271732</v>
      </c>
      <c r="E31" s="8">
        <v>2100</v>
      </c>
      <c r="F31" s="8">
        <v>75986400</v>
      </c>
      <c r="G31" s="8">
        <v>2340</v>
      </c>
      <c r="H31" s="8">
        <v>84670273</v>
      </c>
      <c r="I31" s="8">
        <v>25950</v>
      </c>
      <c r="J31" s="8">
        <v>51587859</v>
      </c>
    </row>
    <row r="32" spans="1:10" x14ac:dyDescent="0.2">
      <c r="A32" s="6" t="s">
        <v>40</v>
      </c>
      <c r="B32" s="6">
        <v>10</v>
      </c>
      <c r="C32" s="8">
        <v>2430</v>
      </c>
      <c r="D32" s="8">
        <v>87927120</v>
      </c>
      <c r="E32" s="8">
        <v>0</v>
      </c>
      <c r="F32" s="8">
        <v>0</v>
      </c>
      <c r="G32" s="8">
        <v>0</v>
      </c>
      <c r="H32" s="8">
        <v>0</v>
      </c>
      <c r="I32" s="8">
        <v>2430</v>
      </c>
      <c r="J32" s="8">
        <v>87927120</v>
      </c>
    </row>
    <row r="33" spans="1:10" x14ac:dyDescent="0.2">
      <c r="A33" s="6" t="s">
        <v>41</v>
      </c>
      <c r="B33" s="6">
        <v>10</v>
      </c>
      <c r="C33" s="8">
        <v>90</v>
      </c>
      <c r="D33" s="8">
        <v>3256560</v>
      </c>
      <c r="E33" s="8">
        <v>0</v>
      </c>
      <c r="F33" s="8">
        <v>0</v>
      </c>
      <c r="G33" s="8">
        <v>0</v>
      </c>
      <c r="H33" s="8">
        <v>0</v>
      </c>
      <c r="I33" s="8">
        <v>90</v>
      </c>
      <c r="J33" s="8">
        <v>3256560</v>
      </c>
    </row>
    <row r="34" spans="1:10" x14ac:dyDescent="0.2">
      <c r="A34" s="6" t="s">
        <v>42</v>
      </c>
      <c r="B34" s="6">
        <v>10</v>
      </c>
      <c r="C34" s="8">
        <v>128</v>
      </c>
      <c r="D34" s="8">
        <v>6807953</v>
      </c>
      <c r="E34" s="8">
        <v>64</v>
      </c>
      <c r="F34" s="8">
        <v>3359040</v>
      </c>
      <c r="G34" s="8">
        <v>0</v>
      </c>
      <c r="H34" s="8">
        <v>0</v>
      </c>
      <c r="I34" s="8">
        <v>192</v>
      </c>
      <c r="J34" s="8">
        <v>10166993</v>
      </c>
    </row>
    <row r="35" spans="1:10" x14ac:dyDescent="0.2">
      <c r="A35" s="6" t="s">
        <v>43</v>
      </c>
      <c r="B35" s="6">
        <v>10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</row>
    <row r="36" spans="1:10" x14ac:dyDescent="0.2">
      <c r="A36" s="6" t="s">
        <v>44</v>
      </c>
      <c r="B36" s="6">
        <v>10</v>
      </c>
      <c r="C36" s="8">
        <v>9335</v>
      </c>
      <c r="D36" s="8">
        <v>28208853</v>
      </c>
      <c r="E36" s="8">
        <v>750</v>
      </c>
      <c r="F36" s="8">
        <v>27138000</v>
      </c>
      <c r="G36" s="8">
        <v>315</v>
      </c>
      <c r="H36" s="8">
        <v>11396480</v>
      </c>
      <c r="I36" s="8">
        <v>9770</v>
      </c>
      <c r="J36" s="8">
        <v>43950373</v>
      </c>
    </row>
    <row r="37" spans="1:10" x14ac:dyDescent="0.2">
      <c r="A37" s="6" t="s">
        <v>45</v>
      </c>
      <c r="B37" s="6">
        <v>10</v>
      </c>
      <c r="C37" s="8">
        <v>600</v>
      </c>
      <c r="D37" s="8">
        <v>21680736</v>
      </c>
      <c r="E37" s="8">
        <v>375</v>
      </c>
      <c r="F37" s="8">
        <v>13569000</v>
      </c>
      <c r="G37" s="8">
        <v>375</v>
      </c>
      <c r="H37" s="8">
        <v>13557591</v>
      </c>
      <c r="I37" s="8">
        <v>600</v>
      </c>
      <c r="J37" s="8">
        <v>21692145</v>
      </c>
    </row>
    <row r="38" spans="1:10" x14ac:dyDescent="0.2">
      <c r="A38" s="6" t="s">
        <v>46</v>
      </c>
      <c r="B38" s="6">
        <v>10</v>
      </c>
      <c r="C38" s="8">
        <v>285</v>
      </c>
      <c r="D38" s="8">
        <v>10312440</v>
      </c>
      <c r="E38" s="8">
        <v>105</v>
      </c>
      <c r="F38" s="8">
        <v>3799320</v>
      </c>
      <c r="G38" s="8">
        <v>105</v>
      </c>
      <c r="H38" s="8">
        <v>3729996</v>
      </c>
      <c r="I38" s="8">
        <v>285</v>
      </c>
      <c r="J38" s="8">
        <v>10381764</v>
      </c>
    </row>
    <row r="39" spans="1:10" x14ac:dyDescent="0.2">
      <c r="A39" s="6" t="s">
        <v>47</v>
      </c>
      <c r="B39" s="6">
        <v>10</v>
      </c>
      <c r="C39" s="8">
        <v>1500</v>
      </c>
      <c r="D39" s="8">
        <v>7386531</v>
      </c>
      <c r="E39" s="8">
        <v>1500</v>
      </c>
      <c r="F39" s="8">
        <v>7639500</v>
      </c>
      <c r="G39" s="8">
        <v>2500</v>
      </c>
      <c r="H39" s="8">
        <v>12521693</v>
      </c>
      <c r="I39" s="8">
        <v>500</v>
      </c>
      <c r="J39" s="8">
        <v>2504338</v>
      </c>
    </row>
    <row r="40" spans="1:10" x14ac:dyDescent="0.2">
      <c r="A40" s="6" t="s">
        <v>48</v>
      </c>
      <c r="B40" s="6">
        <v>10</v>
      </c>
      <c r="C40" s="8">
        <v>48</v>
      </c>
      <c r="D40" s="8">
        <v>1156368</v>
      </c>
      <c r="E40" s="8">
        <v>0</v>
      </c>
      <c r="F40" s="8">
        <v>0</v>
      </c>
      <c r="G40" s="8">
        <v>0</v>
      </c>
      <c r="H40" s="8">
        <v>0</v>
      </c>
      <c r="I40" s="8">
        <v>48</v>
      </c>
      <c r="J40" s="8">
        <v>1156368</v>
      </c>
    </row>
    <row r="41" spans="1:10" x14ac:dyDescent="0.2">
      <c r="A41" s="6" t="s">
        <v>49</v>
      </c>
      <c r="B41" s="6">
        <v>10</v>
      </c>
      <c r="C41" s="8">
        <v>4440</v>
      </c>
      <c r="D41" s="8">
        <v>21676538</v>
      </c>
      <c r="E41" s="8">
        <v>4800</v>
      </c>
      <c r="F41" s="8">
        <v>23553600</v>
      </c>
      <c r="G41" s="8">
        <v>7200</v>
      </c>
      <c r="H41" s="8">
        <v>35244264</v>
      </c>
      <c r="I41" s="8">
        <v>2040</v>
      </c>
      <c r="J41" s="8">
        <v>9985874</v>
      </c>
    </row>
    <row r="42" spans="1:10" x14ac:dyDescent="0.2">
      <c r="A42" s="6" t="s">
        <v>50</v>
      </c>
      <c r="B42" s="6">
        <v>10</v>
      </c>
      <c r="C42" s="8">
        <v>1500</v>
      </c>
      <c r="D42" s="8">
        <v>4773000</v>
      </c>
      <c r="E42" s="8">
        <v>750</v>
      </c>
      <c r="F42" s="8">
        <v>2778000</v>
      </c>
      <c r="G42" s="8">
        <v>1500</v>
      </c>
      <c r="H42" s="8">
        <v>5034000</v>
      </c>
      <c r="I42" s="8">
        <v>750</v>
      </c>
      <c r="J42" s="8">
        <v>2517000</v>
      </c>
    </row>
    <row r="43" spans="1:10" x14ac:dyDescent="0.2">
      <c r="A43" s="6" t="s">
        <v>51</v>
      </c>
      <c r="B43" s="6">
        <v>10</v>
      </c>
      <c r="C43" s="8">
        <v>1500</v>
      </c>
      <c r="D43" s="8">
        <v>6033241</v>
      </c>
      <c r="E43" s="8">
        <v>1250</v>
      </c>
      <c r="F43" s="8">
        <v>5208750</v>
      </c>
      <c r="G43" s="8">
        <v>1500</v>
      </c>
      <c r="H43" s="8">
        <v>6131996</v>
      </c>
      <c r="I43" s="8">
        <v>1250</v>
      </c>
      <c r="J43" s="8">
        <v>5109995</v>
      </c>
    </row>
    <row r="44" spans="1:10" x14ac:dyDescent="0.2">
      <c r="A44" s="6" t="s">
        <v>52</v>
      </c>
      <c r="B44" s="6">
        <v>10</v>
      </c>
      <c r="C44" s="8">
        <v>812</v>
      </c>
      <c r="D44" s="8">
        <v>18641599</v>
      </c>
      <c r="E44" s="8">
        <v>576</v>
      </c>
      <c r="F44" s="8">
        <v>13333248</v>
      </c>
      <c r="G44" s="8">
        <v>0</v>
      </c>
      <c r="H44" s="8">
        <v>0</v>
      </c>
      <c r="I44" s="8">
        <v>1388</v>
      </c>
      <c r="J44" s="8">
        <v>31974847</v>
      </c>
    </row>
    <row r="45" spans="1:10" x14ac:dyDescent="0.2">
      <c r="A45" s="6" t="s">
        <v>53</v>
      </c>
      <c r="B45" s="6">
        <v>10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</row>
    <row r="46" spans="1:10" x14ac:dyDescent="0.2">
      <c r="A46" s="6" t="s">
        <v>54</v>
      </c>
      <c r="B46" s="6">
        <v>10</v>
      </c>
      <c r="C46" s="8">
        <v>3818</v>
      </c>
      <c r="D46" s="8">
        <v>54817929</v>
      </c>
      <c r="E46" s="8">
        <v>5136</v>
      </c>
      <c r="F46" s="8">
        <v>74667600</v>
      </c>
      <c r="G46" s="8">
        <v>5640</v>
      </c>
      <c r="H46" s="8">
        <v>81561133</v>
      </c>
      <c r="I46" s="8">
        <v>3314</v>
      </c>
      <c r="J46" s="8">
        <v>47924396</v>
      </c>
    </row>
    <row r="47" spans="1:10" x14ac:dyDescent="0.2">
      <c r="A47" s="6" t="s">
        <v>55</v>
      </c>
      <c r="B47" s="6">
        <v>10</v>
      </c>
      <c r="C47" s="8">
        <v>66</v>
      </c>
      <c r="D47" s="8">
        <v>5780929</v>
      </c>
      <c r="E47" s="8">
        <v>54</v>
      </c>
      <c r="F47" s="8">
        <v>4775004</v>
      </c>
      <c r="G47" s="8">
        <v>0</v>
      </c>
      <c r="H47" s="8">
        <v>0</v>
      </c>
      <c r="I47" s="8">
        <v>120</v>
      </c>
      <c r="J47" s="8">
        <v>10555933</v>
      </c>
    </row>
    <row r="48" spans="1:10" x14ac:dyDescent="0.2">
      <c r="A48" s="6" t="s">
        <v>56</v>
      </c>
      <c r="B48" s="6">
        <v>10</v>
      </c>
      <c r="C48" s="8">
        <v>768</v>
      </c>
      <c r="D48" s="8">
        <v>7355520</v>
      </c>
      <c r="E48" s="8">
        <v>144</v>
      </c>
      <c r="F48" s="8">
        <v>1386720</v>
      </c>
      <c r="G48" s="8">
        <v>0</v>
      </c>
      <c r="H48" s="8">
        <v>0</v>
      </c>
      <c r="I48" s="8">
        <v>912</v>
      </c>
      <c r="J48" s="8">
        <v>8742240</v>
      </c>
    </row>
    <row r="49" spans="1:10" x14ac:dyDescent="0.2">
      <c r="A49" s="6" t="s">
        <v>57</v>
      </c>
      <c r="B49" s="6">
        <v>10</v>
      </c>
      <c r="C49" s="8">
        <v>600</v>
      </c>
      <c r="D49" s="8">
        <v>10299267</v>
      </c>
      <c r="E49" s="8">
        <v>96</v>
      </c>
      <c r="F49" s="8">
        <v>1688928</v>
      </c>
      <c r="G49" s="8">
        <v>0</v>
      </c>
      <c r="H49" s="8">
        <v>0</v>
      </c>
      <c r="I49" s="8">
        <v>696</v>
      </c>
      <c r="J49" s="8">
        <v>11988195</v>
      </c>
    </row>
    <row r="50" spans="1:10" x14ac:dyDescent="0.2">
      <c r="A50" s="6" t="s">
        <v>58</v>
      </c>
      <c r="B50" s="6">
        <v>10</v>
      </c>
      <c r="C50" s="8">
        <v>2616</v>
      </c>
      <c r="D50" s="8">
        <v>21869420</v>
      </c>
      <c r="E50" s="8">
        <v>2160</v>
      </c>
      <c r="F50" s="8">
        <v>18599760</v>
      </c>
      <c r="G50" s="8">
        <v>1596</v>
      </c>
      <c r="H50" s="8">
        <v>13523620</v>
      </c>
      <c r="I50" s="8">
        <v>3180</v>
      </c>
      <c r="J50" s="8">
        <v>26945560</v>
      </c>
    </row>
    <row r="51" spans="1:10" x14ac:dyDescent="0.2">
      <c r="A51" s="6" t="s">
        <v>59</v>
      </c>
      <c r="B51" s="6">
        <v>10</v>
      </c>
      <c r="C51" s="8">
        <v>2111</v>
      </c>
      <c r="D51" s="8">
        <v>32236994</v>
      </c>
      <c r="E51" s="8">
        <v>5523</v>
      </c>
      <c r="F51" s="8">
        <v>92001840</v>
      </c>
      <c r="G51" s="8">
        <v>1488</v>
      </c>
      <c r="H51" s="8">
        <v>24216320</v>
      </c>
      <c r="I51" s="8">
        <v>6146</v>
      </c>
      <c r="J51" s="8">
        <v>100022514</v>
      </c>
    </row>
    <row r="52" spans="1:10" x14ac:dyDescent="0.2">
      <c r="A52" s="6" t="s">
        <v>60</v>
      </c>
      <c r="B52" s="6">
        <v>10</v>
      </c>
      <c r="C52" s="8">
        <v>5551</v>
      </c>
      <c r="D52" s="8">
        <v>176198014</v>
      </c>
      <c r="E52" s="8">
        <v>695</v>
      </c>
      <c r="F52" s="8">
        <v>23233212</v>
      </c>
      <c r="G52" s="8">
        <v>1711</v>
      </c>
      <c r="H52" s="8">
        <v>54631256</v>
      </c>
      <c r="I52" s="8">
        <v>4535</v>
      </c>
      <c r="J52" s="8">
        <v>144799970</v>
      </c>
    </row>
    <row r="53" spans="1:10" x14ac:dyDescent="0.2">
      <c r="A53" s="6" t="s">
        <v>61</v>
      </c>
      <c r="B53" s="6">
        <v>10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</row>
    <row r="54" spans="1:10" x14ac:dyDescent="0.2">
      <c r="A54" s="6" t="s">
        <v>62</v>
      </c>
      <c r="B54" s="6">
        <v>10</v>
      </c>
      <c r="C54" s="8">
        <v>5053</v>
      </c>
      <c r="D54" s="8">
        <v>24582986</v>
      </c>
      <c r="E54" s="8">
        <v>4201</v>
      </c>
      <c r="F54" s="8">
        <v>20609400</v>
      </c>
      <c r="G54" s="8">
        <v>7560</v>
      </c>
      <c r="H54" s="8">
        <v>36919650</v>
      </c>
      <c r="I54" s="8">
        <v>1694</v>
      </c>
      <c r="J54" s="8">
        <v>8272736</v>
      </c>
    </row>
    <row r="55" spans="1:10" x14ac:dyDescent="0.2">
      <c r="A55" s="6" t="s">
        <v>63</v>
      </c>
      <c r="B55" s="6">
        <v>10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</row>
    <row r="56" spans="1:10" x14ac:dyDescent="0.2">
      <c r="A56" s="6" t="s">
        <v>64</v>
      </c>
      <c r="B56" s="6">
        <v>10</v>
      </c>
      <c r="C56" s="8">
        <v>0</v>
      </c>
      <c r="D56" s="8">
        <v>0</v>
      </c>
      <c r="E56" s="8">
        <v>30</v>
      </c>
      <c r="F56" s="8">
        <v>5833320</v>
      </c>
      <c r="G56" s="8">
        <v>0</v>
      </c>
      <c r="H56" s="8">
        <v>0</v>
      </c>
      <c r="I56" s="8">
        <v>30</v>
      </c>
      <c r="J56" s="8">
        <v>5833320</v>
      </c>
    </row>
    <row r="57" spans="1:10" x14ac:dyDescent="0.2">
      <c r="A57" s="6" t="s">
        <v>65</v>
      </c>
      <c r="B57" s="6">
        <v>10</v>
      </c>
      <c r="C57" s="8">
        <v>0</v>
      </c>
      <c r="D57" s="8">
        <v>0</v>
      </c>
      <c r="E57" s="8">
        <v>12</v>
      </c>
      <c r="F57" s="8">
        <v>2277780</v>
      </c>
      <c r="G57" s="8">
        <v>0</v>
      </c>
      <c r="H57" s="8">
        <v>0</v>
      </c>
      <c r="I57" s="8">
        <v>12</v>
      </c>
      <c r="J57" s="8">
        <v>2277780</v>
      </c>
    </row>
    <row r="58" spans="1:10" x14ac:dyDescent="0.2">
      <c r="A58" s="6" t="s">
        <v>66</v>
      </c>
      <c r="B58" s="6">
        <v>10</v>
      </c>
      <c r="C58" s="8">
        <v>1647</v>
      </c>
      <c r="D58" s="8">
        <v>25292897</v>
      </c>
      <c r="E58" s="8">
        <v>1633</v>
      </c>
      <c r="F58" s="8">
        <v>25500420</v>
      </c>
      <c r="G58" s="8">
        <v>216</v>
      </c>
      <c r="H58" s="8">
        <v>3344926</v>
      </c>
      <c r="I58" s="8">
        <v>3064</v>
      </c>
      <c r="J58" s="8">
        <v>47448391</v>
      </c>
    </row>
    <row r="59" spans="1:10" x14ac:dyDescent="0.2">
      <c r="A59" s="6" t="s">
        <v>67</v>
      </c>
      <c r="B59" s="6">
        <v>10</v>
      </c>
      <c r="C59" s="8">
        <v>146</v>
      </c>
      <c r="D59" s="8">
        <v>985256</v>
      </c>
      <c r="E59" s="8">
        <v>24</v>
      </c>
      <c r="F59" s="8">
        <v>400008</v>
      </c>
      <c r="G59" s="8">
        <v>0</v>
      </c>
      <c r="H59" s="8">
        <v>0</v>
      </c>
      <c r="I59" s="8">
        <v>170</v>
      </c>
      <c r="J59" s="8">
        <v>1385264</v>
      </c>
    </row>
    <row r="60" spans="1:10" x14ac:dyDescent="0.2">
      <c r="A60" s="6" t="s">
        <v>68</v>
      </c>
      <c r="B60" s="6">
        <v>10</v>
      </c>
      <c r="C60" s="8">
        <v>240</v>
      </c>
      <c r="D60" s="8">
        <v>11005865</v>
      </c>
      <c r="E60" s="8">
        <v>120</v>
      </c>
      <c r="F60" s="8">
        <v>5600040</v>
      </c>
      <c r="G60" s="8">
        <v>0</v>
      </c>
      <c r="H60" s="8">
        <v>0</v>
      </c>
      <c r="I60" s="8">
        <v>360</v>
      </c>
      <c r="J60" s="8">
        <v>16605905</v>
      </c>
    </row>
    <row r="61" spans="1:10" x14ac:dyDescent="0.2">
      <c r="A61" s="6" t="s">
        <v>69</v>
      </c>
      <c r="B61" s="6">
        <v>10</v>
      </c>
      <c r="C61" s="8">
        <v>0</v>
      </c>
      <c r="D61" s="8">
        <v>0</v>
      </c>
      <c r="E61" s="8">
        <v>78</v>
      </c>
      <c r="F61" s="8">
        <v>8088912</v>
      </c>
      <c r="G61" s="8">
        <v>0</v>
      </c>
      <c r="H61" s="8">
        <v>0</v>
      </c>
      <c r="I61" s="8">
        <v>78</v>
      </c>
      <c r="J61" s="8">
        <v>8088912</v>
      </c>
    </row>
    <row r="62" spans="1:10" x14ac:dyDescent="0.2">
      <c r="A62" s="6" t="s">
        <v>70</v>
      </c>
      <c r="B62" s="6">
        <v>10</v>
      </c>
      <c r="C62" s="8">
        <v>0</v>
      </c>
      <c r="D62" s="8">
        <v>0</v>
      </c>
      <c r="E62" s="8">
        <v>42</v>
      </c>
      <c r="F62" s="8">
        <v>6066648</v>
      </c>
      <c r="G62" s="8">
        <v>0</v>
      </c>
      <c r="H62" s="8">
        <v>0</v>
      </c>
      <c r="I62" s="8">
        <v>42</v>
      </c>
      <c r="J62" s="8">
        <v>6066648</v>
      </c>
    </row>
    <row r="63" spans="1:10" x14ac:dyDescent="0.2">
      <c r="A63" s="6" t="s">
        <v>71</v>
      </c>
      <c r="B63" s="6">
        <v>10</v>
      </c>
      <c r="C63" s="8">
        <v>960</v>
      </c>
      <c r="D63" s="8">
        <v>14771864</v>
      </c>
      <c r="E63" s="8">
        <v>240</v>
      </c>
      <c r="F63" s="8">
        <v>3777840</v>
      </c>
      <c r="G63" s="8">
        <v>0</v>
      </c>
      <c r="H63" s="8">
        <v>0</v>
      </c>
      <c r="I63" s="8">
        <v>1200</v>
      </c>
      <c r="J63" s="8">
        <v>18549704</v>
      </c>
    </row>
    <row r="64" spans="1:10" x14ac:dyDescent="0.2">
      <c r="A64" s="6" t="s">
        <v>72</v>
      </c>
      <c r="B64" s="6">
        <v>10</v>
      </c>
      <c r="C64" s="8">
        <v>3126</v>
      </c>
      <c r="D64" s="8">
        <v>71024991</v>
      </c>
      <c r="E64" s="8">
        <v>747</v>
      </c>
      <c r="F64" s="8">
        <v>17911056</v>
      </c>
      <c r="G64" s="8">
        <v>960</v>
      </c>
      <c r="H64" s="8">
        <v>22044566</v>
      </c>
      <c r="I64" s="8">
        <v>2913</v>
      </c>
      <c r="J64" s="8">
        <v>66891481</v>
      </c>
    </row>
    <row r="65" spans="1:10" x14ac:dyDescent="0.2">
      <c r="A65" s="6" t="s">
        <v>73</v>
      </c>
      <c r="B65" s="6">
        <v>10</v>
      </c>
      <c r="C65" s="8">
        <v>2538</v>
      </c>
      <c r="D65" s="8">
        <v>85539486</v>
      </c>
      <c r="E65" s="8">
        <v>1800</v>
      </c>
      <c r="F65" s="8">
        <v>61666200</v>
      </c>
      <c r="G65" s="8">
        <v>2424</v>
      </c>
      <c r="H65" s="8">
        <v>82256013</v>
      </c>
      <c r="I65" s="8">
        <v>1914</v>
      </c>
      <c r="J65" s="8">
        <v>64949673</v>
      </c>
    </row>
    <row r="66" spans="1:10" x14ac:dyDescent="0.2">
      <c r="A66" s="6" t="s">
        <v>74</v>
      </c>
      <c r="B66" s="6">
        <v>10</v>
      </c>
      <c r="C66" s="8">
        <v>5040</v>
      </c>
      <c r="D66" s="8">
        <v>74074873</v>
      </c>
      <c r="E66" s="8">
        <v>2400</v>
      </c>
      <c r="F66" s="8">
        <v>35556000</v>
      </c>
      <c r="G66" s="8">
        <v>240</v>
      </c>
      <c r="H66" s="8">
        <v>3536480</v>
      </c>
      <c r="I66" s="8">
        <v>7200</v>
      </c>
      <c r="J66" s="8">
        <v>106094393</v>
      </c>
    </row>
    <row r="67" spans="1:10" x14ac:dyDescent="0.2">
      <c r="A67" s="6" t="s">
        <v>75</v>
      </c>
      <c r="B67" s="6">
        <v>10</v>
      </c>
      <c r="C67" s="8">
        <v>2400</v>
      </c>
      <c r="D67" s="8">
        <v>853333</v>
      </c>
      <c r="E67" s="8">
        <v>2400</v>
      </c>
      <c r="F67" s="8">
        <v>888000</v>
      </c>
      <c r="G67" s="8">
        <v>0</v>
      </c>
      <c r="H67" s="8">
        <v>0</v>
      </c>
      <c r="I67" s="8">
        <v>4800</v>
      </c>
      <c r="J67" s="8">
        <v>1741333</v>
      </c>
    </row>
    <row r="68" spans="1:10" x14ac:dyDescent="0.2">
      <c r="A68" s="6" t="s">
        <v>76</v>
      </c>
      <c r="B68" s="6">
        <v>10</v>
      </c>
      <c r="C68" s="8">
        <v>120</v>
      </c>
      <c r="D68" s="8">
        <v>7336927</v>
      </c>
      <c r="E68" s="8">
        <v>36</v>
      </c>
      <c r="F68" s="8">
        <v>1900008</v>
      </c>
      <c r="G68" s="8">
        <v>30</v>
      </c>
      <c r="H68" s="8">
        <v>1776334</v>
      </c>
      <c r="I68" s="8">
        <v>126</v>
      </c>
      <c r="J68" s="8">
        <v>7460601</v>
      </c>
    </row>
    <row r="69" spans="1:10" x14ac:dyDescent="0.2">
      <c r="A69" s="6" t="s">
        <v>77</v>
      </c>
      <c r="B69" s="6">
        <v>10</v>
      </c>
      <c r="C69" s="8">
        <v>624</v>
      </c>
      <c r="D69" s="8">
        <v>3787119</v>
      </c>
      <c r="E69" s="8">
        <v>384</v>
      </c>
      <c r="F69" s="8">
        <v>2417664</v>
      </c>
      <c r="G69" s="8">
        <v>12</v>
      </c>
      <c r="H69" s="8">
        <v>73866</v>
      </c>
      <c r="I69" s="8">
        <v>996</v>
      </c>
      <c r="J69" s="8">
        <v>6130917</v>
      </c>
    </row>
    <row r="70" spans="1:10" x14ac:dyDescent="0.2">
      <c r="A70" s="6" t="s">
        <v>78</v>
      </c>
      <c r="B70" s="6">
        <v>10</v>
      </c>
      <c r="C70" s="8">
        <v>5245</v>
      </c>
      <c r="D70" s="8">
        <v>37851133</v>
      </c>
      <c r="E70" s="8">
        <v>2054</v>
      </c>
      <c r="F70" s="8">
        <v>22666440</v>
      </c>
      <c r="G70" s="8">
        <v>1728</v>
      </c>
      <c r="H70" s="8">
        <v>14327218</v>
      </c>
      <c r="I70" s="8">
        <v>5571</v>
      </c>
      <c r="J70" s="8">
        <v>46190355</v>
      </c>
    </row>
    <row r="71" spans="1:10" x14ac:dyDescent="0.2">
      <c r="A71" s="6" t="s">
        <v>79</v>
      </c>
      <c r="B71" s="6">
        <v>10</v>
      </c>
      <c r="C71" s="8">
        <v>2395</v>
      </c>
      <c r="D71" s="8">
        <v>47339275</v>
      </c>
      <c r="E71" s="8">
        <v>384</v>
      </c>
      <c r="F71" s="8">
        <v>8177664</v>
      </c>
      <c r="G71" s="8">
        <v>843</v>
      </c>
      <c r="H71" s="8">
        <v>16840871</v>
      </c>
      <c r="I71" s="8">
        <v>1936</v>
      </c>
      <c r="J71" s="8">
        <v>38676068</v>
      </c>
    </row>
    <row r="72" spans="1:10" x14ac:dyDescent="0.2">
      <c r="A72" s="6" t="s">
        <v>80</v>
      </c>
      <c r="B72" s="6">
        <v>10</v>
      </c>
      <c r="C72" s="8">
        <v>72</v>
      </c>
      <c r="D72" s="8">
        <v>1002934</v>
      </c>
      <c r="E72" s="8">
        <v>72</v>
      </c>
      <c r="F72" s="8">
        <v>1066680</v>
      </c>
      <c r="G72" s="8">
        <v>0</v>
      </c>
      <c r="H72" s="8">
        <v>0</v>
      </c>
      <c r="I72" s="8">
        <v>144</v>
      </c>
      <c r="J72" s="8">
        <v>2069614</v>
      </c>
    </row>
    <row r="73" spans="1:10" x14ac:dyDescent="0.2">
      <c r="A73" s="6" t="s">
        <v>81</v>
      </c>
      <c r="B73" s="6">
        <v>10</v>
      </c>
      <c r="C73" s="8">
        <v>1332</v>
      </c>
      <c r="D73" s="8">
        <v>20093256</v>
      </c>
      <c r="E73" s="8">
        <v>396</v>
      </c>
      <c r="F73" s="8">
        <v>6233436</v>
      </c>
      <c r="G73" s="8">
        <v>0</v>
      </c>
      <c r="H73" s="8">
        <v>0</v>
      </c>
      <c r="I73" s="8">
        <v>1728</v>
      </c>
      <c r="J73" s="8">
        <v>26326692</v>
      </c>
    </row>
    <row r="74" spans="1:10" x14ac:dyDescent="0.2">
      <c r="A74" s="6" t="s">
        <v>82</v>
      </c>
      <c r="B74" s="6">
        <v>10</v>
      </c>
      <c r="C74" s="8">
        <v>3600</v>
      </c>
      <c r="D74" s="8">
        <v>26072585</v>
      </c>
      <c r="E74" s="8">
        <v>1800</v>
      </c>
      <c r="F74" s="8">
        <v>13332600</v>
      </c>
      <c r="G74" s="8">
        <v>0</v>
      </c>
      <c r="H74" s="8">
        <v>0</v>
      </c>
      <c r="I74" s="8">
        <v>5400</v>
      </c>
      <c r="J74" s="8">
        <v>39405185</v>
      </c>
    </row>
    <row r="75" spans="1:10" x14ac:dyDescent="0.2">
      <c r="A75" s="6" t="s">
        <v>83</v>
      </c>
      <c r="B75" s="6">
        <v>10</v>
      </c>
      <c r="C75" s="8">
        <v>1566</v>
      </c>
      <c r="D75" s="8">
        <v>11519415</v>
      </c>
      <c r="E75" s="8">
        <v>1800</v>
      </c>
      <c r="F75" s="8">
        <v>14000400</v>
      </c>
      <c r="G75" s="8">
        <v>0</v>
      </c>
      <c r="H75" s="8">
        <v>0</v>
      </c>
      <c r="I75" s="8">
        <v>3366</v>
      </c>
      <c r="J75" s="8">
        <v>25519815</v>
      </c>
    </row>
    <row r="76" spans="1:10" x14ac:dyDescent="0.2">
      <c r="A76" s="6" t="s">
        <v>84</v>
      </c>
      <c r="B76" s="6">
        <v>10</v>
      </c>
      <c r="C76" s="8">
        <v>13812</v>
      </c>
      <c r="D76" s="8">
        <v>416615977</v>
      </c>
      <c r="E76" s="8">
        <v>6980</v>
      </c>
      <c r="F76" s="8">
        <v>215330040</v>
      </c>
      <c r="G76" s="8">
        <v>4176</v>
      </c>
      <c r="H76" s="8">
        <v>126924133</v>
      </c>
      <c r="I76" s="8">
        <v>16616</v>
      </c>
      <c r="J76" s="8">
        <v>505021884</v>
      </c>
    </row>
    <row r="77" spans="1:10" x14ac:dyDescent="0.2">
      <c r="A77" s="6" t="s">
        <v>85</v>
      </c>
      <c r="B77" s="6">
        <v>10</v>
      </c>
      <c r="C77" s="8">
        <v>16659</v>
      </c>
      <c r="D77" s="8">
        <v>149848761</v>
      </c>
      <c r="E77" s="8">
        <v>8788</v>
      </c>
      <c r="F77" s="8">
        <v>79997760</v>
      </c>
      <c r="G77" s="8">
        <v>4392</v>
      </c>
      <c r="H77" s="8">
        <v>39670135</v>
      </c>
      <c r="I77" s="8">
        <v>21055</v>
      </c>
      <c r="J77" s="8">
        <v>190176386</v>
      </c>
    </row>
    <row r="78" spans="1:10" x14ac:dyDescent="0.2">
      <c r="A78" s="6" t="s">
        <v>86</v>
      </c>
      <c r="B78" s="6">
        <v>10</v>
      </c>
      <c r="C78" s="8">
        <v>54084</v>
      </c>
      <c r="D78" s="8">
        <v>387730602</v>
      </c>
      <c r="E78" s="8">
        <v>28181</v>
      </c>
      <c r="F78" s="8">
        <v>202655520</v>
      </c>
      <c r="G78" s="8">
        <v>17496</v>
      </c>
      <c r="H78" s="8">
        <v>125562458</v>
      </c>
      <c r="I78" s="8">
        <v>64769</v>
      </c>
      <c r="J78" s="8">
        <v>464823664</v>
      </c>
    </row>
    <row r="79" spans="1:10" x14ac:dyDescent="0.2">
      <c r="A79" s="6" t="s">
        <v>87</v>
      </c>
      <c r="B79" s="6">
        <v>10</v>
      </c>
      <c r="C79" s="8">
        <v>1531</v>
      </c>
      <c r="D79" s="8">
        <v>27373611</v>
      </c>
      <c r="E79" s="8">
        <v>4346</v>
      </c>
      <c r="F79" s="8">
        <v>78001920</v>
      </c>
      <c r="G79" s="8">
        <v>4410</v>
      </c>
      <c r="H79" s="8">
        <v>79071991</v>
      </c>
      <c r="I79" s="8">
        <v>1467</v>
      </c>
      <c r="J79" s="8">
        <v>26303540</v>
      </c>
    </row>
    <row r="80" spans="1:10" x14ac:dyDescent="0.2">
      <c r="A80" s="6" t="s">
        <v>88</v>
      </c>
      <c r="B80" s="6">
        <v>10</v>
      </c>
      <c r="C80" s="8">
        <v>768</v>
      </c>
      <c r="D80" s="8">
        <v>16058112</v>
      </c>
      <c r="E80" s="8">
        <v>0</v>
      </c>
      <c r="F80" s="8">
        <v>0</v>
      </c>
      <c r="G80" s="8">
        <v>0</v>
      </c>
      <c r="H80" s="8">
        <v>0</v>
      </c>
      <c r="I80" s="8">
        <v>768</v>
      </c>
      <c r="J80" s="8">
        <v>16058112</v>
      </c>
    </row>
    <row r="81" spans="1:10" x14ac:dyDescent="0.2">
      <c r="A81" s="6" t="s">
        <v>89</v>
      </c>
      <c r="B81" s="6">
        <v>10</v>
      </c>
      <c r="C81" s="8">
        <v>420</v>
      </c>
      <c r="D81" s="8">
        <v>10198239</v>
      </c>
      <c r="E81" s="8">
        <v>360</v>
      </c>
      <c r="F81" s="8">
        <v>8833320</v>
      </c>
      <c r="G81" s="8">
        <v>504</v>
      </c>
      <c r="H81" s="8">
        <v>12297315</v>
      </c>
      <c r="I81" s="8">
        <v>276</v>
      </c>
      <c r="J81" s="8">
        <v>6734244</v>
      </c>
    </row>
    <row r="82" spans="1:10" x14ac:dyDescent="0.2">
      <c r="A82" s="6" t="s">
        <v>90</v>
      </c>
      <c r="B82" s="6">
        <v>10</v>
      </c>
      <c r="C82" s="8">
        <v>747</v>
      </c>
      <c r="D82" s="8">
        <v>39683793</v>
      </c>
      <c r="E82" s="8">
        <v>1920</v>
      </c>
      <c r="F82" s="8">
        <v>102222720</v>
      </c>
      <c r="G82" s="8">
        <v>1932</v>
      </c>
      <c r="H82" s="8">
        <v>102798420</v>
      </c>
      <c r="I82" s="8">
        <v>735</v>
      </c>
      <c r="J82" s="8">
        <v>39108093</v>
      </c>
    </row>
    <row r="83" spans="1:10" x14ac:dyDescent="0.2">
      <c r="A83" s="6" t="s">
        <v>91</v>
      </c>
      <c r="B83" s="6">
        <v>10</v>
      </c>
      <c r="C83" s="8">
        <v>4440</v>
      </c>
      <c r="D83" s="8">
        <v>39629895</v>
      </c>
      <c r="E83" s="8">
        <v>6645</v>
      </c>
      <c r="F83" s="8">
        <v>60665280</v>
      </c>
      <c r="G83" s="8">
        <v>6360</v>
      </c>
      <c r="H83" s="8">
        <v>57544187</v>
      </c>
      <c r="I83" s="8">
        <v>4725</v>
      </c>
      <c r="J83" s="8">
        <v>42750988</v>
      </c>
    </row>
    <row r="84" spans="1:10" x14ac:dyDescent="0.2">
      <c r="A84" s="6" t="s">
        <v>92</v>
      </c>
      <c r="B84" s="6">
        <v>10</v>
      </c>
      <c r="C84" s="8">
        <v>17600</v>
      </c>
      <c r="D84" s="8">
        <v>8583778</v>
      </c>
      <c r="E84" s="8">
        <v>23200</v>
      </c>
      <c r="F84" s="8">
        <v>11391200</v>
      </c>
      <c r="G84" s="8">
        <v>0</v>
      </c>
      <c r="H84" s="8">
        <v>0</v>
      </c>
      <c r="I84" s="8">
        <v>40800</v>
      </c>
      <c r="J84" s="8">
        <v>19974978</v>
      </c>
    </row>
    <row r="85" spans="1:10" x14ac:dyDescent="0.2">
      <c r="A85" s="6" t="s">
        <v>93</v>
      </c>
      <c r="B85" s="6">
        <v>10</v>
      </c>
      <c r="C85" s="8">
        <v>240</v>
      </c>
      <c r="D85" s="8">
        <v>12531880</v>
      </c>
      <c r="E85" s="8">
        <v>180</v>
      </c>
      <c r="F85" s="8">
        <v>9583380</v>
      </c>
      <c r="G85" s="8">
        <v>96</v>
      </c>
      <c r="H85" s="8">
        <v>5054917</v>
      </c>
      <c r="I85" s="8">
        <v>324</v>
      </c>
      <c r="J85" s="8">
        <v>17060343</v>
      </c>
    </row>
    <row r="86" spans="1:10" x14ac:dyDescent="0.2">
      <c r="A86" s="6" t="s">
        <v>94</v>
      </c>
      <c r="B86" s="6">
        <v>10</v>
      </c>
      <c r="C86" s="8">
        <v>240</v>
      </c>
      <c r="D86" s="8">
        <v>2223802</v>
      </c>
      <c r="E86" s="8">
        <v>72</v>
      </c>
      <c r="F86" s="8">
        <v>699984</v>
      </c>
      <c r="G86" s="8">
        <v>0</v>
      </c>
      <c r="H86" s="8">
        <v>0</v>
      </c>
      <c r="I86" s="8">
        <v>312</v>
      </c>
      <c r="J86" s="8">
        <v>2923786</v>
      </c>
    </row>
    <row r="87" spans="1:10" x14ac:dyDescent="0.2">
      <c r="A87" s="6" t="s">
        <v>95</v>
      </c>
      <c r="B87" s="6">
        <v>10</v>
      </c>
      <c r="C87" s="8">
        <v>1044</v>
      </c>
      <c r="D87" s="8">
        <v>8519071</v>
      </c>
      <c r="E87" s="8">
        <v>324</v>
      </c>
      <c r="F87" s="8">
        <v>2699892</v>
      </c>
      <c r="G87" s="8">
        <v>360</v>
      </c>
      <c r="H87" s="8">
        <v>2952359</v>
      </c>
      <c r="I87" s="8">
        <v>1008</v>
      </c>
      <c r="J87" s="8">
        <v>8266604</v>
      </c>
    </row>
    <row r="88" spans="1:10" x14ac:dyDescent="0.2">
      <c r="A88" s="6" t="s">
        <v>96</v>
      </c>
      <c r="B88" s="6">
        <v>10</v>
      </c>
      <c r="C88" s="8">
        <v>102</v>
      </c>
      <c r="D88" s="8">
        <v>11392781</v>
      </c>
      <c r="E88" s="8">
        <v>78</v>
      </c>
      <c r="F88" s="8">
        <v>9063912</v>
      </c>
      <c r="G88" s="8">
        <v>90</v>
      </c>
      <c r="H88" s="8">
        <v>10228347</v>
      </c>
      <c r="I88" s="8">
        <v>90</v>
      </c>
      <c r="J88" s="8">
        <v>10228346</v>
      </c>
    </row>
    <row r="89" spans="1:10" x14ac:dyDescent="0.2">
      <c r="A89" s="6" t="s">
        <v>97</v>
      </c>
      <c r="B89" s="6">
        <v>10</v>
      </c>
      <c r="C89" s="8">
        <v>26400</v>
      </c>
      <c r="D89" s="8">
        <v>12893634</v>
      </c>
      <c r="E89" s="8">
        <v>22400</v>
      </c>
      <c r="F89" s="8">
        <v>10998400</v>
      </c>
      <c r="G89" s="8">
        <v>4000</v>
      </c>
      <c r="H89" s="8">
        <v>1958363</v>
      </c>
      <c r="I89" s="8">
        <v>44800</v>
      </c>
      <c r="J89" s="8">
        <v>21933671</v>
      </c>
    </row>
    <row r="90" spans="1:10" x14ac:dyDescent="0.2">
      <c r="A90" s="6" t="s">
        <v>98</v>
      </c>
      <c r="B90" s="6">
        <v>10</v>
      </c>
      <c r="C90" s="8">
        <v>1440</v>
      </c>
      <c r="D90" s="8">
        <v>14400890</v>
      </c>
      <c r="E90" s="8">
        <v>720</v>
      </c>
      <c r="F90" s="8">
        <v>7600320</v>
      </c>
      <c r="G90" s="8">
        <v>0</v>
      </c>
      <c r="H90" s="8">
        <v>0</v>
      </c>
      <c r="I90" s="8">
        <v>2160</v>
      </c>
      <c r="J90" s="8">
        <v>22001210</v>
      </c>
    </row>
    <row r="91" spans="1:10" x14ac:dyDescent="0.2">
      <c r="A91" s="6" t="s">
        <v>99</v>
      </c>
      <c r="B91" s="6">
        <v>10</v>
      </c>
      <c r="C91" s="8">
        <v>0</v>
      </c>
      <c r="D91" s="8">
        <v>0</v>
      </c>
      <c r="E91" s="8">
        <v>48</v>
      </c>
      <c r="F91" s="8">
        <v>297792</v>
      </c>
      <c r="G91" s="8">
        <v>0</v>
      </c>
      <c r="H91" s="8">
        <v>0</v>
      </c>
      <c r="I91" s="8">
        <v>48</v>
      </c>
      <c r="J91" s="8">
        <v>297792</v>
      </c>
    </row>
    <row r="92" spans="1:10" x14ac:dyDescent="0.2">
      <c r="A92" s="6" t="s">
        <v>100</v>
      </c>
      <c r="B92" s="6">
        <v>10</v>
      </c>
      <c r="C92" s="8">
        <v>1659</v>
      </c>
      <c r="D92" s="8">
        <v>81300928</v>
      </c>
      <c r="E92" s="8">
        <v>2192</v>
      </c>
      <c r="F92" s="8">
        <v>108611640</v>
      </c>
      <c r="G92" s="8">
        <v>2148</v>
      </c>
      <c r="H92" s="8">
        <v>105928901</v>
      </c>
      <c r="I92" s="8">
        <v>1703</v>
      </c>
      <c r="J92" s="8">
        <v>83983667</v>
      </c>
    </row>
    <row r="93" spans="1:10" x14ac:dyDescent="0.2">
      <c r="A93" s="6" t="s">
        <v>101</v>
      </c>
      <c r="B93" s="6">
        <v>10</v>
      </c>
      <c r="C93" s="8">
        <v>21370</v>
      </c>
      <c r="D93" s="8">
        <v>133813731</v>
      </c>
      <c r="E93" s="8">
        <v>10596</v>
      </c>
      <c r="F93" s="8">
        <v>74898288</v>
      </c>
      <c r="G93" s="8">
        <v>11760</v>
      </c>
      <c r="H93" s="8">
        <v>76783249</v>
      </c>
      <c r="I93" s="8">
        <v>20206</v>
      </c>
      <c r="J93" s="8">
        <v>131928770</v>
      </c>
    </row>
    <row r="94" spans="1:10" x14ac:dyDescent="0.2">
      <c r="A94" s="6" t="s">
        <v>102</v>
      </c>
      <c r="B94" s="6">
        <v>10</v>
      </c>
      <c r="C94" s="8">
        <v>816</v>
      </c>
      <c r="D94" s="8">
        <v>19913786</v>
      </c>
      <c r="E94" s="8">
        <v>1200</v>
      </c>
      <c r="F94" s="8">
        <v>29444400</v>
      </c>
      <c r="G94" s="8">
        <v>1680</v>
      </c>
      <c r="H94" s="8">
        <v>41131823</v>
      </c>
      <c r="I94" s="8">
        <v>336</v>
      </c>
      <c r="J94" s="8">
        <v>8226363</v>
      </c>
    </row>
    <row r="95" spans="1:10" x14ac:dyDescent="0.2">
      <c r="A95" s="6" t="s">
        <v>103</v>
      </c>
      <c r="B95" s="6">
        <v>10</v>
      </c>
      <c r="C95" s="8">
        <v>3918</v>
      </c>
      <c r="D95" s="8">
        <v>42542559</v>
      </c>
      <c r="E95" s="8">
        <v>240</v>
      </c>
      <c r="F95" s="8">
        <v>3333360</v>
      </c>
      <c r="G95" s="8">
        <v>1464</v>
      </c>
      <c r="H95" s="8">
        <v>16152560</v>
      </c>
      <c r="I95" s="8">
        <v>2694</v>
      </c>
      <c r="J95" s="8">
        <v>29723359</v>
      </c>
    </row>
    <row r="96" spans="1:10" x14ac:dyDescent="0.2">
      <c r="A96" s="6" t="s">
        <v>104</v>
      </c>
      <c r="B96" s="6">
        <v>10</v>
      </c>
      <c r="C96" s="8">
        <v>72</v>
      </c>
      <c r="D96" s="8">
        <v>1324248</v>
      </c>
      <c r="E96" s="8">
        <v>48</v>
      </c>
      <c r="F96" s="8">
        <v>933312</v>
      </c>
      <c r="G96" s="8">
        <v>0</v>
      </c>
      <c r="H96" s="8">
        <v>0</v>
      </c>
      <c r="I96" s="8">
        <v>120</v>
      </c>
      <c r="J96" s="8">
        <v>2257560</v>
      </c>
    </row>
    <row r="97" spans="1:10" x14ac:dyDescent="0.2">
      <c r="A97" s="6" t="s">
        <v>105</v>
      </c>
      <c r="B97" s="6">
        <v>10</v>
      </c>
      <c r="C97" s="8">
        <v>168</v>
      </c>
      <c r="D97" s="8">
        <v>8535972</v>
      </c>
      <c r="E97" s="8">
        <v>54</v>
      </c>
      <c r="F97" s="8">
        <v>2875014</v>
      </c>
      <c r="G97" s="8">
        <v>0</v>
      </c>
      <c r="H97" s="8">
        <v>0</v>
      </c>
      <c r="I97" s="8">
        <v>222</v>
      </c>
      <c r="J97" s="8">
        <v>11410986</v>
      </c>
    </row>
    <row r="98" spans="1:10" x14ac:dyDescent="0.2">
      <c r="A98" s="6" t="s">
        <v>106</v>
      </c>
      <c r="B98" s="6">
        <v>10</v>
      </c>
      <c r="C98" s="8">
        <v>912</v>
      </c>
      <c r="D98" s="8">
        <v>8459584</v>
      </c>
      <c r="E98" s="8">
        <v>312</v>
      </c>
      <c r="F98" s="8">
        <v>3033264</v>
      </c>
      <c r="G98" s="8">
        <v>0</v>
      </c>
      <c r="H98" s="8">
        <v>0</v>
      </c>
      <c r="I98" s="8">
        <v>1224</v>
      </c>
      <c r="J98" s="8">
        <v>11492848</v>
      </c>
    </row>
    <row r="99" spans="1:10" x14ac:dyDescent="0.2">
      <c r="A99" s="6" t="s">
        <v>107</v>
      </c>
      <c r="B99" s="6">
        <v>10</v>
      </c>
      <c r="C99" s="8">
        <v>776</v>
      </c>
      <c r="D99" s="8">
        <v>1341900</v>
      </c>
      <c r="E99" s="8">
        <v>270</v>
      </c>
      <c r="F99" s="8">
        <v>1450080</v>
      </c>
      <c r="G99" s="8">
        <v>0</v>
      </c>
      <c r="H99" s="8">
        <v>0</v>
      </c>
      <c r="I99" s="8">
        <v>1046</v>
      </c>
      <c r="J99" s="8">
        <v>2791980</v>
      </c>
    </row>
    <row r="100" spans="1:10" x14ac:dyDescent="0.2">
      <c r="A100" s="6" t="s">
        <v>108</v>
      </c>
      <c r="B100" s="6">
        <v>10</v>
      </c>
      <c r="C100" s="8">
        <v>35316</v>
      </c>
      <c r="D100" s="8">
        <v>250948972</v>
      </c>
      <c r="E100" s="8">
        <v>10080</v>
      </c>
      <c r="F100" s="8">
        <v>74662560</v>
      </c>
      <c r="G100" s="8">
        <v>1692</v>
      </c>
      <c r="H100" s="8">
        <v>12136195</v>
      </c>
      <c r="I100" s="8">
        <v>43704</v>
      </c>
      <c r="J100" s="8">
        <v>313475337</v>
      </c>
    </row>
    <row r="101" spans="1:10" x14ac:dyDescent="0.2">
      <c r="A101" s="6" t="s">
        <v>109</v>
      </c>
      <c r="B101" s="6">
        <v>10</v>
      </c>
      <c r="C101" s="8">
        <v>0</v>
      </c>
      <c r="D101" s="8">
        <v>0</v>
      </c>
      <c r="E101" s="8">
        <v>30</v>
      </c>
      <c r="F101" s="8">
        <v>1458330</v>
      </c>
      <c r="G101" s="8">
        <v>0</v>
      </c>
      <c r="H101" s="8">
        <v>0</v>
      </c>
      <c r="I101" s="8">
        <v>30</v>
      </c>
      <c r="J101" s="8">
        <v>1458330</v>
      </c>
    </row>
    <row r="102" spans="1:10" x14ac:dyDescent="0.2">
      <c r="A102" s="6" t="s">
        <v>110</v>
      </c>
      <c r="B102" s="6">
        <v>10</v>
      </c>
      <c r="C102" s="8">
        <v>2400</v>
      </c>
      <c r="D102" s="8">
        <v>42199062</v>
      </c>
      <c r="E102" s="8">
        <v>324</v>
      </c>
      <c r="F102" s="8">
        <v>5850144</v>
      </c>
      <c r="G102" s="8">
        <v>1920</v>
      </c>
      <c r="H102" s="8">
        <v>33867282</v>
      </c>
      <c r="I102" s="8">
        <v>804</v>
      </c>
      <c r="J102" s="8">
        <v>14181924</v>
      </c>
    </row>
    <row r="103" spans="1:10" x14ac:dyDescent="0.2">
      <c r="A103" s="6" t="s">
        <v>111</v>
      </c>
      <c r="B103" s="6">
        <v>10</v>
      </c>
      <c r="C103" s="8">
        <v>1214</v>
      </c>
      <c r="D103" s="8">
        <v>9879922</v>
      </c>
      <c r="E103" s="8">
        <v>6240</v>
      </c>
      <c r="F103" s="8">
        <v>50843520</v>
      </c>
      <c r="G103" s="8">
        <v>6360</v>
      </c>
      <c r="H103" s="8">
        <v>51811255</v>
      </c>
      <c r="I103" s="8">
        <v>1094</v>
      </c>
      <c r="J103" s="8">
        <v>8912187</v>
      </c>
    </row>
    <row r="104" spans="1:10" x14ac:dyDescent="0.2">
      <c r="A104" s="6" t="s">
        <v>112</v>
      </c>
      <c r="B104" s="6">
        <v>10</v>
      </c>
      <c r="C104" s="8">
        <v>1900</v>
      </c>
      <c r="D104" s="8">
        <v>15427960</v>
      </c>
      <c r="E104" s="8">
        <v>1080</v>
      </c>
      <c r="F104" s="8">
        <v>8799840</v>
      </c>
      <c r="G104" s="8">
        <v>2160</v>
      </c>
      <c r="H104" s="8">
        <v>17561090</v>
      </c>
      <c r="I104" s="8">
        <v>820</v>
      </c>
      <c r="J104" s="8">
        <v>6666710</v>
      </c>
    </row>
    <row r="105" spans="1:10" x14ac:dyDescent="0.2">
      <c r="A105" s="6" t="s">
        <v>113</v>
      </c>
      <c r="B105" s="6">
        <v>10</v>
      </c>
      <c r="C105" s="8">
        <v>120</v>
      </c>
      <c r="D105" s="8">
        <v>1935400</v>
      </c>
      <c r="E105" s="8">
        <v>72</v>
      </c>
      <c r="F105" s="8">
        <v>1200024</v>
      </c>
      <c r="G105" s="8">
        <v>0</v>
      </c>
      <c r="H105" s="8">
        <v>0</v>
      </c>
      <c r="I105" s="8">
        <v>192</v>
      </c>
      <c r="J105" s="8">
        <v>3135424</v>
      </c>
    </row>
    <row r="106" spans="1:10" x14ac:dyDescent="0.2">
      <c r="A106" s="6" t="s">
        <v>114</v>
      </c>
      <c r="B106" s="6">
        <v>10</v>
      </c>
      <c r="C106" s="8">
        <v>96</v>
      </c>
      <c r="D106" s="8">
        <v>1783597</v>
      </c>
      <c r="E106" s="8">
        <v>48</v>
      </c>
      <c r="F106" s="8">
        <v>933312</v>
      </c>
      <c r="G106" s="8">
        <v>0</v>
      </c>
      <c r="H106" s="8">
        <v>0</v>
      </c>
      <c r="I106" s="8">
        <v>144</v>
      </c>
      <c r="J106" s="8">
        <v>2716909</v>
      </c>
    </row>
    <row r="107" spans="1:10" x14ac:dyDescent="0.2">
      <c r="A107" s="6" t="s">
        <v>115</v>
      </c>
      <c r="B107" s="6">
        <v>10</v>
      </c>
      <c r="C107" s="8">
        <v>0</v>
      </c>
      <c r="D107" s="8">
        <v>0</v>
      </c>
      <c r="E107" s="8">
        <v>2525</v>
      </c>
      <c r="F107" s="8">
        <v>16332120</v>
      </c>
      <c r="G107" s="8">
        <v>0</v>
      </c>
      <c r="H107" s="8">
        <v>0</v>
      </c>
      <c r="I107" s="8">
        <v>2525</v>
      </c>
      <c r="J107" s="8">
        <v>16332120</v>
      </c>
    </row>
    <row r="108" spans="1:10" x14ac:dyDescent="0.2">
      <c r="A108" s="6" t="s">
        <v>116</v>
      </c>
      <c r="B108" s="6">
        <v>10</v>
      </c>
      <c r="C108" s="8">
        <v>3533</v>
      </c>
      <c r="D108" s="8">
        <v>71865360</v>
      </c>
      <c r="E108" s="8">
        <v>360</v>
      </c>
      <c r="F108" s="8">
        <v>7333200</v>
      </c>
      <c r="G108" s="8">
        <v>0</v>
      </c>
      <c r="H108" s="8">
        <v>0</v>
      </c>
      <c r="I108" s="8">
        <v>3893</v>
      </c>
      <c r="J108" s="8">
        <v>79198560</v>
      </c>
    </row>
    <row r="109" spans="1:10" x14ac:dyDescent="0.2">
      <c r="A109" s="6" t="s">
        <v>117</v>
      </c>
      <c r="B109" s="6">
        <v>10</v>
      </c>
      <c r="C109" s="8">
        <v>264</v>
      </c>
      <c r="D109" s="8">
        <v>4575026</v>
      </c>
      <c r="E109" s="8">
        <v>48</v>
      </c>
      <c r="F109" s="8">
        <v>844464</v>
      </c>
      <c r="G109" s="8">
        <v>0</v>
      </c>
      <c r="H109" s="8">
        <v>0</v>
      </c>
      <c r="I109" s="8">
        <v>312</v>
      </c>
      <c r="J109" s="8">
        <v>5419490</v>
      </c>
    </row>
    <row r="110" spans="1:10" x14ac:dyDescent="0.2">
      <c r="A110" s="6" t="s">
        <v>118</v>
      </c>
      <c r="B110" s="6">
        <v>10</v>
      </c>
      <c r="C110" s="8">
        <v>384</v>
      </c>
      <c r="D110" s="8">
        <v>15541166</v>
      </c>
      <c r="E110" s="8">
        <v>324</v>
      </c>
      <c r="F110" s="8">
        <v>13500108</v>
      </c>
      <c r="G110" s="8">
        <v>120</v>
      </c>
      <c r="H110" s="8">
        <v>4922250</v>
      </c>
      <c r="I110" s="8">
        <v>588</v>
      </c>
      <c r="J110" s="8">
        <v>24119024</v>
      </c>
    </row>
    <row r="111" spans="1:10" x14ac:dyDescent="0.2">
      <c r="A111" s="6" t="s">
        <v>119</v>
      </c>
      <c r="B111" s="6">
        <v>10</v>
      </c>
      <c r="C111" s="8">
        <v>200</v>
      </c>
      <c r="D111" s="8">
        <v>4587500</v>
      </c>
      <c r="E111" s="8">
        <v>80</v>
      </c>
      <c r="F111" s="8">
        <v>1851840</v>
      </c>
      <c r="G111" s="8">
        <v>40</v>
      </c>
      <c r="H111" s="8">
        <v>919906</v>
      </c>
      <c r="I111" s="8">
        <v>240</v>
      </c>
      <c r="J111" s="8">
        <v>5519434</v>
      </c>
    </row>
    <row r="112" spans="1:10" x14ac:dyDescent="0.2">
      <c r="A112" s="6" t="s">
        <v>120</v>
      </c>
      <c r="B112" s="6">
        <v>10</v>
      </c>
      <c r="C112" s="8">
        <v>40</v>
      </c>
      <c r="D112" s="8">
        <v>876760</v>
      </c>
      <c r="E112" s="8">
        <v>40</v>
      </c>
      <c r="F112" s="8">
        <v>888880</v>
      </c>
      <c r="G112" s="8">
        <v>0</v>
      </c>
      <c r="H112" s="8">
        <v>0</v>
      </c>
      <c r="I112" s="8">
        <v>80</v>
      </c>
      <c r="J112" s="8">
        <v>1765640</v>
      </c>
    </row>
    <row r="113" spans="1:10" x14ac:dyDescent="0.2">
      <c r="A113" s="6" t="s">
        <v>121</v>
      </c>
      <c r="B113" s="6">
        <v>10</v>
      </c>
      <c r="C113" s="8">
        <v>4732</v>
      </c>
      <c r="D113" s="8">
        <v>55291573</v>
      </c>
      <c r="E113" s="8">
        <v>2552</v>
      </c>
      <c r="F113" s="8">
        <v>30333240</v>
      </c>
      <c r="G113" s="8">
        <v>6672</v>
      </c>
      <c r="H113" s="8">
        <v>78430636</v>
      </c>
      <c r="I113" s="8">
        <v>612</v>
      </c>
      <c r="J113" s="8">
        <v>7194177</v>
      </c>
    </row>
    <row r="114" spans="1:10" x14ac:dyDescent="0.2">
      <c r="A114" s="6" t="s">
        <v>122</v>
      </c>
      <c r="B114" s="6">
        <v>10</v>
      </c>
      <c r="C114" s="8">
        <v>0</v>
      </c>
      <c r="D114" s="8">
        <v>0</v>
      </c>
      <c r="E114" s="8">
        <v>2525</v>
      </c>
      <c r="F114" s="8">
        <v>21934080</v>
      </c>
      <c r="G114" s="8">
        <v>0</v>
      </c>
      <c r="H114" s="8">
        <v>0</v>
      </c>
      <c r="I114" s="8">
        <v>2525</v>
      </c>
      <c r="J114" s="8">
        <v>21934080</v>
      </c>
    </row>
    <row r="115" spans="1:10" x14ac:dyDescent="0.2">
      <c r="A115" s="6" t="s">
        <v>123</v>
      </c>
      <c r="B115" s="6">
        <v>10</v>
      </c>
      <c r="C115" s="8">
        <v>216</v>
      </c>
      <c r="D115" s="8">
        <v>3755160</v>
      </c>
      <c r="E115" s="8">
        <v>0</v>
      </c>
      <c r="F115" s="8">
        <v>0</v>
      </c>
      <c r="G115" s="8">
        <v>0</v>
      </c>
      <c r="H115" s="8">
        <v>0</v>
      </c>
      <c r="I115" s="8">
        <v>216</v>
      </c>
      <c r="J115" s="8">
        <v>3755160</v>
      </c>
    </row>
    <row r="116" spans="1:10" x14ac:dyDescent="0.2">
      <c r="A116" s="6" t="s">
        <v>124</v>
      </c>
      <c r="B116" s="6">
        <v>10</v>
      </c>
      <c r="C116" s="8">
        <v>72</v>
      </c>
      <c r="D116" s="8">
        <v>1333368</v>
      </c>
      <c r="E116" s="8">
        <v>0</v>
      </c>
      <c r="F116" s="8">
        <v>0</v>
      </c>
      <c r="G116" s="8">
        <v>0</v>
      </c>
      <c r="H116" s="8">
        <v>0</v>
      </c>
      <c r="I116" s="8">
        <v>72</v>
      </c>
      <c r="J116" s="8">
        <v>1333368</v>
      </c>
    </row>
    <row r="117" spans="1:10" x14ac:dyDescent="0.2">
      <c r="A117" s="6" t="s">
        <v>125</v>
      </c>
      <c r="B117" s="6">
        <v>10</v>
      </c>
      <c r="C117" s="8">
        <v>680</v>
      </c>
      <c r="D117" s="8">
        <v>30028000</v>
      </c>
      <c r="E117" s="8">
        <v>444</v>
      </c>
      <c r="F117" s="8">
        <v>19938708</v>
      </c>
      <c r="G117" s="8">
        <v>280</v>
      </c>
      <c r="H117" s="8">
        <v>12447223</v>
      </c>
      <c r="I117" s="8">
        <v>844</v>
      </c>
      <c r="J117" s="8">
        <v>37519485</v>
      </c>
    </row>
    <row r="118" spans="1:10" x14ac:dyDescent="0.2">
      <c r="A118" s="6" t="s">
        <v>126</v>
      </c>
      <c r="B118" s="6">
        <v>10</v>
      </c>
      <c r="C118" s="8">
        <v>25066</v>
      </c>
      <c r="D118" s="8">
        <v>129952769</v>
      </c>
      <c r="E118" s="8">
        <v>25447</v>
      </c>
      <c r="F118" s="8">
        <v>132992400</v>
      </c>
      <c r="G118" s="8">
        <v>22000</v>
      </c>
      <c r="H118" s="8">
        <v>114520890</v>
      </c>
      <c r="I118" s="8">
        <v>28513</v>
      </c>
      <c r="J118" s="8">
        <v>148424279</v>
      </c>
    </row>
    <row r="119" spans="1:10" x14ac:dyDescent="0.2">
      <c r="A119" s="6" t="s">
        <v>127</v>
      </c>
      <c r="B119" s="6">
        <v>10</v>
      </c>
      <c r="C119" s="8">
        <v>12623</v>
      </c>
      <c r="D119" s="8">
        <v>69735738</v>
      </c>
      <c r="E119" s="8">
        <v>2220</v>
      </c>
      <c r="F119" s="8">
        <v>12599280</v>
      </c>
      <c r="G119" s="8">
        <v>8120</v>
      </c>
      <c r="H119" s="8">
        <v>45042131</v>
      </c>
      <c r="I119" s="8">
        <v>6723</v>
      </c>
      <c r="J119" s="8">
        <v>37292887</v>
      </c>
    </row>
    <row r="120" spans="1:10" x14ac:dyDescent="0.2">
      <c r="A120" s="6" t="s">
        <v>128</v>
      </c>
      <c r="B120" s="6">
        <v>10</v>
      </c>
      <c r="C120" s="8">
        <v>494</v>
      </c>
      <c r="D120" s="8">
        <v>7460408</v>
      </c>
      <c r="E120" s="8">
        <v>200</v>
      </c>
      <c r="F120" s="8">
        <v>3055600</v>
      </c>
      <c r="G120" s="8">
        <v>600</v>
      </c>
      <c r="H120" s="8">
        <v>9091650</v>
      </c>
      <c r="I120" s="8">
        <v>94</v>
      </c>
      <c r="J120" s="8">
        <v>1424358</v>
      </c>
    </row>
    <row r="121" spans="1:10" x14ac:dyDescent="0.2">
      <c r="A121" s="6" t="s">
        <v>129</v>
      </c>
      <c r="B121" s="6">
        <v>10</v>
      </c>
      <c r="C121" s="8">
        <v>20</v>
      </c>
      <c r="D121" s="8">
        <v>685180</v>
      </c>
      <c r="E121" s="8">
        <v>0</v>
      </c>
      <c r="F121" s="8">
        <v>0</v>
      </c>
      <c r="G121" s="8">
        <v>0</v>
      </c>
      <c r="H121" s="8">
        <v>0</v>
      </c>
      <c r="I121" s="8">
        <v>20</v>
      </c>
      <c r="J121" s="8">
        <v>685180</v>
      </c>
    </row>
    <row r="122" spans="1:10" x14ac:dyDescent="0.2">
      <c r="A122" s="6" t="s">
        <v>130</v>
      </c>
      <c r="B122" s="6">
        <v>10</v>
      </c>
      <c r="C122" s="8">
        <v>80</v>
      </c>
      <c r="D122" s="8">
        <v>3803341</v>
      </c>
      <c r="E122" s="8">
        <v>16</v>
      </c>
      <c r="F122" s="8">
        <v>762960</v>
      </c>
      <c r="G122" s="8">
        <v>40</v>
      </c>
      <c r="H122" s="8">
        <v>1902625</v>
      </c>
      <c r="I122" s="8">
        <v>56</v>
      </c>
      <c r="J122" s="8">
        <v>2663676</v>
      </c>
    </row>
    <row r="123" spans="1:10" x14ac:dyDescent="0.2">
      <c r="A123" s="6" t="s">
        <v>131</v>
      </c>
      <c r="B123" s="6">
        <v>10</v>
      </c>
      <c r="C123" s="8">
        <v>48</v>
      </c>
      <c r="D123" s="8">
        <v>2388402</v>
      </c>
      <c r="E123" s="8">
        <v>22</v>
      </c>
      <c r="F123" s="8">
        <v>1100000</v>
      </c>
      <c r="G123" s="8">
        <v>0</v>
      </c>
      <c r="H123" s="8">
        <v>0</v>
      </c>
      <c r="I123" s="8">
        <v>70</v>
      </c>
      <c r="J123" s="8">
        <v>3488402</v>
      </c>
    </row>
    <row r="124" spans="1:10" x14ac:dyDescent="0.2">
      <c r="A124" s="6" t="s">
        <v>132</v>
      </c>
      <c r="B124" s="6">
        <v>10</v>
      </c>
      <c r="C124" s="8">
        <v>0</v>
      </c>
      <c r="D124" s="8">
        <v>0</v>
      </c>
      <c r="E124" s="8">
        <v>320</v>
      </c>
      <c r="F124" s="8">
        <v>14222080</v>
      </c>
      <c r="G124" s="8">
        <v>300</v>
      </c>
      <c r="H124" s="8">
        <v>13332187</v>
      </c>
      <c r="I124" s="8">
        <v>20</v>
      </c>
      <c r="J124" s="8">
        <v>889893</v>
      </c>
    </row>
    <row r="125" spans="1:10" x14ac:dyDescent="0.2">
      <c r="A125" s="6" t="s">
        <v>133</v>
      </c>
      <c r="B125" s="6">
        <v>10</v>
      </c>
      <c r="C125" s="8">
        <v>72</v>
      </c>
      <c r="D125" s="8">
        <v>2721651</v>
      </c>
      <c r="E125" s="8">
        <v>41</v>
      </c>
      <c r="F125" s="8">
        <v>1556483</v>
      </c>
      <c r="G125" s="8">
        <v>40</v>
      </c>
      <c r="H125" s="8">
        <v>1514384</v>
      </c>
      <c r="I125" s="8">
        <v>73</v>
      </c>
      <c r="J125" s="8">
        <v>2763750</v>
      </c>
    </row>
    <row r="126" spans="1:10" x14ac:dyDescent="0.2">
      <c r="A126" s="6" t="s">
        <v>134</v>
      </c>
      <c r="B126" s="6">
        <v>10</v>
      </c>
      <c r="C126" s="8">
        <v>15</v>
      </c>
      <c r="D126" s="8">
        <v>431794</v>
      </c>
      <c r="E126" s="8">
        <v>0</v>
      </c>
      <c r="F126" s="8">
        <v>0</v>
      </c>
      <c r="G126" s="8">
        <v>0</v>
      </c>
      <c r="H126" s="8">
        <v>0</v>
      </c>
      <c r="I126" s="8">
        <v>15</v>
      </c>
      <c r="J126" s="8">
        <v>431794</v>
      </c>
    </row>
    <row r="127" spans="1:10" x14ac:dyDescent="0.2">
      <c r="A127" s="6" t="s">
        <v>135</v>
      </c>
      <c r="B127" s="6">
        <v>10</v>
      </c>
      <c r="C127" s="8">
        <v>250</v>
      </c>
      <c r="D127" s="8">
        <v>45927895</v>
      </c>
      <c r="E127" s="8">
        <v>150</v>
      </c>
      <c r="F127" s="8">
        <v>27557700</v>
      </c>
      <c r="G127" s="8">
        <v>295</v>
      </c>
      <c r="H127" s="8">
        <v>54195626</v>
      </c>
      <c r="I127" s="8">
        <v>105</v>
      </c>
      <c r="J127" s="8">
        <v>19289969</v>
      </c>
    </row>
    <row r="128" spans="1:10" x14ac:dyDescent="0.2">
      <c r="A128" s="6" t="s">
        <v>136</v>
      </c>
      <c r="B128" s="6">
        <v>10</v>
      </c>
      <c r="C128" s="8">
        <v>3369</v>
      </c>
      <c r="D128" s="8">
        <v>50407076</v>
      </c>
      <c r="E128" s="8">
        <v>2408</v>
      </c>
      <c r="F128" s="8">
        <v>35933856</v>
      </c>
      <c r="G128" s="8">
        <v>3360</v>
      </c>
      <c r="H128" s="8">
        <v>50217333</v>
      </c>
      <c r="I128" s="8">
        <v>2417</v>
      </c>
      <c r="J128" s="8">
        <v>36123599</v>
      </c>
    </row>
    <row r="129" spans="1:10" x14ac:dyDescent="0.2">
      <c r="A129" s="6" t="s">
        <v>137</v>
      </c>
      <c r="B129" s="6">
        <v>10</v>
      </c>
      <c r="C129" s="8">
        <v>0</v>
      </c>
      <c r="D129" s="8">
        <v>0</v>
      </c>
      <c r="E129" s="8">
        <v>144</v>
      </c>
      <c r="F129" s="8">
        <v>22621104</v>
      </c>
      <c r="G129" s="8">
        <v>0</v>
      </c>
      <c r="H129" s="8">
        <v>0</v>
      </c>
      <c r="I129" s="8">
        <v>144</v>
      </c>
      <c r="J129" s="8">
        <v>22621104</v>
      </c>
    </row>
    <row r="130" spans="1:10" x14ac:dyDescent="0.2">
      <c r="A130" s="6" t="s">
        <v>138</v>
      </c>
      <c r="B130" s="6">
        <v>10</v>
      </c>
      <c r="C130" s="8">
        <v>0</v>
      </c>
      <c r="D130" s="8">
        <v>0</v>
      </c>
      <c r="E130" s="8">
        <v>144</v>
      </c>
      <c r="F130" s="8">
        <v>22621104</v>
      </c>
      <c r="G130" s="8">
        <v>0</v>
      </c>
      <c r="H130" s="8">
        <v>0</v>
      </c>
      <c r="I130" s="8">
        <v>144</v>
      </c>
      <c r="J130" s="8">
        <v>22621104</v>
      </c>
    </row>
    <row r="131" spans="1:10" x14ac:dyDescent="0.2">
      <c r="A131" s="6" t="s">
        <v>139</v>
      </c>
      <c r="B131" s="6">
        <v>10</v>
      </c>
      <c r="C131" s="8">
        <v>188</v>
      </c>
      <c r="D131" s="8">
        <v>34137846</v>
      </c>
      <c r="E131" s="8">
        <v>0</v>
      </c>
      <c r="F131" s="8">
        <v>0</v>
      </c>
      <c r="G131" s="8">
        <v>0</v>
      </c>
      <c r="H131" s="8">
        <v>0</v>
      </c>
      <c r="I131" s="8">
        <v>188</v>
      </c>
      <c r="J131" s="8">
        <v>34137846</v>
      </c>
    </row>
    <row r="132" spans="1:10" x14ac:dyDescent="0.2">
      <c r="A132" s="6" t="s">
        <v>140</v>
      </c>
      <c r="B132" s="6">
        <v>10</v>
      </c>
      <c r="C132" s="8">
        <v>1939</v>
      </c>
      <c r="D132" s="8">
        <v>357399492</v>
      </c>
      <c r="E132" s="8">
        <v>1600</v>
      </c>
      <c r="F132" s="8">
        <v>297487200</v>
      </c>
      <c r="G132" s="8">
        <v>1762</v>
      </c>
      <c r="H132" s="8">
        <v>326055482</v>
      </c>
      <c r="I132" s="8">
        <v>1777</v>
      </c>
      <c r="J132" s="8">
        <v>328831210</v>
      </c>
    </row>
    <row r="133" spans="1:10" x14ac:dyDescent="0.2">
      <c r="A133" s="6" t="s">
        <v>141</v>
      </c>
      <c r="B133" s="6">
        <v>10</v>
      </c>
      <c r="C133" s="8">
        <v>2269</v>
      </c>
      <c r="D133" s="8">
        <v>341041762</v>
      </c>
      <c r="E133" s="8">
        <v>2435</v>
      </c>
      <c r="F133" s="8">
        <v>334576000</v>
      </c>
      <c r="G133" s="8">
        <v>1941</v>
      </c>
      <c r="H133" s="8">
        <v>278778503</v>
      </c>
      <c r="I133" s="8">
        <v>2763</v>
      </c>
      <c r="J133" s="8">
        <v>396839259</v>
      </c>
    </row>
    <row r="134" spans="1:10" x14ac:dyDescent="0.2">
      <c r="A134" s="6" t="s">
        <v>142</v>
      </c>
      <c r="B134" s="6">
        <v>10</v>
      </c>
      <c r="C134" s="8">
        <v>1150</v>
      </c>
      <c r="D134" s="8">
        <v>211217050</v>
      </c>
      <c r="E134" s="8">
        <v>0</v>
      </c>
      <c r="F134" s="8">
        <v>0</v>
      </c>
      <c r="G134" s="8">
        <v>0</v>
      </c>
      <c r="H134" s="8">
        <v>0</v>
      </c>
      <c r="I134" s="8">
        <v>1150</v>
      </c>
      <c r="J134" s="8">
        <v>211217050</v>
      </c>
    </row>
    <row r="135" spans="1:10" x14ac:dyDescent="0.2">
      <c r="A135" s="6" t="s">
        <v>143</v>
      </c>
      <c r="B135" s="6">
        <v>10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</row>
    <row r="136" spans="1:10" x14ac:dyDescent="0.2">
      <c r="A136" s="6" t="s">
        <v>144</v>
      </c>
      <c r="B136" s="6">
        <v>10</v>
      </c>
      <c r="C136" s="8">
        <v>2393</v>
      </c>
      <c r="D136" s="8">
        <v>436339477</v>
      </c>
      <c r="E136" s="8">
        <v>300</v>
      </c>
      <c r="F136" s="8">
        <v>55296000</v>
      </c>
      <c r="G136" s="8">
        <v>1795</v>
      </c>
      <c r="H136" s="8">
        <v>327696131</v>
      </c>
      <c r="I136" s="8">
        <v>898</v>
      </c>
      <c r="J136" s="8">
        <v>163939346</v>
      </c>
    </row>
    <row r="137" spans="1:10" x14ac:dyDescent="0.2">
      <c r="A137" s="6" t="s">
        <v>145</v>
      </c>
      <c r="B137" s="6">
        <v>10</v>
      </c>
      <c r="C137" s="8">
        <v>363</v>
      </c>
      <c r="D137" s="8">
        <v>64879823</v>
      </c>
      <c r="E137" s="8">
        <v>0</v>
      </c>
      <c r="F137" s="8">
        <v>0</v>
      </c>
      <c r="G137" s="8">
        <v>0</v>
      </c>
      <c r="H137" s="8">
        <v>0</v>
      </c>
      <c r="I137" s="8">
        <v>363</v>
      </c>
      <c r="J137" s="8">
        <v>64879823</v>
      </c>
    </row>
    <row r="138" spans="1:10" x14ac:dyDescent="0.2">
      <c r="A138" s="6" t="s">
        <v>146</v>
      </c>
      <c r="B138" s="6">
        <v>10</v>
      </c>
      <c r="C138" s="8">
        <v>0</v>
      </c>
      <c r="D138" s="8">
        <v>0</v>
      </c>
      <c r="E138" s="8">
        <v>1531</v>
      </c>
      <c r="F138" s="8">
        <v>289978100</v>
      </c>
      <c r="G138" s="8">
        <v>1531</v>
      </c>
      <c r="H138" s="8">
        <v>289978100</v>
      </c>
      <c r="I138" s="8">
        <v>0</v>
      </c>
      <c r="J138" s="8">
        <v>0</v>
      </c>
    </row>
    <row r="139" spans="1:10" x14ac:dyDescent="0.2">
      <c r="A139" s="6" t="s">
        <v>147</v>
      </c>
      <c r="B139" s="6">
        <v>10</v>
      </c>
      <c r="C139" s="8">
        <v>888</v>
      </c>
      <c r="D139" s="8">
        <v>62503261</v>
      </c>
      <c r="E139" s="8">
        <v>130</v>
      </c>
      <c r="F139" s="8">
        <v>13876350</v>
      </c>
      <c r="G139" s="8">
        <v>0</v>
      </c>
      <c r="H139" s="8">
        <v>0</v>
      </c>
      <c r="I139" s="8">
        <v>1018</v>
      </c>
      <c r="J139" s="8">
        <v>76379611</v>
      </c>
    </row>
    <row r="140" spans="1:10" x14ac:dyDescent="0.2">
      <c r="A140" s="6" t="s">
        <v>148</v>
      </c>
      <c r="B140" s="6">
        <v>10</v>
      </c>
      <c r="C140" s="8">
        <v>0</v>
      </c>
      <c r="D140" s="8">
        <v>0</v>
      </c>
      <c r="E140" s="8">
        <v>40</v>
      </c>
      <c r="F140" s="8">
        <v>4558036</v>
      </c>
      <c r="G140" s="8">
        <v>40</v>
      </c>
      <c r="H140" s="8">
        <v>4558036</v>
      </c>
      <c r="I140" s="8">
        <v>0</v>
      </c>
      <c r="J140" s="8">
        <v>0</v>
      </c>
    </row>
    <row r="141" spans="1:10" x14ac:dyDescent="0.2">
      <c r="A141" s="6" t="s">
        <v>149</v>
      </c>
      <c r="B141" s="6">
        <v>10</v>
      </c>
      <c r="C141" s="8">
        <v>1781</v>
      </c>
      <c r="D141" s="8">
        <v>337987322</v>
      </c>
      <c r="E141" s="8">
        <v>690</v>
      </c>
      <c r="F141" s="8">
        <v>131660350</v>
      </c>
      <c r="G141" s="8">
        <v>1340</v>
      </c>
      <c r="H141" s="8">
        <v>254685504</v>
      </c>
      <c r="I141" s="8">
        <v>1131</v>
      </c>
      <c r="J141" s="8">
        <v>214962168</v>
      </c>
    </row>
    <row r="142" spans="1:10" x14ac:dyDescent="0.2">
      <c r="A142" s="6" t="s">
        <v>150</v>
      </c>
      <c r="B142" s="6">
        <v>10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</row>
    <row r="143" spans="1:10" x14ac:dyDescent="0.2">
      <c r="A143" s="6" t="s">
        <v>151</v>
      </c>
      <c r="B143" s="6">
        <v>10</v>
      </c>
      <c r="C143" s="8">
        <v>319</v>
      </c>
      <c r="D143" s="8">
        <v>60576489</v>
      </c>
      <c r="E143" s="8">
        <v>0</v>
      </c>
      <c r="F143" s="8">
        <v>0</v>
      </c>
      <c r="G143" s="8">
        <v>0</v>
      </c>
      <c r="H143" s="8">
        <v>0</v>
      </c>
      <c r="I143" s="8">
        <v>319</v>
      </c>
      <c r="J143" s="8">
        <v>60576489</v>
      </c>
    </row>
    <row r="144" spans="1:10" x14ac:dyDescent="0.2">
      <c r="A144" s="6" t="s">
        <v>152</v>
      </c>
      <c r="B144" s="6">
        <v>10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</row>
    <row r="145" spans="1:10" x14ac:dyDescent="0.2">
      <c r="A145" s="6" t="s">
        <v>153</v>
      </c>
      <c r="B145" s="6">
        <v>10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</row>
    <row r="146" spans="1:10" x14ac:dyDescent="0.2">
      <c r="A146" s="6" t="s">
        <v>154</v>
      </c>
      <c r="B146" s="6">
        <v>10</v>
      </c>
      <c r="C146" s="8">
        <v>20</v>
      </c>
      <c r="D146" s="8">
        <v>4642900</v>
      </c>
      <c r="E146" s="8">
        <v>30</v>
      </c>
      <c r="F146" s="8">
        <v>7013230</v>
      </c>
      <c r="G146" s="8">
        <v>0</v>
      </c>
      <c r="H146" s="8">
        <v>0</v>
      </c>
      <c r="I146" s="8">
        <v>50</v>
      </c>
      <c r="J146" s="8">
        <v>11656130</v>
      </c>
    </row>
    <row r="147" spans="1:10" x14ac:dyDescent="0.2">
      <c r="A147" s="6" t="s">
        <v>155</v>
      </c>
      <c r="B147" s="6">
        <v>10</v>
      </c>
      <c r="C147" s="8">
        <v>69</v>
      </c>
      <c r="D147" s="8">
        <v>20007501</v>
      </c>
      <c r="E147" s="8">
        <v>11</v>
      </c>
      <c r="F147" s="8">
        <v>3189602</v>
      </c>
      <c r="G147" s="8">
        <v>80</v>
      </c>
      <c r="H147" s="8">
        <v>23197103</v>
      </c>
      <c r="I147" s="8">
        <v>0</v>
      </c>
      <c r="J147" s="8">
        <v>0</v>
      </c>
    </row>
    <row r="148" spans="1:10" x14ac:dyDescent="0.2">
      <c r="A148" s="6" t="s">
        <v>156</v>
      </c>
      <c r="B148" s="6">
        <v>10</v>
      </c>
      <c r="C148" s="8">
        <v>225</v>
      </c>
      <c r="D148" s="8">
        <v>51536190</v>
      </c>
      <c r="E148" s="8">
        <v>40</v>
      </c>
      <c r="F148" s="8">
        <v>0</v>
      </c>
      <c r="G148" s="8">
        <v>0</v>
      </c>
      <c r="H148" s="8">
        <v>0</v>
      </c>
      <c r="I148" s="8">
        <v>265</v>
      </c>
      <c r="J148" s="8">
        <v>51536190</v>
      </c>
    </row>
    <row r="149" spans="1:10" x14ac:dyDescent="0.2">
      <c r="A149" s="6" t="s">
        <v>157</v>
      </c>
      <c r="B149" s="6">
        <v>10</v>
      </c>
      <c r="C149" s="8">
        <v>20</v>
      </c>
      <c r="D149" s="8">
        <v>4642900</v>
      </c>
      <c r="E149" s="8">
        <v>80</v>
      </c>
      <c r="F149" s="8">
        <v>18693800</v>
      </c>
      <c r="G149" s="8">
        <v>0</v>
      </c>
      <c r="H149" s="8">
        <v>0</v>
      </c>
      <c r="I149" s="8">
        <v>100</v>
      </c>
      <c r="J149" s="8">
        <v>23336700</v>
      </c>
    </row>
    <row r="150" spans="1:10" x14ac:dyDescent="0.2">
      <c r="A150" s="6" t="s">
        <v>158</v>
      </c>
      <c r="B150" s="6">
        <v>10</v>
      </c>
      <c r="C150" s="8">
        <v>53</v>
      </c>
      <c r="D150" s="8">
        <v>12263401</v>
      </c>
      <c r="E150" s="8">
        <v>42</v>
      </c>
      <c r="F150" s="8">
        <v>9718167</v>
      </c>
      <c r="G150" s="8">
        <v>95</v>
      </c>
      <c r="H150" s="8">
        <v>21981568</v>
      </c>
      <c r="I150" s="8">
        <v>0</v>
      </c>
      <c r="J150" s="8">
        <v>0</v>
      </c>
    </row>
    <row r="151" spans="1:10" x14ac:dyDescent="0.2">
      <c r="A151" s="6" t="s">
        <v>159</v>
      </c>
      <c r="B151" s="6">
        <v>10</v>
      </c>
      <c r="C151" s="8">
        <v>81</v>
      </c>
      <c r="D151" s="8">
        <v>17829621</v>
      </c>
      <c r="E151" s="8">
        <v>0</v>
      </c>
      <c r="F151" s="8">
        <v>0</v>
      </c>
      <c r="G151" s="8">
        <v>0</v>
      </c>
      <c r="H151" s="8">
        <v>0</v>
      </c>
      <c r="I151" s="8">
        <v>81</v>
      </c>
      <c r="J151" s="8">
        <v>17829621</v>
      </c>
    </row>
    <row r="152" spans="1:10" x14ac:dyDescent="0.2">
      <c r="A152" s="6" t="s">
        <v>160</v>
      </c>
      <c r="B152" s="6">
        <v>10</v>
      </c>
      <c r="C152" s="8">
        <v>51</v>
      </c>
      <c r="D152" s="8">
        <v>13482180</v>
      </c>
      <c r="E152" s="8">
        <v>0</v>
      </c>
      <c r="F152" s="8">
        <v>0</v>
      </c>
      <c r="G152" s="8">
        <v>0</v>
      </c>
      <c r="H152" s="8">
        <v>0</v>
      </c>
      <c r="I152" s="8">
        <v>51</v>
      </c>
      <c r="J152" s="8">
        <v>13482180</v>
      </c>
    </row>
    <row r="153" spans="1:10" x14ac:dyDescent="0.2">
      <c r="A153" s="6" t="s">
        <v>161</v>
      </c>
      <c r="B153" s="6">
        <v>10</v>
      </c>
      <c r="C153" s="8">
        <v>70</v>
      </c>
      <c r="D153" s="8">
        <v>16250150</v>
      </c>
      <c r="E153" s="8">
        <v>40</v>
      </c>
      <c r="F153" s="8">
        <v>9383560</v>
      </c>
      <c r="G153" s="8">
        <v>0</v>
      </c>
      <c r="H153" s="8">
        <v>0</v>
      </c>
      <c r="I153" s="8">
        <v>110</v>
      </c>
      <c r="J153" s="8">
        <v>25633710</v>
      </c>
    </row>
    <row r="154" spans="1:10" x14ac:dyDescent="0.2">
      <c r="A154" s="6" t="s">
        <v>162</v>
      </c>
      <c r="B154" s="6">
        <v>10</v>
      </c>
      <c r="C154" s="8">
        <v>0</v>
      </c>
      <c r="D154" s="8">
        <v>0</v>
      </c>
      <c r="E154" s="8">
        <v>40</v>
      </c>
      <c r="F154" s="8">
        <v>12643640</v>
      </c>
      <c r="G154" s="8">
        <v>40</v>
      </c>
      <c r="H154" s="8">
        <v>12643640</v>
      </c>
      <c r="I154" s="8">
        <v>0</v>
      </c>
      <c r="J154" s="8">
        <v>0</v>
      </c>
    </row>
    <row r="155" spans="1:10" x14ac:dyDescent="0.2">
      <c r="A155" s="6" t="s">
        <v>163</v>
      </c>
      <c r="B155" s="6">
        <v>10</v>
      </c>
      <c r="C155" s="8">
        <v>702</v>
      </c>
      <c r="D155" s="8">
        <v>221895882</v>
      </c>
      <c r="E155" s="8">
        <v>175</v>
      </c>
      <c r="F155" s="8">
        <v>55648625</v>
      </c>
      <c r="G155" s="8">
        <v>35</v>
      </c>
      <c r="H155" s="8">
        <v>11076463</v>
      </c>
      <c r="I155" s="8">
        <v>842</v>
      </c>
      <c r="J155" s="8">
        <v>266468044</v>
      </c>
    </row>
    <row r="156" spans="1:10" x14ac:dyDescent="0.2">
      <c r="A156" s="6" t="s">
        <v>164</v>
      </c>
      <c r="B156" s="6">
        <v>10</v>
      </c>
      <c r="C156" s="8">
        <v>0</v>
      </c>
      <c r="D156" s="8">
        <v>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</row>
    <row r="157" spans="1:10" x14ac:dyDescent="0.2">
      <c r="A157" s="6" t="s">
        <v>165</v>
      </c>
      <c r="B157" s="6">
        <v>10</v>
      </c>
      <c r="C157" s="8">
        <v>100</v>
      </c>
      <c r="D157" s="8">
        <v>15208383</v>
      </c>
      <c r="E157" s="8">
        <v>30</v>
      </c>
      <c r="F157" s="8">
        <v>4806990</v>
      </c>
      <c r="G157" s="8">
        <v>0</v>
      </c>
      <c r="H157" s="8">
        <v>0</v>
      </c>
      <c r="I157" s="8">
        <v>130</v>
      </c>
      <c r="J157" s="8">
        <v>20015373</v>
      </c>
    </row>
    <row r="158" spans="1:10" x14ac:dyDescent="0.2">
      <c r="A158" s="6" t="s">
        <v>166</v>
      </c>
      <c r="B158" s="6">
        <v>10</v>
      </c>
      <c r="C158" s="8">
        <v>0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</row>
    <row r="159" spans="1:10" x14ac:dyDescent="0.2">
      <c r="A159" s="6" t="s">
        <v>167</v>
      </c>
      <c r="B159" s="6">
        <v>10</v>
      </c>
      <c r="C159" s="8">
        <v>0</v>
      </c>
      <c r="D159" s="8">
        <v>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</row>
    <row r="160" spans="1:10" x14ac:dyDescent="0.2">
      <c r="A160" s="6" t="s">
        <v>168</v>
      </c>
      <c r="B160" s="6">
        <v>10</v>
      </c>
      <c r="C160" s="8">
        <v>1096</v>
      </c>
      <c r="D160" s="8">
        <v>199907262</v>
      </c>
      <c r="E160" s="8">
        <v>100</v>
      </c>
      <c r="F160" s="8">
        <v>18432000</v>
      </c>
      <c r="G160" s="8">
        <v>525</v>
      </c>
      <c r="H160" s="8">
        <v>95842903</v>
      </c>
      <c r="I160" s="8">
        <v>671</v>
      </c>
      <c r="J160" s="8">
        <v>122496359</v>
      </c>
    </row>
    <row r="161" spans="1:10" x14ac:dyDescent="0.2">
      <c r="A161" s="6" t="s">
        <v>169</v>
      </c>
      <c r="B161" s="6">
        <v>10</v>
      </c>
      <c r="C161" s="8">
        <v>856</v>
      </c>
      <c r="D161" s="8">
        <v>151588068</v>
      </c>
      <c r="E161" s="8">
        <v>0</v>
      </c>
      <c r="F161" s="8">
        <v>0</v>
      </c>
      <c r="G161" s="8">
        <v>0</v>
      </c>
      <c r="H161" s="8">
        <v>0</v>
      </c>
      <c r="I161" s="8">
        <v>856</v>
      </c>
      <c r="J161" s="8">
        <v>151588068</v>
      </c>
    </row>
    <row r="162" spans="1:10" x14ac:dyDescent="0.2">
      <c r="A162" s="6" t="s">
        <v>170</v>
      </c>
      <c r="B162" s="6">
        <v>10</v>
      </c>
      <c r="C162" s="8">
        <v>369</v>
      </c>
      <c r="D162" s="8">
        <v>101340684</v>
      </c>
      <c r="E162" s="8">
        <v>0</v>
      </c>
      <c r="F162" s="8">
        <v>0</v>
      </c>
      <c r="G162" s="8">
        <v>0</v>
      </c>
      <c r="H162" s="8">
        <v>0</v>
      </c>
      <c r="I162" s="8">
        <v>369</v>
      </c>
      <c r="J162" s="8">
        <v>101340684</v>
      </c>
    </row>
    <row r="163" spans="1:10" x14ac:dyDescent="0.2">
      <c r="A163" s="6" t="s">
        <v>171</v>
      </c>
      <c r="B163" s="6">
        <v>10</v>
      </c>
      <c r="C163" s="8">
        <v>0</v>
      </c>
      <c r="D163" s="8">
        <v>0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</row>
    <row r="164" spans="1:10" x14ac:dyDescent="0.2">
      <c r="A164" s="6" t="s">
        <v>172</v>
      </c>
      <c r="B164" s="6">
        <v>10</v>
      </c>
      <c r="C164" s="8">
        <v>339</v>
      </c>
      <c r="D164" s="8">
        <v>62879444</v>
      </c>
      <c r="E164" s="8">
        <v>20</v>
      </c>
      <c r="F164" s="8">
        <v>3770180</v>
      </c>
      <c r="G164" s="8">
        <v>0</v>
      </c>
      <c r="H164" s="8">
        <v>0</v>
      </c>
      <c r="I164" s="8">
        <v>359</v>
      </c>
      <c r="J164" s="8">
        <v>66649624</v>
      </c>
    </row>
    <row r="165" spans="1:10" x14ac:dyDescent="0.2">
      <c r="A165" s="6" t="s">
        <v>173</v>
      </c>
      <c r="B165" s="6">
        <v>10</v>
      </c>
      <c r="C165" s="8">
        <v>382</v>
      </c>
      <c r="D165" s="8">
        <v>70900290</v>
      </c>
      <c r="E165" s="8">
        <v>47</v>
      </c>
      <c r="F165" s="8">
        <v>7540360</v>
      </c>
      <c r="G165" s="8">
        <v>15</v>
      </c>
      <c r="H165" s="8">
        <v>2742680</v>
      </c>
      <c r="I165" s="8">
        <v>414</v>
      </c>
      <c r="J165" s="8">
        <v>75697970</v>
      </c>
    </row>
    <row r="166" spans="1:10" x14ac:dyDescent="0.2">
      <c r="A166" s="6" t="s">
        <v>174</v>
      </c>
      <c r="B166" s="6">
        <v>10</v>
      </c>
      <c r="C166" s="8">
        <v>100</v>
      </c>
      <c r="D166" s="8">
        <v>27457840</v>
      </c>
      <c r="E166" s="8">
        <v>0</v>
      </c>
      <c r="F166" s="8">
        <v>0</v>
      </c>
      <c r="G166" s="8">
        <v>0</v>
      </c>
      <c r="H166" s="8">
        <v>0</v>
      </c>
      <c r="I166" s="8">
        <v>100</v>
      </c>
      <c r="J166" s="8">
        <v>27457840</v>
      </c>
    </row>
    <row r="167" spans="1:10" x14ac:dyDescent="0.2">
      <c r="A167" s="6" t="s">
        <v>175</v>
      </c>
      <c r="B167" s="6">
        <v>10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</row>
    <row r="168" spans="1:10" x14ac:dyDescent="0.2">
      <c r="A168" s="6" t="s">
        <v>176</v>
      </c>
      <c r="B168" s="6">
        <v>10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</row>
    <row r="169" spans="1:10" x14ac:dyDescent="0.2">
      <c r="A169" s="6" t="s">
        <v>177</v>
      </c>
      <c r="B169" s="6">
        <v>10</v>
      </c>
      <c r="C169" s="8">
        <v>1</v>
      </c>
      <c r="D169" s="8">
        <v>537037</v>
      </c>
      <c r="E169" s="8">
        <v>0</v>
      </c>
      <c r="F169" s="8">
        <v>0</v>
      </c>
      <c r="G169" s="8">
        <v>0</v>
      </c>
      <c r="H169" s="8">
        <v>0</v>
      </c>
      <c r="I169" s="8">
        <v>1</v>
      </c>
      <c r="J169" s="8">
        <v>537037</v>
      </c>
    </row>
    <row r="170" spans="1:10" x14ac:dyDescent="0.2">
      <c r="A170" s="6" t="s">
        <v>178</v>
      </c>
      <c r="B170" s="6">
        <v>10</v>
      </c>
      <c r="C170" s="8">
        <v>0</v>
      </c>
      <c r="D170" s="8">
        <v>0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</row>
    <row r="171" spans="1:10" x14ac:dyDescent="0.2">
      <c r="A171" s="6" t="s">
        <v>179</v>
      </c>
      <c r="B171" s="6">
        <v>10</v>
      </c>
      <c r="C171" s="8">
        <v>23245</v>
      </c>
      <c r="D171" s="8">
        <v>111042854</v>
      </c>
      <c r="E171" s="8">
        <v>19564</v>
      </c>
      <c r="F171" s="8">
        <v>102674880</v>
      </c>
      <c r="G171" s="8">
        <v>23040</v>
      </c>
      <c r="H171" s="8">
        <v>115023864</v>
      </c>
      <c r="I171" s="8">
        <v>19769</v>
      </c>
      <c r="J171" s="8">
        <v>98693870</v>
      </c>
    </row>
    <row r="172" spans="1:10" x14ac:dyDescent="0.2">
      <c r="A172" s="6" t="s">
        <v>180</v>
      </c>
      <c r="B172" s="6">
        <v>10</v>
      </c>
      <c r="C172" s="8">
        <v>696</v>
      </c>
      <c r="D172" s="8">
        <v>54691680</v>
      </c>
      <c r="E172" s="8">
        <v>240</v>
      </c>
      <c r="F172" s="8">
        <v>18859200</v>
      </c>
      <c r="G172" s="8">
        <v>0</v>
      </c>
      <c r="H172" s="8">
        <v>0</v>
      </c>
      <c r="I172" s="8">
        <v>936</v>
      </c>
      <c r="J172" s="8">
        <v>73550880</v>
      </c>
    </row>
    <row r="173" spans="1:10" x14ac:dyDescent="0.2">
      <c r="A173" s="6" t="s">
        <v>181</v>
      </c>
      <c r="B173" s="6">
        <v>10</v>
      </c>
      <c r="C173" s="8">
        <v>852</v>
      </c>
      <c r="D173" s="8">
        <v>43738332</v>
      </c>
      <c r="E173" s="8">
        <v>465</v>
      </c>
      <c r="F173" s="8">
        <v>23895885</v>
      </c>
      <c r="G173" s="8">
        <v>375</v>
      </c>
      <c r="H173" s="8">
        <v>19258034</v>
      </c>
      <c r="I173" s="8">
        <v>942</v>
      </c>
      <c r="J173" s="8">
        <v>48376183</v>
      </c>
    </row>
    <row r="174" spans="1:10" x14ac:dyDescent="0.2">
      <c r="A174" s="6" t="s">
        <v>182</v>
      </c>
      <c r="B174" s="6">
        <v>10</v>
      </c>
      <c r="C174" s="8">
        <v>20</v>
      </c>
      <c r="D174" s="8">
        <v>1190400</v>
      </c>
      <c r="E174" s="8">
        <v>0</v>
      </c>
      <c r="F174" s="8">
        <v>0</v>
      </c>
      <c r="G174" s="8">
        <v>0</v>
      </c>
      <c r="H174" s="8">
        <v>0</v>
      </c>
      <c r="I174" s="8">
        <v>20</v>
      </c>
      <c r="J174" s="8">
        <v>1190400</v>
      </c>
    </row>
    <row r="175" spans="1:10" x14ac:dyDescent="0.2">
      <c r="A175" s="6" t="s">
        <v>183</v>
      </c>
      <c r="B175" s="6">
        <v>10</v>
      </c>
      <c r="C175" s="8">
        <v>2751</v>
      </c>
      <c r="D175" s="8">
        <v>148411296</v>
      </c>
      <c r="E175" s="8">
        <v>104</v>
      </c>
      <c r="F175" s="8">
        <v>5440519</v>
      </c>
      <c r="G175" s="8">
        <v>114</v>
      </c>
      <c r="H175" s="8">
        <v>6143295</v>
      </c>
      <c r="I175" s="8">
        <v>2741</v>
      </c>
      <c r="J175" s="8">
        <v>147708520</v>
      </c>
    </row>
    <row r="176" spans="1:10" x14ac:dyDescent="0.2">
      <c r="A176" s="6" t="s">
        <v>184</v>
      </c>
      <c r="B176" s="6">
        <v>10</v>
      </c>
      <c r="C176" s="8">
        <v>2703</v>
      </c>
      <c r="D176" s="8">
        <v>146117645</v>
      </c>
      <c r="E176" s="8">
        <v>156</v>
      </c>
      <c r="F176" s="8">
        <v>8160778</v>
      </c>
      <c r="G176" s="8">
        <v>220</v>
      </c>
      <c r="H176" s="8">
        <v>11871722</v>
      </c>
      <c r="I176" s="8">
        <v>2639</v>
      </c>
      <c r="J176" s="8">
        <v>142406701</v>
      </c>
    </row>
    <row r="177" spans="1:10" x14ac:dyDescent="0.2">
      <c r="A177" s="6" t="s">
        <v>185</v>
      </c>
      <c r="B177" s="6">
        <v>10</v>
      </c>
      <c r="C177" s="8">
        <v>460</v>
      </c>
      <c r="D177" s="8">
        <v>84787500</v>
      </c>
      <c r="E177" s="8">
        <v>150</v>
      </c>
      <c r="F177" s="8">
        <v>27616500</v>
      </c>
      <c r="G177" s="8">
        <v>200</v>
      </c>
      <c r="H177" s="8">
        <v>36823246</v>
      </c>
      <c r="I177" s="8">
        <v>410</v>
      </c>
      <c r="J177" s="8">
        <v>75580754</v>
      </c>
    </row>
    <row r="178" spans="1:10" x14ac:dyDescent="0.2">
      <c r="A178" s="6" t="s">
        <v>186</v>
      </c>
      <c r="B178" s="6">
        <v>10</v>
      </c>
      <c r="C178" s="8">
        <v>7970</v>
      </c>
      <c r="D178" s="8">
        <v>333779482</v>
      </c>
      <c r="E178" s="8">
        <v>6600</v>
      </c>
      <c r="F178" s="8">
        <v>265836389</v>
      </c>
      <c r="G178" s="8">
        <v>9520</v>
      </c>
      <c r="H178" s="8">
        <v>387763547</v>
      </c>
      <c r="I178" s="8">
        <v>5050</v>
      </c>
      <c r="J178" s="8">
        <v>211852324</v>
      </c>
    </row>
    <row r="179" spans="1:10" x14ac:dyDescent="0.2">
      <c r="A179" s="6" t="s">
        <v>187</v>
      </c>
      <c r="B179" s="6">
        <v>10</v>
      </c>
      <c r="C179" s="8">
        <v>1323</v>
      </c>
      <c r="D179" s="8">
        <v>47133544</v>
      </c>
      <c r="E179" s="8">
        <v>0</v>
      </c>
      <c r="F179" s="8">
        <v>0</v>
      </c>
      <c r="G179" s="8">
        <v>1260</v>
      </c>
      <c r="H179" s="8">
        <v>45424145</v>
      </c>
      <c r="I179" s="8">
        <v>63</v>
      </c>
      <c r="J179" s="8">
        <v>1709399</v>
      </c>
    </row>
    <row r="180" spans="1:10" x14ac:dyDescent="0.2">
      <c r="A180" s="6" t="s">
        <v>188</v>
      </c>
      <c r="B180" s="6">
        <v>10</v>
      </c>
      <c r="C180" s="8">
        <v>6921</v>
      </c>
      <c r="D180" s="8">
        <v>1265880401</v>
      </c>
      <c r="E180" s="8">
        <v>0</v>
      </c>
      <c r="F180" s="8">
        <v>0</v>
      </c>
      <c r="G180" s="8">
        <v>2520</v>
      </c>
      <c r="H180" s="8">
        <v>460918742</v>
      </c>
      <c r="I180" s="8">
        <v>4401</v>
      </c>
      <c r="J180" s="8">
        <v>804961659</v>
      </c>
    </row>
    <row r="181" spans="1:10" x14ac:dyDescent="0.2">
      <c r="A181" s="6" t="s">
        <v>189</v>
      </c>
      <c r="B181" s="6">
        <v>10</v>
      </c>
      <c r="C181" s="8">
        <v>1120</v>
      </c>
      <c r="D181" s="8">
        <v>49126775</v>
      </c>
      <c r="E181" s="8">
        <v>0</v>
      </c>
      <c r="F181" s="8">
        <v>0</v>
      </c>
      <c r="G181" s="8">
        <v>400</v>
      </c>
      <c r="H181" s="8">
        <v>17653831</v>
      </c>
      <c r="I181" s="8">
        <v>720</v>
      </c>
      <c r="J181" s="8">
        <v>31472944</v>
      </c>
    </row>
    <row r="182" spans="1:10" x14ac:dyDescent="0.2">
      <c r="A182" s="6" t="s">
        <v>190</v>
      </c>
      <c r="B182" s="6">
        <v>10</v>
      </c>
      <c r="C182" s="8">
        <v>6720</v>
      </c>
      <c r="D182" s="8">
        <v>194087275</v>
      </c>
      <c r="E182" s="8">
        <v>5250</v>
      </c>
      <c r="F182" s="8">
        <v>151620000</v>
      </c>
      <c r="G182" s="8">
        <v>2100</v>
      </c>
      <c r="H182" s="8">
        <v>60624373</v>
      </c>
      <c r="I182" s="8">
        <v>9870</v>
      </c>
      <c r="J182" s="8">
        <v>285082902</v>
      </c>
    </row>
    <row r="183" spans="1:10" x14ac:dyDescent="0.2">
      <c r="A183" s="6" t="s">
        <v>191</v>
      </c>
      <c r="B183" s="6">
        <v>10</v>
      </c>
      <c r="C183" s="8">
        <v>0</v>
      </c>
      <c r="D183" s="8">
        <v>0</v>
      </c>
      <c r="E183" s="8">
        <v>49050</v>
      </c>
      <c r="F183" s="8">
        <v>1411149000</v>
      </c>
      <c r="G183" s="8">
        <v>31696</v>
      </c>
      <c r="H183" s="8">
        <v>908556623</v>
      </c>
      <c r="I183" s="8">
        <v>17354</v>
      </c>
      <c r="J183" s="8">
        <v>502592377</v>
      </c>
    </row>
    <row r="184" spans="1:10" x14ac:dyDescent="0.2">
      <c r="A184" s="6" t="s">
        <v>192</v>
      </c>
      <c r="B184" s="6">
        <v>10</v>
      </c>
      <c r="C184" s="8">
        <v>7650</v>
      </c>
      <c r="D184" s="8">
        <v>54881604</v>
      </c>
      <c r="E184" s="8">
        <v>9000</v>
      </c>
      <c r="F184" s="8">
        <v>64980000</v>
      </c>
      <c r="G184" s="8">
        <v>3000</v>
      </c>
      <c r="H184" s="8">
        <v>21596685</v>
      </c>
      <c r="I184" s="8">
        <v>13650</v>
      </c>
      <c r="J184" s="8">
        <v>98264919</v>
      </c>
    </row>
    <row r="185" spans="1:10" x14ac:dyDescent="0.2">
      <c r="A185" s="6" t="s">
        <v>193</v>
      </c>
      <c r="B185" s="6">
        <v>10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</row>
    <row r="186" spans="1:10" x14ac:dyDescent="0.2">
      <c r="A186" s="6" t="s">
        <v>194</v>
      </c>
      <c r="B186" s="6">
        <v>10</v>
      </c>
      <c r="C186" s="8">
        <v>204800</v>
      </c>
      <c r="D186" s="8">
        <v>1355793471</v>
      </c>
      <c r="E186" s="8">
        <v>246000</v>
      </c>
      <c r="F186" s="8">
        <v>1776120000</v>
      </c>
      <c r="G186" s="8">
        <v>182980</v>
      </c>
      <c r="H186" s="8">
        <v>1319397872</v>
      </c>
      <c r="I186" s="8">
        <v>267820</v>
      </c>
      <c r="J186" s="8">
        <v>1812515599</v>
      </c>
    </row>
    <row r="187" spans="1:10" x14ac:dyDescent="0.2">
      <c r="A187" s="6" t="s">
        <v>195</v>
      </c>
      <c r="B187" s="6">
        <v>10</v>
      </c>
      <c r="C187" s="8">
        <v>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</row>
    <row r="188" spans="1:10" x14ac:dyDescent="0.2">
      <c r="A188" s="6" t="s">
        <v>196</v>
      </c>
      <c r="B188" s="6">
        <v>10</v>
      </c>
      <c r="C188" s="8">
        <v>0</v>
      </c>
      <c r="D188" s="8">
        <v>0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</row>
    <row r="189" spans="1:10" x14ac:dyDescent="0.2">
      <c r="A189" s="6" t="s">
        <v>197</v>
      </c>
      <c r="B189" s="6">
        <v>10</v>
      </c>
      <c r="C189" s="8">
        <v>330</v>
      </c>
      <c r="D189" s="8">
        <v>2367855</v>
      </c>
      <c r="E189" s="8">
        <v>900</v>
      </c>
      <c r="F189" s="8">
        <v>6498000</v>
      </c>
      <c r="G189" s="8">
        <v>0</v>
      </c>
      <c r="H189" s="8">
        <v>0</v>
      </c>
      <c r="I189" s="8">
        <v>1230</v>
      </c>
      <c r="J189" s="8">
        <v>8865855</v>
      </c>
    </row>
    <row r="190" spans="1:10" x14ac:dyDescent="0.2">
      <c r="A190" s="6" t="s">
        <v>198</v>
      </c>
      <c r="B190" s="6">
        <v>10</v>
      </c>
      <c r="C190" s="8">
        <v>0</v>
      </c>
      <c r="D190" s="8">
        <v>0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</row>
    <row r="191" spans="1:10" x14ac:dyDescent="0.2">
      <c r="A191" s="6" t="s">
        <v>199</v>
      </c>
      <c r="B191" s="6">
        <v>10</v>
      </c>
      <c r="C191" s="8">
        <v>77660</v>
      </c>
      <c r="D191" s="8">
        <v>0</v>
      </c>
      <c r="E191" s="8">
        <v>24</v>
      </c>
      <c r="F191" s="8">
        <v>588888</v>
      </c>
      <c r="G191" s="8">
        <v>0</v>
      </c>
      <c r="H191" s="8">
        <v>0</v>
      </c>
      <c r="I191" s="8">
        <v>77684</v>
      </c>
      <c r="J191" s="8">
        <v>588888</v>
      </c>
    </row>
    <row r="192" spans="1:10" x14ac:dyDescent="0.2">
      <c r="A192" s="6" t="s">
        <v>200</v>
      </c>
      <c r="B192" s="6">
        <v>10</v>
      </c>
      <c r="C192" s="8">
        <v>72</v>
      </c>
      <c r="D192" s="8">
        <v>504000</v>
      </c>
      <c r="E192" s="8">
        <v>72</v>
      </c>
      <c r="F192" s="8">
        <v>533304</v>
      </c>
      <c r="G192" s="8">
        <v>0</v>
      </c>
      <c r="H192" s="8">
        <v>0</v>
      </c>
      <c r="I192" s="8">
        <v>144</v>
      </c>
      <c r="J192" s="8">
        <v>1037304</v>
      </c>
    </row>
    <row r="193" spans="1:10" x14ac:dyDescent="0.2">
      <c r="A193" s="6" t="s">
        <v>201</v>
      </c>
      <c r="B193" s="6">
        <v>10</v>
      </c>
      <c r="C193" s="8">
        <v>1200</v>
      </c>
      <c r="D193" s="8">
        <v>18555514</v>
      </c>
      <c r="E193" s="8">
        <v>540</v>
      </c>
      <c r="F193" s="8">
        <v>8750160</v>
      </c>
      <c r="G193" s="8">
        <v>540</v>
      </c>
      <c r="H193" s="8">
        <v>8474175</v>
      </c>
      <c r="I193" s="8">
        <v>1200</v>
      </c>
      <c r="J193" s="8">
        <v>18831499</v>
      </c>
    </row>
    <row r="194" spans="1:10" x14ac:dyDescent="0.2">
      <c r="A194" s="6" t="s">
        <v>202</v>
      </c>
      <c r="B194" s="6">
        <v>10</v>
      </c>
      <c r="C194" s="8">
        <v>0</v>
      </c>
      <c r="D194" s="8">
        <v>0</v>
      </c>
      <c r="E194" s="8">
        <v>80</v>
      </c>
      <c r="F194" s="8">
        <v>2000000</v>
      </c>
      <c r="G194" s="8">
        <v>80</v>
      </c>
      <c r="H194" s="8">
        <v>2000000</v>
      </c>
      <c r="I194" s="8">
        <v>0</v>
      </c>
      <c r="J194" s="8">
        <v>0</v>
      </c>
    </row>
    <row r="195" spans="1:10" x14ac:dyDescent="0.2">
      <c r="A195" s="6" t="s">
        <v>203</v>
      </c>
      <c r="B195" s="6">
        <v>10</v>
      </c>
      <c r="C195" s="8">
        <v>5622</v>
      </c>
      <c r="D195" s="8">
        <v>63078340</v>
      </c>
      <c r="E195" s="8">
        <v>432</v>
      </c>
      <c r="F195" s="8">
        <v>5070384</v>
      </c>
      <c r="G195" s="8">
        <v>1200</v>
      </c>
      <c r="H195" s="8">
        <v>13508171</v>
      </c>
      <c r="I195" s="8">
        <v>4854</v>
      </c>
      <c r="J195" s="8">
        <v>54640553</v>
      </c>
    </row>
    <row r="196" spans="1:10" x14ac:dyDescent="0.2">
      <c r="A196" s="6" t="s">
        <v>204</v>
      </c>
      <c r="B196" s="6">
        <v>10</v>
      </c>
      <c r="C196" s="8">
        <v>7875</v>
      </c>
      <c r="D196" s="8">
        <v>232720394</v>
      </c>
      <c r="E196" s="8">
        <v>360</v>
      </c>
      <c r="F196" s="8">
        <v>0</v>
      </c>
      <c r="G196" s="8">
        <v>3630</v>
      </c>
      <c r="H196" s="8">
        <v>102583489</v>
      </c>
      <c r="I196" s="8">
        <v>4605</v>
      </c>
      <c r="J196" s="8">
        <v>130136905</v>
      </c>
    </row>
    <row r="197" spans="1:10" x14ac:dyDescent="0.2">
      <c r="A197" s="6" t="s">
        <v>205</v>
      </c>
      <c r="B197" s="6">
        <v>10</v>
      </c>
      <c r="C197" s="8">
        <v>920</v>
      </c>
      <c r="D197" s="8">
        <v>55000773</v>
      </c>
      <c r="E197" s="8">
        <v>0</v>
      </c>
      <c r="F197" s="8">
        <v>0</v>
      </c>
      <c r="G197" s="8">
        <v>100</v>
      </c>
      <c r="H197" s="8">
        <v>5978345</v>
      </c>
      <c r="I197" s="8">
        <v>820</v>
      </c>
      <c r="J197" s="8">
        <v>49022428</v>
      </c>
    </row>
    <row r="198" spans="1:10" x14ac:dyDescent="0.2">
      <c r="A198" s="6" t="s">
        <v>206</v>
      </c>
      <c r="B198" s="6">
        <v>10</v>
      </c>
      <c r="C198" s="8">
        <v>1052</v>
      </c>
      <c r="D198" s="8">
        <v>33474951</v>
      </c>
      <c r="E198" s="8">
        <v>96</v>
      </c>
      <c r="F198" s="8">
        <v>3154906</v>
      </c>
      <c r="G198" s="8">
        <v>30</v>
      </c>
      <c r="H198" s="8">
        <v>957226</v>
      </c>
      <c r="I198" s="8">
        <v>1118</v>
      </c>
      <c r="J198" s="8">
        <v>35672631</v>
      </c>
    </row>
    <row r="199" spans="1:10" x14ac:dyDescent="0.2">
      <c r="A199" s="6" t="s">
        <v>207</v>
      </c>
      <c r="B199" s="6">
        <v>10</v>
      </c>
      <c r="C199" s="8">
        <v>1764</v>
      </c>
      <c r="D199" s="8">
        <v>3828179</v>
      </c>
      <c r="E199" s="8">
        <v>0</v>
      </c>
      <c r="F199" s="8">
        <v>0</v>
      </c>
      <c r="G199" s="8">
        <v>80</v>
      </c>
      <c r="H199" s="8">
        <v>173614</v>
      </c>
      <c r="I199" s="8">
        <v>1684</v>
      </c>
      <c r="J199" s="8">
        <v>3654565</v>
      </c>
    </row>
    <row r="200" spans="1:10" x14ac:dyDescent="0.2">
      <c r="A200" s="6" t="s">
        <v>208</v>
      </c>
      <c r="B200" s="6">
        <v>10</v>
      </c>
      <c r="C200" s="8">
        <v>13</v>
      </c>
      <c r="D200" s="8">
        <v>107765</v>
      </c>
      <c r="E200" s="8">
        <v>0</v>
      </c>
      <c r="F200" s="8">
        <v>0</v>
      </c>
      <c r="G200" s="8">
        <v>0</v>
      </c>
      <c r="H200" s="8">
        <v>0</v>
      </c>
      <c r="I200" s="8">
        <v>13</v>
      </c>
      <c r="J200" s="8">
        <v>107765</v>
      </c>
    </row>
    <row r="201" spans="1:10" x14ac:dyDescent="0.2">
      <c r="A201" s="6" t="s">
        <v>209</v>
      </c>
      <c r="B201" s="6">
        <v>10</v>
      </c>
      <c r="C201" s="8">
        <v>24</v>
      </c>
      <c r="D201" s="8">
        <v>1401840</v>
      </c>
      <c r="E201" s="8">
        <v>36</v>
      </c>
      <c r="F201" s="8">
        <v>2102760</v>
      </c>
      <c r="G201" s="8">
        <v>0</v>
      </c>
      <c r="H201" s="8">
        <v>0</v>
      </c>
      <c r="I201" s="8">
        <v>60</v>
      </c>
      <c r="J201" s="8">
        <v>3504600</v>
      </c>
    </row>
    <row r="202" spans="1:10" x14ac:dyDescent="0.2">
      <c r="A202" s="6" t="s">
        <v>210</v>
      </c>
      <c r="B202" s="6">
        <v>10</v>
      </c>
      <c r="C202" s="8">
        <v>625</v>
      </c>
      <c r="D202" s="8">
        <v>6930861</v>
      </c>
      <c r="E202" s="8">
        <v>0</v>
      </c>
      <c r="F202" s="8">
        <v>0</v>
      </c>
      <c r="G202" s="8">
        <v>0</v>
      </c>
      <c r="H202" s="8">
        <v>0</v>
      </c>
      <c r="I202" s="8">
        <v>625</v>
      </c>
      <c r="J202" s="8">
        <v>6930861</v>
      </c>
    </row>
    <row r="203" spans="1:10" x14ac:dyDescent="0.2">
      <c r="A203" s="6" t="s">
        <v>211</v>
      </c>
      <c r="B203" s="6">
        <v>10</v>
      </c>
      <c r="C203" s="8">
        <v>0</v>
      </c>
      <c r="D203" s="8">
        <v>0</v>
      </c>
      <c r="E203" s="8">
        <v>48</v>
      </c>
      <c r="F203" s="8">
        <v>711120</v>
      </c>
      <c r="G203" s="8">
        <v>0</v>
      </c>
      <c r="H203" s="8">
        <v>0</v>
      </c>
      <c r="I203" s="8">
        <v>48</v>
      </c>
      <c r="J203" s="8">
        <v>711120</v>
      </c>
    </row>
    <row r="204" spans="1:10" x14ac:dyDescent="0.2">
      <c r="A204" s="6" t="s">
        <v>212</v>
      </c>
      <c r="B204" s="6">
        <v>10</v>
      </c>
      <c r="C204" s="8">
        <v>8517</v>
      </c>
      <c r="D204" s="8">
        <v>104576881</v>
      </c>
      <c r="E204" s="8">
        <v>1872</v>
      </c>
      <c r="F204" s="8">
        <v>23242752</v>
      </c>
      <c r="G204" s="8">
        <v>0</v>
      </c>
      <c r="H204" s="8">
        <v>0</v>
      </c>
      <c r="I204" s="8">
        <v>10389</v>
      </c>
      <c r="J204" s="8">
        <v>127819633</v>
      </c>
    </row>
    <row r="205" spans="1:10" x14ac:dyDescent="0.2">
      <c r="A205" s="6" t="s">
        <v>213</v>
      </c>
      <c r="B205" s="6">
        <v>10</v>
      </c>
      <c r="C205" s="8">
        <v>5932</v>
      </c>
      <c r="D205" s="8">
        <v>118840834</v>
      </c>
      <c r="E205" s="8">
        <v>0</v>
      </c>
      <c r="F205" s="8">
        <v>0</v>
      </c>
      <c r="G205" s="8">
        <v>450</v>
      </c>
      <c r="H205" s="8">
        <v>9015235</v>
      </c>
      <c r="I205" s="8">
        <v>5482</v>
      </c>
      <c r="J205" s="8">
        <v>109825599</v>
      </c>
    </row>
    <row r="206" spans="1:10" x14ac:dyDescent="0.2">
      <c r="A206" s="6" t="s">
        <v>214</v>
      </c>
      <c r="B206" s="6">
        <v>10</v>
      </c>
      <c r="C206" s="8">
        <v>14058</v>
      </c>
      <c r="D206" s="8">
        <v>314715377</v>
      </c>
      <c r="E206" s="8">
        <v>3902</v>
      </c>
      <c r="F206" s="8">
        <v>88696800</v>
      </c>
      <c r="G206" s="8">
        <v>5650</v>
      </c>
      <c r="H206" s="8">
        <v>126908619</v>
      </c>
      <c r="I206" s="8">
        <v>12310</v>
      </c>
      <c r="J206" s="8">
        <v>276503558</v>
      </c>
    </row>
    <row r="207" spans="1:10" x14ac:dyDescent="0.2">
      <c r="A207" s="6" t="s">
        <v>215</v>
      </c>
      <c r="B207" s="6">
        <v>10</v>
      </c>
      <c r="C207" s="8">
        <v>4980</v>
      </c>
      <c r="D207" s="8">
        <v>199122417</v>
      </c>
      <c r="E207" s="8">
        <v>0</v>
      </c>
      <c r="F207" s="8">
        <v>0</v>
      </c>
      <c r="G207" s="8">
        <v>2100</v>
      </c>
      <c r="H207" s="8">
        <v>83967284</v>
      </c>
      <c r="I207" s="8">
        <v>2880</v>
      </c>
      <c r="J207" s="8">
        <v>115155133</v>
      </c>
    </row>
    <row r="208" spans="1:10" x14ac:dyDescent="0.2">
      <c r="A208" s="6" t="s">
        <v>216</v>
      </c>
      <c r="B208" s="6">
        <v>10</v>
      </c>
      <c r="C208" s="8">
        <v>432</v>
      </c>
      <c r="D208" s="8">
        <v>7500816</v>
      </c>
      <c r="E208" s="8">
        <v>72</v>
      </c>
      <c r="F208" s="8">
        <v>1250136</v>
      </c>
      <c r="G208" s="8">
        <v>450</v>
      </c>
      <c r="H208" s="8">
        <v>7813350</v>
      </c>
      <c r="I208" s="8">
        <v>54</v>
      </c>
      <c r="J208" s="8">
        <v>937602</v>
      </c>
    </row>
    <row r="209" spans="1:10" x14ac:dyDescent="0.2">
      <c r="A209" s="6" t="s">
        <v>217</v>
      </c>
      <c r="B209" s="6">
        <v>10</v>
      </c>
      <c r="C209" s="8">
        <v>10</v>
      </c>
      <c r="D209" s="8">
        <v>1775003</v>
      </c>
      <c r="E209" s="8">
        <v>0</v>
      </c>
      <c r="F209" s="8">
        <v>0</v>
      </c>
      <c r="G209" s="8">
        <v>0</v>
      </c>
      <c r="H209" s="8">
        <v>0</v>
      </c>
      <c r="I209" s="8">
        <v>10</v>
      </c>
      <c r="J209" s="8">
        <v>1775003</v>
      </c>
    </row>
    <row r="210" spans="1:10" x14ac:dyDescent="0.2">
      <c r="A210" s="6" t="s">
        <v>218</v>
      </c>
      <c r="B210" s="6">
        <v>10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</row>
    <row r="211" spans="1:10" x14ac:dyDescent="0.2">
      <c r="A211" s="6" t="s">
        <v>219</v>
      </c>
      <c r="B211" s="6">
        <v>10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</row>
    <row r="212" spans="1:10" x14ac:dyDescent="0.2">
      <c r="A212" s="6" t="s">
        <v>220</v>
      </c>
      <c r="B212" s="6">
        <v>10</v>
      </c>
      <c r="C212" s="8">
        <v>0</v>
      </c>
      <c r="D212" s="8">
        <v>0</v>
      </c>
      <c r="E212" s="8">
        <v>72</v>
      </c>
      <c r="F212" s="8">
        <v>1847966</v>
      </c>
      <c r="G212" s="8">
        <v>0</v>
      </c>
      <c r="H212" s="8">
        <v>0</v>
      </c>
      <c r="I212" s="8">
        <v>72</v>
      </c>
      <c r="J212" s="8">
        <v>1847966</v>
      </c>
    </row>
    <row r="213" spans="1:10" x14ac:dyDescent="0.2">
      <c r="A213" s="6" t="s">
        <v>221</v>
      </c>
      <c r="B213" s="6">
        <v>10</v>
      </c>
      <c r="C213" s="8">
        <v>2954</v>
      </c>
      <c r="D213" s="8">
        <v>57721997</v>
      </c>
      <c r="E213" s="8">
        <v>864</v>
      </c>
      <c r="F213" s="8">
        <v>17013024</v>
      </c>
      <c r="G213" s="8">
        <v>0</v>
      </c>
      <c r="H213" s="8">
        <v>0</v>
      </c>
      <c r="I213" s="8">
        <v>3818</v>
      </c>
      <c r="J213" s="8">
        <v>74735021</v>
      </c>
    </row>
    <row r="214" spans="1:10" x14ac:dyDescent="0.2">
      <c r="A214" s="6" t="s">
        <v>222</v>
      </c>
      <c r="B214" s="6">
        <v>10</v>
      </c>
      <c r="C214" s="8">
        <v>1076</v>
      </c>
      <c r="D214" s="8">
        <v>23090763</v>
      </c>
      <c r="E214" s="8">
        <v>0</v>
      </c>
      <c r="F214" s="8">
        <v>0</v>
      </c>
      <c r="G214" s="8">
        <v>0</v>
      </c>
      <c r="H214" s="8">
        <v>0</v>
      </c>
      <c r="I214" s="8">
        <v>1076</v>
      </c>
      <c r="J214" s="8">
        <v>23090763</v>
      </c>
    </row>
    <row r="215" spans="1:10" x14ac:dyDescent="0.2">
      <c r="A215" s="6" t="s">
        <v>223</v>
      </c>
      <c r="B215" s="6">
        <v>10</v>
      </c>
      <c r="C215" s="8">
        <v>1105</v>
      </c>
      <c r="D215" s="8">
        <v>47790304</v>
      </c>
      <c r="E215" s="8">
        <v>0</v>
      </c>
      <c r="F215" s="8">
        <v>0</v>
      </c>
      <c r="G215" s="8">
        <v>0</v>
      </c>
      <c r="H215" s="8">
        <v>0</v>
      </c>
      <c r="I215" s="8">
        <v>1105</v>
      </c>
      <c r="J215" s="8">
        <v>47790304</v>
      </c>
    </row>
    <row r="216" spans="1:10" x14ac:dyDescent="0.2">
      <c r="A216" s="6" t="s">
        <v>224</v>
      </c>
      <c r="B216" s="6">
        <v>10</v>
      </c>
      <c r="C216" s="8">
        <v>336</v>
      </c>
      <c r="D216" s="8">
        <v>6713952</v>
      </c>
      <c r="E216" s="8">
        <v>240</v>
      </c>
      <c r="F216" s="8">
        <v>4795680</v>
      </c>
      <c r="G216" s="8">
        <v>576</v>
      </c>
      <c r="H216" s="8">
        <v>11509632</v>
      </c>
      <c r="I216" s="8">
        <v>0</v>
      </c>
      <c r="J216" s="8">
        <v>0</v>
      </c>
    </row>
    <row r="217" spans="1:10" x14ac:dyDescent="0.2">
      <c r="A217" s="6" t="s">
        <v>225</v>
      </c>
      <c r="B217" s="6">
        <v>10</v>
      </c>
      <c r="C217" s="8">
        <v>72</v>
      </c>
      <c r="D217" s="8">
        <v>1510639</v>
      </c>
      <c r="E217" s="8">
        <v>144</v>
      </c>
      <c r="F217" s="8">
        <v>3021278</v>
      </c>
      <c r="G217" s="8">
        <v>0</v>
      </c>
      <c r="H217" s="8">
        <v>0</v>
      </c>
      <c r="I217" s="8">
        <v>216</v>
      </c>
      <c r="J217" s="8">
        <v>4531917</v>
      </c>
    </row>
    <row r="218" spans="1:10" x14ac:dyDescent="0.2">
      <c r="A218" s="6" t="s">
        <v>226</v>
      </c>
      <c r="B218" s="6">
        <v>10</v>
      </c>
      <c r="C218" s="8">
        <v>360</v>
      </c>
      <c r="D218" s="8">
        <v>7553196</v>
      </c>
      <c r="E218" s="8">
        <v>0</v>
      </c>
      <c r="F218" s="8">
        <v>0</v>
      </c>
      <c r="G218" s="8">
        <v>0</v>
      </c>
      <c r="H218" s="8">
        <v>0</v>
      </c>
      <c r="I218" s="8">
        <v>360</v>
      </c>
      <c r="J218" s="8">
        <v>7553196</v>
      </c>
    </row>
    <row r="219" spans="1:10" x14ac:dyDescent="0.2">
      <c r="A219" s="6" t="s">
        <v>227</v>
      </c>
      <c r="B219" s="6">
        <v>10</v>
      </c>
      <c r="C219" s="8">
        <v>490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490</v>
      </c>
      <c r="J219" s="8">
        <v>0</v>
      </c>
    </row>
    <row r="220" spans="1:10" x14ac:dyDescent="0.2">
      <c r="A220" s="6" t="s">
        <v>228</v>
      </c>
      <c r="B220" s="6">
        <v>10</v>
      </c>
      <c r="C220" s="8">
        <v>1031</v>
      </c>
      <c r="D220" s="8">
        <v>91211959</v>
      </c>
      <c r="E220" s="8">
        <v>20</v>
      </c>
      <c r="F220" s="8">
        <v>1756160</v>
      </c>
      <c r="G220" s="8">
        <v>0</v>
      </c>
      <c r="H220" s="8">
        <v>0</v>
      </c>
      <c r="I220" s="8">
        <v>1051</v>
      </c>
      <c r="J220" s="8">
        <v>92968119</v>
      </c>
    </row>
    <row r="221" spans="1:10" x14ac:dyDescent="0.2">
      <c r="A221" s="6" t="s">
        <v>229</v>
      </c>
      <c r="B221" s="6">
        <v>10</v>
      </c>
      <c r="C221" s="8">
        <v>2366</v>
      </c>
      <c r="D221" s="8">
        <v>213502780</v>
      </c>
      <c r="E221" s="8">
        <v>382</v>
      </c>
      <c r="F221" s="8">
        <v>33995416</v>
      </c>
      <c r="G221" s="8">
        <v>371</v>
      </c>
      <c r="H221" s="8">
        <v>33414058</v>
      </c>
      <c r="I221" s="8">
        <v>2377</v>
      </c>
      <c r="J221" s="8">
        <v>214084138</v>
      </c>
    </row>
    <row r="222" spans="1:10" x14ac:dyDescent="0.2">
      <c r="A222" s="6" t="s">
        <v>230</v>
      </c>
      <c r="B222" s="6">
        <v>10</v>
      </c>
      <c r="C222" s="8">
        <v>688</v>
      </c>
      <c r="D222" s="8">
        <v>44836960</v>
      </c>
      <c r="E222" s="8">
        <v>691</v>
      </c>
      <c r="F222" s="8">
        <v>41708800</v>
      </c>
      <c r="G222" s="8">
        <v>510</v>
      </c>
      <c r="H222" s="8">
        <v>32007496</v>
      </c>
      <c r="I222" s="8">
        <v>869</v>
      </c>
      <c r="J222" s="8">
        <v>54538264</v>
      </c>
    </row>
    <row r="223" spans="1:10" x14ac:dyDescent="0.2">
      <c r="A223" s="6" t="s">
        <v>231</v>
      </c>
      <c r="B223" s="6">
        <v>10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</row>
    <row r="224" spans="1:10" x14ac:dyDescent="0.2">
      <c r="A224" s="6" t="s">
        <v>232</v>
      </c>
      <c r="B224" s="6">
        <v>10</v>
      </c>
      <c r="C224" s="8">
        <v>1263</v>
      </c>
      <c r="D224" s="8">
        <v>76699933</v>
      </c>
      <c r="E224" s="8">
        <v>338</v>
      </c>
      <c r="F224" s="8">
        <v>20325984</v>
      </c>
      <c r="G224" s="8">
        <v>600</v>
      </c>
      <c r="H224" s="8">
        <v>36361993</v>
      </c>
      <c r="I224" s="8">
        <v>1001</v>
      </c>
      <c r="J224" s="8">
        <v>60663924</v>
      </c>
    </row>
    <row r="225" spans="1:10" x14ac:dyDescent="0.2">
      <c r="A225" s="6" t="s">
        <v>233</v>
      </c>
      <c r="B225" s="6">
        <v>10</v>
      </c>
      <c r="C225" s="8">
        <v>2928</v>
      </c>
      <c r="D225" s="8">
        <v>170277232</v>
      </c>
      <c r="E225" s="8">
        <v>1611</v>
      </c>
      <c r="F225" s="8">
        <v>87808000</v>
      </c>
      <c r="G225" s="8">
        <v>2160</v>
      </c>
      <c r="H225" s="8">
        <v>122816502</v>
      </c>
      <c r="I225" s="8">
        <v>2379</v>
      </c>
      <c r="J225" s="8">
        <v>135268730</v>
      </c>
    </row>
    <row r="226" spans="1:10" x14ac:dyDescent="0.2">
      <c r="A226" s="6" t="s">
        <v>234</v>
      </c>
      <c r="B226" s="6">
        <v>10</v>
      </c>
      <c r="C226" s="8">
        <v>20975</v>
      </c>
      <c r="D226" s="8">
        <v>1181186246</v>
      </c>
      <c r="E226" s="8">
        <v>11712</v>
      </c>
      <c r="F226" s="8">
        <v>631435560</v>
      </c>
      <c r="G226" s="8">
        <v>14971</v>
      </c>
      <c r="H226" s="8">
        <v>830200418</v>
      </c>
      <c r="I226" s="8">
        <v>17716</v>
      </c>
      <c r="J226" s="8">
        <v>982421388</v>
      </c>
    </row>
    <row r="227" spans="1:10" x14ac:dyDescent="0.2">
      <c r="A227" s="6" t="s">
        <v>235</v>
      </c>
      <c r="B227" s="6">
        <v>10</v>
      </c>
      <c r="C227" s="8">
        <v>294</v>
      </c>
      <c r="D227" s="8">
        <v>20602700</v>
      </c>
      <c r="E227" s="8">
        <v>144</v>
      </c>
      <c r="F227" s="8">
        <v>10160640</v>
      </c>
      <c r="G227" s="8">
        <v>0</v>
      </c>
      <c r="H227" s="8">
        <v>0</v>
      </c>
      <c r="I227" s="8">
        <v>438</v>
      </c>
      <c r="J227" s="8">
        <v>30763340</v>
      </c>
    </row>
    <row r="228" spans="1:10" x14ac:dyDescent="0.2">
      <c r="A228" s="6" t="s">
        <v>236</v>
      </c>
      <c r="B228" s="6">
        <v>10</v>
      </c>
      <c r="C228" s="8">
        <v>0</v>
      </c>
      <c r="D228" s="8">
        <v>0</v>
      </c>
      <c r="E228" s="8">
        <v>42</v>
      </c>
      <c r="F228" s="8">
        <v>2693922</v>
      </c>
      <c r="G228" s="8">
        <v>0</v>
      </c>
      <c r="H228" s="8">
        <v>0</v>
      </c>
      <c r="I228" s="8">
        <v>42</v>
      </c>
      <c r="J228" s="8">
        <v>2693922</v>
      </c>
    </row>
    <row r="229" spans="1:10" x14ac:dyDescent="0.2">
      <c r="A229" s="6" t="s">
        <v>237</v>
      </c>
      <c r="B229" s="6">
        <v>10</v>
      </c>
      <c r="C229" s="8">
        <v>257</v>
      </c>
      <c r="D229" s="8">
        <v>2097921</v>
      </c>
      <c r="E229" s="8">
        <v>0</v>
      </c>
      <c r="F229" s="8">
        <v>0</v>
      </c>
      <c r="G229" s="8">
        <v>0</v>
      </c>
      <c r="H229" s="8">
        <v>0</v>
      </c>
      <c r="I229" s="8">
        <v>257</v>
      </c>
      <c r="J229" s="8">
        <v>2097921</v>
      </c>
    </row>
    <row r="230" spans="1:10" x14ac:dyDescent="0.2">
      <c r="A230" s="6" t="s">
        <v>238</v>
      </c>
      <c r="B230" s="6">
        <v>10</v>
      </c>
      <c r="C230" s="8">
        <v>1497</v>
      </c>
      <c r="D230" s="8">
        <v>85474476</v>
      </c>
      <c r="E230" s="8">
        <v>245</v>
      </c>
      <c r="F230" s="8">
        <v>13474996</v>
      </c>
      <c r="G230" s="8">
        <v>800</v>
      </c>
      <c r="H230" s="8">
        <v>45441778</v>
      </c>
      <c r="I230" s="8">
        <v>942</v>
      </c>
      <c r="J230" s="8">
        <v>53507694</v>
      </c>
    </row>
    <row r="231" spans="1:10" x14ac:dyDescent="0.2">
      <c r="A231" s="6" t="s">
        <v>239</v>
      </c>
      <c r="B231" s="6">
        <v>10</v>
      </c>
      <c r="C231" s="8">
        <v>0</v>
      </c>
      <c r="D231" s="8">
        <v>0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</row>
    <row r="232" spans="1:10" x14ac:dyDescent="0.2">
      <c r="A232" s="6" t="s">
        <v>240</v>
      </c>
      <c r="B232" s="6">
        <v>10</v>
      </c>
      <c r="C232" s="8">
        <v>1648</v>
      </c>
      <c r="D232" s="8">
        <v>154137877</v>
      </c>
      <c r="E232" s="8">
        <v>1085</v>
      </c>
      <c r="F232" s="8">
        <v>101438820</v>
      </c>
      <c r="G232" s="8">
        <v>2585</v>
      </c>
      <c r="H232" s="8">
        <v>241736466</v>
      </c>
      <c r="I232" s="8">
        <v>148</v>
      </c>
      <c r="J232" s="8">
        <v>13840231</v>
      </c>
    </row>
    <row r="233" spans="1:10" x14ac:dyDescent="0.2">
      <c r="A233" s="6" t="s">
        <v>241</v>
      </c>
      <c r="B233" s="6">
        <v>10</v>
      </c>
      <c r="C233" s="8">
        <v>860</v>
      </c>
      <c r="D233" s="8">
        <v>64289267</v>
      </c>
      <c r="E233" s="8">
        <v>389</v>
      </c>
      <c r="F233" s="8">
        <v>29513484</v>
      </c>
      <c r="G233" s="8">
        <v>376</v>
      </c>
      <c r="H233" s="8">
        <v>28238458</v>
      </c>
      <c r="I233" s="8">
        <v>873</v>
      </c>
      <c r="J233" s="8">
        <v>65564293</v>
      </c>
    </row>
    <row r="234" spans="1:10" x14ac:dyDescent="0.2">
      <c r="A234" s="6" t="s">
        <v>242</v>
      </c>
      <c r="B234" s="6">
        <v>10</v>
      </c>
      <c r="C234" s="8">
        <v>208</v>
      </c>
      <c r="D234" s="8">
        <v>14547821</v>
      </c>
      <c r="E234" s="8">
        <v>22</v>
      </c>
      <c r="F234" s="8">
        <v>1518804</v>
      </c>
      <c r="G234" s="8">
        <v>42</v>
      </c>
      <c r="H234" s="8">
        <v>2933905</v>
      </c>
      <c r="I234" s="8">
        <v>188</v>
      </c>
      <c r="J234" s="8">
        <v>13132720</v>
      </c>
    </row>
    <row r="235" spans="1:10" x14ac:dyDescent="0.2">
      <c r="A235" s="6" t="s">
        <v>243</v>
      </c>
      <c r="B235" s="6">
        <v>10</v>
      </c>
      <c r="C235" s="8">
        <v>1712</v>
      </c>
      <c r="D235" s="8">
        <v>158193247</v>
      </c>
      <c r="E235" s="8">
        <v>96</v>
      </c>
      <c r="F235" s="8">
        <v>8498854</v>
      </c>
      <c r="G235" s="8">
        <v>196</v>
      </c>
      <c r="H235" s="8">
        <v>18070604</v>
      </c>
      <c r="I235" s="8">
        <v>1612</v>
      </c>
      <c r="J235" s="8">
        <v>148621497</v>
      </c>
    </row>
    <row r="236" spans="1:10" x14ac:dyDescent="0.2">
      <c r="A236" s="6" t="s">
        <v>244</v>
      </c>
      <c r="B236" s="6">
        <v>10</v>
      </c>
      <c r="C236" s="8">
        <v>44</v>
      </c>
      <c r="D236" s="8">
        <v>3863552</v>
      </c>
      <c r="E236" s="8">
        <v>4</v>
      </c>
      <c r="F236" s="8">
        <v>351232</v>
      </c>
      <c r="G236" s="8">
        <v>0</v>
      </c>
      <c r="H236" s="8">
        <v>0</v>
      </c>
      <c r="I236" s="8">
        <v>48</v>
      </c>
      <c r="J236" s="8">
        <v>4214784</v>
      </c>
    </row>
    <row r="237" spans="1:10" x14ac:dyDescent="0.2">
      <c r="A237" s="6" t="s">
        <v>245</v>
      </c>
      <c r="B237" s="6">
        <v>10</v>
      </c>
      <c r="C237" s="8">
        <v>0</v>
      </c>
      <c r="D237" s="8">
        <v>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</row>
    <row r="238" spans="1:10" x14ac:dyDescent="0.2">
      <c r="A238" s="6" t="s">
        <v>246</v>
      </c>
      <c r="B238" s="6">
        <v>10</v>
      </c>
      <c r="C238" s="8">
        <v>6133</v>
      </c>
      <c r="D238" s="8">
        <v>43713203</v>
      </c>
      <c r="E238" s="8">
        <v>960</v>
      </c>
      <c r="F238" s="8">
        <v>6842439</v>
      </c>
      <c r="G238" s="8">
        <v>2</v>
      </c>
      <c r="H238" s="8">
        <v>14255</v>
      </c>
      <c r="I238" s="8">
        <v>7091</v>
      </c>
      <c r="J238" s="8">
        <v>50541387</v>
      </c>
    </row>
    <row r="239" spans="1:10" x14ac:dyDescent="0.2">
      <c r="A239" s="6" t="s">
        <v>247</v>
      </c>
      <c r="B239" s="6">
        <v>10</v>
      </c>
      <c r="C239" s="8">
        <v>38376</v>
      </c>
      <c r="D239" s="8">
        <v>254394040</v>
      </c>
      <c r="E239" s="8">
        <v>1920</v>
      </c>
      <c r="F239" s="8">
        <v>13684877</v>
      </c>
      <c r="G239" s="8">
        <v>40</v>
      </c>
      <c r="H239" s="8">
        <v>266110</v>
      </c>
      <c r="I239" s="8">
        <v>40256</v>
      </c>
      <c r="J239" s="8">
        <v>267812807</v>
      </c>
    </row>
    <row r="240" spans="1:10" x14ac:dyDescent="0.2">
      <c r="A240" s="6" t="s">
        <v>248</v>
      </c>
      <c r="B240" s="6">
        <v>10</v>
      </c>
      <c r="C240" s="8">
        <v>264</v>
      </c>
      <c r="D240" s="8">
        <v>1881670</v>
      </c>
      <c r="E240" s="8">
        <v>126</v>
      </c>
      <c r="F240" s="8">
        <v>0</v>
      </c>
      <c r="G240" s="8">
        <v>0</v>
      </c>
      <c r="H240" s="8">
        <v>0</v>
      </c>
      <c r="I240" s="8">
        <v>390</v>
      </c>
      <c r="J240" s="8">
        <v>1881670</v>
      </c>
    </row>
    <row r="241" spans="1:10" x14ac:dyDescent="0.2">
      <c r="A241" s="6" t="s">
        <v>249</v>
      </c>
      <c r="B241" s="6">
        <v>10</v>
      </c>
      <c r="C241" s="8">
        <v>281</v>
      </c>
      <c r="D241" s="8">
        <v>2002839</v>
      </c>
      <c r="E241" s="8">
        <v>145</v>
      </c>
      <c r="F241" s="8">
        <v>0</v>
      </c>
      <c r="G241" s="8">
        <v>0</v>
      </c>
      <c r="H241" s="8">
        <v>0</v>
      </c>
      <c r="I241" s="8">
        <v>426</v>
      </c>
      <c r="J241" s="8">
        <v>2002839</v>
      </c>
    </row>
    <row r="242" spans="1:10" x14ac:dyDescent="0.2">
      <c r="A242" s="6" t="s">
        <v>250</v>
      </c>
      <c r="B242" s="6">
        <v>10</v>
      </c>
      <c r="C242" s="8">
        <v>13734</v>
      </c>
      <c r="D242" s="8">
        <v>149830394</v>
      </c>
      <c r="E242" s="8">
        <v>1680</v>
      </c>
      <c r="F242" s="8">
        <v>11974267</v>
      </c>
      <c r="G242" s="8">
        <v>53</v>
      </c>
      <c r="H242" s="8">
        <v>556354</v>
      </c>
      <c r="I242" s="8">
        <v>15361</v>
      </c>
      <c r="J242" s="8">
        <v>161248307</v>
      </c>
    </row>
    <row r="243" spans="1:10" x14ac:dyDescent="0.2">
      <c r="A243" s="6" t="s">
        <v>251</v>
      </c>
      <c r="B243" s="6">
        <v>10</v>
      </c>
      <c r="C243" s="8">
        <v>0</v>
      </c>
      <c r="D243" s="8">
        <v>0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</row>
    <row r="244" spans="1:10" x14ac:dyDescent="0.2">
      <c r="A244" s="6" t="s">
        <v>252</v>
      </c>
      <c r="B244" s="6">
        <v>10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</row>
    <row r="245" spans="1:10" x14ac:dyDescent="0.2">
      <c r="A245" s="6" t="s">
        <v>253</v>
      </c>
      <c r="B245" s="6">
        <v>10</v>
      </c>
      <c r="C245" s="8">
        <v>0</v>
      </c>
      <c r="D245" s="8">
        <v>0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</row>
    <row r="246" spans="1:10" x14ac:dyDescent="0.2">
      <c r="A246" s="6" t="s">
        <v>254</v>
      </c>
      <c r="B246" s="6">
        <v>10</v>
      </c>
      <c r="C246" s="8">
        <v>98</v>
      </c>
      <c r="D246" s="8">
        <v>3367163</v>
      </c>
      <c r="E246" s="8">
        <v>110</v>
      </c>
      <c r="F246" s="8">
        <v>3780480</v>
      </c>
      <c r="G246" s="8">
        <v>150</v>
      </c>
      <c r="H246" s="8">
        <v>5154550</v>
      </c>
      <c r="I246" s="8">
        <v>58</v>
      </c>
      <c r="J246" s="8">
        <v>1993093</v>
      </c>
    </row>
    <row r="247" spans="1:10" x14ac:dyDescent="0.2">
      <c r="A247" s="6" t="s">
        <v>255</v>
      </c>
      <c r="B247" s="6">
        <v>10</v>
      </c>
      <c r="C247" s="8">
        <v>0</v>
      </c>
      <c r="D247" s="8">
        <v>884858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884858</v>
      </c>
    </row>
    <row r="248" spans="1:10" x14ac:dyDescent="0.2">
      <c r="A248" s="6" t="s">
        <v>256</v>
      </c>
      <c r="B248" s="6">
        <v>10</v>
      </c>
      <c r="C248" s="8">
        <v>35</v>
      </c>
      <c r="D248" s="8">
        <v>1399857</v>
      </c>
      <c r="E248" s="8">
        <v>45</v>
      </c>
      <c r="F248" s="8">
        <v>1955161</v>
      </c>
      <c r="G248" s="8">
        <v>80</v>
      </c>
      <c r="H248" s="8">
        <v>3355018</v>
      </c>
      <c r="I248" s="8">
        <v>0</v>
      </c>
      <c r="J248" s="8">
        <v>0</v>
      </c>
    </row>
    <row r="249" spans="1:10" x14ac:dyDescent="0.2">
      <c r="A249" s="6" t="s">
        <v>257</v>
      </c>
      <c r="B249" s="6">
        <v>10</v>
      </c>
      <c r="C249" s="8">
        <v>15</v>
      </c>
      <c r="D249" s="8">
        <v>853920</v>
      </c>
      <c r="E249" s="8">
        <v>3</v>
      </c>
      <c r="F249" s="8">
        <v>142320</v>
      </c>
      <c r="G249" s="8">
        <v>0</v>
      </c>
      <c r="H249" s="8">
        <v>0</v>
      </c>
      <c r="I249" s="8">
        <v>18</v>
      </c>
      <c r="J249" s="8">
        <v>996240</v>
      </c>
    </row>
    <row r="250" spans="1:10" x14ac:dyDescent="0.2">
      <c r="A250" s="6" t="s">
        <v>258</v>
      </c>
      <c r="B250" s="6">
        <v>10</v>
      </c>
      <c r="C250" s="8">
        <v>1325</v>
      </c>
      <c r="D250" s="8">
        <v>6021786</v>
      </c>
      <c r="E250" s="8">
        <v>190</v>
      </c>
      <c r="F250" s="8">
        <v>2911104</v>
      </c>
      <c r="G250" s="8">
        <v>270</v>
      </c>
      <c r="H250" s="8">
        <v>4135158</v>
      </c>
      <c r="I250" s="8">
        <v>1245</v>
      </c>
      <c r="J250" s="8">
        <v>4797732</v>
      </c>
    </row>
    <row r="251" spans="1:10" x14ac:dyDescent="0.2">
      <c r="A251" s="6" t="s">
        <v>259</v>
      </c>
      <c r="B251" s="6">
        <v>10</v>
      </c>
      <c r="C251" s="8">
        <v>110</v>
      </c>
      <c r="D251" s="8">
        <v>2420810</v>
      </c>
      <c r="E251" s="8">
        <v>0</v>
      </c>
      <c r="F251" s="8">
        <v>0</v>
      </c>
      <c r="G251" s="8">
        <v>0</v>
      </c>
      <c r="H251" s="8">
        <v>0</v>
      </c>
      <c r="I251" s="8">
        <v>110</v>
      </c>
      <c r="J251" s="8">
        <v>2420810</v>
      </c>
    </row>
    <row r="252" spans="1:10" x14ac:dyDescent="0.2">
      <c r="A252" s="6" t="s">
        <v>260</v>
      </c>
      <c r="B252" s="6">
        <v>10</v>
      </c>
      <c r="C252" s="8">
        <v>2</v>
      </c>
      <c r="D252" s="8">
        <v>109792</v>
      </c>
      <c r="E252" s="8">
        <v>0</v>
      </c>
      <c r="F252" s="8">
        <v>0</v>
      </c>
      <c r="G252" s="8">
        <v>0</v>
      </c>
      <c r="H252" s="8">
        <v>0</v>
      </c>
      <c r="I252" s="8">
        <v>2</v>
      </c>
      <c r="J252" s="8">
        <v>109792</v>
      </c>
    </row>
    <row r="253" spans="1:10" x14ac:dyDescent="0.2">
      <c r="A253" s="6" t="s">
        <v>261</v>
      </c>
      <c r="B253" s="6">
        <v>10</v>
      </c>
      <c r="C253" s="8">
        <v>0</v>
      </c>
      <c r="D253" s="8">
        <v>0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</row>
    <row r="254" spans="1:10" x14ac:dyDescent="0.2">
      <c r="A254" s="6" t="s">
        <v>262</v>
      </c>
      <c r="B254" s="6">
        <v>10</v>
      </c>
      <c r="C254" s="8">
        <v>0</v>
      </c>
      <c r="D254" s="8">
        <v>0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</row>
    <row r="255" spans="1:10" x14ac:dyDescent="0.2">
      <c r="A255" s="6" t="s">
        <v>263</v>
      </c>
      <c r="B255" s="6">
        <v>10</v>
      </c>
      <c r="C255" s="8">
        <v>0</v>
      </c>
      <c r="D255" s="8">
        <v>0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</row>
    <row r="256" spans="1:10" x14ac:dyDescent="0.2">
      <c r="A256" s="6" t="s">
        <v>264</v>
      </c>
      <c r="B256" s="6">
        <v>10</v>
      </c>
      <c r="C256" s="8">
        <v>0</v>
      </c>
      <c r="D256" s="8">
        <v>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</row>
    <row r="257" spans="1:10" x14ac:dyDescent="0.2">
      <c r="A257" s="6" t="s">
        <v>265</v>
      </c>
      <c r="B257" s="6">
        <v>10</v>
      </c>
      <c r="C257" s="8">
        <v>0</v>
      </c>
      <c r="D257" s="8">
        <v>0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</row>
    <row r="258" spans="1:10" x14ac:dyDescent="0.2">
      <c r="A258" s="6" t="s">
        <v>266</v>
      </c>
      <c r="B258" s="6">
        <v>10</v>
      </c>
      <c r="C258" s="8">
        <v>0</v>
      </c>
      <c r="D258" s="8">
        <v>0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</row>
    <row r="259" spans="1:10" x14ac:dyDescent="0.2">
      <c r="A259" s="6" t="s">
        <v>267</v>
      </c>
      <c r="B259" s="6">
        <v>10</v>
      </c>
      <c r="C259" s="8">
        <v>1</v>
      </c>
      <c r="D259" s="8">
        <v>39000</v>
      </c>
      <c r="E259" s="8">
        <v>0</v>
      </c>
      <c r="F259" s="8">
        <v>0</v>
      </c>
      <c r="G259" s="8">
        <v>0</v>
      </c>
      <c r="H259" s="8">
        <v>0</v>
      </c>
      <c r="I259" s="8">
        <v>1</v>
      </c>
      <c r="J259" s="8">
        <v>39000</v>
      </c>
    </row>
    <row r="260" spans="1:10" x14ac:dyDescent="0.2">
      <c r="A260" s="6" t="s">
        <v>268</v>
      </c>
      <c r="B260" s="6">
        <v>10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</row>
    <row r="261" spans="1:10" x14ac:dyDescent="0.2">
      <c r="A261" s="6" t="s">
        <v>269</v>
      </c>
      <c r="B261" s="6">
        <v>10</v>
      </c>
      <c r="C261" s="8">
        <v>0</v>
      </c>
      <c r="D261" s="8">
        <v>0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</row>
    <row r="262" spans="1:10" x14ac:dyDescent="0.2">
      <c r="A262" s="6" t="s">
        <v>270</v>
      </c>
      <c r="B262" s="6">
        <v>10</v>
      </c>
      <c r="C262" s="8">
        <v>0</v>
      </c>
      <c r="D262" s="8">
        <v>0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</row>
    <row r="263" spans="1:10" x14ac:dyDescent="0.2">
      <c r="A263" s="6" t="s">
        <v>271</v>
      </c>
      <c r="B263" s="6">
        <v>10</v>
      </c>
      <c r="C263" s="8">
        <v>0</v>
      </c>
      <c r="D263" s="8">
        <v>0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</row>
    <row r="264" spans="1:10" x14ac:dyDescent="0.2">
      <c r="A264" s="6" t="s">
        <v>272</v>
      </c>
      <c r="B264" s="6">
        <v>10</v>
      </c>
      <c r="C264" s="8">
        <v>8</v>
      </c>
      <c r="D264" s="8">
        <v>1065272</v>
      </c>
      <c r="E264" s="8">
        <v>0</v>
      </c>
      <c r="F264" s="8">
        <v>0</v>
      </c>
      <c r="G264" s="8">
        <v>0</v>
      </c>
      <c r="H264" s="8">
        <v>0</v>
      </c>
      <c r="I264" s="8">
        <v>8</v>
      </c>
      <c r="J264" s="8">
        <v>1065272</v>
      </c>
    </row>
    <row r="265" spans="1:10" x14ac:dyDescent="0.2">
      <c r="A265" s="6" t="s">
        <v>273</v>
      </c>
      <c r="B265" s="6">
        <v>10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</row>
    <row r="266" spans="1:10" x14ac:dyDescent="0.2">
      <c r="A266" s="6" t="s">
        <v>274</v>
      </c>
      <c r="B266" s="6">
        <v>10</v>
      </c>
      <c r="C266" s="8">
        <v>0</v>
      </c>
      <c r="D266" s="8">
        <v>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</row>
    <row r="267" spans="1:10" x14ac:dyDescent="0.2">
      <c r="A267" s="6" t="s">
        <v>275</v>
      </c>
      <c r="B267" s="6">
        <v>10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</row>
    <row r="268" spans="1:10" x14ac:dyDescent="0.2">
      <c r="A268" s="6" t="s">
        <v>276</v>
      </c>
      <c r="B268" s="6">
        <v>10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</row>
    <row r="269" spans="1:10" x14ac:dyDescent="0.2">
      <c r="A269" s="6" t="s">
        <v>277</v>
      </c>
      <c r="B269" s="6">
        <v>10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</row>
    <row r="270" spans="1:10" x14ac:dyDescent="0.2">
      <c r="A270" s="6" t="s">
        <v>278</v>
      </c>
      <c r="B270" s="6">
        <v>10</v>
      </c>
      <c r="C270" s="8">
        <v>0</v>
      </c>
      <c r="D270" s="8">
        <v>0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</row>
    <row r="271" spans="1:10" x14ac:dyDescent="0.2">
      <c r="A271" s="6" t="s">
        <v>279</v>
      </c>
      <c r="B271" s="6">
        <v>10</v>
      </c>
      <c r="C271" s="8">
        <v>0</v>
      </c>
      <c r="D271" s="8">
        <v>0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</row>
    <row r="272" spans="1:10" x14ac:dyDescent="0.2">
      <c r="A272" s="6" t="s">
        <v>280</v>
      </c>
      <c r="B272" s="6">
        <v>10</v>
      </c>
      <c r="C272" s="8">
        <v>0</v>
      </c>
      <c r="D272" s="8">
        <v>0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</row>
    <row r="273" spans="1:10" x14ac:dyDescent="0.2">
      <c r="A273" s="6" t="s">
        <v>281</v>
      </c>
      <c r="B273" s="6">
        <v>10</v>
      </c>
      <c r="C273" s="8">
        <v>157</v>
      </c>
      <c r="D273" s="8">
        <v>2714884</v>
      </c>
      <c r="E273" s="8">
        <v>36</v>
      </c>
      <c r="F273" s="8">
        <v>617400</v>
      </c>
      <c r="G273" s="8">
        <v>120</v>
      </c>
      <c r="H273" s="8">
        <v>2071886</v>
      </c>
      <c r="I273" s="8">
        <v>73</v>
      </c>
      <c r="J273" s="8">
        <v>1260398</v>
      </c>
    </row>
    <row r="274" spans="1:10" x14ac:dyDescent="0.2">
      <c r="A274" s="6" t="s">
        <v>282</v>
      </c>
      <c r="B274" s="6">
        <v>10</v>
      </c>
      <c r="C274" s="8">
        <v>78</v>
      </c>
      <c r="D274" s="8">
        <v>5491675</v>
      </c>
      <c r="E274" s="8">
        <v>10</v>
      </c>
      <c r="F274" s="8">
        <v>705600</v>
      </c>
      <c r="G274" s="8">
        <v>60</v>
      </c>
      <c r="H274" s="8">
        <v>4170015</v>
      </c>
      <c r="I274" s="8">
        <v>28</v>
      </c>
      <c r="J274" s="8">
        <v>2027260</v>
      </c>
    </row>
    <row r="275" spans="1:10" x14ac:dyDescent="0.2">
      <c r="A275" s="6" t="s">
        <v>283</v>
      </c>
      <c r="B275" s="6">
        <v>10</v>
      </c>
      <c r="C275" s="8">
        <v>2267</v>
      </c>
      <c r="D275" s="8">
        <v>47190220</v>
      </c>
      <c r="E275" s="8">
        <v>1032</v>
      </c>
      <c r="F275" s="8">
        <v>35952000</v>
      </c>
      <c r="G275" s="8">
        <v>930</v>
      </c>
      <c r="H275" s="8">
        <v>32292218</v>
      </c>
      <c r="I275" s="8">
        <v>2369</v>
      </c>
      <c r="J275" s="8">
        <v>50850002</v>
      </c>
    </row>
    <row r="276" spans="1:10" x14ac:dyDescent="0.2">
      <c r="A276" s="6" t="s">
        <v>284</v>
      </c>
      <c r="B276" s="6">
        <v>10</v>
      </c>
      <c r="C276" s="8">
        <v>190</v>
      </c>
      <c r="D276" s="8">
        <v>8684680</v>
      </c>
      <c r="E276" s="8">
        <v>50</v>
      </c>
      <c r="F276" s="8">
        <v>2301600</v>
      </c>
      <c r="G276" s="8">
        <v>90</v>
      </c>
      <c r="H276" s="8">
        <v>4119856</v>
      </c>
      <c r="I276" s="8">
        <v>150</v>
      </c>
      <c r="J276" s="8">
        <v>6866424</v>
      </c>
    </row>
    <row r="277" spans="1:10" x14ac:dyDescent="0.2">
      <c r="A277" s="6" t="s">
        <v>285</v>
      </c>
      <c r="B277" s="6">
        <v>10</v>
      </c>
      <c r="C277" s="8">
        <v>5</v>
      </c>
      <c r="D277" s="8">
        <v>586595</v>
      </c>
      <c r="E277" s="8">
        <v>15</v>
      </c>
      <c r="F277" s="8">
        <v>1709385</v>
      </c>
      <c r="G277" s="8">
        <v>20</v>
      </c>
      <c r="H277" s="8">
        <v>2295980</v>
      </c>
      <c r="I277" s="8">
        <v>0</v>
      </c>
      <c r="J277" s="8">
        <v>0</v>
      </c>
    </row>
    <row r="278" spans="1:10" x14ac:dyDescent="0.2">
      <c r="A278" s="6" t="s">
        <v>286</v>
      </c>
      <c r="B278" s="6">
        <v>10</v>
      </c>
      <c r="C278" s="8">
        <v>8</v>
      </c>
      <c r="D278" s="8">
        <v>847410</v>
      </c>
      <c r="E278" s="8">
        <v>0</v>
      </c>
      <c r="F278" s="8">
        <v>0</v>
      </c>
      <c r="G278" s="8">
        <v>0</v>
      </c>
      <c r="H278" s="8">
        <v>0</v>
      </c>
      <c r="I278" s="8">
        <v>8</v>
      </c>
      <c r="J278" s="8">
        <v>847410</v>
      </c>
    </row>
    <row r="279" spans="1:10" x14ac:dyDescent="0.2">
      <c r="A279" s="6" t="s">
        <v>287</v>
      </c>
      <c r="B279" s="6">
        <v>10</v>
      </c>
      <c r="C279" s="8">
        <v>8</v>
      </c>
      <c r="D279" s="8">
        <v>888480</v>
      </c>
      <c r="E279" s="8">
        <v>0</v>
      </c>
      <c r="F279" s="8"/>
      <c r="G279" s="8">
        <v>0</v>
      </c>
      <c r="H279" s="8">
        <v>0</v>
      </c>
      <c r="I279" s="8">
        <v>8</v>
      </c>
      <c r="J279" s="8">
        <v>888480</v>
      </c>
    </row>
    <row r="280" spans="1:10" x14ac:dyDescent="0.2">
      <c r="A280" s="6" t="s">
        <v>288</v>
      </c>
      <c r="B280" s="6">
        <v>10</v>
      </c>
      <c r="C280" s="8">
        <v>72</v>
      </c>
      <c r="D280" s="8">
        <v>1717560</v>
      </c>
      <c r="E280" s="8">
        <v>0</v>
      </c>
      <c r="F280" s="8">
        <v>0</v>
      </c>
      <c r="G280" s="8">
        <v>0</v>
      </c>
      <c r="H280" s="8">
        <v>0</v>
      </c>
      <c r="I280" s="8">
        <v>72</v>
      </c>
      <c r="J280" s="8">
        <v>1717560</v>
      </c>
    </row>
    <row r="281" spans="1:10" x14ac:dyDescent="0.2">
      <c r="A281" s="6" t="s">
        <v>289</v>
      </c>
      <c r="B281" s="6">
        <v>10</v>
      </c>
      <c r="C281" s="8">
        <v>5445</v>
      </c>
      <c r="D281" s="8">
        <v>18544800</v>
      </c>
      <c r="E281" s="8">
        <v>8</v>
      </c>
      <c r="F281" s="8">
        <v>0</v>
      </c>
      <c r="G281" s="8">
        <v>0</v>
      </c>
      <c r="H281" s="8">
        <v>0</v>
      </c>
      <c r="I281" s="8">
        <v>5453</v>
      </c>
      <c r="J281" s="8">
        <v>18544800</v>
      </c>
    </row>
    <row r="282" spans="1:10" x14ac:dyDescent="0.2">
      <c r="A282" s="6" t="s">
        <v>290</v>
      </c>
      <c r="B282" s="6">
        <v>10</v>
      </c>
      <c r="C282" s="8">
        <v>1489</v>
      </c>
      <c r="D282" s="8">
        <v>132500193</v>
      </c>
      <c r="E282" s="8">
        <v>432</v>
      </c>
      <c r="F282" s="8">
        <v>38441088</v>
      </c>
      <c r="G282" s="8">
        <v>1170</v>
      </c>
      <c r="H282" s="8">
        <v>104113118</v>
      </c>
      <c r="I282" s="8">
        <v>751</v>
      </c>
      <c r="J282" s="8">
        <v>66828163</v>
      </c>
    </row>
    <row r="283" spans="1:10" x14ac:dyDescent="0.2">
      <c r="A283" s="6" t="s">
        <v>291</v>
      </c>
      <c r="B283" s="6">
        <v>10</v>
      </c>
      <c r="C283" s="8">
        <v>2558</v>
      </c>
      <c r="D283" s="8">
        <v>238790929</v>
      </c>
      <c r="E283" s="8">
        <v>910</v>
      </c>
      <c r="F283" s="8">
        <v>85077720</v>
      </c>
      <c r="G283" s="8">
        <v>2426</v>
      </c>
      <c r="H283" s="8">
        <v>226558634</v>
      </c>
      <c r="I283" s="8">
        <v>1042</v>
      </c>
      <c r="J283" s="8">
        <v>97310015</v>
      </c>
    </row>
    <row r="284" spans="1:10" x14ac:dyDescent="0.2">
      <c r="A284" s="6" t="s">
        <v>292</v>
      </c>
      <c r="B284" s="6">
        <v>10</v>
      </c>
      <c r="C284" s="8">
        <v>932</v>
      </c>
      <c r="D284" s="8">
        <v>70653568</v>
      </c>
      <c r="E284" s="8">
        <v>306</v>
      </c>
      <c r="F284" s="8">
        <v>27229104</v>
      </c>
      <c r="G284" s="8">
        <v>1026</v>
      </c>
      <c r="H284" s="8">
        <v>81120857</v>
      </c>
      <c r="I284" s="8">
        <v>212</v>
      </c>
      <c r="J284" s="8">
        <v>16761815</v>
      </c>
    </row>
    <row r="285" spans="1:10" x14ac:dyDescent="0.2">
      <c r="A285" s="6"/>
      <c r="B285" s="6"/>
      <c r="C285" s="5"/>
      <c r="D285" s="5">
        <v>15550294170</v>
      </c>
      <c r="E285" s="5"/>
      <c r="F285" s="5">
        <v>9205815555</v>
      </c>
      <c r="G285" s="5"/>
      <c r="H285" s="5">
        <v>9489921705</v>
      </c>
      <c r="I285" s="5"/>
      <c r="J285" s="5">
        <v>15266188020</v>
      </c>
    </row>
  </sheetData>
  <mergeCells count="4">
    <mergeCell ref="C1:D1"/>
    <mergeCell ref="E1:F1"/>
    <mergeCell ref="G1:H1"/>
    <mergeCell ref="I1:J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W285"/>
  <sheetViews>
    <sheetView topLeftCell="A274" workbookViewId="0"/>
  </sheetViews>
  <sheetFormatPr defaultColWidth="12.5703125" defaultRowHeight="15.75" customHeight="1" x14ac:dyDescent="0.2"/>
  <sheetData>
    <row r="1" spans="1:23" x14ac:dyDescent="0.2">
      <c r="A1" s="1"/>
      <c r="B1" s="2"/>
      <c r="C1" s="210" t="s">
        <v>0</v>
      </c>
      <c r="D1" s="211"/>
      <c r="E1" s="210" t="s">
        <v>1</v>
      </c>
      <c r="F1" s="211"/>
      <c r="G1" s="210" t="s">
        <v>2</v>
      </c>
      <c r="H1" s="211"/>
      <c r="I1" s="210" t="s">
        <v>3</v>
      </c>
      <c r="J1" s="21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">
      <c r="A2" s="3" t="s">
        <v>4</v>
      </c>
      <c r="B2" s="4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6</v>
      </c>
      <c r="H2" s="5" t="s">
        <v>10</v>
      </c>
      <c r="I2" s="5" t="s">
        <v>6</v>
      </c>
      <c r="J2" s="5" t="s">
        <v>9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">
      <c r="A3" s="6" t="s">
        <v>11</v>
      </c>
      <c r="B3" s="6">
        <v>11</v>
      </c>
      <c r="C3" s="8">
        <v>206</v>
      </c>
      <c r="D3" s="8">
        <v>5698875</v>
      </c>
      <c r="E3" s="8">
        <v>50</v>
      </c>
      <c r="F3" s="8">
        <v>1387200</v>
      </c>
      <c r="G3" s="8">
        <v>30</v>
      </c>
      <c r="H3" s="8">
        <v>830399</v>
      </c>
      <c r="I3" s="8">
        <v>226</v>
      </c>
      <c r="J3" s="8">
        <v>6255676</v>
      </c>
    </row>
    <row r="4" spans="1:23" x14ac:dyDescent="0.2">
      <c r="A4" s="6" t="s">
        <v>12</v>
      </c>
      <c r="B4" s="6">
        <v>11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</row>
    <row r="5" spans="1:23" x14ac:dyDescent="0.2">
      <c r="A5" s="6" t="s">
        <v>13</v>
      </c>
      <c r="B5" s="6">
        <v>11</v>
      </c>
      <c r="C5" s="8">
        <v>587</v>
      </c>
      <c r="D5" s="8">
        <v>19248466</v>
      </c>
      <c r="E5" s="8">
        <v>0</v>
      </c>
      <c r="F5" s="8">
        <v>0</v>
      </c>
      <c r="G5" s="8">
        <v>0</v>
      </c>
      <c r="H5" s="8">
        <v>0</v>
      </c>
      <c r="I5" s="8">
        <v>587</v>
      </c>
      <c r="J5" s="8">
        <v>19248466</v>
      </c>
    </row>
    <row r="6" spans="1:23" x14ac:dyDescent="0.2">
      <c r="A6" s="6" t="s">
        <v>14</v>
      </c>
      <c r="B6" s="6">
        <v>11</v>
      </c>
      <c r="C6" s="8">
        <v>120</v>
      </c>
      <c r="D6" s="8">
        <v>35752144</v>
      </c>
      <c r="E6" s="8">
        <v>0</v>
      </c>
      <c r="F6" s="8">
        <v>0</v>
      </c>
      <c r="G6" s="8">
        <v>0</v>
      </c>
      <c r="H6" s="8">
        <v>0</v>
      </c>
      <c r="I6" s="8">
        <v>120</v>
      </c>
      <c r="J6" s="8">
        <v>35752144</v>
      </c>
    </row>
    <row r="7" spans="1:23" x14ac:dyDescent="0.2">
      <c r="A7" s="6" t="s">
        <v>15</v>
      </c>
      <c r="B7" s="6">
        <v>11</v>
      </c>
      <c r="C7" s="8">
        <v>504</v>
      </c>
      <c r="D7" s="8">
        <v>68557545</v>
      </c>
      <c r="E7" s="8">
        <v>0</v>
      </c>
      <c r="F7" s="8">
        <v>0</v>
      </c>
      <c r="G7" s="8">
        <v>0</v>
      </c>
      <c r="H7" s="8">
        <v>0</v>
      </c>
      <c r="I7" s="8">
        <v>504</v>
      </c>
      <c r="J7" s="8">
        <v>68557545</v>
      </c>
    </row>
    <row r="8" spans="1:23" x14ac:dyDescent="0.2">
      <c r="A8" s="6" t="s">
        <v>16</v>
      </c>
      <c r="B8" s="6">
        <v>11</v>
      </c>
      <c r="C8" s="8">
        <v>344</v>
      </c>
      <c r="D8" s="8">
        <v>53839916</v>
      </c>
      <c r="E8" s="8">
        <v>0</v>
      </c>
      <c r="F8" s="8">
        <v>0</v>
      </c>
      <c r="G8" s="8">
        <v>0</v>
      </c>
      <c r="H8" s="8">
        <v>0</v>
      </c>
      <c r="I8" s="8">
        <v>344</v>
      </c>
      <c r="J8" s="8">
        <v>53839916</v>
      </c>
    </row>
    <row r="9" spans="1:23" x14ac:dyDescent="0.2">
      <c r="A9" s="6" t="s">
        <v>17</v>
      </c>
      <c r="B9" s="6">
        <v>11</v>
      </c>
      <c r="C9" s="8">
        <v>153</v>
      </c>
      <c r="D9" s="8">
        <v>36613751</v>
      </c>
      <c r="E9" s="8">
        <v>0</v>
      </c>
      <c r="F9" s="8">
        <v>0</v>
      </c>
      <c r="G9" s="8">
        <v>0</v>
      </c>
      <c r="H9" s="8">
        <v>0</v>
      </c>
      <c r="I9" s="8">
        <v>153</v>
      </c>
      <c r="J9" s="8">
        <v>36613751</v>
      </c>
    </row>
    <row r="10" spans="1:23" x14ac:dyDescent="0.2">
      <c r="A10" s="6" t="s">
        <v>18</v>
      </c>
      <c r="B10" s="6">
        <v>11</v>
      </c>
      <c r="C10" s="8">
        <v>554</v>
      </c>
      <c r="D10" s="8">
        <v>12063982</v>
      </c>
      <c r="E10" s="8">
        <v>0</v>
      </c>
      <c r="F10" s="8">
        <v>0</v>
      </c>
      <c r="G10" s="8">
        <v>0</v>
      </c>
      <c r="H10" s="8">
        <v>0</v>
      </c>
      <c r="I10" s="8">
        <v>554</v>
      </c>
      <c r="J10" s="8">
        <v>12063982</v>
      </c>
    </row>
    <row r="11" spans="1:23" x14ac:dyDescent="0.2">
      <c r="A11" s="6" t="s">
        <v>19</v>
      </c>
      <c r="B11" s="6">
        <v>11</v>
      </c>
      <c r="C11" s="8">
        <v>180</v>
      </c>
      <c r="D11" s="8">
        <v>3904035</v>
      </c>
      <c r="E11" s="8">
        <v>0</v>
      </c>
      <c r="F11" s="8">
        <v>0</v>
      </c>
      <c r="G11" s="8">
        <v>0</v>
      </c>
      <c r="H11" s="8">
        <v>0</v>
      </c>
      <c r="I11" s="8">
        <v>180</v>
      </c>
      <c r="J11" s="8">
        <v>3904035</v>
      </c>
    </row>
    <row r="12" spans="1:23" x14ac:dyDescent="0.2">
      <c r="A12" s="6" t="s">
        <v>20</v>
      </c>
      <c r="B12" s="6">
        <v>11</v>
      </c>
      <c r="C12" s="8">
        <v>295</v>
      </c>
      <c r="D12" s="8">
        <v>31404753</v>
      </c>
      <c r="E12" s="8">
        <v>0</v>
      </c>
      <c r="F12" s="8">
        <v>0</v>
      </c>
      <c r="G12" s="8">
        <v>0</v>
      </c>
      <c r="H12" s="8">
        <v>0</v>
      </c>
      <c r="I12" s="8">
        <v>295</v>
      </c>
      <c r="J12" s="8">
        <v>31404753</v>
      </c>
    </row>
    <row r="13" spans="1:23" x14ac:dyDescent="0.2">
      <c r="A13" s="6" t="s">
        <v>21</v>
      </c>
      <c r="B13" s="6">
        <v>11</v>
      </c>
      <c r="C13" s="8">
        <v>170</v>
      </c>
      <c r="D13" s="8">
        <v>40681945</v>
      </c>
      <c r="E13" s="8">
        <v>0</v>
      </c>
      <c r="F13" s="8">
        <v>0</v>
      </c>
      <c r="G13" s="8">
        <v>0</v>
      </c>
      <c r="H13" s="8">
        <v>0</v>
      </c>
      <c r="I13" s="8">
        <v>170</v>
      </c>
      <c r="J13" s="8">
        <v>40681945</v>
      </c>
    </row>
    <row r="14" spans="1:23" x14ac:dyDescent="0.2">
      <c r="A14" s="6" t="s">
        <v>22</v>
      </c>
      <c r="B14" s="6">
        <v>11</v>
      </c>
      <c r="C14" s="8">
        <v>18</v>
      </c>
      <c r="D14" s="8">
        <v>407934</v>
      </c>
      <c r="E14" s="8">
        <v>0</v>
      </c>
      <c r="F14" s="8">
        <v>0</v>
      </c>
      <c r="G14" s="8">
        <v>0</v>
      </c>
      <c r="H14" s="8">
        <v>0</v>
      </c>
      <c r="I14" s="8">
        <v>18</v>
      </c>
      <c r="J14" s="8">
        <v>407934</v>
      </c>
    </row>
    <row r="15" spans="1:23" x14ac:dyDescent="0.2">
      <c r="A15" s="6" t="s">
        <v>23</v>
      </c>
      <c r="B15" s="6">
        <v>11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</row>
    <row r="16" spans="1:23" x14ac:dyDescent="0.2">
      <c r="A16" s="6" t="s">
        <v>24</v>
      </c>
      <c r="B16" s="6">
        <v>11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</row>
    <row r="17" spans="1:10" x14ac:dyDescent="0.2">
      <c r="A17" s="6" t="s">
        <v>25</v>
      </c>
      <c r="B17" s="6">
        <v>11</v>
      </c>
      <c r="C17" s="8">
        <v>0</v>
      </c>
      <c r="D17" s="8">
        <v>0</v>
      </c>
      <c r="E17" s="8">
        <v>122</v>
      </c>
      <c r="F17" s="8">
        <v>2598112</v>
      </c>
      <c r="G17" s="8">
        <v>50</v>
      </c>
      <c r="H17" s="8">
        <v>1064588</v>
      </c>
      <c r="I17" s="8">
        <v>72</v>
      </c>
      <c r="J17" s="8">
        <v>1533524</v>
      </c>
    </row>
    <row r="18" spans="1:10" x14ac:dyDescent="0.2">
      <c r="A18" s="6" t="s">
        <v>26</v>
      </c>
      <c r="B18" s="6">
        <v>11</v>
      </c>
      <c r="C18" s="8">
        <v>64</v>
      </c>
      <c r="D18" s="8">
        <v>1656459</v>
      </c>
      <c r="E18" s="8">
        <v>52</v>
      </c>
      <c r="F18" s="8">
        <v>1348152</v>
      </c>
      <c r="G18" s="8">
        <v>20</v>
      </c>
      <c r="H18" s="8">
        <v>518036</v>
      </c>
      <c r="I18" s="8">
        <v>96</v>
      </c>
      <c r="J18" s="8">
        <v>2486575</v>
      </c>
    </row>
    <row r="19" spans="1:10" x14ac:dyDescent="0.2">
      <c r="A19" s="6" t="s">
        <v>27</v>
      </c>
      <c r="B19" s="6">
        <v>11</v>
      </c>
      <c r="C19" s="8">
        <v>47</v>
      </c>
      <c r="D19" s="8">
        <v>1453969</v>
      </c>
      <c r="E19" s="8">
        <v>20</v>
      </c>
      <c r="F19" s="8">
        <v>629620</v>
      </c>
      <c r="G19" s="8">
        <v>0</v>
      </c>
      <c r="H19" s="8">
        <v>0</v>
      </c>
      <c r="I19" s="8">
        <v>67</v>
      </c>
      <c r="J19" s="8">
        <v>2083589</v>
      </c>
    </row>
    <row r="20" spans="1:10" x14ac:dyDescent="0.2">
      <c r="A20" s="6" t="s">
        <v>28</v>
      </c>
      <c r="B20" s="6">
        <v>11</v>
      </c>
      <c r="C20" s="8">
        <v>350</v>
      </c>
      <c r="D20" s="8">
        <v>40140000</v>
      </c>
      <c r="E20" s="8">
        <v>300</v>
      </c>
      <c r="F20" s="8">
        <v>34560000</v>
      </c>
      <c r="G20" s="8">
        <v>0</v>
      </c>
      <c r="H20" s="8">
        <v>0</v>
      </c>
      <c r="I20" s="8">
        <v>650</v>
      </c>
      <c r="J20" s="8">
        <v>74700000</v>
      </c>
    </row>
    <row r="21" spans="1:10" x14ac:dyDescent="0.2">
      <c r="A21" s="6" t="s">
        <v>29</v>
      </c>
      <c r="B21" s="6">
        <v>11</v>
      </c>
      <c r="C21" s="8">
        <v>280</v>
      </c>
      <c r="D21" s="8">
        <v>74052080</v>
      </c>
      <c r="E21" s="8">
        <v>0</v>
      </c>
      <c r="F21" s="8">
        <v>0</v>
      </c>
      <c r="G21" s="8">
        <v>0</v>
      </c>
      <c r="H21" s="8">
        <v>0</v>
      </c>
      <c r="I21" s="8">
        <v>280</v>
      </c>
      <c r="J21" s="8">
        <v>74052080</v>
      </c>
    </row>
    <row r="22" spans="1:10" x14ac:dyDescent="0.2">
      <c r="A22" s="6" t="s">
        <v>30</v>
      </c>
      <c r="B22" s="6">
        <v>11</v>
      </c>
      <c r="C22" s="8">
        <v>167</v>
      </c>
      <c r="D22" s="8">
        <v>32383984</v>
      </c>
      <c r="E22" s="8">
        <v>0</v>
      </c>
      <c r="F22" s="8">
        <v>0</v>
      </c>
      <c r="G22" s="8">
        <v>65</v>
      </c>
      <c r="H22" s="8">
        <v>12604545</v>
      </c>
      <c r="I22" s="8">
        <v>102</v>
      </c>
      <c r="J22" s="8">
        <v>19779439</v>
      </c>
    </row>
    <row r="23" spans="1:10" x14ac:dyDescent="0.2">
      <c r="A23" s="6" t="s">
        <v>31</v>
      </c>
      <c r="B23" s="6">
        <v>11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</row>
    <row r="24" spans="1:10" x14ac:dyDescent="0.2">
      <c r="A24" s="6" t="s">
        <v>32</v>
      </c>
      <c r="B24" s="6">
        <v>11</v>
      </c>
      <c r="C24" s="8">
        <v>117</v>
      </c>
      <c r="D24" s="8">
        <v>19470546</v>
      </c>
      <c r="E24" s="8">
        <v>20</v>
      </c>
      <c r="F24" s="8">
        <v>3351280</v>
      </c>
      <c r="G24" s="8">
        <v>0</v>
      </c>
      <c r="H24" s="8">
        <v>0</v>
      </c>
      <c r="I24" s="8">
        <v>137</v>
      </c>
      <c r="J24" s="8">
        <v>22821826</v>
      </c>
    </row>
    <row r="25" spans="1:10" x14ac:dyDescent="0.2">
      <c r="A25" s="6" t="s">
        <v>33</v>
      </c>
      <c r="B25" s="6">
        <v>11</v>
      </c>
      <c r="C25" s="8">
        <v>106</v>
      </c>
      <c r="D25" s="8">
        <v>16323470</v>
      </c>
      <c r="E25" s="8">
        <v>0</v>
      </c>
      <c r="F25" s="8">
        <v>0</v>
      </c>
      <c r="G25" s="8">
        <v>0</v>
      </c>
      <c r="H25" s="8">
        <v>0</v>
      </c>
      <c r="I25" s="8">
        <v>106</v>
      </c>
      <c r="J25" s="8">
        <v>16323470</v>
      </c>
    </row>
    <row r="26" spans="1:10" x14ac:dyDescent="0.2">
      <c r="A26" s="6" t="s">
        <v>34</v>
      </c>
      <c r="B26" s="6">
        <v>11</v>
      </c>
      <c r="C26" s="8">
        <v>104</v>
      </c>
      <c r="D26" s="8">
        <v>19220213</v>
      </c>
      <c r="E26" s="8">
        <v>0</v>
      </c>
      <c r="F26" s="8">
        <v>0</v>
      </c>
      <c r="G26" s="8">
        <v>10</v>
      </c>
      <c r="H26" s="8">
        <v>1848097</v>
      </c>
      <c r="I26" s="8">
        <v>94</v>
      </c>
      <c r="J26" s="8">
        <v>17372116</v>
      </c>
    </row>
    <row r="27" spans="1:10" x14ac:dyDescent="0.2">
      <c r="A27" s="6" t="s">
        <v>35</v>
      </c>
      <c r="B27" s="6">
        <v>11</v>
      </c>
      <c r="C27" s="8">
        <v>301</v>
      </c>
      <c r="D27" s="8">
        <v>34434000</v>
      </c>
      <c r="E27" s="8">
        <v>50</v>
      </c>
      <c r="F27" s="8">
        <v>5760000</v>
      </c>
      <c r="G27" s="8">
        <v>0</v>
      </c>
      <c r="H27" s="8">
        <v>0</v>
      </c>
      <c r="I27" s="8">
        <v>351</v>
      </c>
      <c r="J27" s="8">
        <v>40194000</v>
      </c>
    </row>
    <row r="28" spans="1:10" x14ac:dyDescent="0.2">
      <c r="A28" s="6" t="s">
        <v>36</v>
      </c>
      <c r="B28" s="6">
        <v>11</v>
      </c>
      <c r="C28" s="8">
        <v>40</v>
      </c>
      <c r="D28" s="8">
        <v>1818200</v>
      </c>
      <c r="E28" s="8">
        <v>0</v>
      </c>
      <c r="F28" s="8">
        <v>0</v>
      </c>
      <c r="G28" s="8">
        <v>0</v>
      </c>
      <c r="H28" s="8">
        <v>0</v>
      </c>
      <c r="I28" s="8">
        <v>40</v>
      </c>
      <c r="J28" s="8">
        <v>1818200</v>
      </c>
    </row>
    <row r="29" spans="1:10" x14ac:dyDescent="0.2">
      <c r="A29" s="6" t="s">
        <v>37</v>
      </c>
      <c r="B29" s="6">
        <v>11</v>
      </c>
      <c r="C29" s="8">
        <v>2773</v>
      </c>
      <c r="D29" s="8">
        <v>154387937</v>
      </c>
      <c r="E29" s="8">
        <v>2336</v>
      </c>
      <c r="F29" s="8">
        <v>130066144</v>
      </c>
      <c r="G29" s="8">
        <v>4276</v>
      </c>
      <c r="H29" s="8">
        <v>238075093</v>
      </c>
      <c r="I29" s="8">
        <v>833</v>
      </c>
      <c r="J29" s="8">
        <v>46378988</v>
      </c>
    </row>
    <row r="30" spans="1:10" x14ac:dyDescent="0.2">
      <c r="A30" s="6" t="s">
        <v>38</v>
      </c>
      <c r="B30" s="6">
        <v>11</v>
      </c>
      <c r="C30" s="8">
        <v>273746</v>
      </c>
      <c r="D30" s="8">
        <v>251866926</v>
      </c>
      <c r="E30" s="8">
        <v>4716</v>
      </c>
      <c r="F30" s="8">
        <v>147176928</v>
      </c>
      <c r="G30" s="8">
        <v>4595</v>
      </c>
      <c r="H30" s="8">
        <v>143400759</v>
      </c>
      <c r="I30" s="8">
        <v>273867</v>
      </c>
      <c r="J30" s="8">
        <v>255643095</v>
      </c>
    </row>
    <row r="31" spans="1:10" x14ac:dyDescent="0.2">
      <c r="A31" s="6" t="s">
        <v>39</v>
      </c>
      <c r="B31" s="6">
        <v>11</v>
      </c>
      <c r="C31" s="8">
        <v>25950</v>
      </c>
      <c r="D31" s="8">
        <v>51587859</v>
      </c>
      <c r="E31" s="8">
        <v>1350</v>
      </c>
      <c r="F31" s="8">
        <v>48848400</v>
      </c>
      <c r="G31" s="8">
        <v>1385</v>
      </c>
      <c r="H31" s="8">
        <v>50114829</v>
      </c>
      <c r="I31" s="8">
        <v>25915</v>
      </c>
      <c r="J31" s="8">
        <v>50321430</v>
      </c>
    </row>
    <row r="32" spans="1:10" x14ac:dyDescent="0.2">
      <c r="A32" s="6" t="s">
        <v>40</v>
      </c>
      <c r="B32" s="6">
        <v>11</v>
      </c>
      <c r="C32" s="8">
        <v>2430</v>
      </c>
      <c r="D32" s="8">
        <v>87927120</v>
      </c>
      <c r="E32" s="8">
        <v>0</v>
      </c>
      <c r="F32" s="8">
        <v>0</v>
      </c>
      <c r="G32" s="8">
        <v>0</v>
      </c>
      <c r="H32" s="8">
        <v>0</v>
      </c>
      <c r="I32" s="8">
        <v>2430</v>
      </c>
      <c r="J32" s="8">
        <v>87927120</v>
      </c>
    </row>
    <row r="33" spans="1:10" x14ac:dyDescent="0.2">
      <c r="A33" s="6" t="s">
        <v>41</v>
      </c>
      <c r="B33" s="6">
        <v>11</v>
      </c>
      <c r="C33" s="8">
        <v>90</v>
      </c>
      <c r="D33" s="8">
        <v>3256560</v>
      </c>
      <c r="E33" s="8">
        <v>0</v>
      </c>
      <c r="F33" s="8">
        <v>0</v>
      </c>
      <c r="G33" s="8">
        <v>90</v>
      </c>
      <c r="H33" s="8">
        <v>3067022</v>
      </c>
      <c r="I33" s="8">
        <v>0</v>
      </c>
      <c r="J33" s="8">
        <v>189538</v>
      </c>
    </row>
    <row r="34" spans="1:10" x14ac:dyDescent="0.2">
      <c r="A34" s="6" t="s">
        <v>42</v>
      </c>
      <c r="B34" s="6">
        <v>11</v>
      </c>
      <c r="C34" s="8">
        <v>192</v>
      </c>
      <c r="D34" s="8">
        <v>10166993</v>
      </c>
      <c r="E34" s="8">
        <v>0</v>
      </c>
      <c r="F34" s="8">
        <v>0</v>
      </c>
      <c r="G34" s="8">
        <v>32</v>
      </c>
      <c r="H34" s="8">
        <v>1628355</v>
      </c>
      <c r="I34" s="8">
        <v>160</v>
      </c>
      <c r="J34" s="8">
        <v>8538638</v>
      </c>
    </row>
    <row r="35" spans="1:10" x14ac:dyDescent="0.2">
      <c r="A35" s="6" t="s">
        <v>43</v>
      </c>
      <c r="B35" s="6">
        <v>11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</row>
    <row r="36" spans="1:10" x14ac:dyDescent="0.2">
      <c r="A36" s="6" t="s">
        <v>44</v>
      </c>
      <c r="B36" s="6">
        <v>11</v>
      </c>
      <c r="C36" s="8">
        <v>9770</v>
      </c>
      <c r="D36" s="8">
        <v>43950373</v>
      </c>
      <c r="E36" s="8">
        <v>750</v>
      </c>
      <c r="F36" s="8">
        <v>27138000</v>
      </c>
      <c r="G36" s="8">
        <v>1035</v>
      </c>
      <c r="H36" s="8">
        <v>37447723</v>
      </c>
      <c r="I36" s="8">
        <v>9485</v>
      </c>
      <c r="J36" s="8">
        <v>33640650</v>
      </c>
    </row>
    <row r="37" spans="1:10" x14ac:dyDescent="0.2">
      <c r="A37" s="6" t="s">
        <v>45</v>
      </c>
      <c r="B37" s="6">
        <v>11</v>
      </c>
      <c r="C37" s="8">
        <v>600</v>
      </c>
      <c r="D37" s="8">
        <v>21692145</v>
      </c>
      <c r="E37" s="8">
        <v>225</v>
      </c>
      <c r="F37" s="8">
        <v>8141400</v>
      </c>
      <c r="G37" s="8">
        <v>505</v>
      </c>
      <c r="H37" s="8">
        <v>18261746</v>
      </c>
      <c r="I37" s="8">
        <v>320</v>
      </c>
      <c r="J37" s="8">
        <v>11571799</v>
      </c>
    </row>
    <row r="38" spans="1:10" x14ac:dyDescent="0.2">
      <c r="A38" s="6" t="s">
        <v>46</v>
      </c>
      <c r="B38" s="6">
        <v>11</v>
      </c>
      <c r="C38" s="8">
        <v>285</v>
      </c>
      <c r="D38" s="8">
        <v>10381764</v>
      </c>
      <c r="E38" s="8">
        <v>120</v>
      </c>
      <c r="F38" s="8">
        <v>4342080</v>
      </c>
      <c r="G38" s="8">
        <v>135</v>
      </c>
      <c r="H38" s="8">
        <v>4827636</v>
      </c>
      <c r="I38" s="8">
        <v>270</v>
      </c>
      <c r="J38" s="8">
        <v>9896208</v>
      </c>
    </row>
    <row r="39" spans="1:10" x14ac:dyDescent="0.2">
      <c r="A39" s="6" t="s">
        <v>47</v>
      </c>
      <c r="B39" s="6">
        <v>11</v>
      </c>
      <c r="C39" s="8">
        <v>500</v>
      </c>
      <c r="D39" s="8">
        <v>2504338</v>
      </c>
      <c r="E39" s="8">
        <v>1000</v>
      </c>
      <c r="F39" s="8">
        <v>5093000</v>
      </c>
      <c r="G39" s="8">
        <v>0</v>
      </c>
      <c r="H39" s="8">
        <v>0</v>
      </c>
      <c r="I39" s="8">
        <v>1500</v>
      </c>
      <c r="J39" s="8">
        <v>7597338</v>
      </c>
    </row>
    <row r="40" spans="1:10" x14ac:dyDescent="0.2">
      <c r="A40" s="6" t="s">
        <v>48</v>
      </c>
      <c r="B40" s="6">
        <v>11</v>
      </c>
      <c r="C40" s="8">
        <v>48</v>
      </c>
      <c r="D40" s="8">
        <v>1156368</v>
      </c>
      <c r="E40" s="8">
        <v>144</v>
      </c>
      <c r="F40" s="8">
        <v>2955600</v>
      </c>
      <c r="G40" s="8">
        <v>0</v>
      </c>
      <c r="H40" s="8">
        <v>0</v>
      </c>
      <c r="I40" s="8">
        <v>192</v>
      </c>
      <c r="J40" s="8">
        <v>4111968</v>
      </c>
    </row>
    <row r="41" spans="1:10" x14ac:dyDescent="0.2">
      <c r="A41" s="6" t="s">
        <v>49</v>
      </c>
      <c r="B41" s="6">
        <v>11</v>
      </c>
      <c r="C41" s="8">
        <v>2040</v>
      </c>
      <c r="D41" s="8">
        <v>9985874</v>
      </c>
      <c r="E41" s="8">
        <v>3600</v>
      </c>
      <c r="F41" s="8">
        <v>17665200</v>
      </c>
      <c r="G41" s="8">
        <v>1620</v>
      </c>
      <c r="H41" s="8">
        <v>7942330</v>
      </c>
      <c r="I41" s="8">
        <v>4020</v>
      </c>
      <c r="J41" s="8">
        <v>19708744</v>
      </c>
    </row>
    <row r="42" spans="1:10" x14ac:dyDescent="0.2">
      <c r="A42" s="6" t="s">
        <v>50</v>
      </c>
      <c r="B42" s="6">
        <v>11</v>
      </c>
      <c r="C42" s="8">
        <v>750</v>
      </c>
      <c r="D42" s="8">
        <v>2517000</v>
      </c>
      <c r="E42" s="8">
        <v>0</v>
      </c>
      <c r="F42" s="8">
        <v>0</v>
      </c>
      <c r="G42" s="8">
        <v>0</v>
      </c>
      <c r="H42" s="8">
        <v>0</v>
      </c>
      <c r="I42" s="8">
        <v>750</v>
      </c>
      <c r="J42" s="8">
        <v>2517000</v>
      </c>
    </row>
    <row r="43" spans="1:10" x14ac:dyDescent="0.2">
      <c r="A43" s="6" t="s">
        <v>51</v>
      </c>
      <c r="B43" s="6">
        <v>11</v>
      </c>
      <c r="C43" s="8">
        <v>1250</v>
      </c>
      <c r="D43" s="8">
        <v>5109995</v>
      </c>
      <c r="E43" s="8">
        <v>850</v>
      </c>
      <c r="F43" s="8">
        <v>3541950</v>
      </c>
      <c r="G43" s="8">
        <v>750</v>
      </c>
      <c r="H43" s="8">
        <v>3089981</v>
      </c>
      <c r="I43" s="8">
        <v>1350</v>
      </c>
      <c r="J43" s="8">
        <v>5561964</v>
      </c>
    </row>
    <row r="44" spans="1:10" x14ac:dyDescent="0.2">
      <c r="A44" s="6" t="s">
        <v>52</v>
      </c>
      <c r="B44" s="6">
        <v>11</v>
      </c>
      <c r="C44" s="8">
        <v>1388</v>
      </c>
      <c r="D44" s="8">
        <v>31974847</v>
      </c>
      <c r="E44" s="8">
        <v>288</v>
      </c>
      <c r="F44" s="8">
        <v>6666624</v>
      </c>
      <c r="G44" s="8">
        <v>0</v>
      </c>
      <c r="H44" s="8">
        <v>0</v>
      </c>
      <c r="I44" s="8">
        <v>1676</v>
      </c>
      <c r="J44" s="8">
        <v>38641471</v>
      </c>
    </row>
    <row r="45" spans="1:10" x14ac:dyDescent="0.2">
      <c r="A45" s="6" t="s">
        <v>53</v>
      </c>
      <c r="B45" s="6">
        <v>11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</row>
    <row r="46" spans="1:10" x14ac:dyDescent="0.2">
      <c r="A46" s="6" t="s">
        <v>54</v>
      </c>
      <c r="B46" s="6">
        <v>11</v>
      </c>
      <c r="C46" s="8">
        <v>3314</v>
      </c>
      <c r="D46" s="8">
        <v>47924396</v>
      </c>
      <c r="E46" s="8">
        <v>4800</v>
      </c>
      <c r="F46" s="8">
        <v>71112000</v>
      </c>
      <c r="G46" s="8">
        <v>3636</v>
      </c>
      <c r="H46" s="8">
        <v>53341920</v>
      </c>
      <c r="I46" s="8">
        <v>4478</v>
      </c>
      <c r="J46" s="8">
        <v>65694476</v>
      </c>
    </row>
    <row r="47" spans="1:10" x14ac:dyDescent="0.2">
      <c r="A47" s="6" t="s">
        <v>55</v>
      </c>
      <c r="B47" s="6">
        <v>11</v>
      </c>
      <c r="C47" s="8">
        <v>120</v>
      </c>
      <c r="D47" s="8">
        <v>10555933</v>
      </c>
      <c r="E47" s="8">
        <v>48</v>
      </c>
      <c r="F47" s="8">
        <v>4244448</v>
      </c>
      <c r="G47" s="8">
        <v>6</v>
      </c>
      <c r="H47" s="8">
        <v>528585</v>
      </c>
      <c r="I47" s="8">
        <v>162</v>
      </c>
      <c r="J47" s="8">
        <v>14271796</v>
      </c>
    </row>
    <row r="48" spans="1:10" x14ac:dyDescent="0.2">
      <c r="A48" s="6" t="s">
        <v>56</v>
      </c>
      <c r="B48" s="6">
        <v>11</v>
      </c>
      <c r="C48" s="8">
        <v>912</v>
      </c>
      <c r="D48" s="8">
        <v>8742240</v>
      </c>
      <c r="E48" s="8">
        <v>432</v>
      </c>
      <c r="F48" s="8">
        <v>4160160</v>
      </c>
      <c r="G48" s="8">
        <v>480</v>
      </c>
      <c r="H48" s="8">
        <v>4608000</v>
      </c>
      <c r="I48" s="8">
        <v>864</v>
      </c>
      <c r="J48" s="8">
        <v>8294400</v>
      </c>
    </row>
    <row r="49" spans="1:10" x14ac:dyDescent="0.2">
      <c r="A49" s="6" t="s">
        <v>57</v>
      </c>
      <c r="B49" s="6">
        <v>11</v>
      </c>
      <c r="C49" s="8">
        <v>696</v>
      </c>
      <c r="D49" s="8">
        <v>11988195</v>
      </c>
      <c r="E49" s="8">
        <v>192</v>
      </c>
      <c r="F49" s="8">
        <v>3377856</v>
      </c>
      <c r="G49" s="8">
        <v>130</v>
      </c>
      <c r="H49" s="8">
        <v>2249534</v>
      </c>
      <c r="I49" s="8">
        <v>758</v>
      </c>
      <c r="J49" s="8">
        <v>13116517</v>
      </c>
    </row>
    <row r="50" spans="1:10" x14ac:dyDescent="0.2">
      <c r="A50" s="6" t="s">
        <v>58</v>
      </c>
      <c r="B50" s="6">
        <v>11</v>
      </c>
      <c r="C50" s="8">
        <v>3180</v>
      </c>
      <c r="D50" s="8">
        <v>26945560</v>
      </c>
      <c r="E50" s="8">
        <v>720</v>
      </c>
      <c r="F50" s="8">
        <v>6199920</v>
      </c>
      <c r="G50" s="8">
        <v>240</v>
      </c>
      <c r="H50" s="8">
        <v>2039722</v>
      </c>
      <c r="I50" s="8">
        <v>3660</v>
      </c>
      <c r="J50" s="8">
        <v>31105758</v>
      </c>
    </row>
    <row r="51" spans="1:10" x14ac:dyDescent="0.2">
      <c r="A51" s="6" t="s">
        <v>59</v>
      </c>
      <c r="B51" s="6">
        <v>11</v>
      </c>
      <c r="C51" s="8">
        <v>6146</v>
      </c>
      <c r="D51" s="8">
        <v>100022514</v>
      </c>
      <c r="E51" s="8">
        <v>3360</v>
      </c>
      <c r="F51" s="8">
        <v>56001120</v>
      </c>
      <c r="G51" s="8">
        <v>5430</v>
      </c>
      <c r="H51" s="8">
        <v>89123536</v>
      </c>
      <c r="I51" s="8">
        <v>4076</v>
      </c>
      <c r="J51" s="8">
        <v>66900098</v>
      </c>
    </row>
    <row r="52" spans="1:10" x14ac:dyDescent="0.2">
      <c r="A52" s="6" t="s">
        <v>60</v>
      </c>
      <c r="B52" s="6">
        <v>11</v>
      </c>
      <c r="C52" s="8">
        <v>4535</v>
      </c>
      <c r="D52" s="8">
        <v>144799970</v>
      </c>
      <c r="E52" s="8">
        <v>1236</v>
      </c>
      <c r="F52" s="8">
        <v>43521996</v>
      </c>
      <c r="G52" s="8">
        <v>2720</v>
      </c>
      <c r="H52" s="8">
        <v>88760310</v>
      </c>
      <c r="I52" s="8">
        <v>3051</v>
      </c>
      <c r="J52" s="8">
        <v>99561656</v>
      </c>
    </row>
    <row r="53" spans="1:10" x14ac:dyDescent="0.2">
      <c r="A53" s="6" t="s">
        <v>61</v>
      </c>
      <c r="B53" s="6">
        <v>11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</row>
    <row r="54" spans="1:10" x14ac:dyDescent="0.2">
      <c r="A54" s="6" t="s">
        <v>62</v>
      </c>
      <c r="B54" s="6">
        <v>11</v>
      </c>
      <c r="C54" s="8">
        <v>1694</v>
      </c>
      <c r="D54" s="8">
        <v>8272736</v>
      </c>
      <c r="E54" s="8">
        <v>3840</v>
      </c>
      <c r="F54" s="8">
        <v>18842880</v>
      </c>
      <c r="G54" s="8">
        <v>1500</v>
      </c>
      <c r="H54" s="8">
        <v>7349733</v>
      </c>
      <c r="I54" s="8">
        <v>4034</v>
      </c>
      <c r="J54" s="8">
        <v>19765883</v>
      </c>
    </row>
    <row r="55" spans="1:10" x14ac:dyDescent="0.2">
      <c r="A55" s="6" t="s">
        <v>63</v>
      </c>
      <c r="B55" s="6">
        <v>11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</row>
    <row r="56" spans="1:10" x14ac:dyDescent="0.2">
      <c r="A56" s="6" t="s">
        <v>64</v>
      </c>
      <c r="B56" s="6">
        <v>11</v>
      </c>
      <c r="C56" s="8">
        <v>30</v>
      </c>
      <c r="D56" s="8">
        <v>5833320</v>
      </c>
      <c r="E56" s="8">
        <v>0</v>
      </c>
      <c r="F56" s="8">
        <v>0</v>
      </c>
      <c r="G56" s="8">
        <v>5</v>
      </c>
      <c r="H56" s="8">
        <v>972220</v>
      </c>
      <c r="I56" s="8">
        <v>25</v>
      </c>
      <c r="J56" s="8">
        <v>4861100</v>
      </c>
    </row>
    <row r="57" spans="1:10" x14ac:dyDescent="0.2">
      <c r="A57" s="6" t="s">
        <v>65</v>
      </c>
      <c r="B57" s="6">
        <v>11</v>
      </c>
      <c r="C57" s="8">
        <v>12</v>
      </c>
      <c r="D57" s="8">
        <v>2277780</v>
      </c>
      <c r="E57" s="8">
        <v>0</v>
      </c>
      <c r="F57" s="8">
        <v>0</v>
      </c>
      <c r="G57" s="8">
        <v>5</v>
      </c>
      <c r="H57" s="8">
        <v>949075</v>
      </c>
      <c r="I57" s="8">
        <v>7</v>
      </c>
      <c r="J57" s="8">
        <v>1328705</v>
      </c>
    </row>
    <row r="58" spans="1:10" x14ac:dyDescent="0.2">
      <c r="A58" s="6" t="s">
        <v>66</v>
      </c>
      <c r="B58" s="6">
        <v>11</v>
      </c>
      <c r="C58" s="8">
        <v>3064</v>
      </c>
      <c r="D58" s="8">
        <v>47448391</v>
      </c>
      <c r="E58" s="8">
        <v>2340</v>
      </c>
      <c r="F58" s="8">
        <v>36833940</v>
      </c>
      <c r="G58" s="8">
        <v>1764</v>
      </c>
      <c r="H58" s="8">
        <v>27511849</v>
      </c>
      <c r="I58" s="8">
        <v>3640</v>
      </c>
      <c r="J58" s="8">
        <v>56770482</v>
      </c>
    </row>
    <row r="59" spans="1:10" x14ac:dyDescent="0.2">
      <c r="A59" s="6" t="s">
        <v>67</v>
      </c>
      <c r="B59" s="6">
        <v>11</v>
      </c>
      <c r="C59" s="8">
        <v>170</v>
      </c>
      <c r="D59" s="8">
        <v>1385264</v>
      </c>
      <c r="E59" s="8">
        <v>0</v>
      </c>
      <c r="F59" s="8">
        <v>0</v>
      </c>
      <c r="G59" s="8">
        <v>0</v>
      </c>
      <c r="H59" s="8">
        <v>0</v>
      </c>
      <c r="I59" s="8">
        <v>170</v>
      </c>
      <c r="J59" s="8">
        <v>1385264</v>
      </c>
    </row>
    <row r="60" spans="1:10" x14ac:dyDescent="0.2">
      <c r="A60" s="6" t="s">
        <v>68</v>
      </c>
      <c r="B60" s="6">
        <v>11</v>
      </c>
      <c r="C60" s="8">
        <v>360</v>
      </c>
      <c r="D60" s="8">
        <v>16605905</v>
      </c>
      <c r="E60" s="8">
        <v>24</v>
      </c>
      <c r="F60" s="8">
        <v>1120008</v>
      </c>
      <c r="G60" s="8">
        <v>0</v>
      </c>
      <c r="H60" s="8">
        <v>0</v>
      </c>
      <c r="I60" s="8">
        <v>384</v>
      </c>
      <c r="J60" s="8">
        <v>17725913</v>
      </c>
    </row>
    <row r="61" spans="1:10" x14ac:dyDescent="0.2">
      <c r="A61" s="6" t="s">
        <v>69</v>
      </c>
      <c r="B61" s="6">
        <v>11</v>
      </c>
      <c r="C61" s="8">
        <v>78</v>
      </c>
      <c r="D61" s="8">
        <v>8088912</v>
      </c>
      <c r="E61" s="8">
        <v>78</v>
      </c>
      <c r="F61" s="8">
        <v>8088912</v>
      </c>
      <c r="G61" s="8">
        <v>0</v>
      </c>
      <c r="H61" s="8">
        <v>0</v>
      </c>
      <c r="I61" s="8">
        <v>156</v>
      </c>
      <c r="J61" s="8">
        <v>16177824</v>
      </c>
    </row>
    <row r="62" spans="1:10" x14ac:dyDescent="0.2">
      <c r="A62" s="6" t="s">
        <v>70</v>
      </c>
      <c r="B62" s="6">
        <v>11</v>
      </c>
      <c r="C62" s="8">
        <v>42</v>
      </c>
      <c r="D62" s="8">
        <v>6066648</v>
      </c>
      <c r="E62" s="8">
        <v>42</v>
      </c>
      <c r="F62" s="8">
        <v>6066648</v>
      </c>
      <c r="G62" s="8">
        <v>0</v>
      </c>
      <c r="H62" s="8">
        <v>0</v>
      </c>
      <c r="I62" s="8">
        <v>84</v>
      </c>
      <c r="J62" s="8">
        <v>12133296</v>
      </c>
    </row>
    <row r="63" spans="1:10" x14ac:dyDescent="0.2">
      <c r="A63" s="6" t="s">
        <v>71</v>
      </c>
      <c r="B63" s="6">
        <v>11</v>
      </c>
      <c r="C63" s="8">
        <v>1200</v>
      </c>
      <c r="D63" s="8">
        <v>18549704</v>
      </c>
      <c r="E63" s="8">
        <v>648</v>
      </c>
      <c r="F63" s="8">
        <v>10200168</v>
      </c>
      <c r="G63" s="8">
        <v>240</v>
      </c>
      <c r="H63" s="8">
        <v>3733750</v>
      </c>
      <c r="I63" s="8">
        <v>1608</v>
      </c>
      <c r="J63" s="8">
        <v>25016122</v>
      </c>
    </row>
    <row r="64" spans="1:10" x14ac:dyDescent="0.2">
      <c r="A64" s="6" t="s">
        <v>72</v>
      </c>
      <c r="B64" s="6">
        <v>11</v>
      </c>
      <c r="C64" s="8">
        <v>2913</v>
      </c>
      <c r="D64" s="8">
        <v>66891481</v>
      </c>
      <c r="E64" s="8">
        <v>2283</v>
      </c>
      <c r="F64" s="8">
        <v>54888720</v>
      </c>
      <c r="G64" s="8">
        <v>1344</v>
      </c>
      <c r="H64" s="8">
        <v>31499729</v>
      </c>
      <c r="I64" s="8">
        <v>3852</v>
      </c>
      <c r="J64" s="8">
        <v>90280472</v>
      </c>
    </row>
    <row r="65" spans="1:10" x14ac:dyDescent="0.2">
      <c r="A65" s="6" t="s">
        <v>73</v>
      </c>
      <c r="B65" s="6">
        <v>11</v>
      </c>
      <c r="C65" s="8">
        <v>1914</v>
      </c>
      <c r="D65" s="8">
        <v>64949673</v>
      </c>
      <c r="E65" s="8">
        <v>3000</v>
      </c>
      <c r="F65" s="8">
        <v>102777000</v>
      </c>
      <c r="G65" s="8">
        <v>696</v>
      </c>
      <c r="H65" s="8">
        <v>23756159</v>
      </c>
      <c r="I65" s="8">
        <v>4218</v>
      </c>
      <c r="J65" s="8">
        <v>143970514</v>
      </c>
    </row>
    <row r="66" spans="1:10" x14ac:dyDescent="0.2">
      <c r="A66" s="6" t="s">
        <v>74</v>
      </c>
      <c r="B66" s="6">
        <v>11</v>
      </c>
      <c r="C66" s="8">
        <v>7200</v>
      </c>
      <c r="D66" s="8">
        <v>106094393</v>
      </c>
      <c r="E66" s="8">
        <v>1368</v>
      </c>
      <c r="F66" s="8">
        <v>20266920</v>
      </c>
      <c r="G66" s="8">
        <v>3432</v>
      </c>
      <c r="H66" s="8">
        <v>50615316</v>
      </c>
      <c r="I66" s="8">
        <v>5136</v>
      </c>
      <c r="J66" s="8">
        <v>75745997</v>
      </c>
    </row>
    <row r="67" spans="1:10" x14ac:dyDescent="0.2">
      <c r="A67" s="6" t="s">
        <v>75</v>
      </c>
      <c r="B67" s="6">
        <v>11</v>
      </c>
      <c r="C67" s="8">
        <v>4800</v>
      </c>
      <c r="D67" s="8">
        <v>1741333</v>
      </c>
      <c r="E67" s="8">
        <v>5600</v>
      </c>
      <c r="F67" s="8">
        <v>2072000</v>
      </c>
      <c r="G67" s="8">
        <v>0</v>
      </c>
      <c r="H67" s="8">
        <v>0</v>
      </c>
      <c r="I67" s="8">
        <v>10400</v>
      </c>
      <c r="J67" s="8">
        <v>3813333</v>
      </c>
    </row>
    <row r="68" spans="1:10" x14ac:dyDescent="0.2">
      <c r="A68" s="6" t="s">
        <v>76</v>
      </c>
      <c r="B68" s="6">
        <v>11</v>
      </c>
      <c r="C68" s="8">
        <v>126</v>
      </c>
      <c r="D68" s="8">
        <v>7460601</v>
      </c>
      <c r="E68" s="8">
        <v>75</v>
      </c>
      <c r="F68" s="8">
        <v>3958350</v>
      </c>
      <c r="G68" s="8">
        <v>33</v>
      </c>
      <c r="H68" s="8">
        <v>1874753</v>
      </c>
      <c r="I68" s="8">
        <v>168</v>
      </c>
      <c r="J68" s="8">
        <v>9544198</v>
      </c>
    </row>
    <row r="69" spans="1:10" x14ac:dyDescent="0.2">
      <c r="A69" s="6" t="s">
        <v>77</v>
      </c>
      <c r="B69" s="6">
        <v>11</v>
      </c>
      <c r="C69" s="8">
        <v>996</v>
      </c>
      <c r="D69" s="8">
        <v>6130917</v>
      </c>
      <c r="E69" s="8">
        <v>96</v>
      </c>
      <c r="F69" s="8">
        <v>604416</v>
      </c>
      <c r="G69" s="8">
        <v>0</v>
      </c>
      <c r="H69" s="8">
        <v>0</v>
      </c>
      <c r="I69" s="8">
        <v>1092</v>
      </c>
      <c r="J69" s="8">
        <v>6735333</v>
      </c>
    </row>
    <row r="70" spans="1:10" x14ac:dyDescent="0.2">
      <c r="A70" s="6" t="s">
        <v>78</v>
      </c>
      <c r="B70" s="6">
        <v>11</v>
      </c>
      <c r="C70" s="8">
        <v>5571</v>
      </c>
      <c r="D70" s="8">
        <v>46190355</v>
      </c>
      <c r="E70" s="8">
        <v>1800</v>
      </c>
      <c r="F70" s="8">
        <v>19999800</v>
      </c>
      <c r="G70" s="8">
        <v>0</v>
      </c>
      <c r="H70" s="8">
        <v>0</v>
      </c>
      <c r="I70" s="8">
        <v>7371</v>
      </c>
      <c r="J70" s="8">
        <v>66190155</v>
      </c>
    </row>
    <row r="71" spans="1:10" x14ac:dyDescent="0.2">
      <c r="A71" s="6" t="s">
        <v>79</v>
      </c>
      <c r="B71" s="6">
        <v>11</v>
      </c>
      <c r="C71" s="8">
        <v>1936</v>
      </c>
      <c r="D71" s="8">
        <v>38676068</v>
      </c>
      <c r="E71" s="8">
        <v>216</v>
      </c>
      <c r="F71" s="8">
        <v>4599936</v>
      </c>
      <c r="G71" s="8">
        <v>240</v>
      </c>
      <c r="H71" s="8">
        <v>4826320</v>
      </c>
      <c r="I71" s="8">
        <v>1912</v>
      </c>
      <c r="J71" s="8">
        <v>38449684</v>
      </c>
    </row>
    <row r="72" spans="1:10" x14ac:dyDescent="0.2">
      <c r="A72" s="6" t="s">
        <v>80</v>
      </c>
      <c r="B72" s="6">
        <v>11</v>
      </c>
      <c r="C72" s="8">
        <v>144</v>
      </c>
      <c r="D72" s="8">
        <v>2069614</v>
      </c>
      <c r="E72" s="8">
        <v>36</v>
      </c>
      <c r="F72" s="8">
        <v>533340</v>
      </c>
      <c r="G72" s="8">
        <v>0</v>
      </c>
      <c r="H72" s="8">
        <v>0</v>
      </c>
      <c r="I72" s="8">
        <v>180</v>
      </c>
      <c r="J72" s="8">
        <v>2602954</v>
      </c>
    </row>
    <row r="73" spans="1:10" x14ac:dyDescent="0.2">
      <c r="A73" s="6" t="s">
        <v>81</v>
      </c>
      <c r="B73" s="6">
        <v>11</v>
      </c>
      <c r="C73" s="8">
        <v>1728</v>
      </c>
      <c r="D73" s="8">
        <v>26326692</v>
      </c>
      <c r="E73" s="8">
        <v>324</v>
      </c>
      <c r="F73" s="8">
        <v>5100084</v>
      </c>
      <c r="G73" s="8">
        <v>0</v>
      </c>
      <c r="H73" s="8">
        <v>0</v>
      </c>
      <c r="I73" s="8">
        <v>2052</v>
      </c>
      <c r="J73" s="8">
        <v>31426776</v>
      </c>
    </row>
    <row r="74" spans="1:10" x14ac:dyDescent="0.2">
      <c r="A74" s="6" t="s">
        <v>82</v>
      </c>
      <c r="B74" s="6">
        <v>11</v>
      </c>
      <c r="C74" s="8">
        <v>5400</v>
      </c>
      <c r="D74" s="8">
        <v>39405185</v>
      </c>
      <c r="E74" s="8">
        <v>720</v>
      </c>
      <c r="F74" s="8">
        <v>5333040</v>
      </c>
      <c r="G74" s="8">
        <v>360</v>
      </c>
      <c r="H74" s="8">
        <v>2631660</v>
      </c>
      <c r="I74" s="8">
        <v>5760</v>
      </c>
      <c r="J74" s="8">
        <v>42106565</v>
      </c>
    </row>
    <row r="75" spans="1:10" x14ac:dyDescent="0.2">
      <c r="A75" s="6" t="s">
        <v>83</v>
      </c>
      <c r="B75" s="6">
        <v>11</v>
      </c>
      <c r="C75" s="8">
        <v>3366</v>
      </c>
      <c r="D75" s="8">
        <v>25519815</v>
      </c>
      <c r="E75" s="8">
        <v>0</v>
      </c>
      <c r="F75" s="8">
        <v>0</v>
      </c>
      <c r="G75" s="8">
        <v>720</v>
      </c>
      <c r="H75" s="8">
        <v>5458784</v>
      </c>
      <c r="I75" s="8">
        <v>2646</v>
      </c>
      <c r="J75" s="8">
        <v>20061031</v>
      </c>
    </row>
    <row r="76" spans="1:10" x14ac:dyDescent="0.2">
      <c r="A76" s="6" t="s">
        <v>84</v>
      </c>
      <c r="B76" s="6">
        <v>11</v>
      </c>
      <c r="C76" s="8">
        <v>16616</v>
      </c>
      <c r="D76" s="8">
        <v>505021884</v>
      </c>
      <c r="E76" s="8">
        <v>8280</v>
      </c>
      <c r="F76" s="8">
        <v>260662680</v>
      </c>
      <c r="G76" s="8">
        <v>3552</v>
      </c>
      <c r="H76" s="8">
        <v>109242913</v>
      </c>
      <c r="I76" s="8">
        <v>21344</v>
      </c>
      <c r="J76" s="8">
        <v>656441651</v>
      </c>
    </row>
    <row r="77" spans="1:10" x14ac:dyDescent="0.2">
      <c r="A77" s="6" t="s">
        <v>85</v>
      </c>
      <c r="B77" s="6">
        <v>11</v>
      </c>
      <c r="C77" s="8">
        <v>21055</v>
      </c>
      <c r="D77" s="8">
        <v>190176386</v>
      </c>
      <c r="E77" s="8">
        <v>10080</v>
      </c>
      <c r="F77" s="8">
        <v>93330720</v>
      </c>
      <c r="G77" s="8">
        <v>8424</v>
      </c>
      <c r="H77" s="8">
        <v>76706724</v>
      </c>
      <c r="I77" s="8">
        <v>22711</v>
      </c>
      <c r="J77" s="8">
        <v>206800382</v>
      </c>
    </row>
    <row r="78" spans="1:10" x14ac:dyDescent="0.2">
      <c r="A78" s="6" t="s">
        <v>86</v>
      </c>
      <c r="B78" s="6">
        <v>11</v>
      </c>
      <c r="C78" s="8">
        <v>64769</v>
      </c>
      <c r="D78" s="8">
        <v>464823664</v>
      </c>
      <c r="E78" s="8">
        <v>19440</v>
      </c>
      <c r="F78" s="8">
        <v>143992080</v>
      </c>
      <c r="G78" s="8">
        <v>32688</v>
      </c>
      <c r="H78" s="8">
        <v>245160000</v>
      </c>
      <c r="I78" s="8">
        <v>51521</v>
      </c>
      <c r="J78" s="8">
        <v>363655744</v>
      </c>
    </row>
    <row r="79" spans="1:10" x14ac:dyDescent="0.2">
      <c r="A79" s="6" t="s">
        <v>87</v>
      </c>
      <c r="B79" s="6">
        <v>11</v>
      </c>
      <c r="C79" s="8">
        <v>1467</v>
      </c>
      <c r="D79" s="8">
        <v>26303540</v>
      </c>
      <c r="E79" s="8">
        <v>7020</v>
      </c>
      <c r="F79" s="8">
        <v>126753120</v>
      </c>
      <c r="G79" s="8">
        <v>5292</v>
      </c>
      <c r="H79" s="8">
        <v>95437239</v>
      </c>
      <c r="I79" s="8">
        <v>3195</v>
      </c>
      <c r="J79" s="8">
        <v>57619421</v>
      </c>
    </row>
    <row r="80" spans="1:10" x14ac:dyDescent="0.2">
      <c r="A80" s="6" t="s">
        <v>88</v>
      </c>
      <c r="B80" s="6">
        <v>11</v>
      </c>
      <c r="C80" s="8">
        <v>768</v>
      </c>
      <c r="D80" s="8">
        <v>16058112</v>
      </c>
      <c r="E80" s="8">
        <v>0</v>
      </c>
      <c r="F80" s="8">
        <v>0</v>
      </c>
      <c r="G80" s="8">
        <v>150</v>
      </c>
      <c r="H80" s="8">
        <v>3136350</v>
      </c>
      <c r="I80" s="8">
        <v>618</v>
      </c>
      <c r="J80" s="8">
        <v>12921762</v>
      </c>
    </row>
    <row r="81" spans="1:10" x14ac:dyDescent="0.2">
      <c r="A81" s="6" t="s">
        <v>89</v>
      </c>
      <c r="B81" s="6">
        <v>11</v>
      </c>
      <c r="C81" s="8">
        <v>276</v>
      </c>
      <c r="D81" s="8">
        <v>6734244</v>
      </c>
      <c r="E81" s="8">
        <v>300</v>
      </c>
      <c r="F81" s="8">
        <v>7361100</v>
      </c>
      <c r="G81" s="8">
        <v>12</v>
      </c>
      <c r="H81" s="8">
        <v>293653</v>
      </c>
      <c r="I81" s="8">
        <v>564</v>
      </c>
      <c r="J81" s="8">
        <v>13801691</v>
      </c>
    </row>
    <row r="82" spans="1:10" x14ac:dyDescent="0.2">
      <c r="A82" s="6" t="s">
        <v>90</v>
      </c>
      <c r="B82" s="6">
        <v>11</v>
      </c>
      <c r="C82" s="8">
        <v>735</v>
      </c>
      <c r="D82" s="8">
        <v>39108093</v>
      </c>
      <c r="E82" s="8">
        <v>1890</v>
      </c>
      <c r="F82" s="8">
        <v>100625490</v>
      </c>
      <c r="G82" s="8">
        <v>1580</v>
      </c>
      <c r="H82" s="8">
        <v>84106310</v>
      </c>
      <c r="I82" s="8">
        <v>1045</v>
      </c>
      <c r="J82" s="8">
        <v>55627273</v>
      </c>
    </row>
    <row r="83" spans="1:10" x14ac:dyDescent="0.2">
      <c r="A83" s="6" t="s">
        <v>91</v>
      </c>
      <c r="B83" s="6">
        <v>11</v>
      </c>
      <c r="C83" s="8">
        <v>4725</v>
      </c>
      <c r="D83" s="8">
        <v>42750988</v>
      </c>
      <c r="E83" s="8">
        <v>3120</v>
      </c>
      <c r="F83" s="8">
        <v>30332640</v>
      </c>
      <c r="G83" s="8">
        <v>1056</v>
      </c>
      <c r="H83" s="8">
        <v>9837643</v>
      </c>
      <c r="I83" s="8">
        <v>6789</v>
      </c>
      <c r="J83" s="8">
        <v>63245985</v>
      </c>
    </row>
    <row r="84" spans="1:10" x14ac:dyDescent="0.2">
      <c r="A84" s="6" t="s">
        <v>92</v>
      </c>
      <c r="B84" s="6">
        <v>11</v>
      </c>
      <c r="C84" s="8">
        <v>40800</v>
      </c>
      <c r="D84" s="8">
        <v>19974978</v>
      </c>
      <c r="E84" s="8">
        <v>20800</v>
      </c>
      <c r="F84" s="8">
        <v>10212800</v>
      </c>
      <c r="G84" s="8">
        <v>10800</v>
      </c>
      <c r="H84" s="8">
        <v>5292662</v>
      </c>
      <c r="I84" s="8">
        <v>50800</v>
      </c>
      <c r="J84" s="8">
        <v>24895116</v>
      </c>
    </row>
    <row r="85" spans="1:10" x14ac:dyDescent="0.2">
      <c r="A85" s="6" t="s">
        <v>93</v>
      </c>
      <c r="B85" s="6">
        <v>11</v>
      </c>
      <c r="C85" s="8">
        <v>324</v>
      </c>
      <c r="D85" s="8">
        <v>17060343</v>
      </c>
      <c r="E85" s="8">
        <v>120</v>
      </c>
      <c r="F85" s="8">
        <v>6388920</v>
      </c>
      <c r="G85" s="8">
        <v>0</v>
      </c>
      <c r="H85" s="8">
        <v>0</v>
      </c>
      <c r="I85" s="8">
        <v>444</v>
      </c>
      <c r="J85" s="8">
        <v>23449263</v>
      </c>
    </row>
    <row r="86" spans="1:10" x14ac:dyDescent="0.2">
      <c r="A86" s="6" t="s">
        <v>94</v>
      </c>
      <c r="B86" s="6">
        <v>11</v>
      </c>
      <c r="C86" s="8">
        <v>312</v>
      </c>
      <c r="D86" s="8">
        <v>2923786</v>
      </c>
      <c r="E86" s="8">
        <v>96</v>
      </c>
      <c r="F86" s="8">
        <v>933312</v>
      </c>
      <c r="G86" s="8">
        <v>0</v>
      </c>
      <c r="H86" s="8">
        <v>0</v>
      </c>
      <c r="I86" s="8">
        <v>408</v>
      </c>
      <c r="J86" s="8">
        <v>3857098</v>
      </c>
    </row>
    <row r="87" spans="1:10" x14ac:dyDescent="0.2">
      <c r="A87" s="6" t="s">
        <v>95</v>
      </c>
      <c r="B87" s="6">
        <v>11</v>
      </c>
      <c r="C87" s="8">
        <v>1008</v>
      </c>
      <c r="D87" s="8">
        <v>8266604</v>
      </c>
      <c r="E87" s="8">
        <v>252</v>
      </c>
      <c r="F87" s="8">
        <v>2099916</v>
      </c>
      <c r="G87" s="8">
        <v>360</v>
      </c>
      <c r="H87" s="8">
        <v>2961863</v>
      </c>
      <c r="I87" s="8">
        <v>900</v>
      </c>
      <c r="J87" s="8">
        <v>7404657</v>
      </c>
    </row>
    <row r="88" spans="1:10" x14ac:dyDescent="0.2">
      <c r="A88" s="6" t="s">
        <v>96</v>
      </c>
      <c r="B88" s="6">
        <v>11</v>
      </c>
      <c r="C88" s="8">
        <v>90</v>
      </c>
      <c r="D88" s="8">
        <v>10228346</v>
      </c>
      <c r="E88" s="8">
        <v>165</v>
      </c>
      <c r="F88" s="8">
        <v>19173660</v>
      </c>
      <c r="G88" s="8">
        <v>30</v>
      </c>
      <c r="H88" s="8">
        <v>3459060</v>
      </c>
      <c r="I88" s="8">
        <v>225</v>
      </c>
      <c r="J88" s="8">
        <v>25942946</v>
      </c>
    </row>
    <row r="89" spans="1:10" x14ac:dyDescent="0.2">
      <c r="A89" s="6" t="s">
        <v>97</v>
      </c>
      <c r="B89" s="6">
        <v>11</v>
      </c>
      <c r="C89" s="8">
        <v>44800</v>
      </c>
      <c r="D89" s="8">
        <v>21933671</v>
      </c>
      <c r="E89" s="8">
        <v>28000</v>
      </c>
      <c r="F89" s="8">
        <v>13748000</v>
      </c>
      <c r="G89" s="8">
        <v>15600</v>
      </c>
      <c r="H89" s="8">
        <v>7646072</v>
      </c>
      <c r="I89" s="8">
        <v>57200</v>
      </c>
      <c r="J89" s="8">
        <v>28035599</v>
      </c>
    </row>
    <row r="90" spans="1:10" x14ac:dyDescent="0.2">
      <c r="A90" s="6" t="s">
        <v>98</v>
      </c>
      <c r="B90" s="6">
        <v>11</v>
      </c>
      <c r="C90" s="8">
        <v>2160</v>
      </c>
      <c r="D90" s="8">
        <v>22001210</v>
      </c>
      <c r="E90" s="8">
        <v>240</v>
      </c>
      <c r="F90" s="8">
        <v>2533440</v>
      </c>
      <c r="G90" s="8">
        <v>480</v>
      </c>
      <c r="H90" s="8">
        <v>4906930</v>
      </c>
      <c r="I90" s="8">
        <v>1920</v>
      </c>
      <c r="J90" s="8">
        <v>19627720</v>
      </c>
    </row>
    <row r="91" spans="1:10" x14ac:dyDescent="0.2">
      <c r="A91" s="6" t="s">
        <v>99</v>
      </c>
      <c r="B91" s="6">
        <v>11</v>
      </c>
      <c r="C91" s="8">
        <v>48</v>
      </c>
      <c r="D91" s="8">
        <v>297792</v>
      </c>
      <c r="E91" s="8">
        <v>48</v>
      </c>
      <c r="F91" s="8">
        <v>297792</v>
      </c>
      <c r="G91" s="8">
        <v>0</v>
      </c>
      <c r="H91" s="8">
        <v>0</v>
      </c>
      <c r="I91" s="8">
        <v>96</v>
      </c>
      <c r="J91" s="8">
        <v>595584</v>
      </c>
    </row>
    <row r="92" spans="1:10" x14ac:dyDescent="0.2">
      <c r="A92" s="6" t="s">
        <v>100</v>
      </c>
      <c r="B92" s="6">
        <v>11</v>
      </c>
      <c r="C92" s="8">
        <v>1703</v>
      </c>
      <c r="D92" s="8">
        <v>83983667</v>
      </c>
      <c r="E92" s="8">
        <v>1890</v>
      </c>
      <c r="F92" s="8">
        <v>100625490</v>
      </c>
      <c r="G92" s="8">
        <v>1488</v>
      </c>
      <c r="H92" s="8">
        <v>76453778</v>
      </c>
      <c r="I92" s="8">
        <v>2105</v>
      </c>
      <c r="J92" s="8">
        <v>108155379</v>
      </c>
    </row>
    <row r="93" spans="1:10" x14ac:dyDescent="0.2">
      <c r="A93" s="6" t="s">
        <v>101</v>
      </c>
      <c r="B93" s="6">
        <v>11</v>
      </c>
      <c r="C93" s="8">
        <v>20206</v>
      </c>
      <c r="D93" s="8">
        <v>131928770</v>
      </c>
      <c r="E93" s="8">
        <v>4800</v>
      </c>
      <c r="F93" s="8">
        <v>46665600</v>
      </c>
      <c r="G93" s="8">
        <v>3552</v>
      </c>
      <c r="H93" s="8">
        <v>25368600</v>
      </c>
      <c r="I93" s="8">
        <v>21454</v>
      </c>
      <c r="J93" s="8">
        <v>153225770</v>
      </c>
    </row>
    <row r="94" spans="1:10" x14ac:dyDescent="0.2">
      <c r="A94" s="6" t="s">
        <v>102</v>
      </c>
      <c r="B94" s="6">
        <v>11</v>
      </c>
      <c r="C94" s="8">
        <v>336</v>
      </c>
      <c r="D94" s="8">
        <v>8226363</v>
      </c>
      <c r="E94" s="8">
        <v>540</v>
      </c>
      <c r="F94" s="8">
        <v>13249980</v>
      </c>
      <c r="G94" s="8">
        <v>336</v>
      </c>
      <c r="H94" s="8">
        <v>8237502</v>
      </c>
      <c r="I94" s="8">
        <v>540</v>
      </c>
      <c r="J94" s="8">
        <v>13238841</v>
      </c>
    </row>
    <row r="95" spans="1:10" x14ac:dyDescent="0.2">
      <c r="A95" s="6" t="s">
        <v>103</v>
      </c>
      <c r="B95" s="6">
        <v>11</v>
      </c>
      <c r="C95" s="8">
        <v>2694</v>
      </c>
      <c r="D95" s="8">
        <v>29723359</v>
      </c>
      <c r="E95" s="8">
        <v>0</v>
      </c>
      <c r="F95" s="8">
        <v>0</v>
      </c>
      <c r="G95" s="8">
        <v>240</v>
      </c>
      <c r="H95" s="8">
        <v>2647961</v>
      </c>
      <c r="I95" s="8">
        <v>2454</v>
      </c>
      <c r="J95" s="8">
        <v>27075398</v>
      </c>
    </row>
    <row r="96" spans="1:10" x14ac:dyDescent="0.2">
      <c r="A96" s="6" t="s">
        <v>104</v>
      </c>
      <c r="B96" s="6">
        <v>11</v>
      </c>
      <c r="C96" s="8">
        <v>120</v>
      </c>
      <c r="D96" s="8">
        <v>2257560</v>
      </c>
      <c r="E96" s="8">
        <v>72</v>
      </c>
      <c r="F96" s="8">
        <v>1399968</v>
      </c>
      <c r="G96" s="8">
        <v>0</v>
      </c>
      <c r="H96" s="8">
        <v>0</v>
      </c>
      <c r="I96" s="8">
        <v>192</v>
      </c>
      <c r="J96" s="8">
        <v>3657528</v>
      </c>
    </row>
    <row r="97" spans="1:10" x14ac:dyDescent="0.2">
      <c r="A97" s="6" t="s">
        <v>105</v>
      </c>
      <c r="B97" s="6">
        <v>11</v>
      </c>
      <c r="C97" s="8">
        <v>222</v>
      </c>
      <c r="D97" s="8">
        <v>11410986</v>
      </c>
      <c r="E97" s="8">
        <v>66</v>
      </c>
      <c r="F97" s="8">
        <v>3513906</v>
      </c>
      <c r="G97" s="8">
        <v>30</v>
      </c>
      <c r="H97" s="8">
        <v>1554676</v>
      </c>
      <c r="I97" s="8">
        <v>258</v>
      </c>
      <c r="J97" s="8">
        <v>13370216</v>
      </c>
    </row>
    <row r="98" spans="1:10" x14ac:dyDescent="0.2">
      <c r="A98" s="6" t="s">
        <v>106</v>
      </c>
      <c r="B98" s="6">
        <v>11</v>
      </c>
      <c r="C98" s="8">
        <v>1224</v>
      </c>
      <c r="D98" s="8">
        <v>11492848</v>
      </c>
      <c r="E98" s="8">
        <v>288</v>
      </c>
      <c r="F98" s="8">
        <v>2799936</v>
      </c>
      <c r="G98" s="8">
        <v>0</v>
      </c>
      <c r="H98" s="8">
        <v>0</v>
      </c>
      <c r="I98" s="8">
        <v>1512</v>
      </c>
      <c r="J98" s="8">
        <v>14292784</v>
      </c>
    </row>
    <row r="99" spans="1:10" x14ac:dyDescent="0.2">
      <c r="A99" s="6" t="s">
        <v>107</v>
      </c>
      <c r="B99" s="6">
        <v>11</v>
      </c>
      <c r="C99" s="8">
        <v>1046</v>
      </c>
      <c r="D99" s="8">
        <v>2791980</v>
      </c>
      <c r="E99" s="8">
        <v>288</v>
      </c>
      <c r="F99" s="8">
        <v>2320128</v>
      </c>
      <c r="G99" s="8">
        <v>144</v>
      </c>
      <c r="H99" s="8">
        <v>551832</v>
      </c>
      <c r="I99" s="8">
        <v>1190</v>
      </c>
      <c r="J99" s="8">
        <v>4560276</v>
      </c>
    </row>
    <row r="100" spans="1:10" x14ac:dyDescent="0.2">
      <c r="A100" s="6" t="s">
        <v>108</v>
      </c>
      <c r="B100" s="6">
        <v>11</v>
      </c>
      <c r="C100" s="8">
        <v>43704</v>
      </c>
      <c r="D100" s="8">
        <v>313475337</v>
      </c>
      <c r="E100" s="8">
        <v>8460</v>
      </c>
      <c r="F100" s="8">
        <v>62663220</v>
      </c>
      <c r="G100" s="8">
        <v>5688</v>
      </c>
      <c r="H100" s="8">
        <v>41014418</v>
      </c>
      <c r="I100" s="8">
        <v>46476</v>
      </c>
      <c r="J100" s="8">
        <v>335124139</v>
      </c>
    </row>
    <row r="101" spans="1:10" x14ac:dyDescent="0.2">
      <c r="A101" s="6" t="s">
        <v>109</v>
      </c>
      <c r="B101" s="6">
        <v>11</v>
      </c>
      <c r="C101" s="8">
        <v>30</v>
      </c>
      <c r="D101" s="8">
        <v>1458330</v>
      </c>
      <c r="E101" s="8">
        <v>18</v>
      </c>
      <c r="F101" s="8">
        <v>874998</v>
      </c>
      <c r="G101" s="8">
        <v>0</v>
      </c>
      <c r="H101" s="8">
        <v>0</v>
      </c>
      <c r="I101" s="8">
        <v>48</v>
      </c>
      <c r="J101" s="8">
        <v>2333328</v>
      </c>
    </row>
    <row r="102" spans="1:10" x14ac:dyDescent="0.2">
      <c r="A102" s="6" t="s">
        <v>110</v>
      </c>
      <c r="B102" s="6">
        <v>11</v>
      </c>
      <c r="C102" s="8">
        <v>804</v>
      </c>
      <c r="D102" s="8">
        <v>14181924</v>
      </c>
      <c r="E102" s="8">
        <v>360</v>
      </c>
      <c r="F102" s="8">
        <v>6500160</v>
      </c>
      <c r="G102" s="8">
        <v>300</v>
      </c>
      <c r="H102" s="8">
        <v>5330434</v>
      </c>
      <c r="I102" s="8">
        <v>864</v>
      </c>
      <c r="J102" s="8">
        <v>15351650</v>
      </c>
    </row>
    <row r="103" spans="1:10" x14ac:dyDescent="0.2">
      <c r="A103" s="6" t="s">
        <v>111</v>
      </c>
      <c r="B103" s="6">
        <v>11</v>
      </c>
      <c r="C103" s="8">
        <v>1094</v>
      </c>
      <c r="D103" s="8">
        <v>8912187</v>
      </c>
      <c r="E103" s="8">
        <v>6960</v>
      </c>
      <c r="F103" s="8">
        <v>56710080</v>
      </c>
      <c r="G103" s="8">
        <v>960</v>
      </c>
      <c r="H103" s="8">
        <v>7821874</v>
      </c>
      <c r="I103" s="8">
        <v>7094</v>
      </c>
      <c r="J103" s="8">
        <v>57800393</v>
      </c>
    </row>
    <row r="104" spans="1:10" x14ac:dyDescent="0.2">
      <c r="A104" s="6" t="s">
        <v>112</v>
      </c>
      <c r="B104" s="6">
        <v>11</v>
      </c>
      <c r="C104" s="8">
        <v>820</v>
      </c>
      <c r="D104" s="8">
        <v>6666710</v>
      </c>
      <c r="E104" s="8">
        <v>1680</v>
      </c>
      <c r="F104" s="8">
        <v>13688640</v>
      </c>
      <c r="G104" s="8">
        <v>0</v>
      </c>
      <c r="H104" s="8">
        <v>0</v>
      </c>
      <c r="I104" s="8">
        <v>2500</v>
      </c>
      <c r="J104" s="8">
        <v>20355350</v>
      </c>
    </row>
    <row r="105" spans="1:10" x14ac:dyDescent="0.2">
      <c r="A105" s="6" t="s">
        <v>113</v>
      </c>
      <c r="B105" s="6">
        <v>11</v>
      </c>
      <c r="C105" s="8">
        <v>192</v>
      </c>
      <c r="D105" s="8">
        <v>3135424</v>
      </c>
      <c r="E105" s="8">
        <v>48</v>
      </c>
      <c r="F105" s="8">
        <v>800016</v>
      </c>
      <c r="G105" s="8">
        <v>0</v>
      </c>
      <c r="H105" s="8">
        <v>0</v>
      </c>
      <c r="I105" s="8">
        <v>240</v>
      </c>
      <c r="J105" s="8">
        <v>3935440</v>
      </c>
    </row>
    <row r="106" spans="1:10" x14ac:dyDescent="0.2">
      <c r="A106" s="6" t="s">
        <v>114</v>
      </c>
      <c r="B106" s="6">
        <v>11</v>
      </c>
      <c r="C106" s="8">
        <v>144</v>
      </c>
      <c r="D106" s="8">
        <v>2716909</v>
      </c>
      <c r="E106" s="8">
        <v>48</v>
      </c>
      <c r="F106" s="8">
        <v>933312</v>
      </c>
      <c r="G106" s="8">
        <v>0</v>
      </c>
      <c r="H106" s="8">
        <v>0</v>
      </c>
      <c r="I106" s="8">
        <v>192</v>
      </c>
      <c r="J106" s="8">
        <v>3650221</v>
      </c>
    </row>
    <row r="107" spans="1:10" x14ac:dyDescent="0.2">
      <c r="A107" s="6" t="s">
        <v>115</v>
      </c>
      <c r="B107" s="6">
        <v>11</v>
      </c>
      <c r="C107" s="8">
        <v>2525</v>
      </c>
      <c r="D107" s="8">
        <v>16332120</v>
      </c>
      <c r="E107" s="8">
        <v>1800</v>
      </c>
      <c r="F107" s="8">
        <v>11665800</v>
      </c>
      <c r="G107" s="8">
        <v>0</v>
      </c>
      <c r="H107" s="8">
        <v>0</v>
      </c>
      <c r="I107" s="8">
        <v>4325</v>
      </c>
      <c r="J107" s="8">
        <v>27997920</v>
      </c>
    </row>
    <row r="108" spans="1:10" x14ac:dyDescent="0.2">
      <c r="A108" s="6" t="s">
        <v>116</v>
      </c>
      <c r="B108" s="6">
        <v>11</v>
      </c>
      <c r="C108" s="8">
        <v>3893</v>
      </c>
      <c r="D108" s="8">
        <v>79198560</v>
      </c>
      <c r="E108" s="8">
        <v>672</v>
      </c>
      <c r="F108" s="8">
        <v>13688640</v>
      </c>
      <c r="G108" s="8">
        <v>0</v>
      </c>
      <c r="H108" s="8">
        <v>0</v>
      </c>
      <c r="I108" s="8">
        <v>4565</v>
      </c>
      <c r="J108" s="8">
        <v>92887200</v>
      </c>
    </row>
    <row r="109" spans="1:10" x14ac:dyDescent="0.2">
      <c r="A109" s="6" t="s">
        <v>117</v>
      </c>
      <c r="B109" s="6">
        <v>11</v>
      </c>
      <c r="C109" s="8">
        <v>312</v>
      </c>
      <c r="D109" s="8">
        <v>5419490</v>
      </c>
      <c r="E109" s="8">
        <v>24</v>
      </c>
      <c r="F109" s="8">
        <v>422232</v>
      </c>
      <c r="G109" s="8">
        <v>0</v>
      </c>
      <c r="H109" s="8">
        <v>0</v>
      </c>
      <c r="I109" s="8">
        <v>336</v>
      </c>
      <c r="J109" s="8">
        <v>5841722</v>
      </c>
    </row>
    <row r="110" spans="1:10" x14ac:dyDescent="0.2">
      <c r="A110" s="6" t="s">
        <v>118</v>
      </c>
      <c r="B110" s="6">
        <v>11</v>
      </c>
      <c r="C110" s="8">
        <v>588</v>
      </c>
      <c r="D110" s="8">
        <v>24119024</v>
      </c>
      <c r="E110" s="8">
        <v>24</v>
      </c>
      <c r="F110" s="8">
        <v>1000008</v>
      </c>
      <c r="G110" s="8">
        <v>0</v>
      </c>
      <c r="H110" s="8">
        <v>0</v>
      </c>
      <c r="I110" s="8">
        <v>612</v>
      </c>
      <c r="J110" s="8">
        <v>25119032</v>
      </c>
    </row>
    <row r="111" spans="1:10" x14ac:dyDescent="0.2">
      <c r="A111" s="6" t="s">
        <v>119</v>
      </c>
      <c r="B111" s="6">
        <v>11</v>
      </c>
      <c r="C111" s="8">
        <v>240</v>
      </c>
      <c r="D111" s="8">
        <v>5519434</v>
      </c>
      <c r="E111" s="8">
        <v>80</v>
      </c>
      <c r="F111" s="8">
        <v>1851840</v>
      </c>
      <c r="G111" s="8">
        <v>0</v>
      </c>
      <c r="H111" s="8">
        <v>0</v>
      </c>
      <c r="I111" s="8">
        <v>320</v>
      </c>
      <c r="J111" s="8">
        <v>7371274</v>
      </c>
    </row>
    <row r="112" spans="1:10" x14ac:dyDescent="0.2">
      <c r="A112" s="6" t="s">
        <v>120</v>
      </c>
      <c r="B112" s="6">
        <v>11</v>
      </c>
      <c r="C112" s="8">
        <v>80</v>
      </c>
      <c r="D112" s="8">
        <v>1765640</v>
      </c>
      <c r="E112" s="8">
        <v>40</v>
      </c>
      <c r="F112" s="8">
        <v>888880</v>
      </c>
      <c r="G112" s="8">
        <v>0</v>
      </c>
      <c r="H112" s="8">
        <v>0</v>
      </c>
      <c r="I112" s="8">
        <v>120</v>
      </c>
      <c r="J112" s="8">
        <v>2654520</v>
      </c>
    </row>
    <row r="113" spans="1:10" x14ac:dyDescent="0.2">
      <c r="A113" s="6" t="s">
        <v>121</v>
      </c>
      <c r="B113" s="6">
        <v>11</v>
      </c>
      <c r="C113" s="8">
        <v>612</v>
      </c>
      <c r="D113" s="8">
        <v>7194177</v>
      </c>
      <c r="E113" s="8">
        <v>2400</v>
      </c>
      <c r="F113" s="8">
        <v>28888800</v>
      </c>
      <c r="G113" s="8">
        <v>360</v>
      </c>
      <c r="H113" s="8">
        <v>4312706</v>
      </c>
      <c r="I113" s="8">
        <v>2652</v>
      </c>
      <c r="J113" s="8">
        <v>31770271</v>
      </c>
    </row>
    <row r="114" spans="1:10" x14ac:dyDescent="0.2">
      <c r="A114" s="6" t="s">
        <v>122</v>
      </c>
      <c r="B114" s="6">
        <v>11</v>
      </c>
      <c r="C114" s="8">
        <v>2525</v>
      </c>
      <c r="D114" s="8">
        <v>21934080</v>
      </c>
      <c r="E114" s="8">
        <v>2160</v>
      </c>
      <c r="F114" s="8">
        <v>18800640</v>
      </c>
      <c r="G114" s="8">
        <v>0</v>
      </c>
      <c r="H114" s="8">
        <v>0</v>
      </c>
      <c r="I114" s="8">
        <v>4685</v>
      </c>
      <c r="J114" s="8">
        <v>40734720</v>
      </c>
    </row>
    <row r="115" spans="1:10" x14ac:dyDescent="0.2">
      <c r="A115" s="6" t="s">
        <v>123</v>
      </c>
      <c r="B115" s="6">
        <v>11</v>
      </c>
      <c r="C115" s="8">
        <v>216</v>
      </c>
      <c r="D115" s="8">
        <v>3755160</v>
      </c>
      <c r="E115" s="8">
        <v>0</v>
      </c>
      <c r="F115" s="8">
        <v>0</v>
      </c>
      <c r="G115" s="8">
        <v>0</v>
      </c>
      <c r="H115" s="8">
        <v>0</v>
      </c>
      <c r="I115" s="8">
        <v>216</v>
      </c>
      <c r="J115" s="8">
        <v>3755160</v>
      </c>
    </row>
    <row r="116" spans="1:10" x14ac:dyDescent="0.2">
      <c r="A116" s="6" t="s">
        <v>124</v>
      </c>
      <c r="B116" s="6">
        <v>11</v>
      </c>
      <c r="C116" s="8">
        <v>72</v>
      </c>
      <c r="D116" s="8">
        <v>1333368</v>
      </c>
      <c r="E116" s="8">
        <v>0</v>
      </c>
      <c r="F116" s="8">
        <v>0</v>
      </c>
      <c r="G116" s="8">
        <v>0</v>
      </c>
      <c r="H116" s="8">
        <v>0</v>
      </c>
      <c r="I116" s="8">
        <v>72</v>
      </c>
      <c r="J116" s="8">
        <v>1333368</v>
      </c>
    </row>
    <row r="117" spans="1:10" x14ac:dyDescent="0.2">
      <c r="A117" s="6" t="s">
        <v>125</v>
      </c>
      <c r="B117" s="6">
        <v>11</v>
      </c>
      <c r="C117" s="8">
        <v>844</v>
      </c>
      <c r="D117" s="8">
        <v>37519485</v>
      </c>
      <c r="E117" s="8">
        <v>660</v>
      </c>
      <c r="F117" s="8">
        <v>29638620</v>
      </c>
      <c r="G117" s="8">
        <v>560</v>
      </c>
      <c r="H117" s="8">
        <v>25005677</v>
      </c>
      <c r="I117" s="8">
        <v>944</v>
      </c>
      <c r="J117" s="8">
        <v>42152428</v>
      </c>
    </row>
    <row r="118" spans="1:10" x14ac:dyDescent="0.2">
      <c r="A118" s="6" t="s">
        <v>126</v>
      </c>
      <c r="B118" s="6">
        <v>11</v>
      </c>
      <c r="C118" s="8">
        <v>28513</v>
      </c>
      <c r="D118" s="8">
        <v>148424279</v>
      </c>
      <c r="E118" s="8">
        <v>29400</v>
      </c>
      <c r="F118" s="8">
        <v>171490200</v>
      </c>
      <c r="G118" s="8">
        <v>24840</v>
      </c>
      <c r="H118" s="8">
        <v>137217475</v>
      </c>
      <c r="I118" s="8">
        <v>33073</v>
      </c>
      <c r="J118" s="8">
        <v>182697004</v>
      </c>
    </row>
    <row r="119" spans="1:10" x14ac:dyDescent="0.2">
      <c r="A119" s="6" t="s">
        <v>127</v>
      </c>
      <c r="B119" s="6">
        <v>11</v>
      </c>
      <c r="C119" s="8">
        <v>6723</v>
      </c>
      <c r="D119" s="8">
        <v>37292887</v>
      </c>
      <c r="E119" s="8">
        <v>1200</v>
      </c>
      <c r="F119" s="8">
        <v>6999600</v>
      </c>
      <c r="G119" s="8">
        <v>1800</v>
      </c>
      <c r="H119" s="8">
        <v>10062663</v>
      </c>
      <c r="I119" s="8">
        <v>6123</v>
      </c>
      <c r="J119" s="8">
        <v>34229824</v>
      </c>
    </row>
    <row r="120" spans="1:10" x14ac:dyDescent="0.2">
      <c r="A120" s="6" t="s">
        <v>128</v>
      </c>
      <c r="B120" s="6">
        <v>11</v>
      </c>
      <c r="C120" s="8">
        <v>94</v>
      </c>
      <c r="D120" s="8">
        <v>1424358</v>
      </c>
      <c r="E120" s="8">
        <v>280</v>
      </c>
      <c r="F120" s="8">
        <v>4277840</v>
      </c>
      <c r="G120" s="8">
        <v>0</v>
      </c>
      <c r="H120" s="8">
        <v>0</v>
      </c>
      <c r="I120" s="8">
        <v>374</v>
      </c>
      <c r="J120" s="8">
        <v>5702198</v>
      </c>
    </row>
    <row r="121" spans="1:10" x14ac:dyDescent="0.2">
      <c r="A121" s="6" t="s">
        <v>129</v>
      </c>
      <c r="B121" s="6">
        <v>11</v>
      </c>
      <c r="C121" s="8">
        <v>20</v>
      </c>
      <c r="D121" s="8">
        <v>685180</v>
      </c>
      <c r="E121" s="8">
        <v>0</v>
      </c>
      <c r="F121" s="8">
        <v>0</v>
      </c>
      <c r="G121" s="8">
        <v>0</v>
      </c>
      <c r="H121" s="8">
        <v>0</v>
      </c>
      <c r="I121" s="8">
        <v>20</v>
      </c>
      <c r="J121" s="8">
        <v>685180</v>
      </c>
    </row>
    <row r="122" spans="1:10" x14ac:dyDescent="0.2">
      <c r="A122" s="6" t="s">
        <v>130</v>
      </c>
      <c r="B122" s="6">
        <v>11</v>
      </c>
      <c r="C122" s="8">
        <v>56</v>
      </c>
      <c r="D122" s="8">
        <v>2663676</v>
      </c>
      <c r="E122" s="8">
        <v>29</v>
      </c>
      <c r="F122" s="8">
        <v>1382865</v>
      </c>
      <c r="G122" s="8">
        <v>0</v>
      </c>
      <c r="H122" s="8">
        <v>0</v>
      </c>
      <c r="I122" s="8">
        <v>85</v>
      </c>
      <c r="J122" s="8">
        <v>4046541</v>
      </c>
    </row>
    <row r="123" spans="1:10" x14ac:dyDescent="0.2">
      <c r="A123" s="6" t="s">
        <v>131</v>
      </c>
      <c r="B123" s="6">
        <v>11</v>
      </c>
      <c r="C123" s="8">
        <v>70</v>
      </c>
      <c r="D123" s="8">
        <v>3488402</v>
      </c>
      <c r="E123" s="8">
        <v>0</v>
      </c>
      <c r="F123" s="8">
        <v>0</v>
      </c>
      <c r="G123" s="8">
        <v>0</v>
      </c>
      <c r="H123" s="8">
        <v>0</v>
      </c>
      <c r="I123" s="8">
        <v>70</v>
      </c>
      <c r="J123" s="8">
        <v>3488402</v>
      </c>
    </row>
    <row r="124" spans="1:10" x14ac:dyDescent="0.2">
      <c r="A124" s="6" t="s">
        <v>132</v>
      </c>
      <c r="B124" s="6">
        <v>11</v>
      </c>
      <c r="C124" s="8">
        <v>20</v>
      </c>
      <c r="D124" s="8">
        <v>889893</v>
      </c>
      <c r="E124" s="8">
        <v>188</v>
      </c>
      <c r="F124" s="8">
        <v>8355472</v>
      </c>
      <c r="G124" s="8">
        <v>110</v>
      </c>
      <c r="H124" s="8">
        <v>4888797</v>
      </c>
      <c r="I124" s="8">
        <v>98</v>
      </c>
      <c r="J124" s="8">
        <v>4356568</v>
      </c>
    </row>
    <row r="125" spans="1:10" x14ac:dyDescent="0.2">
      <c r="A125" s="6" t="s">
        <v>133</v>
      </c>
      <c r="B125" s="6">
        <v>11</v>
      </c>
      <c r="C125" s="8">
        <v>73</v>
      </c>
      <c r="D125" s="8">
        <v>2763750</v>
      </c>
      <c r="E125" s="8">
        <v>96</v>
      </c>
      <c r="F125" s="8">
        <v>3748144</v>
      </c>
      <c r="G125" s="8">
        <v>50</v>
      </c>
      <c r="H125" s="8">
        <v>1926596</v>
      </c>
      <c r="I125" s="8">
        <v>119</v>
      </c>
      <c r="J125" s="8">
        <v>4585298</v>
      </c>
    </row>
    <row r="126" spans="1:10" x14ac:dyDescent="0.2">
      <c r="A126" s="6" t="s">
        <v>134</v>
      </c>
      <c r="B126" s="6">
        <v>11</v>
      </c>
      <c r="C126" s="8">
        <v>15</v>
      </c>
      <c r="D126" s="8">
        <v>431794</v>
      </c>
      <c r="E126" s="8">
        <v>0</v>
      </c>
      <c r="F126" s="8">
        <v>0</v>
      </c>
      <c r="G126" s="8">
        <v>0</v>
      </c>
      <c r="H126" s="8">
        <v>0</v>
      </c>
      <c r="I126" s="8">
        <v>15</v>
      </c>
      <c r="J126" s="8">
        <v>431794</v>
      </c>
    </row>
    <row r="127" spans="1:10" x14ac:dyDescent="0.2">
      <c r="A127" s="6" t="s">
        <v>135</v>
      </c>
      <c r="B127" s="6">
        <v>11</v>
      </c>
      <c r="C127" s="8">
        <v>105</v>
      </c>
      <c r="D127" s="8">
        <v>19289969</v>
      </c>
      <c r="E127" s="8">
        <v>110</v>
      </c>
      <c r="F127" s="8">
        <v>20208980</v>
      </c>
      <c r="G127" s="8">
        <v>60</v>
      </c>
      <c r="H127" s="8">
        <v>11022963</v>
      </c>
      <c r="I127" s="8">
        <v>155</v>
      </c>
      <c r="J127" s="8">
        <v>28475986</v>
      </c>
    </row>
    <row r="128" spans="1:10" x14ac:dyDescent="0.2">
      <c r="A128" s="6" t="s">
        <v>136</v>
      </c>
      <c r="B128" s="6">
        <v>11</v>
      </c>
      <c r="C128" s="8">
        <v>2417</v>
      </c>
      <c r="D128" s="8">
        <v>36123599</v>
      </c>
      <c r="E128" s="8">
        <v>4320</v>
      </c>
      <c r="F128" s="8">
        <v>66000960</v>
      </c>
      <c r="G128" s="8">
        <v>1884</v>
      </c>
      <c r="H128" s="8">
        <v>28559102</v>
      </c>
      <c r="I128" s="8">
        <v>4853</v>
      </c>
      <c r="J128" s="8">
        <v>73565457</v>
      </c>
    </row>
    <row r="129" spans="1:10" x14ac:dyDescent="0.2">
      <c r="A129" s="6" t="s">
        <v>137</v>
      </c>
      <c r="B129" s="6">
        <v>11</v>
      </c>
      <c r="C129" s="8">
        <v>144</v>
      </c>
      <c r="D129" s="8">
        <v>22621104</v>
      </c>
      <c r="E129" s="8">
        <v>0</v>
      </c>
      <c r="F129" s="8">
        <v>0</v>
      </c>
      <c r="G129" s="8">
        <v>0</v>
      </c>
      <c r="H129" s="8">
        <v>0</v>
      </c>
      <c r="I129" s="8">
        <v>144</v>
      </c>
      <c r="J129" s="8">
        <v>22621104</v>
      </c>
    </row>
    <row r="130" spans="1:10" x14ac:dyDescent="0.2">
      <c r="A130" s="6" t="s">
        <v>138</v>
      </c>
      <c r="B130" s="6">
        <v>11</v>
      </c>
      <c r="C130" s="8">
        <v>144</v>
      </c>
      <c r="D130" s="8">
        <v>22621104</v>
      </c>
      <c r="E130" s="8">
        <v>5</v>
      </c>
      <c r="F130" s="8">
        <v>0</v>
      </c>
      <c r="G130" s="8">
        <v>0</v>
      </c>
      <c r="H130" s="8">
        <v>0</v>
      </c>
      <c r="I130" s="8">
        <v>149</v>
      </c>
      <c r="J130" s="8">
        <v>22621104</v>
      </c>
    </row>
    <row r="131" spans="1:10" x14ac:dyDescent="0.2">
      <c r="A131" s="6" t="s">
        <v>139</v>
      </c>
      <c r="B131" s="6">
        <v>11</v>
      </c>
      <c r="C131" s="8">
        <v>188</v>
      </c>
      <c r="D131" s="8">
        <v>34137846</v>
      </c>
      <c r="E131" s="8">
        <v>0</v>
      </c>
      <c r="F131" s="8">
        <v>0</v>
      </c>
      <c r="G131" s="8">
        <v>0</v>
      </c>
      <c r="H131" s="8">
        <v>0</v>
      </c>
      <c r="I131" s="8">
        <v>188</v>
      </c>
      <c r="J131" s="8">
        <v>34137846</v>
      </c>
    </row>
    <row r="132" spans="1:10" x14ac:dyDescent="0.2">
      <c r="A132" s="6" t="s">
        <v>140</v>
      </c>
      <c r="B132" s="6">
        <v>11</v>
      </c>
      <c r="C132" s="8">
        <v>1777</v>
      </c>
      <c r="D132" s="8">
        <v>328831210</v>
      </c>
      <c r="E132" s="8">
        <v>350</v>
      </c>
      <c r="F132" s="8">
        <v>65245250</v>
      </c>
      <c r="G132" s="8">
        <v>801</v>
      </c>
      <c r="H132" s="8">
        <v>148403970</v>
      </c>
      <c r="I132" s="8">
        <v>1326</v>
      </c>
      <c r="J132" s="8">
        <v>245672490</v>
      </c>
    </row>
    <row r="133" spans="1:10" x14ac:dyDescent="0.2">
      <c r="A133" s="6" t="s">
        <v>141</v>
      </c>
      <c r="B133" s="6">
        <v>11</v>
      </c>
      <c r="C133" s="8">
        <v>2763</v>
      </c>
      <c r="D133" s="8">
        <v>396839259</v>
      </c>
      <c r="E133" s="8">
        <v>751</v>
      </c>
      <c r="F133" s="8">
        <v>127694275</v>
      </c>
      <c r="G133" s="8">
        <v>802</v>
      </c>
      <c r="H133" s="8">
        <v>119714256</v>
      </c>
      <c r="I133" s="8">
        <v>2712</v>
      </c>
      <c r="J133" s="8">
        <v>404819278</v>
      </c>
    </row>
    <row r="134" spans="1:10" x14ac:dyDescent="0.2">
      <c r="A134" s="6" t="s">
        <v>142</v>
      </c>
      <c r="B134" s="6">
        <v>11</v>
      </c>
      <c r="C134" s="8">
        <v>1150</v>
      </c>
      <c r="D134" s="8">
        <v>211217050</v>
      </c>
      <c r="E134" s="8">
        <v>0</v>
      </c>
      <c r="F134" s="8">
        <v>0</v>
      </c>
      <c r="G134" s="8">
        <v>0</v>
      </c>
      <c r="H134" s="8">
        <v>0</v>
      </c>
      <c r="I134" s="8">
        <v>1150</v>
      </c>
      <c r="J134" s="8">
        <v>211217050</v>
      </c>
    </row>
    <row r="135" spans="1:10" x14ac:dyDescent="0.2">
      <c r="A135" s="6" t="s">
        <v>143</v>
      </c>
      <c r="B135" s="6">
        <v>11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</row>
    <row r="136" spans="1:10" x14ac:dyDescent="0.2">
      <c r="A136" s="6" t="s">
        <v>144</v>
      </c>
      <c r="B136" s="6">
        <v>11</v>
      </c>
      <c r="C136" s="8">
        <v>898</v>
      </c>
      <c r="D136" s="8">
        <v>163939346</v>
      </c>
      <c r="E136" s="8">
        <v>200</v>
      </c>
      <c r="F136" s="8">
        <v>36864000</v>
      </c>
      <c r="G136" s="8">
        <v>200</v>
      </c>
      <c r="H136" s="8">
        <v>36576201</v>
      </c>
      <c r="I136" s="8">
        <v>898</v>
      </c>
      <c r="J136" s="8">
        <v>164227145</v>
      </c>
    </row>
    <row r="137" spans="1:10" x14ac:dyDescent="0.2">
      <c r="A137" s="6" t="s">
        <v>145</v>
      </c>
      <c r="B137" s="6">
        <v>11</v>
      </c>
      <c r="C137" s="8">
        <v>363</v>
      </c>
      <c r="D137" s="8">
        <v>64879823</v>
      </c>
      <c r="E137" s="8">
        <v>0</v>
      </c>
      <c r="F137" s="8">
        <v>0</v>
      </c>
      <c r="G137" s="8">
        <v>350</v>
      </c>
      <c r="H137" s="8">
        <v>62556303</v>
      </c>
      <c r="I137" s="8">
        <v>13</v>
      </c>
      <c r="J137" s="8">
        <v>2323520</v>
      </c>
    </row>
    <row r="138" spans="1:10" x14ac:dyDescent="0.2">
      <c r="A138" s="6" t="s">
        <v>146</v>
      </c>
      <c r="B138" s="6">
        <v>11</v>
      </c>
      <c r="C138" s="8">
        <v>0</v>
      </c>
      <c r="D138" s="8">
        <v>0</v>
      </c>
      <c r="E138" s="8">
        <v>1429</v>
      </c>
      <c r="F138" s="8">
        <v>273869279</v>
      </c>
      <c r="G138" s="8">
        <v>1002</v>
      </c>
      <c r="H138" s="8">
        <v>190740295</v>
      </c>
      <c r="I138" s="8">
        <v>427</v>
      </c>
      <c r="J138" s="8">
        <v>83128984</v>
      </c>
    </row>
    <row r="139" spans="1:10" x14ac:dyDescent="0.2">
      <c r="A139" s="6" t="s">
        <v>147</v>
      </c>
      <c r="B139" s="6">
        <v>11</v>
      </c>
      <c r="C139" s="8">
        <v>1018</v>
      </c>
      <c r="D139" s="8">
        <v>76379611</v>
      </c>
      <c r="E139" s="8">
        <v>100</v>
      </c>
      <c r="F139" s="8">
        <v>27752700</v>
      </c>
      <c r="G139" s="8">
        <v>230</v>
      </c>
      <c r="H139" s="8">
        <v>21778092</v>
      </c>
      <c r="I139" s="8">
        <v>888</v>
      </c>
      <c r="J139" s="8">
        <v>82354219</v>
      </c>
    </row>
    <row r="140" spans="1:10" x14ac:dyDescent="0.2">
      <c r="A140" s="6" t="s">
        <v>148</v>
      </c>
      <c r="B140" s="6">
        <v>11</v>
      </c>
      <c r="C140" s="8">
        <v>0</v>
      </c>
      <c r="D140" s="8">
        <v>0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</row>
    <row r="141" spans="1:10" x14ac:dyDescent="0.2">
      <c r="A141" s="6" t="s">
        <v>149</v>
      </c>
      <c r="B141" s="6">
        <v>11</v>
      </c>
      <c r="C141" s="8">
        <v>1131</v>
      </c>
      <c r="D141" s="8">
        <v>214962168</v>
      </c>
      <c r="E141" s="8">
        <v>400</v>
      </c>
      <c r="F141" s="8">
        <v>76660400</v>
      </c>
      <c r="G141" s="8">
        <v>334</v>
      </c>
      <c r="H141" s="8">
        <v>63619816</v>
      </c>
      <c r="I141" s="8">
        <v>1197</v>
      </c>
      <c r="J141" s="8">
        <v>228002752</v>
      </c>
    </row>
    <row r="142" spans="1:10" x14ac:dyDescent="0.2">
      <c r="A142" s="6" t="s">
        <v>150</v>
      </c>
      <c r="B142" s="6">
        <v>11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</row>
    <row r="143" spans="1:10" x14ac:dyDescent="0.2">
      <c r="A143" s="6" t="s">
        <v>151</v>
      </c>
      <c r="B143" s="6">
        <v>11</v>
      </c>
      <c r="C143" s="8">
        <v>319</v>
      </c>
      <c r="D143" s="8">
        <v>60576489</v>
      </c>
      <c r="E143" s="8">
        <v>0</v>
      </c>
      <c r="F143" s="8">
        <v>0</v>
      </c>
      <c r="G143" s="8">
        <v>0</v>
      </c>
      <c r="H143" s="8">
        <v>0</v>
      </c>
      <c r="I143" s="8">
        <v>319</v>
      </c>
      <c r="J143" s="8">
        <v>60576489</v>
      </c>
    </row>
    <row r="144" spans="1:10" x14ac:dyDescent="0.2">
      <c r="A144" s="6" t="s">
        <v>152</v>
      </c>
      <c r="B144" s="6">
        <v>11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</row>
    <row r="145" spans="1:10" x14ac:dyDescent="0.2">
      <c r="A145" s="6" t="s">
        <v>153</v>
      </c>
      <c r="B145" s="6">
        <v>11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</row>
    <row r="146" spans="1:10" x14ac:dyDescent="0.2">
      <c r="A146" s="6" t="s">
        <v>154</v>
      </c>
      <c r="B146" s="6">
        <v>11</v>
      </c>
      <c r="C146" s="8">
        <v>50</v>
      </c>
      <c r="D146" s="8">
        <v>11656130</v>
      </c>
      <c r="E146" s="8">
        <v>0</v>
      </c>
      <c r="F146" s="8">
        <v>0</v>
      </c>
      <c r="G146" s="8">
        <v>0</v>
      </c>
      <c r="H146" s="8">
        <v>0</v>
      </c>
      <c r="I146" s="8">
        <v>50</v>
      </c>
      <c r="J146" s="8">
        <v>11656130</v>
      </c>
    </row>
    <row r="147" spans="1:10" x14ac:dyDescent="0.2">
      <c r="A147" s="6" t="s">
        <v>155</v>
      </c>
      <c r="B147" s="6">
        <v>11</v>
      </c>
      <c r="C147" s="8">
        <v>0</v>
      </c>
      <c r="D147" s="8">
        <v>0</v>
      </c>
      <c r="E147" s="8">
        <v>20</v>
      </c>
      <c r="F147" s="8">
        <v>5799276</v>
      </c>
      <c r="G147" s="8">
        <v>20</v>
      </c>
      <c r="H147" s="8">
        <v>5799276</v>
      </c>
      <c r="I147" s="8">
        <v>0</v>
      </c>
      <c r="J147" s="8">
        <v>0</v>
      </c>
    </row>
    <row r="148" spans="1:10" x14ac:dyDescent="0.2">
      <c r="A148" s="6" t="s">
        <v>156</v>
      </c>
      <c r="B148" s="6">
        <v>11</v>
      </c>
      <c r="C148" s="8">
        <v>265</v>
      </c>
      <c r="D148" s="8">
        <v>51536190</v>
      </c>
      <c r="E148" s="8">
        <v>0</v>
      </c>
      <c r="F148" s="8">
        <v>0</v>
      </c>
      <c r="G148" s="8">
        <v>0</v>
      </c>
      <c r="H148" s="8">
        <v>0</v>
      </c>
      <c r="I148" s="8">
        <v>265</v>
      </c>
      <c r="J148" s="8">
        <v>51536190</v>
      </c>
    </row>
    <row r="149" spans="1:10" x14ac:dyDescent="0.2">
      <c r="A149" s="6" t="s">
        <v>157</v>
      </c>
      <c r="B149" s="6">
        <v>11</v>
      </c>
      <c r="C149" s="8">
        <v>100</v>
      </c>
      <c r="D149" s="8">
        <v>23336700</v>
      </c>
      <c r="E149" s="8">
        <v>0</v>
      </c>
      <c r="F149" s="8">
        <v>0</v>
      </c>
      <c r="G149" s="8">
        <v>0</v>
      </c>
      <c r="H149" s="8">
        <v>0</v>
      </c>
      <c r="I149" s="8">
        <v>100</v>
      </c>
      <c r="J149" s="8">
        <v>23336700</v>
      </c>
    </row>
    <row r="150" spans="1:10" x14ac:dyDescent="0.2">
      <c r="A150" s="6" t="s">
        <v>158</v>
      </c>
      <c r="B150" s="6">
        <v>11</v>
      </c>
      <c r="C150" s="8">
        <v>0</v>
      </c>
      <c r="D150" s="8">
        <v>0</v>
      </c>
      <c r="E150" s="8">
        <v>20</v>
      </c>
      <c r="F150" s="8">
        <v>4627699</v>
      </c>
      <c r="G150" s="8">
        <v>20</v>
      </c>
      <c r="H150" s="8">
        <v>4627699</v>
      </c>
      <c r="I150" s="8">
        <v>0</v>
      </c>
      <c r="J150" s="8">
        <v>0</v>
      </c>
    </row>
    <row r="151" spans="1:10" x14ac:dyDescent="0.2">
      <c r="A151" s="6" t="s">
        <v>159</v>
      </c>
      <c r="B151" s="6">
        <v>11</v>
      </c>
      <c r="C151" s="8">
        <v>81</v>
      </c>
      <c r="D151" s="8">
        <v>17829621</v>
      </c>
      <c r="E151" s="8">
        <v>0</v>
      </c>
      <c r="F151" s="8">
        <v>0</v>
      </c>
      <c r="G151" s="8">
        <v>0</v>
      </c>
      <c r="H151" s="8">
        <v>0</v>
      </c>
      <c r="I151" s="8">
        <v>81</v>
      </c>
      <c r="J151" s="8">
        <v>17829621</v>
      </c>
    </row>
    <row r="152" spans="1:10" x14ac:dyDescent="0.2">
      <c r="A152" s="6" t="s">
        <v>160</v>
      </c>
      <c r="B152" s="6">
        <v>11</v>
      </c>
      <c r="C152" s="8">
        <v>51</v>
      </c>
      <c r="D152" s="8">
        <v>13482180</v>
      </c>
      <c r="E152" s="8">
        <v>0</v>
      </c>
      <c r="F152" s="8">
        <v>0</v>
      </c>
      <c r="G152" s="8">
        <v>5</v>
      </c>
      <c r="H152" s="8">
        <v>1320597</v>
      </c>
      <c r="I152" s="8">
        <v>46</v>
      </c>
      <c r="J152" s="8">
        <v>12161583</v>
      </c>
    </row>
    <row r="153" spans="1:10" x14ac:dyDescent="0.2">
      <c r="A153" s="6" t="s">
        <v>161</v>
      </c>
      <c r="B153" s="6">
        <v>11</v>
      </c>
      <c r="C153" s="8">
        <v>110</v>
      </c>
      <c r="D153" s="8">
        <v>25633710</v>
      </c>
      <c r="E153" s="8">
        <v>0</v>
      </c>
      <c r="F153" s="8">
        <v>0</v>
      </c>
      <c r="G153" s="8">
        <v>0</v>
      </c>
      <c r="H153" s="8">
        <v>0</v>
      </c>
      <c r="I153" s="8">
        <v>110</v>
      </c>
      <c r="J153" s="8">
        <v>25633710</v>
      </c>
    </row>
    <row r="154" spans="1:10" x14ac:dyDescent="0.2">
      <c r="A154" s="6" t="s">
        <v>162</v>
      </c>
      <c r="B154" s="6">
        <v>11</v>
      </c>
      <c r="C154" s="8">
        <v>0</v>
      </c>
      <c r="D154" s="8">
        <v>0</v>
      </c>
      <c r="E154" s="8">
        <v>10</v>
      </c>
      <c r="F154" s="8">
        <v>3160910</v>
      </c>
      <c r="G154" s="8">
        <v>10</v>
      </c>
      <c r="H154" s="8">
        <v>3160910</v>
      </c>
      <c r="I154" s="8">
        <v>0</v>
      </c>
      <c r="J154" s="8">
        <v>0</v>
      </c>
    </row>
    <row r="155" spans="1:10" x14ac:dyDescent="0.2">
      <c r="A155" s="6" t="s">
        <v>163</v>
      </c>
      <c r="B155" s="6">
        <v>11</v>
      </c>
      <c r="C155" s="8">
        <v>842</v>
      </c>
      <c r="D155" s="8">
        <v>266468044</v>
      </c>
      <c r="E155" s="8">
        <v>184</v>
      </c>
      <c r="F155" s="8">
        <v>58772912</v>
      </c>
      <c r="G155" s="8">
        <v>40</v>
      </c>
      <c r="H155" s="8">
        <v>12679959</v>
      </c>
      <c r="I155" s="8">
        <v>986</v>
      </c>
      <c r="J155" s="8">
        <v>312560997</v>
      </c>
    </row>
    <row r="156" spans="1:10" x14ac:dyDescent="0.2">
      <c r="A156" s="6" t="s">
        <v>164</v>
      </c>
      <c r="B156" s="6">
        <v>11</v>
      </c>
      <c r="C156" s="8">
        <v>0</v>
      </c>
      <c r="D156" s="8">
        <v>0</v>
      </c>
      <c r="E156" s="8">
        <v>10</v>
      </c>
      <c r="F156" s="8">
        <v>1441773</v>
      </c>
      <c r="G156" s="8">
        <v>10</v>
      </c>
      <c r="H156" s="8">
        <v>1441773</v>
      </c>
      <c r="I156" s="8">
        <v>0</v>
      </c>
      <c r="J156" s="8">
        <v>0</v>
      </c>
    </row>
    <row r="157" spans="1:10" x14ac:dyDescent="0.2">
      <c r="A157" s="6" t="s">
        <v>165</v>
      </c>
      <c r="B157" s="6">
        <v>11</v>
      </c>
      <c r="C157" s="8">
        <v>130</v>
      </c>
      <c r="D157" s="8">
        <v>20015373</v>
      </c>
      <c r="E157" s="8">
        <v>0</v>
      </c>
      <c r="F157" s="8">
        <v>0</v>
      </c>
      <c r="G157" s="8">
        <v>30</v>
      </c>
      <c r="H157" s="8">
        <v>4618932</v>
      </c>
      <c r="I157" s="8">
        <v>100</v>
      </c>
      <c r="J157" s="8">
        <v>15396441</v>
      </c>
    </row>
    <row r="158" spans="1:10" x14ac:dyDescent="0.2">
      <c r="A158" s="6" t="s">
        <v>166</v>
      </c>
      <c r="B158" s="6">
        <v>11</v>
      </c>
      <c r="C158" s="8">
        <v>0</v>
      </c>
      <c r="D158" s="8">
        <v>0</v>
      </c>
      <c r="E158" s="8">
        <v>10</v>
      </c>
      <c r="F158" s="8">
        <v>1600000</v>
      </c>
      <c r="G158" s="8">
        <v>10</v>
      </c>
      <c r="H158" s="8">
        <v>1600000</v>
      </c>
      <c r="I158" s="8">
        <v>0</v>
      </c>
      <c r="J158" s="8">
        <v>0</v>
      </c>
    </row>
    <row r="159" spans="1:10" x14ac:dyDescent="0.2">
      <c r="A159" s="6" t="s">
        <v>167</v>
      </c>
      <c r="B159" s="6">
        <v>11</v>
      </c>
      <c r="C159" s="8">
        <v>0</v>
      </c>
      <c r="D159" s="8">
        <v>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</row>
    <row r="160" spans="1:10" x14ac:dyDescent="0.2">
      <c r="A160" s="6" t="s">
        <v>168</v>
      </c>
      <c r="B160" s="6">
        <v>11</v>
      </c>
      <c r="C160" s="8">
        <v>671</v>
      </c>
      <c r="D160" s="8">
        <v>122496359</v>
      </c>
      <c r="E160" s="8">
        <v>210</v>
      </c>
      <c r="F160" s="8">
        <v>38707200</v>
      </c>
      <c r="G160" s="8">
        <v>445</v>
      </c>
      <c r="H160" s="8">
        <v>81425180</v>
      </c>
      <c r="I160" s="8">
        <v>436</v>
      </c>
      <c r="J160" s="8">
        <v>79778379</v>
      </c>
    </row>
    <row r="161" spans="1:10" x14ac:dyDescent="0.2">
      <c r="A161" s="6" t="s">
        <v>169</v>
      </c>
      <c r="B161" s="6">
        <v>11</v>
      </c>
      <c r="C161" s="8">
        <v>856</v>
      </c>
      <c r="D161" s="8">
        <v>151588068</v>
      </c>
      <c r="E161" s="8">
        <v>0</v>
      </c>
      <c r="F161" s="8">
        <v>0</v>
      </c>
      <c r="G161" s="8">
        <v>0</v>
      </c>
      <c r="H161" s="8">
        <v>0</v>
      </c>
      <c r="I161" s="8">
        <v>856</v>
      </c>
      <c r="J161" s="8">
        <v>151588068</v>
      </c>
    </row>
    <row r="162" spans="1:10" x14ac:dyDescent="0.2">
      <c r="A162" s="6" t="s">
        <v>170</v>
      </c>
      <c r="B162" s="6">
        <v>11</v>
      </c>
      <c r="C162" s="8">
        <v>369</v>
      </c>
      <c r="D162" s="8">
        <v>101340684</v>
      </c>
      <c r="E162" s="8">
        <v>40</v>
      </c>
      <c r="F162" s="8">
        <v>11101080</v>
      </c>
      <c r="G162" s="8">
        <v>245</v>
      </c>
      <c r="H162" s="8">
        <v>67766020</v>
      </c>
      <c r="I162" s="8">
        <v>164</v>
      </c>
      <c r="J162" s="8">
        <v>44675744</v>
      </c>
    </row>
    <row r="163" spans="1:10" x14ac:dyDescent="0.2">
      <c r="A163" s="6" t="s">
        <v>171</v>
      </c>
      <c r="B163" s="6">
        <v>11</v>
      </c>
      <c r="C163" s="8">
        <v>0</v>
      </c>
      <c r="D163" s="8">
        <v>0</v>
      </c>
      <c r="E163" s="8">
        <v>70</v>
      </c>
      <c r="F163" s="8">
        <v>19320000</v>
      </c>
      <c r="G163" s="8">
        <v>70</v>
      </c>
      <c r="H163" s="8">
        <v>19320000</v>
      </c>
      <c r="I163" s="8">
        <v>0</v>
      </c>
      <c r="J163" s="8">
        <v>0</v>
      </c>
    </row>
    <row r="164" spans="1:10" x14ac:dyDescent="0.2">
      <c r="A164" s="6" t="s">
        <v>172</v>
      </c>
      <c r="B164" s="6">
        <v>11</v>
      </c>
      <c r="C164" s="8">
        <v>359</v>
      </c>
      <c r="D164" s="8">
        <v>66649624</v>
      </c>
      <c r="E164" s="8">
        <v>100</v>
      </c>
      <c r="F164" s="8">
        <v>18850900</v>
      </c>
      <c r="G164" s="8">
        <v>0</v>
      </c>
      <c r="H164" s="8">
        <v>0</v>
      </c>
      <c r="I164" s="8">
        <v>459</v>
      </c>
      <c r="J164" s="8">
        <v>85500524</v>
      </c>
    </row>
    <row r="165" spans="1:10" x14ac:dyDescent="0.2">
      <c r="A165" s="6" t="s">
        <v>173</v>
      </c>
      <c r="B165" s="6">
        <v>11</v>
      </c>
      <c r="C165" s="8">
        <v>414</v>
      </c>
      <c r="D165" s="8">
        <v>75697970</v>
      </c>
      <c r="E165" s="8">
        <v>70</v>
      </c>
      <c r="F165" s="8">
        <v>13195630</v>
      </c>
      <c r="G165" s="8">
        <v>0</v>
      </c>
      <c r="H165" s="8">
        <v>0</v>
      </c>
      <c r="I165" s="8">
        <v>484</v>
      </c>
      <c r="J165" s="8">
        <v>88893600</v>
      </c>
    </row>
    <row r="166" spans="1:10" x14ac:dyDescent="0.2">
      <c r="A166" s="6" t="s">
        <v>174</v>
      </c>
      <c r="B166" s="6">
        <v>11</v>
      </c>
      <c r="C166" s="8">
        <v>100</v>
      </c>
      <c r="D166" s="8">
        <v>27457840</v>
      </c>
      <c r="E166" s="8">
        <v>0</v>
      </c>
      <c r="F166" s="8">
        <v>0</v>
      </c>
      <c r="G166" s="8">
        <v>95</v>
      </c>
      <c r="H166" s="8">
        <v>26084948</v>
      </c>
      <c r="I166" s="8">
        <v>5</v>
      </c>
      <c r="J166" s="8">
        <v>1372892</v>
      </c>
    </row>
    <row r="167" spans="1:10" x14ac:dyDescent="0.2">
      <c r="A167" s="6" t="s">
        <v>175</v>
      </c>
      <c r="B167" s="6">
        <v>11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</row>
    <row r="168" spans="1:10" x14ac:dyDescent="0.2">
      <c r="A168" s="6" t="s">
        <v>176</v>
      </c>
      <c r="B168" s="6">
        <v>11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</row>
    <row r="169" spans="1:10" x14ac:dyDescent="0.2">
      <c r="A169" s="6" t="s">
        <v>177</v>
      </c>
      <c r="B169" s="6">
        <v>11</v>
      </c>
      <c r="C169" s="8">
        <v>1</v>
      </c>
      <c r="D169" s="8">
        <v>537037</v>
      </c>
      <c r="E169" s="8">
        <v>0</v>
      </c>
      <c r="F169" s="8">
        <v>0</v>
      </c>
      <c r="G169" s="8">
        <v>0</v>
      </c>
      <c r="H169" s="8">
        <v>0</v>
      </c>
      <c r="I169" s="8">
        <v>1</v>
      </c>
      <c r="J169" s="8">
        <v>537037</v>
      </c>
    </row>
    <row r="170" spans="1:10" x14ac:dyDescent="0.2">
      <c r="A170" s="6" t="s">
        <v>178</v>
      </c>
      <c r="B170" s="6">
        <v>11</v>
      </c>
      <c r="C170" s="8">
        <v>0</v>
      </c>
      <c r="D170" s="8">
        <v>0</v>
      </c>
      <c r="E170" s="8">
        <v>144</v>
      </c>
      <c r="F170" s="8">
        <v>8408880</v>
      </c>
      <c r="G170" s="8">
        <v>0</v>
      </c>
      <c r="H170" s="8">
        <v>0</v>
      </c>
      <c r="I170" s="8">
        <v>144</v>
      </c>
      <c r="J170" s="8">
        <v>8408880</v>
      </c>
    </row>
    <row r="171" spans="1:10" x14ac:dyDescent="0.2">
      <c r="A171" s="6" t="s">
        <v>179</v>
      </c>
      <c r="B171" s="6">
        <v>11</v>
      </c>
      <c r="C171" s="8">
        <v>19769</v>
      </c>
      <c r="D171" s="8">
        <v>98693870</v>
      </c>
      <c r="E171" s="8">
        <v>12360</v>
      </c>
      <c r="F171" s="8">
        <v>66005280</v>
      </c>
      <c r="G171" s="8">
        <v>7332</v>
      </c>
      <c r="H171" s="8">
        <v>37585177</v>
      </c>
      <c r="I171" s="8">
        <v>24797</v>
      </c>
      <c r="J171" s="8">
        <v>127113973</v>
      </c>
    </row>
    <row r="172" spans="1:10" x14ac:dyDescent="0.2">
      <c r="A172" s="6" t="s">
        <v>180</v>
      </c>
      <c r="B172" s="6">
        <v>11</v>
      </c>
      <c r="C172" s="8">
        <v>936</v>
      </c>
      <c r="D172" s="8">
        <v>73550880</v>
      </c>
      <c r="E172" s="8">
        <v>480</v>
      </c>
      <c r="F172" s="8">
        <v>37718400</v>
      </c>
      <c r="G172" s="8">
        <v>360</v>
      </c>
      <c r="H172" s="8">
        <v>28288800</v>
      </c>
      <c r="I172" s="8">
        <v>1056</v>
      </c>
      <c r="J172" s="8">
        <v>82980480</v>
      </c>
    </row>
    <row r="173" spans="1:10" x14ac:dyDescent="0.2">
      <c r="A173" s="6" t="s">
        <v>181</v>
      </c>
      <c r="B173" s="6">
        <v>11</v>
      </c>
      <c r="C173" s="8">
        <v>942</v>
      </c>
      <c r="D173" s="8">
        <v>48376183</v>
      </c>
      <c r="E173" s="8">
        <v>225</v>
      </c>
      <c r="F173" s="8">
        <v>11562525</v>
      </c>
      <c r="G173" s="8">
        <v>735</v>
      </c>
      <c r="H173" s="8">
        <v>37750600</v>
      </c>
      <c r="I173" s="8">
        <v>432</v>
      </c>
      <c r="J173" s="8">
        <v>22188108</v>
      </c>
    </row>
    <row r="174" spans="1:10" x14ac:dyDescent="0.2">
      <c r="A174" s="6" t="s">
        <v>182</v>
      </c>
      <c r="B174" s="6">
        <v>11</v>
      </c>
      <c r="C174" s="8">
        <v>20</v>
      </c>
      <c r="D174" s="8">
        <v>1190400</v>
      </c>
      <c r="E174" s="8">
        <v>0</v>
      </c>
      <c r="F174" s="8">
        <v>0</v>
      </c>
      <c r="G174" s="8">
        <v>20</v>
      </c>
      <c r="H174" s="8">
        <v>1190400</v>
      </c>
      <c r="I174" s="8">
        <v>0</v>
      </c>
      <c r="J174" s="8">
        <v>0</v>
      </c>
    </row>
    <row r="175" spans="1:10" x14ac:dyDescent="0.2">
      <c r="A175" s="6" t="s">
        <v>183</v>
      </c>
      <c r="B175" s="6">
        <v>11</v>
      </c>
      <c r="C175" s="8">
        <v>2741</v>
      </c>
      <c r="D175" s="8">
        <v>147708520</v>
      </c>
      <c r="E175" s="8">
        <v>100</v>
      </c>
      <c r="F175" s="8">
        <v>5440519</v>
      </c>
      <c r="G175" s="8">
        <v>90</v>
      </c>
      <c r="H175" s="8">
        <v>4851606</v>
      </c>
      <c r="I175" s="8">
        <v>2751</v>
      </c>
      <c r="J175" s="8">
        <v>148297433</v>
      </c>
    </row>
    <row r="176" spans="1:10" x14ac:dyDescent="0.2">
      <c r="A176" s="6" t="s">
        <v>184</v>
      </c>
      <c r="B176" s="6">
        <v>11</v>
      </c>
      <c r="C176" s="8">
        <v>2639</v>
      </c>
      <c r="D176" s="8">
        <v>142406701</v>
      </c>
      <c r="E176" s="8">
        <v>240</v>
      </c>
      <c r="F176" s="8">
        <v>13057244</v>
      </c>
      <c r="G176" s="8">
        <v>805</v>
      </c>
      <c r="H176" s="8">
        <v>43469425</v>
      </c>
      <c r="I176" s="8">
        <v>2074</v>
      </c>
      <c r="J176" s="8">
        <v>111994520</v>
      </c>
    </row>
    <row r="177" spans="1:10" x14ac:dyDescent="0.2">
      <c r="A177" s="6" t="s">
        <v>185</v>
      </c>
      <c r="B177" s="6">
        <v>11</v>
      </c>
      <c r="C177" s="8">
        <v>410</v>
      </c>
      <c r="D177" s="8">
        <v>75580754</v>
      </c>
      <c r="E177" s="8">
        <v>500</v>
      </c>
      <c r="F177" s="8">
        <v>92055000</v>
      </c>
      <c r="G177" s="8">
        <v>140</v>
      </c>
      <c r="H177" s="8">
        <v>25775658</v>
      </c>
      <c r="I177" s="8">
        <v>770</v>
      </c>
      <c r="J177" s="8">
        <v>141860096</v>
      </c>
    </row>
    <row r="178" spans="1:10" x14ac:dyDescent="0.2">
      <c r="A178" s="6" t="s">
        <v>186</v>
      </c>
      <c r="B178" s="6">
        <v>11</v>
      </c>
      <c r="C178" s="8">
        <v>5050</v>
      </c>
      <c r="D178" s="8">
        <v>211852324</v>
      </c>
      <c r="E178" s="8">
        <v>0</v>
      </c>
      <c r="F178" s="8">
        <v>0</v>
      </c>
      <c r="G178" s="8">
        <v>3495</v>
      </c>
      <c r="H178" s="8">
        <v>142356471</v>
      </c>
      <c r="I178" s="8">
        <v>1555</v>
      </c>
      <c r="J178" s="8">
        <v>69495853</v>
      </c>
    </row>
    <row r="179" spans="1:10" x14ac:dyDescent="0.2">
      <c r="A179" s="6" t="s">
        <v>187</v>
      </c>
      <c r="B179" s="6">
        <v>11</v>
      </c>
      <c r="C179" s="8">
        <v>63</v>
      </c>
      <c r="D179" s="8">
        <v>1709399</v>
      </c>
      <c r="E179" s="8">
        <v>1050</v>
      </c>
      <c r="F179" s="8">
        <v>37905000</v>
      </c>
      <c r="G179" s="8">
        <v>140</v>
      </c>
      <c r="H179" s="8">
        <v>5050653</v>
      </c>
      <c r="I179" s="8">
        <v>973</v>
      </c>
      <c r="J179" s="8">
        <v>34563746</v>
      </c>
    </row>
    <row r="180" spans="1:10" x14ac:dyDescent="0.2">
      <c r="A180" s="6" t="s">
        <v>188</v>
      </c>
      <c r="B180" s="6">
        <v>11</v>
      </c>
      <c r="C180" s="8">
        <v>4401</v>
      </c>
      <c r="D180" s="8">
        <v>804961659</v>
      </c>
      <c r="E180" s="8">
        <v>8250</v>
      </c>
      <c r="F180" s="8">
        <v>1504016250</v>
      </c>
      <c r="G180" s="8">
        <v>5035</v>
      </c>
      <c r="H180" s="8">
        <v>1024805000</v>
      </c>
      <c r="I180" s="8">
        <v>7616</v>
      </c>
      <c r="J180" s="8">
        <v>1284172909</v>
      </c>
    </row>
    <row r="181" spans="1:10" x14ac:dyDescent="0.2">
      <c r="A181" s="6" t="s">
        <v>189</v>
      </c>
      <c r="B181" s="6">
        <v>11</v>
      </c>
      <c r="C181" s="8">
        <v>720</v>
      </c>
      <c r="D181" s="8">
        <v>31472944</v>
      </c>
      <c r="E181" s="8">
        <v>0</v>
      </c>
      <c r="F181" s="8">
        <v>0</v>
      </c>
      <c r="G181" s="8">
        <v>30</v>
      </c>
      <c r="H181" s="8">
        <v>1324037</v>
      </c>
      <c r="I181" s="8">
        <v>690</v>
      </c>
      <c r="J181" s="8">
        <v>30148907</v>
      </c>
    </row>
    <row r="182" spans="1:10" x14ac:dyDescent="0.2">
      <c r="A182" s="6" t="s">
        <v>190</v>
      </c>
      <c r="B182" s="6">
        <v>11</v>
      </c>
      <c r="C182" s="8">
        <v>9870</v>
      </c>
      <c r="D182" s="8">
        <v>285082902</v>
      </c>
      <c r="E182" s="8">
        <v>5250</v>
      </c>
      <c r="F182" s="8">
        <v>151620000</v>
      </c>
      <c r="G182" s="8">
        <v>3618</v>
      </c>
      <c r="H182" s="8">
        <v>104462346</v>
      </c>
      <c r="I182" s="8">
        <v>11502</v>
      </c>
      <c r="J182" s="8">
        <v>332240556</v>
      </c>
    </row>
    <row r="183" spans="1:10" x14ac:dyDescent="0.2">
      <c r="A183" s="6" t="s">
        <v>191</v>
      </c>
      <c r="B183" s="6">
        <v>11</v>
      </c>
      <c r="C183" s="8">
        <v>17354</v>
      </c>
      <c r="D183" s="8">
        <v>502592377</v>
      </c>
      <c r="E183" s="8">
        <v>22500</v>
      </c>
      <c r="F183" s="8">
        <v>638970000</v>
      </c>
      <c r="G183" s="8">
        <v>23885</v>
      </c>
      <c r="H183" s="8">
        <v>682449875</v>
      </c>
      <c r="I183" s="8">
        <v>15969</v>
      </c>
      <c r="J183" s="8">
        <v>459112502</v>
      </c>
    </row>
    <row r="184" spans="1:10" x14ac:dyDescent="0.2">
      <c r="A184" s="6" t="s">
        <v>192</v>
      </c>
      <c r="B184" s="6">
        <v>11</v>
      </c>
      <c r="C184" s="8">
        <v>13650</v>
      </c>
      <c r="D184" s="8">
        <v>98264919</v>
      </c>
      <c r="E184" s="8">
        <v>0</v>
      </c>
      <c r="F184" s="8">
        <v>0</v>
      </c>
      <c r="G184" s="8">
        <v>2675</v>
      </c>
      <c r="H184" s="8">
        <v>19257045</v>
      </c>
      <c r="I184" s="8">
        <v>10975</v>
      </c>
      <c r="J184" s="8">
        <v>79007874</v>
      </c>
    </row>
    <row r="185" spans="1:10" x14ac:dyDescent="0.2">
      <c r="A185" s="6" t="s">
        <v>193</v>
      </c>
      <c r="B185" s="6">
        <v>11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</row>
    <row r="186" spans="1:10" x14ac:dyDescent="0.2">
      <c r="A186" s="6" t="s">
        <v>194</v>
      </c>
      <c r="B186" s="6">
        <v>11</v>
      </c>
      <c r="C186" s="8">
        <v>267820</v>
      </c>
      <c r="D186" s="8">
        <v>1812515599</v>
      </c>
      <c r="E186" s="8">
        <v>0</v>
      </c>
      <c r="F186" s="8">
        <v>0</v>
      </c>
      <c r="G186" s="8">
        <v>136285</v>
      </c>
      <c r="H186" s="8">
        <v>1185679500</v>
      </c>
      <c r="I186" s="8">
        <v>131535</v>
      </c>
      <c r="J186" s="8">
        <v>626836099</v>
      </c>
    </row>
    <row r="187" spans="1:10" x14ac:dyDescent="0.2">
      <c r="A187" s="6" t="s">
        <v>195</v>
      </c>
      <c r="B187" s="6">
        <v>11</v>
      </c>
      <c r="C187" s="8">
        <v>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</row>
    <row r="188" spans="1:10" x14ac:dyDescent="0.2">
      <c r="A188" s="6" t="s">
        <v>196</v>
      </c>
      <c r="B188" s="6">
        <v>11</v>
      </c>
      <c r="C188" s="8">
        <v>0</v>
      </c>
      <c r="D188" s="8">
        <v>0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</row>
    <row r="189" spans="1:10" x14ac:dyDescent="0.2">
      <c r="A189" s="6" t="s">
        <v>197</v>
      </c>
      <c r="B189" s="6">
        <v>11</v>
      </c>
      <c r="C189" s="8">
        <v>1230</v>
      </c>
      <c r="D189" s="8">
        <v>8865855</v>
      </c>
      <c r="E189" s="8">
        <v>0</v>
      </c>
      <c r="F189" s="8">
        <v>0</v>
      </c>
      <c r="G189" s="8">
        <v>60</v>
      </c>
      <c r="H189" s="8">
        <v>432481</v>
      </c>
      <c r="I189" s="8">
        <v>1170</v>
      </c>
      <c r="J189" s="8">
        <v>8433374</v>
      </c>
    </row>
    <row r="190" spans="1:10" x14ac:dyDescent="0.2">
      <c r="A190" s="6" t="s">
        <v>198</v>
      </c>
      <c r="B190" s="6">
        <v>11</v>
      </c>
      <c r="C190" s="8">
        <v>0</v>
      </c>
      <c r="D190" s="8">
        <v>0</v>
      </c>
      <c r="E190" s="8">
        <v>240</v>
      </c>
      <c r="F190" s="8">
        <v>7680000</v>
      </c>
      <c r="G190" s="8">
        <v>240</v>
      </c>
      <c r="H190" s="8">
        <v>7680000</v>
      </c>
      <c r="I190" s="8">
        <v>0</v>
      </c>
      <c r="J190" s="8">
        <v>0</v>
      </c>
    </row>
    <row r="191" spans="1:10" x14ac:dyDescent="0.2">
      <c r="A191" s="6" t="s">
        <v>199</v>
      </c>
      <c r="B191" s="6">
        <v>11</v>
      </c>
      <c r="C191" s="8">
        <v>77684</v>
      </c>
      <c r="D191" s="8">
        <v>588888</v>
      </c>
      <c r="E191" s="8">
        <v>0</v>
      </c>
      <c r="F191" s="8">
        <v>0</v>
      </c>
      <c r="G191" s="8">
        <v>0</v>
      </c>
      <c r="H191" s="8">
        <v>0</v>
      </c>
      <c r="I191" s="8">
        <v>77684</v>
      </c>
      <c r="J191" s="8">
        <v>588888</v>
      </c>
    </row>
    <row r="192" spans="1:10" x14ac:dyDescent="0.2">
      <c r="A192" s="6" t="s">
        <v>200</v>
      </c>
      <c r="B192" s="6">
        <v>11</v>
      </c>
      <c r="C192" s="8">
        <v>144</v>
      </c>
      <c r="D192" s="8">
        <v>1037304</v>
      </c>
      <c r="E192" s="8">
        <v>0</v>
      </c>
      <c r="F192" s="8">
        <v>0</v>
      </c>
      <c r="G192" s="8">
        <v>0</v>
      </c>
      <c r="H192" s="8">
        <v>0</v>
      </c>
      <c r="I192" s="8">
        <v>144</v>
      </c>
      <c r="J192" s="8">
        <v>1037304</v>
      </c>
    </row>
    <row r="193" spans="1:10" x14ac:dyDescent="0.2">
      <c r="A193" s="6" t="s">
        <v>201</v>
      </c>
      <c r="B193" s="6">
        <v>11</v>
      </c>
      <c r="C193" s="8">
        <v>1200</v>
      </c>
      <c r="D193" s="8">
        <v>18831499</v>
      </c>
      <c r="E193" s="8">
        <v>192</v>
      </c>
      <c r="F193" s="8">
        <v>3111168</v>
      </c>
      <c r="G193" s="8">
        <v>360</v>
      </c>
      <c r="H193" s="8">
        <v>5674828</v>
      </c>
      <c r="I193" s="8">
        <v>1032</v>
      </c>
      <c r="J193" s="8">
        <v>16267839</v>
      </c>
    </row>
    <row r="194" spans="1:10" x14ac:dyDescent="0.2">
      <c r="A194" s="6" t="s">
        <v>202</v>
      </c>
      <c r="B194" s="6">
        <v>11</v>
      </c>
      <c r="C194" s="8">
        <v>0</v>
      </c>
      <c r="D194" s="8">
        <v>0</v>
      </c>
      <c r="E194" s="8">
        <v>628</v>
      </c>
      <c r="F194" s="8">
        <v>6238841</v>
      </c>
      <c r="G194" s="8">
        <v>628</v>
      </c>
      <c r="H194" s="8">
        <v>6238841</v>
      </c>
      <c r="I194" s="8">
        <v>0</v>
      </c>
      <c r="J194" s="8">
        <v>0</v>
      </c>
    </row>
    <row r="195" spans="1:10" x14ac:dyDescent="0.2">
      <c r="A195" s="6" t="s">
        <v>203</v>
      </c>
      <c r="B195" s="6">
        <v>11</v>
      </c>
      <c r="C195" s="8">
        <v>4854</v>
      </c>
      <c r="D195" s="8">
        <v>54640553</v>
      </c>
      <c r="E195" s="8">
        <v>720</v>
      </c>
      <c r="F195" s="8">
        <v>8450640</v>
      </c>
      <c r="G195" s="8">
        <v>366</v>
      </c>
      <c r="H195" s="8">
        <v>4142694</v>
      </c>
      <c r="I195" s="8">
        <v>5208</v>
      </c>
      <c r="J195" s="8">
        <v>58948499</v>
      </c>
    </row>
    <row r="196" spans="1:10" x14ac:dyDescent="0.2">
      <c r="A196" s="6" t="s">
        <v>204</v>
      </c>
      <c r="B196" s="6">
        <v>11</v>
      </c>
      <c r="C196" s="8">
        <v>4605</v>
      </c>
      <c r="D196" s="8">
        <v>130136905</v>
      </c>
      <c r="E196" s="8">
        <v>9144</v>
      </c>
      <c r="F196" s="8">
        <v>292699440</v>
      </c>
      <c r="G196" s="8">
        <v>1258</v>
      </c>
      <c r="H196" s="8">
        <v>38688495</v>
      </c>
      <c r="I196" s="8">
        <v>12491</v>
      </c>
      <c r="J196" s="8">
        <v>384147850</v>
      </c>
    </row>
    <row r="197" spans="1:10" x14ac:dyDescent="0.2">
      <c r="A197" s="6" t="s">
        <v>205</v>
      </c>
      <c r="B197" s="6">
        <v>11</v>
      </c>
      <c r="C197" s="8">
        <v>820</v>
      </c>
      <c r="D197" s="8">
        <v>49022428</v>
      </c>
      <c r="E197" s="8">
        <v>0</v>
      </c>
      <c r="F197" s="8">
        <v>0</v>
      </c>
      <c r="G197" s="8">
        <v>0</v>
      </c>
      <c r="H197" s="8">
        <v>0</v>
      </c>
      <c r="I197" s="8">
        <v>820</v>
      </c>
      <c r="J197" s="8">
        <v>49022428</v>
      </c>
    </row>
    <row r="198" spans="1:10" x14ac:dyDescent="0.2">
      <c r="A198" s="6" t="s">
        <v>206</v>
      </c>
      <c r="B198" s="6">
        <v>11</v>
      </c>
      <c r="C198" s="8">
        <v>1118</v>
      </c>
      <c r="D198" s="8">
        <v>35672631</v>
      </c>
      <c r="E198" s="8">
        <v>240</v>
      </c>
      <c r="F198" s="8">
        <v>7887264</v>
      </c>
      <c r="G198" s="8">
        <v>544</v>
      </c>
      <c r="H198" s="8">
        <v>17449619</v>
      </c>
      <c r="I198" s="8">
        <v>814</v>
      </c>
      <c r="J198" s="8">
        <v>26110276</v>
      </c>
    </row>
    <row r="199" spans="1:10" x14ac:dyDescent="0.2">
      <c r="A199" s="6" t="s">
        <v>207</v>
      </c>
      <c r="B199" s="6">
        <v>11</v>
      </c>
      <c r="C199" s="8">
        <v>1684</v>
      </c>
      <c r="D199" s="8">
        <v>3654565</v>
      </c>
      <c r="E199" s="8">
        <v>144</v>
      </c>
      <c r="F199" s="8">
        <v>0</v>
      </c>
      <c r="G199" s="8">
        <v>100</v>
      </c>
      <c r="H199" s="8">
        <v>199921</v>
      </c>
      <c r="I199" s="8">
        <v>1728</v>
      </c>
      <c r="J199" s="8">
        <v>3454644</v>
      </c>
    </row>
    <row r="200" spans="1:10" x14ac:dyDescent="0.2">
      <c r="A200" s="6" t="s">
        <v>208</v>
      </c>
      <c r="B200" s="6">
        <v>11</v>
      </c>
      <c r="C200" s="8">
        <v>13</v>
      </c>
      <c r="D200" s="8">
        <v>107765</v>
      </c>
      <c r="E200" s="8">
        <v>0</v>
      </c>
      <c r="F200" s="8">
        <v>0</v>
      </c>
      <c r="G200" s="8">
        <v>0</v>
      </c>
      <c r="H200" s="8">
        <v>0</v>
      </c>
      <c r="I200" s="8">
        <v>13</v>
      </c>
      <c r="J200" s="8">
        <v>107765</v>
      </c>
    </row>
    <row r="201" spans="1:10" x14ac:dyDescent="0.2">
      <c r="A201" s="6" t="s">
        <v>209</v>
      </c>
      <c r="B201" s="6">
        <v>11</v>
      </c>
      <c r="C201" s="8">
        <v>60</v>
      </c>
      <c r="D201" s="8">
        <v>3504600</v>
      </c>
      <c r="E201" s="8">
        <v>0</v>
      </c>
      <c r="F201" s="8">
        <v>0</v>
      </c>
      <c r="G201" s="8">
        <v>0</v>
      </c>
      <c r="H201" s="8">
        <v>0</v>
      </c>
      <c r="I201" s="8">
        <v>60</v>
      </c>
      <c r="J201" s="8">
        <v>3504600</v>
      </c>
    </row>
    <row r="202" spans="1:10" x14ac:dyDescent="0.2">
      <c r="A202" s="6" t="s">
        <v>210</v>
      </c>
      <c r="B202" s="6">
        <v>11</v>
      </c>
      <c r="C202" s="8">
        <v>625</v>
      </c>
      <c r="D202" s="8">
        <v>6930861</v>
      </c>
      <c r="E202" s="8">
        <v>0</v>
      </c>
      <c r="F202" s="8">
        <v>0</v>
      </c>
      <c r="G202" s="8">
        <v>0</v>
      </c>
      <c r="H202" s="8">
        <v>0</v>
      </c>
      <c r="I202" s="8">
        <v>625</v>
      </c>
      <c r="J202" s="8">
        <v>6930861</v>
      </c>
    </row>
    <row r="203" spans="1:10" x14ac:dyDescent="0.2">
      <c r="A203" s="6" t="s">
        <v>211</v>
      </c>
      <c r="B203" s="6">
        <v>11</v>
      </c>
      <c r="C203" s="8">
        <v>48</v>
      </c>
      <c r="D203" s="8">
        <v>711120</v>
      </c>
      <c r="E203" s="8">
        <v>372</v>
      </c>
      <c r="F203" s="8">
        <v>5511180</v>
      </c>
      <c r="G203" s="8">
        <v>420</v>
      </c>
      <c r="H203" s="8">
        <v>6222300</v>
      </c>
      <c r="I203" s="8">
        <v>0</v>
      </c>
      <c r="J203" s="8">
        <v>0</v>
      </c>
    </row>
    <row r="204" spans="1:10" x14ac:dyDescent="0.2">
      <c r="A204" s="6" t="s">
        <v>212</v>
      </c>
      <c r="B204" s="6">
        <v>11</v>
      </c>
      <c r="C204" s="8">
        <v>10389</v>
      </c>
      <c r="D204" s="8">
        <v>127819633</v>
      </c>
      <c r="E204" s="8">
        <v>25200</v>
      </c>
      <c r="F204" s="8">
        <v>312883200</v>
      </c>
      <c r="G204" s="8">
        <v>2340</v>
      </c>
      <c r="H204" s="8">
        <v>28976499</v>
      </c>
      <c r="I204" s="8">
        <v>33249</v>
      </c>
      <c r="J204" s="8">
        <v>411726334</v>
      </c>
    </row>
    <row r="205" spans="1:10" x14ac:dyDescent="0.2">
      <c r="A205" s="6" t="s">
        <v>213</v>
      </c>
      <c r="B205" s="6">
        <v>11</v>
      </c>
      <c r="C205" s="8">
        <v>5482</v>
      </c>
      <c r="D205" s="8">
        <v>109825599</v>
      </c>
      <c r="E205" s="8">
        <v>0</v>
      </c>
      <c r="F205" s="8">
        <v>0</v>
      </c>
      <c r="G205" s="8">
        <v>1662</v>
      </c>
      <c r="H205" s="8">
        <v>33296269</v>
      </c>
      <c r="I205" s="8">
        <v>3820</v>
      </c>
      <c r="J205" s="8">
        <v>76529330</v>
      </c>
    </row>
    <row r="206" spans="1:10" x14ac:dyDescent="0.2">
      <c r="A206" s="6" t="s">
        <v>214</v>
      </c>
      <c r="B206" s="6">
        <v>11</v>
      </c>
      <c r="C206" s="8">
        <v>12310</v>
      </c>
      <c r="D206" s="8">
        <v>276503558</v>
      </c>
      <c r="E206" s="8">
        <v>360</v>
      </c>
      <c r="F206" s="8">
        <v>0</v>
      </c>
      <c r="G206" s="8">
        <v>2724</v>
      </c>
      <c r="H206" s="8">
        <v>59447174</v>
      </c>
      <c r="I206" s="8">
        <v>9946</v>
      </c>
      <c r="J206" s="8">
        <v>217056384</v>
      </c>
    </row>
    <row r="207" spans="1:10" x14ac:dyDescent="0.2">
      <c r="A207" s="6" t="s">
        <v>215</v>
      </c>
      <c r="B207" s="6">
        <v>11</v>
      </c>
      <c r="C207" s="8">
        <v>2880</v>
      </c>
      <c r="D207" s="8">
        <v>115155133</v>
      </c>
      <c r="E207" s="8">
        <v>0</v>
      </c>
      <c r="F207" s="8">
        <v>0</v>
      </c>
      <c r="G207" s="8">
        <v>80</v>
      </c>
      <c r="H207" s="8">
        <v>3198754</v>
      </c>
      <c r="I207" s="8">
        <v>2800</v>
      </c>
      <c r="J207" s="8">
        <v>111956379</v>
      </c>
    </row>
    <row r="208" spans="1:10" x14ac:dyDescent="0.2">
      <c r="A208" s="6" t="s">
        <v>216</v>
      </c>
      <c r="B208" s="6">
        <v>11</v>
      </c>
      <c r="C208" s="8">
        <v>54</v>
      </c>
      <c r="D208" s="8">
        <v>937602</v>
      </c>
      <c r="E208" s="8">
        <v>626</v>
      </c>
      <c r="F208" s="8">
        <v>10869238</v>
      </c>
      <c r="G208" s="8">
        <v>680</v>
      </c>
      <c r="H208" s="8">
        <v>11806840</v>
      </c>
      <c r="I208" s="8">
        <v>0</v>
      </c>
      <c r="J208" s="8">
        <v>0</v>
      </c>
    </row>
    <row r="209" spans="1:10" x14ac:dyDescent="0.2">
      <c r="A209" s="6" t="s">
        <v>217</v>
      </c>
      <c r="B209" s="6">
        <v>11</v>
      </c>
      <c r="C209" s="8">
        <v>10</v>
      </c>
      <c r="D209" s="8">
        <v>1775003</v>
      </c>
      <c r="E209" s="8">
        <v>0</v>
      </c>
      <c r="F209" s="8">
        <v>0</v>
      </c>
      <c r="G209" s="8">
        <v>0</v>
      </c>
      <c r="H209" s="8">
        <v>0</v>
      </c>
      <c r="I209" s="8">
        <v>10</v>
      </c>
      <c r="J209" s="8">
        <v>1775003</v>
      </c>
    </row>
    <row r="210" spans="1:10" x14ac:dyDescent="0.2">
      <c r="A210" s="6" t="s">
        <v>218</v>
      </c>
      <c r="B210" s="6">
        <v>11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</row>
    <row r="211" spans="1:10" x14ac:dyDescent="0.2">
      <c r="A211" s="6" t="s">
        <v>219</v>
      </c>
      <c r="B211" s="6">
        <v>11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</row>
    <row r="212" spans="1:10" x14ac:dyDescent="0.2">
      <c r="A212" s="6" t="s">
        <v>220</v>
      </c>
      <c r="B212" s="6">
        <v>11</v>
      </c>
      <c r="C212" s="8">
        <v>72</v>
      </c>
      <c r="D212" s="8">
        <v>1847966</v>
      </c>
      <c r="E212" s="8">
        <v>168</v>
      </c>
      <c r="F212" s="8">
        <v>4311921</v>
      </c>
      <c r="G212" s="8">
        <v>240</v>
      </c>
      <c r="H212" s="8">
        <v>6159887</v>
      </c>
      <c r="I212" s="8">
        <v>0</v>
      </c>
      <c r="J212" s="8">
        <v>0</v>
      </c>
    </row>
    <row r="213" spans="1:10" x14ac:dyDescent="0.2">
      <c r="A213" s="6" t="s">
        <v>221</v>
      </c>
      <c r="B213" s="6">
        <v>11</v>
      </c>
      <c r="C213" s="8">
        <v>3818</v>
      </c>
      <c r="D213" s="8">
        <v>74735021</v>
      </c>
      <c r="E213" s="8">
        <v>360</v>
      </c>
      <c r="F213" s="8">
        <v>7088760</v>
      </c>
      <c r="G213" s="8">
        <v>0</v>
      </c>
      <c r="H213" s="8">
        <v>0</v>
      </c>
      <c r="I213" s="8">
        <v>4178</v>
      </c>
      <c r="J213" s="8">
        <v>81823781</v>
      </c>
    </row>
    <row r="214" spans="1:10" x14ac:dyDescent="0.2">
      <c r="A214" s="6" t="s">
        <v>222</v>
      </c>
      <c r="B214" s="6">
        <v>11</v>
      </c>
      <c r="C214" s="8">
        <v>1076</v>
      </c>
      <c r="D214" s="8">
        <v>23090763</v>
      </c>
      <c r="E214" s="8">
        <v>0</v>
      </c>
      <c r="F214" s="8">
        <v>0</v>
      </c>
      <c r="G214" s="8">
        <v>10</v>
      </c>
      <c r="H214" s="8">
        <v>214598</v>
      </c>
      <c r="I214" s="8">
        <v>1066</v>
      </c>
      <c r="J214" s="8">
        <v>22876165</v>
      </c>
    </row>
    <row r="215" spans="1:10" x14ac:dyDescent="0.2">
      <c r="A215" s="6" t="s">
        <v>223</v>
      </c>
      <c r="B215" s="6">
        <v>11</v>
      </c>
      <c r="C215" s="8">
        <v>1105</v>
      </c>
      <c r="D215" s="8">
        <v>47790304</v>
      </c>
      <c r="E215" s="8">
        <v>48</v>
      </c>
      <c r="F215" s="8">
        <v>2076576</v>
      </c>
      <c r="G215" s="8">
        <v>816</v>
      </c>
      <c r="H215" s="8">
        <v>35291738</v>
      </c>
      <c r="I215" s="8">
        <v>337</v>
      </c>
      <c r="J215" s="8">
        <v>14575142</v>
      </c>
    </row>
    <row r="216" spans="1:10" x14ac:dyDescent="0.2">
      <c r="A216" s="6" t="s">
        <v>224</v>
      </c>
      <c r="B216" s="6">
        <v>11</v>
      </c>
      <c r="C216" s="8">
        <v>0</v>
      </c>
      <c r="D216" s="8">
        <v>0</v>
      </c>
      <c r="E216" s="8">
        <v>0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</row>
    <row r="217" spans="1:10" x14ac:dyDescent="0.2">
      <c r="A217" s="6" t="s">
        <v>225</v>
      </c>
      <c r="B217" s="6">
        <v>11</v>
      </c>
      <c r="C217" s="8">
        <v>216</v>
      </c>
      <c r="D217" s="8">
        <v>4531917</v>
      </c>
      <c r="E217" s="8">
        <v>72</v>
      </c>
      <c r="F217" s="8">
        <v>1510639</v>
      </c>
      <c r="G217" s="8">
        <v>20</v>
      </c>
      <c r="H217" s="8">
        <v>419622</v>
      </c>
      <c r="I217" s="8">
        <v>268</v>
      </c>
      <c r="J217" s="8">
        <v>5622934</v>
      </c>
    </row>
    <row r="218" spans="1:10" x14ac:dyDescent="0.2">
      <c r="A218" s="6" t="s">
        <v>226</v>
      </c>
      <c r="B218" s="6">
        <v>11</v>
      </c>
      <c r="C218" s="8">
        <v>360</v>
      </c>
      <c r="D218" s="8">
        <v>7553196</v>
      </c>
      <c r="E218" s="8">
        <v>0</v>
      </c>
      <c r="F218" s="8">
        <v>0</v>
      </c>
      <c r="G218" s="8">
        <v>360</v>
      </c>
      <c r="H218" s="8">
        <v>7553196</v>
      </c>
      <c r="I218" s="8">
        <v>0</v>
      </c>
      <c r="J218" s="8">
        <v>0</v>
      </c>
    </row>
    <row r="219" spans="1:10" x14ac:dyDescent="0.2">
      <c r="A219" s="6" t="s">
        <v>227</v>
      </c>
      <c r="B219" s="6">
        <v>11</v>
      </c>
      <c r="C219" s="8">
        <v>490</v>
      </c>
      <c r="D219" s="8">
        <v>0</v>
      </c>
      <c r="E219" s="8">
        <v>0</v>
      </c>
      <c r="F219" s="8">
        <v>0</v>
      </c>
      <c r="G219" s="8">
        <v>20</v>
      </c>
      <c r="H219" s="8">
        <v>0</v>
      </c>
      <c r="I219" s="8">
        <v>470</v>
      </c>
      <c r="J219" s="8">
        <v>0</v>
      </c>
    </row>
    <row r="220" spans="1:10" x14ac:dyDescent="0.2">
      <c r="A220" s="6" t="s">
        <v>228</v>
      </c>
      <c r="B220" s="6">
        <v>11</v>
      </c>
      <c r="C220" s="8">
        <v>1051</v>
      </c>
      <c r="D220" s="8">
        <v>92968119</v>
      </c>
      <c r="E220" s="8">
        <v>16</v>
      </c>
      <c r="F220" s="8">
        <v>1404928</v>
      </c>
      <c r="G220" s="8">
        <v>1000</v>
      </c>
      <c r="H220" s="8">
        <v>88447092</v>
      </c>
      <c r="I220" s="8">
        <v>67</v>
      </c>
      <c r="J220" s="8">
        <v>5925955</v>
      </c>
    </row>
    <row r="221" spans="1:10" x14ac:dyDescent="0.2">
      <c r="A221" s="6" t="s">
        <v>229</v>
      </c>
      <c r="B221" s="6">
        <v>11</v>
      </c>
      <c r="C221" s="8">
        <v>2377</v>
      </c>
      <c r="D221" s="8">
        <v>214084138</v>
      </c>
      <c r="E221" s="8">
        <v>482</v>
      </c>
      <c r="F221" s="8">
        <v>43801786</v>
      </c>
      <c r="G221" s="8">
        <v>112</v>
      </c>
      <c r="H221" s="8">
        <v>10102562</v>
      </c>
      <c r="I221" s="8">
        <v>2747</v>
      </c>
      <c r="J221" s="8">
        <v>247783362</v>
      </c>
    </row>
    <row r="222" spans="1:10" x14ac:dyDescent="0.2">
      <c r="A222" s="6" t="s">
        <v>230</v>
      </c>
      <c r="B222" s="6">
        <v>11</v>
      </c>
      <c r="C222" s="8">
        <v>869</v>
      </c>
      <c r="D222" s="8">
        <v>54538264</v>
      </c>
      <c r="E222" s="8">
        <v>560</v>
      </c>
      <c r="F222" s="8">
        <v>36495200</v>
      </c>
      <c r="G222" s="8">
        <v>0</v>
      </c>
      <c r="H222" s="8">
        <v>0</v>
      </c>
      <c r="I222" s="8">
        <v>1429</v>
      </c>
      <c r="J222" s="8">
        <v>91033464</v>
      </c>
    </row>
    <row r="223" spans="1:10" x14ac:dyDescent="0.2">
      <c r="A223" s="6" t="s">
        <v>231</v>
      </c>
      <c r="B223" s="6">
        <v>11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</row>
    <row r="224" spans="1:10" x14ac:dyDescent="0.2">
      <c r="A224" s="6" t="s">
        <v>232</v>
      </c>
      <c r="B224" s="6">
        <v>11</v>
      </c>
      <c r="C224" s="8">
        <v>1001</v>
      </c>
      <c r="D224" s="8">
        <v>60663924</v>
      </c>
      <c r="E224" s="8">
        <v>240</v>
      </c>
      <c r="F224" s="8">
        <v>15244488</v>
      </c>
      <c r="G224" s="8">
        <v>344</v>
      </c>
      <c r="H224" s="8">
        <v>21041494</v>
      </c>
      <c r="I224" s="8">
        <v>897</v>
      </c>
      <c r="J224" s="8">
        <v>54866918</v>
      </c>
    </row>
    <row r="225" spans="1:10" x14ac:dyDescent="0.2">
      <c r="A225" s="6" t="s">
        <v>233</v>
      </c>
      <c r="B225" s="6">
        <v>11</v>
      </c>
      <c r="C225" s="8">
        <v>2379</v>
      </c>
      <c r="D225" s="8">
        <v>135268730</v>
      </c>
      <c r="E225" s="8">
        <v>3400</v>
      </c>
      <c r="F225" s="8">
        <v>213248000</v>
      </c>
      <c r="G225" s="8">
        <v>4</v>
      </c>
      <c r="H225" s="8">
        <v>241230</v>
      </c>
      <c r="I225" s="8">
        <v>5775</v>
      </c>
      <c r="J225" s="8">
        <v>348275500</v>
      </c>
    </row>
    <row r="226" spans="1:10" x14ac:dyDescent="0.2">
      <c r="A226" s="6" t="s">
        <v>234</v>
      </c>
      <c r="B226" s="6">
        <v>11</v>
      </c>
      <c r="C226" s="8">
        <v>17716</v>
      </c>
      <c r="D226" s="8">
        <v>982421388</v>
      </c>
      <c r="E226" s="8">
        <v>10350</v>
      </c>
      <c r="F226" s="8">
        <v>617708700</v>
      </c>
      <c r="G226" s="8">
        <v>5143</v>
      </c>
      <c r="H226" s="8">
        <v>306962431</v>
      </c>
      <c r="I226" s="8">
        <v>22923</v>
      </c>
      <c r="J226" s="8">
        <v>1293167657</v>
      </c>
    </row>
    <row r="227" spans="1:10" x14ac:dyDescent="0.2">
      <c r="A227" s="6" t="s">
        <v>235</v>
      </c>
      <c r="B227" s="6">
        <v>11</v>
      </c>
      <c r="C227" s="8">
        <v>438</v>
      </c>
      <c r="D227" s="8">
        <v>30763340</v>
      </c>
      <c r="E227" s="8">
        <v>80</v>
      </c>
      <c r="F227" s="8">
        <v>5644800</v>
      </c>
      <c r="G227" s="8">
        <v>196</v>
      </c>
      <c r="H227" s="8">
        <v>13776053</v>
      </c>
      <c r="I227" s="8">
        <v>322</v>
      </c>
      <c r="J227" s="8">
        <v>22632087</v>
      </c>
    </row>
    <row r="228" spans="1:10" x14ac:dyDescent="0.2">
      <c r="A228" s="6" t="s">
        <v>236</v>
      </c>
      <c r="B228" s="6">
        <v>11</v>
      </c>
      <c r="C228" s="8">
        <v>42</v>
      </c>
      <c r="D228" s="8">
        <v>2693922</v>
      </c>
      <c r="E228" s="8">
        <v>210</v>
      </c>
      <c r="F228" s="8">
        <v>13469610</v>
      </c>
      <c r="G228" s="8">
        <v>0</v>
      </c>
      <c r="H228" s="8">
        <v>0</v>
      </c>
      <c r="I228" s="8">
        <v>252</v>
      </c>
      <c r="J228" s="8">
        <v>16163532</v>
      </c>
    </row>
    <row r="229" spans="1:10" x14ac:dyDescent="0.2">
      <c r="A229" s="6" t="s">
        <v>237</v>
      </c>
      <c r="B229" s="6">
        <v>11</v>
      </c>
      <c r="C229" s="8">
        <v>257</v>
      </c>
      <c r="D229" s="8">
        <v>2097921</v>
      </c>
      <c r="E229" s="8">
        <v>0</v>
      </c>
      <c r="F229" s="8">
        <v>0</v>
      </c>
      <c r="G229" s="8">
        <v>22</v>
      </c>
      <c r="H229" s="8">
        <v>179589</v>
      </c>
      <c r="I229" s="8">
        <v>235</v>
      </c>
      <c r="J229" s="8">
        <v>1918332</v>
      </c>
    </row>
    <row r="230" spans="1:10" x14ac:dyDescent="0.2">
      <c r="A230" s="6" t="s">
        <v>238</v>
      </c>
      <c r="B230" s="6">
        <v>11</v>
      </c>
      <c r="C230" s="8">
        <v>942</v>
      </c>
      <c r="D230" s="8">
        <v>53507694</v>
      </c>
      <c r="E230" s="8">
        <v>0</v>
      </c>
      <c r="F230" s="8">
        <v>0</v>
      </c>
      <c r="G230" s="8">
        <v>0</v>
      </c>
      <c r="H230" s="8">
        <v>0</v>
      </c>
      <c r="I230" s="8">
        <v>942</v>
      </c>
      <c r="J230" s="8">
        <v>53507694</v>
      </c>
    </row>
    <row r="231" spans="1:10" x14ac:dyDescent="0.2">
      <c r="A231" s="6" t="s">
        <v>239</v>
      </c>
      <c r="B231" s="6">
        <v>11</v>
      </c>
      <c r="C231" s="8">
        <v>0</v>
      </c>
      <c r="D231" s="8">
        <v>0</v>
      </c>
      <c r="E231" s="8">
        <v>12</v>
      </c>
      <c r="F231" s="8">
        <v>1428000</v>
      </c>
      <c r="G231" s="8">
        <v>12</v>
      </c>
      <c r="H231" s="8">
        <v>1428000</v>
      </c>
      <c r="I231" s="8">
        <v>0</v>
      </c>
      <c r="J231" s="8">
        <v>0</v>
      </c>
    </row>
    <row r="232" spans="1:10" x14ac:dyDescent="0.2">
      <c r="A232" s="6" t="s">
        <v>240</v>
      </c>
      <c r="B232" s="6">
        <v>11</v>
      </c>
      <c r="C232" s="8">
        <v>148</v>
      </c>
      <c r="D232" s="8">
        <v>13840231</v>
      </c>
      <c r="E232" s="8">
        <v>1645</v>
      </c>
      <c r="F232" s="8">
        <v>153794340</v>
      </c>
      <c r="G232" s="8">
        <v>1768</v>
      </c>
      <c r="H232" s="8">
        <v>165297223</v>
      </c>
      <c r="I232" s="8">
        <v>25</v>
      </c>
      <c r="J232" s="8">
        <v>2337348</v>
      </c>
    </row>
    <row r="233" spans="1:10" x14ac:dyDescent="0.2">
      <c r="A233" s="6" t="s">
        <v>241</v>
      </c>
      <c r="B233" s="6">
        <v>11</v>
      </c>
      <c r="C233" s="8">
        <v>873</v>
      </c>
      <c r="D233" s="8">
        <v>65564293</v>
      </c>
      <c r="E233" s="8">
        <v>317</v>
      </c>
      <c r="F233" s="8">
        <v>26234208</v>
      </c>
      <c r="G233" s="8">
        <v>4</v>
      </c>
      <c r="H233" s="8">
        <v>308566</v>
      </c>
      <c r="I233" s="8">
        <v>1186</v>
      </c>
      <c r="J233" s="8">
        <v>91489935</v>
      </c>
    </row>
    <row r="234" spans="1:10" x14ac:dyDescent="0.2">
      <c r="A234" s="6" t="s">
        <v>242</v>
      </c>
      <c r="B234" s="6">
        <v>11</v>
      </c>
      <c r="C234" s="8">
        <v>188</v>
      </c>
      <c r="D234" s="8">
        <v>13132720</v>
      </c>
      <c r="E234" s="8">
        <v>54</v>
      </c>
      <c r="F234" s="8">
        <v>3797010</v>
      </c>
      <c r="G234" s="8">
        <v>105</v>
      </c>
      <c r="H234" s="8">
        <v>7345544</v>
      </c>
      <c r="I234" s="8">
        <v>137</v>
      </c>
      <c r="J234" s="8">
        <v>9584186</v>
      </c>
    </row>
    <row r="235" spans="1:10" x14ac:dyDescent="0.2">
      <c r="A235" s="6" t="s">
        <v>243</v>
      </c>
      <c r="B235" s="6">
        <v>11</v>
      </c>
      <c r="C235" s="8">
        <v>1612</v>
      </c>
      <c r="D235" s="8">
        <v>148621497</v>
      </c>
      <c r="E235" s="8">
        <v>96</v>
      </c>
      <c r="F235" s="8">
        <v>8498854</v>
      </c>
      <c r="G235" s="8">
        <v>133</v>
      </c>
      <c r="H235" s="8">
        <v>12234781</v>
      </c>
      <c r="I235" s="8">
        <v>1575</v>
      </c>
      <c r="J235" s="8">
        <v>144885570</v>
      </c>
    </row>
    <row r="236" spans="1:10" x14ac:dyDescent="0.2">
      <c r="A236" s="6" t="s">
        <v>244</v>
      </c>
      <c r="B236" s="6">
        <v>11</v>
      </c>
      <c r="C236" s="8">
        <v>48</v>
      </c>
      <c r="D236" s="8">
        <v>4214784</v>
      </c>
      <c r="E236" s="8">
        <v>16</v>
      </c>
      <c r="F236" s="8">
        <v>1404928</v>
      </c>
      <c r="G236" s="8">
        <v>60</v>
      </c>
      <c r="H236" s="8">
        <v>5268480</v>
      </c>
      <c r="I236" s="8">
        <v>4</v>
      </c>
      <c r="J236" s="8">
        <v>351232</v>
      </c>
    </row>
    <row r="237" spans="1:10" x14ac:dyDescent="0.2">
      <c r="A237" s="6" t="s">
        <v>245</v>
      </c>
      <c r="B237" s="6">
        <v>11</v>
      </c>
      <c r="C237" s="8">
        <v>0</v>
      </c>
      <c r="D237" s="8">
        <v>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</row>
    <row r="238" spans="1:10" x14ac:dyDescent="0.2">
      <c r="A238" s="6" t="s">
        <v>246</v>
      </c>
      <c r="B238" s="6">
        <v>11</v>
      </c>
      <c r="C238" s="8">
        <v>7091</v>
      </c>
      <c r="D238" s="8">
        <v>50541387</v>
      </c>
      <c r="E238" s="8">
        <v>1680</v>
      </c>
      <c r="F238" s="8">
        <v>11974267</v>
      </c>
      <c r="G238" s="8">
        <v>15</v>
      </c>
      <c r="H238" s="8">
        <v>106913</v>
      </c>
      <c r="I238" s="8">
        <v>8756</v>
      </c>
      <c r="J238" s="8">
        <v>62408741</v>
      </c>
    </row>
    <row r="239" spans="1:10" x14ac:dyDescent="0.2">
      <c r="A239" s="6" t="s">
        <v>247</v>
      </c>
      <c r="B239" s="6">
        <v>11</v>
      </c>
      <c r="C239" s="8">
        <v>40256</v>
      </c>
      <c r="D239" s="8">
        <v>267812807</v>
      </c>
      <c r="E239" s="8">
        <v>3159</v>
      </c>
      <c r="F239" s="8">
        <v>20527315</v>
      </c>
      <c r="G239" s="8">
        <v>11</v>
      </c>
      <c r="H239" s="8">
        <v>73056</v>
      </c>
      <c r="I239" s="8">
        <v>43404</v>
      </c>
      <c r="J239" s="8">
        <v>288267066</v>
      </c>
    </row>
    <row r="240" spans="1:10" x14ac:dyDescent="0.2">
      <c r="A240" s="6" t="s">
        <v>248</v>
      </c>
      <c r="B240" s="6">
        <v>11</v>
      </c>
      <c r="C240" s="8">
        <v>390</v>
      </c>
      <c r="D240" s="8">
        <v>1881670</v>
      </c>
      <c r="E240" s="8">
        <v>0</v>
      </c>
      <c r="F240" s="8">
        <v>0</v>
      </c>
      <c r="G240" s="8">
        <v>6</v>
      </c>
      <c r="H240" s="8">
        <v>28949</v>
      </c>
      <c r="I240" s="8">
        <v>384</v>
      </c>
      <c r="J240" s="8">
        <v>1852721</v>
      </c>
    </row>
    <row r="241" spans="1:10" x14ac:dyDescent="0.2">
      <c r="A241" s="6" t="s">
        <v>249</v>
      </c>
      <c r="B241" s="6">
        <v>11</v>
      </c>
      <c r="C241" s="8">
        <v>426</v>
      </c>
      <c r="D241" s="8">
        <v>2002839</v>
      </c>
      <c r="E241" s="8">
        <v>0</v>
      </c>
      <c r="F241" s="8">
        <v>0</v>
      </c>
      <c r="G241" s="8">
        <v>6</v>
      </c>
      <c r="H241" s="8">
        <v>28209</v>
      </c>
      <c r="I241" s="8">
        <v>420</v>
      </c>
      <c r="J241" s="8">
        <v>1974630</v>
      </c>
    </row>
    <row r="242" spans="1:10" x14ac:dyDescent="0.2">
      <c r="A242" s="6" t="s">
        <v>250</v>
      </c>
      <c r="B242" s="6">
        <v>11</v>
      </c>
      <c r="C242" s="8">
        <v>15361</v>
      </c>
      <c r="D242" s="8">
        <v>161248307</v>
      </c>
      <c r="E242" s="8">
        <v>1200</v>
      </c>
      <c r="F242" s="8">
        <v>8553048</v>
      </c>
      <c r="G242" s="8">
        <v>0</v>
      </c>
      <c r="H242" s="8">
        <v>0</v>
      </c>
      <c r="I242" s="8">
        <v>16561</v>
      </c>
      <c r="J242" s="8">
        <v>169801355</v>
      </c>
    </row>
    <row r="243" spans="1:10" x14ac:dyDescent="0.2">
      <c r="A243" s="6" t="s">
        <v>251</v>
      </c>
      <c r="B243" s="6">
        <v>11</v>
      </c>
      <c r="C243" s="8">
        <v>0</v>
      </c>
      <c r="D243" s="8">
        <v>0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</row>
    <row r="244" spans="1:10" x14ac:dyDescent="0.2">
      <c r="A244" s="6" t="s">
        <v>252</v>
      </c>
      <c r="B244" s="6">
        <v>11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</row>
    <row r="245" spans="1:10" x14ac:dyDescent="0.2">
      <c r="A245" s="6" t="s">
        <v>253</v>
      </c>
      <c r="B245" s="6">
        <v>11</v>
      </c>
      <c r="C245" s="8">
        <v>0</v>
      </c>
      <c r="D245" s="8">
        <v>0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</row>
    <row r="246" spans="1:10" x14ac:dyDescent="0.2">
      <c r="A246" s="6" t="s">
        <v>254</v>
      </c>
      <c r="B246" s="6">
        <v>11</v>
      </c>
      <c r="C246" s="8">
        <v>58</v>
      </c>
      <c r="D246" s="8">
        <v>1993093</v>
      </c>
      <c r="E246" s="8">
        <v>140</v>
      </c>
      <c r="F246" s="8">
        <v>4811520</v>
      </c>
      <c r="G246" s="8">
        <v>20</v>
      </c>
      <c r="H246" s="8">
        <v>687335</v>
      </c>
      <c r="I246" s="8">
        <v>178</v>
      </c>
      <c r="J246" s="8">
        <v>6117278</v>
      </c>
    </row>
    <row r="247" spans="1:10" x14ac:dyDescent="0.2">
      <c r="A247" s="6" t="s">
        <v>255</v>
      </c>
      <c r="B247" s="6">
        <v>11</v>
      </c>
      <c r="C247" s="8">
        <v>0</v>
      </c>
      <c r="D247" s="8">
        <v>884858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884858</v>
      </c>
    </row>
    <row r="248" spans="1:10" x14ac:dyDescent="0.2">
      <c r="A248" s="6" t="s">
        <v>256</v>
      </c>
      <c r="B248" s="6">
        <v>11</v>
      </c>
      <c r="C248" s="8">
        <v>0</v>
      </c>
      <c r="D248" s="8">
        <v>0</v>
      </c>
      <c r="E248" s="8">
        <v>120</v>
      </c>
      <c r="F248" s="8">
        <v>5221853</v>
      </c>
      <c r="G248" s="8">
        <v>120</v>
      </c>
      <c r="H248" s="8">
        <v>5221853</v>
      </c>
      <c r="I248" s="8">
        <v>0</v>
      </c>
      <c r="J248" s="8">
        <v>0</v>
      </c>
    </row>
    <row r="249" spans="1:10" x14ac:dyDescent="0.2">
      <c r="A249" s="6" t="s">
        <v>257</v>
      </c>
      <c r="B249" s="6">
        <v>11</v>
      </c>
      <c r="C249" s="8">
        <v>18</v>
      </c>
      <c r="D249" s="8">
        <v>996240</v>
      </c>
      <c r="E249" s="8">
        <v>8</v>
      </c>
      <c r="F249" s="8">
        <v>426960</v>
      </c>
      <c r="G249" s="8">
        <v>0</v>
      </c>
      <c r="H249" s="8">
        <v>0</v>
      </c>
      <c r="I249" s="8">
        <v>26</v>
      </c>
      <c r="J249" s="8">
        <v>1423200</v>
      </c>
    </row>
    <row r="250" spans="1:10" x14ac:dyDescent="0.2">
      <c r="A250" s="6" t="s">
        <v>258</v>
      </c>
      <c r="B250" s="6">
        <v>11</v>
      </c>
      <c r="C250" s="8">
        <v>1245</v>
      </c>
      <c r="D250" s="8">
        <v>4797732</v>
      </c>
      <c r="E250" s="8">
        <v>120</v>
      </c>
      <c r="F250" s="8">
        <v>1838592</v>
      </c>
      <c r="G250" s="8">
        <v>50</v>
      </c>
      <c r="H250" s="8">
        <v>765862</v>
      </c>
      <c r="I250" s="8">
        <v>1315</v>
      </c>
      <c r="J250" s="8">
        <v>5870462</v>
      </c>
    </row>
    <row r="251" spans="1:10" x14ac:dyDescent="0.2">
      <c r="A251" s="6" t="s">
        <v>259</v>
      </c>
      <c r="B251" s="6">
        <v>11</v>
      </c>
      <c r="C251" s="8">
        <v>110</v>
      </c>
      <c r="D251" s="8">
        <v>2420810</v>
      </c>
      <c r="E251" s="8">
        <v>0</v>
      </c>
      <c r="F251" s="8">
        <v>0</v>
      </c>
      <c r="G251" s="8">
        <v>20</v>
      </c>
      <c r="H251" s="8">
        <v>440147</v>
      </c>
      <c r="I251" s="8">
        <v>90</v>
      </c>
      <c r="J251" s="8">
        <v>1980663</v>
      </c>
    </row>
    <row r="252" spans="1:10" x14ac:dyDescent="0.2">
      <c r="A252" s="6" t="s">
        <v>260</v>
      </c>
      <c r="B252" s="6">
        <v>11</v>
      </c>
      <c r="C252" s="8">
        <v>2</v>
      </c>
      <c r="D252" s="8">
        <v>109792</v>
      </c>
      <c r="E252" s="8">
        <v>5</v>
      </c>
      <c r="F252" s="8">
        <v>350400</v>
      </c>
      <c r="G252" s="8">
        <v>0</v>
      </c>
      <c r="H252" s="8">
        <v>0</v>
      </c>
      <c r="I252" s="8">
        <v>7</v>
      </c>
      <c r="J252" s="8">
        <v>460192</v>
      </c>
    </row>
    <row r="253" spans="1:10" x14ac:dyDescent="0.2">
      <c r="A253" s="6" t="s">
        <v>261</v>
      </c>
      <c r="B253" s="6">
        <v>11</v>
      </c>
      <c r="C253" s="8">
        <v>0</v>
      </c>
      <c r="D253" s="8">
        <v>0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</row>
    <row r="254" spans="1:10" x14ac:dyDescent="0.2">
      <c r="A254" s="6" t="s">
        <v>262</v>
      </c>
      <c r="B254" s="6">
        <v>11</v>
      </c>
      <c r="C254" s="8">
        <v>0</v>
      </c>
      <c r="D254" s="8">
        <v>0</v>
      </c>
      <c r="E254" s="8">
        <v>4</v>
      </c>
      <c r="F254" s="8">
        <v>330624</v>
      </c>
      <c r="G254" s="8">
        <v>0</v>
      </c>
      <c r="H254" s="8">
        <v>0</v>
      </c>
      <c r="I254" s="8">
        <v>4</v>
      </c>
      <c r="J254" s="8">
        <v>330624</v>
      </c>
    </row>
    <row r="255" spans="1:10" x14ac:dyDescent="0.2">
      <c r="A255" s="6" t="s">
        <v>263</v>
      </c>
      <c r="B255" s="6">
        <v>11</v>
      </c>
      <c r="C255" s="8">
        <v>0</v>
      </c>
      <c r="D255" s="8">
        <v>0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</row>
    <row r="256" spans="1:10" x14ac:dyDescent="0.2">
      <c r="A256" s="6" t="s">
        <v>264</v>
      </c>
      <c r="B256" s="6">
        <v>11</v>
      </c>
      <c r="C256" s="8">
        <v>0</v>
      </c>
      <c r="D256" s="8">
        <v>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</row>
    <row r="257" spans="1:10" x14ac:dyDescent="0.2">
      <c r="A257" s="6" t="s">
        <v>265</v>
      </c>
      <c r="B257" s="6">
        <v>11</v>
      </c>
      <c r="C257" s="8">
        <v>0</v>
      </c>
      <c r="D257" s="8">
        <v>0</v>
      </c>
      <c r="E257" s="8">
        <v>5</v>
      </c>
      <c r="F257" s="8">
        <v>412800</v>
      </c>
      <c r="G257" s="8">
        <v>0</v>
      </c>
      <c r="H257" s="8">
        <v>0</v>
      </c>
      <c r="I257" s="8">
        <v>5</v>
      </c>
      <c r="J257" s="8">
        <v>412800</v>
      </c>
    </row>
    <row r="258" spans="1:10" x14ac:dyDescent="0.2">
      <c r="A258" s="6" t="s">
        <v>266</v>
      </c>
      <c r="B258" s="6">
        <v>11</v>
      </c>
      <c r="C258" s="8">
        <v>0</v>
      </c>
      <c r="D258" s="8">
        <v>0</v>
      </c>
      <c r="E258" s="8">
        <v>5</v>
      </c>
      <c r="F258" s="8">
        <v>441600</v>
      </c>
      <c r="G258" s="8">
        <v>0</v>
      </c>
      <c r="H258" s="8">
        <v>0</v>
      </c>
      <c r="I258" s="8">
        <v>5</v>
      </c>
      <c r="J258" s="8">
        <v>441600</v>
      </c>
    </row>
    <row r="259" spans="1:10" x14ac:dyDescent="0.2">
      <c r="A259" s="6" t="s">
        <v>267</v>
      </c>
      <c r="B259" s="6">
        <v>11</v>
      </c>
      <c r="C259" s="8">
        <v>1</v>
      </c>
      <c r="D259" s="8">
        <v>39000</v>
      </c>
      <c r="E259" s="8">
        <v>5</v>
      </c>
      <c r="F259" s="8">
        <v>408000</v>
      </c>
      <c r="G259" s="8">
        <v>0</v>
      </c>
      <c r="H259" s="8">
        <v>0</v>
      </c>
      <c r="I259" s="8">
        <v>6</v>
      </c>
      <c r="J259" s="8">
        <v>447000</v>
      </c>
    </row>
    <row r="260" spans="1:10" x14ac:dyDescent="0.2">
      <c r="A260" s="6" t="s">
        <v>268</v>
      </c>
      <c r="B260" s="6">
        <v>11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</row>
    <row r="261" spans="1:10" x14ac:dyDescent="0.2">
      <c r="A261" s="6" t="s">
        <v>269</v>
      </c>
      <c r="B261" s="6">
        <v>11</v>
      </c>
      <c r="C261" s="8">
        <v>0</v>
      </c>
      <c r="D261" s="8">
        <v>0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</row>
    <row r="262" spans="1:10" x14ac:dyDescent="0.2">
      <c r="A262" s="6" t="s">
        <v>270</v>
      </c>
      <c r="B262" s="6">
        <v>11</v>
      </c>
      <c r="C262" s="8">
        <v>0</v>
      </c>
      <c r="D262" s="8">
        <v>0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</row>
    <row r="263" spans="1:10" x14ac:dyDescent="0.2">
      <c r="A263" s="6" t="s">
        <v>271</v>
      </c>
      <c r="B263" s="6">
        <v>11</v>
      </c>
      <c r="C263" s="8">
        <v>0</v>
      </c>
      <c r="D263" s="8">
        <v>0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</row>
    <row r="264" spans="1:10" x14ac:dyDescent="0.2">
      <c r="A264" s="6" t="s">
        <v>272</v>
      </c>
      <c r="B264" s="6">
        <v>11</v>
      </c>
      <c r="C264" s="8">
        <v>8</v>
      </c>
      <c r="D264" s="8">
        <v>1065272</v>
      </c>
      <c r="E264" s="8">
        <v>8</v>
      </c>
      <c r="F264" s="8">
        <v>1065272</v>
      </c>
      <c r="G264" s="8">
        <v>16</v>
      </c>
      <c r="H264" s="8">
        <v>2130544</v>
      </c>
      <c r="I264" s="8">
        <v>0</v>
      </c>
      <c r="J264" s="8">
        <v>0</v>
      </c>
    </row>
    <row r="265" spans="1:10" x14ac:dyDescent="0.2">
      <c r="A265" s="6" t="s">
        <v>273</v>
      </c>
      <c r="B265" s="6">
        <v>11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</row>
    <row r="266" spans="1:10" x14ac:dyDescent="0.2">
      <c r="A266" s="6" t="s">
        <v>274</v>
      </c>
      <c r="B266" s="6">
        <v>11</v>
      </c>
      <c r="C266" s="8">
        <v>0</v>
      </c>
      <c r="D266" s="8">
        <v>0</v>
      </c>
      <c r="E266" s="8">
        <v>14</v>
      </c>
      <c r="F266" s="8">
        <v>473144</v>
      </c>
      <c r="G266" s="8">
        <v>0</v>
      </c>
      <c r="H266" s="8">
        <v>0</v>
      </c>
      <c r="I266" s="8">
        <v>14</v>
      </c>
      <c r="J266" s="8">
        <v>473144</v>
      </c>
    </row>
    <row r="267" spans="1:10" x14ac:dyDescent="0.2">
      <c r="A267" s="6" t="s">
        <v>275</v>
      </c>
      <c r="B267" s="6">
        <v>11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</row>
    <row r="268" spans="1:10" x14ac:dyDescent="0.2">
      <c r="A268" s="6" t="s">
        <v>276</v>
      </c>
      <c r="B268" s="6">
        <v>11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</row>
    <row r="269" spans="1:10" x14ac:dyDescent="0.2">
      <c r="A269" s="6" t="s">
        <v>277</v>
      </c>
      <c r="B269" s="6">
        <v>11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</row>
    <row r="270" spans="1:10" x14ac:dyDescent="0.2">
      <c r="A270" s="6" t="s">
        <v>278</v>
      </c>
      <c r="B270" s="6">
        <v>11</v>
      </c>
      <c r="C270" s="8">
        <v>0</v>
      </c>
      <c r="D270" s="8">
        <v>0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</row>
    <row r="271" spans="1:10" x14ac:dyDescent="0.2">
      <c r="A271" s="6" t="s">
        <v>279</v>
      </c>
      <c r="B271" s="6">
        <v>11</v>
      </c>
      <c r="C271" s="8">
        <v>0</v>
      </c>
      <c r="D271" s="8">
        <v>0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</row>
    <row r="272" spans="1:10" x14ac:dyDescent="0.2">
      <c r="A272" s="6" t="s">
        <v>280</v>
      </c>
      <c r="B272" s="6">
        <v>11</v>
      </c>
      <c r="C272" s="8">
        <v>0</v>
      </c>
      <c r="D272" s="8">
        <v>0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</row>
    <row r="273" spans="1:10" x14ac:dyDescent="0.2">
      <c r="A273" s="6" t="s">
        <v>281</v>
      </c>
      <c r="B273" s="6">
        <v>11</v>
      </c>
      <c r="C273" s="8">
        <v>73</v>
      </c>
      <c r="D273" s="8">
        <v>1260398</v>
      </c>
      <c r="E273" s="8">
        <v>92</v>
      </c>
      <c r="F273" s="8">
        <v>1587600</v>
      </c>
      <c r="G273" s="8">
        <v>50</v>
      </c>
      <c r="H273" s="8">
        <v>863030</v>
      </c>
      <c r="I273" s="8">
        <v>115</v>
      </c>
      <c r="J273" s="8">
        <v>1984968</v>
      </c>
    </row>
    <row r="274" spans="1:10" x14ac:dyDescent="0.2">
      <c r="A274" s="6" t="s">
        <v>282</v>
      </c>
      <c r="B274" s="6">
        <v>11</v>
      </c>
      <c r="C274" s="8">
        <v>28</v>
      </c>
      <c r="D274" s="8">
        <v>2027260</v>
      </c>
      <c r="E274" s="8">
        <v>32</v>
      </c>
      <c r="F274" s="8">
        <v>2156459</v>
      </c>
      <c r="G274" s="8">
        <v>60</v>
      </c>
      <c r="H274" s="8">
        <v>4183719</v>
      </c>
      <c r="I274" s="8">
        <v>0</v>
      </c>
      <c r="J274" s="8">
        <v>0</v>
      </c>
    </row>
    <row r="275" spans="1:10" x14ac:dyDescent="0.2">
      <c r="A275" s="6" t="s">
        <v>283</v>
      </c>
      <c r="B275" s="6">
        <v>11</v>
      </c>
      <c r="C275" s="8">
        <v>2369</v>
      </c>
      <c r="D275" s="8">
        <v>50850002</v>
      </c>
      <c r="E275" s="8">
        <v>786</v>
      </c>
      <c r="F275" s="8">
        <v>26964000</v>
      </c>
      <c r="G275" s="8">
        <v>505</v>
      </c>
      <c r="H275" s="8">
        <v>17451373</v>
      </c>
      <c r="I275" s="8">
        <v>2650</v>
      </c>
      <c r="J275" s="8">
        <v>60362629</v>
      </c>
    </row>
    <row r="276" spans="1:10" x14ac:dyDescent="0.2">
      <c r="A276" s="6" t="s">
        <v>284</v>
      </c>
      <c r="B276" s="6">
        <v>11</v>
      </c>
      <c r="C276" s="8">
        <v>150</v>
      </c>
      <c r="D276" s="8">
        <v>6866424</v>
      </c>
      <c r="E276" s="8">
        <v>20</v>
      </c>
      <c r="F276" s="8">
        <v>920640</v>
      </c>
      <c r="G276" s="8">
        <v>0</v>
      </c>
      <c r="H276" s="8">
        <v>0</v>
      </c>
      <c r="I276" s="8">
        <v>170</v>
      </c>
      <c r="J276" s="8">
        <v>7787064</v>
      </c>
    </row>
    <row r="277" spans="1:10" x14ac:dyDescent="0.2">
      <c r="A277" s="6" t="s">
        <v>285</v>
      </c>
      <c r="B277" s="6">
        <v>11</v>
      </c>
      <c r="C277" s="8">
        <v>0</v>
      </c>
      <c r="D277" s="8">
        <v>0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</row>
    <row r="278" spans="1:10" x14ac:dyDescent="0.2">
      <c r="A278" s="6" t="s">
        <v>286</v>
      </c>
      <c r="B278" s="6">
        <v>11</v>
      </c>
      <c r="C278" s="8">
        <v>8</v>
      </c>
      <c r="D278" s="8">
        <v>847410</v>
      </c>
      <c r="E278" s="8">
        <v>7</v>
      </c>
      <c r="F278" s="8">
        <v>741484</v>
      </c>
      <c r="G278" s="8">
        <v>15</v>
      </c>
      <c r="H278" s="8">
        <v>1588894</v>
      </c>
      <c r="I278" s="8">
        <v>0</v>
      </c>
      <c r="J278" s="8">
        <v>0</v>
      </c>
    </row>
    <row r="279" spans="1:10" x14ac:dyDescent="0.2">
      <c r="A279" s="6" t="s">
        <v>287</v>
      </c>
      <c r="B279" s="6">
        <v>11</v>
      </c>
      <c r="C279" s="8">
        <v>8</v>
      </c>
      <c r="D279" s="8">
        <v>888480</v>
      </c>
      <c r="E279" s="8">
        <v>0</v>
      </c>
      <c r="F279" s="8">
        <v>0</v>
      </c>
      <c r="G279" s="8">
        <v>0</v>
      </c>
      <c r="H279" s="8">
        <v>0</v>
      </c>
      <c r="I279" s="8">
        <v>8</v>
      </c>
      <c r="J279" s="8">
        <v>888480</v>
      </c>
    </row>
    <row r="280" spans="1:10" x14ac:dyDescent="0.2">
      <c r="A280" s="6" t="s">
        <v>288</v>
      </c>
      <c r="B280" s="6">
        <v>11</v>
      </c>
      <c r="C280" s="8">
        <v>72</v>
      </c>
      <c r="D280" s="8">
        <v>1717560</v>
      </c>
      <c r="E280" s="8">
        <v>0</v>
      </c>
      <c r="F280" s="8">
        <v>0</v>
      </c>
      <c r="G280" s="8">
        <v>0</v>
      </c>
      <c r="H280" s="8">
        <v>0</v>
      </c>
      <c r="I280" s="8">
        <v>72</v>
      </c>
      <c r="J280" s="8">
        <v>1717560</v>
      </c>
    </row>
    <row r="281" spans="1:10" x14ac:dyDescent="0.2">
      <c r="A281" s="6" t="s">
        <v>289</v>
      </c>
      <c r="B281" s="6">
        <v>11</v>
      </c>
      <c r="C281" s="8">
        <v>5453</v>
      </c>
      <c r="D281" s="8">
        <v>18544800</v>
      </c>
      <c r="E281" s="8">
        <v>0</v>
      </c>
      <c r="F281" s="8">
        <v>0</v>
      </c>
      <c r="G281" s="8">
        <v>0</v>
      </c>
      <c r="H281" s="8">
        <v>0</v>
      </c>
      <c r="I281" s="8">
        <v>5453</v>
      </c>
      <c r="J281" s="8">
        <v>18544800</v>
      </c>
    </row>
    <row r="282" spans="1:10" x14ac:dyDescent="0.2">
      <c r="A282" s="6" t="s">
        <v>290</v>
      </c>
      <c r="B282" s="6">
        <v>11</v>
      </c>
      <c r="C282" s="8">
        <v>751</v>
      </c>
      <c r="D282" s="8">
        <v>66828163</v>
      </c>
      <c r="E282" s="8">
        <v>396</v>
      </c>
      <c r="F282" s="8">
        <v>35237664</v>
      </c>
      <c r="G282" s="8">
        <v>853</v>
      </c>
      <c r="H282" s="8">
        <v>75904229</v>
      </c>
      <c r="I282" s="8">
        <v>294</v>
      </c>
      <c r="J282" s="8">
        <v>26161598</v>
      </c>
    </row>
    <row r="283" spans="1:10" x14ac:dyDescent="0.2">
      <c r="A283" s="6" t="s">
        <v>291</v>
      </c>
      <c r="B283" s="6">
        <v>11</v>
      </c>
      <c r="C283" s="8">
        <v>1042</v>
      </c>
      <c r="D283" s="8">
        <v>97310015</v>
      </c>
      <c r="E283" s="8">
        <v>455</v>
      </c>
      <c r="F283" s="8">
        <v>42538860</v>
      </c>
      <c r="G283" s="8">
        <v>917</v>
      </c>
      <c r="H283" s="8">
        <v>85665610</v>
      </c>
      <c r="I283" s="8">
        <v>580</v>
      </c>
      <c r="J283" s="8">
        <v>54183265</v>
      </c>
    </row>
    <row r="284" spans="1:10" x14ac:dyDescent="0.2">
      <c r="A284" s="6" t="s">
        <v>292</v>
      </c>
      <c r="B284" s="6">
        <v>11</v>
      </c>
      <c r="C284" s="8">
        <v>212</v>
      </c>
      <c r="D284" s="8">
        <v>16761815</v>
      </c>
      <c r="E284" s="8">
        <v>332</v>
      </c>
      <c r="F284" s="8">
        <v>28432224</v>
      </c>
      <c r="G284" s="8">
        <v>544</v>
      </c>
      <c r="H284" s="8">
        <v>45194039</v>
      </c>
      <c r="I284" s="8">
        <v>0</v>
      </c>
      <c r="J284" s="8">
        <v>0</v>
      </c>
    </row>
    <row r="285" spans="1:10" x14ac:dyDescent="0.2">
      <c r="A285" s="6"/>
      <c r="B285" s="6"/>
      <c r="C285" s="5"/>
      <c r="D285" s="5">
        <v>15266188020</v>
      </c>
      <c r="E285" s="5"/>
      <c r="F285" s="5">
        <v>7821004404</v>
      </c>
      <c r="G285" s="5"/>
      <c r="H285" s="5">
        <v>7330307950</v>
      </c>
      <c r="I285" s="5"/>
      <c r="J285" s="5">
        <v>15756884474</v>
      </c>
    </row>
  </sheetData>
  <mergeCells count="4">
    <mergeCell ref="C1:D1"/>
    <mergeCell ref="E1:F1"/>
    <mergeCell ref="G1:H1"/>
    <mergeCell ref="I1:J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8D3B6-B308-40D1-BD6C-C8C65EB297BD}">
  <dimension ref="A2:H410"/>
  <sheetViews>
    <sheetView topLeftCell="A393" workbookViewId="0">
      <selection activeCell="D407" sqref="D407"/>
    </sheetView>
  </sheetViews>
  <sheetFormatPr defaultRowHeight="15" x14ac:dyDescent="0.25"/>
  <cols>
    <col min="1" max="1" width="13.28515625" style="27" customWidth="1"/>
    <col min="2" max="2" width="41.85546875" style="26" customWidth="1"/>
    <col min="3" max="3" width="8.5703125" style="27" customWidth="1"/>
    <col min="4" max="4" width="9.140625" style="26"/>
    <col min="5" max="5" width="10" style="26" customWidth="1"/>
    <col min="6" max="6" width="17.28515625" style="51" customWidth="1"/>
    <col min="7" max="252" width="9.140625" style="26"/>
    <col min="253" max="253" width="13.28515625" style="26" customWidth="1"/>
    <col min="254" max="254" width="41.85546875" style="26" customWidth="1"/>
    <col min="255" max="255" width="8.5703125" style="26" customWidth="1"/>
    <col min="256" max="256" width="9.140625" style="26"/>
    <col min="257" max="257" width="10" style="26" customWidth="1"/>
    <col min="258" max="258" width="10.140625" style="26" customWidth="1"/>
    <col min="259" max="259" width="17.28515625" style="26" customWidth="1"/>
    <col min="260" max="261" width="14.5703125" style="26" customWidth="1"/>
    <col min="262" max="508" width="9.140625" style="26"/>
    <col min="509" max="509" width="13.28515625" style="26" customWidth="1"/>
    <col min="510" max="510" width="41.85546875" style="26" customWidth="1"/>
    <col min="511" max="511" width="8.5703125" style="26" customWidth="1"/>
    <col min="512" max="512" width="9.140625" style="26"/>
    <col min="513" max="513" width="10" style="26" customWidth="1"/>
    <col min="514" max="514" width="10.140625" style="26" customWidth="1"/>
    <col min="515" max="515" width="17.28515625" style="26" customWidth="1"/>
    <col min="516" max="517" width="14.5703125" style="26" customWidth="1"/>
    <col min="518" max="764" width="9.140625" style="26"/>
    <col min="765" max="765" width="13.28515625" style="26" customWidth="1"/>
    <col min="766" max="766" width="41.85546875" style="26" customWidth="1"/>
    <col min="767" max="767" width="8.5703125" style="26" customWidth="1"/>
    <col min="768" max="768" width="9.140625" style="26"/>
    <col min="769" max="769" width="10" style="26" customWidth="1"/>
    <col min="770" max="770" width="10.140625" style="26" customWidth="1"/>
    <col min="771" max="771" width="17.28515625" style="26" customWidth="1"/>
    <col min="772" max="773" width="14.5703125" style="26" customWidth="1"/>
    <col min="774" max="1020" width="9.140625" style="26"/>
    <col min="1021" max="1021" width="13.28515625" style="26" customWidth="1"/>
    <col min="1022" max="1022" width="41.85546875" style="26" customWidth="1"/>
    <col min="1023" max="1023" width="8.5703125" style="26" customWidth="1"/>
    <col min="1024" max="1024" width="9.140625" style="26"/>
    <col min="1025" max="1025" width="10" style="26" customWidth="1"/>
    <col min="1026" max="1026" width="10.140625" style="26" customWidth="1"/>
    <col min="1027" max="1027" width="17.28515625" style="26" customWidth="1"/>
    <col min="1028" max="1029" width="14.5703125" style="26" customWidth="1"/>
    <col min="1030" max="1276" width="9.140625" style="26"/>
    <col min="1277" max="1277" width="13.28515625" style="26" customWidth="1"/>
    <col min="1278" max="1278" width="41.85546875" style="26" customWidth="1"/>
    <col min="1279" max="1279" width="8.5703125" style="26" customWidth="1"/>
    <col min="1280" max="1280" width="9.140625" style="26"/>
    <col min="1281" max="1281" width="10" style="26" customWidth="1"/>
    <col min="1282" max="1282" width="10.140625" style="26" customWidth="1"/>
    <col min="1283" max="1283" width="17.28515625" style="26" customWidth="1"/>
    <col min="1284" max="1285" width="14.5703125" style="26" customWidth="1"/>
    <col min="1286" max="1532" width="9.140625" style="26"/>
    <col min="1533" max="1533" width="13.28515625" style="26" customWidth="1"/>
    <col min="1534" max="1534" width="41.85546875" style="26" customWidth="1"/>
    <col min="1535" max="1535" width="8.5703125" style="26" customWidth="1"/>
    <col min="1536" max="1536" width="9.140625" style="26"/>
    <col min="1537" max="1537" width="10" style="26" customWidth="1"/>
    <col min="1538" max="1538" width="10.140625" style="26" customWidth="1"/>
    <col min="1539" max="1539" width="17.28515625" style="26" customWidth="1"/>
    <col min="1540" max="1541" width="14.5703125" style="26" customWidth="1"/>
    <col min="1542" max="1788" width="9.140625" style="26"/>
    <col min="1789" max="1789" width="13.28515625" style="26" customWidth="1"/>
    <col min="1790" max="1790" width="41.85546875" style="26" customWidth="1"/>
    <col min="1791" max="1791" width="8.5703125" style="26" customWidth="1"/>
    <col min="1792" max="1792" width="9.140625" style="26"/>
    <col min="1793" max="1793" width="10" style="26" customWidth="1"/>
    <col min="1794" max="1794" width="10.140625" style="26" customWidth="1"/>
    <col min="1795" max="1795" width="17.28515625" style="26" customWidth="1"/>
    <col min="1796" max="1797" width="14.5703125" style="26" customWidth="1"/>
    <col min="1798" max="2044" width="9.140625" style="26"/>
    <col min="2045" max="2045" width="13.28515625" style="26" customWidth="1"/>
    <col min="2046" max="2046" width="41.85546875" style="26" customWidth="1"/>
    <col min="2047" max="2047" width="8.5703125" style="26" customWidth="1"/>
    <col min="2048" max="2048" width="9.140625" style="26"/>
    <col min="2049" max="2049" width="10" style="26" customWidth="1"/>
    <col min="2050" max="2050" width="10.140625" style="26" customWidth="1"/>
    <col min="2051" max="2051" width="17.28515625" style="26" customWidth="1"/>
    <col min="2052" max="2053" width="14.5703125" style="26" customWidth="1"/>
    <col min="2054" max="2300" width="9.140625" style="26"/>
    <col min="2301" max="2301" width="13.28515625" style="26" customWidth="1"/>
    <col min="2302" max="2302" width="41.85546875" style="26" customWidth="1"/>
    <col min="2303" max="2303" width="8.5703125" style="26" customWidth="1"/>
    <col min="2304" max="2304" width="9.140625" style="26"/>
    <col min="2305" max="2305" width="10" style="26" customWidth="1"/>
    <col min="2306" max="2306" width="10.140625" style="26" customWidth="1"/>
    <col min="2307" max="2307" width="17.28515625" style="26" customWidth="1"/>
    <col min="2308" max="2309" width="14.5703125" style="26" customWidth="1"/>
    <col min="2310" max="2556" width="9.140625" style="26"/>
    <col min="2557" max="2557" width="13.28515625" style="26" customWidth="1"/>
    <col min="2558" max="2558" width="41.85546875" style="26" customWidth="1"/>
    <col min="2559" max="2559" width="8.5703125" style="26" customWidth="1"/>
    <col min="2560" max="2560" width="9.140625" style="26"/>
    <col min="2561" max="2561" width="10" style="26" customWidth="1"/>
    <col min="2562" max="2562" width="10.140625" style="26" customWidth="1"/>
    <col min="2563" max="2563" width="17.28515625" style="26" customWidth="1"/>
    <col min="2564" max="2565" width="14.5703125" style="26" customWidth="1"/>
    <col min="2566" max="2812" width="9.140625" style="26"/>
    <col min="2813" max="2813" width="13.28515625" style="26" customWidth="1"/>
    <col min="2814" max="2814" width="41.85546875" style="26" customWidth="1"/>
    <col min="2815" max="2815" width="8.5703125" style="26" customWidth="1"/>
    <col min="2816" max="2816" width="9.140625" style="26"/>
    <col min="2817" max="2817" width="10" style="26" customWidth="1"/>
    <col min="2818" max="2818" width="10.140625" style="26" customWidth="1"/>
    <col min="2819" max="2819" width="17.28515625" style="26" customWidth="1"/>
    <col min="2820" max="2821" width="14.5703125" style="26" customWidth="1"/>
    <col min="2822" max="3068" width="9.140625" style="26"/>
    <col min="3069" max="3069" width="13.28515625" style="26" customWidth="1"/>
    <col min="3070" max="3070" width="41.85546875" style="26" customWidth="1"/>
    <col min="3071" max="3071" width="8.5703125" style="26" customWidth="1"/>
    <col min="3072" max="3072" width="9.140625" style="26"/>
    <col min="3073" max="3073" width="10" style="26" customWidth="1"/>
    <col min="3074" max="3074" width="10.140625" style="26" customWidth="1"/>
    <col min="3075" max="3075" width="17.28515625" style="26" customWidth="1"/>
    <col min="3076" max="3077" width="14.5703125" style="26" customWidth="1"/>
    <col min="3078" max="3324" width="9.140625" style="26"/>
    <col min="3325" max="3325" width="13.28515625" style="26" customWidth="1"/>
    <col min="3326" max="3326" width="41.85546875" style="26" customWidth="1"/>
    <col min="3327" max="3327" width="8.5703125" style="26" customWidth="1"/>
    <col min="3328" max="3328" width="9.140625" style="26"/>
    <col min="3329" max="3329" width="10" style="26" customWidth="1"/>
    <col min="3330" max="3330" width="10.140625" style="26" customWidth="1"/>
    <col min="3331" max="3331" width="17.28515625" style="26" customWidth="1"/>
    <col min="3332" max="3333" width="14.5703125" style="26" customWidth="1"/>
    <col min="3334" max="3580" width="9.140625" style="26"/>
    <col min="3581" max="3581" width="13.28515625" style="26" customWidth="1"/>
    <col min="3582" max="3582" width="41.85546875" style="26" customWidth="1"/>
    <col min="3583" max="3583" width="8.5703125" style="26" customWidth="1"/>
    <col min="3584" max="3584" width="9.140625" style="26"/>
    <col min="3585" max="3585" width="10" style="26" customWidth="1"/>
    <col min="3586" max="3586" width="10.140625" style="26" customWidth="1"/>
    <col min="3587" max="3587" width="17.28515625" style="26" customWidth="1"/>
    <col min="3588" max="3589" width="14.5703125" style="26" customWidth="1"/>
    <col min="3590" max="3836" width="9.140625" style="26"/>
    <col min="3837" max="3837" width="13.28515625" style="26" customWidth="1"/>
    <col min="3838" max="3838" width="41.85546875" style="26" customWidth="1"/>
    <col min="3839" max="3839" width="8.5703125" style="26" customWidth="1"/>
    <col min="3840" max="3840" width="9.140625" style="26"/>
    <col min="3841" max="3841" width="10" style="26" customWidth="1"/>
    <col min="3842" max="3842" width="10.140625" style="26" customWidth="1"/>
    <col min="3843" max="3843" width="17.28515625" style="26" customWidth="1"/>
    <col min="3844" max="3845" width="14.5703125" style="26" customWidth="1"/>
    <col min="3846" max="4092" width="9.140625" style="26"/>
    <col min="4093" max="4093" width="13.28515625" style="26" customWidth="1"/>
    <col min="4094" max="4094" width="41.85546875" style="26" customWidth="1"/>
    <col min="4095" max="4095" width="8.5703125" style="26" customWidth="1"/>
    <col min="4096" max="4096" width="9.140625" style="26"/>
    <col min="4097" max="4097" width="10" style="26" customWidth="1"/>
    <col min="4098" max="4098" width="10.140625" style="26" customWidth="1"/>
    <col min="4099" max="4099" width="17.28515625" style="26" customWidth="1"/>
    <col min="4100" max="4101" width="14.5703125" style="26" customWidth="1"/>
    <col min="4102" max="4348" width="9.140625" style="26"/>
    <col min="4349" max="4349" width="13.28515625" style="26" customWidth="1"/>
    <col min="4350" max="4350" width="41.85546875" style="26" customWidth="1"/>
    <col min="4351" max="4351" width="8.5703125" style="26" customWidth="1"/>
    <col min="4352" max="4352" width="9.140625" style="26"/>
    <col min="4353" max="4353" width="10" style="26" customWidth="1"/>
    <col min="4354" max="4354" width="10.140625" style="26" customWidth="1"/>
    <col min="4355" max="4355" width="17.28515625" style="26" customWidth="1"/>
    <col min="4356" max="4357" width="14.5703125" style="26" customWidth="1"/>
    <col min="4358" max="4604" width="9.140625" style="26"/>
    <col min="4605" max="4605" width="13.28515625" style="26" customWidth="1"/>
    <col min="4606" max="4606" width="41.85546875" style="26" customWidth="1"/>
    <col min="4607" max="4607" width="8.5703125" style="26" customWidth="1"/>
    <col min="4608" max="4608" width="9.140625" style="26"/>
    <col min="4609" max="4609" width="10" style="26" customWidth="1"/>
    <col min="4610" max="4610" width="10.140625" style="26" customWidth="1"/>
    <col min="4611" max="4611" width="17.28515625" style="26" customWidth="1"/>
    <col min="4612" max="4613" width="14.5703125" style="26" customWidth="1"/>
    <col min="4614" max="4860" width="9.140625" style="26"/>
    <col min="4861" max="4861" width="13.28515625" style="26" customWidth="1"/>
    <col min="4862" max="4862" width="41.85546875" style="26" customWidth="1"/>
    <col min="4863" max="4863" width="8.5703125" style="26" customWidth="1"/>
    <col min="4864" max="4864" width="9.140625" style="26"/>
    <col min="4865" max="4865" width="10" style="26" customWidth="1"/>
    <col min="4866" max="4866" width="10.140625" style="26" customWidth="1"/>
    <col min="4867" max="4867" width="17.28515625" style="26" customWidth="1"/>
    <col min="4868" max="4869" width="14.5703125" style="26" customWidth="1"/>
    <col min="4870" max="5116" width="9.140625" style="26"/>
    <col min="5117" max="5117" width="13.28515625" style="26" customWidth="1"/>
    <col min="5118" max="5118" width="41.85546875" style="26" customWidth="1"/>
    <col min="5119" max="5119" width="8.5703125" style="26" customWidth="1"/>
    <col min="5120" max="5120" width="9.140625" style="26"/>
    <col min="5121" max="5121" width="10" style="26" customWidth="1"/>
    <col min="5122" max="5122" width="10.140625" style="26" customWidth="1"/>
    <col min="5123" max="5123" width="17.28515625" style="26" customWidth="1"/>
    <col min="5124" max="5125" width="14.5703125" style="26" customWidth="1"/>
    <col min="5126" max="5372" width="9.140625" style="26"/>
    <col min="5373" max="5373" width="13.28515625" style="26" customWidth="1"/>
    <col min="5374" max="5374" width="41.85546875" style="26" customWidth="1"/>
    <col min="5375" max="5375" width="8.5703125" style="26" customWidth="1"/>
    <col min="5376" max="5376" width="9.140625" style="26"/>
    <col min="5377" max="5377" width="10" style="26" customWidth="1"/>
    <col min="5378" max="5378" width="10.140625" style="26" customWidth="1"/>
    <col min="5379" max="5379" width="17.28515625" style="26" customWidth="1"/>
    <col min="5380" max="5381" width="14.5703125" style="26" customWidth="1"/>
    <col min="5382" max="5628" width="9.140625" style="26"/>
    <col min="5629" max="5629" width="13.28515625" style="26" customWidth="1"/>
    <col min="5630" max="5630" width="41.85546875" style="26" customWidth="1"/>
    <col min="5631" max="5631" width="8.5703125" style="26" customWidth="1"/>
    <col min="5632" max="5632" width="9.140625" style="26"/>
    <col min="5633" max="5633" width="10" style="26" customWidth="1"/>
    <col min="5634" max="5634" width="10.140625" style="26" customWidth="1"/>
    <col min="5635" max="5635" width="17.28515625" style="26" customWidth="1"/>
    <col min="5636" max="5637" width="14.5703125" style="26" customWidth="1"/>
    <col min="5638" max="5884" width="9.140625" style="26"/>
    <col min="5885" max="5885" width="13.28515625" style="26" customWidth="1"/>
    <col min="5886" max="5886" width="41.85546875" style="26" customWidth="1"/>
    <col min="5887" max="5887" width="8.5703125" style="26" customWidth="1"/>
    <col min="5888" max="5888" width="9.140625" style="26"/>
    <col min="5889" max="5889" width="10" style="26" customWidth="1"/>
    <col min="5890" max="5890" width="10.140625" style="26" customWidth="1"/>
    <col min="5891" max="5891" width="17.28515625" style="26" customWidth="1"/>
    <col min="5892" max="5893" width="14.5703125" style="26" customWidth="1"/>
    <col min="5894" max="6140" width="9.140625" style="26"/>
    <col min="6141" max="6141" width="13.28515625" style="26" customWidth="1"/>
    <col min="6142" max="6142" width="41.85546875" style="26" customWidth="1"/>
    <col min="6143" max="6143" width="8.5703125" style="26" customWidth="1"/>
    <col min="6144" max="6144" width="9.140625" style="26"/>
    <col min="6145" max="6145" width="10" style="26" customWidth="1"/>
    <col min="6146" max="6146" width="10.140625" style="26" customWidth="1"/>
    <col min="6147" max="6147" width="17.28515625" style="26" customWidth="1"/>
    <col min="6148" max="6149" width="14.5703125" style="26" customWidth="1"/>
    <col min="6150" max="6396" width="9.140625" style="26"/>
    <col min="6397" max="6397" width="13.28515625" style="26" customWidth="1"/>
    <col min="6398" max="6398" width="41.85546875" style="26" customWidth="1"/>
    <col min="6399" max="6399" width="8.5703125" style="26" customWidth="1"/>
    <col min="6400" max="6400" width="9.140625" style="26"/>
    <col min="6401" max="6401" width="10" style="26" customWidth="1"/>
    <col min="6402" max="6402" width="10.140625" style="26" customWidth="1"/>
    <col min="6403" max="6403" width="17.28515625" style="26" customWidth="1"/>
    <col min="6404" max="6405" width="14.5703125" style="26" customWidth="1"/>
    <col min="6406" max="6652" width="9.140625" style="26"/>
    <col min="6653" max="6653" width="13.28515625" style="26" customWidth="1"/>
    <col min="6654" max="6654" width="41.85546875" style="26" customWidth="1"/>
    <col min="6655" max="6655" width="8.5703125" style="26" customWidth="1"/>
    <col min="6656" max="6656" width="9.140625" style="26"/>
    <col min="6657" max="6657" width="10" style="26" customWidth="1"/>
    <col min="6658" max="6658" width="10.140625" style="26" customWidth="1"/>
    <col min="6659" max="6659" width="17.28515625" style="26" customWidth="1"/>
    <col min="6660" max="6661" width="14.5703125" style="26" customWidth="1"/>
    <col min="6662" max="6908" width="9.140625" style="26"/>
    <col min="6909" max="6909" width="13.28515625" style="26" customWidth="1"/>
    <col min="6910" max="6910" width="41.85546875" style="26" customWidth="1"/>
    <col min="6911" max="6911" width="8.5703125" style="26" customWidth="1"/>
    <col min="6912" max="6912" width="9.140625" style="26"/>
    <col min="6913" max="6913" width="10" style="26" customWidth="1"/>
    <col min="6914" max="6914" width="10.140625" style="26" customWidth="1"/>
    <col min="6915" max="6915" width="17.28515625" style="26" customWidth="1"/>
    <col min="6916" max="6917" width="14.5703125" style="26" customWidth="1"/>
    <col min="6918" max="7164" width="9.140625" style="26"/>
    <col min="7165" max="7165" width="13.28515625" style="26" customWidth="1"/>
    <col min="7166" max="7166" width="41.85546875" style="26" customWidth="1"/>
    <col min="7167" max="7167" width="8.5703125" style="26" customWidth="1"/>
    <col min="7168" max="7168" width="9.140625" style="26"/>
    <col min="7169" max="7169" width="10" style="26" customWidth="1"/>
    <col min="7170" max="7170" width="10.140625" style="26" customWidth="1"/>
    <col min="7171" max="7171" width="17.28515625" style="26" customWidth="1"/>
    <col min="7172" max="7173" width="14.5703125" style="26" customWidth="1"/>
    <col min="7174" max="7420" width="9.140625" style="26"/>
    <col min="7421" max="7421" width="13.28515625" style="26" customWidth="1"/>
    <col min="7422" max="7422" width="41.85546875" style="26" customWidth="1"/>
    <col min="7423" max="7423" width="8.5703125" style="26" customWidth="1"/>
    <col min="7424" max="7424" width="9.140625" style="26"/>
    <col min="7425" max="7425" width="10" style="26" customWidth="1"/>
    <col min="7426" max="7426" width="10.140625" style="26" customWidth="1"/>
    <col min="7427" max="7427" width="17.28515625" style="26" customWidth="1"/>
    <col min="7428" max="7429" width="14.5703125" style="26" customWidth="1"/>
    <col min="7430" max="7676" width="9.140625" style="26"/>
    <col min="7677" max="7677" width="13.28515625" style="26" customWidth="1"/>
    <col min="7678" max="7678" width="41.85546875" style="26" customWidth="1"/>
    <col min="7679" max="7679" width="8.5703125" style="26" customWidth="1"/>
    <col min="7680" max="7680" width="9.140625" style="26"/>
    <col min="7681" max="7681" width="10" style="26" customWidth="1"/>
    <col min="7682" max="7682" width="10.140625" style="26" customWidth="1"/>
    <col min="7683" max="7683" width="17.28515625" style="26" customWidth="1"/>
    <col min="7684" max="7685" width="14.5703125" style="26" customWidth="1"/>
    <col min="7686" max="7932" width="9.140625" style="26"/>
    <col min="7933" max="7933" width="13.28515625" style="26" customWidth="1"/>
    <col min="7934" max="7934" width="41.85546875" style="26" customWidth="1"/>
    <col min="7935" max="7935" width="8.5703125" style="26" customWidth="1"/>
    <col min="7936" max="7936" width="9.140625" style="26"/>
    <col min="7937" max="7937" width="10" style="26" customWidth="1"/>
    <col min="7938" max="7938" width="10.140625" style="26" customWidth="1"/>
    <col min="7939" max="7939" width="17.28515625" style="26" customWidth="1"/>
    <col min="7940" max="7941" width="14.5703125" style="26" customWidth="1"/>
    <col min="7942" max="8188" width="9.140625" style="26"/>
    <col min="8189" max="8189" width="13.28515625" style="26" customWidth="1"/>
    <col min="8190" max="8190" width="41.85546875" style="26" customWidth="1"/>
    <col min="8191" max="8191" width="8.5703125" style="26" customWidth="1"/>
    <col min="8192" max="8192" width="9.140625" style="26"/>
    <col min="8193" max="8193" width="10" style="26" customWidth="1"/>
    <col min="8194" max="8194" width="10.140625" style="26" customWidth="1"/>
    <col min="8195" max="8195" width="17.28515625" style="26" customWidth="1"/>
    <col min="8196" max="8197" width="14.5703125" style="26" customWidth="1"/>
    <col min="8198" max="8444" width="9.140625" style="26"/>
    <col min="8445" max="8445" width="13.28515625" style="26" customWidth="1"/>
    <col min="8446" max="8446" width="41.85546875" style="26" customWidth="1"/>
    <col min="8447" max="8447" width="8.5703125" style="26" customWidth="1"/>
    <col min="8448" max="8448" width="9.140625" style="26"/>
    <col min="8449" max="8449" width="10" style="26" customWidth="1"/>
    <col min="8450" max="8450" width="10.140625" style="26" customWidth="1"/>
    <col min="8451" max="8451" width="17.28515625" style="26" customWidth="1"/>
    <col min="8452" max="8453" width="14.5703125" style="26" customWidth="1"/>
    <col min="8454" max="8700" width="9.140625" style="26"/>
    <col min="8701" max="8701" width="13.28515625" style="26" customWidth="1"/>
    <col min="8702" max="8702" width="41.85546875" style="26" customWidth="1"/>
    <col min="8703" max="8703" width="8.5703125" style="26" customWidth="1"/>
    <col min="8704" max="8704" width="9.140625" style="26"/>
    <col min="8705" max="8705" width="10" style="26" customWidth="1"/>
    <col min="8706" max="8706" width="10.140625" style="26" customWidth="1"/>
    <col min="8707" max="8707" width="17.28515625" style="26" customWidth="1"/>
    <col min="8708" max="8709" width="14.5703125" style="26" customWidth="1"/>
    <col min="8710" max="8956" width="9.140625" style="26"/>
    <col min="8957" max="8957" width="13.28515625" style="26" customWidth="1"/>
    <col min="8958" max="8958" width="41.85546875" style="26" customWidth="1"/>
    <col min="8959" max="8959" width="8.5703125" style="26" customWidth="1"/>
    <col min="8960" max="8960" width="9.140625" style="26"/>
    <col min="8961" max="8961" width="10" style="26" customWidth="1"/>
    <col min="8962" max="8962" width="10.140625" style="26" customWidth="1"/>
    <col min="8963" max="8963" width="17.28515625" style="26" customWidth="1"/>
    <col min="8964" max="8965" width="14.5703125" style="26" customWidth="1"/>
    <col min="8966" max="9212" width="9.140625" style="26"/>
    <col min="9213" max="9213" width="13.28515625" style="26" customWidth="1"/>
    <col min="9214" max="9214" width="41.85546875" style="26" customWidth="1"/>
    <col min="9215" max="9215" width="8.5703125" style="26" customWidth="1"/>
    <col min="9216" max="9216" width="9.140625" style="26"/>
    <col min="9217" max="9217" width="10" style="26" customWidth="1"/>
    <col min="9218" max="9218" width="10.140625" style="26" customWidth="1"/>
    <col min="9219" max="9219" width="17.28515625" style="26" customWidth="1"/>
    <col min="9220" max="9221" width="14.5703125" style="26" customWidth="1"/>
    <col min="9222" max="9468" width="9.140625" style="26"/>
    <col min="9469" max="9469" width="13.28515625" style="26" customWidth="1"/>
    <col min="9470" max="9470" width="41.85546875" style="26" customWidth="1"/>
    <col min="9471" max="9471" width="8.5703125" style="26" customWidth="1"/>
    <col min="9472" max="9472" width="9.140625" style="26"/>
    <col min="9473" max="9473" width="10" style="26" customWidth="1"/>
    <col min="9474" max="9474" width="10.140625" style="26" customWidth="1"/>
    <col min="9475" max="9475" width="17.28515625" style="26" customWidth="1"/>
    <col min="9476" max="9477" width="14.5703125" style="26" customWidth="1"/>
    <col min="9478" max="9724" width="9.140625" style="26"/>
    <col min="9725" max="9725" width="13.28515625" style="26" customWidth="1"/>
    <col min="9726" max="9726" width="41.85546875" style="26" customWidth="1"/>
    <col min="9727" max="9727" width="8.5703125" style="26" customWidth="1"/>
    <col min="9728" max="9728" width="9.140625" style="26"/>
    <col min="9729" max="9729" width="10" style="26" customWidth="1"/>
    <col min="9730" max="9730" width="10.140625" style="26" customWidth="1"/>
    <col min="9731" max="9731" width="17.28515625" style="26" customWidth="1"/>
    <col min="9732" max="9733" width="14.5703125" style="26" customWidth="1"/>
    <col min="9734" max="9980" width="9.140625" style="26"/>
    <col min="9981" max="9981" width="13.28515625" style="26" customWidth="1"/>
    <col min="9982" max="9982" width="41.85546875" style="26" customWidth="1"/>
    <col min="9983" max="9983" width="8.5703125" style="26" customWidth="1"/>
    <col min="9984" max="9984" width="9.140625" style="26"/>
    <col min="9985" max="9985" width="10" style="26" customWidth="1"/>
    <col min="9986" max="9986" width="10.140625" style="26" customWidth="1"/>
    <col min="9987" max="9987" width="17.28515625" style="26" customWidth="1"/>
    <col min="9988" max="9989" width="14.5703125" style="26" customWidth="1"/>
    <col min="9990" max="10236" width="9.140625" style="26"/>
    <col min="10237" max="10237" width="13.28515625" style="26" customWidth="1"/>
    <col min="10238" max="10238" width="41.85546875" style="26" customWidth="1"/>
    <col min="10239" max="10239" width="8.5703125" style="26" customWidth="1"/>
    <col min="10240" max="10240" width="9.140625" style="26"/>
    <col min="10241" max="10241" width="10" style="26" customWidth="1"/>
    <col min="10242" max="10242" width="10.140625" style="26" customWidth="1"/>
    <col min="10243" max="10243" width="17.28515625" style="26" customWidth="1"/>
    <col min="10244" max="10245" width="14.5703125" style="26" customWidth="1"/>
    <col min="10246" max="10492" width="9.140625" style="26"/>
    <col min="10493" max="10493" width="13.28515625" style="26" customWidth="1"/>
    <col min="10494" max="10494" width="41.85546875" style="26" customWidth="1"/>
    <col min="10495" max="10495" width="8.5703125" style="26" customWidth="1"/>
    <col min="10496" max="10496" width="9.140625" style="26"/>
    <col min="10497" max="10497" width="10" style="26" customWidth="1"/>
    <col min="10498" max="10498" width="10.140625" style="26" customWidth="1"/>
    <col min="10499" max="10499" width="17.28515625" style="26" customWidth="1"/>
    <col min="10500" max="10501" width="14.5703125" style="26" customWidth="1"/>
    <col min="10502" max="10748" width="9.140625" style="26"/>
    <col min="10749" max="10749" width="13.28515625" style="26" customWidth="1"/>
    <col min="10750" max="10750" width="41.85546875" style="26" customWidth="1"/>
    <col min="10751" max="10751" width="8.5703125" style="26" customWidth="1"/>
    <col min="10752" max="10752" width="9.140625" style="26"/>
    <col min="10753" max="10753" width="10" style="26" customWidth="1"/>
    <col min="10754" max="10754" width="10.140625" style="26" customWidth="1"/>
    <col min="10755" max="10755" width="17.28515625" style="26" customWidth="1"/>
    <col min="10756" max="10757" width="14.5703125" style="26" customWidth="1"/>
    <col min="10758" max="11004" width="9.140625" style="26"/>
    <col min="11005" max="11005" width="13.28515625" style="26" customWidth="1"/>
    <col min="11006" max="11006" width="41.85546875" style="26" customWidth="1"/>
    <col min="11007" max="11007" width="8.5703125" style="26" customWidth="1"/>
    <col min="11008" max="11008" width="9.140625" style="26"/>
    <col min="11009" max="11009" width="10" style="26" customWidth="1"/>
    <col min="11010" max="11010" width="10.140625" style="26" customWidth="1"/>
    <col min="11011" max="11011" width="17.28515625" style="26" customWidth="1"/>
    <col min="11012" max="11013" width="14.5703125" style="26" customWidth="1"/>
    <col min="11014" max="11260" width="9.140625" style="26"/>
    <col min="11261" max="11261" width="13.28515625" style="26" customWidth="1"/>
    <col min="11262" max="11262" width="41.85546875" style="26" customWidth="1"/>
    <col min="11263" max="11263" width="8.5703125" style="26" customWidth="1"/>
    <col min="11264" max="11264" width="9.140625" style="26"/>
    <col min="11265" max="11265" width="10" style="26" customWidth="1"/>
    <col min="11266" max="11266" width="10.140625" style="26" customWidth="1"/>
    <col min="11267" max="11267" width="17.28515625" style="26" customWidth="1"/>
    <col min="11268" max="11269" width="14.5703125" style="26" customWidth="1"/>
    <col min="11270" max="11516" width="9.140625" style="26"/>
    <col min="11517" max="11517" width="13.28515625" style="26" customWidth="1"/>
    <col min="11518" max="11518" width="41.85546875" style="26" customWidth="1"/>
    <col min="11519" max="11519" width="8.5703125" style="26" customWidth="1"/>
    <col min="11520" max="11520" width="9.140625" style="26"/>
    <col min="11521" max="11521" width="10" style="26" customWidth="1"/>
    <col min="11522" max="11522" width="10.140625" style="26" customWidth="1"/>
    <col min="11523" max="11523" width="17.28515625" style="26" customWidth="1"/>
    <col min="11524" max="11525" width="14.5703125" style="26" customWidth="1"/>
    <col min="11526" max="11772" width="9.140625" style="26"/>
    <col min="11773" max="11773" width="13.28515625" style="26" customWidth="1"/>
    <col min="11774" max="11774" width="41.85546875" style="26" customWidth="1"/>
    <col min="11775" max="11775" width="8.5703125" style="26" customWidth="1"/>
    <col min="11776" max="11776" width="9.140625" style="26"/>
    <col min="11777" max="11777" width="10" style="26" customWidth="1"/>
    <col min="11778" max="11778" width="10.140625" style="26" customWidth="1"/>
    <col min="11779" max="11779" width="17.28515625" style="26" customWidth="1"/>
    <col min="11780" max="11781" width="14.5703125" style="26" customWidth="1"/>
    <col min="11782" max="12028" width="9.140625" style="26"/>
    <col min="12029" max="12029" width="13.28515625" style="26" customWidth="1"/>
    <col min="12030" max="12030" width="41.85546875" style="26" customWidth="1"/>
    <col min="12031" max="12031" width="8.5703125" style="26" customWidth="1"/>
    <col min="12032" max="12032" width="9.140625" style="26"/>
    <col min="12033" max="12033" width="10" style="26" customWidth="1"/>
    <col min="12034" max="12034" width="10.140625" style="26" customWidth="1"/>
    <col min="12035" max="12035" width="17.28515625" style="26" customWidth="1"/>
    <col min="12036" max="12037" width="14.5703125" style="26" customWidth="1"/>
    <col min="12038" max="12284" width="9.140625" style="26"/>
    <col min="12285" max="12285" width="13.28515625" style="26" customWidth="1"/>
    <col min="12286" max="12286" width="41.85546875" style="26" customWidth="1"/>
    <col min="12287" max="12287" width="8.5703125" style="26" customWidth="1"/>
    <col min="12288" max="12288" width="9.140625" style="26"/>
    <col min="12289" max="12289" width="10" style="26" customWidth="1"/>
    <col min="12290" max="12290" width="10.140625" style="26" customWidth="1"/>
    <col min="12291" max="12291" width="17.28515625" style="26" customWidth="1"/>
    <col min="12292" max="12293" width="14.5703125" style="26" customWidth="1"/>
    <col min="12294" max="12540" width="9.140625" style="26"/>
    <col min="12541" max="12541" width="13.28515625" style="26" customWidth="1"/>
    <col min="12542" max="12542" width="41.85546875" style="26" customWidth="1"/>
    <col min="12543" max="12543" width="8.5703125" style="26" customWidth="1"/>
    <col min="12544" max="12544" width="9.140625" style="26"/>
    <col min="12545" max="12545" width="10" style="26" customWidth="1"/>
    <col min="12546" max="12546" width="10.140625" style="26" customWidth="1"/>
    <col min="12547" max="12547" width="17.28515625" style="26" customWidth="1"/>
    <col min="12548" max="12549" width="14.5703125" style="26" customWidth="1"/>
    <col min="12550" max="12796" width="9.140625" style="26"/>
    <col min="12797" max="12797" width="13.28515625" style="26" customWidth="1"/>
    <col min="12798" max="12798" width="41.85546875" style="26" customWidth="1"/>
    <col min="12799" max="12799" width="8.5703125" style="26" customWidth="1"/>
    <col min="12800" max="12800" width="9.140625" style="26"/>
    <col min="12801" max="12801" width="10" style="26" customWidth="1"/>
    <col min="12802" max="12802" width="10.140625" style="26" customWidth="1"/>
    <col min="12803" max="12803" width="17.28515625" style="26" customWidth="1"/>
    <col min="12804" max="12805" width="14.5703125" style="26" customWidth="1"/>
    <col min="12806" max="13052" width="9.140625" style="26"/>
    <col min="13053" max="13053" width="13.28515625" style="26" customWidth="1"/>
    <col min="13054" max="13054" width="41.85546875" style="26" customWidth="1"/>
    <col min="13055" max="13055" width="8.5703125" style="26" customWidth="1"/>
    <col min="13056" max="13056" width="9.140625" style="26"/>
    <col min="13057" max="13057" width="10" style="26" customWidth="1"/>
    <col min="13058" max="13058" width="10.140625" style="26" customWidth="1"/>
    <col min="13059" max="13059" width="17.28515625" style="26" customWidth="1"/>
    <col min="13060" max="13061" width="14.5703125" style="26" customWidth="1"/>
    <col min="13062" max="13308" width="9.140625" style="26"/>
    <col min="13309" max="13309" width="13.28515625" style="26" customWidth="1"/>
    <col min="13310" max="13310" width="41.85546875" style="26" customWidth="1"/>
    <col min="13311" max="13311" width="8.5703125" style="26" customWidth="1"/>
    <col min="13312" max="13312" width="9.140625" style="26"/>
    <col min="13313" max="13313" width="10" style="26" customWidth="1"/>
    <col min="13314" max="13314" width="10.140625" style="26" customWidth="1"/>
    <col min="13315" max="13315" width="17.28515625" style="26" customWidth="1"/>
    <col min="13316" max="13317" width="14.5703125" style="26" customWidth="1"/>
    <col min="13318" max="13564" width="9.140625" style="26"/>
    <col min="13565" max="13565" width="13.28515625" style="26" customWidth="1"/>
    <col min="13566" max="13566" width="41.85546875" style="26" customWidth="1"/>
    <col min="13567" max="13567" width="8.5703125" style="26" customWidth="1"/>
    <col min="13568" max="13568" width="9.140625" style="26"/>
    <col min="13569" max="13569" width="10" style="26" customWidth="1"/>
    <col min="13570" max="13570" width="10.140625" style="26" customWidth="1"/>
    <col min="13571" max="13571" width="17.28515625" style="26" customWidth="1"/>
    <col min="13572" max="13573" width="14.5703125" style="26" customWidth="1"/>
    <col min="13574" max="13820" width="9.140625" style="26"/>
    <col min="13821" max="13821" width="13.28515625" style="26" customWidth="1"/>
    <col min="13822" max="13822" width="41.85546875" style="26" customWidth="1"/>
    <col min="13823" max="13823" width="8.5703125" style="26" customWidth="1"/>
    <col min="13824" max="13824" width="9.140625" style="26"/>
    <col min="13825" max="13825" width="10" style="26" customWidth="1"/>
    <col min="13826" max="13826" width="10.140625" style="26" customWidth="1"/>
    <col min="13827" max="13827" width="17.28515625" style="26" customWidth="1"/>
    <col min="13828" max="13829" width="14.5703125" style="26" customWidth="1"/>
    <col min="13830" max="14076" width="9.140625" style="26"/>
    <col min="14077" max="14077" width="13.28515625" style="26" customWidth="1"/>
    <col min="14078" max="14078" width="41.85546875" style="26" customWidth="1"/>
    <col min="14079" max="14079" width="8.5703125" style="26" customWidth="1"/>
    <col min="14080" max="14080" width="9.140625" style="26"/>
    <col min="14081" max="14081" width="10" style="26" customWidth="1"/>
    <col min="14082" max="14082" width="10.140625" style="26" customWidth="1"/>
    <col min="14083" max="14083" width="17.28515625" style="26" customWidth="1"/>
    <col min="14084" max="14085" width="14.5703125" style="26" customWidth="1"/>
    <col min="14086" max="14332" width="9.140625" style="26"/>
    <col min="14333" max="14333" width="13.28515625" style="26" customWidth="1"/>
    <col min="14334" max="14334" width="41.85546875" style="26" customWidth="1"/>
    <col min="14335" max="14335" width="8.5703125" style="26" customWidth="1"/>
    <col min="14336" max="14336" width="9.140625" style="26"/>
    <col min="14337" max="14337" width="10" style="26" customWidth="1"/>
    <col min="14338" max="14338" width="10.140625" style="26" customWidth="1"/>
    <col min="14339" max="14339" width="17.28515625" style="26" customWidth="1"/>
    <col min="14340" max="14341" width="14.5703125" style="26" customWidth="1"/>
    <col min="14342" max="14588" width="9.140625" style="26"/>
    <col min="14589" max="14589" width="13.28515625" style="26" customWidth="1"/>
    <col min="14590" max="14590" width="41.85546875" style="26" customWidth="1"/>
    <col min="14591" max="14591" width="8.5703125" style="26" customWidth="1"/>
    <col min="14592" max="14592" width="9.140625" style="26"/>
    <col min="14593" max="14593" width="10" style="26" customWidth="1"/>
    <col min="14594" max="14594" width="10.140625" style="26" customWidth="1"/>
    <col min="14595" max="14595" width="17.28515625" style="26" customWidth="1"/>
    <col min="14596" max="14597" width="14.5703125" style="26" customWidth="1"/>
    <col min="14598" max="14844" width="9.140625" style="26"/>
    <col min="14845" max="14845" width="13.28515625" style="26" customWidth="1"/>
    <col min="14846" max="14846" width="41.85546875" style="26" customWidth="1"/>
    <col min="14847" max="14847" width="8.5703125" style="26" customWidth="1"/>
    <col min="14848" max="14848" width="9.140625" style="26"/>
    <col min="14849" max="14849" width="10" style="26" customWidth="1"/>
    <col min="14850" max="14850" width="10.140625" style="26" customWidth="1"/>
    <col min="14851" max="14851" width="17.28515625" style="26" customWidth="1"/>
    <col min="14852" max="14853" width="14.5703125" style="26" customWidth="1"/>
    <col min="14854" max="15100" width="9.140625" style="26"/>
    <col min="15101" max="15101" width="13.28515625" style="26" customWidth="1"/>
    <col min="15102" max="15102" width="41.85546875" style="26" customWidth="1"/>
    <col min="15103" max="15103" width="8.5703125" style="26" customWidth="1"/>
    <col min="15104" max="15104" width="9.140625" style="26"/>
    <col min="15105" max="15105" width="10" style="26" customWidth="1"/>
    <col min="15106" max="15106" width="10.140625" style="26" customWidth="1"/>
    <col min="15107" max="15107" width="17.28515625" style="26" customWidth="1"/>
    <col min="15108" max="15109" width="14.5703125" style="26" customWidth="1"/>
    <col min="15110" max="15356" width="9.140625" style="26"/>
    <col min="15357" max="15357" width="13.28515625" style="26" customWidth="1"/>
    <col min="15358" max="15358" width="41.85546875" style="26" customWidth="1"/>
    <col min="15359" max="15359" width="8.5703125" style="26" customWidth="1"/>
    <col min="15360" max="15360" width="9.140625" style="26"/>
    <col min="15361" max="15361" width="10" style="26" customWidth="1"/>
    <col min="15362" max="15362" width="10.140625" style="26" customWidth="1"/>
    <col min="15363" max="15363" width="17.28515625" style="26" customWidth="1"/>
    <col min="15364" max="15365" width="14.5703125" style="26" customWidth="1"/>
    <col min="15366" max="15612" width="9.140625" style="26"/>
    <col min="15613" max="15613" width="13.28515625" style="26" customWidth="1"/>
    <col min="15614" max="15614" width="41.85546875" style="26" customWidth="1"/>
    <col min="15615" max="15615" width="8.5703125" style="26" customWidth="1"/>
    <col min="15616" max="15616" width="9.140625" style="26"/>
    <col min="15617" max="15617" width="10" style="26" customWidth="1"/>
    <col min="15618" max="15618" width="10.140625" style="26" customWidth="1"/>
    <col min="15619" max="15619" width="17.28515625" style="26" customWidth="1"/>
    <col min="15620" max="15621" width="14.5703125" style="26" customWidth="1"/>
    <col min="15622" max="15868" width="9.140625" style="26"/>
    <col min="15869" max="15869" width="13.28515625" style="26" customWidth="1"/>
    <col min="15870" max="15870" width="41.85546875" style="26" customWidth="1"/>
    <col min="15871" max="15871" width="8.5703125" style="26" customWidth="1"/>
    <col min="15872" max="15872" width="9.140625" style="26"/>
    <col min="15873" max="15873" width="10" style="26" customWidth="1"/>
    <col min="15874" max="15874" width="10.140625" style="26" customWidth="1"/>
    <col min="15875" max="15875" width="17.28515625" style="26" customWidth="1"/>
    <col min="15876" max="15877" width="14.5703125" style="26" customWidth="1"/>
    <col min="15878" max="16124" width="9.140625" style="26"/>
    <col min="16125" max="16125" width="13.28515625" style="26" customWidth="1"/>
    <col min="16126" max="16126" width="41.85546875" style="26" customWidth="1"/>
    <col min="16127" max="16127" width="8.5703125" style="26" customWidth="1"/>
    <col min="16128" max="16128" width="9.140625" style="26"/>
    <col min="16129" max="16129" width="10" style="26" customWidth="1"/>
    <col min="16130" max="16130" width="10.140625" style="26" customWidth="1"/>
    <col min="16131" max="16131" width="17.28515625" style="26" customWidth="1"/>
    <col min="16132" max="16133" width="14.5703125" style="26" customWidth="1"/>
    <col min="16134" max="16384" width="9.140625" style="26"/>
  </cols>
  <sheetData>
    <row r="2" spans="1:7" x14ac:dyDescent="0.25">
      <c r="A2" s="214" t="s">
        <v>294</v>
      </c>
      <c r="B2" s="215"/>
      <c r="C2" s="214"/>
      <c r="D2" s="215"/>
      <c r="E2" s="24"/>
      <c r="F2" s="25"/>
    </row>
    <row r="3" spans="1:7" x14ac:dyDescent="0.25">
      <c r="F3" s="28"/>
    </row>
    <row r="4" spans="1:7" x14ac:dyDescent="0.25">
      <c r="A4" s="29" t="s">
        <v>295</v>
      </c>
      <c r="B4" s="30" t="s">
        <v>296</v>
      </c>
      <c r="C4" s="29" t="s">
        <v>297</v>
      </c>
      <c r="D4" s="30" t="s">
        <v>298</v>
      </c>
      <c r="E4" s="30" t="s">
        <v>299</v>
      </c>
      <c r="F4" s="31" t="s">
        <v>300</v>
      </c>
    </row>
    <row r="5" spans="1:7" x14ac:dyDescent="0.25">
      <c r="A5" s="32" t="s">
        <v>301</v>
      </c>
      <c r="B5" s="32" t="s">
        <v>302</v>
      </c>
      <c r="C5" s="32" t="s">
        <v>303</v>
      </c>
      <c r="D5" s="32"/>
      <c r="E5" s="32"/>
      <c r="F5" s="33">
        <f>D5*E5</f>
        <v>0</v>
      </c>
    </row>
    <row r="6" spans="1:7" x14ac:dyDescent="0.25">
      <c r="A6" s="32" t="s">
        <v>304</v>
      </c>
      <c r="B6" s="32" t="s">
        <v>23</v>
      </c>
      <c r="C6" s="32" t="s">
        <v>305</v>
      </c>
      <c r="D6" s="53"/>
      <c r="E6" s="53"/>
      <c r="F6" s="57">
        <f t="shared" ref="F6:F69" si="0">D6*E6</f>
        <v>0</v>
      </c>
    </row>
    <row r="7" spans="1:7" x14ac:dyDescent="0.25">
      <c r="A7" s="32" t="s">
        <v>306</v>
      </c>
      <c r="B7" s="32" t="s">
        <v>12</v>
      </c>
      <c r="C7" s="32" t="s">
        <v>305</v>
      </c>
      <c r="D7" s="53"/>
      <c r="E7" s="53"/>
      <c r="F7" s="57">
        <f t="shared" si="0"/>
        <v>0</v>
      </c>
    </row>
    <row r="8" spans="1:7" x14ac:dyDescent="0.25">
      <c r="A8" s="34" t="s">
        <v>307</v>
      </c>
      <c r="B8" s="34" t="s">
        <v>13</v>
      </c>
      <c r="C8" s="34" t="s">
        <v>305</v>
      </c>
      <c r="D8" s="59">
        <v>132</v>
      </c>
      <c r="E8" s="52">
        <v>17367.3</v>
      </c>
      <c r="F8" s="57">
        <f t="shared" si="0"/>
        <v>2292483.6</v>
      </c>
    </row>
    <row r="9" spans="1:7" x14ac:dyDescent="0.25">
      <c r="A9" s="32" t="s">
        <v>308</v>
      </c>
      <c r="B9" s="32" t="s">
        <v>24</v>
      </c>
      <c r="C9" s="32" t="s">
        <v>305</v>
      </c>
      <c r="D9" s="53"/>
      <c r="E9" s="53"/>
      <c r="F9" s="57">
        <f t="shared" si="0"/>
        <v>0</v>
      </c>
      <c r="G9" s="27"/>
    </row>
    <row r="10" spans="1:7" x14ac:dyDescent="0.25">
      <c r="A10" s="32" t="s">
        <v>309</v>
      </c>
      <c r="B10" s="32" t="s">
        <v>14</v>
      </c>
      <c r="C10" s="32" t="s">
        <v>303</v>
      </c>
      <c r="D10" s="53"/>
      <c r="E10" s="53"/>
      <c r="F10" s="57">
        <f t="shared" si="0"/>
        <v>0</v>
      </c>
    </row>
    <row r="11" spans="1:7" x14ac:dyDescent="0.25">
      <c r="A11" s="34" t="s">
        <v>310</v>
      </c>
      <c r="B11" s="34" t="s">
        <v>15</v>
      </c>
      <c r="C11" s="34" t="s">
        <v>311</v>
      </c>
      <c r="D11" s="60">
        <v>227</v>
      </c>
      <c r="E11" s="52">
        <v>83500.2</v>
      </c>
      <c r="F11" s="57">
        <f t="shared" si="0"/>
        <v>18954545.399999999</v>
      </c>
    </row>
    <row r="12" spans="1:7" x14ac:dyDescent="0.25">
      <c r="A12" s="34" t="s">
        <v>312</v>
      </c>
      <c r="B12" s="34" t="s">
        <v>16</v>
      </c>
      <c r="C12" s="34" t="s">
        <v>303</v>
      </c>
      <c r="D12" s="60">
        <v>150</v>
      </c>
      <c r="E12" s="52">
        <v>75700.800000000003</v>
      </c>
      <c r="F12" s="57">
        <f t="shared" si="0"/>
        <v>11355120</v>
      </c>
    </row>
    <row r="13" spans="1:7" x14ac:dyDescent="0.25">
      <c r="A13" s="32" t="s">
        <v>313</v>
      </c>
      <c r="B13" s="32" t="s">
        <v>17</v>
      </c>
      <c r="C13" s="32" t="s">
        <v>311</v>
      </c>
      <c r="D13" s="61">
        <v>0</v>
      </c>
      <c r="E13" s="61"/>
      <c r="F13" s="57">
        <f t="shared" si="0"/>
        <v>0</v>
      </c>
    </row>
    <row r="14" spans="1:7" x14ac:dyDescent="0.25">
      <c r="A14" s="32" t="s">
        <v>314</v>
      </c>
      <c r="B14" s="32" t="s">
        <v>315</v>
      </c>
      <c r="C14" s="32" t="s">
        <v>311</v>
      </c>
      <c r="D14" s="53"/>
      <c r="E14" s="53"/>
      <c r="F14" s="57">
        <f t="shared" si="0"/>
        <v>0</v>
      </c>
    </row>
    <row r="15" spans="1:7" x14ac:dyDescent="0.25">
      <c r="A15" s="32" t="s">
        <v>316</v>
      </c>
      <c r="B15" s="32" t="s">
        <v>317</v>
      </c>
      <c r="C15" s="32" t="s">
        <v>311</v>
      </c>
      <c r="D15" s="53"/>
      <c r="E15" s="53"/>
      <c r="F15" s="57">
        <f t="shared" si="0"/>
        <v>0</v>
      </c>
    </row>
    <row r="16" spans="1:7" x14ac:dyDescent="0.25">
      <c r="A16" s="34" t="s">
        <v>318</v>
      </c>
      <c r="B16" s="34" t="s">
        <v>18</v>
      </c>
      <c r="C16" s="34" t="s">
        <v>305</v>
      </c>
      <c r="D16" s="60">
        <v>116</v>
      </c>
      <c r="E16" s="52">
        <v>12041.1</v>
      </c>
      <c r="F16" s="57">
        <f t="shared" si="0"/>
        <v>1396767.6</v>
      </c>
    </row>
    <row r="17" spans="1:6" x14ac:dyDescent="0.25">
      <c r="A17" s="34" t="s">
        <v>319</v>
      </c>
      <c r="B17" s="34" t="s">
        <v>19</v>
      </c>
      <c r="C17" s="34" t="s">
        <v>305</v>
      </c>
      <c r="D17" s="60">
        <v>78</v>
      </c>
      <c r="E17" s="52">
        <v>12041.1</v>
      </c>
      <c r="F17" s="57">
        <f t="shared" si="0"/>
        <v>939205.8</v>
      </c>
    </row>
    <row r="18" spans="1:6" x14ac:dyDescent="0.25">
      <c r="A18" s="32" t="s">
        <v>320</v>
      </c>
      <c r="B18" s="32" t="s">
        <v>321</v>
      </c>
      <c r="C18" s="32" t="s">
        <v>311</v>
      </c>
      <c r="D18" s="53"/>
      <c r="E18" s="53"/>
      <c r="F18" s="57">
        <f t="shared" si="0"/>
        <v>0</v>
      </c>
    </row>
    <row r="19" spans="1:6" x14ac:dyDescent="0.25">
      <c r="A19" s="32" t="s">
        <v>322</v>
      </c>
      <c r="B19" s="32" t="s">
        <v>20</v>
      </c>
      <c r="C19" s="32" t="s">
        <v>303</v>
      </c>
      <c r="D19" s="53"/>
      <c r="E19" s="53"/>
      <c r="F19" s="57">
        <f t="shared" si="0"/>
        <v>0</v>
      </c>
    </row>
    <row r="20" spans="1:6" x14ac:dyDescent="0.25">
      <c r="A20" s="37" t="s">
        <v>323</v>
      </c>
      <c r="B20" s="37" t="s">
        <v>21</v>
      </c>
      <c r="C20" s="37" t="s">
        <v>311</v>
      </c>
      <c r="D20" s="62">
        <v>48</v>
      </c>
      <c r="E20" s="52">
        <v>139243.5</v>
      </c>
      <c r="F20" s="57">
        <f t="shared" si="0"/>
        <v>6683688</v>
      </c>
    </row>
    <row r="21" spans="1:6" x14ac:dyDescent="0.25">
      <c r="A21" s="32" t="s">
        <v>324</v>
      </c>
      <c r="B21" s="32" t="s">
        <v>22</v>
      </c>
      <c r="C21" s="32" t="s">
        <v>303</v>
      </c>
      <c r="D21" s="53"/>
      <c r="E21" s="53"/>
      <c r="F21" s="57">
        <f t="shared" si="0"/>
        <v>0</v>
      </c>
    </row>
    <row r="22" spans="1:6" x14ac:dyDescent="0.25">
      <c r="A22" s="32" t="s">
        <v>325</v>
      </c>
      <c r="B22" s="32" t="s">
        <v>326</v>
      </c>
      <c r="C22" s="32" t="s">
        <v>327</v>
      </c>
      <c r="D22" s="53"/>
      <c r="E22" s="53"/>
      <c r="F22" s="57">
        <f t="shared" si="0"/>
        <v>0</v>
      </c>
    </row>
    <row r="23" spans="1:6" x14ac:dyDescent="0.25">
      <c r="A23" s="32" t="s">
        <v>328</v>
      </c>
      <c r="B23" s="32" t="s">
        <v>329</v>
      </c>
      <c r="C23" s="32" t="s">
        <v>327</v>
      </c>
      <c r="D23" s="53"/>
      <c r="E23" s="53"/>
      <c r="F23" s="57">
        <f t="shared" si="0"/>
        <v>0</v>
      </c>
    </row>
    <row r="24" spans="1:6" x14ac:dyDescent="0.25">
      <c r="A24" s="32" t="s">
        <v>330</v>
      </c>
      <c r="B24" s="32" t="s">
        <v>331</v>
      </c>
      <c r="C24" s="32" t="s">
        <v>303</v>
      </c>
      <c r="D24" s="53"/>
      <c r="E24" s="53"/>
      <c r="F24" s="57">
        <f t="shared" si="0"/>
        <v>0</v>
      </c>
    </row>
    <row r="25" spans="1:6" x14ac:dyDescent="0.25">
      <c r="A25" s="32" t="s">
        <v>332</v>
      </c>
      <c r="B25" s="32" t="s">
        <v>333</v>
      </c>
      <c r="C25" s="32" t="s">
        <v>303</v>
      </c>
      <c r="D25" s="53"/>
      <c r="E25" s="53"/>
      <c r="F25" s="57">
        <f t="shared" si="0"/>
        <v>0</v>
      </c>
    </row>
    <row r="26" spans="1:6" x14ac:dyDescent="0.25">
      <c r="A26" s="32" t="s">
        <v>334</v>
      </c>
      <c r="B26" s="32" t="s">
        <v>335</v>
      </c>
      <c r="C26" s="32" t="s">
        <v>303</v>
      </c>
      <c r="D26" s="53"/>
      <c r="E26" s="53"/>
      <c r="F26" s="57">
        <f t="shared" si="0"/>
        <v>0</v>
      </c>
    </row>
    <row r="27" spans="1:6" x14ac:dyDescent="0.25">
      <c r="A27" s="37" t="s">
        <v>336</v>
      </c>
      <c r="B27" s="37" t="s">
        <v>38</v>
      </c>
      <c r="C27" s="37" t="s">
        <v>303</v>
      </c>
      <c r="D27" s="62">
        <v>273485</v>
      </c>
      <c r="E27" s="56">
        <v>31208</v>
      </c>
      <c r="F27" s="57">
        <f t="shared" si="0"/>
        <v>8534919880</v>
      </c>
    </row>
    <row r="28" spans="1:6" x14ac:dyDescent="0.25">
      <c r="A28" s="32" t="s">
        <v>337</v>
      </c>
      <c r="B28" s="32" t="s">
        <v>338</v>
      </c>
      <c r="C28" s="32" t="s">
        <v>303</v>
      </c>
      <c r="D28" s="53"/>
      <c r="E28" s="53"/>
      <c r="F28" s="57">
        <f t="shared" si="0"/>
        <v>0</v>
      </c>
    </row>
    <row r="29" spans="1:6" x14ac:dyDescent="0.25">
      <c r="A29" s="32" t="s">
        <v>339</v>
      </c>
      <c r="B29" s="32" t="s">
        <v>340</v>
      </c>
      <c r="C29" s="32" t="s">
        <v>303</v>
      </c>
      <c r="D29" s="53"/>
      <c r="E29" s="53"/>
      <c r="F29" s="57">
        <f t="shared" si="0"/>
        <v>0</v>
      </c>
    </row>
    <row r="30" spans="1:6" x14ac:dyDescent="0.25">
      <c r="A30" s="32" t="s">
        <v>341</v>
      </c>
      <c r="B30" s="32" t="s">
        <v>342</v>
      </c>
      <c r="C30" s="32" t="s">
        <v>303</v>
      </c>
      <c r="D30" s="53"/>
      <c r="E30" s="53"/>
      <c r="F30" s="57">
        <f t="shared" si="0"/>
        <v>0</v>
      </c>
    </row>
    <row r="31" spans="1:6" x14ac:dyDescent="0.25">
      <c r="A31" s="32" t="s">
        <v>343</v>
      </c>
      <c r="B31" s="32" t="s">
        <v>344</v>
      </c>
      <c r="C31" s="32" t="s">
        <v>303</v>
      </c>
      <c r="D31" s="53"/>
      <c r="E31" s="53"/>
      <c r="F31" s="57">
        <f t="shared" si="0"/>
        <v>0</v>
      </c>
    </row>
    <row r="32" spans="1:6" s="58" customFormat="1" x14ac:dyDescent="0.25">
      <c r="A32" s="53" t="s">
        <v>345</v>
      </c>
      <c r="B32" s="54" t="s">
        <v>346</v>
      </c>
      <c r="C32" s="53" t="s">
        <v>327</v>
      </c>
      <c r="D32" s="55">
        <v>306</v>
      </c>
      <c r="E32" s="56">
        <v>51389</v>
      </c>
      <c r="F32" s="57">
        <f t="shared" si="0"/>
        <v>15725034</v>
      </c>
    </row>
    <row r="33" spans="1:6" x14ac:dyDescent="0.25">
      <c r="A33" s="34" t="s">
        <v>347</v>
      </c>
      <c r="B33" s="34" t="s">
        <v>348</v>
      </c>
      <c r="C33" s="34" t="s">
        <v>327</v>
      </c>
      <c r="D33" s="60">
        <v>25076</v>
      </c>
      <c r="E33" s="56">
        <v>36184</v>
      </c>
      <c r="F33" s="57">
        <f t="shared" si="0"/>
        <v>907349984</v>
      </c>
    </row>
    <row r="34" spans="1:6" x14ac:dyDescent="0.25">
      <c r="A34" s="34" t="s">
        <v>349</v>
      </c>
      <c r="B34" s="34" t="s">
        <v>42</v>
      </c>
      <c r="C34" s="32" t="s">
        <v>327</v>
      </c>
      <c r="D34" s="60">
        <v>130</v>
      </c>
      <c r="E34" s="56">
        <v>52485</v>
      </c>
      <c r="F34" s="57">
        <f t="shared" si="0"/>
        <v>6823050</v>
      </c>
    </row>
    <row r="35" spans="1:6" x14ac:dyDescent="0.25">
      <c r="A35" s="32" t="s">
        <v>350</v>
      </c>
      <c r="B35" s="32" t="s">
        <v>351</v>
      </c>
      <c r="C35" s="32" t="s">
        <v>327</v>
      </c>
      <c r="D35" s="53"/>
      <c r="E35" s="53"/>
      <c r="F35" s="57">
        <f t="shared" si="0"/>
        <v>0</v>
      </c>
    </row>
    <row r="36" spans="1:6" x14ac:dyDescent="0.25">
      <c r="A36" s="32" t="s">
        <v>352</v>
      </c>
      <c r="B36" s="32" t="s">
        <v>41</v>
      </c>
      <c r="C36" s="32" t="s">
        <v>303</v>
      </c>
      <c r="D36" s="53"/>
      <c r="E36" s="53"/>
      <c r="F36" s="57">
        <f t="shared" si="0"/>
        <v>0</v>
      </c>
    </row>
    <row r="37" spans="1:6" x14ac:dyDescent="0.25">
      <c r="A37" s="32" t="s">
        <v>353</v>
      </c>
      <c r="B37" s="32" t="s">
        <v>354</v>
      </c>
      <c r="C37" s="32" t="s">
        <v>355</v>
      </c>
      <c r="D37" s="53"/>
      <c r="E37" s="53"/>
      <c r="F37" s="57">
        <f t="shared" si="0"/>
        <v>0</v>
      </c>
    </row>
    <row r="38" spans="1:6" x14ac:dyDescent="0.25">
      <c r="A38" s="34" t="s">
        <v>356</v>
      </c>
      <c r="B38" s="34" t="s">
        <v>357</v>
      </c>
      <c r="C38" s="34" t="s">
        <v>327</v>
      </c>
      <c r="D38" s="60">
        <v>62</v>
      </c>
      <c r="E38" s="56">
        <v>29119.919999999998</v>
      </c>
      <c r="F38" s="57">
        <f t="shared" si="0"/>
        <v>1805435.0399999998</v>
      </c>
    </row>
    <row r="39" spans="1:6" x14ac:dyDescent="0.25">
      <c r="A39" s="41" t="s">
        <v>358</v>
      </c>
      <c r="B39" s="34" t="s">
        <v>50</v>
      </c>
      <c r="C39" s="41" t="s">
        <v>327</v>
      </c>
      <c r="D39" s="60">
        <v>750</v>
      </c>
      <c r="E39" s="56">
        <v>3463.24</v>
      </c>
      <c r="F39" s="57">
        <f t="shared" si="0"/>
        <v>2597430</v>
      </c>
    </row>
    <row r="40" spans="1:6" x14ac:dyDescent="0.25">
      <c r="A40" s="41" t="s">
        <v>359</v>
      </c>
      <c r="B40" s="34" t="s">
        <v>360</v>
      </c>
      <c r="C40" s="41" t="s">
        <v>327</v>
      </c>
      <c r="D40" s="60">
        <v>995</v>
      </c>
      <c r="E40" s="56">
        <v>4761.96</v>
      </c>
      <c r="F40" s="57">
        <f t="shared" si="0"/>
        <v>4738150.2</v>
      </c>
    </row>
    <row r="41" spans="1:6" x14ac:dyDescent="0.25">
      <c r="A41" s="41" t="s">
        <v>361</v>
      </c>
      <c r="B41" s="34" t="s">
        <v>51</v>
      </c>
      <c r="C41" s="41" t="s">
        <v>327</v>
      </c>
      <c r="D41" s="60">
        <v>770</v>
      </c>
      <c r="E41" s="56">
        <v>3896.14</v>
      </c>
      <c r="F41" s="57">
        <f t="shared" si="0"/>
        <v>3000027.8</v>
      </c>
    </row>
    <row r="42" spans="1:6" x14ac:dyDescent="0.25">
      <c r="A42" s="32" t="s">
        <v>362</v>
      </c>
      <c r="B42" s="34" t="s">
        <v>52</v>
      </c>
      <c r="C42" s="32" t="s">
        <v>303</v>
      </c>
      <c r="D42" s="60">
        <v>1708</v>
      </c>
      <c r="E42" s="56">
        <v>21643.38</v>
      </c>
      <c r="F42" s="57">
        <f t="shared" si="0"/>
        <v>36966893.039999999</v>
      </c>
    </row>
    <row r="43" spans="1:6" x14ac:dyDescent="0.25">
      <c r="A43" s="32" t="s">
        <v>363</v>
      </c>
      <c r="B43" s="32" t="s">
        <v>364</v>
      </c>
      <c r="C43" s="32" t="s">
        <v>303</v>
      </c>
      <c r="D43" s="53"/>
      <c r="E43" s="53"/>
      <c r="F43" s="57">
        <f t="shared" si="0"/>
        <v>0</v>
      </c>
    </row>
    <row r="44" spans="1:6" x14ac:dyDescent="0.25">
      <c r="A44" s="32" t="s">
        <v>365</v>
      </c>
      <c r="B44" s="32" t="s">
        <v>366</v>
      </c>
      <c r="C44" s="32" t="s">
        <v>367</v>
      </c>
      <c r="D44" s="53"/>
      <c r="E44" s="53"/>
      <c r="F44" s="57">
        <f t="shared" si="0"/>
        <v>0</v>
      </c>
    </row>
    <row r="45" spans="1:6" ht="30" x14ac:dyDescent="0.25">
      <c r="A45" s="32" t="s">
        <v>368</v>
      </c>
      <c r="B45" s="32" t="s">
        <v>369</v>
      </c>
      <c r="C45" s="32" t="s">
        <v>367</v>
      </c>
      <c r="D45" s="53"/>
      <c r="E45" s="53"/>
      <c r="F45" s="57">
        <f t="shared" si="0"/>
        <v>0</v>
      </c>
    </row>
    <row r="46" spans="1:6" ht="30" x14ac:dyDescent="0.25">
      <c r="A46" s="32" t="s">
        <v>370</v>
      </c>
      <c r="B46" s="32" t="s">
        <v>371</v>
      </c>
      <c r="C46" s="32" t="s">
        <v>367</v>
      </c>
      <c r="D46" s="53"/>
      <c r="E46" s="53"/>
      <c r="F46" s="57">
        <f t="shared" si="0"/>
        <v>0</v>
      </c>
    </row>
    <row r="47" spans="1:6" x14ac:dyDescent="0.25">
      <c r="A47" s="32" t="s">
        <v>372</v>
      </c>
      <c r="B47" s="32" t="s">
        <v>373</v>
      </c>
      <c r="C47" s="32" t="s">
        <v>303</v>
      </c>
      <c r="D47" s="53"/>
      <c r="E47" s="53"/>
      <c r="F47" s="57">
        <f t="shared" si="0"/>
        <v>0</v>
      </c>
    </row>
    <row r="48" spans="1:6" x14ac:dyDescent="0.25">
      <c r="A48" s="32" t="s">
        <v>374</v>
      </c>
      <c r="B48" s="32" t="s">
        <v>375</v>
      </c>
      <c r="C48" s="32" t="s">
        <v>303</v>
      </c>
      <c r="D48" s="53"/>
      <c r="E48" s="53"/>
      <c r="F48" s="57">
        <f t="shared" si="0"/>
        <v>0</v>
      </c>
    </row>
    <row r="49" spans="1:6" x14ac:dyDescent="0.25">
      <c r="A49" s="32" t="s">
        <v>376</v>
      </c>
      <c r="B49" s="34" t="s">
        <v>377</v>
      </c>
      <c r="C49" s="32" t="s">
        <v>303</v>
      </c>
      <c r="D49" s="60">
        <v>240</v>
      </c>
      <c r="E49" s="56">
        <v>18180.14</v>
      </c>
      <c r="F49" s="57">
        <f t="shared" si="0"/>
        <v>4363233.5999999996</v>
      </c>
    </row>
    <row r="50" spans="1:6" x14ac:dyDescent="0.25">
      <c r="A50" s="32" t="s">
        <v>378</v>
      </c>
      <c r="B50" s="34" t="s">
        <v>53</v>
      </c>
      <c r="C50" s="32" t="s">
        <v>303</v>
      </c>
      <c r="D50" s="60">
        <v>3590</v>
      </c>
      <c r="E50" s="56">
        <v>9955.8799999999992</v>
      </c>
      <c r="F50" s="57">
        <f t="shared" si="0"/>
        <v>35741609.199999996</v>
      </c>
    </row>
    <row r="51" spans="1:6" x14ac:dyDescent="0.25">
      <c r="A51" s="32" t="s">
        <v>379</v>
      </c>
      <c r="B51" s="34" t="s">
        <v>380</v>
      </c>
      <c r="C51" s="34" t="s">
        <v>327</v>
      </c>
      <c r="D51" s="60">
        <v>37</v>
      </c>
      <c r="E51" s="56">
        <v>19698.8</v>
      </c>
      <c r="F51" s="57">
        <f t="shared" si="0"/>
        <v>728855.6</v>
      </c>
    </row>
    <row r="52" spans="1:6" x14ac:dyDescent="0.25">
      <c r="A52" s="34" t="s">
        <v>381</v>
      </c>
      <c r="B52" s="34" t="s">
        <v>382</v>
      </c>
      <c r="C52" s="34" t="s">
        <v>327</v>
      </c>
      <c r="D52" s="60">
        <v>132</v>
      </c>
      <c r="E52" s="56">
        <v>23981.55</v>
      </c>
      <c r="F52" s="57">
        <f t="shared" si="0"/>
        <v>3165564.6</v>
      </c>
    </row>
    <row r="53" spans="1:6" x14ac:dyDescent="0.25">
      <c r="A53" s="34" t="s">
        <v>383</v>
      </c>
      <c r="B53" s="34" t="s">
        <v>384</v>
      </c>
      <c r="C53" s="34" t="s">
        <v>327</v>
      </c>
      <c r="D53" s="60">
        <v>40</v>
      </c>
      <c r="E53" s="56">
        <v>42045.88</v>
      </c>
      <c r="F53" s="57">
        <f t="shared" si="0"/>
        <v>1681835.2</v>
      </c>
    </row>
    <row r="54" spans="1:6" x14ac:dyDescent="0.25">
      <c r="A54" s="32" t="s">
        <v>385</v>
      </c>
      <c r="B54" s="34" t="s">
        <v>129</v>
      </c>
      <c r="C54" s="32" t="s">
        <v>327</v>
      </c>
      <c r="D54" s="60">
        <v>15</v>
      </c>
      <c r="E54" s="56">
        <v>31689.58</v>
      </c>
      <c r="F54" s="57">
        <f t="shared" si="0"/>
        <v>475343.7</v>
      </c>
    </row>
    <row r="55" spans="1:6" x14ac:dyDescent="0.25">
      <c r="A55" s="32" t="s">
        <v>386</v>
      </c>
      <c r="B55" s="34" t="s">
        <v>130</v>
      </c>
      <c r="C55" s="32" t="s">
        <v>327</v>
      </c>
      <c r="D55" s="60">
        <v>86</v>
      </c>
      <c r="E55" s="56">
        <v>44108.62</v>
      </c>
      <c r="F55" s="57">
        <f t="shared" si="0"/>
        <v>3793341.3200000003</v>
      </c>
    </row>
    <row r="56" spans="1:6" ht="30" x14ac:dyDescent="0.25">
      <c r="A56" s="32" t="s">
        <v>387</v>
      </c>
      <c r="B56" s="34" t="s">
        <v>131</v>
      </c>
      <c r="C56" s="32" t="s">
        <v>327</v>
      </c>
      <c r="D56" s="60">
        <v>36</v>
      </c>
      <c r="E56" s="56">
        <v>46250</v>
      </c>
      <c r="F56" s="57">
        <f t="shared" si="0"/>
        <v>1665000</v>
      </c>
    </row>
    <row r="57" spans="1:6" x14ac:dyDescent="0.25">
      <c r="A57" s="32" t="s">
        <v>388</v>
      </c>
      <c r="B57" s="34" t="s">
        <v>132</v>
      </c>
      <c r="C57" s="32" t="s">
        <v>327</v>
      </c>
      <c r="D57" s="60">
        <v>53</v>
      </c>
      <c r="E57" s="56">
        <v>41110.699999999997</v>
      </c>
      <c r="F57" s="57">
        <f t="shared" si="0"/>
        <v>2178867.0999999996</v>
      </c>
    </row>
    <row r="58" spans="1:6" x14ac:dyDescent="0.25">
      <c r="A58" s="32" t="s">
        <v>389</v>
      </c>
      <c r="B58" s="32" t="s">
        <v>390</v>
      </c>
      <c r="C58" s="32" t="s">
        <v>327</v>
      </c>
      <c r="D58" s="53"/>
      <c r="E58" s="53"/>
      <c r="F58" s="57">
        <f t="shared" si="0"/>
        <v>0</v>
      </c>
    </row>
    <row r="59" spans="1:6" x14ac:dyDescent="0.25">
      <c r="A59" s="32" t="s">
        <v>391</v>
      </c>
      <c r="B59" s="34" t="s">
        <v>133</v>
      </c>
      <c r="C59" s="32" t="s">
        <v>327</v>
      </c>
      <c r="D59" s="60">
        <v>35</v>
      </c>
      <c r="E59" s="56">
        <v>35115.78</v>
      </c>
      <c r="F59" s="57">
        <f t="shared" si="0"/>
        <v>1229052.3</v>
      </c>
    </row>
    <row r="60" spans="1:6" x14ac:dyDescent="0.25">
      <c r="A60" s="32" t="s">
        <v>392</v>
      </c>
      <c r="B60" s="34" t="s">
        <v>54</v>
      </c>
      <c r="C60" s="32" t="s">
        <v>393</v>
      </c>
      <c r="D60" s="60">
        <v>5692</v>
      </c>
      <c r="E60" s="56">
        <v>13852.02</v>
      </c>
      <c r="F60" s="57">
        <f t="shared" si="0"/>
        <v>78845697.840000004</v>
      </c>
    </row>
    <row r="61" spans="1:6" x14ac:dyDescent="0.25">
      <c r="A61" s="32" t="s">
        <v>394</v>
      </c>
      <c r="B61" s="34" t="s">
        <v>55</v>
      </c>
      <c r="C61" s="32" t="s">
        <v>395</v>
      </c>
      <c r="D61" s="60">
        <v>258</v>
      </c>
      <c r="E61" s="56">
        <v>82678.31</v>
      </c>
      <c r="F61" s="57">
        <f t="shared" si="0"/>
        <v>21331003.98</v>
      </c>
    </row>
    <row r="62" spans="1:6" x14ac:dyDescent="0.25">
      <c r="A62" s="32" t="s">
        <v>396</v>
      </c>
      <c r="B62" s="34" t="s">
        <v>134</v>
      </c>
      <c r="C62" s="32" t="s">
        <v>327</v>
      </c>
      <c r="D62" s="60">
        <v>15</v>
      </c>
      <c r="E62" s="56">
        <v>26979.48</v>
      </c>
      <c r="F62" s="57">
        <f t="shared" si="0"/>
        <v>404692.2</v>
      </c>
    </row>
    <row r="63" spans="1:6" x14ac:dyDescent="0.25">
      <c r="A63" s="32" t="s">
        <v>397</v>
      </c>
      <c r="B63" s="32" t="s">
        <v>398</v>
      </c>
      <c r="C63" s="32" t="s">
        <v>327</v>
      </c>
      <c r="D63" s="53"/>
      <c r="E63" s="53"/>
      <c r="F63" s="57">
        <f t="shared" si="0"/>
        <v>0</v>
      </c>
    </row>
    <row r="64" spans="1:6" x14ac:dyDescent="0.25">
      <c r="A64" s="32" t="s">
        <v>399</v>
      </c>
      <c r="B64" s="34" t="s">
        <v>56</v>
      </c>
      <c r="C64" s="32" t="s">
        <v>393</v>
      </c>
      <c r="D64" s="60">
        <v>1056</v>
      </c>
      <c r="E64" s="56">
        <v>9004.0499999999993</v>
      </c>
      <c r="F64" s="57">
        <f t="shared" si="0"/>
        <v>9508276.7999999989</v>
      </c>
    </row>
    <row r="65" spans="1:6" x14ac:dyDescent="0.25">
      <c r="A65" s="32" t="s">
        <v>400</v>
      </c>
      <c r="B65" s="34" t="s">
        <v>57</v>
      </c>
      <c r="C65" s="32" t="s">
        <v>393</v>
      </c>
      <c r="D65" s="60">
        <v>766</v>
      </c>
      <c r="E65" s="56">
        <v>16449.46</v>
      </c>
      <c r="F65" s="57">
        <f t="shared" si="0"/>
        <v>12600286.359999999</v>
      </c>
    </row>
    <row r="66" spans="1:6" x14ac:dyDescent="0.25">
      <c r="A66" s="32" t="s">
        <v>401</v>
      </c>
      <c r="B66" s="32" t="s">
        <v>402</v>
      </c>
      <c r="C66" s="32" t="s">
        <v>393</v>
      </c>
      <c r="D66" s="53"/>
      <c r="E66" s="53"/>
      <c r="F66" s="57">
        <f t="shared" si="0"/>
        <v>0</v>
      </c>
    </row>
    <row r="67" spans="1:6" x14ac:dyDescent="0.25">
      <c r="A67" s="32" t="s">
        <v>403</v>
      </c>
      <c r="B67" s="34" t="s">
        <v>58</v>
      </c>
      <c r="C67" s="32" t="s">
        <v>393</v>
      </c>
      <c r="D67" s="60">
        <v>2892</v>
      </c>
      <c r="E67" s="56">
        <v>8051.28</v>
      </c>
      <c r="F67" s="57">
        <f t="shared" si="0"/>
        <v>23284301.759999998</v>
      </c>
    </row>
    <row r="68" spans="1:6" x14ac:dyDescent="0.25">
      <c r="A68" s="32" t="s">
        <v>404</v>
      </c>
      <c r="B68" s="34" t="s">
        <v>59</v>
      </c>
      <c r="C68" s="32" t="s">
        <v>393</v>
      </c>
      <c r="D68" s="60">
        <v>2848</v>
      </c>
      <c r="E68" s="56">
        <v>15583.64</v>
      </c>
      <c r="F68" s="57">
        <f t="shared" si="0"/>
        <v>44382206.719999999</v>
      </c>
    </row>
    <row r="69" spans="1:6" x14ac:dyDescent="0.25">
      <c r="A69" s="32" t="s">
        <v>405</v>
      </c>
      <c r="B69" s="34" t="s">
        <v>60</v>
      </c>
      <c r="C69" s="32" t="s">
        <v>393</v>
      </c>
      <c r="D69" s="60">
        <v>1637</v>
      </c>
      <c r="E69" s="56">
        <v>32897.980000000003</v>
      </c>
      <c r="F69" s="57">
        <f t="shared" si="0"/>
        <v>53853993.260000005</v>
      </c>
    </row>
    <row r="70" spans="1:6" x14ac:dyDescent="0.25">
      <c r="A70" s="32" t="s">
        <v>406</v>
      </c>
      <c r="B70" s="32" t="s">
        <v>407</v>
      </c>
      <c r="C70" s="32" t="s">
        <v>327</v>
      </c>
      <c r="D70" s="53"/>
      <c r="E70" s="53"/>
      <c r="F70" s="57">
        <f t="shared" ref="F70:F133" si="1">D70*E70</f>
        <v>0</v>
      </c>
    </row>
    <row r="71" spans="1:6" x14ac:dyDescent="0.25">
      <c r="A71" s="32" t="s">
        <v>408</v>
      </c>
      <c r="B71" s="34" t="s">
        <v>49</v>
      </c>
      <c r="C71" s="32" t="s">
        <v>327</v>
      </c>
      <c r="D71" s="60">
        <v>1570</v>
      </c>
      <c r="E71" s="56">
        <v>4588.04</v>
      </c>
      <c r="F71" s="57">
        <f t="shared" si="1"/>
        <v>7203222.7999999998</v>
      </c>
    </row>
    <row r="72" spans="1:6" x14ac:dyDescent="0.25">
      <c r="A72" s="32" t="s">
        <v>409</v>
      </c>
      <c r="B72" s="32" t="s">
        <v>410</v>
      </c>
      <c r="C72" s="32" t="s">
        <v>303</v>
      </c>
      <c r="D72" s="53"/>
      <c r="E72" s="53"/>
      <c r="F72" s="57">
        <f t="shared" si="1"/>
        <v>0</v>
      </c>
    </row>
    <row r="73" spans="1:6" x14ac:dyDescent="0.25">
      <c r="A73" s="32" t="s">
        <v>411</v>
      </c>
      <c r="B73" s="34" t="s">
        <v>62</v>
      </c>
      <c r="C73" s="32" t="s">
        <v>327</v>
      </c>
      <c r="D73" s="60">
        <v>1844</v>
      </c>
      <c r="E73" s="56">
        <v>4588.04</v>
      </c>
      <c r="F73" s="57">
        <f t="shared" si="1"/>
        <v>8460345.7599999998</v>
      </c>
    </row>
    <row r="74" spans="1:6" x14ac:dyDescent="0.25">
      <c r="A74" s="32" t="s">
        <v>412</v>
      </c>
      <c r="B74" s="32" t="s">
        <v>413</v>
      </c>
      <c r="C74" s="32" t="s">
        <v>303</v>
      </c>
      <c r="D74" s="53"/>
      <c r="E74" s="53"/>
      <c r="F74" s="57">
        <f t="shared" si="1"/>
        <v>0</v>
      </c>
    </row>
    <row r="75" spans="1:6" x14ac:dyDescent="0.25">
      <c r="A75" s="32" t="s">
        <v>414</v>
      </c>
      <c r="B75" s="34" t="s">
        <v>64</v>
      </c>
      <c r="C75" s="32" t="s">
        <v>303</v>
      </c>
      <c r="D75" s="60">
        <v>25</v>
      </c>
      <c r="E75" s="56">
        <v>181805.14</v>
      </c>
      <c r="F75" s="57">
        <f t="shared" si="1"/>
        <v>4545128.5</v>
      </c>
    </row>
    <row r="76" spans="1:6" x14ac:dyDescent="0.25">
      <c r="A76" s="32" t="s">
        <v>415</v>
      </c>
      <c r="B76" s="34" t="s">
        <v>65</v>
      </c>
      <c r="C76" s="32" t="s">
        <v>303</v>
      </c>
      <c r="D76" s="60">
        <v>7</v>
      </c>
      <c r="E76" s="56">
        <v>177477.02</v>
      </c>
      <c r="F76" s="57">
        <f t="shared" si="1"/>
        <v>1242339.1399999999</v>
      </c>
    </row>
    <row r="77" spans="1:6" x14ac:dyDescent="0.25">
      <c r="A77" s="32" t="s">
        <v>416</v>
      </c>
      <c r="B77" s="34" t="s">
        <v>66</v>
      </c>
      <c r="C77" s="32" t="s">
        <v>393</v>
      </c>
      <c r="D77" s="60">
        <v>1419</v>
      </c>
      <c r="E77" s="56">
        <v>14717.84</v>
      </c>
      <c r="F77" s="57">
        <f t="shared" si="1"/>
        <v>20884614.960000001</v>
      </c>
    </row>
    <row r="78" spans="1:6" x14ac:dyDescent="0.25">
      <c r="A78" s="32" t="s">
        <v>417</v>
      </c>
      <c r="B78" s="34" t="s">
        <v>418</v>
      </c>
      <c r="C78" s="32" t="s">
        <v>393</v>
      </c>
      <c r="D78" s="60">
        <v>5123</v>
      </c>
      <c r="E78" s="56">
        <v>14284.93</v>
      </c>
      <c r="F78" s="57">
        <f t="shared" si="1"/>
        <v>73181696.390000001</v>
      </c>
    </row>
    <row r="79" spans="1:6" x14ac:dyDescent="0.25">
      <c r="A79" s="32" t="s">
        <v>419</v>
      </c>
      <c r="B79" s="32" t="s">
        <v>420</v>
      </c>
      <c r="C79" s="32" t="s">
        <v>393</v>
      </c>
      <c r="D79" s="53"/>
      <c r="E79" s="53"/>
      <c r="F79" s="57">
        <f t="shared" si="1"/>
        <v>0</v>
      </c>
    </row>
    <row r="80" spans="1:6" x14ac:dyDescent="0.25">
      <c r="A80" s="32" t="s">
        <v>421</v>
      </c>
      <c r="B80" s="32" t="s">
        <v>422</v>
      </c>
      <c r="C80" s="32" t="s">
        <v>393</v>
      </c>
      <c r="D80" s="53"/>
      <c r="E80" s="53"/>
      <c r="F80" s="57">
        <f t="shared" si="1"/>
        <v>0</v>
      </c>
    </row>
    <row r="81" spans="1:6" ht="30" x14ac:dyDescent="0.25">
      <c r="A81" s="32" t="s">
        <v>423</v>
      </c>
      <c r="B81" s="32" t="s">
        <v>424</v>
      </c>
      <c r="C81" s="32" t="s">
        <v>393</v>
      </c>
      <c r="D81" s="53"/>
      <c r="E81" s="53"/>
      <c r="F81" s="57">
        <f t="shared" si="1"/>
        <v>0</v>
      </c>
    </row>
    <row r="82" spans="1:6" x14ac:dyDescent="0.25">
      <c r="A82" s="32" t="s">
        <v>425</v>
      </c>
      <c r="B82" s="39" t="s">
        <v>426</v>
      </c>
      <c r="C82" s="32" t="s">
        <v>393</v>
      </c>
      <c r="D82" s="55">
        <v>720</v>
      </c>
      <c r="E82" s="56">
        <v>36534.19</v>
      </c>
      <c r="F82" s="57">
        <f t="shared" si="1"/>
        <v>26304616.800000001</v>
      </c>
    </row>
    <row r="83" spans="1:6" x14ac:dyDescent="0.25">
      <c r="A83" s="32" t="s">
        <v>427</v>
      </c>
      <c r="B83" s="32" t="s">
        <v>428</v>
      </c>
      <c r="C83" s="32" t="s">
        <v>393</v>
      </c>
      <c r="D83" s="53"/>
      <c r="E83" s="53"/>
      <c r="F83" s="57">
        <f t="shared" si="1"/>
        <v>0</v>
      </c>
    </row>
    <row r="84" spans="1:6" x14ac:dyDescent="0.25">
      <c r="A84" s="32" t="s">
        <v>429</v>
      </c>
      <c r="B84" s="34" t="s">
        <v>67</v>
      </c>
      <c r="C84" s="32" t="s">
        <v>393</v>
      </c>
      <c r="D84" s="60">
        <v>191</v>
      </c>
      <c r="E84" s="56">
        <v>15583.64</v>
      </c>
      <c r="F84" s="57">
        <f t="shared" si="1"/>
        <v>2976475.2399999998</v>
      </c>
    </row>
    <row r="85" spans="1:6" x14ac:dyDescent="0.25">
      <c r="A85" s="32" t="s">
        <v>430</v>
      </c>
      <c r="B85" s="34" t="s">
        <v>68</v>
      </c>
      <c r="C85" s="32" t="s">
        <v>393</v>
      </c>
      <c r="D85" s="60">
        <v>364</v>
      </c>
      <c r="E85" s="56">
        <v>43633.64</v>
      </c>
      <c r="F85" s="57">
        <f t="shared" si="1"/>
        <v>15882644.959999999</v>
      </c>
    </row>
    <row r="86" spans="1:6" x14ac:dyDescent="0.25">
      <c r="A86" s="32" t="s">
        <v>431</v>
      </c>
      <c r="B86" s="34" t="s">
        <v>69</v>
      </c>
      <c r="C86" s="32" t="s">
        <v>303</v>
      </c>
      <c r="D86" s="60">
        <v>150</v>
      </c>
      <c r="E86" s="56">
        <v>96963.24</v>
      </c>
      <c r="F86" s="57">
        <f t="shared" si="1"/>
        <v>14544486</v>
      </c>
    </row>
    <row r="87" spans="1:6" x14ac:dyDescent="0.25">
      <c r="A87" s="32" t="s">
        <v>432</v>
      </c>
      <c r="B87" s="34" t="s">
        <v>70</v>
      </c>
      <c r="C87" s="32" t="s">
        <v>303</v>
      </c>
      <c r="D87" s="60">
        <v>79</v>
      </c>
      <c r="E87" s="56">
        <v>135055.14000000001</v>
      </c>
      <c r="F87" s="57">
        <f t="shared" si="1"/>
        <v>10669356.060000001</v>
      </c>
    </row>
    <row r="88" spans="1:6" x14ac:dyDescent="0.25">
      <c r="A88" s="32" t="s">
        <v>433</v>
      </c>
      <c r="B88" s="34" t="s">
        <v>71</v>
      </c>
      <c r="C88" s="32" t="s">
        <v>393</v>
      </c>
      <c r="D88" s="60">
        <v>817</v>
      </c>
      <c r="E88" s="56">
        <v>14717.84</v>
      </c>
      <c r="F88" s="57">
        <f t="shared" si="1"/>
        <v>12024475.279999999</v>
      </c>
    </row>
    <row r="89" spans="1:6" x14ac:dyDescent="0.25">
      <c r="A89" s="32" t="s">
        <v>434</v>
      </c>
      <c r="B89" s="34" t="s">
        <v>435</v>
      </c>
      <c r="C89" s="32" t="s">
        <v>395</v>
      </c>
      <c r="D89" s="60">
        <v>245</v>
      </c>
      <c r="E89" s="56">
        <v>49347.43</v>
      </c>
      <c r="F89" s="57">
        <f t="shared" si="1"/>
        <v>12090120.35</v>
      </c>
    </row>
    <row r="90" spans="1:6" ht="30" x14ac:dyDescent="0.25">
      <c r="A90" s="32" t="s">
        <v>436</v>
      </c>
      <c r="B90" s="34" t="s">
        <v>72</v>
      </c>
      <c r="C90" s="32" t="s">
        <v>393</v>
      </c>
      <c r="D90" s="60">
        <v>1734</v>
      </c>
      <c r="E90" s="56">
        <v>22509.19</v>
      </c>
      <c r="F90" s="57">
        <f t="shared" si="1"/>
        <v>39030935.460000001</v>
      </c>
    </row>
    <row r="91" spans="1:6" x14ac:dyDescent="0.25">
      <c r="A91" s="32" t="s">
        <v>437</v>
      </c>
      <c r="B91" s="32" t="s">
        <v>438</v>
      </c>
      <c r="C91" s="32" t="s">
        <v>393</v>
      </c>
      <c r="D91" s="53"/>
      <c r="E91" s="53"/>
      <c r="F91" s="57">
        <f t="shared" si="1"/>
        <v>0</v>
      </c>
    </row>
    <row r="92" spans="1:6" ht="30" x14ac:dyDescent="0.25">
      <c r="A92" s="32" t="s">
        <v>439</v>
      </c>
      <c r="B92" s="34" t="s">
        <v>73</v>
      </c>
      <c r="C92" s="32" t="s">
        <v>393</v>
      </c>
      <c r="D92" s="60">
        <v>1072</v>
      </c>
      <c r="E92" s="56">
        <v>32032.16</v>
      </c>
      <c r="F92" s="57">
        <f t="shared" si="1"/>
        <v>34338475.520000003</v>
      </c>
    </row>
    <row r="93" spans="1:6" x14ac:dyDescent="0.25">
      <c r="A93" s="32" t="s">
        <v>440</v>
      </c>
      <c r="B93" s="34" t="s">
        <v>77</v>
      </c>
      <c r="C93" s="32" t="s">
        <v>393</v>
      </c>
      <c r="D93" s="60">
        <v>846</v>
      </c>
      <c r="E93" s="56">
        <v>5886.76</v>
      </c>
      <c r="F93" s="57">
        <f t="shared" si="1"/>
        <v>4980198.96</v>
      </c>
    </row>
    <row r="94" spans="1:6" x14ac:dyDescent="0.25">
      <c r="A94" s="32" t="s">
        <v>441</v>
      </c>
      <c r="B94" s="34" t="s">
        <v>78</v>
      </c>
      <c r="C94" s="32" t="s">
        <v>393</v>
      </c>
      <c r="D94" s="60">
        <v>4801</v>
      </c>
      <c r="E94" s="56">
        <v>10388.780000000001</v>
      </c>
      <c r="F94" s="57">
        <f t="shared" si="1"/>
        <v>49876532.780000001</v>
      </c>
    </row>
    <row r="95" spans="1:6" x14ac:dyDescent="0.25">
      <c r="A95" s="32" t="s">
        <v>442</v>
      </c>
      <c r="B95" s="34" t="s">
        <v>79</v>
      </c>
      <c r="C95" s="32" t="s">
        <v>393</v>
      </c>
      <c r="D95" s="60">
        <v>339</v>
      </c>
      <c r="E95" s="56">
        <v>19911.759999999998</v>
      </c>
      <c r="F95" s="57">
        <f t="shared" si="1"/>
        <v>6750086.6399999997</v>
      </c>
    </row>
    <row r="96" spans="1:6" x14ac:dyDescent="0.25">
      <c r="A96" s="32" t="s">
        <v>443</v>
      </c>
      <c r="B96" s="32" t="s">
        <v>76</v>
      </c>
      <c r="C96" s="32" t="s">
        <v>395</v>
      </c>
      <c r="D96" s="53"/>
      <c r="E96" s="53"/>
      <c r="F96" s="57">
        <f t="shared" si="1"/>
        <v>0</v>
      </c>
    </row>
    <row r="97" spans="1:6" ht="30" x14ac:dyDescent="0.25">
      <c r="A97" s="32" t="s">
        <v>444</v>
      </c>
      <c r="B97" s="34" t="s">
        <v>445</v>
      </c>
      <c r="C97" s="32" t="s">
        <v>393</v>
      </c>
      <c r="D97" s="60">
        <v>778</v>
      </c>
      <c r="E97" s="56">
        <v>13852.02</v>
      </c>
      <c r="F97" s="57">
        <f t="shared" si="1"/>
        <v>10776871.560000001</v>
      </c>
    </row>
    <row r="98" spans="1:6" x14ac:dyDescent="0.25">
      <c r="A98" s="32" t="s">
        <v>446</v>
      </c>
      <c r="B98" s="34" t="s">
        <v>75</v>
      </c>
      <c r="C98" s="32" t="s">
        <v>327</v>
      </c>
      <c r="D98" s="60">
        <v>800</v>
      </c>
      <c r="E98" s="56">
        <v>345.95</v>
      </c>
      <c r="F98" s="57">
        <f t="shared" si="1"/>
        <v>276760</v>
      </c>
    </row>
    <row r="99" spans="1:6" x14ac:dyDescent="0.25">
      <c r="A99" s="32" t="s">
        <v>447</v>
      </c>
      <c r="B99" s="39" t="s">
        <v>448</v>
      </c>
      <c r="C99" s="32" t="s">
        <v>393</v>
      </c>
      <c r="D99" s="55">
        <v>26074</v>
      </c>
      <c r="E99" s="56">
        <v>5194.8599999999997</v>
      </c>
      <c r="F99" s="57">
        <f t="shared" si="1"/>
        <v>135450779.63999999</v>
      </c>
    </row>
    <row r="100" spans="1:6" x14ac:dyDescent="0.25">
      <c r="A100" s="32" t="s">
        <v>449</v>
      </c>
      <c r="B100" s="34" t="s">
        <v>80</v>
      </c>
      <c r="C100" s="32" t="s">
        <v>393</v>
      </c>
      <c r="D100" s="60">
        <v>252</v>
      </c>
      <c r="E100" s="56">
        <v>13852.02</v>
      </c>
      <c r="F100" s="57">
        <f t="shared" si="1"/>
        <v>3490709.04</v>
      </c>
    </row>
    <row r="101" spans="1:6" x14ac:dyDescent="0.25">
      <c r="A101" s="32" t="s">
        <v>450</v>
      </c>
      <c r="B101" s="34" t="s">
        <v>81</v>
      </c>
      <c r="C101" s="32" t="s">
        <v>451</v>
      </c>
      <c r="D101" s="60">
        <v>516</v>
      </c>
      <c r="E101" s="56">
        <v>14717.84</v>
      </c>
      <c r="F101" s="57">
        <f t="shared" si="1"/>
        <v>7594405.4400000004</v>
      </c>
    </row>
    <row r="102" spans="1:6" ht="30" x14ac:dyDescent="0.25">
      <c r="A102" s="32" t="s">
        <v>452</v>
      </c>
      <c r="B102" s="32" t="s">
        <v>453</v>
      </c>
      <c r="C102" s="32" t="s">
        <v>367</v>
      </c>
      <c r="D102" s="53"/>
      <c r="E102" s="53"/>
      <c r="F102" s="57">
        <f t="shared" si="1"/>
        <v>0</v>
      </c>
    </row>
    <row r="103" spans="1:6" x14ac:dyDescent="0.25">
      <c r="A103" s="32" t="s">
        <v>454</v>
      </c>
      <c r="B103" s="32" t="s">
        <v>455</v>
      </c>
      <c r="C103" s="32" t="s">
        <v>367</v>
      </c>
      <c r="D103" s="53"/>
      <c r="E103" s="53"/>
      <c r="F103" s="57">
        <f t="shared" si="1"/>
        <v>0</v>
      </c>
    </row>
    <row r="104" spans="1:6" x14ac:dyDescent="0.25">
      <c r="A104" s="32" t="s">
        <v>456</v>
      </c>
      <c r="B104" s="32" t="s">
        <v>457</v>
      </c>
      <c r="C104" s="32" t="s">
        <v>458</v>
      </c>
      <c r="D104" s="53"/>
      <c r="E104" s="53"/>
      <c r="F104" s="57">
        <f t="shared" si="1"/>
        <v>0</v>
      </c>
    </row>
    <row r="105" spans="1:6" x14ac:dyDescent="0.25">
      <c r="A105" s="32" t="s">
        <v>459</v>
      </c>
      <c r="B105" s="34" t="s">
        <v>82</v>
      </c>
      <c r="C105" s="32" t="s">
        <v>451</v>
      </c>
      <c r="D105" s="60">
        <v>2024</v>
      </c>
      <c r="E105" s="56">
        <v>6925.54</v>
      </c>
      <c r="F105" s="57">
        <f t="shared" si="1"/>
        <v>14017292.959999999</v>
      </c>
    </row>
    <row r="106" spans="1:6" x14ac:dyDescent="0.25">
      <c r="A106" s="32" t="s">
        <v>460</v>
      </c>
      <c r="B106" s="34" t="s">
        <v>83</v>
      </c>
      <c r="C106" s="32" t="s">
        <v>393</v>
      </c>
      <c r="D106" s="60">
        <v>744</v>
      </c>
      <c r="E106" s="56">
        <v>7272.43</v>
      </c>
      <c r="F106" s="57">
        <f t="shared" si="1"/>
        <v>5410687.9199999999</v>
      </c>
    </row>
    <row r="107" spans="1:6" x14ac:dyDescent="0.25">
      <c r="A107" s="32" t="s">
        <v>461</v>
      </c>
      <c r="B107" s="34" t="s">
        <v>84</v>
      </c>
      <c r="C107" s="32" t="s">
        <v>451</v>
      </c>
      <c r="D107" s="60">
        <v>9318</v>
      </c>
      <c r="E107" s="56">
        <v>29434.74</v>
      </c>
      <c r="F107" s="57">
        <f t="shared" si="1"/>
        <v>274272907.31999999</v>
      </c>
    </row>
    <row r="108" spans="1:6" x14ac:dyDescent="0.25">
      <c r="A108" s="32" t="s">
        <v>462</v>
      </c>
      <c r="B108" s="34" t="s">
        <v>85</v>
      </c>
      <c r="C108" s="32" t="s">
        <v>393</v>
      </c>
      <c r="D108" s="60">
        <v>15053</v>
      </c>
      <c r="E108" s="56">
        <v>8657.17</v>
      </c>
      <c r="F108" s="57">
        <f t="shared" si="1"/>
        <v>130316380.01000001</v>
      </c>
    </row>
    <row r="109" spans="1:6" x14ac:dyDescent="0.25">
      <c r="A109" s="32" t="s">
        <v>463</v>
      </c>
      <c r="B109" s="34" t="s">
        <v>86</v>
      </c>
      <c r="C109" s="32" t="s">
        <v>451</v>
      </c>
      <c r="D109" s="60">
        <v>47727</v>
      </c>
      <c r="E109" s="56">
        <v>6925.54</v>
      </c>
      <c r="F109" s="57">
        <f t="shared" si="1"/>
        <v>330535247.57999998</v>
      </c>
    </row>
    <row r="110" spans="1:6" x14ac:dyDescent="0.25">
      <c r="A110" s="32" t="s">
        <v>464</v>
      </c>
      <c r="B110" s="34" t="s">
        <v>465</v>
      </c>
      <c r="C110" s="32" t="s">
        <v>451</v>
      </c>
      <c r="D110" s="60">
        <v>2810</v>
      </c>
      <c r="E110" s="56">
        <v>16882.36</v>
      </c>
      <c r="F110" s="57">
        <f t="shared" si="1"/>
        <v>47439431.600000001</v>
      </c>
    </row>
    <row r="111" spans="1:6" x14ac:dyDescent="0.25">
      <c r="A111" s="32" t="s">
        <v>466</v>
      </c>
      <c r="B111" s="34" t="s">
        <v>125</v>
      </c>
      <c r="C111" s="32" t="s">
        <v>451</v>
      </c>
      <c r="D111" s="60">
        <v>644</v>
      </c>
      <c r="E111" s="56">
        <v>41988.04</v>
      </c>
      <c r="F111" s="57">
        <f t="shared" si="1"/>
        <v>27040297.760000002</v>
      </c>
    </row>
    <row r="112" spans="1:6" x14ac:dyDescent="0.25">
      <c r="A112" s="32" t="s">
        <v>467</v>
      </c>
      <c r="B112" s="34" t="s">
        <v>110</v>
      </c>
      <c r="C112" s="32" t="s">
        <v>451</v>
      </c>
      <c r="D112" s="60">
        <v>420</v>
      </c>
      <c r="E112" s="56">
        <v>16882.36</v>
      </c>
      <c r="F112" s="57">
        <f t="shared" si="1"/>
        <v>7090591.2000000002</v>
      </c>
    </row>
    <row r="113" spans="1:6" x14ac:dyDescent="0.25">
      <c r="A113" s="32" t="s">
        <v>468</v>
      </c>
      <c r="B113" s="34" t="s">
        <v>89</v>
      </c>
      <c r="C113" s="32" t="s">
        <v>393</v>
      </c>
      <c r="D113" s="60">
        <v>444</v>
      </c>
      <c r="E113" s="56">
        <v>22942.1</v>
      </c>
      <c r="F113" s="57">
        <f t="shared" si="1"/>
        <v>10186292.399999999</v>
      </c>
    </row>
    <row r="114" spans="1:6" x14ac:dyDescent="0.25">
      <c r="A114" s="32" t="s">
        <v>469</v>
      </c>
      <c r="B114" s="34" t="s">
        <v>90</v>
      </c>
      <c r="C114" s="32" t="s">
        <v>393</v>
      </c>
      <c r="D114" s="60">
        <v>539</v>
      </c>
      <c r="E114" s="56">
        <v>49780.34</v>
      </c>
      <c r="F114" s="57">
        <f t="shared" si="1"/>
        <v>26831603.259999998</v>
      </c>
    </row>
    <row r="115" spans="1:6" x14ac:dyDescent="0.25">
      <c r="A115" s="32" t="s">
        <v>470</v>
      </c>
      <c r="B115" s="34" t="s">
        <v>91</v>
      </c>
      <c r="C115" s="32" t="s">
        <v>393</v>
      </c>
      <c r="D115" s="60">
        <v>5847</v>
      </c>
      <c r="E115" s="56">
        <v>9090.07</v>
      </c>
      <c r="F115" s="57">
        <f t="shared" si="1"/>
        <v>53149639.289999999</v>
      </c>
    </row>
    <row r="116" spans="1:6" x14ac:dyDescent="0.25">
      <c r="A116" s="32" t="s">
        <v>471</v>
      </c>
      <c r="B116" s="34" t="s">
        <v>92</v>
      </c>
      <c r="C116" s="32" t="s">
        <v>327</v>
      </c>
      <c r="D116" s="60">
        <v>38000</v>
      </c>
      <c r="E116" s="56">
        <v>459.08</v>
      </c>
      <c r="F116" s="57">
        <f t="shared" si="1"/>
        <v>17445040</v>
      </c>
    </row>
    <row r="117" spans="1:6" x14ac:dyDescent="0.25">
      <c r="A117" s="32" t="s">
        <v>472</v>
      </c>
      <c r="B117" s="34" t="s">
        <v>94</v>
      </c>
      <c r="C117" s="32" t="s">
        <v>393</v>
      </c>
      <c r="D117" s="60">
        <v>168</v>
      </c>
      <c r="E117" s="56">
        <v>9090.07</v>
      </c>
      <c r="F117" s="57">
        <f t="shared" si="1"/>
        <v>1527131.76</v>
      </c>
    </row>
    <row r="118" spans="1:6" x14ac:dyDescent="0.25">
      <c r="A118" s="32" t="s">
        <v>473</v>
      </c>
      <c r="B118" s="34" t="s">
        <v>93</v>
      </c>
      <c r="C118" s="32" t="s">
        <v>393</v>
      </c>
      <c r="D118" s="60">
        <v>36</v>
      </c>
      <c r="E118" s="56">
        <v>49780.34</v>
      </c>
      <c r="F118" s="57">
        <f t="shared" si="1"/>
        <v>1792092.2399999998</v>
      </c>
    </row>
    <row r="119" spans="1:6" x14ac:dyDescent="0.25">
      <c r="A119" s="32" t="s">
        <v>474</v>
      </c>
      <c r="B119" s="32" t="s">
        <v>475</v>
      </c>
      <c r="C119" s="32" t="s">
        <v>393</v>
      </c>
      <c r="D119" s="32"/>
      <c r="E119" s="32"/>
      <c r="F119" s="33">
        <f t="shared" si="1"/>
        <v>0</v>
      </c>
    </row>
    <row r="120" spans="1:6" x14ac:dyDescent="0.25">
      <c r="A120" s="32" t="s">
        <v>476</v>
      </c>
      <c r="B120" s="32" t="s">
        <v>107</v>
      </c>
      <c r="C120" s="32" t="s">
        <v>393</v>
      </c>
      <c r="D120" s="32"/>
      <c r="E120" s="32"/>
      <c r="F120" s="33">
        <f t="shared" si="1"/>
        <v>0</v>
      </c>
    </row>
    <row r="121" spans="1:6" x14ac:dyDescent="0.25">
      <c r="A121" s="32" t="s">
        <v>477</v>
      </c>
      <c r="B121" s="32" t="s">
        <v>478</v>
      </c>
      <c r="C121" s="32" t="s">
        <v>393</v>
      </c>
      <c r="D121" s="32"/>
      <c r="E121" s="32"/>
      <c r="F121" s="33">
        <f t="shared" si="1"/>
        <v>0</v>
      </c>
    </row>
    <row r="122" spans="1:6" x14ac:dyDescent="0.25">
      <c r="A122" s="32" t="s">
        <v>479</v>
      </c>
      <c r="B122" s="39" t="s">
        <v>108</v>
      </c>
      <c r="C122" s="32" t="s">
        <v>393</v>
      </c>
      <c r="D122" s="55">
        <v>1370</v>
      </c>
      <c r="E122" s="56">
        <v>6925.54</v>
      </c>
      <c r="F122" s="57">
        <f t="shared" si="1"/>
        <v>9487989.8000000007</v>
      </c>
    </row>
    <row r="123" spans="1:6" x14ac:dyDescent="0.25">
      <c r="A123" s="32" t="s">
        <v>480</v>
      </c>
      <c r="B123" s="34" t="s">
        <v>481</v>
      </c>
      <c r="C123" s="32" t="s">
        <v>393</v>
      </c>
      <c r="D123" s="60">
        <v>14488</v>
      </c>
      <c r="E123" s="56">
        <v>45451.28</v>
      </c>
      <c r="F123" s="57">
        <f t="shared" si="1"/>
        <v>658498144.63999999</v>
      </c>
    </row>
    <row r="124" spans="1:6" x14ac:dyDescent="0.25">
      <c r="A124" s="32" t="s">
        <v>482</v>
      </c>
      <c r="B124" s="34" t="s">
        <v>483</v>
      </c>
      <c r="C124" s="32" t="s">
        <v>393</v>
      </c>
      <c r="D124" s="60">
        <v>78</v>
      </c>
      <c r="E124" s="56">
        <v>15150.74</v>
      </c>
      <c r="F124" s="57">
        <f t="shared" si="1"/>
        <v>1181757.72</v>
      </c>
    </row>
    <row r="125" spans="1:6" x14ac:dyDescent="0.25">
      <c r="A125" s="32" t="s">
        <v>484</v>
      </c>
      <c r="B125" s="34" t="s">
        <v>95</v>
      </c>
      <c r="C125" s="32" t="s">
        <v>451</v>
      </c>
      <c r="D125" s="66">
        <v>78</v>
      </c>
      <c r="E125" s="67">
        <v>108650.74</v>
      </c>
      <c r="F125" s="68">
        <f t="shared" si="1"/>
        <v>8474757.7200000007</v>
      </c>
    </row>
    <row r="126" spans="1:6" x14ac:dyDescent="0.25">
      <c r="A126" s="32" t="s">
        <v>485</v>
      </c>
      <c r="B126" s="34" t="s">
        <v>88</v>
      </c>
      <c r="C126" s="32" t="s">
        <v>311</v>
      </c>
      <c r="D126" s="60">
        <v>548</v>
      </c>
      <c r="E126" s="56">
        <v>19549.919999999998</v>
      </c>
      <c r="F126" s="57">
        <f t="shared" si="1"/>
        <v>10713356.159999998</v>
      </c>
    </row>
    <row r="127" spans="1:6" x14ac:dyDescent="0.25">
      <c r="A127" s="32" t="s">
        <v>486</v>
      </c>
      <c r="B127" s="32" t="s">
        <v>487</v>
      </c>
      <c r="C127" s="32" t="s">
        <v>311</v>
      </c>
      <c r="D127" s="32"/>
      <c r="E127" s="32"/>
      <c r="F127" s="33">
        <f t="shared" si="1"/>
        <v>0</v>
      </c>
    </row>
    <row r="128" spans="1:6" x14ac:dyDescent="0.25">
      <c r="A128" s="32" t="s">
        <v>488</v>
      </c>
      <c r="B128" s="34" t="s">
        <v>96</v>
      </c>
      <c r="C128" s="32" t="s">
        <v>395</v>
      </c>
      <c r="D128" s="60">
        <v>340</v>
      </c>
      <c r="E128" s="56">
        <v>108650.74</v>
      </c>
      <c r="F128" s="57">
        <f t="shared" si="1"/>
        <v>36941251.600000001</v>
      </c>
    </row>
    <row r="129" spans="1:6" x14ac:dyDescent="0.25">
      <c r="A129" s="32" t="s">
        <v>489</v>
      </c>
      <c r="B129" s="32" t="s">
        <v>490</v>
      </c>
      <c r="C129" s="32" t="s">
        <v>393</v>
      </c>
      <c r="D129" s="32"/>
      <c r="E129" s="32"/>
      <c r="F129" s="33">
        <f t="shared" si="1"/>
        <v>0</v>
      </c>
    </row>
    <row r="130" spans="1:6" x14ac:dyDescent="0.25">
      <c r="A130" s="32" t="s">
        <v>491</v>
      </c>
      <c r="B130" s="34" t="s">
        <v>97</v>
      </c>
      <c r="C130" s="32" t="s">
        <v>327</v>
      </c>
      <c r="D130" s="60">
        <v>42800</v>
      </c>
      <c r="E130" s="56">
        <v>459.08</v>
      </c>
      <c r="F130" s="57">
        <f t="shared" si="1"/>
        <v>19648624</v>
      </c>
    </row>
    <row r="131" spans="1:6" x14ac:dyDescent="0.25">
      <c r="A131" s="32" t="s">
        <v>492</v>
      </c>
      <c r="B131" s="34" t="s">
        <v>98</v>
      </c>
      <c r="C131" s="32" t="s">
        <v>393</v>
      </c>
      <c r="D131" s="60">
        <v>738</v>
      </c>
      <c r="E131" s="56">
        <v>9869.86</v>
      </c>
      <c r="F131" s="57">
        <f t="shared" si="1"/>
        <v>7283956.6800000006</v>
      </c>
    </row>
    <row r="132" spans="1:6" x14ac:dyDescent="0.25">
      <c r="A132" s="32" t="s">
        <v>493</v>
      </c>
      <c r="B132" s="59" t="s">
        <v>99</v>
      </c>
      <c r="C132" s="53" t="s">
        <v>393</v>
      </c>
      <c r="D132" s="60">
        <v>172</v>
      </c>
      <c r="E132" s="56">
        <v>5800.74</v>
      </c>
      <c r="F132" s="57">
        <f t="shared" si="1"/>
        <v>997727.27999999991</v>
      </c>
    </row>
    <row r="133" spans="1:6" x14ac:dyDescent="0.25">
      <c r="A133" s="32" t="s">
        <v>494</v>
      </c>
      <c r="B133" s="34" t="s">
        <v>100</v>
      </c>
      <c r="C133" s="32" t="s">
        <v>393</v>
      </c>
      <c r="D133" s="66">
        <v>1923</v>
      </c>
      <c r="E133" s="67">
        <v>49780.34</v>
      </c>
      <c r="F133" s="68">
        <f t="shared" si="1"/>
        <v>95727593.819999993</v>
      </c>
    </row>
    <row r="134" spans="1:6" x14ac:dyDescent="0.25">
      <c r="A134" s="32" t="s">
        <v>495</v>
      </c>
      <c r="B134" s="39" t="s">
        <v>496</v>
      </c>
      <c r="C134" s="32" t="s">
        <v>393</v>
      </c>
      <c r="D134" s="72">
        <v>144</v>
      </c>
      <c r="E134" s="73">
        <v>6925.54</v>
      </c>
      <c r="F134" s="74">
        <f t="shared" ref="F134:F197" si="2">D134*E134</f>
        <v>997277.76</v>
      </c>
    </row>
    <row r="135" spans="1:6" x14ac:dyDescent="0.25">
      <c r="A135" s="32" t="s">
        <v>497</v>
      </c>
      <c r="B135" s="34" t="s">
        <v>101</v>
      </c>
      <c r="C135" s="32" t="s">
        <v>393</v>
      </c>
      <c r="D135" s="60">
        <v>26572</v>
      </c>
      <c r="E135" s="56">
        <v>9090.07</v>
      </c>
      <c r="F135" s="57">
        <f t="shared" si="2"/>
        <v>241541340.03999999</v>
      </c>
    </row>
    <row r="136" spans="1:6" x14ac:dyDescent="0.25">
      <c r="A136" s="32" t="s">
        <v>498</v>
      </c>
      <c r="B136" s="34" t="s">
        <v>102</v>
      </c>
      <c r="C136" s="32" t="s">
        <v>393</v>
      </c>
      <c r="D136" s="60">
        <v>489</v>
      </c>
      <c r="E136" s="56">
        <v>22942.1</v>
      </c>
      <c r="F136" s="57">
        <f t="shared" si="2"/>
        <v>11218686.899999999</v>
      </c>
    </row>
    <row r="137" spans="1:6" x14ac:dyDescent="0.25">
      <c r="A137" s="32" t="s">
        <v>499</v>
      </c>
      <c r="B137" s="34" t="s">
        <v>103</v>
      </c>
      <c r="C137" s="32" t="s">
        <v>393</v>
      </c>
      <c r="D137" s="60">
        <v>1236</v>
      </c>
      <c r="E137" s="56">
        <v>12986.22</v>
      </c>
      <c r="F137" s="57">
        <f t="shared" si="2"/>
        <v>16050967.92</v>
      </c>
    </row>
    <row r="138" spans="1:6" x14ac:dyDescent="0.25">
      <c r="A138" s="32" t="s">
        <v>500</v>
      </c>
      <c r="B138" s="34" t="s">
        <v>104</v>
      </c>
      <c r="C138" s="32" t="s">
        <v>393</v>
      </c>
      <c r="D138" s="60">
        <v>285</v>
      </c>
      <c r="E138" s="56">
        <v>18180.14</v>
      </c>
      <c r="F138" s="57">
        <f t="shared" si="2"/>
        <v>5181339.8999999994</v>
      </c>
    </row>
    <row r="139" spans="1:6" x14ac:dyDescent="0.25">
      <c r="A139" s="32" t="s">
        <v>501</v>
      </c>
      <c r="B139" s="34" t="s">
        <v>105</v>
      </c>
      <c r="C139" s="32" t="s">
        <v>393</v>
      </c>
      <c r="D139" s="60">
        <v>30</v>
      </c>
      <c r="E139" s="56">
        <v>49780.34</v>
      </c>
      <c r="F139" s="57">
        <f t="shared" si="2"/>
        <v>1493410.2</v>
      </c>
    </row>
    <row r="140" spans="1:6" x14ac:dyDescent="0.25">
      <c r="A140" s="32" t="s">
        <v>502</v>
      </c>
      <c r="B140" s="59" t="s">
        <v>106</v>
      </c>
      <c r="C140" s="53" t="s">
        <v>393</v>
      </c>
      <c r="D140" s="60">
        <v>749</v>
      </c>
      <c r="E140" s="56">
        <v>9090.07</v>
      </c>
      <c r="F140" s="57">
        <f t="shared" si="2"/>
        <v>6808462.4299999997</v>
      </c>
    </row>
    <row r="141" spans="1:6" x14ac:dyDescent="0.25">
      <c r="A141" s="32" t="s">
        <v>503</v>
      </c>
      <c r="B141" s="59" t="s">
        <v>112</v>
      </c>
      <c r="C141" s="53" t="s">
        <v>327</v>
      </c>
      <c r="D141" s="60">
        <v>870</v>
      </c>
      <c r="E141" s="56">
        <v>7618.38</v>
      </c>
      <c r="F141" s="57">
        <f t="shared" si="2"/>
        <v>6627990.6000000006</v>
      </c>
    </row>
    <row r="142" spans="1:6" x14ac:dyDescent="0.25">
      <c r="A142" s="32" t="s">
        <v>504</v>
      </c>
      <c r="B142" s="34" t="s">
        <v>111</v>
      </c>
      <c r="C142" s="32" t="s">
        <v>327</v>
      </c>
      <c r="D142" s="60">
        <v>1460</v>
      </c>
      <c r="E142" s="56">
        <v>7618.38</v>
      </c>
      <c r="F142" s="57">
        <f t="shared" si="2"/>
        <v>11122834.800000001</v>
      </c>
    </row>
    <row r="143" spans="1:6" x14ac:dyDescent="0.25">
      <c r="A143" s="32" t="s">
        <v>505</v>
      </c>
      <c r="B143" s="34" t="s">
        <v>114</v>
      </c>
      <c r="C143" s="32" t="s">
        <v>393</v>
      </c>
      <c r="D143" s="60">
        <v>261</v>
      </c>
      <c r="E143" s="56">
        <v>18180.14</v>
      </c>
      <c r="F143" s="57">
        <f t="shared" si="2"/>
        <v>4745016.54</v>
      </c>
    </row>
    <row r="144" spans="1:6" x14ac:dyDescent="0.25">
      <c r="A144" s="32" t="s">
        <v>506</v>
      </c>
      <c r="B144" s="34" t="s">
        <v>113</v>
      </c>
      <c r="C144" s="32" t="s">
        <v>393</v>
      </c>
      <c r="D144" s="60">
        <v>312</v>
      </c>
      <c r="E144" s="56">
        <v>15583.64</v>
      </c>
      <c r="F144" s="57">
        <f t="shared" si="2"/>
        <v>4862095.68</v>
      </c>
    </row>
    <row r="145" spans="1:6" x14ac:dyDescent="0.25">
      <c r="A145" s="32" t="s">
        <v>507</v>
      </c>
      <c r="B145" s="34" t="s">
        <v>115</v>
      </c>
      <c r="C145" s="32" t="s">
        <v>327</v>
      </c>
      <c r="D145" s="60">
        <v>1947</v>
      </c>
      <c r="E145" s="56">
        <v>6059.74</v>
      </c>
      <c r="F145" s="57">
        <f t="shared" si="2"/>
        <v>11798313.779999999</v>
      </c>
    </row>
    <row r="146" spans="1:6" x14ac:dyDescent="0.25">
      <c r="A146" s="32" t="s">
        <v>508</v>
      </c>
      <c r="B146" s="34" t="s">
        <v>116</v>
      </c>
      <c r="C146" s="32" t="s">
        <v>393</v>
      </c>
      <c r="D146" s="60">
        <v>1969</v>
      </c>
      <c r="E146" s="56">
        <v>19045.95</v>
      </c>
      <c r="F146" s="57">
        <f t="shared" si="2"/>
        <v>37501475.550000004</v>
      </c>
    </row>
    <row r="147" spans="1:6" x14ac:dyDescent="0.25">
      <c r="A147" s="32" t="s">
        <v>509</v>
      </c>
      <c r="B147" s="34" t="s">
        <v>117</v>
      </c>
      <c r="C147" s="32" t="s">
        <v>393</v>
      </c>
      <c r="D147" s="60">
        <v>470</v>
      </c>
      <c r="E147" s="56">
        <v>16449.46</v>
      </c>
      <c r="F147" s="57">
        <f t="shared" si="2"/>
        <v>7731246.1999999993</v>
      </c>
    </row>
    <row r="148" spans="1:6" x14ac:dyDescent="0.25">
      <c r="A148" s="32" t="s">
        <v>510</v>
      </c>
      <c r="B148" s="34" t="s">
        <v>118</v>
      </c>
      <c r="C148" s="32" t="s">
        <v>395</v>
      </c>
      <c r="D148" s="60">
        <v>288</v>
      </c>
      <c r="E148" s="56">
        <v>14284.93</v>
      </c>
      <c r="F148" s="57">
        <f t="shared" si="2"/>
        <v>4114059.84</v>
      </c>
    </row>
    <row r="149" spans="1:6" x14ac:dyDescent="0.25">
      <c r="A149" s="32" t="s">
        <v>511</v>
      </c>
      <c r="B149" s="34" t="s">
        <v>119</v>
      </c>
      <c r="C149" s="32" t="s">
        <v>327</v>
      </c>
      <c r="D149" s="60">
        <v>260</v>
      </c>
      <c r="E149" s="56">
        <v>21643.38</v>
      </c>
      <c r="F149" s="57">
        <f t="shared" si="2"/>
        <v>5627278.7999999998</v>
      </c>
    </row>
    <row r="150" spans="1:6" x14ac:dyDescent="0.25">
      <c r="A150" s="32" t="s">
        <v>512</v>
      </c>
      <c r="B150" s="34" t="s">
        <v>120</v>
      </c>
      <c r="C150" s="32" t="s">
        <v>327</v>
      </c>
      <c r="D150" s="60">
        <v>80</v>
      </c>
      <c r="E150" s="56">
        <v>20777.57</v>
      </c>
      <c r="F150" s="57">
        <f t="shared" si="2"/>
        <v>1662205.6</v>
      </c>
    </row>
    <row r="151" spans="1:6" x14ac:dyDescent="0.25">
      <c r="A151" s="32" t="s">
        <v>513</v>
      </c>
      <c r="B151" s="34" t="s">
        <v>121</v>
      </c>
      <c r="C151" s="32" t="s">
        <v>393</v>
      </c>
      <c r="D151" s="60">
        <v>2934</v>
      </c>
      <c r="E151" s="56">
        <v>11254.6</v>
      </c>
      <c r="F151" s="57">
        <f t="shared" si="2"/>
        <v>33020996.400000002</v>
      </c>
    </row>
    <row r="152" spans="1:6" x14ac:dyDescent="0.25">
      <c r="A152" s="32" t="s">
        <v>514</v>
      </c>
      <c r="B152" s="34" t="s">
        <v>122</v>
      </c>
      <c r="C152" s="32" t="s">
        <v>327</v>
      </c>
      <c r="D152" s="60">
        <v>163</v>
      </c>
      <c r="E152" s="56">
        <v>8138.24</v>
      </c>
      <c r="F152" s="57">
        <f t="shared" si="2"/>
        <v>1326533.1199999999</v>
      </c>
    </row>
    <row r="153" spans="1:6" x14ac:dyDescent="0.25">
      <c r="A153" s="32" t="s">
        <v>515</v>
      </c>
      <c r="B153" s="39" t="s">
        <v>516</v>
      </c>
      <c r="C153" s="32" t="s">
        <v>451</v>
      </c>
      <c r="D153" s="55">
        <v>72</v>
      </c>
      <c r="E153" s="56">
        <v>22509.19</v>
      </c>
      <c r="F153" s="57">
        <f t="shared" si="2"/>
        <v>1620661.68</v>
      </c>
    </row>
    <row r="154" spans="1:6" ht="30" x14ac:dyDescent="0.25">
      <c r="A154" s="32" t="s">
        <v>517</v>
      </c>
      <c r="B154" s="34" t="s">
        <v>123</v>
      </c>
      <c r="C154" s="32" t="s">
        <v>393</v>
      </c>
      <c r="D154" s="60">
        <v>132</v>
      </c>
      <c r="E154" s="56">
        <v>17315.259999999998</v>
      </c>
      <c r="F154" s="57">
        <f t="shared" si="2"/>
        <v>2285614.3199999998</v>
      </c>
    </row>
    <row r="155" spans="1:6" ht="30" x14ac:dyDescent="0.25">
      <c r="A155" s="32" t="s">
        <v>518</v>
      </c>
      <c r="B155" s="32" t="s">
        <v>519</v>
      </c>
      <c r="C155" s="32" t="s">
        <v>327</v>
      </c>
      <c r="D155" s="53"/>
      <c r="E155" s="53"/>
      <c r="F155" s="57">
        <f t="shared" si="2"/>
        <v>0</v>
      </c>
    </row>
    <row r="156" spans="1:6" x14ac:dyDescent="0.25">
      <c r="A156" s="32" t="s">
        <v>520</v>
      </c>
      <c r="B156" s="34" t="s">
        <v>124</v>
      </c>
      <c r="C156" s="32" t="s">
        <v>393</v>
      </c>
      <c r="D156" s="60">
        <v>8</v>
      </c>
      <c r="E156" s="56">
        <v>17315.259999999998</v>
      </c>
      <c r="F156" s="57">
        <f t="shared" si="2"/>
        <v>138522.07999999999</v>
      </c>
    </row>
    <row r="157" spans="1:6" x14ac:dyDescent="0.25">
      <c r="A157" s="32" t="s">
        <v>521</v>
      </c>
      <c r="B157" s="39" t="s">
        <v>522</v>
      </c>
      <c r="C157" s="32" t="s">
        <v>327</v>
      </c>
      <c r="D157" s="55">
        <v>5934</v>
      </c>
      <c r="E157" s="56">
        <v>8224.26</v>
      </c>
      <c r="F157" s="57">
        <f t="shared" si="2"/>
        <v>48802758.840000004</v>
      </c>
    </row>
    <row r="158" spans="1:6" x14ac:dyDescent="0.25">
      <c r="A158" s="32" t="s">
        <v>523</v>
      </c>
      <c r="B158" s="34" t="s">
        <v>126</v>
      </c>
      <c r="C158" s="32" t="s">
        <v>327</v>
      </c>
      <c r="D158" s="60">
        <v>34074</v>
      </c>
      <c r="E158" s="56">
        <v>5453.86</v>
      </c>
      <c r="F158" s="57">
        <f t="shared" si="2"/>
        <v>185834825.63999999</v>
      </c>
    </row>
    <row r="159" spans="1:6" x14ac:dyDescent="0.25">
      <c r="A159" s="32" t="s">
        <v>524</v>
      </c>
      <c r="B159" s="34" t="s">
        <v>127</v>
      </c>
      <c r="C159" s="32" t="s">
        <v>327</v>
      </c>
      <c r="D159" s="60">
        <v>2463</v>
      </c>
      <c r="E159" s="56">
        <v>5453.86</v>
      </c>
      <c r="F159" s="57">
        <f t="shared" si="2"/>
        <v>13432857.18</v>
      </c>
    </row>
    <row r="160" spans="1:6" x14ac:dyDescent="0.25">
      <c r="A160" s="32" t="s">
        <v>525</v>
      </c>
      <c r="B160" s="34" t="s">
        <v>128</v>
      </c>
      <c r="C160" s="32" t="s">
        <v>327</v>
      </c>
      <c r="D160" s="60">
        <v>454</v>
      </c>
      <c r="E160" s="56">
        <v>14284.93</v>
      </c>
      <c r="F160" s="57">
        <f t="shared" si="2"/>
        <v>6485358.2199999997</v>
      </c>
    </row>
    <row r="161" spans="1:6" x14ac:dyDescent="0.25">
      <c r="A161" s="32" t="s">
        <v>526</v>
      </c>
      <c r="B161" s="32" t="s">
        <v>527</v>
      </c>
      <c r="C161" s="32" t="s">
        <v>528</v>
      </c>
      <c r="D161" s="32"/>
      <c r="E161" s="32"/>
      <c r="F161" s="33">
        <f t="shared" si="2"/>
        <v>0</v>
      </c>
    </row>
    <row r="162" spans="1:6" ht="30" x14ac:dyDescent="0.25">
      <c r="A162" s="32" t="s">
        <v>529</v>
      </c>
      <c r="B162" s="39" t="s">
        <v>168</v>
      </c>
      <c r="C162" s="32" t="s">
        <v>303</v>
      </c>
      <c r="D162" s="55">
        <v>83</v>
      </c>
      <c r="E162" s="56">
        <v>30500</v>
      </c>
      <c r="F162" s="57">
        <f t="shared" si="2"/>
        <v>2531500</v>
      </c>
    </row>
    <row r="163" spans="1:6" ht="30" x14ac:dyDescent="0.25">
      <c r="A163" s="32" t="s">
        <v>530</v>
      </c>
      <c r="B163" s="34" t="s">
        <v>147</v>
      </c>
      <c r="C163" s="32" t="s">
        <v>327</v>
      </c>
      <c r="D163" s="60">
        <v>344</v>
      </c>
      <c r="E163" s="56">
        <v>4608.33</v>
      </c>
      <c r="F163" s="57">
        <f t="shared" si="2"/>
        <v>1585265.52</v>
      </c>
    </row>
    <row r="164" spans="1:6" ht="30" x14ac:dyDescent="0.25">
      <c r="A164" s="32" t="s">
        <v>531</v>
      </c>
      <c r="B164" s="32" t="s">
        <v>532</v>
      </c>
      <c r="C164" s="32" t="s">
        <v>528</v>
      </c>
      <c r="D164" s="53"/>
      <c r="E164" s="53"/>
      <c r="F164" s="57">
        <f t="shared" si="2"/>
        <v>0</v>
      </c>
    </row>
    <row r="165" spans="1:6" ht="30" x14ac:dyDescent="0.25">
      <c r="A165" s="41" t="s">
        <v>533</v>
      </c>
      <c r="B165" s="34" t="s">
        <v>140</v>
      </c>
      <c r="C165" s="41" t="s">
        <v>528</v>
      </c>
      <c r="D165" s="60">
        <v>1328</v>
      </c>
      <c r="E165" s="56">
        <v>186415</v>
      </c>
      <c r="F165" s="57">
        <f t="shared" si="2"/>
        <v>247559120</v>
      </c>
    </row>
    <row r="166" spans="1:6" ht="30" x14ac:dyDescent="0.25">
      <c r="A166" s="41" t="s">
        <v>534</v>
      </c>
      <c r="B166" s="34" t="s">
        <v>142</v>
      </c>
      <c r="C166" s="41" t="s">
        <v>528</v>
      </c>
      <c r="D166" s="60">
        <v>1150</v>
      </c>
      <c r="E166" s="56">
        <v>183667</v>
      </c>
      <c r="F166" s="57">
        <f t="shared" si="2"/>
        <v>211217050</v>
      </c>
    </row>
    <row r="167" spans="1:6" ht="30" x14ac:dyDescent="0.25">
      <c r="A167" s="41" t="s">
        <v>535</v>
      </c>
      <c r="B167" s="34" t="s">
        <v>141</v>
      </c>
      <c r="C167" s="41" t="s">
        <v>528</v>
      </c>
      <c r="D167" s="60">
        <v>2539</v>
      </c>
      <c r="E167" s="56">
        <v>186415</v>
      </c>
      <c r="F167" s="57">
        <f t="shared" si="2"/>
        <v>473307685</v>
      </c>
    </row>
    <row r="168" spans="1:6" ht="30" x14ac:dyDescent="0.25">
      <c r="A168" s="32" t="s">
        <v>536</v>
      </c>
      <c r="B168" s="32" t="s">
        <v>149</v>
      </c>
      <c r="C168" s="32" t="s">
        <v>528</v>
      </c>
      <c r="D168" s="53"/>
      <c r="E168" s="53"/>
      <c r="F168" s="57">
        <f t="shared" si="2"/>
        <v>0</v>
      </c>
    </row>
    <row r="169" spans="1:6" ht="30" x14ac:dyDescent="0.25">
      <c r="A169" s="32" t="s">
        <v>537</v>
      </c>
      <c r="B169" s="32" t="s">
        <v>143</v>
      </c>
      <c r="C169" s="32" t="s">
        <v>528</v>
      </c>
      <c r="D169" s="53"/>
      <c r="E169" s="53"/>
      <c r="F169" s="57">
        <f t="shared" si="2"/>
        <v>0</v>
      </c>
    </row>
    <row r="170" spans="1:6" ht="30" x14ac:dyDescent="0.25">
      <c r="A170" s="32" t="s">
        <v>538</v>
      </c>
      <c r="B170" s="34" t="s">
        <v>144</v>
      </c>
      <c r="C170" s="32" t="s">
        <v>528</v>
      </c>
      <c r="D170" s="60">
        <v>583</v>
      </c>
      <c r="E170" s="56">
        <v>184320</v>
      </c>
      <c r="F170" s="57">
        <f t="shared" si="2"/>
        <v>107458560</v>
      </c>
    </row>
    <row r="171" spans="1:6" ht="30" x14ac:dyDescent="0.25">
      <c r="A171" s="32" t="s">
        <v>539</v>
      </c>
      <c r="B171" s="34" t="s">
        <v>146</v>
      </c>
      <c r="C171" s="32" t="s">
        <v>528</v>
      </c>
      <c r="D171" s="60">
        <v>115</v>
      </c>
      <c r="E171" s="56">
        <v>191651</v>
      </c>
      <c r="F171" s="57">
        <f t="shared" si="2"/>
        <v>22039865</v>
      </c>
    </row>
    <row r="172" spans="1:6" ht="30" x14ac:dyDescent="0.25">
      <c r="A172" s="32" t="s">
        <v>540</v>
      </c>
      <c r="B172" s="34" t="s">
        <v>149</v>
      </c>
      <c r="C172" s="32" t="s">
        <v>327</v>
      </c>
      <c r="D172" s="60">
        <v>1236</v>
      </c>
      <c r="E172" s="56">
        <v>16000</v>
      </c>
      <c r="F172" s="57">
        <f t="shared" si="2"/>
        <v>19776000</v>
      </c>
    </row>
    <row r="173" spans="1:6" ht="30" x14ac:dyDescent="0.25">
      <c r="A173" s="32" t="s">
        <v>541</v>
      </c>
      <c r="B173" s="32" t="s">
        <v>542</v>
      </c>
      <c r="C173" s="32" t="s">
        <v>528</v>
      </c>
      <c r="D173" s="53"/>
      <c r="E173" s="53"/>
      <c r="F173" s="57">
        <f t="shared" si="2"/>
        <v>0</v>
      </c>
    </row>
    <row r="174" spans="1:6" ht="30" x14ac:dyDescent="0.25">
      <c r="A174" s="32" t="s">
        <v>543</v>
      </c>
      <c r="B174" s="32" t="s">
        <v>148</v>
      </c>
      <c r="C174" s="32" t="s">
        <v>303</v>
      </c>
      <c r="D174" s="53"/>
      <c r="E174" s="53"/>
      <c r="F174" s="57">
        <f t="shared" si="2"/>
        <v>0</v>
      </c>
    </row>
    <row r="175" spans="1:6" ht="30" x14ac:dyDescent="0.25">
      <c r="A175" s="32" t="s">
        <v>544</v>
      </c>
      <c r="B175" s="32" t="s">
        <v>146</v>
      </c>
      <c r="C175" s="32" t="s">
        <v>327</v>
      </c>
      <c r="D175" s="53"/>
      <c r="E175" s="53"/>
      <c r="F175" s="57">
        <f t="shared" si="2"/>
        <v>0</v>
      </c>
    </row>
    <row r="176" spans="1:6" ht="30" x14ac:dyDescent="0.25">
      <c r="A176" s="32" t="s">
        <v>545</v>
      </c>
      <c r="B176" s="32" t="s">
        <v>546</v>
      </c>
      <c r="C176" s="32" t="s">
        <v>528</v>
      </c>
      <c r="D176" s="53"/>
      <c r="E176" s="53"/>
      <c r="F176" s="57">
        <f t="shared" si="2"/>
        <v>0</v>
      </c>
    </row>
    <row r="177" spans="1:6" ht="30" x14ac:dyDescent="0.25">
      <c r="A177" s="34" t="s">
        <v>547</v>
      </c>
      <c r="B177" s="34" t="s">
        <v>548</v>
      </c>
      <c r="C177" s="34" t="s">
        <v>528</v>
      </c>
      <c r="D177" s="60">
        <v>810</v>
      </c>
      <c r="E177" s="56">
        <v>115200</v>
      </c>
      <c r="F177" s="57">
        <f t="shared" si="2"/>
        <v>93312000</v>
      </c>
    </row>
    <row r="178" spans="1:6" ht="30" x14ac:dyDescent="0.25">
      <c r="A178" s="34" t="s">
        <v>549</v>
      </c>
      <c r="B178" s="34" t="s">
        <v>550</v>
      </c>
      <c r="C178" s="34" t="s">
        <v>528</v>
      </c>
      <c r="D178" s="60">
        <v>280</v>
      </c>
      <c r="E178" s="56">
        <v>267055</v>
      </c>
      <c r="F178" s="57">
        <f t="shared" si="2"/>
        <v>74775400</v>
      </c>
    </row>
    <row r="179" spans="1:6" ht="30" x14ac:dyDescent="0.25">
      <c r="A179" s="32" t="s">
        <v>551</v>
      </c>
      <c r="B179" s="34" t="s">
        <v>139</v>
      </c>
      <c r="C179" s="32" t="s">
        <v>528</v>
      </c>
      <c r="D179" s="60">
        <v>188</v>
      </c>
      <c r="E179" s="56">
        <v>183667</v>
      </c>
      <c r="F179" s="57">
        <f t="shared" si="2"/>
        <v>34529396</v>
      </c>
    </row>
    <row r="180" spans="1:6" ht="30" x14ac:dyDescent="0.25">
      <c r="A180" s="32" t="s">
        <v>552</v>
      </c>
      <c r="B180" s="32" t="s">
        <v>553</v>
      </c>
      <c r="C180" s="32" t="s">
        <v>528</v>
      </c>
      <c r="D180" s="53"/>
      <c r="E180" s="53"/>
      <c r="F180" s="57">
        <f t="shared" si="2"/>
        <v>0</v>
      </c>
    </row>
    <row r="181" spans="1:6" ht="30" x14ac:dyDescent="0.25">
      <c r="A181" s="32" t="s">
        <v>554</v>
      </c>
      <c r="B181" s="32" t="s">
        <v>553</v>
      </c>
      <c r="C181" s="32" t="s">
        <v>303</v>
      </c>
      <c r="D181" s="53"/>
      <c r="E181" s="53"/>
      <c r="F181" s="57">
        <f t="shared" si="2"/>
        <v>0</v>
      </c>
    </row>
    <row r="182" spans="1:6" ht="30" x14ac:dyDescent="0.25">
      <c r="A182" s="41" t="s">
        <v>555</v>
      </c>
      <c r="B182" s="34" t="s">
        <v>556</v>
      </c>
      <c r="C182" s="41" t="s">
        <v>528</v>
      </c>
      <c r="D182" s="60">
        <v>2</v>
      </c>
      <c r="E182" s="56">
        <v>184473</v>
      </c>
      <c r="F182" s="57">
        <f t="shared" si="2"/>
        <v>368946</v>
      </c>
    </row>
    <row r="183" spans="1:6" ht="30" x14ac:dyDescent="0.25">
      <c r="A183" s="32" t="s">
        <v>557</v>
      </c>
      <c r="B183" s="34" t="s">
        <v>151</v>
      </c>
      <c r="C183" s="32" t="s">
        <v>528</v>
      </c>
      <c r="D183" s="60">
        <v>319</v>
      </c>
      <c r="E183" s="56">
        <v>189655</v>
      </c>
      <c r="F183" s="57">
        <f t="shared" si="2"/>
        <v>60499945</v>
      </c>
    </row>
    <row r="184" spans="1:6" ht="30" x14ac:dyDescent="0.25">
      <c r="A184" s="32" t="s">
        <v>558</v>
      </c>
      <c r="B184" s="34" t="s">
        <v>559</v>
      </c>
      <c r="C184" s="32" t="s">
        <v>528</v>
      </c>
      <c r="D184" s="60">
        <v>50</v>
      </c>
      <c r="E184" s="56">
        <v>170182</v>
      </c>
      <c r="F184" s="57">
        <f t="shared" si="2"/>
        <v>8509100</v>
      </c>
    </row>
    <row r="185" spans="1:6" ht="30" x14ac:dyDescent="0.25">
      <c r="A185" s="32" t="s">
        <v>560</v>
      </c>
      <c r="B185" s="32" t="s">
        <v>561</v>
      </c>
      <c r="C185" s="32" t="s">
        <v>528</v>
      </c>
      <c r="D185" s="53"/>
      <c r="E185" s="53"/>
      <c r="F185" s="57">
        <f t="shared" si="2"/>
        <v>0</v>
      </c>
    </row>
    <row r="186" spans="1:6" x14ac:dyDescent="0.25">
      <c r="A186" s="32" t="s">
        <v>562</v>
      </c>
      <c r="B186" s="32" t="s">
        <v>563</v>
      </c>
      <c r="C186" s="32" t="s">
        <v>327</v>
      </c>
      <c r="D186" s="53"/>
      <c r="E186" s="53"/>
      <c r="F186" s="57">
        <f t="shared" si="2"/>
        <v>0</v>
      </c>
    </row>
    <row r="187" spans="1:6" s="43" customFormat="1" ht="30" x14ac:dyDescent="0.25">
      <c r="A187" s="42" t="s">
        <v>564</v>
      </c>
      <c r="B187" s="42" t="s">
        <v>40</v>
      </c>
      <c r="C187" s="42" t="s">
        <v>327</v>
      </c>
      <c r="D187" s="78">
        <v>2430</v>
      </c>
      <c r="E187" s="52">
        <v>40050</v>
      </c>
      <c r="F187" s="57">
        <f t="shared" si="2"/>
        <v>97321500</v>
      </c>
    </row>
    <row r="188" spans="1:6" x14ac:dyDescent="0.25">
      <c r="A188" s="32" t="s">
        <v>565</v>
      </c>
      <c r="B188" s="32" t="s">
        <v>43</v>
      </c>
      <c r="C188" s="32" t="s">
        <v>303</v>
      </c>
      <c r="D188" s="53"/>
      <c r="E188" s="53"/>
      <c r="F188" s="57">
        <f t="shared" si="2"/>
        <v>0</v>
      </c>
    </row>
    <row r="189" spans="1:6" ht="30" x14ac:dyDescent="0.25">
      <c r="A189" s="34" t="s">
        <v>566</v>
      </c>
      <c r="B189" s="34" t="s">
        <v>44</v>
      </c>
      <c r="C189" s="34" t="s">
        <v>327</v>
      </c>
      <c r="D189" s="60">
        <v>9455</v>
      </c>
      <c r="E189" s="56">
        <v>36184</v>
      </c>
      <c r="F189" s="57">
        <f t="shared" si="2"/>
        <v>342119720</v>
      </c>
    </row>
    <row r="190" spans="1:6" ht="30" x14ac:dyDescent="0.25">
      <c r="A190" s="34" t="s">
        <v>567</v>
      </c>
      <c r="B190" s="34" t="s">
        <v>45</v>
      </c>
      <c r="C190" s="34" t="s">
        <v>327</v>
      </c>
      <c r="D190" s="60">
        <v>95</v>
      </c>
      <c r="E190" s="56">
        <v>36184</v>
      </c>
      <c r="F190" s="57">
        <f t="shared" si="2"/>
        <v>3437480</v>
      </c>
    </row>
    <row r="191" spans="1:6" ht="30" x14ac:dyDescent="0.25">
      <c r="A191" s="34" t="s">
        <v>568</v>
      </c>
      <c r="B191" s="34" t="s">
        <v>46</v>
      </c>
      <c r="C191" s="34" t="s">
        <v>327</v>
      </c>
      <c r="D191" s="60">
        <v>65</v>
      </c>
      <c r="E191" s="56">
        <v>36184</v>
      </c>
      <c r="F191" s="57">
        <f t="shared" si="2"/>
        <v>2351960</v>
      </c>
    </row>
    <row r="192" spans="1:6" ht="30" x14ac:dyDescent="0.25">
      <c r="A192" s="32" t="s">
        <v>569</v>
      </c>
      <c r="B192" s="32" t="s">
        <v>570</v>
      </c>
      <c r="C192" s="32" t="s">
        <v>327</v>
      </c>
      <c r="D192" s="53"/>
      <c r="E192" s="53"/>
      <c r="F192" s="57">
        <f t="shared" si="2"/>
        <v>0</v>
      </c>
    </row>
    <row r="193" spans="1:6" ht="30" x14ac:dyDescent="0.25">
      <c r="A193" s="32" t="s">
        <v>571</v>
      </c>
      <c r="B193" s="34" t="s">
        <v>572</v>
      </c>
      <c r="C193" s="32" t="s">
        <v>528</v>
      </c>
      <c r="D193" s="60">
        <v>123</v>
      </c>
      <c r="E193" s="56">
        <v>234589</v>
      </c>
      <c r="F193" s="57">
        <f t="shared" si="2"/>
        <v>28854447</v>
      </c>
    </row>
    <row r="194" spans="1:6" ht="45" x14ac:dyDescent="0.25">
      <c r="A194" s="32" t="s">
        <v>573</v>
      </c>
      <c r="B194" s="34" t="s">
        <v>574</v>
      </c>
      <c r="C194" s="32" t="s">
        <v>528</v>
      </c>
      <c r="D194" s="60">
        <v>117</v>
      </c>
      <c r="E194" s="56">
        <v>167564</v>
      </c>
      <c r="F194" s="57">
        <f t="shared" si="2"/>
        <v>19604988</v>
      </c>
    </row>
    <row r="195" spans="1:6" ht="30" x14ac:dyDescent="0.25">
      <c r="A195" s="32" t="s">
        <v>575</v>
      </c>
      <c r="B195" s="41" t="s">
        <v>155</v>
      </c>
      <c r="C195" s="32" t="s">
        <v>528</v>
      </c>
      <c r="D195" s="32"/>
      <c r="E195" s="32"/>
      <c r="F195" s="33">
        <f t="shared" si="2"/>
        <v>0</v>
      </c>
    </row>
    <row r="196" spans="1:6" ht="30" x14ac:dyDescent="0.25">
      <c r="A196" s="32" t="s">
        <v>576</v>
      </c>
      <c r="B196" s="34" t="s">
        <v>577</v>
      </c>
      <c r="C196" s="32" t="s">
        <v>528</v>
      </c>
      <c r="D196" s="60">
        <v>70</v>
      </c>
      <c r="E196" s="56">
        <v>234589</v>
      </c>
      <c r="F196" s="57">
        <f t="shared" si="2"/>
        <v>16421230</v>
      </c>
    </row>
    <row r="197" spans="1:6" ht="30" x14ac:dyDescent="0.25">
      <c r="A197" s="32" t="s">
        <v>578</v>
      </c>
      <c r="B197" s="39" t="s">
        <v>161</v>
      </c>
      <c r="C197" s="32" t="s">
        <v>528</v>
      </c>
      <c r="D197" s="55">
        <v>92</v>
      </c>
      <c r="E197" s="56">
        <v>234589</v>
      </c>
      <c r="F197" s="57">
        <f t="shared" si="2"/>
        <v>21582188</v>
      </c>
    </row>
    <row r="198" spans="1:6" ht="45" x14ac:dyDescent="0.25">
      <c r="A198" s="32" t="s">
        <v>579</v>
      </c>
      <c r="B198" s="32" t="s">
        <v>580</v>
      </c>
      <c r="C198" s="32" t="s">
        <v>528</v>
      </c>
      <c r="D198" s="53"/>
      <c r="E198" s="53"/>
      <c r="F198" s="57">
        <f t="shared" ref="F198:F261" si="3">D198*E198</f>
        <v>0</v>
      </c>
    </row>
    <row r="199" spans="1:6" ht="30" x14ac:dyDescent="0.25">
      <c r="A199" s="32" t="s">
        <v>581</v>
      </c>
      <c r="B199" s="34" t="s">
        <v>582</v>
      </c>
      <c r="C199" s="32" t="s">
        <v>528</v>
      </c>
      <c r="D199" s="36">
        <v>84</v>
      </c>
      <c r="E199" s="38">
        <v>234589</v>
      </c>
      <c r="F199" s="33">
        <f t="shared" si="3"/>
        <v>19705476</v>
      </c>
    </row>
    <row r="200" spans="1:6" ht="30" x14ac:dyDescent="0.25">
      <c r="A200" s="32" t="s">
        <v>583</v>
      </c>
      <c r="B200" s="34" t="s">
        <v>156</v>
      </c>
      <c r="C200" s="32" t="s">
        <v>528</v>
      </c>
      <c r="D200" s="36">
        <v>137</v>
      </c>
      <c r="E200" s="38">
        <v>234589</v>
      </c>
      <c r="F200" s="33">
        <f t="shared" si="3"/>
        <v>32138693</v>
      </c>
    </row>
    <row r="201" spans="1:6" ht="30" x14ac:dyDescent="0.25">
      <c r="A201" s="32" t="s">
        <v>584</v>
      </c>
      <c r="B201" s="34" t="s">
        <v>157</v>
      </c>
      <c r="C201" s="32" t="s">
        <v>528</v>
      </c>
      <c r="D201" s="36">
        <v>100</v>
      </c>
      <c r="E201" s="38">
        <v>234589</v>
      </c>
      <c r="F201" s="33">
        <f t="shared" si="3"/>
        <v>23458900</v>
      </c>
    </row>
    <row r="202" spans="1:6" ht="30" x14ac:dyDescent="0.25">
      <c r="A202" s="32" t="s">
        <v>585</v>
      </c>
      <c r="B202" s="34" t="s">
        <v>586</v>
      </c>
      <c r="C202" s="32" t="s">
        <v>528</v>
      </c>
      <c r="D202" s="36">
        <v>351</v>
      </c>
      <c r="E202" s="38">
        <v>115200</v>
      </c>
      <c r="F202" s="33">
        <f t="shared" si="3"/>
        <v>40435200</v>
      </c>
    </row>
    <row r="203" spans="1:6" ht="30" x14ac:dyDescent="0.25">
      <c r="A203" s="32" t="s">
        <v>587</v>
      </c>
      <c r="B203" s="39" t="s">
        <v>163</v>
      </c>
      <c r="C203" s="32" t="s">
        <v>528</v>
      </c>
      <c r="D203" s="40">
        <v>1286</v>
      </c>
      <c r="E203" s="38">
        <v>319418</v>
      </c>
      <c r="F203" s="33">
        <f t="shared" si="3"/>
        <v>410771548</v>
      </c>
    </row>
    <row r="204" spans="1:6" ht="30" x14ac:dyDescent="0.25">
      <c r="A204" s="32" t="s">
        <v>588</v>
      </c>
      <c r="B204" s="32" t="s">
        <v>167</v>
      </c>
      <c r="C204" s="32" t="s">
        <v>528</v>
      </c>
      <c r="D204" s="32"/>
      <c r="E204" s="32"/>
      <c r="F204" s="33">
        <f t="shared" si="3"/>
        <v>0</v>
      </c>
    </row>
    <row r="205" spans="1:6" ht="30" x14ac:dyDescent="0.25">
      <c r="A205" s="32" t="s">
        <v>589</v>
      </c>
      <c r="B205" s="32" t="s">
        <v>168</v>
      </c>
      <c r="C205" s="32" t="s">
        <v>528</v>
      </c>
      <c r="D205" s="32"/>
      <c r="E205" s="32"/>
      <c r="F205" s="33">
        <f t="shared" si="3"/>
        <v>0</v>
      </c>
    </row>
    <row r="206" spans="1:6" ht="30" x14ac:dyDescent="0.25">
      <c r="A206" s="32" t="s">
        <v>590</v>
      </c>
      <c r="B206" s="32" t="s">
        <v>164</v>
      </c>
      <c r="C206" s="32" t="s">
        <v>528</v>
      </c>
      <c r="D206" s="32"/>
      <c r="E206" s="32"/>
      <c r="F206" s="33">
        <f t="shared" si="3"/>
        <v>0</v>
      </c>
    </row>
    <row r="207" spans="1:6" ht="30" x14ac:dyDescent="0.25">
      <c r="A207" s="32" t="s">
        <v>591</v>
      </c>
      <c r="B207" s="39" t="s">
        <v>165</v>
      </c>
      <c r="C207" s="32" t="s">
        <v>528</v>
      </c>
      <c r="D207" s="40">
        <v>94</v>
      </c>
      <c r="E207" s="38">
        <v>0</v>
      </c>
      <c r="F207" s="33">
        <f t="shared" si="3"/>
        <v>0</v>
      </c>
    </row>
    <row r="208" spans="1:6" ht="30" x14ac:dyDescent="0.25">
      <c r="A208" s="32" t="s">
        <v>592</v>
      </c>
      <c r="B208" s="32" t="s">
        <v>166</v>
      </c>
      <c r="C208" s="32" t="s">
        <v>528</v>
      </c>
      <c r="D208" s="32"/>
      <c r="E208" s="32"/>
      <c r="F208" s="33">
        <f t="shared" si="3"/>
        <v>0</v>
      </c>
    </row>
    <row r="209" spans="1:8" ht="30" x14ac:dyDescent="0.25">
      <c r="A209" s="32" t="s">
        <v>593</v>
      </c>
      <c r="B209" s="32" t="s">
        <v>171</v>
      </c>
      <c r="C209" s="32" t="s">
        <v>528</v>
      </c>
      <c r="D209" s="32"/>
      <c r="E209" s="32"/>
      <c r="F209" s="33">
        <f t="shared" si="3"/>
        <v>0</v>
      </c>
    </row>
    <row r="210" spans="1:8" ht="45" x14ac:dyDescent="0.25">
      <c r="A210" s="32" t="s">
        <v>594</v>
      </c>
      <c r="B210" s="39" t="s">
        <v>172</v>
      </c>
      <c r="C210" s="32" t="s">
        <v>528</v>
      </c>
      <c r="D210" s="55">
        <v>489</v>
      </c>
      <c r="E210" s="56">
        <v>188509</v>
      </c>
      <c r="F210" s="57">
        <f t="shared" si="3"/>
        <v>92180901</v>
      </c>
    </row>
    <row r="211" spans="1:8" ht="30" x14ac:dyDescent="0.25">
      <c r="A211" s="32" t="s">
        <v>595</v>
      </c>
      <c r="B211" s="39" t="s">
        <v>173</v>
      </c>
      <c r="C211" s="32" t="s">
        <v>528</v>
      </c>
      <c r="D211" s="55">
        <v>509</v>
      </c>
      <c r="E211" s="56">
        <v>188509</v>
      </c>
      <c r="F211" s="57">
        <f t="shared" si="3"/>
        <v>95951081</v>
      </c>
    </row>
    <row r="212" spans="1:8" ht="30" x14ac:dyDescent="0.25">
      <c r="A212" s="32" t="s">
        <v>596</v>
      </c>
      <c r="B212" s="32" t="s">
        <v>145</v>
      </c>
      <c r="C212" s="32" t="s">
        <v>528</v>
      </c>
      <c r="D212" s="53"/>
      <c r="E212" s="53"/>
      <c r="F212" s="57">
        <f t="shared" si="3"/>
        <v>0</v>
      </c>
    </row>
    <row r="213" spans="1:8" ht="30" x14ac:dyDescent="0.25">
      <c r="A213" s="32" t="s">
        <v>597</v>
      </c>
      <c r="B213" s="32" t="s">
        <v>598</v>
      </c>
      <c r="C213" s="32" t="s">
        <v>528</v>
      </c>
      <c r="D213" s="53"/>
      <c r="E213" s="53"/>
      <c r="F213" s="57">
        <f t="shared" si="3"/>
        <v>0</v>
      </c>
    </row>
    <row r="214" spans="1:8" ht="30" x14ac:dyDescent="0.25">
      <c r="A214" s="32" t="s">
        <v>599</v>
      </c>
      <c r="B214" s="34" t="s">
        <v>600</v>
      </c>
      <c r="C214" s="32" t="s">
        <v>528</v>
      </c>
      <c r="D214" s="60">
        <v>144</v>
      </c>
      <c r="E214" s="56">
        <v>157091</v>
      </c>
      <c r="F214" s="57">
        <f t="shared" si="3"/>
        <v>22621104</v>
      </c>
    </row>
    <row r="215" spans="1:8" ht="45" x14ac:dyDescent="0.25">
      <c r="A215" s="32" t="s">
        <v>601</v>
      </c>
      <c r="B215" s="34" t="s">
        <v>602</v>
      </c>
      <c r="C215" s="32" t="s">
        <v>528</v>
      </c>
      <c r="D215" s="60">
        <v>149</v>
      </c>
      <c r="E215" s="56">
        <v>157091</v>
      </c>
      <c r="F215" s="57">
        <f t="shared" si="3"/>
        <v>23406559</v>
      </c>
    </row>
    <row r="216" spans="1:8" ht="45" x14ac:dyDescent="0.25">
      <c r="A216" s="32" t="s">
        <v>603</v>
      </c>
      <c r="B216" s="32" t="s">
        <v>604</v>
      </c>
      <c r="C216" s="32" t="s">
        <v>528</v>
      </c>
      <c r="D216" s="32"/>
      <c r="E216" s="32"/>
      <c r="F216" s="33">
        <f t="shared" si="3"/>
        <v>0</v>
      </c>
    </row>
    <row r="217" spans="1:8" x14ac:dyDescent="0.25">
      <c r="A217" s="32" t="s">
        <v>605</v>
      </c>
      <c r="B217" s="32" t="s">
        <v>606</v>
      </c>
      <c r="C217" s="32" t="s">
        <v>528</v>
      </c>
      <c r="D217" s="32"/>
      <c r="E217" s="32"/>
      <c r="F217" s="33">
        <f t="shared" si="3"/>
        <v>0</v>
      </c>
    </row>
    <row r="218" spans="1:8" ht="30" x14ac:dyDescent="0.25">
      <c r="A218" s="32" t="s">
        <v>607</v>
      </c>
      <c r="B218" s="32" t="s">
        <v>608</v>
      </c>
      <c r="C218" s="32" t="s">
        <v>528</v>
      </c>
      <c r="D218" s="32"/>
      <c r="E218" s="32"/>
      <c r="F218" s="33">
        <f t="shared" si="3"/>
        <v>0</v>
      </c>
    </row>
    <row r="219" spans="1:8" ht="30" x14ac:dyDescent="0.25">
      <c r="A219" s="32" t="s">
        <v>609</v>
      </c>
      <c r="B219" s="32" t="s">
        <v>610</v>
      </c>
      <c r="C219" s="32" t="s">
        <v>528</v>
      </c>
      <c r="D219" s="32"/>
      <c r="E219" s="32"/>
      <c r="F219" s="33">
        <f t="shared" si="3"/>
        <v>0</v>
      </c>
    </row>
    <row r="220" spans="1:8" ht="30" x14ac:dyDescent="0.25">
      <c r="A220" s="32" t="s">
        <v>611</v>
      </c>
      <c r="B220" s="32" t="s">
        <v>147</v>
      </c>
      <c r="C220" s="32" t="s">
        <v>528</v>
      </c>
      <c r="D220" s="32"/>
      <c r="E220" s="32"/>
      <c r="F220" s="33">
        <f t="shared" si="3"/>
        <v>0</v>
      </c>
    </row>
    <row r="221" spans="1:8" ht="30" x14ac:dyDescent="0.25">
      <c r="A221" s="32" t="s">
        <v>612</v>
      </c>
      <c r="B221" s="32" t="s">
        <v>613</v>
      </c>
      <c r="C221" s="32" t="s">
        <v>528</v>
      </c>
      <c r="D221" s="32"/>
      <c r="E221" s="32"/>
      <c r="F221" s="33">
        <f t="shared" si="3"/>
        <v>0</v>
      </c>
      <c r="H221" s="44"/>
    </row>
    <row r="222" spans="1:8" ht="30" x14ac:dyDescent="0.25">
      <c r="A222" s="32" t="s">
        <v>614</v>
      </c>
      <c r="B222" s="32" t="s">
        <v>148</v>
      </c>
      <c r="C222" s="32" t="s">
        <v>528</v>
      </c>
      <c r="D222" s="32"/>
      <c r="E222" s="32"/>
      <c r="F222" s="33">
        <f t="shared" si="3"/>
        <v>0</v>
      </c>
    </row>
    <row r="223" spans="1:8" ht="30" x14ac:dyDescent="0.25">
      <c r="A223" s="32" t="s">
        <v>615</v>
      </c>
      <c r="B223" s="32" t="s">
        <v>616</v>
      </c>
      <c r="C223" s="32" t="s">
        <v>528</v>
      </c>
      <c r="D223" s="32"/>
      <c r="E223" s="32"/>
      <c r="F223" s="33">
        <f t="shared" si="3"/>
        <v>0</v>
      </c>
    </row>
    <row r="224" spans="1:8" ht="30" x14ac:dyDescent="0.25">
      <c r="A224" s="32" t="s">
        <v>617</v>
      </c>
      <c r="B224" s="32" t="s">
        <v>618</v>
      </c>
      <c r="C224" s="32" t="s">
        <v>528</v>
      </c>
      <c r="D224" s="32"/>
      <c r="E224" s="32"/>
      <c r="F224" s="33">
        <f t="shared" si="3"/>
        <v>0</v>
      </c>
    </row>
    <row r="225" spans="1:6" x14ac:dyDescent="0.25">
      <c r="A225" s="32" t="s">
        <v>619</v>
      </c>
      <c r="B225" s="32" t="s">
        <v>150</v>
      </c>
      <c r="C225" s="32" t="s">
        <v>528</v>
      </c>
      <c r="D225" s="32"/>
      <c r="E225" s="32"/>
      <c r="F225" s="33">
        <f t="shared" si="3"/>
        <v>0</v>
      </c>
    </row>
    <row r="226" spans="1:6" ht="30" x14ac:dyDescent="0.25">
      <c r="A226" s="32" t="s">
        <v>620</v>
      </c>
      <c r="B226" s="32" t="s">
        <v>153</v>
      </c>
      <c r="C226" s="32" t="s">
        <v>528</v>
      </c>
      <c r="D226" s="32"/>
      <c r="E226" s="32"/>
      <c r="F226" s="33">
        <f t="shared" si="3"/>
        <v>0</v>
      </c>
    </row>
    <row r="227" spans="1:6" ht="30" x14ac:dyDescent="0.25">
      <c r="A227" s="32" t="s">
        <v>621</v>
      </c>
      <c r="B227" s="39" t="s">
        <v>159</v>
      </c>
      <c r="C227" s="32" t="s">
        <v>528</v>
      </c>
      <c r="D227" s="40">
        <v>59</v>
      </c>
      <c r="E227" s="38">
        <v>264273</v>
      </c>
      <c r="F227" s="33">
        <f t="shared" si="3"/>
        <v>15592107</v>
      </c>
    </row>
    <row r="228" spans="1:6" ht="30" x14ac:dyDescent="0.25">
      <c r="A228" s="32" t="s">
        <v>622</v>
      </c>
      <c r="B228" s="39" t="s">
        <v>160</v>
      </c>
      <c r="C228" s="32" t="s">
        <v>528</v>
      </c>
      <c r="D228" s="40">
        <v>4</v>
      </c>
      <c r="E228" s="38">
        <v>264273</v>
      </c>
      <c r="F228" s="33">
        <f t="shared" si="3"/>
        <v>1057092</v>
      </c>
    </row>
    <row r="229" spans="1:6" ht="30" x14ac:dyDescent="0.25">
      <c r="A229" s="32" t="s">
        <v>623</v>
      </c>
      <c r="B229" s="32" t="s">
        <v>158</v>
      </c>
      <c r="C229" s="32" t="s">
        <v>528</v>
      </c>
      <c r="D229" s="32"/>
      <c r="E229" s="32"/>
      <c r="F229" s="33">
        <f t="shared" si="3"/>
        <v>0</v>
      </c>
    </row>
    <row r="230" spans="1:6" ht="30" x14ac:dyDescent="0.25">
      <c r="A230" s="32" t="s">
        <v>624</v>
      </c>
      <c r="B230" s="32" t="s">
        <v>625</v>
      </c>
      <c r="C230" s="32" t="s">
        <v>528</v>
      </c>
      <c r="D230" s="32"/>
      <c r="E230" s="32"/>
      <c r="F230" s="33">
        <f t="shared" si="3"/>
        <v>0</v>
      </c>
    </row>
    <row r="231" spans="1:6" ht="30" x14ac:dyDescent="0.25">
      <c r="A231" s="32" t="s">
        <v>626</v>
      </c>
      <c r="B231" s="32" t="s">
        <v>627</v>
      </c>
      <c r="C231" s="32" t="s">
        <v>528</v>
      </c>
      <c r="D231" s="32"/>
      <c r="E231" s="32"/>
      <c r="F231" s="33">
        <f t="shared" si="3"/>
        <v>0</v>
      </c>
    </row>
    <row r="232" spans="1:6" ht="30" x14ac:dyDescent="0.25">
      <c r="A232" s="32" t="s">
        <v>628</v>
      </c>
      <c r="B232" s="32" t="s">
        <v>629</v>
      </c>
      <c r="C232" s="32" t="s">
        <v>528</v>
      </c>
      <c r="D232" s="32"/>
      <c r="E232" s="32"/>
      <c r="F232" s="33">
        <f t="shared" si="3"/>
        <v>0</v>
      </c>
    </row>
    <row r="233" spans="1:6" ht="30" x14ac:dyDescent="0.25">
      <c r="A233" s="32" t="s">
        <v>630</v>
      </c>
      <c r="B233" s="32" t="s">
        <v>631</v>
      </c>
      <c r="C233" s="32" t="s">
        <v>528</v>
      </c>
      <c r="D233" s="32"/>
      <c r="E233" s="32"/>
      <c r="F233" s="33">
        <f t="shared" si="3"/>
        <v>0</v>
      </c>
    </row>
    <row r="234" spans="1:6" ht="30" x14ac:dyDescent="0.25">
      <c r="A234" s="32" t="s">
        <v>632</v>
      </c>
      <c r="B234" s="32" t="s">
        <v>633</v>
      </c>
      <c r="C234" s="32" t="s">
        <v>528</v>
      </c>
      <c r="D234" s="32"/>
      <c r="E234" s="32"/>
      <c r="F234" s="33">
        <f t="shared" si="3"/>
        <v>0</v>
      </c>
    </row>
    <row r="235" spans="1:6" ht="30" x14ac:dyDescent="0.25">
      <c r="A235" s="32" t="s">
        <v>634</v>
      </c>
      <c r="B235" s="39" t="s">
        <v>174</v>
      </c>
      <c r="C235" s="32" t="s">
        <v>528</v>
      </c>
      <c r="D235" s="55">
        <v>5</v>
      </c>
      <c r="E235" s="56">
        <v>274636</v>
      </c>
      <c r="F235" s="57">
        <f t="shared" si="3"/>
        <v>1373180</v>
      </c>
    </row>
    <row r="236" spans="1:6" x14ac:dyDescent="0.25">
      <c r="A236" s="32" t="s">
        <v>635</v>
      </c>
      <c r="B236" s="32" t="s">
        <v>162</v>
      </c>
      <c r="C236" s="32" t="s">
        <v>528</v>
      </c>
      <c r="D236" s="53"/>
      <c r="E236" s="53"/>
      <c r="F236" s="57">
        <f t="shared" si="3"/>
        <v>0</v>
      </c>
    </row>
    <row r="237" spans="1:6" ht="30" x14ac:dyDescent="0.25">
      <c r="A237" s="32" t="s">
        <v>636</v>
      </c>
      <c r="B237" s="32" t="s">
        <v>637</v>
      </c>
      <c r="C237" s="32" t="s">
        <v>528</v>
      </c>
      <c r="D237" s="53"/>
      <c r="E237" s="53"/>
      <c r="F237" s="57">
        <f t="shared" si="3"/>
        <v>0</v>
      </c>
    </row>
    <row r="238" spans="1:6" ht="30" x14ac:dyDescent="0.25">
      <c r="A238" s="32" t="s">
        <v>638</v>
      </c>
      <c r="B238" s="39" t="s">
        <v>169</v>
      </c>
      <c r="C238" s="32" t="s">
        <v>528</v>
      </c>
      <c r="D238" s="55">
        <v>670</v>
      </c>
      <c r="E238" s="56">
        <v>182083</v>
      </c>
      <c r="F238" s="57">
        <f t="shared" si="3"/>
        <v>121995610</v>
      </c>
    </row>
    <row r="239" spans="1:6" ht="30" x14ac:dyDescent="0.25">
      <c r="A239" s="32" t="s">
        <v>639</v>
      </c>
      <c r="B239" s="32" t="s">
        <v>152</v>
      </c>
      <c r="C239" s="32" t="s">
        <v>528</v>
      </c>
      <c r="D239" s="32"/>
      <c r="E239" s="32"/>
      <c r="F239" s="33">
        <f t="shared" si="3"/>
        <v>0</v>
      </c>
    </row>
    <row r="240" spans="1:6" x14ac:dyDescent="0.25">
      <c r="A240" s="32" t="s">
        <v>640</v>
      </c>
      <c r="B240" s="32" t="s">
        <v>641</v>
      </c>
      <c r="C240" s="32" t="s">
        <v>311</v>
      </c>
      <c r="D240" s="32"/>
      <c r="E240" s="32"/>
      <c r="F240" s="33">
        <f t="shared" si="3"/>
        <v>0</v>
      </c>
    </row>
    <row r="241" spans="1:6" x14ac:dyDescent="0.25">
      <c r="A241" s="32" t="s">
        <v>642</v>
      </c>
      <c r="B241" s="32" t="s">
        <v>643</v>
      </c>
      <c r="C241" s="32" t="s">
        <v>303</v>
      </c>
      <c r="D241" s="32"/>
      <c r="E241" s="32"/>
      <c r="F241" s="33">
        <f t="shared" si="3"/>
        <v>0</v>
      </c>
    </row>
    <row r="242" spans="1:6" x14ac:dyDescent="0.25">
      <c r="A242" s="32" t="s">
        <v>644</v>
      </c>
      <c r="B242" s="32" t="s">
        <v>645</v>
      </c>
      <c r="C242" s="32" t="s">
        <v>303</v>
      </c>
      <c r="D242" s="32"/>
      <c r="E242" s="32"/>
      <c r="F242" s="33">
        <f t="shared" si="3"/>
        <v>0</v>
      </c>
    </row>
    <row r="243" spans="1:6" ht="30" x14ac:dyDescent="0.25">
      <c r="A243" s="32" t="s">
        <v>646</v>
      </c>
      <c r="B243" s="39" t="s">
        <v>193</v>
      </c>
      <c r="C243" s="32" t="s">
        <v>528</v>
      </c>
      <c r="D243" s="40">
        <v>250</v>
      </c>
      <c r="E243" s="38">
        <v>213651.57</v>
      </c>
      <c r="F243" s="33">
        <f t="shared" si="3"/>
        <v>53412892.5</v>
      </c>
    </row>
    <row r="244" spans="1:6" x14ac:dyDescent="0.25">
      <c r="A244" s="32" t="s">
        <v>647</v>
      </c>
      <c r="B244" s="39" t="s">
        <v>195</v>
      </c>
      <c r="C244" s="32" t="s">
        <v>528</v>
      </c>
      <c r="D244" s="40">
        <v>9805</v>
      </c>
      <c r="E244" s="38">
        <v>213651.57</v>
      </c>
      <c r="F244" s="33">
        <f t="shared" si="3"/>
        <v>2094853643.8500001</v>
      </c>
    </row>
    <row r="245" spans="1:6" ht="30" x14ac:dyDescent="0.25">
      <c r="A245" s="32" t="s">
        <v>648</v>
      </c>
      <c r="B245" s="32" t="s">
        <v>649</v>
      </c>
      <c r="C245" s="32" t="s">
        <v>303</v>
      </c>
      <c r="D245" s="32"/>
      <c r="E245" s="32"/>
      <c r="F245" s="33">
        <f t="shared" si="3"/>
        <v>0</v>
      </c>
    </row>
    <row r="246" spans="1:6" x14ac:dyDescent="0.25">
      <c r="A246" s="32" t="s">
        <v>650</v>
      </c>
      <c r="B246" s="32" t="s">
        <v>651</v>
      </c>
      <c r="C246" s="32" t="s">
        <v>303</v>
      </c>
      <c r="D246" s="32"/>
      <c r="E246" s="32"/>
      <c r="F246" s="33">
        <f t="shared" si="3"/>
        <v>0</v>
      </c>
    </row>
    <row r="247" spans="1:6" x14ac:dyDescent="0.25">
      <c r="A247" s="32" t="s">
        <v>652</v>
      </c>
      <c r="B247" s="32" t="s">
        <v>653</v>
      </c>
      <c r="C247" s="32" t="s">
        <v>654</v>
      </c>
      <c r="D247" s="32"/>
      <c r="E247" s="32"/>
      <c r="F247" s="33">
        <f t="shared" si="3"/>
        <v>0</v>
      </c>
    </row>
    <row r="248" spans="1:6" ht="30" x14ac:dyDescent="0.25">
      <c r="A248" s="32" t="s">
        <v>655</v>
      </c>
      <c r="B248" s="32" t="s">
        <v>251</v>
      </c>
      <c r="C248" s="32" t="s">
        <v>327</v>
      </c>
      <c r="D248" s="32"/>
      <c r="E248" s="32"/>
      <c r="F248" s="33">
        <f t="shared" si="3"/>
        <v>0</v>
      </c>
    </row>
    <row r="249" spans="1:6" ht="30" x14ac:dyDescent="0.25">
      <c r="A249" s="32" t="s">
        <v>656</v>
      </c>
      <c r="B249" s="32" t="s">
        <v>252</v>
      </c>
      <c r="C249" s="32" t="s">
        <v>327</v>
      </c>
      <c r="D249" s="32"/>
      <c r="E249" s="32"/>
      <c r="F249" s="33">
        <f t="shared" si="3"/>
        <v>0</v>
      </c>
    </row>
    <row r="250" spans="1:6" ht="30" x14ac:dyDescent="0.25">
      <c r="A250" s="32" t="s">
        <v>657</v>
      </c>
      <c r="B250" s="32" t="s">
        <v>253</v>
      </c>
      <c r="C250" s="32" t="s">
        <v>327</v>
      </c>
      <c r="D250" s="32"/>
      <c r="E250" s="32"/>
      <c r="F250" s="33">
        <f t="shared" si="3"/>
        <v>0</v>
      </c>
    </row>
    <row r="251" spans="1:6" ht="30" x14ac:dyDescent="0.25">
      <c r="A251" s="32" t="s">
        <v>658</v>
      </c>
      <c r="B251" s="32" t="s">
        <v>659</v>
      </c>
      <c r="C251" s="32" t="s">
        <v>327</v>
      </c>
      <c r="D251" s="32"/>
      <c r="E251" s="32"/>
      <c r="F251" s="33">
        <f t="shared" si="3"/>
        <v>0</v>
      </c>
    </row>
    <row r="252" spans="1:6" x14ac:dyDescent="0.25">
      <c r="A252" s="32" t="s">
        <v>660</v>
      </c>
      <c r="B252" s="32" t="s">
        <v>254</v>
      </c>
      <c r="C252" s="32" t="s">
        <v>327</v>
      </c>
      <c r="D252" s="32"/>
      <c r="E252" s="32"/>
      <c r="F252" s="33">
        <f t="shared" si="3"/>
        <v>0</v>
      </c>
    </row>
    <row r="253" spans="1:6" x14ac:dyDescent="0.25">
      <c r="A253" s="32" t="s">
        <v>661</v>
      </c>
      <c r="B253" s="32" t="s">
        <v>662</v>
      </c>
      <c r="C253" s="32" t="s">
        <v>303</v>
      </c>
      <c r="D253" s="32"/>
      <c r="E253" s="32"/>
      <c r="F253" s="33">
        <f t="shared" si="3"/>
        <v>0</v>
      </c>
    </row>
    <row r="254" spans="1:6" x14ac:dyDescent="0.25">
      <c r="A254" s="32" t="s">
        <v>663</v>
      </c>
      <c r="B254" s="34" t="s">
        <v>260</v>
      </c>
      <c r="C254" s="32" t="s">
        <v>327</v>
      </c>
      <c r="D254" s="36">
        <v>7</v>
      </c>
      <c r="E254" s="38">
        <v>35040</v>
      </c>
      <c r="F254" s="33">
        <f t="shared" si="3"/>
        <v>245280</v>
      </c>
    </row>
    <row r="255" spans="1:6" x14ac:dyDescent="0.25">
      <c r="A255" s="32" t="s">
        <v>664</v>
      </c>
      <c r="B255" s="32" t="s">
        <v>261</v>
      </c>
      <c r="C255" s="32" t="s">
        <v>327</v>
      </c>
      <c r="D255" s="32"/>
      <c r="E255" s="32"/>
      <c r="F255" s="33">
        <f t="shared" si="3"/>
        <v>0</v>
      </c>
    </row>
    <row r="256" spans="1:6" x14ac:dyDescent="0.25">
      <c r="A256" s="32" t="s">
        <v>665</v>
      </c>
      <c r="B256" s="34" t="s">
        <v>262</v>
      </c>
      <c r="C256" s="32" t="s">
        <v>327</v>
      </c>
      <c r="D256" s="36">
        <v>4</v>
      </c>
      <c r="E256" s="38">
        <v>33060.370000000003</v>
      </c>
      <c r="F256" s="33">
        <f t="shared" si="3"/>
        <v>132241.48000000001</v>
      </c>
    </row>
    <row r="257" spans="1:6" x14ac:dyDescent="0.25">
      <c r="A257" s="32" t="s">
        <v>666</v>
      </c>
      <c r="B257" s="32" t="s">
        <v>263</v>
      </c>
      <c r="C257" s="32" t="s">
        <v>327</v>
      </c>
      <c r="D257" s="32"/>
      <c r="E257" s="32"/>
      <c r="F257" s="33">
        <f t="shared" si="3"/>
        <v>0</v>
      </c>
    </row>
    <row r="258" spans="1:6" ht="30" x14ac:dyDescent="0.25">
      <c r="A258" s="32" t="s">
        <v>667</v>
      </c>
      <c r="B258" s="32" t="s">
        <v>668</v>
      </c>
      <c r="C258" s="32" t="s">
        <v>327</v>
      </c>
      <c r="D258" s="32"/>
      <c r="E258" s="32"/>
      <c r="F258" s="33">
        <f t="shared" si="3"/>
        <v>0</v>
      </c>
    </row>
    <row r="259" spans="1:6" x14ac:dyDescent="0.25">
      <c r="A259" s="32" t="s">
        <v>669</v>
      </c>
      <c r="B259" s="32" t="s">
        <v>670</v>
      </c>
      <c r="C259" s="32" t="s">
        <v>327</v>
      </c>
      <c r="D259" s="32"/>
      <c r="E259" s="32"/>
      <c r="F259" s="33">
        <f t="shared" si="3"/>
        <v>0</v>
      </c>
    </row>
    <row r="260" spans="1:6" x14ac:dyDescent="0.25">
      <c r="A260" s="32" t="s">
        <v>671</v>
      </c>
      <c r="B260" s="32" t="s">
        <v>672</v>
      </c>
      <c r="C260" s="32" t="s">
        <v>327</v>
      </c>
      <c r="D260" s="32"/>
      <c r="E260" s="32"/>
      <c r="F260" s="33">
        <f t="shared" si="3"/>
        <v>0</v>
      </c>
    </row>
    <row r="261" spans="1:6" ht="30" x14ac:dyDescent="0.25">
      <c r="A261" s="32" t="s">
        <v>673</v>
      </c>
      <c r="B261" s="32" t="s">
        <v>264</v>
      </c>
      <c r="C261" s="32" t="s">
        <v>327</v>
      </c>
      <c r="D261" s="32"/>
      <c r="E261" s="32"/>
      <c r="F261" s="33">
        <f t="shared" si="3"/>
        <v>0</v>
      </c>
    </row>
    <row r="262" spans="1:6" ht="30" x14ac:dyDescent="0.25">
      <c r="A262" s="32" t="s">
        <v>674</v>
      </c>
      <c r="B262" s="32" t="s">
        <v>675</v>
      </c>
      <c r="C262" s="32" t="s">
        <v>327</v>
      </c>
      <c r="D262" s="32"/>
      <c r="E262" s="32"/>
      <c r="F262" s="33">
        <f t="shared" ref="F262:F325" si="4">D262*E262</f>
        <v>0</v>
      </c>
    </row>
    <row r="263" spans="1:6" ht="30" x14ac:dyDescent="0.25">
      <c r="A263" s="32" t="s">
        <v>676</v>
      </c>
      <c r="B263" s="34" t="s">
        <v>266</v>
      </c>
      <c r="C263" s="32" t="s">
        <v>327</v>
      </c>
      <c r="D263" s="60">
        <v>5</v>
      </c>
      <c r="E263" s="56">
        <v>44160</v>
      </c>
      <c r="F263" s="57">
        <f t="shared" si="4"/>
        <v>220800</v>
      </c>
    </row>
    <row r="264" spans="1:6" x14ac:dyDescent="0.25">
      <c r="A264" s="32" t="s">
        <v>677</v>
      </c>
      <c r="B264" s="34" t="s">
        <v>265</v>
      </c>
      <c r="C264" s="32" t="s">
        <v>327</v>
      </c>
      <c r="D264" s="60">
        <v>5</v>
      </c>
      <c r="E264" s="56">
        <v>41280</v>
      </c>
      <c r="F264" s="57">
        <f t="shared" si="4"/>
        <v>206400</v>
      </c>
    </row>
    <row r="265" spans="1:6" x14ac:dyDescent="0.25">
      <c r="A265" s="32" t="s">
        <v>678</v>
      </c>
      <c r="B265" s="34" t="s">
        <v>267</v>
      </c>
      <c r="C265" s="32" t="s">
        <v>327</v>
      </c>
      <c r="D265" s="60">
        <v>6</v>
      </c>
      <c r="E265" s="56">
        <v>40800</v>
      </c>
      <c r="F265" s="57">
        <f t="shared" si="4"/>
        <v>244800</v>
      </c>
    </row>
    <row r="266" spans="1:6" x14ac:dyDescent="0.25">
      <c r="A266" s="32" t="s">
        <v>679</v>
      </c>
      <c r="B266" s="32" t="s">
        <v>680</v>
      </c>
      <c r="C266" s="32" t="s">
        <v>327</v>
      </c>
      <c r="D266" s="53"/>
      <c r="E266" s="53"/>
      <c r="F266" s="57">
        <f t="shared" si="4"/>
        <v>0</v>
      </c>
    </row>
    <row r="267" spans="1:6" x14ac:dyDescent="0.25">
      <c r="A267" s="32" t="s">
        <v>681</v>
      </c>
      <c r="B267" s="32" t="s">
        <v>682</v>
      </c>
      <c r="C267" s="32" t="s">
        <v>327</v>
      </c>
      <c r="D267" s="53"/>
      <c r="E267" s="53"/>
      <c r="F267" s="57">
        <f t="shared" si="4"/>
        <v>0</v>
      </c>
    </row>
    <row r="268" spans="1:6" ht="30" x14ac:dyDescent="0.25">
      <c r="A268" s="32" t="s">
        <v>683</v>
      </c>
      <c r="B268" s="32" t="s">
        <v>684</v>
      </c>
      <c r="C268" s="32" t="s">
        <v>327</v>
      </c>
      <c r="D268" s="53"/>
      <c r="E268" s="53"/>
      <c r="F268" s="57">
        <f t="shared" si="4"/>
        <v>0</v>
      </c>
    </row>
    <row r="269" spans="1:6" ht="30" x14ac:dyDescent="0.25">
      <c r="A269" s="32" t="s">
        <v>685</v>
      </c>
      <c r="B269" s="32" t="s">
        <v>686</v>
      </c>
      <c r="C269" s="32" t="s">
        <v>654</v>
      </c>
      <c r="D269" s="53"/>
      <c r="E269" s="53"/>
      <c r="F269" s="57">
        <f t="shared" si="4"/>
        <v>0</v>
      </c>
    </row>
    <row r="270" spans="1:6" ht="30" x14ac:dyDescent="0.25">
      <c r="A270" s="32" t="s">
        <v>687</v>
      </c>
      <c r="B270" s="32" t="s">
        <v>688</v>
      </c>
      <c r="C270" s="32" t="s">
        <v>327</v>
      </c>
      <c r="D270" s="32"/>
      <c r="E270" s="32"/>
      <c r="F270" s="33">
        <f t="shared" si="4"/>
        <v>0</v>
      </c>
    </row>
    <row r="271" spans="1:6" ht="30" x14ac:dyDescent="0.25">
      <c r="A271" s="32" t="s">
        <v>689</v>
      </c>
      <c r="B271" s="32" t="s">
        <v>268</v>
      </c>
      <c r="C271" s="32" t="s">
        <v>327</v>
      </c>
      <c r="D271" s="32"/>
      <c r="E271" s="32"/>
      <c r="F271" s="33">
        <f t="shared" si="4"/>
        <v>0</v>
      </c>
    </row>
    <row r="272" spans="1:6" ht="30" x14ac:dyDescent="0.25">
      <c r="A272" s="32" t="s">
        <v>690</v>
      </c>
      <c r="B272" s="32" t="s">
        <v>269</v>
      </c>
      <c r="C272" s="32" t="s">
        <v>327</v>
      </c>
      <c r="D272" s="32"/>
      <c r="E272" s="32"/>
      <c r="F272" s="33">
        <f t="shared" si="4"/>
        <v>0</v>
      </c>
    </row>
    <row r="273" spans="1:6" x14ac:dyDescent="0.25">
      <c r="A273" s="32" t="s">
        <v>691</v>
      </c>
      <c r="B273" s="32" t="s">
        <v>692</v>
      </c>
      <c r="C273" s="32" t="s">
        <v>327</v>
      </c>
      <c r="D273" s="32"/>
      <c r="E273" s="32"/>
      <c r="F273" s="33">
        <f t="shared" si="4"/>
        <v>0</v>
      </c>
    </row>
    <row r="274" spans="1:6" ht="30" x14ac:dyDescent="0.25">
      <c r="A274" s="32" t="s">
        <v>693</v>
      </c>
      <c r="B274" s="32" t="s">
        <v>270</v>
      </c>
      <c r="C274" s="32" t="s">
        <v>327</v>
      </c>
      <c r="D274" s="32"/>
      <c r="E274" s="32"/>
      <c r="F274" s="33">
        <f t="shared" si="4"/>
        <v>0</v>
      </c>
    </row>
    <row r="275" spans="1:6" x14ac:dyDescent="0.25">
      <c r="A275" s="32" t="s">
        <v>694</v>
      </c>
      <c r="B275" s="32" t="s">
        <v>257</v>
      </c>
      <c r="C275" s="32" t="s">
        <v>327</v>
      </c>
      <c r="D275" s="32"/>
      <c r="E275" s="32"/>
      <c r="F275" s="33">
        <f t="shared" si="4"/>
        <v>0</v>
      </c>
    </row>
    <row r="276" spans="1:6" x14ac:dyDescent="0.25">
      <c r="A276" s="32" t="s">
        <v>695</v>
      </c>
      <c r="B276" s="37" t="s">
        <v>696</v>
      </c>
      <c r="C276" s="32" t="s">
        <v>327</v>
      </c>
      <c r="D276" s="80">
        <v>226</v>
      </c>
      <c r="E276" s="56">
        <v>27744</v>
      </c>
      <c r="F276" s="57">
        <f t="shared" si="4"/>
        <v>6270144</v>
      </c>
    </row>
    <row r="277" spans="1:6" x14ac:dyDescent="0.25">
      <c r="A277" s="32" t="s">
        <v>697</v>
      </c>
      <c r="B277" s="32" t="s">
        <v>698</v>
      </c>
      <c r="C277" s="32" t="s">
        <v>699</v>
      </c>
      <c r="D277" s="53"/>
      <c r="E277" s="53"/>
      <c r="F277" s="57">
        <f t="shared" si="4"/>
        <v>0</v>
      </c>
    </row>
    <row r="278" spans="1:6" x14ac:dyDescent="0.25">
      <c r="A278" s="32" t="s">
        <v>700</v>
      </c>
      <c r="B278" s="39" t="s">
        <v>211</v>
      </c>
      <c r="C278" s="32" t="s">
        <v>303</v>
      </c>
      <c r="D278" s="55">
        <v>144</v>
      </c>
      <c r="E278" s="52">
        <v>18630</v>
      </c>
      <c r="F278" s="57">
        <f t="shared" si="4"/>
        <v>2682720</v>
      </c>
    </row>
    <row r="279" spans="1:6" x14ac:dyDescent="0.25">
      <c r="A279" s="32" t="s">
        <v>701</v>
      </c>
      <c r="B279" s="32" t="s">
        <v>273</v>
      </c>
      <c r="C279" s="32" t="s">
        <v>327</v>
      </c>
      <c r="D279" s="53"/>
      <c r="E279" s="53"/>
      <c r="F279" s="57">
        <f t="shared" si="4"/>
        <v>0</v>
      </c>
    </row>
    <row r="280" spans="1:6" x14ac:dyDescent="0.25">
      <c r="A280" s="32" t="s">
        <v>702</v>
      </c>
      <c r="B280" s="32" t="s">
        <v>275</v>
      </c>
      <c r="C280" s="32" t="s">
        <v>327</v>
      </c>
      <c r="D280" s="53"/>
      <c r="E280" s="53"/>
      <c r="F280" s="57">
        <f t="shared" si="4"/>
        <v>0</v>
      </c>
    </row>
    <row r="281" spans="1:6" x14ac:dyDescent="0.25">
      <c r="A281" s="32" t="s">
        <v>703</v>
      </c>
      <c r="B281" s="32" t="s">
        <v>276</v>
      </c>
      <c r="C281" s="32" t="s">
        <v>327</v>
      </c>
      <c r="D281" s="53"/>
      <c r="E281" s="53"/>
      <c r="F281" s="57">
        <f t="shared" si="4"/>
        <v>0</v>
      </c>
    </row>
    <row r="282" spans="1:6" x14ac:dyDescent="0.25">
      <c r="A282" s="32" t="s">
        <v>704</v>
      </c>
      <c r="B282" s="39" t="s">
        <v>274</v>
      </c>
      <c r="C282" s="32" t="s">
        <v>327</v>
      </c>
      <c r="D282" s="55">
        <v>14</v>
      </c>
      <c r="E282" s="52">
        <v>31950</v>
      </c>
      <c r="F282" s="57">
        <f t="shared" si="4"/>
        <v>447300</v>
      </c>
    </row>
    <row r="283" spans="1:6" x14ac:dyDescent="0.25">
      <c r="A283" s="32" t="s">
        <v>705</v>
      </c>
      <c r="B283" s="39" t="s">
        <v>214</v>
      </c>
      <c r="C283" s="32" t="s">
        <v>303</v>
      </c>
      <c r="D283" s="55">
        <v>10868</v>
      </c>
      <c r="E283" s="56">
        <v>24638</v>
      </c>
      <c r="F283" s="57">
        <f t="shared" si="4"/>
        <v>267765784</v>
      </c>
    </row>
    <row r="284" spans="1:6" x14ac:dyDescent="0.25">
      <c r="A284" s="32" t="s">
        <v>706</v>
      </c>
      <c r="B284" s="32" t="s">
        <v>277</v>
      </c>
      <c r="C284" s="32" t="s">
        <v>327</v>
      </c>
      <c r="D284" s="32"/>
      <c r="E284" s="32"/>
      <c r="F284" s="33">
        <f t="shared" si="4"/>
        <v>0</v>
      </c>
    </row>
    <row r="285" spans="1:6" x14ac:dyDescent="0.25">
      <c r="A285" s="32" t="s">
        <v>707</v>
      </c>
      <c r="B285" s="32" t="s">
        <v>708</v>
      </c>
      <c r="C285" s="32" t="s">
        <v>327</v>
      </c>
      <c r="D285" s="32"/>
      <c r="E285" s="32"/>
      <c r="F285" s="33">
        <f t="shared" si="4"/>
        <v>0</v>
      </c>
    </row>
    <row r="286" spans="1:6" x14ac:dyDescent="0.25">
      <c r="A286" s="32" t="s">
        <v>709</v>
      </c>
      <c r="B286" s="32" t="s">
        <v>278</v>
      </c>
      <c r="C286" s="32" t="s">
        <v>303</v>
      </c>
      <c r="D286" s="32"/>
      <c r="E286" s="32"/>
      <c r="F286" s="33">
        <f t="shared" si="4"/>
        <v>0</v>
      </c>
    </row>
    <row r="287" spans="1:6" x14ac:dyDescent="0.25">
      <c r="A287" s="32" t="s">
        <v>710</v>
      </c>
      <c r="B287" s="32" t="s">
        <v>711</v>
      </c>
      <c r="C287" s="32" t="s">
        <v>327</v>
      </c>
      <c r="D287" s="32"/>
      <c r="E287" s="32"/>
      <c r="F287" s="33">
        <f t="shared" si="4"/>
        <v>0</v>
      </c>
    </row>
    <row r="288" spans="1:6" x14ac:dyDescent="0.25">
      <c r="A288" s="32" t="s">
        <v>712</v>
      </c>
      <c r="B288" s="32" t="s">
        <v>713</v>
      </c>
      <c r="C288" s="32" t="s">
        <v>303</v>
      </c>
      <c r="D288" s="32"/>
      <c r="E288" s="32"/>
      <c r="F288" s="33">
        <f t="shared" si="4"/>
        <v>0</v>
      </c>
    </row>
    <row r="289" spans="1:6" x14ac:dyDescent="0.25">
      <c r="A289" s="32" t="s">
        <v>714</v>
      </c>
      <c r="B289" s="32" t="s">
        <v>715</v>
      </c>
      <c r="C289" s="32" t="s">
        <v>303</v>
      </c>
      <c r="D289" s="32"/>
      <c r="E289" s="32"/>
      <c r="F289" s="33">
        <f t="shared" si="4"/>
        <v>0</v>
      </c>
    </row>
    <row r="290" spans="1:6" ht="30" x14ac:dyDescent="0.25">
      <c r="A290" s="32" t="s">
        <v>716</v>
      </c>
      <c r="B290" s="32" t="s">
        <v>279</v>
      </c>
      <c r="C290" s="32" t="s">
        <v>327</v>
      </c>
      <c r="D290" s="32"/>
      <c r="E290" s="32"/>
      <c r="F290" s="33">
        <f t="shared" si="4"/>
        <v>0</v>
      </c>
    </row>
    <row r="291" spans="1:6" ht="30" x14ac:dyDescent="0.25">
      <c r="A291" s="32" t="s">
        <v>717</v>
      </c>
      <c r="B291" s="32" t="s">
        <v>280</v>
      </c>
      <c r="C291" s="32" t="s">
        <v>327</v>
      </c>
      <c r="D291" s="32"/>
      <c r="E291" s="32"/>
      <c r="F291" s="33">
        <f t="shared" si="4"/>
        <v>0</v>
      </c>
    </row>
    <row r="292" spans="1:6" x14ac:dyDescent="0.25">
      <c r="A292" s="32" t="s">
        <v>718</v>
      </c>
      <c r="B292" s="39" t="s">
        <v>719</v>
      </c>
      <c r="C292" s="32" t="s">
        <v>327</v>
      </c>
      <c r="D292" s="55">
        <v>167</v>
      </c>
      <c r="E292" s="56">
        <v>17640</v>
      </c>
      <c r="F292" s="57">
        <f t="shared" si="4"/>
        <v>2945880</v>
      </c>
    </row>
    <row r="293" spans="1:6" x14ac:dyDescent="0.25">
      <c r="A293" s="32" t="s">
        <v>720</v>
      </c>
      <c r="B293" s="39" t="s">
        <v>282</v>
      </c>
      <c r="C293" s="32" t="s">
        <v>327</v>
      </c>
      <c r="D293" s="55">
        <v>13</v>
      </c>
      <c r="E293" s="56">
        <v>35280</v>
      </c>
      <c r="F293" s="57">
        <f t="shared" si="4"/>
        <v>458640</v>
      </c>
    </row>
    <row r="294" spans="1:6" x14ac:dyDescent="0.25">
      <c r="A294" s="32" t="s">
        <v>721</v>
      </c>
      <c r="B294" s="39" t="s">
        <v>233</v>
      </c>
      <c r="C294" s="32" t="s">
        <v>654</v>
      </c>
      <c r="D294" s="55">
        <v>2974</v>
      </c>
      <c r="E294" s="56">
        <v>62720</v>
      </c>
      <c r="F294" s="57">
        <f t="shared" si="4"/>
        <v>186529280</v>
      </c>
    </row>
    <row r="295" spans="1:6" x14ac:dyDescent="0.25">
      <c r="A295" s="32" t="s">
        <v>722</v>
      </c>
      <c r="B295" s="32" t="s">
        <v>245</v>
      </c>
      <c r="C295" s="32" t="s">
        <v>303</v>
      </c>
      <c r="D295" s="32"/>
      <c r="E295" s="32"/>
      <c r="F295" s="33">
        <f t="shared" si="4"/>
        <v>0</v>
      </c>
    </row>
    <row r="296" spans="1:6" x14ac:dyDescent="0.25">
      <c r="A296" s="32" t="s">
        <v>723</v>
      </c>
      <c r="B296" s="32" t="s">
        <v>724</v>
      </c>
      <c r="C296" s="32" t="s">
        <v>654</v>
      </c>
      <c r="D296" s="32"/>
      <c r="E296" s="32"/>
      <c r="F296" s="33">
        <f t="shared" si="4"/>
        <v>0</v>
      </c>
    </row>
    <row r="297" spans="1:6" ht="30" x14ac:dyDescent="0.25">
      <c r="A297" s="32" t="s">
        <v>725</v>
      </c>
      <c r="B297" s="32" t="s">
        <v>726</v>
      </c>
      <c r="C297" s="32" t="s">
        <v>528</v>
      </c>
      <c r="D297" s="32"/>
      <c r="E297" s="32"/>
      <c r="F297" s="33">
        <f t="shared" si="4"/>
        <v>0</v>
      </c>
    </row>
    <row r="298" spans="1:6" x14ac:dyDescent="0.25">
      <c r="A298" s="32" t="s">
        <v>727</v>
      </c>
      <c r="B298" s="32" t="s">
        <v>728</v>
      </c>
      <c r="C298" s="32" t="s">
        <v>327</v>
      </c>
      <c r="D298" s="32"/>
      <c r="E298" s="32"/>
      <c r="F298" s="33">
        <f t="shared" si="4"/>
        <v>0</v>
      </c>
    </row>
    <row r="299" spans="1:6" ht="30" x14ac:dyDescent="0.25">
      <c r="A299" s="32" t="s">
        <v>729</v>
      </c>
      <c r="B299" s="32" t="s">
        <v>730</v>
      </c>
      <c r="C299" s="32" t="s">
        <v>327</v>
      </c>
      <c r="D299" s="32"/>
      <c r="E299" s="32"/>
      <c r="F299" s="33">
        <f t="shared" si="4"/>
        <v>0</v>
      </c>
    </row>
    <row r="300" spans="1:6" ht="30" x14ac:dyDescent="0.25">
      <c r="A300" s="32" t="s">
        <v>731</v>
      </c>
      <c r="B300" s="39" t="s">
        <v>287</v>
      </c>
      <c r="C300" s="32" t="s">
        <v>327</v>
      </c>
      <c r="D300" s="55">
        <v>8</v>
      </c>
      <c r="E300" s="56">
        <v>29616</v>
      </c>
      <c r="F300" s="57">
        <f t="shared" si="4"/>
        <v>236928</v>
      </c>
    </row>
    <row r="301" spans="1:6" ht="30" x14ac:dyDescent="0.25">
      <c r="A301" s="32" t="s">
        <v>732</v>
      </c>
      <c r="B301" s="32" t="s">
        <v>618</v>
      </c>
      <c r="C301" s="32" t="s">
        <v>327</v>
      </c>
      <c r="D301" s="32"/>
      <c r="E301" s="32"/>
      <c r="F301" s="33">
        <f t="shared" si="4"/>
        <v>0</v>
      </c>
    </row>
    <row r="302" spans="1:6" ht="30" x14ac:dyDescent="0.25">
      <c r="A302" s="32" t="s">
        <v>733</v>
      </c>
      <c r="B302" s="34" t="s">
        <v>210</v>
      </c>
      <c r="C302" s="32" t="s">
        <v>327</v>
      </c>
      <c r="D302" s="60">
        <v>625</v>
      </c>
      <c r="E302" s="56">
        <v>13152</v>
      </c>
      <c r="F302" s="57">
        <f t="shared" si="4"/>
        <v>8220000</v>
      </c>
    </row>
    <row r="303" spans="1:6" x14ac:dyDescent="0.25">
      <c r="A303" s="32" t="s">
        <v>734</v>
      </c>
      <c r="B303" s="32" t="s">
        <v>735</v>
      </c>
      <c r="C303" s="32" t="s">
        <v>736</v>
      </c>
      <c r="D303" s="53"/>
      <c r="E303" s="53"/>
      <c r="F303" s="57">
        <f t="shared" si="4"/>
        <v>0</v>
      </c>
    </row>
    <row r="304" spans="1:6" x14ac:dyDescent="0.25">
      <c r="A304" s="32" t="s">
        <v>737</v>
      </c>
      <c r="B304" s="32" t="s">
        <v>182</v>
      </c>
      <c r="C304" s="32" t="s">
        <v>528</v>
      </c>
      <c r="D304" s="53"/>
      <c r="E304" s="53"/>
      <c r="F304" s="57">
        <f t="shared" si="4"/>
        <v>0</v>
      </c>
    </row>
    <row r="305" spans="1:6" x14ac:dyDescent="0.25">
      <c r="A305" s="32" t="s">
        <v>738</v>
      </c>
      <c r="B305" s="39" t="s">
        <v>183</v>
      </c>
      <c r="C305" s="32" t="s">
        <v>528</v>
      </c>
      <c r="D305" s="55">
        <v>2802</v>
      </c>
      <c r="E305" s="56">
        <v>54405.18</v>
      </c>
      <c r="F305" s="57">
        <f t="shared" si="4"/>
        <v>152443314.36000001</v>
      </c>
    </row>
    <row r="306" spans="1:6" x14ac:dyDescent="0.25">
      <c r="A306" s="32" t="s">
        <v>739</v>
      </c>
      <c r="B306" s="39" t="s">
        <v>184</v>
      </c>
      <c r="C306" s="32" t="s">
        <v>528</v>
      </c>
      <c r="D306" s="55">
        <v>1597</v>
      </c>
      <c r="E306" s="56">
        <v>54405.18</v>
      </c>
      <c r="F306" s="57">
        <f t="shared" si="4"/>
        <v>86885072.459999993</v>
      </c>
    </row>
    <row r="307" spans="1:6" x14ac:dyDescent="0.25">
      <c r="A307" s="32" t="s">
        <v>740</v>
      </c>
      <c r="B307" s="39" t="s">
        <v>189</v>
      </c>
      <c r="C307" s="32" t="s">
        <v>303</v>
      </c>
      <c r="D307" s="55">
        <v>555</v>
      </c>
      <c r="E307" s="56">
        <v>44306.06</v>
      </c>
      <c r="F307" s="57">
        <f t="shared" si="4"/>
        <v>24589863.299999997</v>
      </c>
    </row>
    <row r="308" spans="1:6" ht="30" x14ac:dyDescent="0.25">
      <c r="A308" s="32" t="s">
        <v>741</v>
      </c>
      <c r="B308" s="32" t="s">
        <v>742</v>
      </c>
      <c r="C308" s="32" t="s">
        <v>303</v>
      </c>
      <c r="D308" s="53"/>
      <c r="E308" s="53"/>
      <c r="F308" s="57">
        <f t="shared" si="4"/>
        <v>0</v>
      </c>
    </row>
    <row r="309" spans="1:6" x14ac:dyDescent="0.25">
      <c r="A309" s="32" t="s">
        <v>743</v>
      </c>
      <c r="B309" s="39" t="s">
        <v>186</v>
      </c>
      <c r="C309" s="32" t="s">
        <v>303</v>
      </c>
      <c r="D309" s="55">
        <v>4395</v>
      </c>
      <c r="E309" s="56">
        <v>43373.31</v>
      </c>
      <c r="F309" s="57">
        <f t="shared" si="4"/>
        <v>190625697.44999999</v>
      </c>
    </row>
    <row r="310" spans="1:6" ht="30" x14ac:dyDescent="0.25">
      <c r="A310" s="32" t="s">
        <v>744</v>
      </c>
      <c r="B310" s="32" t="s">
        <v>745</v>
      </c>
      <c r="C310" s="32" t="s">
        <v>303</v>
      </c>
      <c r="D310" s="32"/>
      <c r="E310" s="32"/>
      <c r="F310" s="33">
        <f t="shared" si="4"/>
        <v>0</v>
      </c>
    </row>
    <row r="311" spans="1:6" x14ac:dyDescent="0.25">
      <c r="A311" s="32" t="s">
        <v>746</v>
      </c>
      <c r="B311" s="39" t="s">
        <v>185</v>
      </c>
      <c r="C311" s="32" t="s">
        <v>303</v>
      </c>
      <c r="D311" s="55">
        <v>925</v>
      </c>
      <c r="E311" s="56">
        <v>180233.73</v>
      </c>
      <c r="F311" s="57">
        <f t="shared" si="4"/>
        <v>166716200.25</v>
      </c>
    </row>
    <row r="312" spans="1:6" x14ac:dyDescent="0.25">
      <c r="A312" s="32" t="s">
        <v>747</v>
      </c>
      <c r="B312" s="39" t="s">
        <v>748</v>
      </c>
      <c r="C312" s="32" t="s">
        <v>303</v>
      </c>
      <c r="D312" s="55">
        <v>8407</v>
      </c>
      <c r="E312" s="56">
        <v>178467</v>
      </c>
      <c r="F312" s="57">
        <f t="shared" si="4"/>
        <v>1500372069</v>
      </c>
    </row>
    <row r="313" spans="1:6" ht="30" x14ac:dyDescent="0.25">
      <c r="A313" s="32" t="s">
        <v>749</v>
      </c>
      <c r="B313" s="32" t="s">
        <v>750</v>
      </c>
      <c r="C313" s="32" t="s">
        <v>303</v>
      </c>
      <c r="D313" s="53"/>
      <c r="E313" s="53"/>
      <c r="F313" s="57">
        <f t="shared" si="4"/>
        <v>0</v>
      </c>
    </row>
    <row r="314" spans="1:6" x14ac:dyDescent="0.25">
      <c r="A314" s="32" t="s">
        <v>751</v>
      </c>
      <c r="B314" s="39" t="s">
        <v>192</v>
      </c>
      <c r="C314" s="32" t="s">
        <v>311</v>
      </c>
      <c r="D314" s="55">
        <v>6335</v>
      </c>
      <c r="E314" s="56">
        <v>7220</v>
      </c>
      <c r="F314" s="57">
        <f t="shared" si="4"/>
        <v>45738700</v>
      </c>
    </row>
    <row r="315" spans="1:6" x14ac:dyDescent="0.25">
      <c r="A315" s="32" t="s">
        <v>752</v>
      </c>
      <c r="B315" s="39" t="s">
        <v>190</v>
      </c>
      <c r="C315" s="32" t="s">
        <v>753</v>
      </c>
      <c r="D315" s="55">
        <v>4737</v>
      </c>
      <c r="E315" s="56">
        <v>28272</v>
      </c>
      <c r="F315" s="57">
        <f t="shared" si="4"/>
        <v>133924464</v>
      </c>
    </row>
    <row r="316" spans="1:6" x14ac:dyDescent="0.25">
      <c r="A316" s="32" t="s">
        <v>754</v>
      </c>
      <c r="B316" s="39" t="s">
        <v>755</v>
      </c>
      <c r="C316" s="32" t="s">
        <v>753</v>
      </c>
      <c r="D316" s="55">
        <v>843</v>
      </c>
      <c r="E316" s="56">
        <v>35340</v>
      </c>
      <c r="F316" s="57">
        <f t="shared" si="4"/>
        <v>29791620</v>
      </c>
    </row>
    <row r="317" spans="1:6" x14ac:dyDescent="0.25">
      <c r="A317" s="32" t="s">
        <v>756</v>
      </c>
      <c r="B317" s="39" t="s">
        <v>194</v>
      </c>
      <c r="C317" s="32" t="s">
        <v>311</v>
      </c>
      <c r="D317" s="55">
        <v>243366</v>
      </c>
      <c r="E317" s="56">
        <v>7068</v>
      </c>
      <c r="F317" s="57">
        <f t="shared" si="4"/>
        <v>1720110888</v>
      </c>
    </row>
    <row r="318" spans="1:6" x14ac:dyDescent="0.25">
      <c r="A318" s="32" t="s">
        <v>757</v>
      </c>
      <c r="B318" s="39" t="s">
        <v>191</v>
      </c>
      <c r="C318" s="32" t="s">
        <v>753</v>
      </c>
      <c r="D318" s="55">
        <v>46715</v>
      </c>
      <c r="E318" s="56">
        <v>28272</v>
      </c>
      <c r="F318" s="57">
        <f t="shared" si="4"/>
        <v>1320726480</v>
      </c>
    </row>
    <row r="319" spans="1:6" ht="30" x14ac:dyDescent="0.25">
      <c r="A319" s="32" t="s">
        <v>758</v>
      </c>
      <c r="B319" s="32" t="s">
        <v>759</v>
      </c>
      <c r="C319" s="32" t="s">
        <v>753</v>
      </c>
      <c r="D319" s="32"/>
      <c r="E319" s="32"/>
      <c r="F319" s="33">
        <f t="shared" si="4"/>
        <v>0</v>
      </c>
    </row>
    <row r="320" spans="1:6" ht="30" x14ac:dyDescent="0.25">
      <c r="A320" s="32" t="s">
        <v>760</v>
      </c>
      <c r="B320" s="32" t="s">
        <v>198</v>
      </c>
      <c r="C320" s="32" t="s">
        <v>753</v>
      </c>
      <c r="D320" s="32"/>
      <c r="E320" s="32"/>
      <c r="F320" s="33">
        <f t="shared" si="4"/>
        <v>0</v>
      </c>
    </row>
    <row r="321" spans="1:6" x14ac:dyDescent="0.25">
      <c r="A321" s="32" t="s">
        <v>761</v>
      </c>
      <c r="B321" s="32" t="s">
        <v>762</v>
      </c>
      <c r="C321" s="32" t="s">
        <v>753</v>
      </c>
      <c r="D321" s="32"/>
      <c r="E321" s="32"/>
      <c r="F321" s="33">
        <f t="shared" si="4"/>
        <v>0</v>
      </c>
    </row>
    <row r="322" spans="1:6" ht="30" x14ac:dyDescent="0.25">
      <c r="A322" s="32" t="s">
        <v>763</v>
      </c>
      <c r="B322" s="32" t="s">
        <v>196</v>
      </c>
      <c r="C322" s="32" t="s">
        <v>303</v>
      </c>
      <c r="D322" s="32"/>
      <c r="E322" s="32"/>
      <c r="F322" s="33">
        <f t="shared" si="4"/>
        <v>0</v>
      </c>
    </row>
    <row r="323" spans="1:6" x14ac:dyDescent="0.25">
      <c r="A323" s="32" t="s">
        <v>764</v>
      </c>
      <c r="B323" s="39" t="s">
        <v>765</v>
      </c>
      <c r="C323" s="32" t="s">
        <v>311</v>
      </c>
      <c r="D323" s="55">
        <v>1150</v>
      </c>
      <c r="E323" s="56">
        <v>7220</v>
      </c>
      <c r="F323" s="57">
        <f t="shared" si="4"/>
        <v>8303000</v>
      </c>
    </row>
    <row r="324" spans="1:6" x14ac:dyDescent="0.25">
      <c r="A324" s="32" t="s">
        <v>766</v>
      </c>
      <c r="B324" s="32" t="s">
        <v>767</v>
      </c>
      <c r="C324" s="32" t="s">
        <v>753</v>
      </c>
      <c r="D324" s="32"/>
      <c r="E324" s="32"/>
      <c r="F324" s="33">
        <f t="shared" si="4"/>
        <v>0</v>
      </c>
    </row>
    <row r="325" spans="1:6" x14ac:dyDescent="0.25">
      <c r="A325" s="32" t="s">
        <v>768</v>
      </c>
      <c r="B325" s="32" t="s">
        <v>769</v>
      </c>
      <c r="C325" s="32" t="s">
        <v>303</v>
      </c>
      <c r="D325" s="32"/>
      <c r="E325" s="32"/>
      <c r="F325" s="33">
        <f t="shared" si="4"/>
        <v>0</v>
      </c>
    </row>
    <row r="326" spans="1:6" x14ac:dyDescent="0.25">
      <c r="A326" s="32" t="s">
        <v>770</v>
      </c>
      <c r="B326" s="32" t="s">
        <v>771</v>
      </c>
      <c r="C326" s="32" t="s">
        <v>303</v>
      </c>
      <c r="D326" s="32"/>
      <c r="E326" s="32"/>
      <c r="F326" s="33">
        <f t="shared" ref="F326:F389" si="5">D326*E326</f>
        <v>0</v>
      </c>
    </row>
    <row r="327" spans="1:6" x14ac:dyDescent="0.25">
      <c r="A327" s="32" t="s">
        <v>772</v>
      </c>
      <c r="B327" s="32" t="s">
        <v>773</v>
      </c>
      <c r="C327" s="32" t="s">
        <v>303</v>
      </c>
      <c r="D327" s="32"/>
      <c r="E327" s="32"/>
      <c r="F327" s="33">
        <f t="shared" si="5"/>
        <v>0</v>
      </c>
    </row>
    <row r="328" spans="1:6" x14ac:dyDescent="0.25">
      <c r="A328" s="32" t="s">
        <v>774</v>
      </c>
      <c r="B328" s="32" t="s">
        <v>775</v>
      </c>
      <c r="C328" s="32" t="s">
        <v>303</v>
      </c>
      <c r="D328" s="32"/>
      <c r="E328" s="32"/>
      <c r="F328" s="33">
        <f t="shared" si="5"/>
        <v>0</v>
      </c>
    </row>
    <row r="329" spans="1:6" x14ac:dyDescent="0.25">
      <c r="A329" s="32" t="s">
        <v>776</v>
      </c>
      <c r="B329" s="32" t="s">
        <v>777</v>
      </c>
      <c r="C329" s="32" t="s">
        <v>303</v>
      </c>
      <c r="D329" s="32"/>
      <c r="E329" s="32"/>
      <c r="F329" s="33">
        <f t="shared" si="5"/>
        <v>0</v>
      </c>
    </row>
    <row r="330" spans="1:6" ht="30" x14ac:dyDescent="0.25">
      <c r="A330" s="32" t="s">
        <v>778</v>
      </c>
      <c r="B330" s="32" t="s">
        <v>779</v>
      </c>
      <c r="C330" s="32" t="s">
        <v>303</v>
      </c>
      <c r="D330" s="32"/>
      <c r="E330" s="32"/>
      <c r="F330" s="33">
        <f t="shared" si="5"/>
        <v>0</v>
      </c>
    </row>
    <row r="331" spans="1:6" ht="30" x14ac:dyDescent="0.25">
      <c r="A331" s="32" t="s">
        <v>780</v>
      </c>
      <c r="B331" s="32" t="s">
        <v>781</v>
      </c>
      <c r="C331" s="32" t="s">
        <v>303</v>
      </c>
      <c r="D331" s="32"/>
      <c r="E331" s="32"/>
      <c r="F331" s="33">
        <f t="shared" si="5"/>
        <v>0</v>
      </c>
    </row>
    <row r="332" spans="1:6" x14ac:dyDescent="0.25">
      <c r="A332" s="32" t="s">
        <v>782</v>
      </c>
      <c r="B332" s="39" t="s">
        <v>203</v>
      </c>
      <c r="C332" s="32" t="s">
        <v>303</v>
      </c>
      <c r="D332" s="55">
        <v>918</v>
      </c>
      <c r="E332" s="56">
        <v>11737</v>
      </c>
      <c r="F332" s="57">
        <f t="shared" si="5"/>
        <v>10774566</v>
      </c>
    </row>
    <row r="333" spans="1:6" x14ac:dyDescent="0.25">
      <c r="A333" s="32" t="s">
        <v>783</v>
      </c>
      <c r="B333" s="39" t="s">
        <v>202</v>
      </c>
      <c r="C333" s="32" t="s">
        <v>303</v>
      </c>
      <c r="D333" s="55">
        <v>72</v>
      </c>
      <c r="E333" s="56">
        <v>25802</v>
      </c>
      <c r="F333" s="57">
        <f t="shared" si="5"/>
        <v>1857744</v>
      </c>
    </row>
    <row r="334" spans="1:6" x14ac:dyDescent="0.25">
      <c r="A334" s="32" t="s">
        <v>784</v>
      </c>
      <c r="B334" s="39" t="s">
        <v>204</v>
      </c>
      <c r="C334" s="32" t="s">
        <v>303</v>
      </c>
      <c r="D334" s="55">
        <v>8457</v>
      </c>
      <c r="E334" s="56">
        <v>32010</v>
      </c>
      <c r="F334" s="57">
        <f t="shared" si="5"/>
        <v>270708570</v>
      </c>
    </row>
    <row r="335" spans="1:6" x14ac:dyDescent="0.25">
      <c r="A335" s="32" t="s">
        <v>785</v>
      </c>
      <c r="B335" s="39" t="s">
        <v>205</v>
      </c>
      <c r="C335" s="32" t="s">
        <v>303</v>
      </c>
      <c r="D335" s="55">
        <v>190</v>
      </c>
      <c r="E335" s="56">
        <v>67124</v>
      </c>
      <c r="F335" s="57">
        <f t="shared" si="5"/>
        <v>12753560</v>
      </c>
    </row>
    <row r="336" spans="1:6" x14ac:dyDescent="0.25">
      <c r="A336" s="32" t="s">
        <v>786</v>
      </c>
      <c r="B336" s="32" t="s">
        <v>787</v>
      </c>
      <c r="C336" s="32" t="s">
        <v>327</v>
      </c>
      <c r="D336" s="32"/>
      <c r="E336" s="32"/>
      <c r="F336" s="33">
        <f t="shared" si="5"/>
        <v>0</v>
      </c>
    </row>
    <row r="337" spans="1:6" x14ac:dyDescent="0.25">
      <c r="A337" s="32" t="s">
        <v>788</v>
      </c>
      <c r="B337" s="32" t="s">
        <v>255</v>
      </c>
      <c r="C337" s="32" t="s">
        <v>327</v>
      </c>
      <c r="D337" s="32"/>
      <c r="E337" s="32"/>
      <c r="F337" s="33">
        <f t="shared" si="5"/>
        <v>0</v>
      </c>
    </row>
    <row r="338" spans="1:6" x14ac:dyDescent="0.25">
      <c r="A338" s="32" t="s">
        <v>789</v>
      </c>
      <c r="B338" s="45" t="s">
        <v>209</v>
      </c>
      <c r="C338" s="32" t="s">
        <v>451</v>
      </c>
      <c r="D338" s="60">
        <v>76</v>
      </c>
      <c r="E338" s="56">
        <v>58410</v>
      </c>
      <c r="F338" s="57">
        <f t="shared" si="5"/>
        <v>4439160</v>
      </c>
    </row>
    <row r="339" spans="1:6" x14ac:dyDescent="0.25">
      <c r="A339" s="32" t="s">
        <v>790</v>
      </c>
      <c r="B339" s="32" t="s">
        <v>791</v>
      </c>
      <c r="C339" s="32" t="s">
        <v>654</v>
      </c>
      <c r="D339" s="32"/>
      <c r="E339" s="32"/>
      <c r="F339" s="33">
        <f t="shared" si="5"/>
        <v>0</v>
      </c>
    </row>
    <row r="340" spans="1:6" x14ac:dyDescent="0.25">
      <c r="A340" s="32" t="s">
        <v>792</v>
      </c>
      <c r="B340" s="39" t="s">
        <v>206</v>
      </c>
      <c r="C340" s="32" t="s">
        <v>303</v>
      </c>
      <c r="D340" s="55">
        <v>360</v>
      </c>
      <c r="E340" s="56">
        <v>32864</v>
      </c>
      <c r="F340" s="57">
        <f t="shared" si="5"/>
        <v>11831040</v>
      </c>
    </row>
    <row r="341" spans="1:6" x14ac:dyDescent="0.25">
      <c r="A341" s="32" t="s">
        <v>793</v>
      </c>
      <c r="B341" s="39" t="s">
        <v>207</v>
      </c>
      <c r="C341" s="32" t="s">
        <v>303</v>
      </c>
      <c r="D341" s="55">
        <v>2634</v>
      </c>
      <c r="E341" s="56">
        <v>12804</v>
      </c>
      <c r="F341" s="57">
        <f t="shared" si="5"/>
        <v>33725736</v>
      </c>
    </row>
    <row r="342" spans="1:6" x14ac:dyDescent="0.25">
      <c r="A342" s="32" t="s">
        <v>794</v>
      </c>
      <c r="B342" s="59" t="s">
        <v>258</v>
      </c>
      <c r="C342" s="53" t="s">
        <v>327</v>
      </c>
      <c r="D342" s="60">
        <v>1215</v>
      </c>
      <c r="E342" s="56">
        <v>12804</v>
      </c>
      <c r="F342" s="57">
        <f t="shared" si="5"/>
        <v>15556860</v>
      </c>
    </row>
    <row r="343" spans="1:6" x14ac:dyDescent="0.25">
      <c r="A343" s="32" t="s">
        <v>795</v>
      </c>
      <c r="B343" s="39" t="s">
        <v>208</v>
      </c>
      <c r="C343" s="32" t="s">
        <v>303</v>
      </c>
      <c r="D343" s="55">
        <v>205</v>
      </c>
      <c r="E343" s="56">
        <v>10476</v>
      </c>
      <c r="F343" s="57">
        <f t="shared" si="5"/>
        <v>2147580</v>
      </c>
    </row>
    <row r="344" spans="1:6" ht="30" x14ac:dyDescent="0.25">
      <c r="A344" s="32" t="s">
        <v>796</v>
      </c>
      <c r="B344" s="39" t="s">
        <v>797</v>
      </c>
      <c r="C344" s="32" t="s">
        <v>327</v>
      </c>
      <c r="D344" s="55">
        <v>90</v>
      </c>
      <c r="E344" s="87">
        <v>21363.9</v>
      </c>
      <c r="F344" s="57">
        <f t="shared" si="5"/>
        <v>1922751.0000000002</v>
      </c>
    </row>
    <row r="345" spans="1:6" ht="30" x14ac:dyDescent="0.25">
      <c r="A345" s="32" t="s">
        <v>798</v>
      </c>
      <c r="B345" s="32" t="s">
        <v>799</v>
      </c>
      <c r="C345" s="32" t="s">
        <v>327</v>
      </c>
      <c r="D345" s="32"/>
      <c r="E345" s="32"/>
      <c r="F345" s="33">
        <f t="shared" si="5"/>
        <v>0</v>
      </c>
    </row>
    <row r="346" spans="1:6" ht="30" x14ac:dyDescent="0.25">
      <c r="A346" s="32" t="s">
        <v>800</v>
      </c>
      <c r="B346" s="32" t="s">
        <v>801</v>
      </c>
      <c r="C346" s="32" t="s">
        <v>327</v>
      </c>
      <c r="D346" s="32"/>
      <c r="E346" s="32"/>
      <c r="F346" s="33">
        <f t="shared" si="5"/>
        <v>0</v>
      </c>
    </row>
    <row r="347" spans="1:6" x14ac:dyDescent="0.25">
      <c r="A347" s="32" t="s">
        <v>802</v>
      </c>
      <c r="B347" s="32" t="s">
        <v>803</v>
      </c>
      <c r="C347" s="32" t="s">
        <v>327</v>
      </c>
      <c r="D347" s="32"/>
      <c r="E347" s="32"/>
      <c r="F347" s="33">
        <f t="shared" si="5"/>
        <v>0</v>
      </c>
    </row>
    <row r="348" spans="1:6" x14ac:dyDescent="0.25">
      <c r="A348" s="32" t="s">
        <v>804</v>
      </c>
      <c r="B348" s="32" t="s">
        <v>805</v>
      </c>
      <c r="C348" s="32" t="s">
        <v>699</v>
      </c>
      <c r="D348" s="32"/>
      <c r="E348" s="32"/>
      <c r="F348" s="33">
        <f t="shared" si="5"/>
        <v>0</v>
      </c>
    </row>
    <row r="349" spans="1:6" ht="30" x14ac:dyDescent="0.25">
      <c r="A349" s="32" t="s">
        <v>806</v>
      </c>
      <c r="B349" s="32" t="s">
        <v>256</v>
      </c>
      <c r="C349" s="32" t="s">
        <v>327</v>
      </c>
      <c r="D349" s="32"/>
      <c r="E349" s="32"/>
      <c r="F349" s="33">
        <f t="shared" si="5"/>
        <v>0</v>
      </c>
    </row>
    <row r="350" spans="1:6" x14ac:dyDescent="0.25">
      <c r="A350" s="32" t="s">
        <v>807</v>
      </c>
      <c r="B350" s="32" t="s">
        <v>286</v>
      </c>
      <c r="C350" s="32" t="s">
        <v>327</v>
      </c>
      <c r="D350" s="32"/>
      <c r="E350" s="32"/>
      <c r="F350" s="33">
        <f t="shared" si="5"/>
        <v>0</v>
      </c>
    </row>
    <row r="351" spans="1:6" x14ac:dyDescent="0.25">
      <c r="A351" s="32" t="s">
        <v>808</v>
      </c>
      <c r="B351" s="39" t="s">
        <v>213</v>
      </c>
      <c r="C351" s="32" t="s">
        <v>303</v>
      </c>
      <c r="D351" s="55">
        <v>1474</v>
      </c>
      <c r="E351" s="56">
        <v>21243</v>
      </c>
      <c r="F351" s="57">
        <f t="shared" si="5"/>
        <v>31312182</v>
      </c>
    </row>
    <row r="352" spans="1:6" x14ac:dyDescent="0.25">
      <c r="A352" s="32" t="s">
        <v>809</v>
      </c>
      <c r="B352" s="39" t="s">
        <v>212</v>
      </c>
      <c r="C352" s="32" t="s">
        <v>303</v>
      </c>
      <c r="D352" s="55">
        <v>20747</v>
      </c>
      <c r="E352" s="56">
        <v>12416</v>
      </c>
      <c r="F352" s="57">
        <f t="shared" si="5"/>
        <v>257594752</v>
      </c>
    </row>
    <row r="353" spans="1:6" x14ac:dyDescent="0.25">
      <c r="A353" s="32" t="s">
        <v>810</v>
      </c>
      <c r="B353" s="32" t="s">
        <v>811</v>
      </c>
      <c r="C353" s="32" t="s">
        <v>303</v>
      </c>
      <c r="D353" s="32"/>
      <c r="E353" s="32"/>
      <c r="F353" s="33">
        <f t="shared" si="5"/>
        <v>0</v>
      </c>
    </row>
    <row r="354" spans="1:6" x14ac:dyDescent="0.25">
      <c r="A354" s="32" t="s">
        <v>812</v>
      </c>
      <c r="B354" s="39" t="s">
        <v>215</v>
      </c>
      <c r="C354" s="32" t="s">
        <v>303</v>
      </c>
      <c r="D354" s="55">
        <v>597</v>
      </c>
      <c r="E354" s="56">
        <v>42680</v>
      </c>
      <c r="F354" s="57">
        <f t="shared" si="5"/>
        <v>25479960</v>
      </c>
    </row>
    <row r="355" spans="1:6" x14ac:dyDescent="0.25">
      <c r="A355" s="32" t="s">
        <v>813</v>
      </c>
      <c r="B355" s="32" t="s">
        <v>216</v>
      </c>
      <c r="C355" s="32" t="s">
        <v>303</v>
      </c>
      <c r="D355" s="32"/>
      <c r="E355" s="32"/>
      <c r="F355" s="33">
        <f t="shared" si="5"/>
        <v>0</v>
      </c>
    </row>
    <row r="356" spans="1:6" ht="30" x14ac:dyDescent="0.25">
      <c r="A356" s="32" t="s">
        <v>814</v>
      </c>
      <c r="B356" s="32" t="s">
        <v>815</v>
      </c>
      <c r="C356" s="32" t="s">
        <v>327</v>
      </c>
      <c r="D356" s="32"/>
      <c r="E356" s="32"/>
      <c r="F356" s="33">
        <f t="shared" si="5"/>
        <v>0</v>
      </c>
    </row>
    <row r="357" spans="1:6" ht="30" x14ac:dyDescent="0.25">
      <c r="A357" s="32" t="s">
        <v>816</v>
      </c>
      <c r="B357" s="32" t="s">
        <v>815</v>
      </c>
      <c r="C357" s="32" t="s">
        <v>528</v>
      </c>
      <c r="D357" s="32"/>
      <c r="E357" s="32"/>
      <c r="F357" s="33">
        <f t="shared" si="5"/>
        <v>0</v>
      </c>
    </row>
    <row r="358" spans="1:6" ht="30" x14ac:dyDescent="0.25">
      <c r="A358" s="32" t="s">
        <v>817</v>
      </c>
      <c r="B358" s="32" t="s">
        <v>818</v>
      </c>
      <c r="C358" s="32" t="s">
        <v>528</v>
      </c>
      <c r="D358" s="32"/>
      <c r="E358" s="32"/>
      <c r="F358" s="33">
        <f t="shared" si="5"/>
        <v>0</v>
      </c>
    </row>
    <row r="359" spans="1:6" x14ac:dyDescent="0.25">
      <c r="A359" s="32" t="s">
        <v>819</v>
      </c>
      <c r="B359" s="32" t="s">
        <v>239</v>
      </c>
      <c r="C359" s="32" t="s">
        <v>451</v>
      </c>
      <c r="D359" s="32"/>
      <c r="E359" s="32"/>
      <c r="F359" s="33">
        <f t="shared" si="5"/>
        <v>0</v>
      </c>
    </row>
    <row r="360" spans="1:6" x14ac:dyDescent="0.25">
      <c r="A360" s="32" t="s">
        <v>820</v>
      </c>
      <c r="B360" s="32" t="s">
        <v>821</v>
      </c>
      <c r="C360" s="32" t="s">
        <v>654</v>
      </c>
      <c r="D360" s="32"/>
      <c r="E360" s="32"/>
      <c r="F360" s="33">
        <f t="shared" si="5"/>
        <v>0</v>
      </c>
    </row>
    <row r="361" spans="1:6" x14ac:dyDescent="0.25">
      <c r="A361" s="32" t="s">
        <v>822</v>
      </c>
      <c r="B361" s="39" t="s">
        <v>217</v>
      </c>
      <c r="C361" s="32" t="s">
        <v>654</v>
      </c>
      <c r="D361" s="55">
        <v>90</v>
      </c>
      <c r="E361" s="56">
        <v>180700</v>
      </c>
      <c r="F361" s="57">
        <f t="shared" si="5"/>
        <v>16263000</v>
      </c>
    </row>
    <row r="362" spans="1:6" x14ac:dyDescent="0.25">
      <c r="A362" s="32" t="s">
        <v>823</v>
      </c>
      <c r="B362" s="34" t="s">
        <v>218</v>
      </c>
      <c r="C362" s="32" t="s">
        <v>654</v>
      </c>
      <c r="D362" s="60">
        <v>50</v>
      </c>
      <c r="E362" s="56">
        <v>239590</v>
      </c>
      <c r="F362" s="57">
        <f t="shared" si="5"/>
        <v>11979500</v>
      </c>
    </row>
    <row r="363" spans="1:6" x14ac:dyDescent="0.25">
      <c r="A363" s="32" t="s">
        <v>824</v>
      </c>
      <c r="B363" s="39" t="s">
        <v>219</v>
      </c>
      <c r="C363" s="32" t="s">
        <v>654</v>
      </c>
      <c r="D363" s="55">
        <v>30</v>
      </c>
      <c r="E363" s="56">
        <v>236000</v>
      </c>
      <c r="F363" s="57">
        <f t="shared" si="5"/>
        <v>7080000</v>
      </c>
    </row>
    <row r="364" spans="1:6" x14ac:dyDescent="0.25">
      <c r="A364" s="32" t="s">
        <v>825</v>
      </c>
      <c r="B364" s="34" t="s">
        <v>220</v>
      </c>
      <c r="C364" s="32" t="s">
        <v>303</v>
      </c>
      <c r="D364" s="60">
        <v>72</v>
      </c>
      <c r="E364" s="56">
        <v>24444</v>
      </c>
      <c r="F364" s="57">
        <f t="shared" si="5"/>
        <v>1759968</v>
      </c>
    </row>
    <row r="365" spans="1:6" x14ac:dyDescent="0.25">
      <c r="A365" s="32" t="s">
        <v>826</v>
      </c>
      <c r="B365" s="32" t="s">
        <v>827</v>
      </c>
      <c r="C365" s="32" t="s">
        <v>303</v>
      </c>
      <c r="D365" s="32"/>
      <c r="E365" s="32"/>
      <c r="F365" s="33">
        <f t="shared" si="5"/>
        <v>0</v>
      </c>
    </row>
    <row r="366" spans="1:6" x14ac:dyDescent="0.25">
      <c r="A366" s="32" t="s">
        <v>828</v>
      </c>
      <c r="B366" s="32" t="s">
        <v>829</v>
      </c>
      <c r="C366" s="32" t="s">
        <v>654</v>
      </c>
      <c r="D366" s="32"/>
      <c r="E366" s="32"/>
      <c r="F366" s="33">
        <f t="shared" si="5"/>
        <v>0</v>
      </c>
    </row>
    <row r="367" spans="1:6" x14ac:dyDescent="0.25">
      <c r="A367" s="32" t="s">
        <v>830</v>
      </c>
      <c r="B367" s="39" t="s">
        <v>221</v>
      </c>
      <c r="C367" s="32" t="s">
        <v>303</v>
      </c>
      <c r="D367" s="55">
        <v>3930</v>
      </c>
      <c r="E367" s="56">
        <v>19691</v>
      </c>
      <c r="F367" s="57">
        <f t="shared" si="5"/>
        <v>77385630</v>
      </c>
    </row>
    <row r="368" spans="1:6" x14ac:dyDescent="0.25">
      <c r="A368" s="32" t="s">
        <v>831</v>
      </c>
      <c r="B368" s="39" t="s">
        <v>222</v>
      </c>
      <c r="C368" s="32" t="s">
        <v>303</v>
      </c>
      <c r="D368" s="55">
        <v>892</v>
      </c>
      <c r="E368" s="56">
        <v>25123</v>
      </c>
      <c r="F368" s="57">
        <f t="shared" si="5"/>
        <v>22409716</v>
      </c>
    </row>
    <row r="369" spans="1:6" x14ac:dyDescent="0.25">
      <c r="A369" s="32" t="s">
        <v>832</v>
      </c>
      <c r="B369" s="39" t="s">
        <v>223</v>
      </c>
      <c r="C369" s="32" t="s">
        <v>303</v>
      </c>
      <c r="D369" s="55">
        <v>247</v>
      </c>
      <c r="E369" s="56">
        <v>43262</v>
      </c>
      <c r="F369" s="57">
        <f t="shared" si="5"/>
        <v>10685714</v>
      </c>
    </row>
    <row r="370" spans="1:6" x14ac:dyDescent="0.25">
      <c r="A370" s="32" t="s">
        <v>833</v>
      </c>
      <c r="B370" s="32" t="s">
        <v>224</v>
      </c>
      <c r="C370" s="32" t="s">
        <v>303</v>
      </c>
      <c r="D370" s="32"/>
      <c r="E370" s="32"/>
      <c r="F370" s="33">
        <f t="shared" si="5"/>
        <v>0</v>
      </c>
    </row>
    <row r="371" spans="1:6" x14ac:dyDescent="0.25">
      <c r="A371" s="32" t="s">
        <v>834</v>
      </c>
      <c r="B371" s="39" t="s">
        <v>225</v>
      </c>
      <c r="C371" s="32" t="s">
        <v>303</v>
      </c>
      <c r="D371" s="55">
        <v>232</v>
      </c>
      <c r="E371" s="56">
        <v>20981</v>
      </c>
      <c r="F371" s="57">
        <f t="shared" si="5"/>
        <v>4867592</v>
      </c>
    </row>
    <row r="372" spans="1:6" x14ac:dyDescent="0.25">
      <c r="A372" s="32" t="s">
        <v>835</v>
      </c>
      <c r="B372" s="32" t="s">
        <v>226</v>
      </c>
      <c r="C372" s="32" t="s">
        <v>303</v>
      </c>
      <c r="D372" s="32"/>
      <c r="E372" s="32"/>
      <c r="F372" s="33">
        <f t="shared" si="5"/>
        <v>0</v>
      </c>
    </row>
    <row r="373" spans="1:6" x14ac:dyDescent="0.25">
      <c r="A373" s="32" t="s">
        <v>836</v>
      </c>
      <c r="B373" s="39" t="s">
        <v>837</v>
      </c>
      <c r="C373" s="32" t="s">
        <v>654</v>
      </c>
      <c r="D373" s="55">
        <v>444</v>
      </c>
      <c r="E373" s="56">
        <v>88984</v>
      </c>
      <c r="F373" s="57">
        <f t="shared" si="5"/>
        <v>39508896</v>
      </c>
    </row>
    <row r="374" spans="1:6" x14ac:dyDescent="0.25">
      <c r="A374" s="32" t="s">
        <v>838</v>
      </c>
      <c r="B374" s="39" t="s">
        <v>839</v>
      </c>
      <c r="C374" s="32" t="s">
        <v>654</v>
      </c>
      <c r="D374" s="55">
        <v>123</v>
      </c>
      <c r="E374" s="56">
        <v>87808</v>
      </c>
      <c r="F374" s="57">
        <f t="shared" si="5"/>
        <v>10800384</v>
      </c>
    </row>
    <row r="375" spans="1:6" x14ac:dyDescent="0.25">
      <c r="A375" s="32" t="s">
        <v>840</v>
      </c>
      <c r="B375" s="39" t="s">
        <v>234</v>
      </c>
      <c r="C375" s="32" t="s">
        <v>654</v>
      </c>
      <c r="D375" s="55">
        <v>18807</v>
      </c>
      <c r="E375" s="56">
        <v>59682</v>
      </c>
      <c r="F375" s="57">
        <f t="shared" si="5"/>
        <v>1122439374</v>
      </c>
    </row>
    <row r="376" spans="1:6" x14ac:dyDescent="0.25">
      <c r="A376" s="32" t="s">
        <v>841</v>
      </c>
      <c r="B376" s="39" t="s">
        <v>235</v>
      </c>
      <c r="C376" s="32" t="s">
        <v>451</v>
      </c>
      <c r="D376" s="55">
        <v>144</v>
      </c>
      <c r="E376" s="56">
        <v>70560</v>
      </c>
      <c r="F376" s="57">
        <f t="shared" si="5"/>
        <v>10160640</v>
      </c>
    </row>
    <row r="377" spans="1:6" x14ac:dyDescent="0.25">
      <c r="A377" s="32" t="s">
        <v>842</v>
      </c>
      <c r="B377" s="39" t="s">
        <v>843</v>
      </c>
      <c r="C377" s="32" t="s">
        <v>844</v>
      </c>
      <c r="D377" s="55">
        <v>263</v>
      </c>
      <c r="E377" s="87">
        <v>65170</v>
      </c>
      <c r="F377" s="57">
        <f t="shared" si="5"/>
        <v>17139710</v>
      </c>
    </row>
    <row r="378" spans="1:6" x14ac:dyDescent="0.25">
      <c r="A378" s="47" t="s">
        <v>845</v>
      </c>
      <c r="B378" s="47" t="s">
        <v>231</v>
      </c>
      <c r="C378" s="47" t="s">
        <v>451</v>
      </c>
      <c r="D378" s="48">
        <v>0</v>
      </c>
      <c r="E378" s="48"/>
      <c r="F378" s="33">
        <f t="shared" si="5"/>
        <v>0</v>
      </c>
    </row>
    <row r="379" spans="1:6" x14ac:dyDescent="0.25">
      <c r="A379" s="32" t="s">
        <v>846</v>
      </c>
      <c r="B379" s="32" t="s">
        <v>232</v>
      </c>
      <c r="C379" s="32" t="s">
        <v>451</v>
      </c>
      <c r="D379" s="32"/>
      <c r="E379" s="32"/>
      <c r="F379" s="33">
        <f t="shared" si="5"/>
        <v>0</v>
      </c>
    </row>
    <row r="380" spans="1:6" x14ac:dyDescent="0.25">
      <c r="A380" s="32" t="s">
        <v>847</v>
      </c>
      <c r="B380" s="39" t="s">
        <v>237</v>
      </c>
      <c r="C380" s="32" t="s">
        <v>654</v>
      </c>
      <c r="D380" s="55">
        <v>235</v>
      </c>
      <c r="E380" s="56">
        <v>59290</v>
      </c>
      <c r="F380" s="57">
        <f t="shared" si="5"/>
        <v>13933150</v>
      </c>
    </row>
    <row r="381" spans="1:6" x14ac:dyDescent="0.25">
      <c r="A381" s="32" t="s">
        <v>848</v>
      </c>
      <c r="B381" s="39" t="s">
        <v>238</v>
      </c>
      <c r="C381" s="32" t="s">
        <v>654</v>
      </c>
      <c r="D381" s="40">
        <v>810</v>
      </c>
      <c r="E381" s="38">
        <v>59100.86</v>
      </c>
      <c r="F381" s="33">
        <f t="shared" si="5"/>
        <v>47871696.600000001</v>
      </c>
    </row>
    <row r="382" spans="1:6" x14ac:dyDescent="0.25">
      <c r="A382" s="32" t="s">
        <v>849</v>
      </c>
      <c r="B382" s="39" t="s">
        <v>236</v>
      </c>
      <c r="C382" s="32" t="s">
        <v>654</v>
      </c>
      <c r="D382" s="55">
        <v>412</v>
      </c>
      <c r="E382" s="56">
        <v>64141</v>
      </c>
      <c r="F382" s="57">
        <f t="shared" si="5"/>
        <v>26426092</v>
      </c>
    </row>
    <row r="383" spans="1:6" x14ac:dyDescent="0.25">
      <c r="A383" s="32" t="s">
        <v>850</v>
      </c>
      <c r="B383" s="32" t="s">
        <v>851</v>
      </c>
      <c r="C383" s="32" t="s">
        <v>451</v>
      </c>
      <c r="D383" s="32"/>
      <c r="E383" s="32"/>
      <c r="F383" s="33">
        <f t="shared" si="5"/>
        <v>0</v>
      </c>
    </row>
    <row r="384" spans="1:6" x14ac:dyDescent="0.25">
      <c r="A384" s="32" t="s">
        <v>852</v>
      </c>
      <c r="B384" s="39" t="s">
        <v>229</v>
      </c>
      <c r="C384" s="32" t="s">
        <v>654</v>
      </c>
      <c r="D384" s="55">
        <v>226</v>
      </c>
      <c r="E384" s="56">
        <v>93394</v>
      </c>
      <c r="F384" s="57">
        <f t="shared" si="5"/>
        <v>21107044</v>
      </c>
    </row>
    <row r="385" spans="1:6" ht="30" x14ac:dyDescent="0.25">
      <c r="A385" s="32" t="s">
        <v>853</v>
      </c>
      <c r="B385" s="39" t="s">
        <v>240</v>
      </c>
      <c r="C385" s="32" t="s">
        <v>654</v>
      </c>
      <c r="D385" s="55">
        <v>549</v>
      </c>
      <c r="E385" s="56">
        <v>93492</v>
      </c>
      <c r="F385" s="57">
        <f t="shared" si="5"/>
        <v>51327108</v>
      </c>
    </row>
    <row r="386" spans="1:6" x14ac:dyDescent="0.25">
      <c r="A386" s="32" t="s">
        <v>854</v>
      </c>
      <c r="B386" s="39" t="s">
        <v>241</v>
      </c>
      <c r="C386" s="32" t="s">
        <v>654</v>
      </c>
      <c r="D386" s="55">
        <v>969</v>
      </c>
      <c r="E386" s="56">
        <v>82810</v>
      </c>
      <c r="F386" s="57">
        <f t="shared" si="5"/>
        <v>80242890</v>
      </c>
    </row>
    <row r="387" spans="1:6" x14ac:dyDescent="0.25">
      <c r="A387" s="32" t="s">
        <v>855</v>
      </c>
      <c r="B387" s="39" t="s">
        <v>242</v>
      </c>
      <c r="C387" s="32" t="s">
        <v>654</v>
      </c>
      <c r="D387" s="55">
        <v>158</v>
      </c>
      <c r="E387" s="56">
        <v>72324</v>
      </c>
      <c r="F387" s="57">
        <f t="shared" si="5"/>
        <v>11427192</v>
      </c>
    </row>
    <row r="388" spans="1:6" ht="30" x14ac:dyDescent="0.25">
      <c r="A388" s="32" t="s">
        <v>856</v>
      </c>
      <c r="B388" s="39" t="s">
        <v>857</v>
      </c>
      <c r="C388" s="32" t="s">
        <v>654</v>
      </c>
      <c r="D388" s="55">
        <v>879</v>
      </c>
      <c r="E388" s="56">
        <v>93492</v>
      </c>
      <c r="F388" s="57">
        <f t="shared" si="5"/>
        <v>82179468</v>
      </c>
    </row>
    <row r="389" spans="1:6" x14ac:dyDescent="0.25">
      <c r="A389" s="32" t="s">
        <v>858</v>
      </c>
      <c r="B389" s="32" t="s">
        <v>859</v>
      </c>
      <c r="C389" s="32" t="s">
        <v>654</v>
      </c>
      <c r="D389" s="32"/>
      <c r="E389" s="32"/>
      <c r="F389" s="33">
        <f t="shared" si="5"/>
        <v>0</v>
      </c>
    </row>
    <row r="390" spans="1:6" x14ac:dyDescent="0.25">
      <c r="A390" s="32" t="s">
        <v>860</v>
      </c>
      <c r="B390" s="32" t="s">
        <v>244</v>
      </c>
      <c r="C390" s="32" t="s">
        <v>654</v>
      </c>
      <c r="D390" s="32"/>
      <c r="E390" s="32"/>
      <c r="F390" s="33">
        <f t="shared" ref="F390:F409" si="6">D390*E390</f>
        <v>0</v>
      </c>
    </row>
    <row r="391" spans="1:6" x14ac:dyDescent="0.25">
      <c r="A391" s="32" t="s">
        <v>861</v>
      </c>
      <c r="B391" s="39" t="s">
        <v>243</v>
      </c>
      <c r="C391" s="32" t="s">
        <v>654</v>
      </c>
      <c r="D391" s="40">
        <v>129</v>
      </c>
      <c r="E391" s="38">
        <v>93394</v>
      </c>
      <c r="F391" s="33">
        <f t="shared" si="6"/>
        <v>12047826</v>
      </c>
    </row>
    <row r="392" spans="1:6" x14ac:dyDescent="0.25">
      <c r="A392" s="32" t="s">
        <v>862</v>
      </c>
      <c r="B392" s="32" t="s">
        <v>863</v>
      </c>
      <c r="C392" s="32" t="s">
        <v>864</v>
      </c>
      <c r="D392" s="32"/>
      <c r="E392" s="32"/>
      <c r="F392" s="33">
        <f t="shared" si="6"/>
        <v>0</v>
      </c>
    </row>
    <row r="393" spans="1:6" x14ac:dyDescent="0.25">
      <c r="A393" s="32" t="s">
        <v>865</v>
      </c>
      <c r="B393" s="32" t="s">
        <v>866</v>
      </c>
      <c r="C393" s="32" t="s">
        <v>528</v>
      </c>
      <c r="D393" s="32"/>
      <c r="E393" s="32"/>
      <c r="F393" s="33">
        <f t="shared" si="6"/>
        <v>0</v>
      </c>
    </row>
    <row r="394" spans="1:6" ht="30" x14ac:dyDescent="0.25">
      <c r="A394" s="32" t="s">
        <v>867</v>
      </c>
      <c r="B394" s="39" t="s">
        <v>866</v>
      </c>
      <c r="C394" s="32" t="s">
        <v>864</v>
      </c>
      <c r="D394" s="40">
        <v>10541</v>
      </c>
      <c r="E394" s="38">
        <v>7127.54</v>
      </c>
      <c r="F394" s="33">
        <f t="shared" si="6"/>
        <v>75131399.140000001</v>
      </c>
    </row>
    <row r="395" spans="1:6" x14ac:dyDescent="0.25">
      <c r="A395" s="32" t="s">
        <v>868</v>
      </c>
      <c r="B395" s="32" t="s">
        <v>869</v>
      </c>
      <c r="C395" s="32" t="s">
        <v>528</v>
      </c>
      <c r="D395" s="32"/>
      <c r="E395" s="32"/>
      <c r="F395" s="33">
        <f t="shared" si="6"/>
        <v>0</v>
      </c>
    </row>
    <row r="396" spans="1:6" x14ac:dyDescent="0.25">
      <c r="A396" s="32" t="s">
        <v>870</v>
      </c>
      <c r="B396" s="32" t="s">
        <v>247</v>
      </c>
      <c r="C396" s="32" t="s">
        <v>528</v>
      </c>
      <c r="D396" s="32"/>
      <c r="E396" s="32"/>
      <c r="F396" s="33">
        <f t="shared" si="6"/>
        <v>0</v>
      </c>
    </row>
    <row r="397" spans="1:6" ht="30" x14ac:dyDescent="0.25">
      <c r="A397" s="32" t="s">
        <v>871</v>
      </c>
      <c r="B397" s="39" t="s">
        <v>247</v>
      </c>
      <c r="C397" s="32" t="s">
        <v>864</v>
      </c>
      <c r="D397" s="40">
        <v>46130</v>
      </c>
      <c r="E397" s="38">
        <v>7127.54</v>
      </c>
      <c r="F397" s="33">
        <f t="shared" si="6"/>
        <v>328793420.19999999</v>
      </c>
    </row>
    <row r="398" spans="1:6" x14ac:dyDescent="0.25">
      <c r="A398" s="32" t="s">
        <v>872</v>
      </c>
      <c r="B398" s="32" t="s">
        <v>248</v>
      </c>
      <c r="C398" s="32" t="s">
        <v>528</v>
      </c>
      <c r="D398" s="32"/>
      <c r="E398" s="32"/>
      <c r="F398" s="33">
        <f t="shared" si="6"/>
        <v>0</v>
      </c>
    </row>
    <row r="399" spans="1:6" x14ac:dyDescent="0.25">
      <c r="A399" s="32" t="s">
        <v>873</v>
      </c>
      <c r="B399" s="32" t="s">
        <v>874</v>
      </c>
      <c r="C399" s="32" t="s">
        <v>528</v>
      </c>
      <c r="D399" s="32"/>
      <c r="E399" s="32"/>
      <c r="F399" s="33">
        <f t="shared" si="6"/>
        <v>0</v>
      </c>
    </row>
    <row r="400" spans="1:6" x14ac:dyDescent="0.25">
      <c r="A400" s="32" t="s">
        <v>875</v>
      </c>
      <c r="B400" s="39" t="s">
        <v>248</v>
      </c>
      <c r="C400" s="32" t="s">
        <v>864</v>
      </c>
      <c r="D400" s="122">
        <v>384</v>
      </c>
      <c r="E400" s="122">
        <v>7127.541666666667</v>
      </c>
      <c r="F400" s="57">
        <f t="shared" si="6"/>
        <v>2736976</v>
      </c>
    </row>
    <row r="401" spans="1:6" ht="30" x14ac:dyDescent="0.25">
      <c r="A401" s="32" t="s">
        <v>876</v>
      </c>
      <c r="B401" s="32" t="s">
        <v>249</v>
      </c>
      <c r="C401" s="32" t="s">
        <v>528</v>
      </c>
      <c r="D401" s="53"/>
      <c r="E401" s="53"/>
      <c r="F401" s="57">
        <f t="shared" si="6"/>
        <v>0</v>
      </c>
    </row>
    <row r="402" spans="1:6" ht="30" x14ac:dyDescent="0.25">
      <c r="A402" s="32" t="s">
        <v>877</v>
      </c>
      <c r="B402" s="32" t="s">
        <v>878</v>
      </c>
      <c r="C402" s="32" t="s">
        <v>528</v>
      </c>
      <c r="D402" s="53"/>
      <c r="E402" s="53"/>
      <c r="F402" s="57">
        <f t="shared" si="6"/>
        <v>0</v>
      </c>
    </row>
    <row r="403" spans="1:6" ht="30" x14ac:dyDescent="0.25">
      <c r="A403" s="32" t="s">
        <v>879</v>
      </c>
      <c r="B403" s="49" t="s">
        <v>249</v>
      </c>
      <c r="C403" s="32" t="s">
        <v>864</v>
      </c>
      <c r="D403" s="122">
        <v>691</v>
      </c>
      <c r="E403" s="122">
        <v>7127.541666666667</v>
      </c>
      <c r="F403" s="57">
        <f t="shared" si="6"/>
        <v>4925131.291666667</v>
      </c>
    </row>
    <row r="404" spans="1:6" ht="30" x14ac:dyDescent="0.25">
      <c r="A404" s="32" t="s">
        <v>880</v>
      </c>
      <c r="B404" s="32" t="s">
        <v>881</v>
      </c>
      <c r="C404" s="32" t="s">
        <v>528</v>
      </c>
      <c r="D404" s="53"/>
      <c r="E404" s="53"/>
      <c r="F404" s="57">
        <f t="shared" si="6"/>
        <v>0</v>
      </c>
    </row>
    <row r="405" spans="1:6" ht="30" x14ac:dyDescent="0.25">
      <c r="A405" s="32" t="s">
        <v>882</v>
      </c>
      <c r="B405" s="39" t="s">
        <v>881</v>
      </c>
      <c r="C405" s="32" t="s">
        <v>864</v>
      </c>
      <c r="D405" s="122">
        <v>18621</v>
      </c>
      <c r="E405" s="122">
        <v>7127.541666666667</v>
      </c>
      <c r="F405" s="57">
        <f t="shared" si="6"/>
        <v>132721953.375</v>
      </c>
    </row>
    <row r="406" spans="1:6" x14ac:dyDescent="0.25">
      <c r="A406" s="32" t="s">
        <v>883</v>
      </c>
      <c r="B406" s="32" t="s">
        <v>227</v>
      </c>
      <c r="C406" s="32" t="s">
        <v>528</v>
      </c>
      <c r="D406" s="32"/>
      <c r="E406" s="32"/>
      <c r="F406" s="33">
        <f t="shared" si="6"/>
        <v>0</v>
      </c>
    </row>
    <row r="407" spans="1:6" x14ac:dyDescent="0.25">
      <c r="A407" s="32" t="s">
        <v>884</v>
      </c>
      <c r="B407" s="39" t="s">
        <v>283</v>
      </c>
      <c r="C407" s="32" t="s">
        <v>327</v>
      </c>
      <c r="D407" s="40">
        <v>1685</v>
      </c>
      <c r="E407" s="38">
        <v>35952</v>
      </c>
      <c r="F407" s="33">
        <f t="shared" si="6"/>
        <v>60579120</v>
      </c>
    </row>
    <row r="408" spans="1:6" x14ac:dyDescent="0.25">
      <c r="A408" s="32" t="s">
        <v>885</v>
      </c>
      <c r="B408" s="39" t="s">
        <v>284</v>
      </c>
      <c r="C408" s="32" t="s">
        <v>327</v>
      </c>
      <c r="D408" s="40">
        <v>184</v>
      </c>
      <c r="E408" s="46">
        <v>46032</v>
      </c>
      <c r="F408" s="33">
        <f t="shared" si="6"/>
        <v>8469888</v>
      </c>
    </row>
    <row r="409" spans="1:6" x14ac:dyDescent="0.25">
      <c r="A409" s="32" t="s">
        <v>886</v>
      </c>
      <c r="B409" s="32" t="s">
        <v>285</v>
      </c>
      <c r="C409" s="32" t="s">
        <v>327</v>
      </c>
      <c r="D409" s="32"/>
      <c r="E409" s="32"/>
      <c r="F409" s="33">
        <f t="shared" si="6"/>
        <v>0</v>
      </c>
    </row>
    <row r="410" spans="1:6" x14ac:dyDescent="0.25">
      <c r="F410" s="50">
        <f>SUBTOTAL(9,F5:F409)</f>
        <v>26612853896.816666</v>
      </c>
    </row>
  </sheetData>
  <mergeCells count="1">
    <mergeCell ref="A2:D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F30A7-E82F-4B62-BC5C-6066AB867C37}">
  <dimension ref="A1:Q341"/>
  <sheetViews>
    <sheetView topLeftCell="A265" workbookViewId="0">
      <selection activeCell="M196" sqref="M196"/>
    </sheetView>
  </sheetViews>
  <sheetFormatPr defaultRowHeight="12.75" x14ac:dyDescent="0.2"/>
  <cols>
    <col min="1" max="1" width="64.5703125" style="124" customWidth="1"/>
    <col min="2" max="2" width="9.28515625" style="124" bestFit="1" customWidth="1"/>
    <col min="3" max="3" width="12.7109375" style="124" bestFit="1" customWidth="1"/>
    <col min="4" max="4" width="19.85546875" style="124" bestFit="1" customWidth="1"/>
    <col min="5" max="5" width="12.7109375" style="124" bestFit="1" customWidth="1"/>
    <col min="6" max="6" width="19.85546875" style="124" bestFit="1" customWidth="1"/>
    <col min="7" max="7" width="14.5703125" style="124" bestFit="1" customWidth="1"/>
    <col min="8" max="8" width="21" style="124" bestFit="1" customWidth="1"/>
    <col min="9" max="9" width="12.7109375" style="124" bestFit="1" customWidth="1"/>
    <col min="10" max="10" width="12.7109375" style="139" customWidth="1"/>
    <col min="11" max="11" width="19.85546875" style="124" bestFit="1" customWidth="1"/>
    <col min="12" max="12" width="9.85546875" style="130" bestFit="1" customWidth="1"/>
    <col min="13" max="13" width="27.7109375" style="124" customWidth="1"/>
    <col min="14" max="15" width="9.140625" style="124"/>
    <col min="16" max="16" width="31.7109375" style="124" customWidth="1"/>
    <col min="17" max="17" width="11.140625" style="130" bestFit="1" customWidth="1"/>
    <col min="18" max="16384" width="9.140625" style="124"/>
  </cols>
  <sheetData>
    <row r="1" spans="1:12" ht="18.75" x14ac:dyDescent="0.2">
      <c r="A1" s="216" t="s">
        <v>947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</row>
    <row r="2" spans="1:12" ht="14.25" x14ac:dyDescent="0.2">
      <c r="A2" s="126"/>
      <c r="B2" s="126"/>
      <c r="C2" s="126" t="s">
        <v>0</v>
      </c>
      <c r="D2" s="126"/>
      <c r="E2" s="126" t="s">
        <v>1</v>
      </c>
      <c r="F2" s="126"/>
      <c r="G2" s="126" t="s">
        <v>2</v>
      </c>
      <c r="H2" s="126"/>
      <c r="I2" s="126" t="s">
        <v>3</v>
      </c>
      <c r="J2" s="137"/>
      <c r="K2" s="126"/>
      <c r="L2" s="132"/>
    </row>
    <row r="3" spans="1:12" ht="14.25" x14ac:dyDescent="0.2">
      <c r="A3" s="126" t="s">
        <v>4</v>
      </c>
      <c r="B3" s="126" t="s">
        <v>5</v>
      </c>
      <c r="C3" s="126" t="s">
        <v>6</v>
      </c>
      <c r="D3" s="126" t="s">
        <v>7</v>
      </c>
      <c r="E3" s="126" t="s">
        <v>8</v>
      </c>
      <c r="F3" s="126" t="s">
        <v>9</v>
      </c>
      <c r="G3" s="126" t="s">
        <v>6</v>
      </c>
      <c r="H3" s="126" t="s">
        <v>10</v>
      </c>
      <c r="I3" s="126" t="s">
        <v>6</v>
      </c>
      <c r="J3" s="137" t="s">
        <v>950</v>
      </c>
      <c r="K3" s="126" t="s">
        <v>9</v>
      </c>
      <c r="L3" s="132" t="s">
        <v>948</v>
      </c>
    </row>
    <row r="4" spans="1:12" ht="15" x14ac:dyDescent="0.25">
      <c r="A4" s="123" t="s">
        <v>11</v>
      </c>
      <c r="B4" s="123">
        <v>12</v>
      </c>
      <c r="C4" s="125">
        <v>226</v>
      </c>
      <c r="D4" s="125">
        <v>6255676</v>
      </c>
      <c r="E4" s="125">
        <v>100</v>
      </c>
      <c r="F4" s="125">
        <v>2774400</v>
      </c>
      <c r="G4" s="125">
        <v>100</v>
      </c>
      <c r="H4" s="125">
        <f>D4+F4-K4</f>
        <v>2769962</v>
      </c>
      <c r="I4" s="125">
        <v>226</v>
      </c>
      <c r="J4" s="136"/>
      <c r="K4" s="125">
        <v>6260114</v>
      </c>
      <c r="L4" s="131">
        <f>K4/I4</f>
        <v>27699.619469026547</v>
      </c>
    </row>
    <row r="5" spans="1:12" ht="15" x14ac:dyDescent="0.25">
      <c r="A5" s="123" t="s">
        <v>12</v>
      </c>
      <c r="B5" s="123">
        <v>12</v>
      </c>
      <c r="C5" s="125">
        <v>0</v>
      </c>
      <c r="D5" s="125">
        <v>0</v>
      </c>
      <c r="E5" s="125">
        <v>60</v>
      </c>
      <c r="F5" s="125">
        <v>1188660</v>
      </c>
      <c r="G5" s="125">
        <v>60</v>
      </c>
      <c r="H5" s="125">
        <f t="shared" ref="H5:H68" si="0">D5+F5-K5</f>
        <v>1188660</v>
      </c>
      <c r="I5" s="125">
        <v>0</v>
      </c>
      <c r="J5" s="136"/>
      <c r="K5" s="125">
        <v>0</v>
      </c>
      <c r="L5" s="131"/>
    </row>
    <row r="6" spans="1:12" ht="15" x14ac:dyDescent="0.25">
      <c r="A6" s="123" t="s">
        <v>13</v>
      </c>
      <c r="B6" s="123">
        <v>12</v>
      </c>
      <c r="C6" s="125">
        <v>587</v>
      </c>
      <c r="D6" s="125">
        <v>19248466</v>
      </c>
      <c r="E6" s="125">
        <v>0</v>
      </c>
      <c r="F6" s="125">
        <v>0</v>
      </c>
      <c r="G6" s="125">
        <v>338</v>
      </c>
      <c r="H6" s="125">
        <f t="shared" si="0"/>
        <v>14931342</v>
      </c>
      <c r="I6" s="125">
        <v>249</v>
      </c>
      <c r="J6" s="136"/>
      <c r="K6" s="125">
        <v>4317124</v>
      </c>
      <c r="L6" s="131">
        <f t="shared" ref="L6:L69" si="1">K6/I6</f>
        <v>17337.847389558232</v>
      </c>
    </row>
    <row r="7" spans="1:12" ht="15" x14ac:dyDescent="0.25">
      <c r="A7" s="123" t="s">
        <v>14</v>
      </c>
      <c r="B7" s="123">
        <v>12</v>
      </c>
      <c r="C7" s="125">
        <v>120</v>
      </c>
      <c r="D7" s="125">
        <v>35752144</v>
      </c>
      <c r="E7" s="125">
        <v>0</v>
      </c>
      <c r="F7" s="125">
        <v>0</v>
      </c>
      <c r="G7" s="125">
        <v>120</v>
      </c>
      <c r="H7" s="125">
        <f t="shared" si="0"/>
        <v>35752144</v>
      </c>
      <c r="I7" s="125">
        <v>0</v>
      </c>
      <c r="J7" s="136"/>
      <c r="K7" s="125">
        <v>0</v>
      </c>
      <c r="L7" s="131"/>
    </row>
    <row r="8" spans="1:12" ht="15" x14ac:dyDescent="0.25">
      <c r="A8" s="123" t="s">
        <v>15</v>
      </c>
      <c r="B8" s="123">
        <v>12</v>
      </c>
      <c r="C8" s="125">
        <v>504</v>
      </c>
      <c r="D8" s="125">
        <v>68557545</v>
      </c>
      <c r="E8" s="125">
        <v>0</v>
      </c>
      <c r="F8" s="125">
        <v>0</v>
      </c>
      <c r="G8" s="125">
        <v>134</v>
      </c>
      <c r="H8" s="125">
        <f t="shared" si="0"/>
        <v>37679444</v>
      </c>
      <c r="I8" s="125">
        <v>370</v>
      </c>
      <c r="J8" s="136"/>
      <c r="K8" s="125">
        <v>30878101</v>
      </c>
      <c r="L8" s="131">
        <f t="shared" si="1"/>
        <v>83454.32702702703</v>
      </c>
    </row>
    <row r="9" spans="1:12" ht="15" x14ac:dyDescent="0.25">
      <c r="A9" s="123" t="s">
        <v>16</v>
      </c>
      <c r="B9" s="123">
        <v>12</v>
      </c>
      <c r="C9" s="125">
        <v>344</v>
      </c>
      <c r="D9" s="125">
        <v>53839916</v>
      </c>
      <c r="E9" s="125">
        <v>0</v>
      </c>
      <c r="F9" s="125">
        <v>0</v>
      </c>
      <c r="G9" s="125">
        <v>34</v>
      </c>
      <c r="H9" s="125">
        <f t="shared" si="0"/>
        <v>30363208</v>
      </c>
      <c r="I9" s="125">
        <v>310</v>
      </c>
      <c r="J9" s="136"/>
      <c r="K9" s="125">
        <v>23476708</v>
      </c>
      <c r="L9" s="131">
        <f t="shared" si="1"/>
        <v>75731.316129032261</v>
      </c>
    </row>
    <row r="10" spans="1:12" ht="15" x14ac:dyDescent="0.25">
      <c r="A10" s="123" t="s">
        <v>17</v>
      </c>
      <c r="B10" s="123">
        <v>12</v>
      </c>
      <c r="C10" s="125">
        <v>153</v>
      </c>
      <c r="D10" s="125">
        <v>36613751</v>
      </c>
      <c r="E10" s="125">
        <v>0</v>
      </c>
      <c r="F10" s="125">
        <v>0</v>
      </c>
      <c r="G10" s="125">
        <v>153</v>
      </c>
      <c r="H10" s="125">
        <f t="shared" si="0"/>
        <v>36613751</v>
      </c>
      <c r="I10" s="125">
        <v>0</v>
      </c>
      <c r="J10" s="136"/>
      <c r="K10" s="125">
        <v>0</v>
      </c>
      <c r="L10" s="131"/>
    </row>
    <row r="11" spans="1:12" ht="15" x14ac:dyDescent="0.25">
      <c r="A11" s="123" t="s">
        <v>18</v>
      </c>
      <c r="B11" s="123">
        <v>12</v>
      </c>
      <c r="C11" s="125">
        <v>554</v>
      </c>
      <c r="D11" s="125">
        <v>12063982</v>
      </c>
      <c r="E11" s="125">
        <v>0</v>
      </c>
      <c r="F11" s="125">
        <v>0</v>
      </c>
      <c r="G11" s="125">
        <v>344</v>
      </c>
      <c r="H11" s="125">
        <f t="shared" si="0"/>
        <v>9537950</v>
      </c>
      <c r="I11" s="125">
        <v>210</v>
      </c>
      <c r="J11" s="136"/>
      <c r="K11" s="125">
        <v>2526032</v>
      </c>
      <c r="L11" s="131">
        <f t="shared" si="1"/>
        <v>12028.72380952381</v>
      </c>
    </row>
    <row r="12" spans="1:12" ht="15" x14ac:dyDescent="0.25">
      <c r="A12" s="123" t="s">
        <v>19</v>
      </c>
      <c r="B12" s="123">
        <v>12</v>
      </c>
      <c r="C12" s="125">
        <v>180</v>
      </c>
      <c r="D12" s="125">
        <v>3904035</v>
      </c>
      <c r="E12" s="125">
        <v>0</v>
      </c>
      <c r="F12" s="125">
        <v>0</v>
      </c>
      <c r="G12" s="125">
        <v>40</v>
      </c>
      <c r="H12" s="125">
        <f t="shared" si="0"/>
        <v>2212287</v>
      </c>
      <c r="I12" s="125">
        <v>140</v>
      </c>
      <c r="J12" s="136"/>
      <c r="K12" s="125">
        <v>1691748</v>
      </c>
      <c r="L12" s="131">
        <f t="shared" si="1"/>
        <v>12083.914285714285</v>
      </c>
    </row>
    <row r="13" spans="1:12" ht="15" x14ac:dyDescent="0.25">
      <c r="A13" s="123" t="s">
        <v>20</v>
      </c>
      <c r="B13" s="123">
        <v>12</v>
      </c>
      <c r="C13" s="125">
        <v>295</v>
      </c>
      <c r="D13" s="125">
        <v>31404753</v>
      </c>
      <c r="E13" s="125">
        <v>0</v>
      </c>
      <c r="F13" s="125">
        <v>0</v>
      </c>
      <c r="G13" s="125">
        <v>277</v>
      </c>
      <c r="H13" s="125">
        <f t="shared" si="0"/>
        <v>29488531</v>
      </c>
      <c r="I13" s="125">
        <v>18</v>
      </c>
      <c r="J13" s="136"/>
      <c r="K13" s="125">
        <v>1916222</v>
      </c>
      <c r="L13" s="131">
        <f t="shared" si="1"/>
        <v>106456.77777777778</v>
      </c>
    </row>
    <row r="14" spans="1:12" ht="15" x14ac:dyDescent="0.25">
      <c r="A14" s="123" t="s">
        <v>21</v>
      </c>
      <c r="B14" s="123">
        <v>12</v>
      </c>
      <c r="C14" s="125">
        <v>170</v>
      </c>
      <c r="D14" s="125">
        <v>40681945</v>
      </c>
      <c r="E14" s="125">
        <v>0</v>
      </c>
      <c r="F14" s="125">
        <v>0</v>
      </c>
      <c r="G14" s="125">
        <v>88</v>
      </c>
      <c r="H14" s="125">
        <f t="shared" si="0"/>
        <v>29195278</v>
      </c>
      <c r="I14" s="125">
        <v>82</v>
      </c>
      <c r="J14" s="136"/>
      <c r="K14" s="125">
        <v>11486667</v>
      </c>
      <c r="L14" s="131">
        <f t="shared" si="1"/>
        <v>140081.30487804877</v>
      </c>
    </row>
    <row r="15" spans="1:12" ht="15" x14ac:dyDescent="0.25">
      <c r="A15" s="123" t="s">
        <v>22</v>
      </c>
      <c r="B15" s="123">
        <v>12</v>
      </c>
      <c r="C15" s="125">
        <v>18</v>
      </c>
      <c r="D15" s="125">
        <v>407934</v>
      </c>
      <c r="E15" s="125">
        <v>0</v>
      </c>
      <c r="F15" s="125">
        <v>0</v>
      </c>
      <c r="G15" s="125">
        <v>18</v>
      </c>
      <c r="H15" s="125">
        <f t="shared" si="0"/>
        <v>407934</v>
      </c>
      <c r="I15" s="125">
        <v>0</v>
      </c>
      <c r="J15" s="136"/>
      <c r="K15" s="125">
        <v>0</v>
      </c>
      <c r="L15" s="131"/>
    </row>
    <row r="16" spans="1:12" ht="15" x14ac:dyDescent="0.25">
      <c r="A16" s="123" t="s">
        <v>23</v>
      </c>
      <c r="B16" s="123">
        <v>12</v>
      </c>
      <c r="C16" s="125">
        <v>0</v>
      </c>
      <c r="D16" s="125">
        <v>0</v>
      </c>
      <c r="E16" s="125">
        <v>3</v>
      </c>
      <c r="F16" s="125">
        <v>57891</v>
      </c>
      <c r="G16" s="125">
        <v>3</v>
      </c>
      <c r="H16" s="125">
        <f t="shared" si="0"/>
        <v>57891</v>
      </c>
      <c r="I16" s="125">
        <v>0</v>
      </c>
      <c r="J16" s="136"/>
      <c r="K16" s="125">
        <v>0</v>
      </c>
      <c r="L16" s="131"/>
    </row>
    <row r="17" spans="1:15" ht="15" x14ac:dyDescent="0.25">
      <c r="A17" s="123" t="s">
        <v>24</v>
      </c>
      <c r="B17" s="123">
        <v>12</v>
      </c>
      <c r="C17" s="125">
        <v>0</v>
      </c>
      <c r="D17" s="125">
        <v>0</v>
      </c>
      <c r="E17" s="125">
        <v>12</v>
      </c>
      <c r="F17" s="125">
        <v>231564</v>
      </c>
      <c r="G17" s="125">
        <v>12</v>
      </c>
      <c r="H17" s="125">
        <f t="shared" si="0"/>
        <v>231564</v>
      </c>
      <c r="I17" s="125">
        <v>0</v>
      </c>
      <c r="J17" s="136"/>
      <c r="K17" s="125">
        <v>0</v>
      </c>
      <c r="L17" s="131"/>
    </row>
    <row r="18" spans="1:15" ht="15" x14ac:dyDescent="0.25">
      <c r="A18" s="123" t="s">
        <v>25</v>
      </c>
      <c r="B18" s="123">
        <v>12</v>
      </c>
      <c r="C18" s="125">
        <v>72</v>
      </c>
      <c r="D18" s="125">
        <v>1533524</v>
      </c>
      <c r="E18" s="125">
        <v>35</v>
      </c>
      <c r="F18" s="125">
        <v>745360</v>
      </c>
      <c r="G18" s="125">
        <v>67</v>
      </c>
      <c r="H18" s="125">
        <f t="shared" si="0"/>
        <v>1490606</v>
      </c>
      <c r="I18" s="125">
        <v>40</v>
      </c>
      <c r="J18" s="136"/>
      <c r="K18" s="125">
        <v>788278</v>
      </c>
      <c r="L18" s="131">
        <f t="shared" si="1"/>
        <v>19706.95</v>
      </c>
    </row>
    <row r="19" spans="1:15" ht="15" x14ac:dyDescent="0.25">
      <c r="A19" s="123" t="s">
        <v>26</v>
      </c>
      <c r="B19" s="123">
        <v>12</v>
      </c>
      <c r="C19" s="125">
        <v>96</v>
      </c>
      <c r="D19" s="125">
        <v>2486575</v>
      </c>
      <c r="E19" s="125">
        <v>51</v>
      </c>
      <c r="F19" s="125">
        <v>1322226</v>
      </c>
      <c r="G19" s="125">
        <v>4</v>
      </c>
      <c r="H19" s="125">
        <f t="shared" si="0"/>
        <v>388653</v>
      </c>
      <c r="I19" s="125">
        <v>143</v>
      </c>
      <c r="J19" s="136"/>
      <c r="K19" s="125">
        <v>3420148</v>
      </c>
      <c r="L19" s="131">
        <f t="shared" si="1"/>
        <v>23917.11888111888</v>
      </c>
    </row>
    <row r="20" spans="1:15" ht="15" x14ac:dyDescent="0.25">
      <c r="A20" s="123" t="s">
        <v>27</v>
      </c>
      <c r="B20" s="123">
        <v>12</v>
      </c>
      <c r="C20" s="125">
        <v>67</v>
      </c>
      <c r="D20" s="125">
        <v>2083589</v>
      </c>
      <c r="E20" s="125">
        <v>0</v>
      </c>
      <c r="F20" s="125">
        <v>0</v>
      </c>
      <c r="G20" s="125">
        <v>1</v>
      </c>
      <c r="H20" s="125">
        <f t="shared" si="0"/>
        <v>155492</v>
      </c>
      <c r="I20" s="125">
        <v>66</v>
      </c>
      <c r="J20" s="136"/>
      <c r="K20" s="125">
        <v>1928097</v>
      </c>
      <c r="L20" s="131">
        <f t="shared" si="1"/>
        <v>29213.590909090908</v>
      </c>
    </row>
    <row r="21" spans="1:15" ht="15" x14ac:dyDescent="0.25">
      <c r="A21" s="123" t="s">
        <v>28</v>
      </c>
      <c r="B21" s="123">
        <v>12</v>
      </c>
      <c r="C21" s="125">
        <v>650</v>
      </c>
      <c r="D21" s="125">
        <v>74700000</v>
      </c>
      <c r="E21" s="125">
        <v>160</v>
      </c>
      <c r="F21" s="125">
        <v>18432000</v>
      </c>
      <c r="G21" s="125">
        <v>0</v>
      </c>
      <c r="H21" s="125">
        <f t="shared" si="0"/>
        <v>0</v>
      </c>
      <c r="I21" s="125">
        <v>810</v>
      </c>
      <c r="J21" s="136"/>
      <c r="K21" s="125">
        <v>93132000</v>
      </c>
      <c r="L21" s="131">
        <f t="shared" si="1"/>
        <v>114977.77777777778</v>
      </c>
    </row>
    <row r="22" spans="1:15" ht="15" x14ac:dyDescent="0.25">
      <c r="A22" s="123" t="s">
        <v>29</v>
      </c>
      <c r="B22" s="123">
        <v>12</v>
      </c>
      <c r="C22" s="125">
        <v>280</v>
      </c>
      <c r="D22" s="125">
        <v>74052080</v>
      </c>
      <c r="E22" s="125">
        <v>0</v>
      </c>
      <c r="F22" s="125">
        <v>0</v>
      </c>
      <c r="G22" s="125">
        <v>0</v>
      </c>
      <c r="H22" s="125">
        <f t="shared" si="0"/>
        <v>0</v>
      </c>
      <c r="I22" s="125">
        <v>280</v>
      </c>
      <c r="J22" s="136"/>
      <c r="K22" s="125">
        <v>74052080</v>
      </c>
      <c r="L22" s="131">
        <f t="shared" si="1"/>
        <v>264471.71428571426</v>
      </c>
    </row>
    <row r="23" spans="1:15" ht="15" x14ac:dyDescent="0.25">
      <c r="A23" s="123" t="s">
        <v>30</v>
      </c>
      <c r="B23" s="123">
        <v>12</v>
      </c>
      <c r="C23" s="125">
        <v>102</v>
      </c>
      <c r="D23" s="125">
        <v>19779439</v>
      </c>
      <c r="E23" s="125">
        <v>0</v>
      </c>
      <c r="F23" s="125">
        <v>0</v>
      </c>
      <c r="G23" s="125">
        <v>100</v>
      </c>
      <c r="H23" s="125">
        <f t="shared" si="0"/>
        <v>19391607</v>
      </c>
      <c r="I23" s="125">
        <v>2</v>
      </c>
      <c r="J23" s="136"/>
      <c r="K23" s="125">
        <v>387832</v>
      </c>
      <c r="L23" s="131">
        <f t="shared" si="1"/>
        <v>193916</v>
      </c>
    </row>
    <row r="24" spans="1:15" ht="15" x14ac:dyDescent="0.25">
      <c r="A24" s="123" t="s">
        <v>31</v>
      </c>
      <c r="B24" s="123">
        <v>12</v>
      </c>
      <c r="C24" s="125">
        <v>0</v>
      </c>
      <c r="D24" s="125">
        <v>0</v>
      </c>
      <c r="E24" s="125">
        <v>50</v>
      </c>
      <c r="F24" s="125">
        <v>8509100</v>
      </c>
      <c r="G24" s="125">
        <v>0</v>
      </c>
      <c r="H24" s="125">
        <f t="shared" si="0"/>
        <v>0</v>
      </c>
      <c r="I24" s="125">
        <v>50</v>
      </c>
      <c r="J24" s="136"/>
      <c r="K24" s="125">
        <v>8509100</v>
      </c>
      <c r="L24" s="131">
        <f t="shared" si="1"/>
        <v>170182</v>
      </c>
    </row>
    <row r="25" spans="1:15" ht="15" x14ac:dyDescent="0.25">
      <c r="A25" s="123" t="s">
        <v>32</v>
      </c>
      <c r="B25" s="123">
        <v>12</v>
      </c>
      <c r="C25" s="125">
        <v>137</v>
      </c>
      <c r="D25" s="125">
        <v>22821826</v>
      </c>
      <c r="E25" s="125">
        <v>0</v>
      </c>
      <c r="F25" s="125">
        <v>0</v>
      </c>
      <c r="G25" s="125">
        <v>20</v>
      </c>
      <c r="H25" s="125">
        <f t="shared" si="0"/>
        <v>3331653</v>
      </c>
      <c r="I25" s="125">
        <v>117</v>
      </c>
      <c r="J25" s="136"/>
      <c r="K25" s="125">
        <v>19490173</v>
      </c>
      <c r="L25" s="131">
        <f t="shared" si="1"/>
        <v>166582.67521367522</v>
      </c>
    </row>
    <row r="26" spans="1:15" ht="15" x14ac:dyDescent="0.25">
      <c r="A26" s="123" t="s">
        <v>33</v>
      </c>
      <c r="B26" s="123">
        <v>12</v>
      </c>
      <c r="C26" s="125">
        <v>106</v>
      </c>
      <c r="D26" s="125">
        <v>16323470</v>
      </c>
      <c r="E26" s="125">
        <v>45</v>
      </c>
      <c r="F26" s="125">
        <v>10556505</v>
      </c>
      <c r="G26" s="125">
        <v>58</v>
      </c>
      <c r="H26" s="125">
        <f t="shared" si="0"/>
        <v>4984366</v>
      </c>
      <c r="I26" s="125">
        <v>93</v>
      </c>
      <c r="J26" s="136"/>
      <c r="K26" s="125">
        <v>21895609</v>
      </c>
      <c r="L26" s="131">
        <f t="shared" si="1"/>
        <v>235436.65591397849</v>
      </c>
    </row>
    <row r="27" spans="1:15" ht="15" x14ac:dyDescent="0.25">
      <c r="A27" s="123" t="s">
        <v>34</v>
      </c>
      <c r="B27" s="123">
        <v>12</v>
      </c>
      <c r="C27" s="125">
        <v>94</v>
      </c>
      <c r="D27" s="125">
        <v>17372116</v>
      </c>
      <c r="E27" s="125">
        <v>40</v>
      </c>
      <c r="F27" s="125">
        <v>9383560</v>
      </c>
      <c r="G27" s="125">
        <v>63</v>
      </c>
      <c r="H27" s="125">
        <f t="shared" si="0"/>
        <v>9983461</v>
      </c>
      <c r="I27" s="125">
        <v>71</v>
      </c>
      <c r="J27" s="136"/>
      <c r="K27" s="125">
        <v>16772215</v>
      </c>
      <c r="L27" s="131">
        <f t="shared" si="1"/>
        <v>236228.38028169013</v>
      </c>
    </row>
    <row r="28" spans="1:15" ht="15" x14ac:dyDescent="0.25">
      <c r="A28" s="123" t="s">
        <v>35</v>
      </c>
      <c r="B28" s="123">
        <v>12</v>
      </c>
      <c r="C28" s="125">
        <v>351</v>
      </c>
      <c r="D28" s="125">
        <v>40194000</v>
      </c>
      <c r="E28" s="125">
        <v>0</v>
      </c>
      <c r="F28" s="125">
        <v>0</v>
      </c>
      <c r="G28" s="125">
        <v>0</v>
      </c>
      <c r="H28" s="125">
        <f t="shared" si="0"/>
        <v>0</v>
      </c>
      <c r="I28" s="125">
        <v>351</v>
      </c>
      <c r="J28" s="136"/>
      <c r="K28" s="125">
        <v>40194000</v>
      </c>
      <c r="L28" s="131">
        <f t="shared" si="1"/>
        <v>114512.82051282052</v>
      </c>
    </row>
    <row r="29" spans="1:15" ht="15" x14ac:dyDescent="0.25">
      <c r="A29" s="123" t="s">
        <v>36</v>
      </c>
      <c r="B29" s="123">
        <v>12</v>
      </c>
      <c r="C29" s="125">
        <v>40</v>
      </c>
      <c r="D29" s="125">
        <v>1818200</v>
      </c>
      <c r="E29" s="125">
        <v>0</v>
      </c>
      <c r="F29" s="125">
        <v>0</v>
      </c>
      <c r="G29" s="125">
        <v>0</v>
      </c>
      <c r="H29" s="125">
        <f t="shared" si="0"/>
        <v>0</v>
      </c>
      <c r="I29" s="125">
        <v>40</v>
      </c>
      <c r="J29" s="136"/>
      <c r="K29" s="125">
        <v>1818200</v>
      </c>
      <c r="L29" s="131">
        <f t="shared" si="1"/>
        <v>45455</v>
      </c>
    </row>
    <row r="30" spans="1:15" ht="18.75" customHeight="1" x14ac:dyDescent="0.25">
      <c r="A30" s="123" t="s">
        <v>37</v>
      </c>
      <c r="B30" s="123">
        <v>12</v>
      </c>
      <c r="C30" s="125">
        <v>833</v>
      </c>
      <c r="D30" s="125">
        <v>46378988</v>
      </c>
      <c r="E30" s="125">
        <v>4571</v>
      </c>
      <c r="F30" s="125">
        <v>254508576</v>
      </c>
      <c r="G30" s="125">
        <v>5404</v>
      </c>
      <c r="H30" s="125">
        <f t="shared" si="0"/>
        <v>300887564</v>
      </c>
      <c r="I30" s="125">
        <v>0</v>
      </c>
      <c r="J30" s="136"/>
      <c r="K30" s="125">
        <v>0</v>
      </c>
      <c r="L30" s="131"/>
      <c r="M30" s="134" t="s">
        <v>338</v>
      </c>
      <c r="N30" s="135" t="s">
        <v>303</v>
      </c>
      <c r="O30" s="133">
        <v>729</v>
      </c>
    </row>
    <row r="31" spans="1:15" ht="18.75" customHeight="1" x14ac:dyDescent="0.25">
      <c r="A31" s="123" t="s">
        <v>38</v>
      </c>
      <c r="B31" s="123">
        <v>12</v>
      </c>
      <c r="C31" s="125">
        <v>273867</v>
      </c>
      <c r="D31" s="125">
        <v>255643095</v>
      </c>
      <c r="E31" s="125">
        <v>8568</v>
      </c>
      <c r="F31" s="125">
        <v>267390144</v>
      </c>
      <c r="G31" s="125">
        <v>274625</v>
      </c>
      <c r="H31" s="125">
        <f t="shared" si="0"/>
        <v>279311599</v>
      </c>
      <c r="I31" s="125">
        <v>7810</v>
      </c>
      <c r="J31" s="136"/>
      <c r="K31" s="125">
        <v>243721640</v>
      </c>
      <c r="L31" s="131">
        <f t="shared" si="1"/>
        <v>31206.355953905251</v>
      </c>
      <c r="M31" s="134" t="s">
        <v>342</v>
      </c>
      <c r="N31" s="135" t="s">
        <v>303</v>
      </c>
      <c r="O31" s="133">
        <v>120</v>
      </c>
    </row>
    <row r="32" spans="1:15" ht="18.75" customHeight="1" x14ac:dyDescent="0.25">
      <c r="A32" s="123" t="s">
        <v>39</v>
      </c>
      <c r="B32" s="123">
        <v>12</v>
      </c>
      <c r="C32" s="125">
        <v>25915</v>
      </c>
      <c r="D32" s="125">
        <v>50321430</v>
      </c>
      <c r="E32" s="125">
        <v>1500</v>
      </c>
      <c r="F32" s="125">
        <v>54276000</v>
      </c>
      <c r="G32" s="125">
        <v>26863</v>
      </c>
      <c r="H32" s="125">
        <f t="shared" si="0"/>
        <v>84634375</v>
      </c>
      <c r="I32" s="125">
        <v>552</v>
      </c>
      <c r="J32" s="136"/>
      <c r="K32" s="125">
        <v>19963055</v>
      </c>
      <c r="L32" s="131">
        <f t="shared" si="1"/>
        <v>36164.954710144928</v>
      </c>
      <c r="M32" s="134" t="s">
        <v>344</v>
      </c>
      <c r="N32" s="135" t="s">
        <v>303</v>
      </c>
      <c r="O32" s="133">
        <v>3377</v>
      </c>
    </row>
    <row r="33" spans="1:15" ht="18.75" customHeight="1" x14ac:dyDescent="0.25">
      <c r="A33" s="123" t="s">
        <v>40</v>
      </c>
      <c r="B33" s="123">
        <v>12</v>
      </c>
      <c r="C33" s="125">
        <v>2430</v>
      </c>
      <c r="D33" s="125">
        <v>87927120</v>
      </c>
      <c r="E33" s="125">
        <v>0</v>
      </c>
      <c r="F33" s="125">
        <v>0</v>
      </c>
      <c r="G33" s="125">
        <v>0</v>
      </c>
      <c r="H33" s="125">
        <f t="shared" si="0"/>
        <v>0</v>
      </c>
      <c r="I33" s="125">
        <v>2430</v>
      </c>
      <c r="J33" s="136"/>
      <c r="K33" s="125">
        <v>87927120</v>
      </c>
      <c r="L33" s="131">
        <f t="shared" si="1"/>
        <v>36184</v>
      </c>
      <c r="M33" s="134" t="s">
        <v>42</v>
      </c>
      <c r="N33" s="135" t="s">
        <v>327</v>
      </c>
      <c r="O33" s="133">
        <v>130</v>
      </c>
    </row>
    <row r="34" spans="1:15" ht="18.75" customHeight="1" x14ac:dyDescent="0.25">
      <c r="A34" s="123" t="s">
        <v>41</v>
      </c>
      <c r="B34" s="123">
        <v>12</v>
      </c>
      <c r="C34" s="125">
        <v>0</v>
      </c>
      <c r="D34" s="125">
        <v>189538</v>
      </c>
      <c r="E34" s="125">
        <v>0</v>
      </c>
      <c r="F34" s="125">
        <v>0</v>
      </c>
      <c r="G34" s="125">
        <v>0</v>
      </c>
      <c r="H34" s="125">
        <f t="shared" si="0"/>
        <v>0</v>
      </c>
      <c r="I34" s="125">
        <v>0</v>
      </c>
      <c r="J34" s="136"/>
      <c r="K34" s="125">
        <v>189538</v>
      </c>
      <c r="L34" s="131"/>
      <c r="M34" s="134" t="s">
        <v>44</v>
      </c>
      <c r="N34" s="135" t="s">
        <v>327</v>
      </c>
      <c r="O34" s="133">
        <v>750</v>
      </c>
    </row>
    <row r="35" spans="1:15" ht="18.75" customHeight="1" x14ac:dyDescent="0.25">
      <c r="A35" s="123" t="s">
        <v>42</v>
      </c>
      <c r="B35" s="123">
        <v>12</v>
      </c>
      <c r="C35" s="125">
        <v>160</v>
      </c>
      <c r="D35" s="125">
        <v>8538638</v>
      </c>
      <c r="E35" s="125">
        <v>0</v>
      </c>
      <c r="F35" s="125">
        <v>0</v>
      </c>
      <c r="G35" s="125">
        <v>26</v>
      </c>
      <c r="H35" s="125">
        <f t="shared" si="0"/>
        <v>1526583</v>
      </c>
      <c r="I35" s="125">
        <v>134</v>
      </c>
      <c r="J35" s="136"/>
      <c r="K35" s="125">
        <v>7012055</v>
      </c>
      <c r="L35" s="131">
        <f t="shared" si="1"/>
        <v>52328.76865671642</v>
      </c>
      <c r="M35" s="134" t="s">
        <v>45</v>
      </c>
      <c r="N35" s="135" t="s">
        <v>327</v>
      </c>
      <c r="O35" s="133">
        <v>245</v>
      </c>
    </row>
    <row r="36" spans="1:15" ht="18.75" customHeight="1" x14ac:dyDescent="0.25">
      <c r="A36" s="123" t="s">
        <v>43</v>
      </c>
      <c r="B36" s="123">
        <v>12</v>
      </c>
      <c r="C36" s="125">
        <v>0</v>
      </c>
      <c r="D36" s="125">
        <v>0</v>
      </c>
      <c r="E36" s="125">
        <v>0</v>
      </c>
      <c r="F36" s="125">
        <v>0</v>
      </c>
      <c r="G36" s="125">
        <v>0</v>
      </c>
      <c r="H36" s="125">
        <f t="shared" si="0"/>
        <v>0</v>
      </c>
      <c r="I36" s="125">
        <v>0</v>
      </c>
      <c r="J36" s="136"/>
      <c r="K36" s="125">
        <v>0</v>
      </c>
      <c r="L36" s="131"/>
      <c r="M36" s="134" t="s">
        <v>46</v>
      </c>
      <c r="N36" s="135" t="s">
        <v>327</v>
      </c>
      <c r="O36" s="133">
        <v>125</v>
      </c>
    </row>
    <row r="37" spans="1:15" ht="18.75" customHeight="1" x14ac:dyDescent="0.25">
      <c r="A37" s="123" t="s">
        <v>44</v>
      </c>
      <c r="B37" s="123">
        <v>12</v>
      </c>
      <c r="C37" s="125">
        <v>9485</v>
      </c>
      <c r="D37" s="125">
        <v>33640650</v>
      </c>
      <c r="E37" s="125">
        <v>1050</v>
      </c>
      <c r="F37" s="125">
        <v>37993200</v>
      </c>
      <c r="G37" s="125">
        <v>9635</v>
      </c>
      <c r="H37" s="125">
        <f t="shared" si="0"/>
        <v>39077621</v>
      </c>
      <c r="I37" s="125">
        <v>900</v>
      </c>
      <c r="J37" s="136"/>
      <c r="K37" s="125">
        <v>32556229</v>
      </c>
      <c r="L37" s="131">
        <f t="shared" si="1"/>
        <v>36173.587777777779</v>
      </c>
      <c r="M37" s="134" t="s">
        <v>346</v>
      </c>
      <c r="N37" s="135" t="s">
        <v>327</v>
      </c>
      <c r="O37" s="133">
        <v>399</v>
      </c>
    </row>
    <row r="38" spans="1:15" ht="18.75" customHeight="1" x14ac:dyDescent="0.25">
      <c r="A38" s="123" t="s">
        <v>45</v>
      </c>
      <c r="B38" s="123">
        <v>12</v>
      </c>
      <c r="C38" s="125">
        <v>320</v>
      </c>
      <c r="D38" s="125">
        <v>11571799</v>
      </c>
      <c r="E38" s="125">
        <v>405</v>
      </c>
      <c r="F38" s="125">
        <v>14654520</v>
      </c>
      <c r="G38" s="125">
        <v>630</v>
      </c>
      <c r="H38" s="125">
        <f t="shared" si="0"/>
        <v>22789767</v>
      </c>
      <c r="I38" s="125">
        <v>95</v>
      </c>
      <c r="J38" s="136"/>
      <c r="K38" s="125">
        <v>3436552</v>
      </c>
      <c r="L38" s="131">
        <f t="shared" si="1"/>
        <v>36174.231578947365</v>
      </c>
      <c r="M38" s="134" t="s">
        <v>348</v>
      </c>
      <c r="N38" s="135" t="s">
        <v>327</v>
      </c>
      <c r="O38" s="133">
        <v>486</v>
      </c>
    </row>
    <row r="39" spans="1:15" ht="18.75" customHeight="1" x14ac:dyDescent="0.25">
      <c r="A39" s="123" t="s">
        <v>46</v>
      </c>
      <c r="B39" s="123">
        <v>12</v>
      </c>
      <c r="C39" s="125">
        <v>270</v>
      </c>
      <c r="D39" s="125">
        <v>9896208</v>
      </c>
      <c r="E39" s="125">
        <v>120</v>
      </c>
      <c r="F39" s="125">
        <v>4342080</v>
      </c>
      <c r="G39" s="125">
        <v>319</v>
      </c>
      <c r="H39" s="125">
        <f t="shared" si="0"/>
        <v>11669303</v>
      </c>
      <c r="I39" s="125">
        <v>71</v>
      </c>
      <c r="J39" s="136"/>
      <c r="K39" s="125">
        <v>2568985</v>
      </c>
      <c r="L39" s="131">
        <f t="shared" si="1"/>
        <v>36182.887323943665</v>
      </c>
      <c r="M39" s="134" t="s">
        <v>570</v>
      </c>
      <c r="N39" s="135" t="s">
        <v>327</v>
      </c>
      <c r="O39" s="133">
        <v>558</v>
      </c>
    </row>
    <row r="40" spans="1:15" ht="15" x14ac:dyDescent="0.25">
      <c r="A40" s="123" t="s">
        <v>47</v>
      </c>
      <c r="B40" s="123">
        <v>12</v>
      </c>
      <c r="C40" s="125">
        <v>1500</v>
      </c>
      <c r="D40" s="125">
        <v>7597338</v>
      </c>
      <c r="E40" s="125">
        <v>250</v>
      </c>
      <c r="F40" s="125">
        <v>1273250</v>
      </c>
      <c r="G40" s="125">
        <v>691</v>
      </c>
      <c r="H40" s="125">
        <f t="shared" si="0"/>
        <v>3827026</v>
      </c>
      <c r="I40" s="125">
        <v>1059</v>
      </c>
      <c r="J40" s="136"/>
      <c r="K40" s="125">
        <v>5043562</v>
      </c>
      <c r="L40" s="131">
        <f t="shared" si="1"/>
        <v>4762.5703493862138</v>
      </c>
      <c r="M40" s="133">
        <v>1070</v>
      </c>
    </row>
    <row r="41" spans="1:15" ht="15" x14ac:dyDescent="0.25">
      <c r="A41" s="123" t="s">
        <v>48</v>
      </c>
      <c r="B41" s="123">
        <v>12</v>
      </c>
      <c r="C41" s="125">
        <v>192</v>
      </c>
      <c r="D41" s="125">
        <v>4111968</v>
      </c>
      <c r="E41" s="125">
        <v>48</v>
      </c>
      <c r="F41" s="125">
        <v>933312</v>
      </c>
      <c r="G41" s="125">
        <v>0</v>
      </c>
      <c r="H41" s="125">
        <f t="shared" si="0"/>
        <v>0</v>
      </c>
      <c r="I41" s="125">
        <v>240</v>
      </c>
      <c r="J41" s="136"/>
      <c r="K41" s="125">
        <v>5045280</v>
      </c>
      <c r="L41" s="131">
        <f t="shared" si="1"/>
        <v>21022</v>
      </c>
    </row>
    <row r="42" spans="1:15" ht="15" x14ac:dyDescent="0.25">
      <c r="A42" s="123" t="s">
        <v>49</v>
      </c>
      <c r="B42" s="123">
        <v>12</v>
      </c>
      <c r="C42" s="125">
        <v>4020</v>
      </c>
      <c r="D42" s="125">
        <v>19708744</v>
      </c>
      <c r="E42" s="125">
        <v>3360</v>
      </c>
      <c r="F42" s="125">
        <v>16487520</v>
      </c>
      <c r="G42" s="125">
        <v>5702</v>
      </c>
      <c r="H42" s="125">
        <f t="shared" si="0"/>
        <v>28495976</v>
      </c>
      <c r="I42" s="125">
        <v>1678</v>
      </c>
      <c r="J42" s="136"/>
      <c r="K42" s="125">
        <v>7700288</v>
      </c>
      <c r="L42" s="131">
        <f t="shared" si="1"/>
        <v>4588.9678188319431</v>
      </c>
    </row>
    <row r="43" spans="1:15" ht="15" x14ac:dyDescent="0.25">
      <c r="A43" s="123" t="s">
        <v>50</v>
      </c>
      <c r="B43" s="123">
        <v>12</v>
      </c>
      <c r="C43" s="125">
        <v>750</v>
      </c>
      <c r="D43" s="125">
        <v>2517000</v>
      </c>
      <c r="E43" s="125">
        <v>0</v>
      </c>
      <c r="F43" s="125">
        <v>0</v>
      </c>
      <c r="G43" s="125">
        <v>23</v>
      </c>
      <c r="H43" s="125">
        <f t="shared" si="0"/>
        <v>0</v>
      </c>
      <c r="I43" s="125">
        <v>727</v>
      </c>
      <c r="J43" s="136"/>
      <c r="K43" s="125">
        <v>2517000</v>
      </c>
      <c r="L43" s="131">
        <f t="shared" si="1"/>
        <v>3462.1733149931224</v>
      </c>
    </row>
    <row r="44" spans="1:15" ht="15" x14ac:dyDescent="0.25">
      <c r="A44" s="123" t="s">
        <v>51</v>
      </c>
      <c r="B44" s="123">
        <v>12</v>
      </c>
      <c r="C44" s="125">
        <v>1350</v>
      </c>
      <c r="D44" s="125">
        <v>5561964</v>
      </c>
      <c r="E44" s="125">
        <v>200</v>
      </c>
      <c r="F44" s="125">
        <v>833400</v>
      </c>
      <c r="G44" s="125">
        <v>780</v>
      </c>
      <c r="H44" s="125">
        <f t="shared" si="0"/>
        <v>3218313</v>
      </c>
      <c r="I44" s="125">
        <v>770</v>
      </c>
      <c r="J44" s="136"/>
      <c r="K44" s="125">
        <v>3177051</v>
      </c>
      <c r="L44" s="131">
        <f t="shared" si="1"/>
        <v>4126.0402597402599</v>
      </c>
    </row>
    <row r="45" spans="1:15" ht="15" x14ac:dyDescent="0.25">
      <c r="A45" s="123" t="s">
        <v>52</v>
      </c>
      <c r="B45" s="123">
        <v>12</v>
      </c>
      <c r="C45" s="125">
        <v>1676</v>
      </c>
      <c r="D45" s="125">
        <v>38641471</v>
      </c>
      <c r="E45" s="125">
        <v>288</v>
      </c>
      <c r="F45" s="125">
        <v>6666624</v>
      </c>
      <c r="G45" s="125">
        <v>143</v>
      </c>
      <c r="H45" s="125">
        <f t="shared" si="0"/>
        <v>5905739</v>
      </c>
      <c r="I45" s="125">
        <v>1821</v>
      </c>
      <c r="J45" s="136"/>
      <c r="K45" s="125">
        <v>39402356</v>
      </c>
      <c r="L45" s="131">
        <f t="shared" si="1"/>
        <v>21637.757276221855</v>
      </c>
    </row>
    <row r="46" spans="1:15" ht="15" x14ac:dyDescent="0.25">
      <c r="A46" s="123" t="s">
        <v>888</v>
      </c>
      <c r="B46" s="123">
        <v>12</v>
      </c>
      <c r="C46" s="125">
        <v>0</v>
      </c>
      <c r="D46" s="125">
        <v>0</v>
      </c>
      <c r="E46" s="125">
        <v>3600</v>
      </c>
      <c r="F46" s="125">
        <v>38332800</v>
      </c>
      <c r="G46" s="125">
        <v>10</v>
      </c>
      <c r="H46" s="125">
        <f t="shared" si="0"/>
        <v>106480</v>
      </c>
      <c r="I46" s="125">
        <v>3590</v>
      </c>
      <c r="J46" s="136"/>
      <c r="K46" s="125">
        <v>38226320</v>
      </c>
      <c r="L46" s="131">
        <f t="shared" si="1"/>
        <v>10648</v>
      </c>
    </row>
    <row r="47" spans="1:15" ht="15" x14ac:dyDescent="0.25">
      <c r="A47" s="123" t="s">
        <v>54</v>
      </c>
      <c r="B47" s="123">
        <v>12</v>
      </c>
      <c r="C47" s="125">
        <v>4478</v>
      </c>
      <c r="D47" s="125">
        <v>65694476</v>
      </c>
      <c r="E47" s="125">
        <v>9176</v>
      </c>
      <c r="F47" s="125">
        <v>133335000</v>
      </c>
      <c r="G47" s="125">
        <v>7664</v>
      </c>
      <c r="H47" s="125">
        <f t="shared" si="0"/>
        <v>116059227</v>
      </c>
      <c r="I47" s="125">
        <v>5990</v>
      </c>
      <c r="J47" s="136"/>
      <c r="K47" s="125">
        <v>82970249</v>
      </c>
      <c r="L47" s="131">
        <f t="shared" si="1"/>
        <v>13851.460601001669</v>
      </c>
    </row>
    <row r="48" spans="1:15" ht="15" x14ac:dyDescent="0.25">
      <c r="A48" s="123" t="s">
        <v>55</v>
      </c>
      <c r="B48" s="123">
        <v>12</v>
      </c>
      <c r="C48" s="125">
        <v>162</v>
      </c>
      <c r="D48" s="125">
        <v>14271796</v>
      </c>
      <c r="E48" s="125">
        <v>119</v>
      </c>
      <c r="F48" s="125">
        <v>9838718.8900000006</v>
      </c>
      <c r="G48" s="125">
        <v>6</v>
      </c>
      <c r="H48" s="125">
        <f t="shared" si="0"/>
        <v>1348613.8900000006</v>
      </c>
      <c r="I48" s="125">
        <v>275</v>
      </c>
      <c r="J48" s="136"/>
      <c r="K48" s="125">
        <v>22761901</v>
      </c>
      <c r="L48" s="131">
        <f t="shared" si="1"/>
        <v>82770.549090909088</v>
      </c>
    </row>
    <row r="49" spans="1:12" ht="15" x14ac:dyDescent="0.25">
      <c r="A49" s="123" t="s">
        <v>56</v>
      </c>
      <c r="B49" s="123">
        <v>12</v>
      </c>
      <c r="C49" s="125">
        <v>864</v>
      </c>
      <c r="D49" s="125">
        <v>8294400</v>
      </c>
      <c r="E49" s="125">
        <v>263</v>
      </c>
      <c r="F49" s="125">
        <v>9207921359.289999</v>
      </c>
      <c r="G49" s="125">
        <v>0</v>
      </c>
      <c r="H49" s="125">
        <f t="shared" si="0"/>
        <v>9206072399.289999</v>
      </c>
      <c r="I49" s="125">
        <v>1127</v>
      </c>
      <c r="J49" s="136"/>
      <c r="K49" s="125">
        <v>10143360</v>
      </c>
      <c r="L49" s="131">
        <f t="shared" si="1"/>
        <v>9000.3194321206738</v>
      </c>
    </row>
    <row r="50" spans="1:12" ht="15" x14ac:dyDescent="0.25">
      <c r="A50" s="123" t="s">
        <v>57</v>
      </c>
      <c r="B50" s="123">
        <v>12</v>
      </c>
      <c r="C50" s="125">
        <v>758</v>
      </c>
      <c r="D50" s="125">
        <v>13116517</v>
      </c>
      <c r="E50" s="125">
        <v>168</v>
      </c>
      <c r="F50" s="125">
        <v>2955624</v>
      </c>
      <c r="G50" s="125">
        <v>118</v>
      </c>
      <c r="H50" s="125">
        <f t="shared" si="0"/>
        <v>2777044</v>
      </c>
      <c r="I50" s="125">
        <v>808</v>
      </c>
      <c r="J50" s="136"/>
      <c r="K50" s="125">
        <v>13295097</v>
      </c>
      <c r="L50" s="131">
        <f t="shared" si="1"/>
        <v>16454.327970297029</v>
      </c>
    </row>
    <row r="51" spans="1:12" ht="15" x14ac:dyDescent="0.25">
      <c r="A51" s="123" t="s">
        <v>58</v>
      </c>
      <c r="B51" s="123">
        <v>12</v>
      </c>
      <c r="C51" s="125">
        <v>3660</v>
      </c>
      <c r="D51" s="125">
        <v>31105758</v>
      </c>
      <c r="E51" s="125">
        <v>816</v>
      </c>
      <c r="F51" s="125">
        <v>7026576</v>
      </c>
      <c r="G51" s="125">
        <v>1416</v>
      </c>
      <c r="H51" s="125">
        <f t="shared" si="0"/>
        <v>13494553</v>
      </c>
      <c r="I51" s="125">
        <v>3060</v>
      </c>
      <c r="J51" s="136"/>
      <c r="K51" s="125">
        <v>24637781</v>
      </c>
      <c r="L51" s="131">
        <f t="shared" si="1"/>
        <v>8051.5624183006539</v>
      </c>
    </row>
    <row r="52" spans="1:12" ht="15" x14ac:dyDescent="0.25">
      <c r="A52" s="123" t="s">
        <v>59</v>
      </c>
      <c r="B52" s="123">
        <v>12</v>
      </c>
      <c r="C52" s="125">
        <v>4076</v>
      </c>
      <c r="D52" s="125">
        <v>66900098</v>
      </c>
      <c r="E52" s="125">
        <v>2466</v>
      </c>
      <c r="F52" s="125">
        <v>30000600</v>
      </c>
      <c r="G52" s="125">
        <v>3835</v>
      </c>
      <c r="H52" s="125">
        <f t="shared" si="0"/>
        <v>54715863</v>
      </c>
      <c r="I52" s="125">
        <v>2707</v>
      </c>
      <c r="J52" s="136"/>
      <c r="K52" s="125">
        <v>42184835</v>
      </c>
      <c r="L52" s="131">
        <f t="shared" si="1"/>
        <v>15583.611008496491</v>
      </c>
    </row>
    <row r="53" spans="1:12" ht="15" x14ac:dyDescent="0.25">
      <c r="A53" s="123" t="s">
        <v>60</v>
      </c>
      <c r="B53" s="123">
        <v>12</v>
      </c>
      <c r="C53" s="125">
        <v>3051</v>
      </c>
      <c r="D53" s="125">
        <v>99561656</v>
      </c>
      <c r="E53" s="125">
        <v>1476</v>
      </c>
      <c r="F53" s="125">
        <v>51966396</v>
      </c>
      <c r="G53" s="125">
        <v>2861</v>
      </c>
      <c r="H53" s="125">
        <f t="shared" si="0"/>
        <v>96734277</v>
      </c>
      <c r="I53" s="125">
        <v>1666</v>
      </c>
      <c r="J53" s="136"/>
      <c r="K53" s="125">
        <v>54793775</v>
      </c>
      <c r="L53" s="131">
        <f t="shared" si="1"/>
        <v>32889.420768307325</v>
      </c>
    </row>
    <row r="54" spans="1:12" ht="15" x14ac:dyDescent="0.25">
      <c r="A54" s="123" t="s">
        <v>61</v>
      </c>
      <c r="B54" s="123">
        <v>12</v>
      </c>
      <c r="C54" s="125">
        <v>0</v>
      </c>
      <c r="D54" s="125">
        <v>0</v>
      </c>
      <c r="E54" s="125">
        <v>0</v>
      </c>
      <c r="F54" s="125">
        <v>0</v>
      </c>
      <c r="G54" s="125">
        <v>0</v>
      </c>
      <c r="H54" s="125">
        <f t="shared" si="0"/>
        <v>0</v>
      </c>
      <c r="I54" s="125">
        <v>0</v>
      </c>
      <c r="J54" s="136"/>
      <c r="K54" s="125">
        <v>0</v>
      </c>
      <c r="L54" s="131"/>
    </row>
    <row r="55" spans="1:12" ht="15" x14ac:dyDescent="0.25">
      <c r="A55" s="123" t="s">
        <v>62</v>
      </c>
      <c r="B55" s="123">
        <v>12</v>
      </c>
      <c r="C55" s="125">
        <v>4034</v>
      </c>
      <c r="D55" s="125">
        <v>19765883</v>
      </c>
      <c r="E55" s="125">
        <v>4080</v>
      </c>
      <c r="F55" s="125">
        <v>20020560</v>
      </c>
      <c r="G55" s="125">
        <v>6143</v>
      </c>
      <c r="H55" s="125">
        <f t="shared" si="0"/>
        <v>30744515</v>
      </c>
      <c r="I55" s="125">
        <v>1971</v>
      </c>
      <c r="J55" s="136"/>
      <c r="K55" s="125">
        <v>9041928</v>
      </c>
      <c r="L55" s="131">
        <f t="shared" si="1"/>
        <v>4587.4824961948252</v>
      </c>
    </row>
    <row r="56" spans="1:12" ht="15" x14ac:dyDescent="0.25">
      <c r="A56" s="123" t="s">
        <v>63</v>
      </c>
      <c r="B56" s="123">
        <v>12</v>
      </c>
      <c r="C56" s="125">
        <v>0</v>
      </c>
      <c r="D56" s="125">
        <v>0</v>
      </c>
      <c r="E56" s="125">
        <v>0</v>
      </c>
      <c r="F56" s="125">
        <v>0</v>
      </c>
      <c r="G56" s="125">
        <v>0</v>
      </c>
      <c r="H56" s="125">
        <f t="shared" si="0"/>
        <v>0</v>
      </c>
      <c r="I56" s="125">
        <v>0</v>
      </c>
      <c r="J56" s="136"/>
      <c r="K56" s="125">
        <v>0</v>
      </c>
      <c r="L56" s="131"/>
    </row>
    <row r="57" spans="1:12" ht="15" x14ac:dyDescent="0.25">
      <c r="A57" s="123" t="s">
        <v>64</v>
      </c>
      <c r="B57" s="123">
        <v>12</v>
      </c>
      <c r="C57" s="125">
        <v>25</v>
      </c>
      <c r="D57" s="125">
        <v>4861100</v>
      </c>
      <c r="E57" s="125">
        <v>0</v>
      </c>
      <c r="F57" s="125">
        <v>0</v>
      </c>
      <c r="G57" s="125">
        <v>0</v>
      </c>
      <c r="H57" s="125">
        <f t="shared" si="0"/>
        <v>0</v>
      </c>
      <c r="I57" s="125">
        <v>25</v>
      </c>
      <c r="J57" s="136"/>
      <c r="K57" s="125">
        <v>4861100</v>
      </c>
      <c r="L57" s="131">
        <f t="shared" si="1"/>
        <v>194444</v>
      </c>
    </row>
    <row r="58" spans="1:12" ht="15" x14ac:dyDescent="0.25">
      <c r="A58" s="123" t="s">
        <v>65</v>
      </c>
      <c r="B58" s="123">
        <v>12</v>
      </c>
      <c r="C58" s="125">
        <v>7</v>
      </c>
      <c r="D58" s="125">
        <v>1328705</v>
      </c>
      <c r="E58" s="125">
        <v>0</v>
      </c>
      <c r="F58" s="125">
        <v>0</v>
      </c>
      <c r="G58" s="125">
        <v>0</v>
      </c>
      <c r="H58" s="125">
        <f t="shared" si="0"/>
        <v>0</v>
      </c>
      <c r="I58" s="125">
        <v>7</v>
      </c>
      <c r="J58" s="136"/>
      <c r="K58" s="125">
        <v>1328705</v>
      </c>
      <c r="L58" s="131">
        <f t="shared" si="1"/>
        <v>189815</v>
      </c>
    </row>
    <row r="59" spans="1:12" ht="15" x14ac:dyDescent="0.25">
      <c r="A59" s="123" t="s">
        <v>66</v>
      </c>
      <c r="B59" s="123">
        <v>12</v>
      </c>
      <c r="C59" s="125">
        <v>3640</v>
      </c>
      <c r="D59" s="125">
        <v>56770482</v>
      </c>
      <c r="E59" s="125">
        <v>4421</v>
      </c>
      <c r="F59" s="125">
        <v>68567796</v>
      </c>
      <c r="G59" s="125">
        <v>6562</v>
      </c>
      <c r="H59" s="125">
        <f t="shared" si="0"/>
        <v>103274636</v>
      </c>
      <c r="I59" s="125">
        <v>1499</v>
      </c>
      <c r="J59" s="136"/>
      <c r="K59" s="125">
        <v>22063642</v>
      </c>
      <c r="L59" s="131">
        <f t="shared" si="1"/>
        <v>14718.907271514343</v>
      </c>
    </row>
    <row r="60" spans="1:12" ht="15" x14ac:dyDescent="0.25">
      <c r="A60" s="123" t="s">
        <v>67</v>
      </c>
      <c r="B60" s="123">
        <v>12</v>
      </c>
      <c r="C60" s="125">
        <v>170</v>
      </c>
      <c r="D60" s="125">
        <v>1385264</v>
      </c>
      <c r="E60" s="125">
        <v>24</v>
      </c>
      <c r="F60" s="125">
        <v>400008</v>
      </c>
      <c r="G60" s="125">
        <v>81</v>
      </c>
      <c r="H60" s="125">
        <f t="shared" si="0"/>
        <v>27607</v>
      </c>
      <c r="I60" s="125">
        <v>113</v>
      </c>
      <c r="J60" s="136"/>
      <c r="K60" s="125">
        <v>1757665</v>
      </c>
      <c r="L60" s="131">
        <f t="shared" si="1"/>
        <v>15554.557522123894</v>
      </c>
    </row>
    <row r="61" spans="1:12" ht="15" x14ac:dyDescent="0.25">
      <c r="A61" s="123" t="s">
        <v>68</v>
      </c>
      <c r="B61" s="123">
        <v>12</v>
      </c>
      <c r="C61" s="125">
        <v>384</v>
      </c>
      <c r="D61" s="125">
        <v>17725913</v>
      </c>
      <c r="E61" s="125">
        <v>0</v>
      </c>
      <c r="F61" s="125">
        <v>0</v>
      </c>
      <c r="G61" s="125"/>
      <c r="H61" s="125">
        <f t="shared" si="0"/>
        <v>923225</v>
      </c>
      <c r="I61" s="125">
        <v>384</v>
      </c>
      <c r="J61" s="136"/>
      <c r="K61" s="125">
        <v>16802688</v>
      </c>
      <c r="L61" s="131">
        <f t="shared" si="1"/>
        <v>43757</v>
      </c>
    </row>
    <row r="62" spans="1:12" ht="15" x14ac:dyDescent="0.25">
      <c r="A62" s="123" t="s">
        <v>69</v>
      </c>
      <c r="B62" s="123">
        <v>12</v>
      </c>
      <c r="C62" s="125">
        <v>156</v>
      </c>
      <c r="D62" s="125">
        <v>16177824</v>
      </c>
      <c r="E62" s="125">
        <v>0</v>
      </c>
      <c r="F62" s="125">
        <v>0</v>
      </c>
      <c r="G62" s="125"/>
      <c r="H62" s="125">
        <f t="shared" si="0"/>
        <v>622224</v>
      </c>
      <c r="I62" s="125">
        <v>156</v>
      </c>
      <c r="J62" s="136"/>
      <c r="K62" s="125">
        <v>15555600</v>
      </c>
      <c r="L62" s="131">
        <f t="shared" si="1"/>
        <v>99715.38461538461</v>
      </c>
    </row>
    <row r="63" spans="1:12" ht="15" x14ac:dyDescent="0.25">
      <c r="A63" s="123" t="s">
        <v>70</v>
      </c>
      <c r="B63" s="123">
        <v>12</v>
      </c>
      <c r="C63" s="125">
        <v>84</v>
      </c>
      <c r="D63" s="125">
        <v>12133296</v>
      </c>
      <c r="E63" s="125"/>
      <c r="F63" s="125">
        <v>0</v>
      </c>
      <c r="G63" s="125"/>
      <c r="H63" s="125">
        <f t="shared" si="0"/>
        <v>0</v>
      </c>
      <c r="I63" s="125">
        <v>84</v>
      </c>
      <c r="J63" s="136"/>
      <c r="K63" s="125">
        <v>12133296</v>
      </c>
      <c r="L63" s="131">
        <f t="shared" si="1"/>
        <v>144444</v>
      </c>
    </row>
    <row r="64" spans="1:12" ht="15" x14ac:dyDescent="0.25">
      <c r="A64" s="123" t="s">
        <v>71</v>
      </c>
      <c r="B64" s="123">
        <v>12</v>
      </c>
      <c r="C64" s="125">
        <v>1608</v>
      </c>
      <c r="D64" s="125">
        <v>25016122</v>
      </c>
      <c r="E64" s="125">
        <v>552</v>
      </c>
      <c r="F64" s="125">
        <v>8689032</v>
      </c>
      <c r="G64" s="125">
        <v>1294</v>
      </c>
      <c r="H64" s="125">
        <f t="shared" si="0"/>
        <v>20956492</v>
      </c>
      <c r="I64" s="125">
        <v>866</v>
      </c>
      <c r="J64" s="136"/>
      <c r="K64" s="125">
        <v>12748662</v>
      </c>
      <c r="L64" s="131">
        <f t="shared" si="1"/>
        <v>14721.318706697459</v>
      </c>
    </row>
    <row r="65" spans="1:12" ht="15" x14ac:dyDescent="0.25">
      <c r="A65" s="123" t="s">
        <v>72</v>
      </c>
      <c r="B65" s="123">
        <v>12</v>
      </c>
      <c r="C65" s="125">
        <v>3852</v>
      </c>
      <c r="D65" s="125">
        <v>90280472</v>
      </c>
      <c r="E65" s="125">
        <v>648</v>
      </c>
      <c r="F65" s="125">
        <v>15599952</v>
      </c>
      <c r="G65" s="125">
        <v>2687</v>
      </c>
      <c r="H65" s="125">
        <f t="shared" si="0"/>
        <v>65081167</v>
      </c>
      <c r="I65" s="125">
        <v>1813</v>
      </c>
      <c r="J65" s="136"/>
      <c r="K65" s="125">
        <v>40799257</v>
      </c>
      <c r="L65" s="131">
        <f t="shared" si="1"/>
        <v>22503.72697186983</v>
      </c>
    </row>
    <row r="66" spans="1:12" ht="15" x14ac:dyDescent="0.25">
      <c r="A66" s="123" t="s">
        <v>73</v>
      </c>
      <c r="B66" s="123">
        <v>12</v>
      </c>
      <c r="C66" s="125">
        <v>4218</v>
      </c>
      <c r="D66" s="125">
        <v>143970514</v>
      </c>
      <c r="E66" s="125">
        <v>1800</v>
      </c>
      <c r="F66" s="125">
        <v>61666200</v>
      </c>
      <c r="G66" s="125">
        <v>4874</v>
      </c>
      <c r="H66" s="125">
        <f t="shared" si="0"/>
        <v>169006179</v>
      </c>
      <c r="I66" s="125">
        <v>1144</v>
      </c>
      <c r="J66" s="136"/>
      <c r="K66" s="125">
        <v>36630535</v>
      </c>
      <c r="L66" s="131">
        <f t="shared" si="1"/>
        <v>32019.698426573428</v>
      </c>
    </row>
    <row r="67" spans="1:12" ht="15" x14ac:dyDescent="0.25">
      <c r="A67" s="123" t="s">
        <v>74</v>
      </c>
      <c r="B67" s="123">
        <v>12</v>
      </c>
      <c r="C67" s="125">
        <v>5136</v>
      </c>
      <c r="D67" s="125">
        <v>75745997</v>
      </c>
      <c r="E67" s="125">
        <v>1752</v>
      </c>
      <c r="F67" s="125">
        <v>25955880</v>
      </c>
      <c r="G67" s="125">
        <v>6059</v>
      </c>
      <c r="H67" s="125">
        <f t="shared" si="0"/>
        <v>90214644</v>
      </c>
      <c r="I67" s="125">
        <v>829</v>
      </c>
      <c r="J67" s="136"/>
      <c r="K67" s="125">
        <v>11487233</v>
      </c>
      <c r="L67" s="131">
        <f t="shared" si="1"/>
        <v>13856.734620024126</v>
      </c>
    </row>
    <row r="68" spans="1:12" ht="15" x14ac:dyDescent="0.25">
      <c r="A68" s="123" t="s">
        <v>75</v>
      </c>
      <c r="B68" s="123">
        <v>12</v>
      </c>
      <c r="C68" s="125">
        <v>10400</v>
      </c>
      <c r="D68" s="125">
        <v>3813333</v>
      </c>
      <c r="E68" s="125">
        <v>0</v>
      </c>
      <c r="F68" s="125">
        <v>0</v>
      </c>
      <c r="G68" s="125">
        <v>9600</v>
      </c>
      <c r="H68" s="125">
        <f t="shared" si="0"/>
        <v>3520000</v>
      </c>
      <c r="I68" s="125">
        <v>800</v>
      </c>
      <c r="J68" s="136"/>
      <c r="K68" s="125">
        <v>293333</v>
      </c>
      <c r="L68" s="131">
        <f t="shared" si="1"/>
        <v>366.66624999999999</v>
      </c>
    </row>
    <row r="69" spans="1:12" ht="15" x14ac:dyDescent="0.25">
      <c r="A69" s="123" t="s">
        <v>76</v>
      </c>
      <c r="B69" s="123">
        <v>12</v>
      </c>
      <c r="C69" s="125">
        <v>168</v>
      </c>
      <c r="D69" s="125">
        <v>9544198</v>
      </c>
      <c r="E69" s="125">
        <v>279</v>
      </c>
      <c r="F69" s="125">
        <v>4275018</v>
      </c>
      <c r="G69" s="125">
        <v>171</v>
      </c>
      <c r="H69" s="125">
        <f t="shared" ref="H69:H132" si="2">D69+F69-K69</f>
        <v>221995</v>
      </c>
      <c r="I69" s="125">
        <v>276</v>
      </c>
      <c r="J69" s="136"/>
      <c r="K69" s="125">
        <v>13597221</v>
      </c>
      <c r="L69" s="131">
        <f t="shared" si="1"/>
        <v>49265.293478260872</v>
      </c>
    </row>
    <row r="70" spans="1:12" ht="15" x14ac:dyDescent="0.25">
      <c r="A70" s="123" t="s">
        <v>77</v>
      </c>
      <c r="B70" s="123">
        <v>12</v>
      </c>
      <c r="C70" s="125">
        <v>1092</v>
      </c>
      <c r="D70" s="125">
        <v>6735333</v>
      </c>
      <c r="E70" s="125">
        <v>0</v>
      </c>
      <c r="F70" s="125">
        <v>0</v>
      </c>
      <c r="G70" s="125">
        <v>206</v>
      </c>
      <c r="H70" s="125">
        <f t="shared" si="2"/>
        <v>1517300</v>
      </c>
      <c r="I70" s="125">
        <v>886</v>
      </c>
      <c r="J70" s="136"/>
      <c r="K70" s="125">
        <v>5218033</v>
      </c>
      <c r="L70" s="131">
        <f t="shared" ref="L70:L133" si="3">K70/I70</f>
        <v>5889.4277652370201</v>
      </c>
    </row>
    <row r="71" spans="1:12" ht="15" x14ac:dyDescent="0.25">
      <c r="A71" s="123" t="s">
        <v>78</v>
      </c>
      <c r="B71" s="123">
        <v>12</v>
      </c>
      <c r="C71" s="125">
        <v>7371</v>
      </c>
      <c r="D71" s="125">
        <v>66190155</v>
      </c>
      <c r="E71" s="125">
        <v>1920</v>
      </c>
      <c r="F71" s="125">
        <v>21333120</v>
      </c>
      <c r="G71" s="125">
        <v>4938</v>
      </c>
      <c r="H71" s="125">
        <f t="shared" si="2"/>
        <v>42296793</v>
      </c>
      <c r="I71" s="125">
        <v>4353</v>
      </c>
      <c r="J71" s="136"/>
      <c r="K71" s="125">
        <v>45226482</v>
      </c>
      <c r="L71" s="131">
        <f t="shared" si="3"/>
        <v>10389.727084769125</v>
      </c>
    </row>
    <row r="72" spans="1:12" ht="15" x14ac:dyDescent="0.25">
      <c r="A72" s="123" t="s">
        <v>79</v>
      </c>
      <c r="B72" s="123">
        <v>12</v>
      </c>
      <c r="C72" s="125">
        <v>1912</v>
      </c>
      <c r="D72" s="125">
        <v>38449684</v>
      </c>
      <c r="E72" s="125">
        <v>1560</v>
      </c>
      <c r="F72" s="125">
        <v>33221760</v>
      </c>
      <c r="G72" s="125">
        <v>3121</v>
      </c>
      <c r="H72" s="125">
        <f t="shared" si="2"/>
        <v>64673570</v>
      </c>
      <c r="I72" s="125">
        <v>351</v>
      </c>
      <c r="J72" s="136"/>
      <c r="K72" s="125">
        <v>6997874</v>
      </c>
      <c r="L72" s="131">
        <f t="shared" si="3"/>
        <v>19936.962962962964</v>
      </c>
    </row>
    <row r="73" spans="1:12" ht="15" x14ac:dyDescent="0.25">
      <c r="A73" s="123" t="s">
        <v>80</v>
      </c>
      <c r="B73" s="123">
        <v>12</v>
      </c>
      <c r="C73" s="125">
        <v>180</v>
      </c>
      <c r="D73" s="125">
        <v>2602954</v>
      </c>
      <c r="E73" s="125">
        <v>85</v>
      </c>
      <c r="F73" s="125">
        <v>1177052.4150943398</v>
      </c>
      <c r="G73" s="125">
        <v>0</v>
      </c>
      <c r="H73" s="125">
        <f t="shared" si="2"/>
        <v>110372.41509433975</v>
      </c>
      <c r="I73" s="125">
        <v>265</v>
      </c>
      <c r="J73" s="136"/>
      <c r="K73" s="125">
        <v>3669634</v>
      </c>
      <c r="L73" s="131">
        <f t="shared" si="3"/>
        <v>13847.675471698114</v>
      </c>
    </row>
    <row r="74" spans="1:12" ht="15" x14ac:dyDescent="0.25">
      <c r="A74" s="123" t="s">
        <v>81</v>
      </c>
      <c r="B74" s="123">
        <v>12</v>
      </c>
      <c r="C74" s="125">
        <v>2052</v>
      </c>
      <c r="D74" s="125">
        <v>31426776</v>
      </c>
      <c r="E74" s="125">
        <v>504</v>
      </c>
      <c r="F74" s="125">
        <v>7933464</v>
      </c>
      <c r="G74" s="125">
        <v>2016</v>
      </c>
      <c r="H74" s="125">
        <f t="shared" si="2"/>
        <v>31414276</v>
      </c>
      <c r="I74" s="125">
        <v>540</v>
      </c>
      <c r="J74" s="136"/>
      <c r="K74" s="125">
        <v>7945964</v>
      </c>
      <c r="L74" s="131">
        <f t="shared" si="3"/>
        <v>14714.748148148148</v>
      </c>
    </row>
    <row r="75" spans="1:12" ht="15" x14ac:dyDescent="0.25">
      <c r="A75" s="123" t="s">
        <v>82</v>
      </c>
      <c r="B75" s="123">
        <v>12</v>
      </c>
      <c r="C75" s="125">
        <v>5760</v>
      </c>
      <c r="D75" s="125">
        <v>42106565</v>
      </c>
      <c r="E75" s="125">
        <v>1368</v>
      </c>
      <c r="F75" s="125">
        <v>10132776</v>
      </c>
      <c r="G75" s="125">
        <v>4986</v>
      </c>
      <c r="H75" s="125">
        <f t="shared" si="2"/>
        <v>37405948</v>
      </c>
      <c r="I75" s="125">
        <v>2142</v>
      </c>
      <c r="J75" s="136"/>
      <c r="K75" s="125">
        <v>14833393</v>
      </c>
      <c r="L75" s="131">
        <f t="shared" si="3"/>
        <v>6925.0200746965456</v>
      </c>
    </row>
    <row r="76" spans="1:12" ht="15" x14ac:dyDescent="0.25">
      <c r="A76" s="123" t="s">
        <v>83</v>
      </c>
      <c r="B76" s="123">
        <v>12</v>
      </c>
      <c r="C76" s="125">
        <v>2646</v>
      </c>
      <c r="D76" s="125">
        <v>20061031</v>
      </c>
      <c r="E76" s="125">
        <v>720</v>
      </c>
      <c r="F76" s="125">
        <v>5235684.923076923</v>
      </c>
      <c r="G76" s="125">
        <v>2586</v>
      </c>
      <c r="H76" s="125">
        <f t="shared" si="2"/>
        <v>19624723.923076924</v>
      </c>
      <c r="I76" s="125">
        <v>780</v>
      </c>
      <c r="J76" s="136"/>
      <c r="K76" s="125">
        <v>5671992</v>
      </c>
      <c r="L76" s="131">
        <f t="shared" si="3"/>
        <v>7271.7846153846158</v>
      </c>
    </row>
    <row r="77" spans="1:12" ht="15" x14ac:dyDescent="0.25">
      <c r="A77" s="123" t="s">
        <v>84</v>
      </c>
      <c r="B77" s="123">
        <v>12</v>
      </c>
      <c r="C77" s="125">
        <v>21344</v>
      </c>
      <c r="D77" s="125">
        <v>656441651</v>
      </c>
      <c r="E77" s="125">
        <v>13870</v>
      </c>
      <c r="F77" s="125">
        <v>423104640</v>
      </c>
      <c r="G77" s="125">
        <v>25509</v>
      </c>
      <c r="H77" s="125">
        <f t="shared" si="2"/>
        <v>793886828</v>
      </c>
      <c r="I77" s="125">
        <v>9705</v>
      </c>
      <c r="J77" s="136"/>
      <c r="K77" s="125">
        <v>285659463</v>
      </c>
      <c r="L77" s="131">
        <f t="shared" si="3"/>
        <v>29434.256877897991</v>
      </c>
    </row>
    <row r="78" spans="1:12" ht="15" x14ac:dyDescent="0.25">
      <c r="A78" s="123" t="s">
        <v>85</v>
      </c>
      <c r="B78" s="123">
        <v>12</v>
      </c>
      <c r="C78" s="125">
        <v>22711</v>
      </c>
      <c r="D78" s="125">
        <v>206800382</v>
      </c>
      <c r="E78" s="125">
        <v>8744</v>
      </c>
      <c r="F78" s="125">
        <v>79997760</v>
      </c>
      <c r="G78" s="125">
        <v>15601</v>
      </c>
      <c r="H78" s="125">
        <f t="shared" si="2"/>
        <v>149548979</v>
      </c>
      <c r="I78" s="125">
        <v>15854</v>
      </c>
      <c r="J78" s="136"/>
      <c r="K78" s="125">
        <v>137249163</v>
      </c>
      <c r="L78" s="131">
        <f t="shared" si="3"/>
        <v>8657.0684369875107</v>
      </c>
    </row>
    <row r="79" spans="1:12" ht="15" x14ac:dyDescent="0.25">
      <c r="A79" s="123" t="s">
        <v>86</v>
      </c>
      <c r="B79" s="123">
        <v>12</v>
      </c>
      <c r="C79" s="125">
        <v>51521</v>
      </c>
      <c r="D79" s="125">
        <v>363655744</v>
      </c>
      <c r="E79" s="125">
        <v>37214</v>
      </c>
      <c r="F79" s="125">
        <v>266652000</v>
      </c>
      <c r="G79" s="125">
        <v>41008</v>
      </c>
      <c r="H79" s="125">
        <f t="shared" si="2"/>
        <v>295371958</v>
      </c>
      <c r="I79" s="125">
        <v>48362</v>
      </c>
      <c r="J79" s="136"/>
      <c r="K79" s="125">
        <v>334935786</v>
      </c>
      <c r="L79" s="131">
        <f t="shared" si="3"/>
        <v>6925.5983209958231</v>
      </c>
    </row>
    <row r="80" spans="1:12" ht="15" x14ac:dyDescent="0.25">
      <c r="A80" s="123" t="s">
        <v>87</v>
      </c>
      <c r="B80" s="123">
        <v>12</v>
      </c>
      <c r="C80" s="125">
        <v>3195</v>
      </c>
      <c r="D80" s="125">
        <v>57619421</v>
      </c>
      <c r="E80" s="125">
        <v>7471</v>
      </c>
      <c r="F80" s="125">
        <v>133253280</v>
      </c>
      <c r="G80" s="125">
        <v>7687</v>
      </c>
      <c r="H80" s="125">
        <f t="shared" si="2"/>
        <v>140586531</v>
      </c>
      <c r="I80" s="125">
        <v>2979</v>
      </c>
      <c r="J80" s="136"/>
      <c r="K80" s="125">
        <v>50286170</v>
      </c>
      <c r="L80" s="131">
        <f t="shared" si="3"/>
        <v>16880.218194024841</v>
      </c>
    </row>
    <row r="81" spans="1:12" ht="15" x14ac:dyDescent="0.25">
      <c r="A81" s="123" t="s">
        <v>88</v>
      </c>
      <c r="B81" s="123">
        <v>12</v>
      </c>
      <c r="C81" s="125">
        <v>618</v>
      </c>
      <c r="D81" s="125">
        <v>12921762</v>
      </c>
      <c r="E81" s="125">
        <v>0</v>
      </c>
      <c r="F81" s="125">
        <v>0</v>
      </c>
      <c r="G81" s="125">
        <v>32</v>
      </c>
      <c r="H81" s="125">
        <f t="shared" si="2"/>
        <v>1463630</v>
      </c>
      <c r="I81" s="125">
        <v>586</v>
      </c>
      <c r="J81" s="136"/>
      <c r="K81" s="125">
        <v>11458132</v>
      </c>
      <c r="L81" s="131">
        <f t="shared" si="3"/>
        <v>19553.126279863482</v>
      </c>
    </row>
    <row r="82" spans="1:12" ht="15" x14ac:dyDescent="0.25">
      <c r="A82" s="123" t="s">
        <v>89</v>
      </c>
      <c r="B82" s="123">
        <v>12</v>
      </c>
      <c r="C82" s="125">
        <v>564</v>
      </c>
      <c r="D82" s="125">
        <v>13801691</v>
      </c>
      <c r="E82" s="125">
        <v>216</v>
      </c>
      <c r="F82" s="125">
        <v>5299992</v>
      </c>
      <c r="G82" s="125">
        <v>306</v>
      </c>
      <c r="H82" s="125">
        <f t="shared" si="2"/>
        <v>8228417</v>
      </c>
      <c r="I82" s="125">
        <v>474</v>
      </c>
      <c r="J82" s="136"/>
      <c r="K82" s="125">
        <v>10873266</v>
      </c>
      <c r="L82" s="131">
        <f t="shared" si="3"/>
        <v>22939.379746835442</v>
      </c>
    </row>
    <row r="83" spans="1:12" ht="15" x14ac:dyDescent="0.25">
      <c r="A83" s="123" t="s">
        <v>90</v>
      </c>
      <c r="B83" s="123">
        <v>12</v>
      </c>
      <c r="C83" s="125">
        <v>1045</v>
      </c>
      <c r="D83" s="125">
        <v>55627273</v>
      </c>
      <c r="E83" s="125">
        <v>2820</v>
      </c>
      <c r="F83" s="125">
        <v>150139620</v>
      </c>
      <c r="G83" s="125">
        <v>3289</v>
      </c>
      <c r="H83" s="125">
        <f t="shared" si="2"/>
        <v>177071330</v>
      </c>
      <c r="I83" s="125">
        <v>576</v>
      </c>
      <c r="J83" s="136"/>
      <c r="K83" s="125">
        <v>28695563</v>
      </c>
      <c r="L83" s="131">
        <f t="shared" si="3"/>
        <v>49818.685763888891</v>
      </c>
    </row>
    <row r="84" spans="1:12" ht="15" x14ac:dyDescent="0.25">
      <c r="A84" s="123" t="s">
        <v>91</v>
      </c>
      <c r="B84" s="123">
        <v>12</v>
      </c>
      <c r="C84" s="125">
        <v>6789</v>
      </c>
      <c r="D84" s="125">
        <v>63245985</v>
      </c>
      <c r="E84" s="125">
        <v>4920</v>
      </c>
      <c r="F84" s="125">
        <v>44332320</v>
      </c>
      <c r="G84" s="125">
        <v>5799</v>
      </c>
      <c r="H84" s="125">
        <f t="shared" si="2"/>
        <v>53858060</v>
      </c>
      <c r="I84" s="125">
        <v>5910</v>
      </c>
      <c r="J84" s="136"/>
      <c r="K84" s="125">
        <v>53720245</v>
      </c>
      <c r="L84" s="131">
        <f t="shared" si="3"/>
        <v>9089.719966159053</v>
      </c>
    </row>
    <row r="85" spans="1:12" ht="15" x14ac:dyDescent="0.25">
      <c r="A85" s="123" t="s">
        <v>92</v>
      </c>
      <c r="B85" s="123">
        <v>12</v>
      </c>
      <c r="C85" s="125">
        <v>50800</v>
      </c>
      <c r="D85" s="125">
        <v>24895116</v>
      </c>
      <c r="E85" s="125">
        <v>23200</v>
      </c>
      <c r="F85" s="125">
        <v>11391200</v>
      </c>
      <c r="G85" s="125">
        <v>33411</v>
      </c>
      <c r="H85" s="125">
        <f t="shared" si="2"/>
        <v>17652802</v>
      </c>
      <c r="I85" s="125">
        <v>40589</v>
      </c>
      <c r="J85" s="136"/>
      <c r="K85" s="125">
        <v>18633514</v>
      </c>
      <c r="L85" s="131">
        <f t="shared" si="3"/>
        <v>459.07792751730767</v>
      </c>
    </row>
    <row r="86" spans="1:12" ht="15" x14ac:dyDescent="0.25">
      <c r="A86" s="123" t="s">
        <v>93</v>
      </c>
      <c r="B86" s="123">
        <v>12</v>
      </c>
      <c r="C86" s="125">
        <v>444</v>
      </c>
      <c r="D86" s="125">
        <v>23449263</v>
      </c>
      <c r="E86" s="125">
        <v>96</v>
      </c>
      <c r="F86" s="125">
        <v>5111136</v>
      </c>
      <c r="G86" s="125">
        <v>502</v>
      </c>
      <c r="H86" s="125">
        <f t="shared" si="2"/>
        <v>26656372</v>
      </c>
      <c r="I86" s="125">
        <v>38</v>
      </c>
      <c r="J86" s="136"/>
      <c r="K86" s="125">
        <v>1904027</v>
      </c>
      <c r="L86" s="131">
        <f t="shared" si="3"/>
        <v>50105.973684210527</v>
      </c>
    </row>
    <row r="87" spans="1:12" ht="15" x14ac:dyDescent="0.25">
      <c r="A87" s="123" t="s">
        <v>94</v>
      </c>
      <c r="B87" s="123">
        <v>12</v>
      </c>
      <c r="C87" s="125">
        <v>408</v>
      </c>
      <c r="D87" s="125">
        <v>3857098</v>
      </c>
      <c r="E87" s="125">
        <v>0</v>
      </c>
      <c r="F87" s="125">
        <v>0</v>
      </c>
      <c r="G87" s="125">
        <v>233</v>
      </c>
      <c r="H87" s="125">
        <f t="shared" si="2"/>
        <v>2268881</v>
      </c>
      <c r="I87" s="125">
        <v>175</v>
      </c>
      <c r="J87" s="136"/>
      <c r="K87" s="125">
        <v>1588217</v>
      </c>
      <c r="L87" s="131">
        <f t="shared" si="3"/>
        <v>9075.5257142857135</v>
      </c>
    </row>
    <row r="88" spans="1:12" ht="15" x14ac:dyDescent="0.25">
      <c r="A88" s="123" t="s">
        <v>95</v>
      </c>
      <c r="B88" s="123">
        <v>12</v>
      </c>
      <c r="C88" s="125">
        <v>900</v>
      </c>
      <c r="D88" s="125">
        <v>7404657</v>
      </c>
      <c r="E88" s="125">
        <v>468</v>
      </c>
      <c r="F88" s="125">
        <v>3899844</v>
      </c>
      <c r="G88" s="125">
        <v>1325</v>
      </c>
      <c r="H88" s="125">
        <f t="shared" si="2"/>
        <v>10653008</v>
      </c>
      <c r="I88" s="125">
        <v>43</v>
      </c>
      <c r="J88" s="136"/>
      <c r="K88" s="125">
        <v>651493</v>
      </c>
      <c r="L88" s="131">
        <f t="shared" si="3"/>
        <v>15151</v>
      </c>
    </row>
    <row r="89" spans="1:12" ht="15" x14ac:dyDescent="0.25">
      <c r="A89" s="123" t="s">
        <v>96</v>
      </c>
      <c r="B89" s="123">
        <v>12</v>
      </c>
      <c r="C89" s="125">
        <v>225</v>
      </c>
      <c r="D89" s="125">
        <v>25942946</v>
      </c>
      <c r="E89" s="125">
        <v>147</v>
      </c>
      <c r="F89" s="125">
        <v>15968530.408839779</v>
      </c>
      <c r="G89" s="125">
        <v>10</v>
      </c>
      <c r="H89" s="125">
        <f t="shared" si="2"/>
        <v>2587612.4088397771</v>
      </c>
      <c r="I89" s="125">
        <v>362</v>
      </c>
      <c r="J89" s="136"/>
      <c r="K89" s="125">
        <v>39323864</v>
      </c>
      <c r="L89" s="131">
        <f t="shared" si="3"/>
        <v>108629.45856353591</v>
      </c>
    </row>
    <row r="90" spans="1:12" ht="15" x14ac:dyDescent="0.25">
      <c r="A90" s="123" t="s">
        <v>97</v>
      </c>
      <c r="B90" s="123">
        <v>12</v>
      </c>
      <c r="C90" s="125">
        <v>57200</v>
      </c>
      <c r="D90" s="125">
        <v>28035599</v>
      </c>
      <c r="E90" s="125">
        <v>24800</v>
      </c>
      <c r="F90" s="125">
        <v>12176800</v>
      </c>
      <c r="G90" s="125">
        <v>36280</v>
      </c>
      <c r="H90" s="125">
        <f t="shared" si="2"/>
        <v>19223488</v>
      </c>
      <c r="I90" s="125">
        <v>45720</v>
      </c>
      <c r="J90" s="136"/>
      <c r="K90" s="125">
        <v>20988911</v>
      </c>
      <c r="L90" s="131">
        <f t="shared" si="3"/>
        <v>459.07504374453191</v>
      </c>
    </row>
    <row r="91" spans="1:12" ht="15" x14ac:dyDescent="0.25">
      <c r="A91" s="123" t="s">
        <v>98</v>
      </c>
      <c r="B91" s="123">
        <v>12</v>
      </c>
      <c r="C91" s="125">
        <v>1920</v>
      </c>
      <c r="D91" s="125">
        <v>19627720</v>
      </c>
      <c r="E91" s="125">
        <v>192</v>
      </c>
      <c r="F91" s="125">
        <v>2026752</v>
      </c>
      <c r="G91" s="125">
        <v>1345</v>
      </c>
      <c r="H91" s="125">
        <f t="shared" si="2"/>
        <v>14087710</v>
      </c>
      <c r="I91" s="125">
        <v>767</v>
      </c>
      <c r="J91" s="136"/>
      <c r="K91" s="125">
        <v>7566762</v>
      </c>
      <c r="L91" s="131">
        <f t="shared" si="3"/>
        <v>9865.4002607561924</v>
      </c>
    </row>
    <row r="92" spans="1:12" ht="15" x14ac:dyDescent="0.25">
      <c r="A92" s="123" t="s">
        <v>99</v>
      </c>
      <c r="B92" s="123">
        <v>12</v>
      </c>
      <c r="C92" s="125">
        <v>96</v>
      </c>
      <c r="D92" s="125">
        <v>595584</v>
      </c>
      <c r="E92" s="125">
        <v>96</v>
      </c>
      <c r="F92" s="125">
        <v>595584</v>
      </c>
      <c r="G92" s="125">
        <v>8</v>
      </c>
      <c r="H92" s="125">
        <f t="shared" si="2"/>
        <v>124080</v>
      </c>
      <c r="I92" s="125">
        <v>184</v>
      </c>
      <c r="J92" s="136"/>
      <c r="K92" s="125">
        <v>1067088</v>
      </c>
      <c r="L92" s="131">
        <f t="shared" si="3"/>
        <v>5799.391304347826</v>
      </c>
    </row>
    <row r="93" spans="1:12" ht="15" x14ac:dyDescent="0.25">
      <c r="A93" s="123" t="s">
        <v>100</v>
      </c>
      <c r="B93" s="123">
        <v>12</v>
      </c>
      <c r="C93" s="125">
        <v>2105</v>
      </c>
      <c r="D93" s="125">
        <v>108155379</v>
      </c>
      <c r="E93" s="125">
        <v>3340</v>
      </c>
      <c r="F93" s="125">
        <v>162917460</v>
      </c>
      <c r="G93" s="125">
        <v>3522</v>
      </c>
      <c r="H93" s="125">
        <f t="shared" si="2"/>
        <v>175338575</v>
      </c>
      <c r="I93" s="125">
        <v>1923</v>
      </c>
      <c r="J93" s="136"/>
      <c r="K93" s="125">
        <v>95734264</v>
      </c>
      <c r="L93" s="131">
        <f t="shared" si="3"/>
        <v>49783.808632345295</v>
      </c>
    </row>
    <row r="94" spans="1:12" ht="15" x14ac:dyDescent="0.25">
      <c r="A94" s="123" t="s">
        <v>101</v>
      </c>
      <c r="B94" s="123">
        <v>12</v>
      </c>
      <c r="C94" s="125">
        <v>21454</v>
      </c>
      <c r="D94" s="125">
        <v>153225770</v>
      </c>
      <c r="E94" s="125">
        <v>9132</v>
      </c>
      <c r="F94" s="125">
        <v>39665760</v>
      </c>
      <c r="G94" s="125">
        <v>12151</v>
      </c>
      <c r="H94" s="125">
        <f t="shared" si="2"/>
        <v>25314412</v>
      </c>
      <c r="I94" s="125">
        <v>18435</v>
      </c>
      <c r="J94" s="136"/>
      <c r="K94" s="125">
        <v>167577118</v>
      </c>
      <c r="L94" s="131">
        <f t="shared" si="3"/>
        <v>9090.1609981014371</v>
      </c>
    </row>
    <row r="95" spans="1:12" ht="15" x14ac:dyDescent="0.25">
      <c r="A95" s="123" t="s">
        <v>102</v>
      </c>
      <c r="B95" s="123">
        <v>12</v>
      </c>
      <c r="C95" s="125">
        <v>540</v>
      </c>
      <c r="D95" s="125">
        <v>13238841</v>
      </c>
      <c r="E95" s="125">
        <v>588</v>
      </c>
      <c r="F95" s="125">
        <v>14427756</v>
      </c>
      <c r="G95" s="125">
        <v>605</v>
      </c>
      <c r="H95" s="125">
        <f t="shared" si="2"/>
        <v>15672834</v>
      </c>
      <c r="I95" s="125">
        <v>523</v>
      </c>
      <c r="J95" s="136"/>
      <c r="K95" s="125">
        <v>11993763</v>
      </c>
      <c r="L95" s="131">
        <f t="shared" si="3"/>
        <v>22932.625239005734</v>
      </c>
    </row>
    <row r="96" spans="1:12" ht="15" x14ac:dyDescent="0.25">
      <c r="A96" s="123" t="s">
        <v>103</v>
      </c>
      <c r="B96" s="123">
        <v>12</v>
      </c>
      <c r="C96" s="125">
        <v>2454</v>
      </c>
      <c r="D96" s="125">
        <v>27075398</v>
      </c>
      <c r="E96" s="125">
        <v>342</v>
      </c>
      <c r="F96" s="125">
        <v>1333344</v>
      </c>
      <c r="G96" s="125">
        <v>1829</v>
      </c>
      <c r="H96" s="125">
        <f t="shared" si="2"/>
        <v>15850371</v>
      </c>
      <c r="I96" s="125">
        <v>967</v>
      </c>
      <c r="J96" s="136"/>
      <c r="K96" s="125">
        <v>12558371</v>
      </c>
      <c r="L96" s="131">
        <f t="shared" si="3"/>
        <v>12986.940020682523</v>
      </c>
    </row>
    <row r="97" spans="1:12" ht="15" x14ac:dyDescent="0.25">
      <c r="A97" s="123" t="s">
        <v>104</v>
      </c>
      <c r="B97" s="123">
        <v>12</v>
      </c>
      <c r="C97" s="125">
        <v>192</v>
      </c>
      <c r="D97" s="125">
        <v>3657528</v>
      </c>
      <c r="E97" s="125">
        <v>109</v>
      </c>
      <c r="F97" s="125">
        <v>1809081</v>
      </c>
      <c r="G97" s="125">
        <v>0</v>
      </c>
      <c r="H97" s="125">
        <f t="shared" si="2"/>
        <v>0</v>
      </c>
      <c r="I97" s="125">
        <v>301</v>
      </c>
      <c r="J97" s="136"/>
      <c r="K97" s="125">
        <v>5466609</v>
      </c>
      <c r="L97" s="131">
        <f t="shared" si="3"/>
        <v>18161.49169435216</v>
      </c>
    </row>
    <row r="98" spans="1:12" ht="15" x14ac:dyDescent="0.25">
      <c r="A98" s="123" t="s">
        <v>105</v>
      </c>
      <c r="B98" s="123">
        <v>12</v>
      </c>
      <c r="C98" s="125">
        <v>258</v>
      </c>
      <c r="D98" s="125">
        <v>13370216</v>
      </c>
      <c r="E98" s="125">
        <v>174</v>
      </c>
      <c r="F98" s="125">
        <v>9263934</v>
      </c>
      <c r="G98" s="125">
        <v>400</v>
      </c>
      <c r="H98" s="125">
        <f t="shared" si="2"/>
        <v>21062334</v>
      </c>
      <c r="I98" s="125">
        <v>32</v>
      </c>
      <c r="J98" s="136"/>
      <c r="K98" s="125">
        <v>1571816</v>
      </c>
      <c r="L98" s="131">
        <f t="shared" si="3"/>
        <v>49119.25</v>
      </c>
    </row>
    <row r="99" spans="1:12" ht="15" x14ac:dyDescent="0.25">
      <c r="A99" s="123" t="s">
        <v>106</v>
      </c>
      <c r="B99" s="123">
        <v>12</v>
      </c>
      <c r="C99" s="125">
        <v>1512</v>
      </c>
      <c r="D99" s="125">
        <v>14292784</v>
      </c>
      <c r="E99" s="125">
        <v>192</v>
      </c>
      <c r="F99" s="125">
        <v>1866624</v>
      </c>
      <c r="G99" s="125">
        <v>923</v>
      </c>
      <c r="H99" s="125">
        <f t="shared" si="2"/>
        <v>9056476</v>
      </c>
      <c r="I99" s="125">
        <v>781</v>
      </c>
      <c r="J99" s="136"/>
      <c r="K99" s="125">
        <v>7102932</v>
      </c>
      <c r="L99" s="131">
        <f t="shared" si="3"/>
        <v>9094.6632522407162</v>
      </c>
    </row>
    <row r="100" spans="1:12" ht="15" x14ac:dyDescent="0.25">
      <c r="A100" s="123" t="s">
        <v>107</v>
      </c>
      <c r="B100" s="123">
        <v>12</v>
      </c>
      <c r="C100" s="125">
        <v>1190</v>
      </c>
      <c r="D100" s="125">
        <v>4560276</v>
      </c>
      <c r="E100" s="125">
        <v>3832.1647058823528</v>
      </c>
      <c r="F100" s="125">
        <v>0</v>
      </c>
      <c r="G100" s="125">
        <v>532</v>
      </c>
      <c r="H100" s="125">
        <f t="shared" si="2"/>
        <v>0</v>
      </c>
      <c r="I100" s="125">
        <v>658</v>
      </c>
      <c r="J100" s="136"/>
      <c r="K100" s="125">
        <v>4560276</v>
      </c>
      <c r="L100" s="131">
        <f t="shared" si="3"/>
        <v>6930.510638297872</v>
      </c>
    </row>
    <row r="101" spans="1:12" ht="15" x14ac:dyDescent="0.25">
      <c r="A101" s="123" t="s">
        <v>108</v>
      </c>
      <c r="B101" s="123">
        <v>12</v>
      </c>
      <c r="C101" s="125">
        <v>46476</v>
      </c>
      <c r="D101" s="125">
        <v>335124139</v>
      </c>
      <c r="E101" s="125">
        <v>977</v>
      </c>
      <c r="F101" s="125">
        <v>44416164.711274512</v>
      </c>
      <c r="G101" s="125">
        <v>45413</v>
      </c>
      <c r="H101" s="125">
        <f t="shared" si="2"/>
        <v>286798260.7112745</v>
      </c>
      <c r="I101" s="125">
        <v>2040</v>
      </c>
      <c r="J101" s="136"/>
      <c r="K101" s="125">
        <v>92742043</v>
      </c>
      <c r="L101" s="131">
        <f t="shared" si="3"/>
        <v>45461.785784313724</v>
      </c>
    </row>
    <row r="102" spans="1:12" ht="15" x14ac:dyDescent="0.25">
      <c r="A102" s="123" t="s">
        <v>109</v>
      </c>
      <c r="B102" s="123">
        <v>12</v>
      </c>
      <c r="C102" s="125">
        <v>48</v>
      </c>
      <c r="D102" s="125">
        <v>2333328</v>
      </c>
      <c r="E102" s="125">
        <v>202</v>
      </c>
      <c r="F102" s="125">
        <v>1458330</v>
      </c>
      <c r="G102" s="125"/>
      <c r="H102" s="125">
        <f t="shared" si="2"/>
        <v>0</v>
      </c>
      <c r="I102" s="125">
        <v>250</v>
      </c>
      <c r="J102" s="136"/>
      <c r="K102" s="125">
        <v>3791658</v>
      </c>
      <c r="L102" s="131">
        <f t="shared" si="3"/>
        <v>15166.632</v>
      </c>
    </row>
    <row r="103" spans="1:12" ht="15" x14ac:dyDescent="0.25">
      <c r="A103" s="123" t="s">
        <v>110</v>
      </c>
      <c r="B103" s="123">
        <v>12</v>
      </c>
      <c r="C103" s="125">
        <v>864</v>
      </c>
      <c r="D103" s="125">
        <v>15351650</v>
      </c>
      <c r="E103" s="125">
        <v>684</v>
      </c>
      <c r="F103" s="125">
        <v>12350304</v>
      </c>
      <c r="G103" s="125">
        <v>1103</v>
      </c>
      <c r="H103" s="125">
        <f t="shared" si="2"/>
        <v>20185920</v>
      </c>
      <c r="I103" s="125">
        <v>445</v>
      </c>
      <c r="J103" s="136"/>
      <c r="K103" s="125">
        <v>7516034</v>
      </c>
      <c r="L103" s="131">
        <f t="shared" si="3"/>
        <v>16889.964044943819</v>
      </c>
    </row>
    <row r="104" spans="1:12" ht="15" x14ac:dyDescent="0.25">
      <c r="A104" s="123" t="s">
        <v>111</v>
      </c>
      <c r="B104" s="123">
        <v>12</v>
      </c>
      <c r="C104" s="125">
        <v>7094</v>
      </c>
      <c r="D104" s="125">
        <v>57800393</v>
      </c>
      <c r="E104" s="125">
        <v>7800</v>
      </c>
      <c r="F104" s="125">
        <v>63554400</v>
      </c>
      <c r="G104" s="125">
        <v>13333</v>
      </c>
      <c r="H104" s="125">
        <f t="shared" si="2"/>
        <v>109458862</v>
      </c>
      <c r="I104" s="125">
        <v>1561</v>
      </c>
      <c r="J104" s="136"/>
      <c r="K104" s="125">
        <v>11895931</v>
      </c>
      <c r="L104" s="131">
        <f t="shared" si="3"/>
        <v>7620.7117232543242</v>
      </c>
    </row>
    <row r="105" spans="1:12" ht="15" x14ac:dyDescent="0.25">
      <c r="A105" s="123" t="s">
        <v>112</v>
      </c>
      <c r="B105" s="123">
        <v>12</v>
      </c>
      <c r="C105" s="125">
        <v>2500</v>
      </c>
      <c r="D105" s="125">
        <v>20355350</v>
      </c>
      <c r="E105" s="125">
        <v>1320</v>
      </c>
      <c r="F105" s="125">
        <v>10755360</v>
      </c>
      <c r="G105" s="125">
        <v>2890</v>
      </c>
      <c r="H105" s="125">
        <f t="shared" si="2"/>
        <v>24025287</v>
      </c>
      <c r="I105" s="125">
        <v>930</v>
      </c>
      <c r="J105" s="136"/>
      <c r="K105" s="125">
        <v>7085423</v>
      </c>
      <c r="L105" s="131">
        <f t="shared" si="3"/>
        <v>7618.7344086021503</v>
      </c>
    </row>
    <row r="106" spans="1:12" ht="15" x14ac:dyDescent="0.25">
      <c r="A106" s="123" t="s">
        <v>113</v>
      </c>
      <c r="B106" s="123">
        <v>12</v>
      </c>
      <c r="C106" s="125">
        <v>240</v>
      </c>
      <c r="D106" s="125">
        <v>3935440</v>
      </c>
      <c r="E106" s="125">
        <v>90</v>
      </c>
      <c r="F106" s="125">
        <v>1200024</v>
      </c>
      <c r="G106" s="125"/>
      <c r="H106" s="125">
        <f t="shared" si="2"/>
        <v>0</v>
      </c>
      <c r="I106" s="125">
        <v>330</v>
      </c>
      <c r="J106" s="136"/>
      <c r="K106" s="125">
        <v>5135464</v>
      </c>
      <c r="L106" s="131">
        <f t="shared" si="3"/>
        <v>15562.012121212121</v>
      </c>
    </row>
    <row r="107" spans="1:12" ht="15" x14ac:dyDescent="0.25">
      <c r="A107" s="123" t="s">
        <v>114</v>
      </c>
      <c r="B107" s="123">
        <v>12</v>
      </c>
      <c r="C107" s="125">
        <v>192</v>
      </c>
      <c r="D107" s="125">
        <v>3650221</v>
      </c>
      <c r="E107" s="125">
        <v>83</v>
      </c>
      <c r="F107" s="125">
        <v>1342579</v>
      </c>
      <c r="G107" s="125">
        <v>0</v>
      </c>
      <c r="H107" s="125">
        <f t="shared" si="2"/>
        <v>0</v>
      </c>
      <c r="I107" s="125">
        <v>275</v>
      </c>
      <c r="J107" s="136"/>
      <c r="K107" s="125">
        <v>4992800</v>
      </c>
      <c r="L107" s="131">
        <f t="shared" si="3"/>
        <v>18155.636363636364</v>
      </c>
    </row>
    <row r="108" spans="1:12" ht="15" x14ac:dyDescent="0.25">
      <c r="A108" s="123" t="s">
        <v>115</v>
      </c>
      <c r="B108" s="123">
        <v>12</v>
      </c>
      <c r="C108" s="125">
        <v>4325</v>
      </c>
      <c r="D108" s="125">
        <v>27997920</v>
      </c>
      <c r="E108" s="125">
        <v>2412</v>
      </c>
      <c r="F108" s="125">
        <v>15554400</v>
      </c>
      <c r="G108" s="125">
        <v>4660</v>
      </c>
      <c r="H108" s="125">
        <f t="shared" si="2"/>
        <v>30965654</v>
      </c>
      <c r="I108" s="125">
        <v>2077</v>
      </c>
      <c r="J108" s="136"/>
      <c r="K108" s="125">
        <v>12586666</v>
      </c>
      <c r="L108" s="131">
        <f t="shared" si="3"/>
        <v>6060.0221473278771</v>
      </c>
    </row>
    <row r="109" spans="1:12" ht="15" x14ac:dyDescent="0.25">
      <c r="A109" s="123" t="s">
        <v>116</v>
      </c>
      <c r="B109" s="123">
        <v>12</v>
      </c>
      <c r="C109" s="125">
        <v>4565</v>
      </c>
      <c r="D109" s="125">
        <v>92887200</v>
      </c>
      <c r="E109" s="125">
        <v>0</v>
      </c>
      <c r="F109" s="125">
        <v>0</v>
      </c>
      <c r="G109" s="125">
        <v>2461</v>
      </c>
      <c r="H109" s="125">
        <f t="shared" si="2"/>
        <v>52822600</v>
      </c>
      <c r="I109" s="125">
        <v>2104</v>
      </c>
      <c r="J109" s="136"/>
      <c r="K109" s="125">
        <v>40064600</v>
      </c>
      <c r="L109" s="131">
        <f t="shared" si="3"/>
        <v>19042.110266159696</v>
      </c>
    </row>
    <row r="110" spans="1:12" ht="15" x14ac:dyDescent="0.25">
      <c r="A110" s="123" t="s">
        <v>117</v>
      </c>
      <c r="B110" s="123">
        <v>12</v>
      </c>
      <c r="C110" s="125">
        <v>336</v>
      </c>
      <c r="D110" s="125">
        <v>5841722</v>
      </c>
      <c r="E110" s="125">
        <v>312</v>
      </c>
      <c r="F110" s="125">
        <v>5489016</v>
      </c>
      <c r="G110" s="125">
        <v>148</v>
      </c>
      <c r="H110" s="125">
        <f t="shared" si="2"/>
        <v>3112456</v>
      </c>
      <c r="I110" s="125">
        <v>500</v>
      </c>
      <c r="J110" s="136"/>
      <c r="K110" s="125">
        <v>8218282</v>
      </c>
      <c r="L110" s="131">
        <f t="shared" si="3"/>
        <v>16436.563999999998</v>
      </c>
    </row>
    <row r="111" spans="1:12" ht="15" x14ac:dyDescent="0.25">
      <c r="A111" s="123" t="s">
        <v>118</v>
      </c>
      <c r="B111" s="123">
        <v>12</v>
      </c>
      <c r="C111" s="125">
        <v>612</v>
      </c>
      <c r="D111" s="125">
        <v>25119032</v>
      </c>
      <c r="E111" s="125">
        <v>829</v>
      </c>
      <c r="F111" s="125">
        <v>3500028</v>
      </c>
      <c r="G111" s="125">
        <v>612</v>
      </c>
      <c r="H111" s="125">
        <f t="shared" si="2"/>
        <v>16776690</v>
      </c>
      <c r="I111" s="125">
        <v>829</v>
      </c>
      <c r="J111" s="136"/>
      <c r="K111" s="125">
        <v>11842370</v>
      </c>
      <c r="L111" s="131">
        <f t="shared" si="3"/>
        <v>14285.126658624849</v>
      </c>
    </row>
    <row r="112" spans="1:12" ht="15" x14ac:dyDescent="0.25">
      <c r="A112" s="123" t="s">
        <v>119</v>
      </c>
      <c r="B112" s="123">
        <v>12</v>
      </c>
      <c r="C112" s="125">
        <v>320</v>
      </c>
      <c r="D112" s="125">
        <v>7371274</v>
      </c>
      <c r="E112" s="125">
        <v>160</v>
      </c>
      <c r="F112" s="125">
        <v>3703680</v>
      </c>
      <c r="G112" s="125">
        <v>203</v>
      </c>
      <c r="H112" s="125">
        <f t="shared" si="2"/>
        <v>5076021</v>
      </c>
      <c r="I112" s="125">
        <v>277</v>
      </c>
      <c r="J112" s="136"/>
      <c r="K112" s="125">
        <v>5998933</v>
      </c>
      <c r="L112" s="131">
        <f t="shared" si="3"/>
        <v>21656.797833935019</v>
      </c>
    </row>
    <row r="113" spans="1:12" ht="15" x14ac:dyDescent="0.25">
      <c r="A113" s="123" t="s">
        <v>120</v>
      </c>
      <c r="B113" s="123">
        <v>12</v>
      </c>
      <c r="C113" s="125">
        <v>120</v>
      </c>
      <c r="D113" s="125">
        <v>2654520</v>
      </c>
      <c r="E113" s="125">
        <v>80</v>
      </c>
      <c r="F113" s="125">
        <v>1777760</v>
      </c>
      <c r="G113" s="125">
        <v>115</v>
      </c>
      <c r="H113" s="125">
        <f t="shared" si="2"/>
        <v>2659368</v>
      </c>
      <c r="I113" s="125">
        <v>85</v>
      </c>
      <c r="J113" s="136"/>
      <c r="K113" s="125">
        <v>1772912</v>
      </c>
      <c r="L113" s="131">
        <f t="shared" si="3"/>
        <v>20857.788235294116</v>
      </c>
    </row>
    <row r="114" spans="1:12" ht="15" x14ac:dyDescent="0.25">
      <c r="A114" s="123" t="s">
        <v>121</v>
      </c>
      <c r="B114" s="123">
        <v>12</v>
      </c>
      <c r="C114" s="125">
        <v>2652</v>
      </c>
      <c r="D114" s="125">
        <v>31770271</v>
      </c>
      <c r="E114" s="125">
        <v>3648</v>
      </c>
      <c r="F114" s="125">
        <v>43333200</v>
      </c>
      <c r="G114" s="125">
        <v>3192</v>
      </c>
      <c r="H114" s="125">
        <f t="shared" si="2"/>
        <v>40126712</v>
      </c>
      <c r="I114" s="125">
        <v>3108</v>
      </c>
      <c r="J114" s="136"/>
      <c r="K114" s="125">
        <v>34976759</v>
      </c>
      <c r="L114" s="131">
        <f t="shared" si="3"/>
        <v>11253.783462033462</v>
      </c>
    </row>
    <row r="115" spans="1:12" ht="15" x14ac:dyDescent="0.25">
      <c r="A115" s="123" t="s">
        <v>122</v>
      </c>
      <c r="B115" s="123">
        <v>12</v>
      </c>
      <c r="C115" s="125">
        <v>4685</v>
      </c>
      <c r="D115" s="125">
        <v>40734720</v>
      </c>
      <c r="E115" s="125">
        <v>2400</v>
      </c>
      <c r="F115" s="125">
        <v>20889600</v>
      </c>
      <c r="G115" s="125">
        <v>6911</v>
      </c>
      <c r="H115" s="125">
        <f t="shared" si="2"/>
        <v>60206569</v>
      </c>
      <c r="I115" s="125">
        <v>174</v>
      </c>
      <c r="J115" s="136"/>
      <c r="K115" s="125">
        <v>1417751</v>
      </c>
      <c r="L115" s="131">
        <f t="shared" si="3"/>
        <v>8147.9942528735628</v>
      </c>
    </row>
    <row r="116" spans="1:12" ht="15" x14ac:dyDescent="0.25">
      <c r="A116" s="123" t="s">
        <v>123</v>
      </c>
      <c r="B116" s="123">
        <v>12</v>
      </c>
      <c r="C116" s="125">
        <v>216</v>
      </c>
      <c r="D116" s="125">
        <v>3755160</v>
      </c>
      <c r="E116" s="125">
        <v>36</v>
      </c>
      <c r="F116" s="125">
        <v>666684</v>
      </c>
      <c r="G116" s="125">
        <v>120</v>
      </c>
      <c r="H116" s="125">
        <f t="shared" si="2"/>
        <v>2105640</v>
      </c>
      <c r="I116" s="125">
        <v>132</v>
      </c>
      <c r="J116" s="136"/>
      <c r="K116" s="125">
        <v>2316204</v>
      </c>
      <c r="L116" s="131">
        <f t="shared" si="3"/>
        <v>17547</v>
      </c>
    </row>
    <row r="117" spans="1:12" ht="15" x14ac:dyDescent="0.25">
      <c r="A117" s="123" t="s">
        <v>124</v>
      </c>
      <c r="B117" s="123">
        <v>12</v>
      </c>
      <c r="C117" s="125">
        <v>72</v>
      </c>
      <c r="D117" s="125">
        <v>1333368</v>
      </c>
      <c r="E117" s="125">
        <v>36</v>
      </c>
      <c r="F117" s="125">
        <v>666684</v>
      </c>
      <c r="G117" s="125">
        <v>100</v>
      </c>
      <c r="H117" s="125">
        <f t="shared" si="2"/>
        <v>1851900</v>
      </c>
      <c r="I117" s="125">
        <v>8</v>
      </c>
      <c r="J117" s="136"/>
      <c r="K117" s="125">
        <v>148152</v>
      </c>
      <c r="L117" s="131">
        <f t="shared" si="3"/>
        <v>18519</v>
      </c>
    </row>
    <row r="118" spans="1:12" ht="15" x14ac:dyDescent="0.25">
      <c r="A118" s="123" t="s">
        <v>125</v>
      </c>
      <c r="B118" s="123">
        <v>12</v>
      </c>
      <c r="C118" s="125">
        <v>944</v>
      </c>
      <c r="D118" s="125">
        <v>42152428</v>
      </c>
      <c r="E118" s="125">
        <v>840</v>
      </c>
      <c r="F118" s="125">
        <v>37721880</v>
      </c>
      <c r="G118" s="125">
        <v>1097</v>
      </c>
      <c r="H118" s="125">
        <f t="shared" si="2"/>
        <v>51040757</v>
      </c>
      <c r="I118" s="125">
        <v>687</v>
      </c>
      <c r="J118" s="136"/>
      <c r="K118" s="125">
        <v>28833551</v>
      </c>
      <c r="L118" s="131">
        <f t="shared" si="3"/>
        <v>41970.234352256186</v>
      </c>
    </row>
    <row r="119" spans="1:12" ht="15" x14ac:dyDescent="0.25">
      <c r="A119" s="123" t="s">
        <v>126</v>
      </c>
      <c r="B119" s="123">
        <v>12</v>
      </c>
      <c r="C119" s="125">
        <v>33073</v>
      </c>
      <c r="D119" s="125">
        <v>182697004</v>
      </c>
      <c r="E119" s="125">
        <v>44511</v>
      </c>
      <c r="F119" s="125">
        <v>248485800</v>
      </c>
      <c r="G119" s="125">
        <v>45992</v>
      </c>
      <c r="H119" s="125">
        <f t="shared" si="2"/>
        <v>258882160</v>
      </c>
      <c r="I119" s="125">
        <v>31592</v>
      </c>
      <c r="J119" s="136"/>
      <c r="K119" s="125">
        <v>172300644</v>
      </c>
      <c r="L119" s="131">
        <f t="shared" si="3"/>
        <v>5453.9327677893134</v>
      </c>
    </row>
    <row r="120" spans="1:12" ht="15" x14ac:dyDescent="0.25">
      <c r="A120" s="123" t="s">
        <v>127</v>
      </c>
      <c r="B120" s="123">
        <v>12</v>
      </c>
      <c r="C120" s="125">
        <v>6123</v>
      </c>
      <c r="D120" s="125">
        <v>34229824</v>
      </c>
      <c r="E120" s="125">
        <v>2760</v>
      </c>
      <c r="F120" s="125">
        <v>16099080</v>
      </c>
      <c r="G120" s="125">
        <v>6324</v>
      </c>
      <c r="H120" s="125">
        <f t="shared" si="2"/>
        <v>36374149</v>
      </c>
      <c r="I120" s="125">
        <v>2559</v>
      </c>
      <c r="J120" s="136"/>
      <c r="K120" s="125">
        <v>13954755</v>
      </c>
      <c r="L120" s="131">
        <f t="shared" si="3"/>
        <v>5453.20633059789</v>
      </c>
    </row>
    <row r="121" spans="1:12" ht="15" x14ac:dyDescent="0.25">
      <c r="A121" s="123" t="s">
        <v>128</v>
      </c>
      <c r="B121" s="123">
        <v>12</v>
      </c>
      <c r="C121" s="125">
        <v>374</v>
      </c>
      <c r="D121" s="125">
        <v>5702198</v>
      </c>
      <c r="E121" s="125">
        <v>200</v>
      </c>
      <c r="F121" s="125">
        <v>3055600</v>
      </c>
      <c r="G121" s="125">
        <v>89</v>
      </c>
      <c r="H121" s="125">
        <f t="shared" si="2"/>
        <v>1830899</v>
      </c>
      <c r="I121" s="125">
        <v>485</v>
      </c>
      <c r="J121" s="136"/>
      <c r="K121" s="125">
        <v>6926899</v>
      </c>
      <c r="L121" s="131">
        <f t="shared" si="3"/>
        <v>14282.265979381444</v>
      </c>
    </row>
    <row r="122" spans="1:12" ht="15" x14ac:dyDescent="0.25">
      <c r="A122" s="123" t="s">
        <v>129</v>
      </c>
      <c r="B122" s="123">
        <v>12</v>
      </c>
      <c r="C122" s="125">
        <v>20</v>
      </c>
      <c r="D122" s="125">
        <v>685180</v>
      </c>
      <c r="E122" s="125">
        <v>0</v>
      </c>
      <c r="F122" s="125">
        <v>0</v>
      </c>
      <c r="G122" s="125">
        <v>5</v>
      </c>
      <c r="H122" s="125">
        <f t="shared" si="2"/>
        <v>171295</v>
      </c>
      <c r="I122" s="125">
        <v>15</v>
      </c>
      <c r="J122" s="136"/>
      <c r="K122" s="125">
        <v>513885</v>
      </c>
      <c r="L122" s="131">
        <f t="shared" si="3"/>
        <v>34259</v>
      </c>
    </row>
    <row r="123" spans="1:12" ht="15" x14ac:dyDescent="0.25">
      <c r="A123" s="123" t="s">
        <v>130</v>
      </c>
      <c r="B123" s="123">
        <v>12</v>
      </c>
      <c r="C123" s="125">
        <v>85</v>
      </c>
      <c r="D123" s="125">
        <v>4046541</v>
      </c>
      <c r="E123" s="125">
        <v>41</v>
      </c>
      <c r="F123" s="125">
        <v>1955085</v>
      </c>
      <c r="G123" s="125">
        <v>33</v>
      </c>
      <c r="H123" s="125">
        <f t="shared" si="2"/>
        <v>1905278</v>
      </c>
      <c r="I123" s="125">
        <v>93</v>
      </c>
      <c r="J123" s="136"/>
      <c r="K123" s="125">
        <v>4096348</v>
      </c>
      <c r="L123" s="131">
        <f t="shared" si="3"/>
        <v>44046.752688172041</v>
      </c>
    </row>
    <row r="124" spans="1:12" ht="15" x14ac:dyDescent="0.25">
      <c r="A124" s="123" t="s">
        <v>131</v>
      </c>
      <c r="B124" s="123">
        <v>12</v>
      </c>
      <c r="C124" s="125">
        <v>70</v>
      </c>
      <c r="D124" s="125">
        <v>3488402</v>
      </c>
      <c r="E124" s="125">
        <v>16</v>
      </c>
      <c r="F124" s="125">
        <v>800000</v>
      </c>
      <c r="G124" s="125">
        <v>47</v>
      </c>
      <c r="H124" s="125">
        <f t="shared" si="2"/>
        <v>2493257</v>
      </c>
      <c r="I124" s="125">
        <v>39</v>
      </c>
      <c r="J124" s="136"/>
      <c r="K124" s="125">
        <v>1795145</v>
      </c>
      <c r="L124" s="131">
        <f t="shared" si="3"/>
        <v>46029.358974358976</v>
      </c>
    </row>
    <row r="125" spans="1:12" ht="15" x14ac:dyDescent="0.25">
      <c r="A125" s="123" t="s">
        <v>132</v>
      </c>
      <c r="B125" s="123">
        <v>12</v>
      </c>
      <c r="C125" s="125">
        <v>98</v>
      </c>
      <c r="D125" s="125">
        <v>4356568</v>
      </c>
      <c r="E125" s="125">
        <v>255</v>
      </c>
      <c r="F125" s="125">
        <v>11333220</v>
      </c>
      <c r="G125" s="125">
        <v>296</v>
      </c>
      <c r="H125" s="125">
        <f t="shared" si="2"/>
        <v>13333180</v>
      </c>
      <c r="I125" s="125">
        <v>57</v>
      </c>
      <c r="J125" s="136"/>
      <c r="K125" s="125">
        <v>2356608</v>
      </c>
      <c r="L125" s="131">
        <f t="shared" si="3"/>
        <v>41344</v>
      </c>
    </row>
    <row r="126" spans="1:12" ht="15" x14ac:dyDescent="0.25">
      <c r="A126" s="123" t="s">
        <v>133</v>
      </c>
      <c r="B126" s="123">
        <v>12</v>
      </c>
      <c r="C126" s="125">
        <v>119</v>
      </c>
      <c r="D126" s="125">
        <v>4585298</v>
      </c>
      <c r="E126" s="125">
        <v>66</v>
      </c>
      <c r="F126" s="125">
        <v>2609254</v>
      </c>
      <c r="G126" s="125">
        <v>146</v>
      </c>
      <c r="H126" s="125">
        <f t="shared" si="2"/>
        <v>5833421</v>
      </c>
      <c r="I126" s="125">
        <v>39</v>
      </c>
      <c r="J126" s="136"/>
      <c r="K126" s="125">
        <v>1361131</v>
      </c>
      <c r="L126" s="131">
        <f t="shared" si="3"/>
        <v>34900.794871794875</v>
      </c>
    </row>
    <row r="127" spans="1:12" ht="15" x14ac:dyDescent="0.25">
      <c r="A127" s="123" t="s">
        <v>134</v>
      </c>
      <c r="B127" s="123">
        <v>12</v>
      </c>
      <c r="C127" s="125">
        <v>15</v>
      </c>
      <c r="D127" s="125">
        <v>431794</v>
      </c>
      <c r="E127" s="125">
        <v>0</v>
      </c>
      <c r="F127" s="125">
        <v>0</v>
      </c>
      <c r="G127" s="125">
        <v>0</v>
      </c>
      <c r="H127" s="125">
        <f t="shared" si="2"/>
        <v>0</v>
      </c>
      <c r="I127" s="125">
        <v>15</v>
      </c>
      <c r="J127" s="136"/>
      <c r="K127" s="125">
        <v>431794</v>
      </c>
      <c r="L127" s="131">
        <f t="shared" si="3"/>
        <v>28786.266666666666</v>
      </c>
    </row>
    <row r="128" spans="1:12" ht="15" x14ac:dyDescent="0.25">
      <c r="A128" s="123" t="s">
        <v>135</v>
      </c>
      <c r="B128" s="123">
        <v>12</v>
      </c>
      <c r="C128" s="125">
        <v>155</v>
      </c>
      <c r="D128" s="125">
        <v>28475986</v>
      </c>
      <c r="E128" s="125">
        <v>770</v>
      </c>
      <c r="F128" s="125">
        <v>137740260</v>
      </c>
      <c r="G128" s="125">
        <v>15</v>
      </c>
      <c r="H128" s="125">
        <f t="shared" si="2"/>
        <v>2695399</v>
      </c>
      <c r="I128" s="125">
        <v>910</v>
      </c>
      <c r="J128" s="136"/>
      <c r="K128" s="125">
        <v>163520847</v>
      </c>
      <c r="L128" s="131">
        <f t="shared" si="3"/>
        <v>179693.23846153845</v>
      </c>
    </row>
    <row r="129" spans="1:12" ht="15" x14ac:dyDescent="0.25">
      <c r="A129" s="123" t="s">
        <v>136</v>
      </c>
      <c r="B129" s="123">
        <v>12</v>
      </c>
      <c r="C129" s="125">
        <v>4853</v>
      </c>
      <c r="D129" s="125">
        <v>73565457</v>
      </c>
      <c r="E129" s="125">
        <v>5768</v>
      </c>
      <c r="F129" s="125">
        <v>86167920</v>
      </c>
      <c r="G129" s="125">
        <v>5227</v>
      </c>
      <c r="H129" s="125">
        <f t="shared" si="2"/>
        <v>82686574</v>
      </c>
      <c r="I129" s="125">
        <v>5394</v>
      </c>
      <c r="J129" s="136"/>
      <c r="K129" s="125">
        <v>77046803</v>
      </c>
      <c r="L129" s="131">
        <f t="shared" si="3"/>
        <v>14283.79736744531</v>
      </c>
    </row>
    <row r="130" spans="1:12" ht="15" x14ac:dyDescent="0.25">
      <c r="A130" s="123" t="s">
        <v>137</v>
      </c>
      <c r="B130" s="123">
        <v>12</v>
      </c>
      <c r="C130" s="125">
        <v>144</v>
      </c>
      <c r="D130" s="125">
        <v>22621104</v>
      </c>
      <c r="E130" s="125">
        <v>0</v>
      </c>
      <c r="F130" s="125">
        <v>0</v>
      </c>
      <c r="G130" s="125">
        <v>0</v>
      </c>
      <c r="H130" s="125">
        <f t="shared" si="2"/>
        <v>0</v>
      </c>
      <c r="I130" s="125">
        <v>144</v>
      </c>
      <c r="J130" s="136"/>
      <c r="K130" s="125">
        <v>22621104</v>
      </c>
      <c r="L130" s="131">
        <f t="shared" si="3"/>
        <v>157091</v>
      </c>
    </row>
    <row r="131" spans="1:12" ht="15" x14ac:dyDescent="0.25">
      <c r="A131" s="123" t="s">
        <v>138</v>
      </c>
      <c r="B131" s="123">
        <v>12</v>
      </c>
      <c r="C131" s="125">
        <v>149</v>
      </c>
      <c r="D131" s="125">
        <v>22621104</v>
      </c>
      <c r="E131" s="125">
        <v>0</v>
      </c>
      <c r="F131" s="125">
        <v>0</v>
      </c>
      <c r="G131" s="125">
        <v>0</v>
      </c>
      <c r="H131" s="125">
        <f t="shared" si="2"/>
        <v>0</v>
      </c>
      <c r="I131" s="125">
        <v>149</v>
      </c>
      <c r="J131" s="136"/>
      <c r="K131" s="125">
        <v>22621104</v>
      </c>
      <c r="L131" s="131">
        <f t="shared" si="3"/>
        <v>151819.48993288592</v>
      </c>
    </row>
    <row r="132" spans="1:12" ht="15" x14ac:dyDescent="0.25">
      <c r="A132" s="123" t="s">
        <v>139</v>
      </c>
      <c r="B132" s="123">
        <v>12</v>
      </c>
      <c r="C132" s="125">
        <v>188</v>
      </c>
      <c r="D132" s="125">
        <v>34137846</v>
      </c>
      <c r="E132" s="125">
        <v>0</v>
      </c>
      <c r="F132" s="125">
        <v>0</v>
      </c>
      <c r="G132" s="125">
        <v>0</v>
      </c>
      <c r="H132" s="125">
        <f t="shared" si="2"/>
        <v>0</v>
      </c>
      <c r="I132" s="125">
        <v>188</v>
      </c>
      <c r="J132" s="136"/>
      <c r="K132" s="125">
        <v>34137846</v>
      </c>
      <c r="L132" s="131">
        <f t="shared" si="3"/>
        <v>181584.28723404257</v>
      </c>
    </row>
    <row r="133" spans="1:12" ht="15" x14ac:dyDescent="0.25">
      <c r="A133" s="123" t="s">
        <v>140</v>
      </c>
      <c r="B133" s="123">
        <v>12</v>
      </c>
      <c r="C133" s="125">
        <v>1326</v>
      </c>
      <c r="D133" s="125">
        <v>245672490</v>
      </c>
      <c r="E133" s="125">
        <v>1500</v>
      </c>
      <c r="F133" s="125">
        <v>279622500</v>
      </c>
      <c r="G133" s="125">
        <v>1498</v>
      </c>
      <c r="H133" s="125">
        <f t="shared" ref="H133:H198" si="4">D133+F133-K133</f>
        <v>278447238</v>
      </c>
      <c r="I133" s="125">
        <v>1328</v>
      </c>
      <c r="J133" s="136"/>
      <c r="K133" s="125">
        <v>246847752</v>
      </c>
      <c r="L133" s="131">
        <f t="shared" si="3"/>
        <v>185879.3313253012</v>
      </c>
    </row>
    <row r="134" spans="1:12" ht="15" x14ac:dyDescent="0.25">
      <c r="A134" s="123" t="s">
        <v>141</v>
      </c>
      <c r="B134" s="123">
        <v>12</v>
      </c>
      <c r="C134" s="125">
        <v>2712</v>
      </c>
      <c r="D134" s="125">
        <v>404819278</v>
      </c>
      <c r="E134" s="125">
        <v>2350</v>
      </c>
      <c r="F134" s="125">
        <v>438075250</v>
      </c>
      <c r="G134" s="125">
        <v>3044</v>
      </c>
      <c r="H134" s="125">
        <f t="shared" si="4"/>
        <v>466755000</v>
      </c>
      <c r="I134" s="125">
        <v>2018</v>
      </c>
      <c r="J134" s="136"/>
      <c r="K134" s="125">
        <v>376139528</v>
      </c>
      <c r="L134" s="131">
        <f t="shared" ref="L134:L199" si="5">K134/I134</f>
        <v>186392.2338949455</v>
      </c>
    </row>
    <row r="135" spans="1:12" ht="15" x14ac:dyDescent="0.25">
      <c r="A135" s="123" t="s">
        <v>142</v>
      </c>
      <c r="B135" s="123">
        <v>12</v>
      </c>
      <c r="C135" s="125">
        <v>1150</v>
      </c>
      <c r="D135" s="125">
        <v>211217050</v>
      </c>
      <c r="E135" s="125">
        <v>0</v>
      </c>
      <c r="F135" s="125">
        <v>0</v>
      </c>
      <c r="G135" s="125">
        <v>0</v>
      </c>
      <c r="H135" s="125">
        <f t="shared" si="4"/>
        <v>0</v>
      </c>
      <c r="I135" s="125">
        <v>1150</v>
      </c>
      <c r="J135" s="136"/>
      <c r="K135" s="125">
        <v>211217050</v>
      </c>
      <c r="L135" s="131">
        <f t="shared" si="5"/>
        <v>183667</v>
      </c>
    </row>
    <row r="136" spans="1:12" ht="15" x14ac:dyDescent="0.25">
      <c r="A136" s="123" t="s">
        <v>143</v>
      </c>
      <c r="B136" s="123">
        <v>12</v>
      </c>
      <c r="C136" s="125">
        <v>0</v>
      </c>
      <c r="D136" s="125">
        <v>0</v>
      </c>
      <c r="E136" s="125">
        <v>0</v>
      </c>
      <c r="F136" s="125">
        <v>0</v>
      </c>
      <c r="G136" s="125">
        <v>0</v>
      </c>
      <c r="H136" s="125">
        <f t="shared" si="4"/>
        <v>0</v>
      </c>
      <c r="I136" s="125">
        <v>0</v>
      </c>
      <c r="J136" s="136"/>
      <c r="K136" s="125">
        <v>0</v>
      </c>
      <c r="L136" s="131"/>
    </row>
    <row r="137" spans="1:12" ht="15" x14ac:dyDescent="0.25">
      <c r="A137" s="123" t="s">
        <v>144</v>
      </c>
      <c r="B137" s="123">
        <v>12</v>
      </c>
      <c r="C137" s="125">
        <v>898</v>
      </c>
      <c r="D137" s="125">
        <v>164227145</v>
      </c>
      <c r="E137" s="125">
        <v>455</v>
      </c>
      <c r="F137" s="125">
        <v>83865600</v>
      </c>
      <c r="G137" s="125">
        <v>770</v>
      </c>
      <c r="H137" s="125">
        <f t="shared" si="4"/>
        <v>141190993</v>
      </c>
      <c r="I137" s="125">
        <v>583</v>
      </c>
      <c r="J137" s="136"/>
      <c r="K137" s="125">
        <v>106901752</v>
      </c>
      <c r="L137" s="131">
        <f t="shared" si="5"/>
        <v>183364.92624356775</v>
      </c>
    </row>
    <row r="138" spans="1:12" ht="15" x14ac:dyDescent="0.25">
      <c r="A138" s="123" t="s">
        <v>145</v>
      </c>
      <c r="B138" s="123">
        <v>12</v>
      </c>
      <c r="C138" s="125">
        <v>13</v>
      </c>
      <c r="D138" s="125">
        <v>2323520</v>
      </c>
      <c r="E138" s="125">
        <v>67</v>
      </c>
      <c r="F138" s="125">
        <v>11975065</v>
      </c>
      <c r="G138" s="125">
        <v>80</v>
      </c>
      <c r="H138" s="125">
        <f t="shared" si="4"/>
        <v>14298585</v>
      </c>
      <c r="I138" s="125">
        <v>0</v>
      </c>
      <c r="J138" s="136"/>
      <c r="K138" s="125">
        <v>0</v>
      </c>
      <c r="L138" s="131"/>
    </row>
    <row r="139" spans="1:12" ht="15" x14ac:dyDescent="0.25">
      <c r="A139" s="123" t="s">
        <v>146</v>
      </c>
      <c r="B139" s="123">
        <v>12</v>
      </c>
      <c r="C139" s="125">
        <v>427</v>
      </c>
      <c r="D139" s="125">
        <v>83128984</v>
      </c>
      <c r="E139" s="125">
        <v>690</v>
      </c>
      <c r="F139" s="125">
        <v>132239190</v>
      </c>
      <c r="G139" s="125">
        <v>991</v>
      </c>
      <c r="H139" s="125">
        <f t="shared" si="4"/>
        <v>191147067</v>
      </c>
      <c r="I139" s="125">
        <v>126</v>
      </c>
      <c r="J139" s="136"/>
      <c r="K139" s="125">
        <v>24221107</v>
      </c>
      <c r="L139" s="131">
        <f t="shared" si="5"/>
        <v>192231.00793650793</v>
      </c>
    </row>
    <row r="140" spans="1:12" ht="15" x14ac:dyDescent="0.25">
      <c r="A140" s="123" t="s">
        <v>147</v>
      </c>
      <c r="B140" s="123">
        <v>12</v>
      </c>
      <c r="C140" s="125">
        <v>888</v>
      </c>
      <c r="D140" s="125">
        <v>82354219</v>
      </c>
      <c r="E140" s="125">
        <v>7974</v>
      </c>
      <c r="F140" s="125">
        <v>36748469.644907288</v>
      </c>
      <c r="G140" s="125">
        <v>988</v>
      </c>
      <c r="H140" s="125">
        <f t="shared" si="4"/>
        <v>82815072.644907296</v>
      </c>
      <c r="I140" s="125">
        <v>7874</v>
      </c>
      <c r="J140" s="136"/>
      <c r="K140" s="125">
        <v>36287616</v>
      </c>
      <c r="L140" s="131">
        <f t="shared" si="5"/>
        <v>4608.536449072898</v>
      </c>
    </row>
    <row r="141" spans="1:12" ht="15" x14ac:dyDescent="0.25">
      <c r="A141" s="123" t="s">
        <v>148</v>
      </c>
      <c r="B141" s="123">
        <v>12</v>
      </c>
      <c r="C141" s="125">
        <v>0</v>
      </c>
      <c r="D141" s="125">
        <v>190478.48955722639</v>
      </c>
      <c r="E141" s="125"/>
      <c r="F141" s="125">
        <v>7004.2614210403481</v>
      </c>
      <c r="G141" s="125">
        <v>0</v>
      </c>
      <c r="H141" s="125">
        <f t="shared" si="4"/>
        <v>197482.75097826673</v>
      </c>
      <c r="I141" s="125">
        <v>0</v>
      </c>
      <c r="J141" s="136"/>
      <c r="K141" s="125">
        <v>0</v>
      </c>
      <c r="L141" s="131"/>
    </row>
    <row r="142" spans="1:12" ht="15" x14ac:dyDescent="0.25">
      <c r="A142" s="123" t="s">
        <v>149</v>
      </c>
      <c r="B142" s="123">
        <v>12</v>
      </c>
      <c r="C142" s="125">
        <v>1197</v>
      </c>
      <c r="D142" s="125">
        <v>228002752</v>
      </c>
      <c r="E142" s="125">
        <v>13544.218197656777</v>
      </c>
      <c r="F142" s="125">
        <v>94867245</v>
      </c>
      <c r="G142" s="125">
        <v>0.21819765677719261</v>
      </c>
      <c r="H142" s="125">
        <f t="shared" si="4"/>
        <v>87014609</v>
      </c>
      <c r="I142" s="125">
        <v>14741</v>
      </c>
      <c r="J142" s="136"/>
      <c r="K142" s="125">
        <v>235855388</v>
      </c>
      <c r="L142" s="131">
        <f t="shared" si="5"/>
        <v>15999.958483142256</v>
      </c>
    </row>
    <row r="143" spans="1:12" ht="15" x14ac:dyDescent="0.25">
      <c r="A143" s="123" t="s">
        <v>150</v>
      </c>
      <c r="B143" s="123">
        <v>12</v>
      </c>
      <c r="C143" s="125">
        <v>0</v>
      </c>
      <c r="D143" s="125">
        <v>0</v>
      </c>
      <c r="E143" s="125">
        <v>0</v>
      </c>
      <c r="F143" s="125">
        <v>0</v>
      </c>
      <c r="G143" s="125">
        <v>0</v>
      </c>
      <c r="H143" s="125">
        <f t="shared" si="4"/>
        <v>0</v>
      </c>
      <c r="I143" s="125">
        <v>0</v>
      </c>
      <c r="J143" s="136"/>
      <c r="K143" s="125">
        <v>0</v>
      </c>
      <c r="L143" s="131"/>
    </row>
    <row r="144" spans="1:12" ht="15" x14ac:dyDescent="0.25">
      <c r="A144" s="123" t="s">
        <v>151</v>
      </c>
      <c r="B144" s="123">
        <v>12</v>
      </c>
      <c r="C144" s="125">
        <v>319</v>
      </c>
      <c r="D144" s="125">
        <v>60576489</v>
      </c>
      <c r="E144" s="125">
        <v>0</v>
      </c>
      <c r="F144" s="125">
        <v>0</v>
      </c>
      <c r="G144" s="125">
        <v>0</v>
      </c>
      <c r="H144" s="125">
        <f t="shared" si="4"/>
        <v>0</v>
      </c>
      <c r="I144" s="125">
        <v>319</v>
      </c>
      <c r="J144" s="136"/>
      <c r="K144" s="125">
        <v>60576489</v>
      </c>
      <c r="L144" s="131">
        <f t="shared" si="5"/>
        <v>189894.9498432602</v>
      </c>
    </row>
    <row r="145" spans="1:12" ht="15" x14ac:dyDescent="0.25">
      <c r="A145" s="123" t="s">
        <v>152</v>
      </c>
      <c r="B145" s="123">
        <v>12</v>
      </c>
      <c r="C145" s="125">
        <v>0</v>
      </c>
      <c r="D145" s="125">
        <v>0</v>
      </c>
      <c r="E145" s="125">
        <v>0</v>
      </c>
      <c r="F145" s="125">
        <v>0</v>
      </c>
      <c r="G145" s="125">
        <v>0</v>
      </c>
      <c r="H145" s="125">
        <f t="shared" si="4"/>
        <v>0</v>
      </c>
      <c r="I145" s="125">
        <v>0</v>
      </c>
      <c r="J145" s="136"/>
      <c r="K145" s="125">
        <v>0</v>
      </c>
      <c r="L145" s="131"/>
    </row>
    <row r="146" spans="1:12" ht="15" x14ac:dyDescent="0.25">
      <c r="A146" s="123" t="s">
        <v>153</v>
      </c>
      <c r="B146" s="123">
        <v>12</v>
      </c>
      <c r="C146" s="125">
        <v>0</v>
      </c>
      <c r="D146" s="125">
        <v>0</v>
      </c>
      <c r="E146" s="125">
        <v>0</v>
      </c>
      <c r="F146" s="125">
        <v>0</v>
      </c>
      <c r="G146" s="125">
        <v>0</v>
      </c>
      <c r="H146" s="125">
        <f t="shared" si="4"/>
        <v>0</v>
      </c>
      <c r="I146" s="125">
        <v>0</v>
      </c>
      <c r="J146" s="136"/>
      <c r="K146" s="125">
        <v>0</v>
      </c>
      <c r="L146" s="131"/>
    </row>
    <row r="147" spans="1:12" ht="15" x14ac:dyDescent="0.25">
      <c r="A147" s="123" t="s">
        <v>154</v>
      </c>
      <c r="B147" s="123">
        <v>12</v>
      </c>
      <c r="C147" s="125">
        <v>50</v>
      </c>
      <c r="D147" s="125">
        <v>11656130</v>
      </c>
      <c r="E147" s="125">
        <v>45</v>
      </c>
      <c r="F147" s="125">
        <v>10556505</v>
      </c>
      <c r="G147" s="125">
        <v>25</v>
      </c>
      <c r="H147" s="125">
        <f t="shared" si="4"/>
        <v>5845430</v>
      </c>
      <c r="I147" s="125">
        <v>70</v>
      </c>
      <c r="J147" s="136"/>
      <c r="K147" s="125">
        <v>16367205</v>
      </c>
      <c r="L147" s="131">
        <f t="shared" si="5"/>
        <v>233817.21428571429</v>
      </c>
    </row>
    <row r="148" spans="1:12" ht="15" x14ac:dyDescent="0.25">
      <c r="A148" s="123" t="s">
        <v>155</v>
      </c>
      <c r="B148" s="123">
        <v>12</v>
      </c>
      <c r="C148" s="125">
        <v>0</v>
      </c>
      <c r="D148" s="125">
        <v>0</v>
      </c>
      <c r="E148" s="125">
        <v>24</v>
      </c>
      <c r="F148" s="125">
        <v>6959131</v>
      </c>
      <c r="G148" s="125">
        <v>24</v>
      </c>
      <c r="H148" s="125">
        <f t="shared" si="4"/>
        <v>6959131</v>
      </c>
      <c r="I148" s="125">
        <v>0</v>
      </c>
      <c r="J148" s="136"/>
      <c r="K148" s="125">
        <v>0</v>
      </c>
      <c r="L148" s="131"/>
    </row>
    <row r="149" spans="1:12" ht="15" x14ac:dyDescent="0.25">
      <c r="A149" s="123" t="s">
        <v>156</v>
      </c>
      <c r="B149" s="123">
        <v>12</v>
      </c>
      <c r="C149" s="125">
        <v>265</v>
      </c>
      <c r="D149" s="125">
        <v>51536190</v>
      </c>
      <c r="E149" s="125">
        <v>20</v>
      </c>
      <c r="F149" s="125">
        <v>4691780</v>
      </c>
      <c r="G149" s="125">
        <v>170</v>
      </c>
      <c r="H149" s="125">
        <f t="shared" si="4"/>
        <v>29199086</v>
      </c>
      <c r="I149" s="125">
        <v>115</v>
      </c>
      <c r="J149" s="136"/>
      <c r="K149" s="125">
        <v>27028884</v>
      </c>
      <c r="L149" s="131">
        <f t="shared" si="5"/>
        <v>235033.77391304346</v>
      </c>
    </row>
    <row r="150" spans="1:12" ht="15" x14ac:dyDescent="0.25">
      <c r="A150" s="123" t="s">
        <v>157</v>
      </c>
      <c r="B150" s="123">
        <v>12</v>
      </c>
      <c r="C150" s="125">
        <v>100</v>
      </c>
      <c r="D150" s="125">
        <v>23336700</v>
      </c>
      <c r="E150" s="125">
        <v>45</v>
      </c>
      <c r="F150" s="125">
        <v>10556505</v>
      </c>
      <c r="G150" s="125">
        <v>45</v>
      </c>
      <c r="H150" s="125">
        <f t="shared" si="4"/>
        <v>10518581</v>
      </c>
      <c r="I150" s="125">
        <v>100</v>
      </c>
      <c r="J150" s="136"/>
      <c r="K150" s="125">
        <v>23374624</v>
      </c>
      <c r="L150" s="131">
        <f t="shared" si="5"/>
        <v>233746.24</v>
      </c>
    </row>
    <row r="151" spans="1:12" ht="15" x14ac:dyDescent="0.25">
      <c r="A151" s="123" t="s">
        <v>158</v>
      </c>
      <c r="B151" s="123">
        <v>12</v>
      </c>
      <c r="C151" s="125">
        <v>0</v>
      </c>
      <c r="D151" s="125">
        <v>0</v>
      </c>
      <c r="E151" s="125">
        <v>0</v>
      </c>
      <c r="F151" s="125">
        <v>0</v>
      </c>
      <c r="G151" s="125">
        <v>0</v>
      </c>
      <c r="H151" s="125">
        <f t="shared" si="4"/>
        <v>0</v>
      </c>
      <c r="I151" s="125">
        <v>0</v>
      </c>
      <c r="J151" s="136"/>
      <c r="K151" s="125">
        <v>0</v>
      </c>
      <c r="L151" s="131"/>
    </row>
    <row r="152" spans="1:12" ht="15" x14ac:dyDescent="0.25">
      <c r="A152" s="123" t="s">
        <v>159</v>
      </c>
      <c r="B152" s="123">
        <v>12</v>
      </c>
      <c r="C152" s="125">
        <v>81</v>
      </c>
      <c r="D152" s="125">
        <v>17829621</v>
      </c>
      <c r="E152" s="125">
        <v>0</v>
      </c>
      <c r="F152" s="125">
        <v>0</v>
      </c>
      <c r="G152" s="125">
        <v>32</v>
      </c>
      <c r="H152" s="125">
        <f t="shared" si="4"/>
        <v>4842658</v>
      </c>
      <c r="I152" s="125">
        <v>49</v>
      </c>
      <c r="J152" s="136"/>
      <c r="K152" s="125">
        <v>12986963</v>
      </c>
      <c r="L152" s="131">
        <f t="shared" si="5"/>
        <v>265040.06122448982</v>
      </c>
    </row>
    <row r="153" spans="1:12" ht="15" x14ac:dyDescent="0.25">
      <c r="A153" s="123" t="s">
        <v>160</v>
      </c>
      <c r="B153" s="123">
        <v>12</v>
      </c>
      <c r="C153" s="125">
        <v>46</v>
      </c>
      <c r="D153" s="125">
        <v>12161583</v>
      </c>
      <c r="E153" s="125">
        <v>0</v>
      </c>
      <c r="F153" s="125">
        <v>0</v>
      </c>
      <c r="G153" s="125">
        <v>42</v>
      </c>
      <c r="H153" s="125">
        <f t="shared" si="4"/>
        <v>11093015</v>
      </c>
      <c r="I153" s="125">
        <v>4</v>
      </c>
      <c r="J153" s="136"/>
      <c r="K153" s="125">
        <v>1068568</v>
      </c>
      <c r="L153" s="131">
        <f t="shared" si="5"/>
        <v>267142</v>
      </c>
    </row>
    <row r="154" spans="1:12" ht="15" x14ac:dyDescent="0.25">
      <c r="A154" s="123" t="s">
        <v>161</v>
      </c>
      <c r="B154" s="123">
        <v>12</v>
      </c>
      <c r="C154" s="125">
        <v>110</v>
      </c>
      <c r="D154" s="125">
        <v>25633710</v>
      </c>
      <c r="E154" s="125">
        <v>50</v>
      </c>
      <c r="F154" s="125">
        <v>11729450</v>
      </c>
      <c r="G154" s="125">
        <v>49</v>
      </c>
      <c r="H154" s="125">
        <f t="shared" si="4"/>
        <v>11432029</v>
      </c>
      <c r="I154" s="125">
        <v>111</v>
      </c>
      <c r="J154" s="136"/>
      <c r="K154" s="125">
        <v>25931131</v>
      </c>
      <c r="L154" s="131">
        <f t="shared" si="5"/>
        <v>233613.79279279278</v>
      </c>
    </row>
    <row r="155" spans="1:12" ht="15" x14ac:dyDescent="0.25">
      <c r="A155" s="123" t="s">
        <v>162</v>
      </c>
      <c r="B155" s="123">
        <v>12</v>
      </c>
      <c r="C155" s="125">
        <v>0</v>
      </c>
      <c r="D155" s="125">
        <v>0</v>
      </c>
      <c r="E155" s="125">
        <v>4</v>
      </c>
      <c r="F155" s="125">
        <v>1264364</v>
      </c>
      <c r="G155" s="125">
        <v>4</v>
      </c>
      <c r="H155" s="125">
        <f t="shared" si="4"/>
        <v>1264364</v>
      </c>
      <c r="I155" s="125">
        <v>0</v>
      </c>
      <c r="J155" s="136"/>
      <c r="K155" s="125">
        <v>0</v>
      </c>
      <c r="L155" s="131"/>
    </row>
    <row r="156" spans="1:12" ht="15" x14ac:dyDescent="0.25">
      <c r="A156" s="123" t="s">
        <v>163</v>
      </c>
      <c r="B156" s="123">
        <v>12</v>
      </c>
      <c r="C156" s="125">
        <v>986</v>
      </c>
      <c r="D156" s="125">
        <v>312560997</v>
      </c>
      <c r="E156" s="125">
        <v>300</v>
      </c>
      <c r="F156" s="125">
        <v>95825400</v>
      </c>
      <c r="G156" s="125">
        <v>0</v>
      </c>
      <c r="H156" s="125">
        <f t="shared" si="4"/>
        <v>0</v>
      </c>
      <c r="I156" s="125">
        <v>1286</v>
      </c>
      <c r="J156" s="136"/>
      <c r="K156" s="125">
        <v>408386397</v>
      </c>
      <c r="L156" s="131">
        <f t="shared" si="5"/>
        <v>317563.29471228615</v>
      </c>
    </row>
    <row r="157" spans="1:12" ht="15" x14ac:dyDescent="0.25">
      <c r="A157" s="123" t="s">
        <v>164</v>
      </c>
      <c r="B157" s="123">
        <v>12</v>
      </c>
      <c r="C157" s="125">
        <v>0</v>
      </c>
      <c r="D157" s="125">
        <v>0</v>
      </c>
      <c r="E157" s="125">
        <v>92</v>
      </c>
      <c r="F157" s="125">
        <v>13264312</v>
      </c>
      <c r="G157" s="125">
        <v>92</v>
      </c>
      <c r="H157" s="125">
        <f t="shared" si="4"/>
        <v>13264312</v>
      </c>
      <c r="I157" s="125">
        <v>0</v>
      </c>
      <c r="J157" s="136"/>
      <c r="K157" s="125">
        <v>0</v>
      </c>
      <c r="L157" s="131"/>
    </row>
    <row r="158" spans="1:12" ht="15" x14ac:dyDescent="0.25">
      <c r="A158" s="123" t="s">
        <v>165</v>
      </c>
      <c r="B158" s="123">
        <v>12</v>
      </c>
      <c r="C158" s="125">
        <v>100</v>
      </c>
      <c r="D158" s="125">
        <v>15396441</v>
      </c>
      <c r="E158" s="125">
        <v>0</v>
      </c>
      <c r="F158" s="125">
        <v>0</v>
      </c>
      <c r="G158" s="125">
        <v>6</v>
      </c>
      <c r="H158" s="125">
        <f t="shared" si="4"/>
        <v>923786</v>
      </c>
      <c r="I158" s="125">
        <v>94</v>
      </c>
      <c r="J158" s="136"/>
      <c r="K158" s="125">
        <v>14472655</v>
      </c>
      <c r="L158" s="131">
        <f t="shared" si="5"/>
        <v>153964.41489361701</v>
      </c>
    </row>
    <row r="159" spans="1:12" ht="15" x14ac:dyDescent="0.25">
      <c r="A159" s="123" t="s">
        <v>166</v>
      </c>
      <c r="B159" s="123">
        <v>12</v>
      </c>
      <c r="C159" s="125">
        <v>0</v>
      </c>
      <c r="D159" s="125">
        <v>0</v>
      </c>
      <c r="E159" s="125">
        <v>0</v>
      </c>
      <c r="F159" s="125">
        <v>0</v>
      </c>
      <c r="G159" s="125">
        <v>0</v>
      </c>
      <c r="H159" s="125">
        <f t="shared" si="4"/>
        <v>0</v>
      </c>
      <c r="I159" s="125">
        <v>0</v>
      </c>
      <c r="J159" s="136"/>
      <c r="K159" s="125">
        <v>0</v>
      </c>
      <c r="L159" s="131"/>
    </row>
    <row r="160" spans="1:12" ht="15" x14ac:dyDescent="0.25">
      <c r="A160" s="123" t="s">
        <v>167</v>
      </c>
      <c r="B160" s="123">
        <v>12</v>
      </c>
      <c r="C160" s="125">
        <v>0</v>
      </c>
      <c r="D160" s="125">
        <v>0</v>
      </c>
      <c r="E160" s="125">
        <v>0</v>
      </c>
      <c r="F160" s="125">
        <v>184320</v>
      </c>
      <c r="G160" s="125">
        <v>0</v>
      </c>
      <c r="H160" s="125">
        <f t="shared" si="4"/>
        <v>184320</v>
      </c>
      <c r="I160" s="125">
        <v>0</v>
      </c>
      <c r="J160" s="136"/>
      <c r="K160" s="125">
        <v>0</v>
      </c>
      <c r="L160" s="131"/>
    </row>
    <row r="161" spans="1:17" ht="15" x14ac:dyDescent="0.25">
      <c r="A161" s="123" t="s">
        <v>168</v>
      </c>
      <c r="B161" s="123">
        <v>12</v>
      </c>
      <c r="C161" s="125">
        <v>436</v>
      </c>
      <c r="D161" s="125">
        <v>79778379</v>
      </c>
      <c r="E161" s="125">
        <v>150</v>
      </c>
      <c r="F161" s="125">
        <v>27648000</v>
      </c>
      <c r="G161" s="125">
        <v>87</v>
      </c>
      <c r="H161" s="125">
        <f t="shared" si="4"/>
        <v>92210697</v>
      </c>
      <c r="I161" s="125">
        <v>499</v>
      </c>
      <c r="J161" s="136"/>
      <c r="K161" s="125">
        <v>15215682</v>
      </c>
      <c r="L161" s="131">
        <f t="shared" si="5"/>
        <v>30492.348697394791</v>
      </c>
    </row>
    <row r="162" spans="1:17" ht="15" x14ac:dyDescent="0.25">
      <c r="A162" s="123" t="s">
        <v>169</v>
      </c>
      <c r="B162" s="123">
        <v>12</v>
      </c>
      <c r="C162" s="125">
        <v>856</v>
      </c>
      <c r="D162" s="125">
        <v>151588068</v>
      </c>
      <c r="E162" s="125">
        <v>0</v>
      </c>
      <c r="F162" s="125">
        <v>0</v>
      </c>
      <c r="G162" s="125">
        <v>204</v>
      </c>
      <c r="H162" s="125">
        <f t="shared" si="4"/>
        <v>32938529</v>
      </c>
      <c r="I162" s="125">
        <v>652</v>
      </c>
      <c r="J162" s="136"/>
      <c r="K162" s="125">
        <v>118649539</v>
      </c>
      <c r="L162" s="131">
        <f t="shared" si="5"/>
        <v>181977.82055214723</v>
      </c>
    </row>
    <row r="163" spans="1:17" ht="15" x14ac:dyDescent="0.25">
      <c r="A163" s="123" t="s">
        <v>170</v>
      </c>
      <c r="B163" s="123">
        <v>12</v>
      </c>
      <c r="C163" s="125">
        <v>164</v>
      </c>
      <c r="D163" s="125">
        <v>44675744</v>
      </c>
      <c r="E163" s="125">
        <v>175</v>
      </c>
      <c r="F163" s="125">
        <v>49157166</v>
      </c>
      <c r="G163" s="125">
        <v>339</v>
      </c>
      <c r="H163" s="125">
        <f t="shared" si="4"/>
        <v>93832910</v>
      </c>
      <c r="I163" s="125">
        <v>0</v>
      </c>
      <c r="J163" s="136"/>
      <c r="K163" s="125">
        <v>0</v>
      </c>
      <c r="L163" s="131"/>
    </row>
    <row r="164" spans="1:17" ht="15" x14ac:dyDescent="0.25">
      <c r="A164" s="123" t="s">
        <v>171</v>
      </c>
      <c r="B164" s="123">
        <v>12</v>
      </c>
      <c r="C164" s="125">
        <v>0</v>
      </c>
      <c r="D164" s="125">
        <v>0</v>
      </c>
      <c r="E164" s="125">
        <v>30</v>
      </c>
      <c r="F164" s="125">
        <v>8280000</v>
      </c>
      <c r="G164" s="125">
        <v>30</v>
      </c>
      <c r="H164" s="125">
        <f t="shared" si="4"/>
        <v>8280000</v>
      </c>
      <c r="I164" s="125">
        <v>0</v>
      </c>
      <c r="J164" s="136"/>
      <c r="K164" s="125">
        <v>0</v>
      </c>
      <c r="L164" s="131"/>
    </row>
    <row r="165" spans="1:17" ht="15" x14ac:dyDescent="0.25">
      <c r="A165" s="123" t="s">
        <v>172</v>
      </c>
      <c r="B165" s="123">
        <v>12</v>
      </c>
      <c r="C165" s="125">
        <v>459</v>
      </c>
      <c r="D165" s="125">
        <v>85500524</v>
      </c>
      <c r="E165" s="125">
        <v>30</v>
      </c>
      <c r="F165" s="125">
        <v>5655270</v>
      </c>
      <c r="G165" s="125">
        <v>0</v>
      </c>
      <c r="H165" s="125">
        <f t="shared" si="4"/>
        <v>0</v>
      </c>
      <c r="I165" s="125">
        <v>489</v>
      </c>
      <c r="J165" s="136"/>
      <c r="K165" s="125">
        <v>91155794</v>
      </c>
      <c r="L165" s="131">
        <f t="shared" si="5"/>
        <v>186412.66666666666</v>
      </c>
    </row>
    <row r="166" spans="1:17" ht="15" x14ac:dyDescent="0.25">
      <c r="A166" s="123" t="s">
        <v>173</v>
      </c>
      <c r="B166" s="123">
        <v>12</v>
      </c>
      <c r="C166" s="125">
        <v>484</v>
      </c>
      <c r="D166" s="125">
        <v>88893600</v>
      </c>
      <c r="E166" s="125">
        <v>13</v>
      </c>
      <c r="F166" s="125">
        <v>4712725</v>
      </c>
      <c r="G166" s="125">
        <v>0</v>
      </c>
      <c r="H166" s="125">
        <f t="shared" si="4"/>
        <v>0</v>
      </c>
      <c r="I166" s="125">
        <v>497</v>
      </c>
      <c r="J166" s="136"/>
      <c r="K166" s="125">
        <v>93606325</v>
      </c>
      <c r="L166" s="131">
        <f t="shared" si="5"/>
        <v>188342.70623742454</v>
      </c>
    </row>
    <row r="167" spans="1:17" ht="15" x14ac:dyDescent="0.25">
      <c r="A167" s="123" t="s">
        <v>174</v>
      </c>
      <c r="B167" s="123">
        <v>12</v>
      </c>
      <c r="C167" s="125">
        <v>5</v>
      </c>
      <c r="D167" s="125">
        <v>1372892</v>
      </c>
      <c r="E167" s="125">
        <v>0</v>
      </c>
      <c r="F167" s="125">
        <v>0</v>
      </c>
      <c r="G167" s="125">
        <v>0</v>
      </c>
      <c r="H167" s="125">
        <f t="shared" si="4"/>
        <v>0</v>
      </c>
      <c r="I167" s="125">
        <v>5</v>
      </c>
      <c r="J167" s="136"/>
      <c r="K167" s="125">
        <v>1372892</v>
      </c>
      <c r="L167" s="131">
        <f t="shared" si="5"/>
        <v>274578.40000000002</v>
      </c>
    </row>
    <row r="168" spans="1:17" ht="15" x14ac:dyDescent="0.25">
      <c r="A168" s="123" t="s">
        <v>175</v>
      </c>
      <c r="B168" s="123">
        <v>12</v>
      </c>
      <c r="C168" s="125">
        <v>0</v>
      </c>
      <c r="D168" s="125">
        <v>0</v>
      </c>
      <c r="E168" s="125">
        <v>0</v>
      </c>
      <c r="F168" s="125">
        <v>0</v>
      </c>
      <c r="G168" s="125">
        <v>0</v>
      </c>
      <c r="H168" s="125">
        <f t="shared" si="4"/>
        <v>0</v>
      </c>
      <c r="I168" s="125">
        <v>0</v>
      </c>
      <c r="J168" s="136"/>
      <c r="K168" s="125">
        <v>0</v>
      </c>
      <c r="L168" s="131"/>
    </row>
    <row r="169" spans="1:17" ht="15" x14ac:dyDescent="0.25">
      <c r="A169" s="123" t="s">
        <v>176</v>
      </c>
      <c r="B169" s="123">
        <v>12</v>
      </c>
      <c r="C169" s="125">
        <v>0</v>
      </c>
      <c r="D169" s="125">
        <v>0</v>
      </c>
      <c r="E169" s="125">
        <v>0</v>
      </c>
      <c r="F169" s="125">
        <v>0</v>
      </c>
      <c r="G169" s="125">
        <v>0</v>
      </c>
      <c r="H169" s="125">
        <f t="shared" si="4"/>
        <v>0</v>
      </c>
      <c r="I169" s="125">
        <v>0</v>
      </c>
      <c r="J169" s="136"/>
      <c r="K169" s="125">
        <v>0</v>
      </c>
      <c r="L169" s="131"/>
    </row>
    <row r="170" spans="1:17" ht="15" x14ac:dyDescent="0.25">
      <c r="A170" s="123" t="s">
        <v>177</v>
      </c>
      <c r="B170" s="123">
        <v>12</v>
      </c>
      <c r="C170" s="125">
        <v>1</v>
      </c>
      <c r="D170" s="125">
        <v>537037</v>
      </c>
      <c r="E170" s="125">
        <v>0</v>
      </c>
      <c r="F170" s="125">
        <v>0</v>
      </c>
      <c r="G170" s="125">
        <v>0</v>
      </c>
      <c r="H170" s="125">
        <f t="shared" si="4"/>
        <v>0</v>
      </c>
      <c r="I170" s="125">
        <v>1</v>
      </c>
      <c r="J170" s="136"/>
      <c r="K170" s="125">
        <v>537037</v>
      </c>
      <c r="L170" s="131">
        <f t="shared" si="5"/>
        <v>537037</v>
      </c>
    </row>
    <row r="171" spans="1:17" ht="15" x14ac:dyDescent="0.25">
      <c r="A171" s="123" t="s">
        <v>178</v>
      </c>
      <c r="B171" s="123">
        <v>12</v>
      </c>
      <c r="C171" s="125">
        <v>144</v>
      </c>
      <c r="D171" s="125">
        <v>8408880</v>
      </c>
      <c r="E171" s="125">
        <v>874</v>
      </c>
      <c r="F171" s="125">
        <v>31937917.485265225</v>
      </c>
      <c r="G171" s="125">
        <v>0</v>
      </c>
      <c r="H171" s="125">
        <f t="shared" si="4"/>
        <v>3146797.4852652252</v>
      </c>
      <c r="I171" s="125">
        <v>1018</v>
      </c>
      <c r="J171" s="136"/>
      <c r="K171" s="125">
        <v>37200000</v>
      </c>
      <c r="L171" s="131">
        <f t="shared" si="5"/>
        <v>36542.239685658154</v>
      </c>
    </row>
    <row r="172" spans="1:17" ht="15" x14ac:dyDescent="0.25">
      <c r="A172" s="123" t="s">
        <v>179</v>
      </c>
      <c r="B172" s="123">
        <v>12</v>
      </c>
      <c r="C172" s="125">
        <v>24797</v>
      </c>
      <c r="D172" s="125">
        <v>127113973</v>
      </c>
      <c r="E172" s="125">
        <v>15719</v>
      </c>
      <c r="F172" s="125">
        <v>82006560</v>
      </c>
      <c r="G172" s="125">
        <v>14610</v>
      </c>
      <c r="H172" s="125">
        <f t="shared" si="4"/>
        <v>74541385</v>
      </c>
      <c r="I172" s="125">
        <v>25906</v>
      </c>
      <c r="J172" s="136"/>
      <c r="K172" s="125">
        <v>134579148</v>
      </c>
      <c r="L172" s="131">
        <f t="shared" si="5"/>
        <v>5194.902648035204</v>
      </c>
    </row>
    <row r="173" spans="1:17" ht="15" x14ac:dyDescent="0.25">
      <c r="A173" s="123" t="s">
        <v>180</v>
      </c>
      <c r="B173" s="123">
        <v>12</v>
      </c>
      <c r="C173" s="125">
        <v>1056</v>
      </c>
      <c r="D173" s="125">
        <v>82980480</v>
      </c>
      <c r="E173" s="125">
        <v>360</v>
      </c>
      <c r="F173" s="125">
        <v>27106680</v>
      </c>
      <c r="G173" s="125">
        <v>1416</v>
      </c>
      <c r="H173" s="125">
        <f t="shared" si="4"/>
        <v>110087160</v>
      </c>
      <c r="I173" s="125">
        <v>0</v>
      </c>
      <c r="J173" s="136"/>
      <c r="K173" s="125">
        <v>0</v>
      </c>
      <c r="L173" s="131"/>
    </row>
    <row r="174" spans="1:17" ht="15" x14ac:dyDescent="0.25">
      <c r="A174" s="123" t="s">
        <v>181</v>
      </c>
      <c r="B174" s="123">
        <v>12</v>
      </c>
      <c r="C174" s="125">
        <v>432</v>
      </c>
      <c r="D174" s="125">
        <v>22188108</v>
      </c>
      <c r="E174" s="125">
        <v>375</v>
      </c>
      <c r="F174" s="125">
        <v>19270875</v>
      </c>
      <c r="G174" s="125">
        <v>501</v>
      </c>
      <c r="H174" s="125">
        <f t="shared" si="4"/>
        <v>25738476</v>
      </c>
      <c r="I174" s="125">
        <v>306</v>
      </c>
      <c r="J174" s="136"/>
      <c r="K174" s="125">
        <v>15720507</v>
      </c>
      <c r="L174" s="131">
        <f t="shared" si="5"/>
        <v>51374.205882352944</v>
      </c>
    </row>
    <row r="175" spans="1:17" ht="15" x14ac:dyDescent="0.25">
      <c r="A175" s="123" t="s">
        <v>182</v>
      </c>
      <c r="B175" s="123">
        <v>12</v>
      </c>
      <c r="C175" s="125">
        <v>0</v>
      </c>
      <c r="D175" s="125">
        <v>0</v>
      </c>
      <c r="E175" s="125">
        <v>180</v>
      </c>
      <c r="F175" s="125">
        <v>11127420</v>
      </c>
      <c r="G175" s="125">
        <v>180</v>
      </c>
      <c r="H175" s="125">
        <f t="shared" si="4"/>
        <v>11127420</v>
      </c>
      <c r="I175" s="136"/>
      <c r="J175" s="136">
        <f>O175</f>
        <v>35</v>
      </c>
      <c r="K175" s="125">
        <v>0</v>
      </c>
      <c r="L175" s="131"/>
      <c r="M175" s="141" t="s">
        <v>182</v>
      </c>
      <c r="N175" s="142" t="s">
        <v>528</v>
      </c>
      <c r="O175" s="143">
        <v>35</v>
      </c>
      <c r="P175" s="143">
        <v>2083200</v>
      </c>
      <c r="Q175" s="130">
        <f>P175/O175</f>
        <v>59520</v>
      </c>
    </row>
    <row r="176" spans="1:17" ht="15" x14ac:dyDescent="0.25">
      <c r="A176" s="123" t="s">
        <v>183</v>
      </c>
      <c r="B176" s="123">
        <v>12</v>
      </c>
      <c r="C176" s="125">
        <v>2751</v>
      </c>
      <c r="D176" s="125">
        <v>148297433</v>
      </c>
      <c r="E176" s="125">
        <v>306</v>
      </c>
      <c r="F176" s="125">
        <v>16321556</v>
      </c>
      <c r="G176" s="125">
        <v>284</v>
      </c>
      <c r="H176" s="125">
        <f t="shared" si="4"/>
        <v>13731712</v>
      </c>
      <c r="I176" s="125">
        <v>2773</v>
      </c>
      <c r="J176" s="136">
        <f>O176</f>
        <v>2522</v>
      </c>
      <c r="K176" s="125">
        <v>150887277</v>
      </c>
      <c r="L176" s="131">
        <f t="shared" si="5"/>
        <v>54413.010097367471</v>
      </c>
      <c r="M176" s="141" t="s">
        <v>183</v>
      </c>
      <c r="N176" s="142" t="s">
        <v>528</v>
      </c>
      <c r="O176" s="143">
        <v>2522</v>
      </c>
      <c r="P176" s="143">
        <v>130683080.73241036</v>
      </c>
      <c r="Q176" s="130">
        <f t="shared" ref="Q176:Q202" si="6">P176/O176</f>
        <v>51817.240575896256</v>
      </c>
    </row>
    <row r="177" spans="1:17" ht="15" x14ac:dyDescent="0.25">
      <c r="A177" s="123" t="s">
        <v>184</v>
      </c>
      <c r="B177" s="123">
        <v>12</v>
      </c>
      <c r="C177" s="125">
        <v>2074</v>
      </c>
      <c r="D177" s="125">
        <v>111994520</v>
      </c>
      <c r="E177" s="125">
        <v>408</v>
      </c>
      <c r="F177" s="125">
        <v>21762074</v>
      </c>
      <c r="G177" s="125">
        <v>900</v>
      </c>
      <c r="H177" s="125">
        <f t="shared" si="4"/>
        <v>47693225</v>
      </c>
      <c r="I177" s="125">
        <v>1582</v>
      </c>
      <c r="J177" s="136">
        <f>O177</f>
        <v>1671</v>
      </c>
      <c r="K177" s="125">
        <v>86063369</v>
      </c>
      <c r="L177" s="131">
        <f t="shared" si="5"/>
        <v>54401.623893805307</v>
      </c>
      <c r="M177" s="141" t="s">
        <v>184</v>
      </c>
      <c r="N177" s="142" t="s">
        <v>528</v>
      </c>
      <c r="O177" s="143">
        <v>1671</v>
      </c>
      <c r="P177" s="143">
        <v>83142004.129999995</v>
      </c>
      <c r="Q177" s="130">
        <f t="shared" si="6"/>
        <v>49755.837301017353</v>
      </c>
    </row>
    <row r="178" spans="1:17" ht="25.5" x14ac:dyDescent="0.25">
      <c r="A178" s="123" t="s">
        <v>185</v>
      </c>
      <c r="B178" s="123">
        <v>12</v>
      </c>
      <c r="C178" s="125">
        <v>770</v>
      </c>
      <c r="D178" s="125">
        <v>141860096</v>
      </c>
      <c r="E178" s="125">
        <v>400</v>
      </c>
      <c r="F178" s="125">
        <v>72675000</v>
      </c>
      <c r="G178" s="125">
        <v>229</v>
      </c>
      <c r="H178" s="125">
        <f t="shared" si="4"/>
        <v>44862468</v>
      </c>
      <c r="I178" s="125">
        <v>941</v>
      </c>
      <c r="J178" s="136">
        <f>O178</f>
        <v>915</v>
      </c>
      <c r="K178" s="125">
        <v>169672628</v>
      </c>
      <c r="L178" s="131">
        <f t="shared" si="5"/>
        <v>180310.97555791712</v>
      </c>
      <c r="M178" s="141" t="s">
        <v>185</v>
      </c>
      <c r="N178" s="142" t="s">
        <v>303</v>
      </c>
      <c r="O178" s="143">
        <v>915</v>
      </c>
      <c r="P178" s="143">
        <v>182689865.25</v>
      </c>
      <c r="Q178" s="130">
        <f t="shared" si="6"/>
        <v>199661.05491803278</v>
      </c>
    </row>
    <row r="179" spans="1:17" ht="25.5" x14ac:dyDescent="0.25">
      <c r="A179" s="123" t="s">
        <v>186</v>
      </c>
      <c r="B179" s="123">
        <v>12</v>
      </c>
      <c r="C179" s="125">
        <v>1555</v>
      </c>
      <c r="D179" s="125">
        <v>69495853</v>
      </c>
      <c r="E179" s="125">
        <v>7668</v>
      </c>
      <c r="F179" s="125">
        <v>332611379.81490999</v>
      </c>
      <c r="G179" s="125">
        <v>4555</v>
      </c>
      <c r="H179" s="125">
        <f t="shared" si="4"/>
        <v>199625500.81490999</v>
      </c>
      <c r="I179" s="125">
        <v>4668</v>
      </c>
      <c r="J179" s="136">
        <f>O181</f>
        <v>3025</v>
      </c>
      <c r="K179" s="125">
        <v>202481732</v>
      </c>
      <c r="L179" s="131">
        <f t="shared" si="5"/>
        <v>43376.549271636672</v>
      </c>
      <c r="M179" s="134" t="s">
        <v>742</v>
      </c>
      <c r="N179" s="135" t="s">
        <v>303</v>
      </c>
      <c r="O179" s="133">
        <v>219</v>
      </c>
      <c r="P179" s="133">
        <v>56093709.850000001</v>
      </c>
      <c r="Q179" s="130">
        <f t="shared" si="6"/>
        <v>256135.66141552513</v>
      </c>
    </row>
    <row r="180" spans="1:17" ht="25.5" x14ac:dyDescent="0.25">
      <c r="A180" s="123" t="s">
        <v>187</v>
      </c>
      <c r="B180" s="123">
        <v>12</v>
      </c>
      <c r="C180" s="125">
        <v>973</v>
      </c>
      <c r="D180" s="125">
        <v>34563746</v>
      </c>
      <c r="E180" s="125">
        <v>0</v>
      </c>
      <c r="F180" s="125">
        <v>43376.549271636672</v>
      </c>
      <c r="G180" s="125">
        <v>130</v>
      </c>
      <c r="H180" s="125">
        <f t="shared" si="4"/>
        <v>4733268.5492716357</v>
      </c>
      <c r="I180" s="125">
        <v>843</v>
      </c>
      <c r="J180" s="136"/>
      <c r="K180" s="125">
        <v>29873854</v>
      </c>
      <c r="L180" s="131">
        <f t="shared" si="5"/>
        <v>35437.549228944248</v>
      </c>
      <c r="M180" s="134" t="s">
        <v>748</v>
      </c>
      <c r="N180" s="135" t="s">
        <v>303</v>
      </c>
      <c r="O180" s="133">
        <v>8326</v>
      </c>
      <c r="P180" s="133">
        <v>1667408191.4196239</v>
      </c>
      <c r="Q180" s="130">
        <f t="shared" si="6"/>
        <v>200265.21636075233</v>
      </c>
    </row>
    <row r="181" spans="1:17" ht="25.5" x14ac:dyDescent="0.25">
      <c r="A181" s="123" t="s">
        <v>188</v>
      </c>
      <c r="B181" s="123">
        <v>12</v>
      </c>
      <c r="C181" s="125">
        <v>7616</v>
      </c>
      <c r="D181" s="125">
        <v>1284172909</v>
      </c>
      <c r="E181" s="125">
        <v>4500</v>
      </c>
      <c r="F181" s="125">
        <v>816216250</v>
      </c>
      <c r="G181" s="125">
        <v>4573</v>
      </c>
      <c r="H181" s="125">
        <f t="shared" si="4"/>
        <v>754127000</v>
      </c>
      <c r="I181" s="125">
        <v>7543</v>
      </c>
      <c r="J181" s="136"/>
      <c r="K181" s="125">
        <v>1346262159</v>
      </c>
      <c r="L181" s="131">
        <f t="shared" si="5"/>
        <v>178478.3453533077</v>
      </c>
      <c r="M181" s="141" t="s">
        <v>186</v>
      </c>
      <c r="N181" s="142" t="s">
        <v>303</v>
      </c>
      <c r="O181" s="143">
        <v>3025</v>
      </c>
      <c r="P181" s="143">
        <v>152301811.77000001</v>
      </c>
      <c r="Q181" s="130">
        <f t="shared" si="6"/>
        <v>50347.706370247935</v>
      </c>
    </row>
    <row r="182" spans="1:17" ht="25.5" x14ac:dyDescent="0.25">
      <c r="A182" s="123" t="s">
        <v>189</v>
      </c>
      <c r="B182" s="123">
        <v>12</v>
      </c>
      <c r="C182" s="125">
        <v>690</v>
      </c>
      <c r="D182" s="125">
        <v>30148907</v>
      </c>
      <c r="E182" s="125">
        <v>0</v>
      </c>
      <c r="F182" s="125">
        <v>0</v>
      </c>
      <c r="G182" s="125">
        <v>144</v>
      </c>
      <c r="H182" s="125">
        <f t="shared" si="4"/>
        <v>5958168</v>
      </c>
      <c r="I182" s="125">
        <v>546</v>
      </c>
      <c r="J182" s="136">
        <f>O182</f>
        <v>515</v>
      </c>
      <c r="K182" s="125">
        <v>24190739</v>
      </c>
      <c r="L182" s="131">
        <f t="shared" si="5"/>
        <v>44305.382783882786</v>
      </c>
      <c r="M182" s="141" t="s">
        <v>189</v>
      </c>
      <c r="N182" s="142" t="s">
        <v>303</v>
      </c>
      <c r="O182" s="143">
        <v>515</v>
      </c>
      <c r="P182" s="133">
        <v>26116288.18</v>
      </c>
      <c r="Q182" s="130">
        <f t="shared" si="6"/>
        <v>50711.239184466016</v>
      </c>
    </row>
    <row r="183" spans="1:17" ht="15" x14ac:dyDescent="0.25">
      <c r="A183" s="123" t="s">
        <v>190</v>
      </c>
      <c r="B183" s="123">
        <v>12</v>
      </c>
      <c r="C183" s="125">
        <v>11502</v>
      </c>
      <c r="D183" s="125">
        <v>332240556</v>
      </c>
      <c r="E183" s="125">
        <v>3150</v>
      </c>
      <c r="F183" s="125">
        <v>90972000</v>
      </c>
      <c r="G183" s="125">
        <v>9809</v>
      </c>
      <c r="H183" s="125">
        <f t="shared" si="4"/>
        <v>286291540</v>
      </c>
      <c r="I183" s="125">
        <v>4843</v>
      </c>
      <c r="J183" s="136">
        <f>O183</f>
        <v>7062</v>
      </c>
      <c r="K183" s="125">
        <v>136921016</v>
      </c>
      <c r="L183" s="131">
        <f t="shared" si="5"/>
        <v>28271.942184596326</v>
      </c>
      <c r="M183" s="141" t="s">
        <v>190</v>
      </c>
      <c r="N183" s="142" t="s">
        <v>753</v>
      </c>
      <c r="O183" s="143">
        <v>7062</v>
      </c>
      <c r="P183" s="133">
        <v>134093184.94</v>
      </c>
      <c r="Q183" s="130">
        <f t="shared" si="6"/>
        <v>18987.989937694703</v>
      </c>
    </row>
    <row r="184" spans="1:17" ht="25.5" x14ac:dyDescent="0.25">
      <c r="A184" s="123" t="s">
        <v>191</v>
      </c>
      <c r="B184" s="123">
        <v>12</v>
      </c>
      <c r="C184" s="125">
        <v>15969</v>
      </c>
      <c r="D184" s="125">
        <v>459112502</v>
      </c>
      <c r="E184" s="125">
        <v>65615</v>
      </c>
      <c r="F184" s="125">
        <v>1833319500</v>
      </c>
      <c r="G184" s="125">
        <v>40229</v>
      </c>
      <c r="H184" s="125">
        <f t="shared" si="4"/>
        <v>1123236500</v>
      </c>
      <c r="I184" s="125">
        <v>41355</v>
      </c>
      <c r="J184" s="136">
        <f>O185</f>
        <v>28592</v>
      </c>
      <c r="K184" s="125">
        <v>1169195502</v>
      </c>
      <c r="L184" s="131">
        <f t="shared" si="5"/>
        <v>28272.167863619878</v>
      </c>
      <c r="M184" s="134" t="s">
        <v>755</v>
      </c>
      <c r="N184" s="135" t="s">
        <v>753</v>
      </c>
      <c r="O184" s="133">
        <v>780</v>
      </c>
      <c r="P184" s="133">
        <v>30410639.609999999</v>
      </c>
      <c r="Q184" s="130">
        <f t="shared" si="6"/>
        <v>38987.999499999998</v>
      </c>
    </row>
    <row r="185" spans="1:17" ht="15" x14ac:dyDescent="0.25">
      <c r="A185" s="123" t="s">
        <v>192</v>
      </c>
      <c r="B185" s="123">
        <v>12</v>
      </c>
      <c r="C185" s="125">
        <v>10975</v>
      </c>
      <c r="D185" s="125">
        <v>79007874</v>
      </c>
      <c r="E185" s="125">
        <v>0</v>
      </c>
      <c r="F185" s="125">
        <v>0</v>
      </c>
      <c r="G185" s="125">
        <v>4660</v>
      </c>
      <c r="H185" s="125">
        <f t="shared" si="4"/>
        <v>33402873</v>
      </c>
      <c r="I185" s="125">
        <v>6315</v>
      </c>
      <c r="J185" s="136"/>
      <c r="K185" s="125">
        <v>45605001</v>
      </c>
      <c r="L185" s="131">
        <f t="shared" si="5"/>
        <v>7221.6945368171018</v>
      </c>
      <c r="M185" s="134" t="s">
        <v>191</v>
      </c>
      <c r="N185" s="142" t="s">
        <v>753</v>
      </c>
      <c r="O185" s="143">
        <v>28592</v>
      </c>
      <c r="P185" s="143">
        <v>881102753.8345809</v>
      </c>
      <c r="Q185" s="130">
        <f t="shared" si="6"/>
        <v>30816.408570039901</v>
      </c>
    </row>
    <row r="186" spans="1:17" ht="15" x14ac:dyDescent="0.25">
      <c r="A186" s="123" t="s">
        <v>193</v>
      </c>
      <c r="B186" s="123">
        <v>12</v>
      </c>
      <c r="C186" s="125">
        <v>0</v>
      </c>
      <c r="D186" s="125">
        <v>0</v>
      </c>
      <c r="E186" s="125">
        <v>250</v>
      </c>
      <c r="F186" s="125">
        <v>53642625</v>
      </c>
      <c r="G186" s="125">
        <v>0</v>
      </c>
      <c r="H186" s="125">
        <f t="shared" si="4"/>
        <v>0</v>
      </c>
      <c r="I186" s="125">
        <v>250</v>
      </c>
      <c r="J186" s="136"/>
      <c r="K186" s="125">
        <v>53642625</v>
      </c>
      <c r="L186" s="131">
        <f t="shared" si="5"/>
        <v>214570.5</v>
      </c>
      <c r="M186" s="134" t="s">
        <v>192</v>
      </c>
      <c r="N186" s="135" t="s">
        <v>311</v>
      </c>
      <c r="O186" s="133">
        <v>7685</v>
      </c>
      <c r="P186" s="133">
        <v>59991263.759999998</v>
      </c>
      <c r="Q186" s="130">
        <f t="shared" si="6"/>
        <v>7806.2802550422903</v>
      </c>
    </row>
    <row r="187" spans="1:17" ht="25.5" x14ac:dyDescent="0.25">
      <c r="A187" s="123" t="s">
        <v>194</v>
      </c>
      <c r="B187" s="123">
        <v>12</v>
      </c>
      <c r="C187" s="125">
        <v>131535</v>
      </c>
      <c r="D187" s="125">
        <v>626836099</v>
      </c>
      <c r="E187" s="125">
        <v>273861</v>
      </c>
      <c r="F187" s="125">
        <v>1931160000</v>
      </c>
      <c r="G187" s="125">
        <v>227875</v>
      </c>
      <c r="H187" s="125">
        <f t="shared" si="4"/>
        <v>1303281000</v>
      </c>
      <c r="I187" s="125">
        <v>177521</v>
      </c>
      <c r="J187" s="136">
        <f>O188</f>
        <v>186385</v>
      </c>
      <c r="K187" s="125">
        <v>1254715099</v>
      </c>
      <c r="L187" s="131">
        <f t="shared" si="5"/>
        <v>7067.9812472890535</v>
      </c>
      <c r="M187" s="134" t="s">
        <v>193</v>
      </c>
      <c r="N187" s="135" t="s">
        <v>528</v>
      </c>
      <c r="O187" s="133">
        <v>250</v>
      </c>
      <c r="P187" s="133">
        <v>57934023</v>
      </c>
      <c r="Q187" s="130">
        <f t="shared" si="6"/>
        <v>231736.092</v>
      </c>
    </row>
    <row r="188" spans="1:17" ht="15" x14ac:dyDescent="0.25">
      <c r="A188" s="123" t="s">
        <v>195</v>
      </c>
      <c r="B188" s="123">
        <v>12</v>
      </c>
      <c r="C188" s="125">
        <v>0</v>
      </c>
      <c r="D188" s="125">
        <v>0</v>
      </c>
      <c r="E188" s="125">
        <v>11200</v>
      </c>
      <c r="F188" s="125">
        <v>2411276207</v>
      </c>
      <c r="G188" s="125">
        <v>1333</v>
      </c>
      <c r="H188" s="125">
        <f t="shared" si="4"/>
        <v>303268263</v>
      </c>
      <c r="I188" s="125">
        <v>9867</v>
      </c>
      <c r="J188" s="136"/>
      <c r="K188" s="125">
        <v>2108007944</v>
      </c>
      <c r="L188" s="131">
        <f t="shared" si="5"/>
        <v>213642.23614067092</v>
      </c>
      <c r="M188" s="141" t="s">
        <v>194</v>
      </c>
      <c r="N188" s="142" t="s">
        <v>311</v>
      </c>
      <c r="O188" s="143">
        <v>186385</v>
      </c>
      <c r="P188" s="143">
        <v>1499015844.5427105</v>
      </c>
      <c r="Q188" s="130">
        <f t="shared" si="6"/>
        <v>8042.5776996148325</v>
      </c>
    </row>
    <row r="189" spans="1:17" ht="25.5" x14ac:dyDescent="0.25">
      <c r="A189" s="123" t="s">
        <v>196</v>
      </c>
      <c r="B189" s="123">
        <v>12</v>
      </c>
      <c r="C189" s="125">
        <v>0</v>
      </c>
      <c r="D189" s="125">
        <v>0</v>
      </c>
      <c r="E189" s="125">
        <v>0</v>
      </c>
      <c r="F189" s="125">
        <v>0</v>
      </c>
      <c r="G189" s="125">
        <v>0</v>
      </c>
      <c r="H189" s="125">
        <f t="shared" si="4"/>
        <v>0</v>
      </c>
      <c r="I189" s="125">
        <v>0</v>
      </c>
      <c r="J189" s="136">
        <f>O195</f>
        <v>15683</v>
      </c>
      <c r="K189" s="125">
        <v>0</v>
      </c>
      <c r="L189" s="131"/>
      <c r="M189" s="134" t="s">
        <v>195</v>
      </c>
      <c r="N189" s="135" t="s">
        <v>528</v>
      </c>
      <c r="O189" s="133">
        <v>7805</v>
      </c>
      <c r="P189" s="133">
        <v>2017552178.9090571</v>
      </c>
      <c r="Q189" s="130">
        <f t="shared" si="6"/>
        <v>258494.83394094263</v>
      </c>
    </row>
    <row r="190" spans="1:17" ht="25.5" x14ac:dyDescent="0.25">
      <c r="A190" s="123" t="s">
        <v>197</v>
      </c>
      <c r="B190" s="123">
        <v>12</v>
      </c>
      <c r="C190" s="125">
        <v>1170</v>
      </c>
      <c r="D190" s="125">
        <v>8433374</v>
      </c>
      <c r="E190" s="125">
        <v>0</v>
      </c>
      <c r="F190" s="125">
        <v>0</v>
      </c>
      <c r="G190" s="125">
        <v>20</v>
      </c>
      <c r="H190" s="125">
        <f t="shared" si="4"/>
        <v>144160</v>
      </c>
      <c r="I190" s="125">
        <v>1150</v>
      </c>
      <c r="J190" s="136">
        <f>O194</f>
        <v>1030</v>
      </c>
      <c r="K190" s="125">
        <v>8289214</v>
      </c>
      <c r="L190" s="131">
        <f t="shared" si="5"/>
        <v>7208.0121739130436</v>
      </c>
      <c r="M190" s="134" t="s">
        <v>643</v>
      </c>
      <c r="N190" s="135" t="s">
        <v>303</v>
      </c>
      <c r="O190" s="133">
        <v>12</v>
      </c>
      <c r="P190" s="133">
        <v>57590715</v>
      </c>
      <c r="Q190" s="130">
        <f t="shared" si="6"/>
        <v>4799226.25</v>
      </c>
    </row>
    <row r="191" spans="1:17" ht="15" x14ac:dyDescent="0.25">
      <c r="A191" s="123"/>
      <c r="B191" s="123"/>
      <c r="C191" s="125"/>
      <c r="D191" s="125"/>
      <c r="E191" s="125"/>
      <c r="F191" s="125"/>
      <c r="G191" s="125"/>
      <c r="H191" s="125"/>
      <c r="I191" s="125"/>
      <c r="J191" s="136"/>
      <c r="K191" s="125"/>
      <c r="L191" s="131"/>
      <c r="M191" s="134"/>
      <c r="N191" s="135"/>
      <c r="O191" s="133"/>
      <c r="P191" s="133"/>
    </row>
    <row r="192" spans="1:17" ht="15" x14ac:dyDescent="0.25">
      <c r="A192" s="123" t="s">
        <v>198</v>
      </c>
      <c r="B192" s="123">
        <v>12</v>
      </c>
      <c r="C192" s="125">
        <v>0</v>
      </c>
      <c r="D192" s="125">
        <v>0</v>
      </c>
      <c r="E192" s="125">
        <v>0</v>
      </c>
      <c r="F192" s="125">
        <v>0</v>
      </c>
      <c r="G192" s="125">
        <v>0</v>
      </c>
      <c r="H192" s="125">
        <f t="shared" si="4"/>
        <v>0</v>
      </c>
      <c r="I192" s="125">
        <v>0</v>
      </c>
      <c r="J192" s="136"/>
      <c r="K192" s="125">
        <v>0</v>
      </c>
      <c r="L192" s="131"/>
      <c r="M192" s="134" t="s">
        <v>645</v>
      </c>
      <c r="N192" s="135" t="s">
        <v>303</v>
      </c>
      <c r="O192" s="133">
        <v>2</v>
      </c>
      <c r="P192" s="133">
        <v>1195084.7</v>
      </c>
      <c r="Q192" s="130">
        <f t="shared" si="6"/>
        <v>597542.35</v>
      </c>
    </row>
    <row r="193" spans="1:17" ht="15" x14ac:dyDescent="0.25">
      <c r="A193" s="123"/>
      <c r="B193" s="123"/>
      <c r="C193" s="125"/>
      <c r="D193" s="125"/>
      <c r="E193" s="125"/>
      <c r="F193" s="125"/>
      <c r="G193" s="125"/>
      <c r="H193" s="125">
        <f>SUM(H175:H192)</f>
        <v>4131483098.3641815</v>
      </c>
      <c r="I193" s="125"/>
      <c r="J193" s="136"/>
      <c r="K193" s="125"/>
      <c r="L193" s="131"/>
      <c r="M193" s="134"/>
      <c r="N193" s="135"/>
      <c r="O193" s="133"/>
      <c r="P193" s="133"/>
    </row>
    <row r="194" spans="1:17" ht="25.5" x14ac:dyDescent="0.25">
      <c r="A194" s="123" t="s">
        <v>199</v>
      </c>
      <c r="B194" s="123">
        <v>12</v>
      </c>
      <c r="C194" s="125">
        <v>77684</v>
      </c>
      <c r="D194" s="125">
        <v>588888</v>
      </c>
      <c r="E194" s="125">
        <v>24</v>
      </c>
      <c r="F194" s="125">
        <v>588888</v>
      </c>
      <c r="G194" s="125">
        <v>0</v>
      </c>
      <c r="H194" s="125">
        <f t="shared" si="4"/>
        <v>0</v>
      </c>
      <c r="I194" s="125">
        <v>77708</v>
      </c>
      <c r="J194" s="136"/>
      <c r="K194" s="125">
        <v>1177776</v>
      </c>
      <c r="L194" s="131">
        <f t="shared" si="5"/>
        <v>15.15643177021671</v>
      </c>
      <c r="M194" s="141" t="s">
        <v>765</v>
      </c>
      <c r="N194" s="142" t="s">
        <v>311</v>
      </c>
      <c r="O194" s="143">
        <v>1030</v>
      </c>
      <c r="P194" s="143">
        <v>8025657.04</v>
      </c>
      <c r="Q194" s="130">
        <f t="shared" si="6"/>
        <v>7791.9000388349514</v>
      </c>
    </row>
    <row r="195" spans="1:17" ht="25.5" x14ac:dyDescent="0.25">
      <c r="A195" s="123" t="s">
        <v>200</v>
      </c>
      <c r="B195" s="123">
        <v>12</v>
      </c>
      <c r="C195" s="125">
        <v>144</v>
      </c>
      <c r="D195" s="125">
        <v>1037304</v>
      </c>
      <c r="E195" s="125">
        <v>0</v>
      </c>
      <c r="F195" s="125">
        <v>0</v>
      </c>
      <c r="G195" s="125">
        <v>0</v>
      </c>
      <c r="H195" s="125">
        <f t="shared" si="4"/>
        <v>0</v>
      </c>
      <c r="I195" s="125">
        <v>144</v>
      </c>
      <c r="J195" s="136"/>
      <c r="K195" s="125">
        <v>1037304</v>
      </c>
      <c r="L195" s="131">
        <f t="shared" si="5"/>
        <v>7203.5</v>
      </c>
      <c r="M195" s="141" t="s">
        <v>922</v>
      </c>
      <c r="N195" s="142" t="s">
        <v>753</v>
      </c>
      <c r="O195" s="143">
        <v>15683</v>
      </c>
      <c r="P195" s="133">
        <v>442153267.22013706</v>
      </c>
      <c r="Q195" s="130">
        <f t="shared" si="6"/>
        <v>28193.156106620994</v>
      </c>
    </row>
    <row r="196" spans="1:17" ht="25.5" x14ac:dyDescent="0.25">
      <c r="A196" s="123" t="s">
        <v>201</v>
      </c>
      <c r="B196" s="123">
        <v>12</v>
      </c>
      <c r="C196" s="125">
        <v>1032</v>
      </c>
      <c r="D196" s="125">
        <v>16267839</v>
      </c>
      <c r="E196" s="125">
        <v>180</v>
      </c>
      <c r="F196" s="125">
        <v>2916720</v>
      </c>
      <c r="G196" s="125">
        <v>720</v>
      </c>
      <c r="H196" s="125">
        <f t="shared" si="4"/>
        <v>11396768</v>
      </c>
      <c r="I196" s="125">
        <v>492</v>
      </c>
      <c r="J196" s="136"/>
      <c r="K196" s="125">
        <v>7787791</v>
      </c>
      <c r="L196" s="131">
        <f t="shared" si="5"/>
        <v>15828.84349593496</v>
      </c>
      <c r="M196" s="134" t="s">
        <v>771</v>
      </c>
      <c r="N196" s="135" t="s">
        <v>303</v>
      </c>
      <c r="O196" s="133">
        <v>19</v>
      </c>
      <c r="P196" s="133">
        <v>75273307</v>
      </c>
      <c r="Q196" s="130">
        <f t="shared" si="6"/>
        <v>3961753</v>
      </c>
    </row>
    <row r="197" spans="1:17" ht="15" x14ac:dyDescent="0.25">
      <c r="A197" s="123" t="s">
        <v>202</v>
      </c>
      <c r="B197" s="123">
        <v>12</v>
      </c>
      <c r="C197" s="125">
        <v>0</v>
      </c>
      <c r="D197" s="125">
        <v>0</v>
      </c>
      <c r="E197" s="125">
        <v>72</v>
      </c>
      <c r="F197" s="125">
        <v>1857744</v>
      </c>
      <c r="G197" s="125">
        <v>0</v>
      </c>
      <c r="H197" s="125">
        <f t="shared" si="4"/>
        <v>0</v>
      </c>
      <c r="I197" s="125">
        <v>72</v>
      </c>
      <c r="J197" s="136"/>
      <c r="K197" s="125">
        <v>1857744</v>
      </c>
      <c r="L197" s="131">
        <f t="shared" si="5"/>
        <v>25802</v>
      </c>
      <c r="M197" s="134" t="s">
        <v>773</v>
      </c>
      <c r="N197" s="135" t="s">
        <v>303</v>
      </c>
      <c r="O197" s="133">
        <v>16</v>
      </c>
      <c r="P197" s="133">
        <v>0</v>
      </c>
      <c r="Q197" s="130">
        <f t="shared" si="6"/>
        <v>0</v>
      </c>
    </row>
    <row r="198" spans="1:17" ht="15" x14ac:dyDescent="0.25">
      <c r="A198" s="123" t="s">
        <v>203</v>
      </c>
      <c r="B198" s="123">
        <v>12</v>
      </c>
      <c r="C198" s="125">
        <v>5208</v>
      </c>
      <c r="D198" s="125">
        <v>58948499</v>
      </c>
      <c r="E198" s="125">
        <v>360</v>
      </c>
      <c r="F198" s="125">
        <v>4225320</v>
      </c>
      <c r="G198" s="125">
        <v>4681</v>
      </c>
      <c r="H198" s="125">
        <f t="shared" si="4"/>
        <v>52758308</v>
      </c>
      <c r="I198" s="125">
        <v>887</v>
      </c>
      <c r="J198" s="136"/>
      <c r="K198" s="125">
        <v>10415511</v>
      </c>
      <c r="L198" s="131">
        <f t="shared" si="5"/>
        <v>11742.402480270575</v>
      </c>
      <c r="M198" s="134" t="s">
        <v>777</v>
      </c>
      <c r="N198" s="135" t="s">
        <v>303</v>
      </c>
      <c r="O198" s="133">
        <v>1</v>
      </c>
      <c r="P198" s="133">
        <v>424842</v>
      </c>
      <c r="Q198" s="130">
        <f t="shared" si="6"/>
        <v>424842</v>
      </c>
    </row>
    <row r="199" spans="1:17" ht="15" x14ac:dyDescent="0.25">
      <c r="A199" s="123" t="s">
        <v>204</v>
      </c>
      <c r="B199" s="123">
        <v>12</v>
      </c>
      <c r="C199" s="125">
        <v>12491</v>
      </c>
      <c r="D199" s="125">
        <v>384147850</v>
      </c>
      <c r="E199" s="125"/>
      <c r="F199" s="125">
        <v>0</v>
      </c>
      <c r="G199" s="125">
        <v>5514</v>
      </c>
      <c r="H199" s="125">
        <f t="shared" ref="H199:H262" si="7">D199+F199-K199</f>
        <v>160810000</v>
      </c>
      <c r="I199" s="125">
        <v>6977</v>
      </c>
      <c r="J199" s="136"/>
      <c r="K199" s="125">
        <v>223337850</v>
      </c>
      <c r="L199" s="131">
        <f t="shared" si="5"/>
        <v>32010.584778558121</v>
      </c>
      <c r="M199" s="134" t="s">
        <v>775</v>
      </c>
      <c r="N199" s="135" t="s">
        <v>303</v>
      </c>
      <c r="O199" s="133">
        <v>3</v>
      </c>
      <c r="P199" s="133">
        <v>0</v>
      </c>
      <c r="Q199" s="130">
        <f t="shared" si="6"/>
        <v>0</v>
      </c>
    </row>
    <row r="200" spans="1:17" ht="25.5" x14ac:dyDescent="0.25">
      <c r="A200" s="123" t="s">
        <v>205</v>
      </c>
      <c r="B200" s="123">
        <v>12</v>
      </c>
      <c r="C200" s="125">
        <v>820</v>
      </c>
      <c r="D200" s="125">
        <v>49022428</v>
      </c>
      <c r="E200" s="125">
        <v>0</v>
      </c>
      <c r="F200" s="125">
        <v>0</v>
      </c>
      <c r="G200" s="125">
        <v>651</v>
      </c>
      <c r="H200" s="125">
        <f t="shared" si="7"/>
        <v>37663574</v>
      </c>
      <c r="I200" s="125">
        <v>169</v>
      </c>
      <c r="J200" s="136"/>
      <c r="K200" s="125">
        <v>11358854</v>
      </c>
      <c r="L200" s="131">
        <f t="shared" ref="L200:L262" si="8">K200/I200</f>
        <v>67212.153846153844</v>
      </c>
      <c r="M200" s="134" t="s">
        <v>649</v>
      </c>
      <c r="N200" s="135" t="s">
        <v>303</v>
      </c>
      <c r="O200" s="133">
        <v>2</v>
      </c>
      <c r="P200" s="133">
        <v>0</v>
      </c>
      <c r="Q200" s="130">
        <f t="shared" si="6"/>
        <v>0</v>
      </c>
    </row>
    <row r="201" spans="1:17" ht="25.5" x14ac:dyDescent="0.25">
      <c r="A201" s="123" t="s">
        <v>206</v>
      </c>
      <c r="B201" s="123">
        <v>12</v>
      </c>
      <c r="C201" s="125">
        <v>814</v>
      </c>
      <c r="D201" s="125">
        <v>26110276</v>
      </c>
      <c r="E201" s="125">
        <v>192</v>
      </c>
      <c r="F201" s="125">
        <v>6309812</v>
      </c>
      <c r="G201" s="125">
        <v>646</v>
      </c>
      <c r="H201" s="125">
        <f t="shared" si="7"/>
        <v>20818466</v>
      </c>
      <c r="I201" s="125">
        <v>360</v>
      </c>
      <c r="J201" s="136"/>
      <c r="K201" s="125">
        <v>11601622</v>
      </c>
      <c r="L201" s="131">
        <f t="shared" si="8"/>
        <v>32226.727777777778</v>
      </c>
      <c r="M201" s="134" t="s">
        <v>779</v>
      </c>
      <c r="N201" s="135" t="s">
        <v>303</v>
      </c>
      <c r="O201" s="133">
        <v>4</v>
      </c>
      <c r="P201" s="133">
        <v>8364356</v>
      </c>
      <c r="Q201" s="130">
        <f t="shared" si="6"/>
        <v>2091089</v>
      </c>
    </row>
    <row r="202" spans="1:17" ht="25.5" x14ac:dyDescent="0.25">
      <c r="A202" s="123" t="s">
        <v>207</v>
      </c>
      <c r="B202" s="123">
        <v>12</v>
      </c>
      <c r="C202" s="125">
        <v>1728</v>
      </c>
      <c r="D202" s="125">
        <v>3454644</v>
      </c>
      <c r="E202" s="125"/>
      <c r="F202" s="125">
        <v>0</v>
      </c>
      <c r="G202" s="125">
        <v>1461</v>
      </c>
      <c r="H202" s="125">
        <f t="shared" si="7"/>
        <v>38904</v>
      </c>
      <c r="I202" s="125">
        <v>267</v>
      </c>
      <c r="J202" s="136"/>
      <c r="K202" s="125">
        <v>3415740</v>
      </c>
      <c r="L202" s="131">
        <f t="shared" si="8"/>
        <v>12793.033707865168</v>
      </c>
      <c r="M202" s="134" t="s">
        <v>781</v>
      </c>
      <c r="N202" s="135" t="s">
        <v>303</v>
      </c>
      <c r="O202" s="133">
        <v>1</v>
      </c>
      <c r="P202" s="133">
        <v>5012280</v>
      </c>
      <c r="Q202" s="130">
        <f t="shared" si="6"/>
        <v>5012280</v>
      </c>
    </row>
    <row r="203" spans="1:17" ht="15" x14ac:dyDescent="0.25">
      <c r="A203" s="123" t="s">
        <v>208</v>
      </c>
      <c r="B203" s="123">
        <v>12</v>
      </c>
      <c r="C203" s="125">
        <v>13</v>
      </c>
      <c r="D203" s="125">
        <v>107765</v>
      </c>
      <c r="E203" s="125">
        <v>432</v>
      </c>
      <c r="F203" s="125">
        <v>4525632</v>
      </c>
      <c r="G203" s="125">
        <v>240</v>
      </c>
      <c r="H203" s="125">
        <f t="shared" si="7"/>
        <v>2498911</v>
      </c>
      <c r="I203" s="125">
        <v>205</v>
      </c>
      <c r="J203" s="136"/>
      <c r="K203" s="125">
        <v>2134486</v>
      </c>
      <c r="L203" s="131">
        <f t="shared" si="8"/>
        <v>10412.126829268293</v>
      </c>
      <c r="P203" s="129">
        <f>SUM(P175:P202)</f>
        <v>7578657548.8885193</v>
      </c>
    </row>
    <row r="204" spans="1:17" ht="15" x14ac:dyDescent="0.25">
      <c r="A204" s="123" t="s">
        <v>209</v>
      </c>
      <c r="B204" s="123">
        <v>12</v>
      </c>
      <c r="C204" s="125">
        <v>60</v>
      </c>
      <c r="D204" s="125">
        <v>3504600</v>
      </c>
      <c r="E204" s="125">
        <v>36</v>
      </c>
      <c r="F204" s="125">
        <v>2102760</v>
      </c>
      <c r="G204" s="125">
        <v>20</v>
      </c>
      <c r="H204" s="125">
        <f t="shared" si="7"/>
        <v>1168200</v>
      </c>
      <c r="I204" s="125">
        <v>76</v>
      </c>
      <c r="J204" s="136"/>
      <c r="K204" s="125">
        <v>4439160</v>
      </c>
      <c r="L204" s="131">
        <f t="shared" si="8"/>
        <v>58410</v>
      </c>
    </row>
    <row r="205" spans="1:17" ht="15" x14ac:dyDescent="0.25">
      <c r="A205" s="123" t="s">
        <v>210</v>
      </c>
      <c r="B205" s="123">
        <v>12</v>
      </c>
      <c r="C205" s="125">
        <v>625</v>
      </c>
      <c r="D205" s="125">
        <v>6930861</v>
      </c>
      <c r="E205" s="125">
        <v>0</v>
      </c>
      <c r="F205" s="125">
        <v>0</v>
      </c>
      <c r="G205" s="125">
        <v>0</v>
      </c>
      <c r="H205" s="125">
        <f t="shared" si="7"/>
        <v>0</v>
      </c>
      <c r="I205" s="125">
        <v>625</v>
      </c>
      <c r="J205" s="136"/>
      <c r="K205" s="125">
        <v>6930861</v>
      </c>
      <c r="L205" s="131">
        <f t="shared" si="8"/>
        <v>11089.3776</v>
      </c>
    </row>
    <row r="206" spans="1:17" ht="15" x14ac:dyDescent="0.25">
      <c r="A206" s="123" t="s">
        <v>211</v>
      </c>
      <c r="B206" s="123">
        <v>12</v>
      </c>
      <c r="C206" s="125">
        <v>0</v>
      </c>
      <c r="D206" s="125">
        <v>0</v>
      </c>
      <c r="E206" s="125">
        <v>115</v>
      </c>
      <c r="F206" s="125">
        <v>2133360</v>
      </c>
      <c r="G206" s="125">
        <v>0</v>
      </c>
      <c r="H206" s="125">
        <f t="shared" si="7"/>
        <v>0</v>
      </c>
      <c r="I206" s="125">
        <v>115</v>
      </c>
      <c r="J206" s="136"/>
      <c r="K206" s="125">
        <v>2133360</v>
      </c>
      <c r="L206" s="131">
        <f t="shared" si="8"/>
        <v>18550.956521739132</v>
      </c>
    </row>
    <row r="207" spans="1:17" ht="15" x14ac:dyDescent="0.25">
      <c r="A207" s="123" t="s">
        <v>212</v>
      </c>
      <c r="B207" s="123">
        <v>12</v>
      </c>
      <c r="C207" s="125">
        <v>33249</v>
      </c>
      <c r="D207" s="125">
        <v>411726334</v>
      </c>
      <c r="E207" s="125">
        <v>6084</v>
      </c>
      <c r="F207" s="125">
        <v>40227840</v>
      </c>
      <c r="G207" s="125">
        <v>21793</v>
      </c>
      <c r="H207" s="125">
        <f t="shared" si="7"/>
        <v>234183600</v>
      </c>
      <c r="I207" s="125">
        <v>17540</v>
      </c>
      <c r="J207" s="136"/>
      <c r="K207" s="125">
        <v>217770574</v>
      </c>
      <c r="L207" s="131">
        <f t="shared" si="8"/>
        <v>12415.654161915621</v>
      </c>
    </row>
    <row r="208" spans="1:17" ht="15" x14ac:dyDescent="0.25">
      <c r="A208" s="123" t="s">
        <v>213</v>
      </c>
      <c r="B208" s="123">
        <v>12</v>
      </c>
      <c r="C208" s="125">
        <v>3820</v>
      </c>
      <c r="D208" s="125">
        <v>76529330</v>
      </c>
      <c r="E208" s="125">
        <v>0</v>
      </c>
      <c r="F208" s="125">
        <v>0</v>
      </c>
      <c r="G208" s="125">
        <v>2430</v>
      </c>
      <c r="H208" s="125">
        <f t="shared" si="7"/>
        <v>46999426</v>
      </c>
      <c r="I208" s="125">
        <v>1390</v>
      </c>
      <c r="J208" s="136"/>
      <c r="K208" s="125">
        <v>29529904</v>
      </c>
      <c r="L208" s="131">
        <f t="shared" si="8"/>
        <v>21244.535251798563</v>
      </c>
    </row>
    <row r="209" spans="1:12" ht="15" x14ac:dyDescent="0.25">
      <c r="A209" s="123" t="s">
        <v>214</v>
      </c>
      <c r="B209" s="123">
        <v>12</v>
      </c>
      <c r="C209" s="125">
        <v>9946</v>
      </c>
      <c r="D209" s="125">
        <v>217056384</v>
      </c>
      <c r="E209" s="125">
        <v>11664</v>
      </c>
      <c r="F209" s="125">
        <v>287377632</v>
      </c>
      <c r="G209" s="125">
        <v>11949</v>
      </c>
      <c r="H209" s="125">
        <f t="shared" si="7"/>
        <v>266401600</v>
      </c>
      <c r="I209" s="125">
        <v>9661</v>
      </c>
      <c r="J209" s="136"/>
      <c r="K209" s="125">
        <v>238032416</v>
      </c>
      <c r="L209" s="131">
        <f t="shared" si="8"/>
        <v>24638.486285063656</v>
      </c>
    </row>
    <row r="210" spans="1:12" ht="15" x14ac:dyDescent="0.25">
      <c r="A210" s="123" t="s">
        <v>215</v>
      </c>
      <c r="B210" s="123">
        <v>12</v>
      </c>
      <c r="C210" s="125">
        <v>2800</v>
      </c>
      <c r="D210" s="125">
        <v>111956379</v>
      </c>
      <c r="E210" s="125">
        <v>0</v>
      </c>
      <c r="F210" s="125">
        <v>0</v>
      </c>
      <c r="G210" s="125">
        <v>2241</v>
      </c>
      <c r="H210" s="125">
        <f t="shared" si="7"/>
        <v>88085680</v>
      </c>
      <c r="I210" s="125">
        <v>559</v>
      </c>
      <c r="J210" s="136"/>
      <c r="K210" s="125">
        <v>23870699</v>
      </c>
      <c r="L210" s="131">
        <f t="shared" si="8"/>
        <v>42702.502683363149</v>
      </c>
    </row>
    <row r="211" spans="1:12" ht="15" x14ac:dyDescent="0.25">
      <c r="A211" s="123" t="s">
        <v>216</v>
      </c>
      <c r="B211" s="123">
        <v>12</v>
      </c>
      <c r="C211" s="125">
        <v>0</v>
      </c>
      <c r="D211" s="125">
        <v>0</v>
      </c>
      <c r="E211" s="125">
        <v>160</v>
      </c>
      <c r="F211" s="125">
        <v>2778080</v>
      </c>
      <c r="G211" s="125">
        <v>160</v>
      </c>
      <c r="H211" s="125">
        <f t="shared" si="7"/>
        <v>2778080</v>
      </c>
      <c r="I211" s="125">
        <v>0</v>
      </c>
      <c r="J211" s="136"/>
      <c r="K211" s="125">
        <v>0</v>
      </c>
      <c r="L211" s="131"/>
    </row>
    <row r="212" spans="1:12" ht="15" x14ac:dyDescent="0.25">
      <c r="A212" s="123" t="s">
        <v>217</v>
      </c>
      <c r="B212" s="123">
        <v>12</v>
      </c>
      <c r="C212" s="125">
        <v>10</v>
      </c>
      <c r="D212" s="125">
        <v>1775003</v>
      </c>
      <c r="E212" s="125">
        <v>80</v>
      </c>
      <c r="F212" s="125">
        <v>14456000</v>
      </c>
      <c r="G212" s="125">
        <v>0</v>
      </c>
      <c r="H212" s="125">
        <f t="shared" si="7"/>
        <v>0</v>
      </c>
      <c r="I212" s="125">
        <v>90</v>
      </c>
      <c r="J212" s="136"/>
      <c r="K212" s="125">
        <v>16231003</v>
      </c>
      <c r="L212" s="131">
        <f t="shared" si="8"/>
        <v>180344.47777777776</v>
      </c>
    </row>
    <row r="213" spans="1:12" ht="15" x14ac:dyDescent="0.25">
      <c r="A213" s="123" t="s">
        <v>218</v>
      </c>
      <c r="B213" s="123">
        <v>12</v>
      </c>
      <c r="C213" s="125">
        <v>0</v>
      </c>
      <c r="D213" s="125">
        <v>0</v>
      </c>
      <c r="E213" s="125">
        <v>50</v>
      </c>
      <c r="F213" s="125">
        <v>11800000</v>
      </c>
      <c r="G213" s="125">
        <v>0</v>
      </c>
      <c r="H213" s="125">
        <f t="shared" si="7"/>
        <v>0</v>
      </c>
      <c r="I213" s="125">
        <v>50</v>
      </c>
      <c r="J213" s="136"/>
      <c r="K213" s="125">
        <v>11800000</v>
      </c>
      <c r="L213" s="131">
        <f t="shared" si="8"/>
        <v>236000</v>
      </c>
    </row>
    <row r="214" spans="1:12" ht="15" x14ac:dyDescent="0.25">
      <c r="A214" s="123" t="s">
        <v>219</v>
      </c>
      <c r="B214" s="123">
        <v>12</v>
      </c>
      <c r="C214" s="125">
        <v>0</v>
      </c>
      <c r="D214" s="125">
        <v>0</v>
      </c>
      <c r="E214" s="125">
        <v>30</v>
      </c>
      <c r="F214" s="125">
        <v>7080000</v>
      </c>
      <c r="G214" s="125">
        <v>0</v>
      </c>
      <c r="H214" s="125">
        <f t="shared" si="7"/>
        <v>0</v>
      </c>
      <c r="I214" s="125">
        <v>30</v>
      </c>
      <c r="J214" s="136"/>
      <c r="K214" s="125">
        <v>7080000</v>
      </c>
      <c r="L214" s="131">
        <f t="shared" si="8"/>
        <v>236000</v>
      </c>
    </row>
    <row r="215" spans="1:12" ht="15" x14ac:dyDescent="0.25">
      <c r="A215" s="123" t="s">
        <v>220</v>
      </c>
      <c r="B215" s="123">
        <v>12</v>
      </c>
      <c r="C215" s="125">
        <v>0</v>
      </c>
      <c r="D215" s="125">
        <v>0</v>
      </c>
      <c r="E215" s="125">
        <v>72</v>
      </c>
      <c r="F215" s="125">
        <v>1847966</v>
      </c>
      <c r="G215" s="125">
        <v>0</v>
      </c>
      <c r="H215" s="125">
        <f t="shared" si="7"/>
        <v>0</v>
      </c>
      <c r="I215" s="125">
        <v>72</v>
      </c>
      <c r="J215" s="136"/>
      <c r="K215" s="125">
        <v>1847966</v>
      </c>
      <c r="L215" s="131">
        <f t="shared" si="8"/>
        <v>25666.194444444445</v>
      </c>
    </row>
    <row r="216" spans="1:12" ht="15" x14ac:dyDescent="0.25">
      <c r="A216" s="123" t="s">
        <v>221</v>
      </c>
      <c r="B216" s="123">
        <v>12</v>
      </c>
      <c r="C216" s="125">
        <v>4178</v>
      </c>
      <c r="D216" s="125">
        <v>81823781</v>
      </c>
      <c r="E216" s="125">
        <v>1656</v>
      </c>
      <c r="F216" s="125">
        <v>32608296</v>
      </c>
      <c r="G216" s="125">
        <v>1904</v>
      </c>
      <c r="H216" s="125">
        <f t="shared" si="7"/>
        <v>37346362</v>
      </c>
      <c r="I216" s="125">
        <v>3930</v>
      </c>
      <c r="J216" s="136"/>
      <c r="K216" s="125">
        <v>77085715</v>
      </c>
      <c r="L216" s="131">
        <f t="shared" si="8"/>
        <v>19614.685750636134</v>
      </c>
    </row>
    <row r="217" spans="1:12" ht="15" x14ac:dyDescent="0.25">
      <c r="A217" s="123" t="s">
        <v>222</v>
      </c>
      <c r="B217" s="123">
        <v>12</v>
      </c>
      <c r="C217" s="125">
        <v>1066</v>
      </c>
      <c r="D217" s="125">
        <v>22876165</v>
      </c>
      <c r="E217" s="125">
        <v>0</v>
      </c>
      <c r="F217" s="125">
        <v>0</v>
      </c>
      <c r="G217" s="125">
        <v>304</v>
      </c>
      <c r="H217" s="125">
        <f t="shared" si="7"/>
        <v>3734008</v>
      </c>
      <c r="I217" s="125">
        <v>762</v>
      </c>
      <c r="J217" s="136"/>
      <c r="K217" s="125">
        <v>19142157</v>
      </c>
      <c r="L217" s="131">
        <f t="shared" si="8"/>
        <v>25120.940944881891</v>
      </c>
    </row>
    <row r="218" spans="1:12" ht="15" x14ac:dyDescent="0.25">
      <c r="A218" s="123" t="s">
        <v>223</v>
      </c>
      <c r="B218" s="123">
        <v>12</v>
      </c>
      <c r="C218" s="125">
        <v>337</v>
      </c>
      <c r="D218" s="125">
        <v>14575142</v>
      </c>
      <c r="E218" s="125">
        <v>0</v>
      </c>
      <c r="F218" s="125">
        <v>0</v>
      </c>
      <c r="G218" s="125">
        <v>90</v>
      </c>
      <c r="H218" s="125">
        <f t="shared" si="7"/>
        <v>3892471</v>
      </c>
      <c r="I218" s="125">
        <v>247</v>
      </c>
      <c r="J218" s="136"/>
      <c r="K218" s="125">
        <v>10682671</v>
      </c>
      <c r="L218" s="131">
        <f t="shared" si="8"/>
        <v>43249.680161943317</v>
      </c>
    </row>
    <row r="219" spans="1:12" ht="15" x14ac:dyDescent="0.25">
      <c r="A219" s="123" t="s">
        <v>224</v>
      </c>
      <c r="B219" s="123">
        <v>12</v>
      </c>
      <c r="C219" s="125">
        <v>0</v>
      </c>
      <c r="D219" s="125">
        <v>0</v>
      </c>
      <c r="E219" s="125">
        <v>0</v>
      </c>
      <c r="F219" s="125">
        <v>0</v>
      </c>
      <c r="G219" s="125">
        <v>0</v>
      </c>
      <c r="H219" s="125">
        <f t="shared" si="7"/>
        <v>0</v>
      </c>
      <c r="I219" s="125">
        <v>0</v>
      </c>
      <c r="J219" s="136"/>
      <c r="K219" s="125">
        <v>0</v>
      </c>
      <c r="L219" s="131"/>
    </row>
    <row r="220" spans="1:12" ht="15" x14ac:dyDescent="0.25">
      <c r="A220" s="123" t="s">
        <v>225</v>
      </c>
      <c r="B220" s="123">
        <v>12</v>
      </c>
      <c r="C220" s="125">
        <v>268</v>
      </c>
      <c r="D220" s="125">
        <v>5622934</v>
      </c>
      <c r="E220" s="125">
        <v>144</v>
      </c>
      <c r="F220" s="125">
        <v>3021278</v>
      </c>
      <c r="G220" s="125">
        <v>180</v>
      </c>
      <c r="H220" s="125">
        <f t="shared" si="7"/>
        <v>3776597</v>
      </c>
      <c r="I220" s="125">
        <v>232</v>
      </c>
      <c r="J220" s="136"/>
      <c r="K220" s="125">
        <v>4867615</v>
      </c>
      <c r="L220" s="131">
        <f t="shared" si="8"/>
        <v>20981.099137931036</v>
      </c>
    </row>
    <row r="221" spans="1:12" ht="15" x14ac:dyDescent="0.25">
      <c r="A221" s="123" t="s">
        <v>226</v>
      </c>
      <c r="B221" s="123">
        <v>12</v>
      </c>
      <c r="C221" s="125">
        <v>0</v>
      </c>
      <c r="D221" s="125">
        <v>0</v>
      </c>
      <c r="E221" s="125">
        <v>0</v>
      </c>
      <c r="F221" s="125">
        <v>0</v>
      </c>
      <c r="G221" s="125">
        <v>0</v>
      </c>
      <c r="H221" s="125">
        <f t="shared" si="7"/>
        <v>0</v>
      </c>
      <c r="I221" s="125">
        <v>0</v>
      </c>
      <c r="J221" s="136"/>
      <c r="K221" s="125">
        <v>0</v>
      </c>
      <c r="L221" s="131"/>
    </row>
    <row r="222" spans="1:12" ht="15" x14ac:dyDescent="0.25">
      <c r="A222" s="123" t="s">
        <v>227</v>
      </c>
      <c r="B222" s="123">
        <v>12</v>
      </c>
      <c r="C222" s="125">
        <v>470</v>
      </c>
      <c r="D222" s="125">
        <v>0</v>
      </c>
      <c r="E222" s="125"/>
      <c r="F222" s="125">
        <v>0</v>
      </c>
      <c r="G222" s="125">
        <v>0</v>
      </c>
      <c r="H222" s="125">
        <f t="shared" si="7"/>
        <v>0</v>
      </c>
      <c r="I222" s="125"/>
      <c r="J222" s="136"/>
      <c r="K222" s="125">
        <v>0</v>
      </c>
      <c r="L222" s="131"/>
    </row>
    <row r="223" spans="1:12" ht="15" x14ac:dyDescent="0.25">
      <c r="A223" s="123" t="s">
        <v>228</v>
      </c>
      <c r="B223" s="123">
        <v>12</v>
      </c>
      <c r="C223" s="125">
        <v>67</v>
      </c>
      <c r="D223" s="125">
        <v>5925955</v>
      </c>
      <c r="E223" s="125">
        <v>56</v>
      </c>
      <c r="F223" s="125">
        <v>4917248</v>
      </c>
      <c r="G223" s="125">
        <v>0</v>
      </c>
      <c r="H223" s="125">
        <f t="shared" si="7"/>
        <v>0</v>
      </c>
      <c r="I223" s="125">
        <v>123</v>
      </c>
      <c r="J223" s="136"/>
      <c r="K223" s="125">
        <v>10843203</v>
      </c>
      <c r="L223" s="131">
        <f t="shared" si="8"/>
        <v>88156.121951219509</v>
      </c>
    </row>
    <row r="224" spans="1:12" ht="15" x14ac:dyDescent="0.25">
      <c r="A224" s="123" t="s">
        <v>229</v>
      </c>
      <c r="B224" s="123">
        <v>12</v>
      </c>
      <c r="C224" s="125">
        <v>2747</v>
      </c>
      <c r="D224" s="125">
        <v>247783362</v>
      </c>
      <c r="E224" s="125">
        <v>412</v>
      </c>
      <c r="F224" s="125">
        <v>36610448</v>
      </c>
      <c r="G224" s="125">
        <v>2933</v>
      </c>
      <c r="H224" s="125">
        <f t="shared" si="7"/>
        <v>263286766</v>
      </c>
      <c r="I224" s="125">
        <v>226</v>
      </c>
      <c r="J224" s="136"/>
      <c r="K224" s="125">
        <v>21107044</v>
      </c>
      <c r="L224" s="131">
        <f t="shared" si="8"/>
        <v>93394</v>
      </c>
    </row>
    <row r="225" spans="1:12" ht="15" x14ac:dyDescent="0.25">
      <c r="A225" s="123" t="s">
        <v>230</v>
      </c>
      <c r="B225" s="123">
        <v>12</v>
      </c>
      <c r="C225" s="125">
        <v>1429</v>
      </c>
      <c r="D225" s="125">
        <v>91033464</v>
      </c>
      <c r="E225" s="125">
        <v>924</v>
      </c>
      <c r="F225" s="125">
        <v>52136000</v>
      </c>
      <c r="G225" s="125">
        <v>2107</v>
      </c>
      <c r="H225" s="125">
        <f t="shared" si="7"/>
        <v>127167097</v>
      </c>
      <c r="I225" s="125">
        <v>246</v>
      </c>
      <c r="J225" s="136"/>
      <c r="K225" s="125">
        <v>16002367</v>
      </c>
      <c r="L225" s="131">
        <f t="shared" si="8"/>
        <v>65050.272357723574</v>
      </c>
    </row>
    <row r="226" spans="1:12" ht="15" x14ac:dyDescent="0.25">
      <c r="A226" s="123" t="s">
        <v>231</v>
      </c>
      <c r="B226" s="123">
        <v>12</v>
      </c>
      <c r="C226" s="125">
        <v>0</v>
      </c>
      <c r="D226" s="125">
        <v>0</v>
      </c>
      <c r="E226" s="125">
        <v>0</v>
      </c>
      <c r="F226" s="125">
        <v>0</v>
      </c>
      <c r="G226" s="125">
        <v>0</v>
      </c>
      <c r="H226" s="125">
        <f t="shared" si="7"/>
        <v>0</v>
      </c>
      <c r="I226" s="125">
        <v>0</v>
      </c>
      <c r="J226" s="136"/>
      <c r="K226" s="125">
        <v>0</v>
      </c>
      <c r="L226" s="131" t="e">
        <f t="shared" si="8"/>
        <v>#DIV/0!</v>
      </c>
    </row>
    <row r="227" spans="1:12" ht="15" x14ac:dyDescent="0.25">
      <c r="A227" s="123" t="s">
        <v>232</v>
      </c>
      <c r="B227" s="123">
        <v>12</v>
      </c>
      <c r="C227" s="125">
        <v>897</v>
      </c>
      <c r="D227" s="125">
        <v>54866918</v>
      </c>
      <c r="E227" s="125">
        <v>389</v>
      </c>
      <c r="F227" s="125">
        <v>22866732</v>
      </c>
      <c r="G227" s="125">
        <v>665</v>
      </c>
      <c r="H227" s="125">
        <f t="shared" si="7"/>
        <v>40196639</v>
      </c>
      <c r="I227" s="125">
        <v>621</v>
      </c>
      <c r="J227" s="136"/>
      <c r="K227" s="125">
        <v>37537011</v>
      </c>
      <c r="L227" s="131">
        <f t="shared" si="8"/>
        <v>60446.072463768112</v>
      </c>
    </row>
    <row r="228" spans="1:12" ht="15" x14ac:dyDescent="0.25">
      <c r="A228" s="123" t="s">
        <v>233</v>
      </c>
      <c r="B228" s="123">
        <v>12</v>
      </c>
      <c r="C228" s="125">
        <v>5775</v>
      </c>
      <c r="D228" s="125">
        <v>348275500</v>
      </c>
      <c r="E228" s="125">
        <v>2032</v>
      </c>
      <c r="F228" s="125">
        <v>100352000</v>
      </c>
      <c r="G228" s="125">
        <v>5082</v>
      </c>
      <c r="H228" s="125">
        <f t="shared" si="7"/>
        <v>277727259</v>
      </c>
      <c r="I228" s="125">
        <v>2725</v>
      </c>
      <c r="J228" s="136"/>
      <c r="K228" s="125">
        <v>170900241</v>
      </c>
      <c r="L228" s="131">
        <f t="shared" si="8"/>
        <v>62715.684770642205</v>
      </c>
    </row>
    <row r="229" spans="1:12" ht="15" x14ac:dyDescent="0.25">
      <c r="A229" s="123" t="s">
        <v>234</v>
      </c>
      <c r="B229" s="123">
        <v>12</v>
      </c>
      <c r="C229" s="125">
        <v>22923</v>
      </c>
      <c r="D229" s="125">
        <v>1293167657</v>
      </c>
      <c r="E229" s="125">
        <v>17433</v>
      </c>
      <c r="F229" s="125">
        <v>905972760</v>
      </c>
      <c r="G229" s="125">
        <v>25056</v>
      </c>
      <c r="H229" s="125">
        <f t="shared" si="7"/>
        <v>1286033703</v>
      </c>
      <c r="I229" s="125">
        <v>15300</v>
      </c>
      <c r="J229" s="136"/>
      <c r="K229" s="125">
        <v>913106714</v>
      </c>
      <c r="L229" s="131">
        <f t="shared" si="8"/>
        <v>59680.177385620918</v>
      </c>
    </row>
    <row r="230" spans="1:12" ht="15" x14ac:dyDescent="0.25">
      <c r="A230" s="123" t="s">
        <v>235</v>
      </c>
      <c r="B230" s="123">
        <v>12</v>
      </c>
      <c r="C230" s="125">
        <v>322</v>
      </c>
      <c r="D230" s="125">
        <v>22632087</v>
      </c>
      <c r="E230" s="125">
        <v>120</v>
      </c>
      <c r="F230" s="125">
        <v>8467200</v>
      </c>
      <c r="G230" s="125">
        <v>298</v>
      </c>
      <c r="H230" s="125">
        <f t="shared" si="7"/>
        <v>20967393</v>
      </c>
      <c r="I230" s="125">
        <v>144</v>
      </c>
      <c r="J230" s="136"/>
      <c r="K230" s="125">
        <v>10131894</v>
      </c>
      <c r="L230" s="131">
        <f t="shared" si="8"/>
        <v>70360.375</v>
      </c>
    </row>
    <row r="231" spans="1:12" ht="15" x14ac:dyDescent="0.25">
      <c r="A231" s="123" t="s">
        <v>236</v>
      </c>
      <c r="B231" s="123">
        <v>12</v>
      </c>
      <c r="C231" s="125">
        <v>252</v>
      </c>
      <c r="D231" s="125">
        <v>16163532</v>
      </c>
      <c r="E231" s="125">
        <v>612</v>
      </c>
      <c r="F231" s="125">
        <v>37714908</v>
      </c>
      <c r="G231" s="125">
        <v>463</v>
      </c>
      <c r="H231" s="125">
        <f t="shared" si="7"/>
        <v>28186406</v>
      </c>
      <c r="I231" s="125">
        <v>401</v>
      </c>
      <c r="J231" s="136"/>
      <c r="K231" s="125">
        <v>25692034</v>
      </c>
      <c r="L231" s="131">
        <f t="shared" si="8"/>
        <v>64069.9102244389</v>
      </c>
    </row>
    <row r="232" spans="1:12" ht="15" x14ac:dyDescent="0.25">
      <c r="A232" s="123" t="s">
        <v>237</v>
      </c>
      <c r="B232" s="123">
        <v>12</v>
      </c>
      <c r="C232" s="125">
        <v>235</v>
      </c>
      <c r="D232" s="125">
        <v>1918332</v>
      </c>
      <c r="E232" s="125">
        <v>235</v>
      </c>
      <c r="F232" s="125">
        <v>13933150</v>
      </c>
      <c r="G232" s="125">
        <v>235</v>
      </c>
      <c r="H232" s="125">
        <f t="shared" si="7"/>
        <v>1918332</v>
      </c>
      <c r="I232" s="125">
        <v>235</v>
      </c>
      <c r="J232" s="136"/>
      <c r="K232" s="125">
        <v>13933150</v>
      </c>
      <c r="L232" s="131">
        <f t="shared" si="8"/>
        <v>59290</v>
      </c>
    </row>
    <row r="233" spans="1:12" ht="15" x14ac:dyDescent="0.25">
      <c r="A233" s="123" t="s">
        <v>238</v>
      </c>
      <c r="B233" s="123">
        <v>12</v>
      </c>
      <c r="C233" s="125">
        <v>942</v>
      </c>
      <c r="D233" s="125">
        <v>53507694</v>
      </c>
      <c r="E233" s="125">
        <v>0</v>
      </c>
      <c r="F233" s="125">
        <v>0</v>
      </c>
      <c r="G233" s="125">
        <v>543</v>
      </c>
      <c r="H233" s="125">
        <f t="shared" si="7"/>
        <v>7497893</v>
      </c>
      <c r="I233" s="125">
        <v>399</v>
      </c>
      <c r="J233" s="136"/>
      <c r="K233" s="125">
        <v>46009801</v>
      </c>
      <c r="L233" s="131">
        <f t="shared" si="8"/>
        <v>115312.78446115289</v>
      </c>
    </row>
    <row r="234" spans="1:12" ht="15" x14ac:dyDescent="0.25">
      <c r="A234" s="123" t="s">
        <v>239</v>
      </c>
      <c r="B234" s="123">
        <v>12</v>
      </c>
      <c r="C234" s="125">
        <v>0</v>
      </c>
      <c r="D234" s="125">
        <v>0</v>
      </c>
      <c r="E234" s="125">
        <v>0</v>
      </c>
      <c r="F234" s="125">
        <v>0</v>
      </c>
      <c r="G234" s="125">
        <v>0</v>
      </c>
      <c r="H234" s="125">
        <f t="shared" si="7"/>
        <v>0</v>
      </c>
      <c r="I234" s="125">
        <v>0</v>
      </c>
      <c r="J234" s="136"/>
      <c r="K234" s="125">
        <v>0</v>
      </c>
      <c r="L234" s="131"/>
    </row>
    <row r="235" spans="1:12" ht="15" x14ac:dyDescent="0.25">
      <c r="A235" s="123" t="s">
        <v>240</v>
      </c>
      <c r="B235" s="123">
        <v>12</v>
      </c>
      <c r="C235" s="125">
        <v>25</v>
      </c>
      <c r="D235" s="125">
        <v>2337348</v>
      </c>
      <c r="E235" s="125">
        <v>2030</v>
      </c>
      <c r="F235" s="125">
        <v>189788760</v>
      </c>
      <c r="G235" s="125">
        <v>1506</v>
      </c>
      <c r="H235" s="125">
        <f t="shared" si="7"/>
        <v>140798987</v>
      </c>
      <c r="I235" s="125">
        <v>549</v>
      </c>
      <c r="J235" s="136"/>
      <c r="K235" s="125">
        <v>51327121</v>
      </c>
      <c r="L235" s="131">
        <f t="shared" si="8"/>
        <v>93492.023679417121</v>
      </c>
    </row>
    <row r="236" spans="1:12" ht="15" x14ac:dyDescent="0.25">
      <c r="A236" s="123" t="s">
        <v>241</v>
      </c>
      <c r="B236" s="123">
        <v>12</v>
      </c>
      <c r="C236" s="125">
        <v>1186</v>
      </c>
      <c r="D236" s="125">
        <v>91489935</v>
      </c>
      <c r="E236" s="125">
        <v>464</v>
      </c>
      <c r="F236" s="125">
        <v>32792760</v>
      </c>
      <c r="G236" s="125">
        <v>769</v>
      </c>
      <c r="H236" s="125">
        <f t="shared" si="7"/>
        <v>51294858</v>
      </c>
      <c r="I236" s="125">
        <v>881</v>
      </c>
      <c r="J236" s="136"/>
      <c r="K236" s="125">
        <v>72987837</v>
      </c>
      <c r="L236" s="131">
        <f t="shared" si="8"/>
        <v>82846.58002270147</v>
      </c>
    </row>
    <row r="237" spans="1:12" ht="15" x14ac:dyDescent="0.25">
      <c r="A237" s="123" t="s">
        <v>242</v>
      </c>
      <c r="B237" s="123">
        <v>12</v>
      </c>
      <c r="C237" s="125">
        <v>137</v>
      </c>
      <c r="D237" s="125">
        <v>9584186</v>
      </c>
      <c r="E237" s="125">
        <v>54</v>
      </c>
      <c r="F237" s="125">
        <v>3797010</v>
      </c>
      <c r="G237" s="125">
        <v>38</v>
      </c>
      <c r="H237" s="125">
        <f t="shared" si="7"/>
        <v>2311934</v>
      </c>
      <c r="I237" s="125">
        <v>153</v>
      </c>
      <c r="J237" s="136"/>
      <c r="K237" s="125">
        <v>11069262</v>
      </c>
      <c r="L237" s="131">
        <f t="shared" si="8"/>
        <v>72348.117647058825</v>
      </c>
    </row>
    <row r="238" spans="1:12" ht="15" x14ac:dyDescent="0.25">
      <c r="A238" s="123" t="s">
        <v>243</v>
      </c>
      <c r="B238" s="123">
        <v>12</v>
      </c>
      <c r="C238" s="125">
        <v>1575</v>
      </c>
      <c r="D238" s="125">
        <v>144885570</v>
      </c>
      <c r="E238" s="125">
        <v>171</v>
      </c>
      <c r="F238" s="125">
        <v>15690192</v>
      </c>
      <c r="G238" s="125">
        <v>1617</v>
      </c>
      <c r="H238" s="125">
        <f t="shared" si="7"/>
        <v>148711917</v>
      </c>
      <c r="I238" s="125">
        <v>129</v>
      </c>
      <c r="J238" s="136"/>
      <c r="K238" s="125">
        <v>11863845</v>
      </c>
      <c r="L238" s="131">
        <f t="shared" si="8"/>
        <v>91967.790697674413</v>
      </c>
    </row>
    <row r="239" spans="1:12" ht="15" x14ac:dyDescent="0.25">
      <c r="A239" s="123" t="s">
        <v>244</v>
      </c>
      <c r="B239" s="123">
        <v>12</v>
      </c>
      <c r="C239" s="125">
        <v>4</v>
      </c>
      <c r="D239" s="125">
        <v>351232</v>
      </c>
      <c r="E239" s="125">
        <v>48</v>
      </c>
      <c r="F239" s="125">
        <v>4214784</v>
      </c>
      <c r="G239" s="125">
        <v>52</v>
      </c>
      <c r="H239" s="125">
        <f t="shared" si="7"/>
        <v>4566016</v>
      </c>
      <c r="I239" s="125">
        <v>0</v>
      </c>
      <c r="J239" s="136"/>
      <c r="K239" s="125">
        <v>0</v>
      </c>
      <c r="L239" s="131"/>
    </row>
    <row r="240" spans="1:12" ht="15" x14ac:dyDescent="0.25">
      <c r="A240" s="123" t="s">
        <v>245</v>
      </c>
      <c r="B240" s="123">
        <v>12</v>
      </c>
      <c r="C240" s="125">
        <v>0</v>
      </c>
      <c r="D240" s="125">
        <v>0</v>
      </c>
      <c r="E240" s="125">
        <v>0</v>
      </c>
      <c r="F240" s="125">
        <v>0</v>
      </c>
      <c r="G240" s="125">
        <v>0</v>
      </c>
      <c r="H240" s="125">
        <f t="shared" si="7"/>
        <v>0</v>
      </c>
      <c r="I240" s="125">
        <v>0</v>
      </c>
      <c r="J240" s="136"/>
      <c r="K240" s="125">
        <v>0</v>
      </c>
      <c r="L240" s="131"/>
    </row>
    <row r="241" spans="1:12" ht="15" x14ac:dyDescent="0.25">
      <c r="A241" s="123" t="s">
        <v>246</v>
      </c>
      <c r="B241" s="123">
        <v>12</v>
      </c>
      <c r="C241" s="125">
        <v>8756</v>
      </c>
      <c r="D241" s="125">
        <v>62408741</v>
      </c>
      <c r="E241" s="125">
        <v>1920</v>
      </c>
      <c r="F241" s="125">
        <v>13684878</v>
      </c>
      <c r="G241" s="125">
        <v>135</v>
      </c>
      <c r="H241" s="125">
        <f t="shared" si="7"/>
        <v>962218</v>
      </c>
      <c r="I241" s="125">
        <v>10541</v>
      </c>
      <c r="J241" s="136"/>
      <c r="K241" s="125">
        <v>75131401</v>
      </c>
      <c r="L241" s="131">
        <f t="shared" si="8"/>
        <v>7127.5401764538465</v>
      </c>
    </row>
    <row r="242" spans="1:12" ht="15" x14ac:dyDescent="0.25">
      <c r="A242" s="123" t="s">
        <v>247</v>
      </c>
      <c r="B242" s="123">
        <v>12</v>
      </c>
      <c r="C242" s="125">
        <v>43404</v>
      </c>
      <c r="D242" s="125">
        <v>288267066</v>
      </c>
      <c r="E242" s="125">
        <v>2880</v>
      </c>
      <c r="F242" s="125">
        <v>20527315</v>
      </c>
      <c r="G242" s="125">
        <v>3104</v>
      </c>
      <c r="H242" s="125">
        <f t="shared" si="7"/>
        <v>1027447</v>
      </c>
      <c r="I242" s="125">
        <v>43180</v>
      </c>
      <c r="J242" s="136"/>
      <c r="K242" s="125">
        <v>307766934</v>
      </c>
      <c r="L242" s="131">
        <f t="shared" si="8"/>
        <v>7127.5343677628534</v>
      </c>
    </row>
    <row r="243" spans="1:12" ht="15" x14ac:dyDescent="0.25">
      <c r="A243" s="123" t="s">
        <v>248</v>
      </c>
      <c r="B243" s="123">
        <v>12</v>
      </c>
      <c r="C243" s="125">
        <v>384</v>
      </c>
      <c r="D243" s="125">
        <v>1852721</v>
      </c>
      <c r="E243" s="125">
        <v>0</v>
      </c>
      <c r="F243" s="125">
        <v>0</v>
      </c>
      <c r="G243" s="125">
        <v>0</v>
      </c>
      <c r="H243" s="125">
        <f t="shared" si="7"/>
        <v>0</v>
      </c>
      <c r="I243" s="125">
        <v>384</v>
      </c>
      <c r="J243" s="136"/>
      <c r="K243" s="125">
        <v>1852721</v>
      </c>
      <c r="L243" s="131">
        <f t="shared" si="8"/>
        <v>4824.794270833333</v>
      </c>
    </row>
    <row r="244" spans="1:12" ht="15" x14ac:dyDescent="0.25">
      <c r="A244" s="123" t="s">
        <v>249</v>
      </c>
      <c r="B244" s="123">
        <v>12</v>
      </c>
      <c r="C244" s="125">
        <v>420</v>
      </c>
      <c r="D244" s="125">
        <v>1974630</v>
      </c>
      <c r="E244" s="125">
        <v>271</v>
      </c>
      <c r="F244" s="125">
        <v>0</v>
      </c>
      <c r="G244" s="125">
        <v>0</v>
      </c>
      <c r="H244" s="125">
        <f t="shared" si="7"/>
        <v>0</v>
      </c>
      <c r="I244" s="125">
        <v>691</v>
      </c>
      <c r="J244" s="136"/>
      <c r="K244" s="125">
        <v>1974630</v>
      </c>
      <c r="L244" s="131">
        <f t="shared" si="8"/>
        <v>2857.6410998552824</v>
      </c>
    </row>
    <row r="245" spans="1:12" ht="15" x14ac:dyDescent="0.25">
      <c r="A245" s="123" t="s">
        <v>250</v>
      </c>
      <c r="B245" s="123">
        <v>12</v>
      </c>
      <c r="C245" s="125">
        <v>16561</v>
      </c>
      <c r="D245" s="125">
        <v>169801355</v>
      </c>
      <c r="E245" s="125">
        <v>20781</v>
      </c>
      <c r="F245" s="125">
        <v>199603082</v>
      </c>
      <c r="G245" s="125">
        <v>11497</v>
      </c>
      <c r="H245" s="125">
        <f t="shared" si="7"/>
        <v>185196842</v>
      </c>
      <c r="I245" s="125">
        <v>25845</v>
      </c>
      <c r="J245" s="136"/>
      <c r="K245" s="125">
        <v>184207595</v>
      </c>
      <c r="L245" s="131">
        <f t="shared" si="8"/>
        <v>7127.3977558521956</v>
      </c>
    </row>
    <row r="246" spans="1:12" ht="15" x14ac:dyDescent="0.25">
      <c r="A246" s="123" t="s">
        <v>251</v>
      </c>
      <c r="B246" s="123">
        <v>12</v>
      </c>
      <c r="C246" s="125">
        <v>0</v>
      </c>
      <c r="D246" s="125"/>
      <c r="E246" s="125"/>
      <c r="F246" s="125"/>
      <c r="G246" s="125"/>
      <c r="H246" s="125">
        <f t="shared" si="7"/>
        <v>0</v>
      </c>
      <c r="I246" s="125"/>
      <c r="J246" s="136"/>
      <c r="K246" s="125"/>
      <c r="L246" s="131"/>
    </row>
    <row r="247" spans="1:12" ht="15" x14ac:dyDescent="0.25">
      <c r="A247" s="123" t="s">
        <v>252</v>
      </c>
      <c r="B247" s="123">
        <v>12</v>
      </c>
      <c r="C247" s="125">
        <v>0</v>
      </c>
      <c r="D247" s="125">
        <v>0</v>
      </c>
      <c r="E247" s="125">
        <v>0</v>
      </c>
      <c r="F247" s="125">
        <v>0</v>
      </c>
      <c r="G247" s="125">
        <v>0</v>
      </c>
      <c r="H247" s="125">
        <f t="shared" si="7"/>
        <v>0</v>
      </c>
      <c r="I247" s="125">
        <v>0</v>
      </c>
      <c r="J247" s="136"/>
      <c r="K247" s="125">
        <v>0</v>
      </c>
      <c r="L247" s="131"/>
    </row>
    <row r="248" spans="1:12" ht="15" x14ac:dyDescent="0.25">
      <c r="A248" s="123" t="s">
        <v>253</v>
      </c>
      <c r="B248" s="123">
        <v>12</v>
      </c>
      <c r="C248" s="125">
        <v>0</v>
      </c>
      <c r="D248" s="125">
        <v>0</v>
      </c>
      <c r="E248" s="125">
        <v>0</v>
      </c>
      <c r="F248" s="125">
        <v>0</v>
      </c>
      <c r="G248" s="125">
        <v>0</v>
      </c>
      <c r="H248" s="125">
        <f t="shared" si="7"/>
        <v>0</v>
      </c>
      <c r="I248" s="125">
        <v>0</v>
      </c>
      <c r="J248" s="136"/>
      <c r="K248" s="125">
        <v>0</v>
      </c>
      <c r="L248" s="131"/>
    </row>
    <row r="249" spans="1:12" ht="15" x14ac:dyDescent="0.25">
      <c r="A249" s="123" t="s">
        <v>254</v>
      </c>
      <c r="B249" s="123">
        <v>12</v>
      </c>
      <c r="C249" s="125">
        <v>178</v>
      </c>
      <c r="D249" s="125">
        <v>6117278</v>
      </c>
      <c r="E249" s="125">
        <v>62</v>
      </c>
      <c r="F249" s="125">
        <v>2130804</v>
      </c>
      <c r="G249" s="125">
        <v>240</v>
      </c>
      <c r="H249" s="125">
        <f t="shared" si="7"/>
        <v>8248082</v>
      </c>
      <c r="I249" s="125">
        <v>0</v>
      </c>
      <c r="J249" s="136"/>
      <c r="K249" s="125">
        <v>0</v>
      </c>
      <c r="L249" s="131"/>
    </row>
    <row r="250" spans="1:12" ht="15" x14ac:dyDescent="0.25">
      <c r="A250" s="123" t="s">
        <v>255</v>
      </c>
      <c r="B250" s="123">
        <v>12</v>
      </c>
      <c r="C250" s="125">
        <v>0</v>
      </c>
      <c r="D250" s="125">
        <v>884858</v>
      </c>
      <c r="E250" s="125">
        <v>40</v>
      </c>
      <c r="F250" s="125">
        <v>3487564</v>
      </c>
      <c r="G250" s="125">
        <v>40</v>
      </c>
      <c r="H250" s="125">
        <f t="shared" si="7"/>
        <v>4372422</v>
      </c>
      <c r="I250" s="125">
        <v>0</v>
      </c>
      <c r="J250" s="136"/>
      <c r="K250" s="125">
        <v>0</v>
      </c>
      <c r="L250" s="131"/>
    </row>
    <row r="251" spans="1:12" ht="15" x14ac:dyDescent="0.25">
      <c r="A251" s="123" t="s">
        <v>256</v>
      </c>
      <c r="B251" s="123">
        <v>12</v>
      </c>
      <c r="C251" s="125">
        <v>0</v>
      </c>
      <c r="D251" s="125">
        <v>0</v>
      </c>
      <c r="E251" s="125">
        <v>110</v>
      </c>
      <c r="F251" s="125">
        <v>4786700</v>
      </c>
      <c r="G251" s="125">
        <v>110</v>
      </c>
      <c r="H251" s="125">
        <f t="shared" si="7"/>
        <v>4786700</v>
      </c>
      <c r="I251" s="125">
        <v>0</v>
      </c>
      <c r="J251" s="136"/>
      <c r="K251" s="125">
        <v>0</v>
      </c>
      <c r="L251" s="131"/>
    </row>
    <row r="252" spans="1:12" ht="15" x14ac:dyDescent="0.25">
      <c r="A252" s="123" t="s">
        <v>257</v>
      </c>
      <c r="B252" s="123">
        <v>12</v>
      </c>
      <c r="C252" s="125">
        <v>26</v>
      </c>
      <c r="D252" s="125">
        <v>1423200</v>
      </c>
      <c r="E252" s="125">
        <v>24</v>
      </c>
      <c r="F252" s="125">
        <v>1313723</v>
      </c>
      <c r="G252" s="125">
        <v>50</v>
      </c>
      <c r="H252" s="125">
        <f t="shared" si="7"/>
        <v>2736923</v>
      </c>
      <c r="I252" s="125">
        <v>0</v>
      </c>
      <c r="J252" s="136"/>
      <c r="K252" s="125">
        <v>0</v>
      </c>
      <c r="L252" s="131"/>
    </row>
    <row r="253" spans="1:12" ht="15" x14ac:dyDescent="0.25">
      <c r="A253" s="123" t="s">
        <v>258</v>
      </c>
      <c r="B253" s="123">
        <v>12</v>
      </c>
      <c r="C253" s="125">
        <v>1315</v>
      </c>
      <c r="D253" s="125">
        <v>5870462</v>
      </c>
      <c r="E253" s="125">
        <v>150</v>
      </c>
      <c r="F253" s="125">
        <v>2298240</v>
      </c>
      <c r="G253" s="125">
        <v>1126</v>
      </c>
      <c r="H253" s="125">
        <f t="shared" si="7"/>
        <v>3829633</v>
      </c>
      <c r="I253" s="125">
        <v>339</v>
      </c>
      <c r="J253" s="136"/>
      <c r="K253" s="125">
        <v>4339069</v>
      </c>
      <c r="L253" s="131">
        <f t="shared" si="8"/>
        <v>12799.613569321535</v>
      </c>
    </row>
    <row r="254" spans="1:12" ht="15" x14ac:dyDescent="0.25">
      <c r="A254" s="123" t="s">
        <v>259</v>
      </c>
      <c r="B254" s="123">
        <v>12</v>
      </c>
      <c r="C254" s="125">
        <v>90</v>
      </c>
      <c r="D254" s="125">
        <v>1980663</v>
      </c>
      <c r="E254" s="125">
        <v>0</v>
      </c>
      <c r="F254" s="125">
        <v>0</v>
      </c>
      <c r="G254" s="125">
        <v>0</v>
      </c>
      <c r="H254" s="125">
        <f t="shared" si="7"/>
        <v>0</v>
      </c>
      <c r="I254" s="125">
        <v>90</v>
      </c>
      <c r="J254" s="136"/>
      <c r="K254" s="125">
        <v>1980663</v>
      </c>
      <c r="L254" s="131">
        <f t="shared" si="8"/>
        <v>22007.366666666665</v>
      </c>
    </row>
    <row r="255" spans="1:12" ht="15" x14ac:dyDescent="0.25">
      <c r="A255" s="123" t="s">
        <v>260</v>
      </c>
      <c r="B255" s="123">
        <v>12</v>
      </c>
      <c r="C255" s="125">
        <v>7</v>
      </c>
      <c r="D255" s="125">
        <v>460192</v>
      </c>
      <c r="E255" s="125">
        <v>0</v>
      </c>
      <c r="F255" s="125">
        <v>0</v>
      </c>
      <c r="G255" s="125">
        <v>0</v>
      </c>
      <c r="H255" s="125">
        <f t="shared" si="7"/>
        <v>0</v>
      </c>
      <c r="I255" s="125">
        <v>7</v>
      </c>
      <c r="J255" s="136"/>
      <c r="K255" s="125">
        <v>460192</v>
      </c>
      <c r="L255" s="131">
        <f t="shared" si="8"/>
        <v>65741.71428571429</v>
      </c>
    </row>
    <row r="256" spans="1:12" ht="15" x14ac:dyDescent="0.25">
      <c r="A256" s="123" t="s">
        <v>261</v>
      </c>
      <c r="B256" s="123">
        <v>12</v>
      </c>
      <c r="C256" s="125">
        <v>0</v>
      </c>
      <c r="D256" s="125">
        <v>0</v>
      </c>
      <c r="E256" s="125">
        <v>0</v>
      </c>
      <c r="F256" s="125">
        <v>0</v>
      </c>
      <c r="G256" s="125">
        <v>0</v>
      </c>
      <c r="H256" s="125">
        <f t="shared" si="7"/>
        <v>0</v>
      </c>
      <c r="I256" s="125">
        <v>0</v>
      </c>
      <c r="J256" s="136"/>
      <c r="K256" s="125">
        <v>0</v>
      </c>
      <c r="L256" s="131"/>
    </row>
    <row r="257" spans="1:12" ht="15" x14ac:dyDescent="0.25">
      <c r="A257" s="123" t="s">
        <v>262</v>
      </c>
      <c r="B257" s="123">
        <v>12</v>
      </c>
      <c r="C257" s="125">
        <v>4</v>
      </c>
      <c r="D257" s="125">
        <v>330624</v>
      </c>
      <c r="E257" s="125">
        <v>0</v>
      </c>
      <c r="F257" s="125">
        <v>0</v>
      </c>
      <c r="G257" s="125">
        <v>0</v>
      </c>
      <c r="H257" s="125">
        <f t="shared" si="7"/>
        <v>0</v>
      </c>
      <c r="I257" s="125">
        <v>4</v>
      </c>
      <c r="J257" s="136"/>
      <c r="K257" s="125">
        <v>330624</v>
      </c>
      <c r="L257" s="131">
        <f t="shared" si="8"/>
        <v>82656</v>
      </c>
    </row>
    <row r="258" spans="1:12" ht="15" x14ac:dyDescent="0.25">
      <c r="A258" s="123" t="s">
        <v>263</v>
      </c>
      <c r="B258" s="123">
        <v>12</v>
      </c>
      <c r="C258" s="125">
        <v>0</v>
      </c>
      <c r="D258" s="125">
        <v>0</v>
      </c>
      <c r="E258" s="125">
        <v>0</v>
      </c>
      <c r="F258" s="125">
        <v>0</v>
      </c>
      <c r="G258" s="125">
        <v>0</v>
      </c>
      <c r="H258" s="125">
        <f t="shared" si="7"/>
        <v>0</v>
      </c>
      <c r="I258" s="125">
        <v>0</v>
      </c>
      <c r="J258" s="136"/>
      <c r="K258" s="125">
        <v>0</v>
      </c>
      <c r="L258" s="131"/>
    </row>
    <row r="259" spans="1:12" ht="15" x14ac:dyDescent="0.25">
      <c r="A259" s="123" t="s">
        <v>264</v>
      </c>
      <c r="B259" s="123">
        <v>12</v>
      </c>
      <c r="C259" s="125">
        <v>0</v>
      </c>
      <c r="D259" s="125">
        <v>0</v>
      </c>
      <c r="E259" s="125">
        <v>0</v>
      </c>
      <c r="F259" s="125">
        <v>0</v>
      </c>
      <c r="G259" s="125">
        <v>0</v>
      </c>
      <c r="H259" s="125">
        <f t="shared" si="7"/>
        <v>0</v>
      </c>
      <c r="I259" s="125">
        <v>0</v>
      </c>
      <c r="J259" s="136"/>
      <c r="K259" s="125">
        <v>0</v>
      </c>
      <c r="L259" s="131"/>
    </row>
    <row r="260" spans="1:12" ht="15" x14ac:dyDescent="0.25">
      <c r="A260" s="123" t="s">
        <v>265</v>
      </c>
      <c r="B260" s="123">
        <v>12</v>
      </c>
      <c r="C260" s="125">
        <v>5</v>
      </c>
      <c r="D260" s="125">
        <v>412800</v>
      </c>
      <c r="E260" s="125">
        <v>0</v>
      </c>
      <c r="F260" s="125">
        <v>0</v>
      </c>
      <c r="G260" s="125">
        <v>0</v>
      </c>
      <c r="H260" s="125">
        <f t="shared" si="7"/>
        <v>0</v>
      </c>
      <c r="I260" s="125">
        <v>5</v>
      </c>
      <c r="J260" s="136"/>
      <c r="K260" s="125">
        <v>412800</v>
      </c>
      <c r="L260" s="131">
        <f t="shared" si="8"/>
        <v>82560</v>
      </c>
    </row>
    <row r="261" spans="1:12" ht="15" x14ac:dyDescent="0.25">
      <c r="A261" s="123" t="s">
        <v>266</v>
      </c>
      <c r="B261" s="123">
        <v>12</v>
      </c>
      <c r="C261" s="125">
        <v>5</v>
      </c>
      <c r="D261" s="125">
        <v>441600</v>
      </c>
      <c r="E261" s="125">
        <v>0</v>
      </c>
      <c r="F261" s="125">
        <v>0</v>
      </c>
      <c r="G261" s="125">
        <v>0</v>
      </c>
      <c r="H261" s="125">
        <f t="shared" si="7"/>
        <v>0</v>
      </c>
      <c r="I261" s="125">
        <v>5</v>
      </c>
      <c r="J261" s="136"/>
      <c r="K261" s="125">
        <v>441600</v>
      </c>
      <c r="L261" s="131">
        <f t="shared" si="8"/>
        <v>88320</v>
      </c>
    </row>
    <row r="262" spans="1:12" ht="15" x14ac:dyDescent="0.25">
      <c r="A262" s="123" t="s">
        <v>267</v>
      </c>
      <c r="B262" s="123">
        <v>12</v>
      </c>
      <c r="C262" s="125">
        <v>6</v>
      </c>
      <c r="D262" s="125">
        <v>447000</v>
      </c>
      <c r="E262" s="125"/>
      <c r="F262" s="125">
        <v>0</v>
      </c>
      <c r="G262" s="125"/>
      <c r="H262" s="125">
        <f t="shared" si="7"/>
        <v>0</v>
      </c>
      <c r="I262" s="125">
        <v>6</v>
      </c>
      <c r="J262" s="136"/>
      <c r="K262" s="125">
        <v>447000</v>
      </c>
      <c r="L262" s="131">
        <f t="shared" si="8"/>
        <v>74500</v>
      </c>
    </row>
    <row r="263" spans="1:12" ht="15" x14ac:dyDescent="0.25">
      <c r="A263" s="123" t="s">
        <v>268</v>
      </c>
      <c r="B263" s="123">
        <v>12</v>
      </c>
      <c r="C263" s="125">
        <v>0</v>
      </c>
      <c r="D263" s="125">
        <v>0</v>
      </c>
      <c r="E263" s="125">
        <v>0</v>
      </c>
      <c r="F263" s="125">
        <v>0</v>
      </c>
      <c r="G263" s="125">
        <v>0</v>
      </c>
      <c r="H263" s="125">
        <f t="shared" ref="H263:H287" si="9">D263+F263-K263</f>
        <v>0</v>
      </c>
      <c r="I263" s="125">
        <v>0</v>
      </c>
      <c r="J263" s="136"/>
      <c r="K263" s="125">
        <v>0</v>
      </c>
      <c r="L263" s="131"/>
    </row>
    <row r="264" spans="1:12" ht="15" x14ac:dyDescent="0.25">
      <c r="A264" s="123" t="s">
        <v>269</v>
      </c>
      <c r="B264" s="123">
        <v>12</v>
      </c>
      <c r="C264" s="125">
        <v>0</v>
      </c>
      <c r="D264" s="125">
        <v>0</v>
      </c>
      <c r="E264" s="125">
        <v>0</v>
      </c>
      <c r="F264" s="125">
        <v>0</v>
      </c>
      <c r="G264" s="125">
        <v>0</v>
      </c>
      <c r="H264" s="125">
        <f t="shared" si="9"/>
        <v>0</v>
      </c>
      <c r="I264" s="125">
        <v>0</v>
      </c>
      <c r="J264" s="136"/>
      <c r="K264" s="125">
        <v>0</v>
      </c>
      <c r="L264" s="131"/>
    </row>
    <row r="265" spans="1:12" ht="15" x14ac:dyDescent="0.25">
      <c r="A265" s="123" t="s">
        <v>270</v>
      </c>
      <c r="B265" s="123">
        <v>12</v>
      </c>
      <c r="C265" s="125">
        <v>0</v>
      </c>
      <c r="D265" s="125">
        <v>0</v>
      </c>
      <c r="E265" s="125">
        <v>0</v>
      </c>
      <c r="F265" s="125">
        <v>0</v>
      </c>
      <c r="G265" s="125">
        <v>0</v>
      </c>
      <c r="H265" s="125">
        <f t="shared" si="9"/>
        <v>0</v>
      </c>
      <c r="I265" s="125">
        <v>0</v>
      </c>
      <c r="J265" s="136"/>
      <c r="K265" s="125">
        <v>0</v>
      </c>
      <c r="L265" s="131"/>
    </row>
    <row r="266" spans="1:12" ht="15" x14ac:dyDescent="0.25">
      <c r="A266" s="123" t="s">
        <v>271</v>
      </c>
      <c r="B266" s="123">
        <v>12</v>
      </c>
      <c r="C266" s="125">
        <v>0</v>
      </c>
      <c r="D266" s="125">
        <v>0</v>
      </c>
      <c r="E266" s="125">
        <v>0</v>
      </c>
      <c r="F266" s="125">
        <v>0</v>
      </c>
      <c r="G266" s="125">
        <v>0</v>
      </c>
      <c r="H266" s="125">
        <f t="shared" si="9"/>
        <v>0</v>
      </c>
      <c r="I266" s="125">
        <v>0</v>
      </c>
      <c r="J266" s="136"/>
      <c r="K266" s="125">
        <v>0</v>
      </c>
      <c r="L266" s="131"/>
    </row>
    <row r="267" spans="1:12" ht="15" x14ac:dyDescent="0.25">
      <c r="A267" s="123" t="s">
        <v>272</v>
      </c>
      <c r="B267" s="123">
        <v>12</v>
      </c>
      <c r="C267" s="125">
        <v>0</v>
      </c>
      <c r="D267" s="125">
        <v>0</v>
      </c>
      <c r="E267" s="125">
        <v>0</v>
      </c>
      <c r="F267" s="125">
        <v>0</v>
      </c>
      <c r="G267" s="125">
        <v>0</v>
      </c>
      <c r="H267" s="125">
        <f t="shared" si="9"/>
        <v>0</v>
      </c>
      <c r="I267" s="125">
        <v>0</v>
      </c>
      <c r="J267" s="136"/>
      <c r="K267" s="125">
        <v>0</v>
      </c>
      <c r="L267" s="131"/>
    </row>
    <row r="268" spans="1:12" ht="15" x14ac:dyDescent="0.25">
      <c r="A268" s="123" t="s">
        <v>273</v>
      </c>
      <c r="B268" s="123">
        <v>12</v>
      </c>
      <c r="C268" s="125">
        <v>0</v>
      </c>
      <c r="D268" s="125">
        <v>0</v>
      </c>
      <c r="E268" s="125">
        <v>0</v>
      </c>
      <c r="F268" s="125">
        <v>0</v>
      </c>
      <c r="G268" s="125">
        <v>0</v>
      </c>
      <c r="H268" s="125">
        <f t="shared" si="9"/>
        <v>0</v>
      </c>
      <c r="I268" s="125">
        <v>0</v>
      </c>
      <c r="J268" s="136"/>
      <c r="K268" s="125">
        <v>0</v>
      </c>
      <c r="L268" s="131"/>
    </row>
    <row r="269" spans="1:12" ht="15" x14ac:dyDescent="0.25">
      <c r="A269" s="123" t="s">
        <v>274</v>
      </c>
      <c r="B269" s="123">
        <v>12</v>
      </c>
      <c r="C269" s="125">
        <v>14</v>
      </c>
      <c r="D269" s="125">
        <v>473144</v>
      </c>
      <c r="E269" s="125">
        <v>0</v>
      </c>
      <c r="F269" s="125">
        <v>0</v>
      </c>
      <c r="G269" s="125">
        <v>0</v>
      </c>
      <c r="H269" s="125">
        <f t="shared" si="9"/>
        <v>0</v>
      </c>
      <c r="I269" s="125">
        <v>14</v>
      </c>
      <c r="J269" s="136"/>
      <c r="K269" s="125">
        <v>473144</v>
      </c>
      <c r="L269" s="131">
        <f t="shared" ref="L269:L286" si="10">K269/I269</f>
        <v>33796</v>
      </c>
    </row>
    <row r="270" spans="1:12" ht="15" x14ac:dyDescent="0.25">
      <c r="A270" s="123" t="s">
        <v>275</v>
      </c>
      <c r="B270" s="123">
        <v>12</v>
      </c>
      <c r="C270" s="125">
        <v>0</v>
      </c>
      <c r="D270" s="125">
        <v>0</v>
      </c>
      <c r="E270" s="125">
        <v>0</v>
      </c>
      <c r="F270" s="125">
        <v>0</v>
      </c>
      <c r="G270" s="125">
        <v>0</v>
      </c>
      <c r="H270" s="125">
        <f t="shared" si="9"/>
        <v>0</v>
      </c>
      <c r="I270" s="125">
        <v>0</v>
      </c>
      <c r="J270" s="136"/>
      <c r="K270" s="125">
        <v>0</v>
      </c>
      <c r="L270" s="131"/>
    </row>
    <row r="271" spans="1:12" ht="15" x14ac:dyDescent="0.25">
      <c r="A271" s="123" t="s">
        <v>276</v>
      </c>
      <c r="B271" s="123">
        <v>12</v>
      </c>
      <c r="C271" s="125">
        <v>0</v>
      </c>
      <c r="D271" s="125">
        <v>0</v>
      </c>
      <c r="E271" s="125">
        <v>0</v>
      </c>
      <c r="F271" s="125">
        <v>0</v>
      </c>
      <c r="G271" s="125">
        <v>0</v>
      </c>
      <c r="H271" s="125">
        <f t="shared" si="9"/>
        <v>0</v>
      </c>
      <c r="I271" s="125">
        <v>0</v>
      </c>
      <c r="J271" s="136"/>
      <c r="K271" s="125">
        <v>0</v>
      </c>
      <c r="L271" s="131"/>
    </row>
    <row r="272" spans="1:12" ht="15" x14ac:dyDescent="0.25">
      <c r="A272" s="123" t="s">
        <v>277</v>
      </c>
      <c r="B272" s="123">
        <v>12</v>
      </c>
      <c r="C272" s="125">
        <v>0</v>
      </c>
      <c r="D272" s="125">
        <v>0</v>
      </c>
      <c r="E272" s="125">
        <v>0</v>
      </c>
      <c r="F272" s="125">
        <v>0</v>
      </c>
      <c r="G272" s="125">
        <v>0</v>
      </c>
      <c r="H272" s="125">
        <f t="shared" si="9"/>
        <v>0</v>
      </c>
      <c r="I272" s="125">
        <v>0</v>
      </c>
      <c r="J272" s="136"/>
      <c r="K272" s="125">
        <v>0</v>
      </c>
      <c r="L272" s="131"/>
    </row>
    <row r="273" spans="1:17" ht="15" x14ac:dyDescent="0.25">
      <c r="A273" s="123" t="s">
        <v>278</v>
      </c>
      <c r="B273" s="123">
        <v>12</v>
      </c>
      <c r="C273" s="125">
        <v>0</v>
      </c>
      <c r="D273" s="125">
        <v>0</v>
      </c>
      <c r="E273" s="125">
        <v>0</v>
      </c>
      <c r="F273" s="125">
        <v>0</v>
      </c>
      <c r="G273" s="125">
        <v>0</v>
      </c>
      <c r="H273" s="125">
        <f t="shared" si="9"/>
        <v>0</v>
      </c>
      <c r="I273" s="125">
        <v>0</v>
      </c>
      <c r="J273" s="136"/>
      <c r="K273" s="125">
        <v>0</v>
      </c>
      <c r="L273" s="131"/>
    </row>
    <row r="274" spans="1:17" ht="15" x14ac:dyDescent="0.25">
      <c r="A274" s="123" t="s">
        <v>279</v>
      </c>
      <c r="B274" s="123">
        <v>12</v>
      </c>
      <c r="C274" s="125">
        <v>0</v>
      </c>
      <c r="D274" s="125">
        <v>0</v>
      </c>
      <c r="E274" s="125">
        <v>0</v>
      </c>
      <c r="F274" s="125">
        <v>0</v>
      </c>
      <c r="G274" s="125">
        <v>0</v>
      </c>
      <c r="H274" s="125">
        <f t="shared" si="9"/>
        <v>0</v>
      </c>
      <c r="I274" s="125">
        <v>0</v>
      </c>
      <c r="J274" s="136"/>
      <c r="K274" s="125">
        <v>0</v>
      </c>
      <c r="L274" s="131"/>
    </row>
    <row r="275" spans="1:17" ht="15" x14ac:dyDescent="0.25">
      <c r="A275" s="123" t="s">
        <v>280</v>
      </c>
      <c r="B275" s="123">
        <v>12</v>
      </c>
      <c r="C275" s="125">
        <v>0</v>
      </c>
      <c r="D275" s="125">
        <v>0</v>
      </c>
      <c r="E275" s="125">
        <v>0</v>
      </c>
      <c r="F275" s="125">
        <v>0</v>
      </c>
      <c r="G275" s="125">
        <v>0</v>
      </c>
      <c r="H275" s="125">
        <f t="shared" si="9"/>
        <v>0</v>
      </c>
      <c r="I275" s="125">
        <v>0</v>
      </c>
      <c r="J275" s="136"/>
      <c r="K275" s="125">
        <v>0</v>
      </c>
      <c r="L275" s="131"/>
    </row>
    <row r="276" spans="1:17" ht="15" x14ac:dyDescent="0.25">
      <c r="A276" s="123" t="s">
        <v>281</v>
      </c>
      <c r="B276" s="123">
        <v>12</v>
      </c>
      <c r="C276" s="125">
        <v>115</v>
      </c>
      <c r="D276" s="125">
        <v>1984968</v>
      </c>
      <c r="E276" s="125">
        <v>52</v>
      </c>
      <c r="F276" s="125">
        <v>882000</v>
      </c>
      <c r="G276" s="125">
        <v>0</v>
      </c>
      <c r="H276" s="125">
        <f t="shared" si="9"/>
        <v>0</v>
      </c>
      <c r="I276" s="125">
        <v>167</v>
      </c>
      <c r="J276" s="136"/>
      <c r="K276" s="125">
        <v>2866968</v>
      </c>
      <c r="L276" s="131">
        <f t="shared" si="10"/>
        <v>17167.473053892216</v>
      </c>
    </row>
    <row r="277" spans="1:17" ht="15" x14ac:dyDescent="0.25">
      <c r="A277" s="123" t="s">
        <v>282</v>
      </c>
      <c r="B277" s="123">
        <v>12</v>
      </c>
      <c r="C277" s="125">
        <v>0</v>
      </c>
      <c r="D277" s="125">
        <v>0</v>
      </c>
      <c r="E277" s="125">
        <v>28</v>
      </c>
      <c r="F277" s="125">
        <v>1940400</v>
      </c>
      <c r="G277" s="125">
        <v>3</v>
      </c>
      <c r="H277" s="125">
        <f t="shared" si="9"/>
        <v>1044761</v>
      </c>
      <c r="I277" s="125">
        <v>25</v>
      </c>
      <c r="J277" s="136"/>
      <c r="K277" s="125">
        <v>895639</v>
      </c>
      <c r="L277" s="131">
        <f t="shared" si="10"/>
        <v>35825.56</v>
      </c>
    </row>
    <row r="278" spans="1:17" ht="15" x14ac:dyDescent="0.25">
      <c r="A278" s="123" t="s">
        <v>283</v>
      </c>
      <c r="B278" s="123">
        <v>12</v>
      </c>
      <c r="C278" s="125">
        <v>2650</v>
      </c>
      <c r="D278" s="125">
        <v>60362629</v>
      </c>
      <c r="E278" s="125">
        <v>1138</v>
      </c>
      <c r="F278" s="125">
        <v>39547200</v>
      </c>
      <c r="G278" s="125">
        <v>3132</v>
      </c>
      <c r="H278" s="125">
        <f t="shared" si="9"/>
        <v>76338900</v>
      </c>
      <c r="I278" s="125">
        <v>656</v>
      </c>
      <c r="J278" s="136"/>
      <c r="K278" s="125">
        <v>23570929</v>
      </c>
      <c r="L278" s="131">
        <f t="shared" si="10"/>
        <v>35931.294207317071</v>
      </c>
    </row>
    <row r="279" spans="1:17" ht="15" x14ac:dyDescent="0.25">
      <c r="A279" s="123" t="s">
        <v>284</v>
      </c>
      <c r="B279" s="123">
        <v>12</v>
      </c>
      <c r="C279" s="125">
        <v>170</v>
      </c>
      <c r="D279" s="125">
        <v>7787064</v>
      </c>
      <c r="E279" s="125">
        <v>14</v>
      </c>
      <c r="F279" s="125">
        <v>598416</v>
      </c>
      <c r="G279" s="125">
        <v>0</v>
      </c>
      <c r="H279" s="125">
        <f t="shared" si="9"/>
        <v>0</v>
      </c>
      <c r="I279" s="125">
        <v>184</v>
      </c>
      <c r="J279" s="136"/>
      <c r="K279" s="125">
        <v>8385480</v>
      </c>
      <c r="L279" s="131">
        <f t="shared" si="10"/>
        <v>45573.260869565216</v>
      </c>
    </row>
    <row r="280" spans="1:17" ht="15" x14ac:dyDescent="0.25">
      <c r="A280" s="123" t="s">
        <v>285</v>
      </c>
      <c r="B280" s="123">
        <v>12</v>
      </c>
      <c r="C280" s="125">
        <v>0</v>
      </c>
      <c r="D280" s="125">
        <v>0</v>
      </c>
      <c r="E280" s="125">
        <v>0</v>
      </c>
      <c r="F280" s="125">
        <v>0</v>
      </c>
      <c r="G280" s="125">
        <v>0</v>
      </c>
      <c r="H280" s="125">
        <f t="shared" si="9"/>
        <v>0</v>
      </c>
      <c r="I280" s="125">
        <v>0</v>
      </c>
      <c r="J280" s="136"/>
      <c r="K280" s="125">
        <v>0</v>
      </c>
      <c r="L280" s="131"/>
    </row>
    <row r="281" spans="1:17" ht="15" x14ac:dyDescent="0.25">
      <c r="A281" s="123" t="s">
        <v>286</v>
      </c>
      <c r="B281" s="123">
        <v>12</v>
      </c>
      <c r="C281" s="125">
        <v>0</v>
      </c>
      <c r="D281" s="125">
        <v>0</v>
      </c>
      <c r="E281" s="125">
        <v>0</v>
      </c>
      <c r="F281" s="125">
        <v>0</v>
      </c>
      <c r="G281" s="125">
        <v>0</v>
      </c>
      <c r="H281" s="125">
        <f t="shared" si="9"/>
        <v>0</v>
      </c>
      <c r="I281" s="125">
        <v>0</v>
      </c>
      <c r="J281" s="136"/>
      <c r="K281" s="125">
        <v>0</v>
      </c>
      <c r="L281" s="131"/>
    </row>
    <row r="282" spans="1:17" ht="15" x14ac:dyDescent="0.25">
      <c r="A282" s="123" t="s">
        <v>287</v>
      </c>
      <c r="B282" s="123">
        <v>12</v>
      </c>
      <c r="C282" s="125">
        <v>8</v>
      </c>
      <c r="D282" s="125">
        <v>888480</v>
      </c>
      <c r="E282" s="125">
        <v>0</v>
      </c>
      <c r="F282" s="125">
        <v>0</v>
      </c>
      <c r="G282" s="125">
        <v>0</v>
      </c>
      <c r="H282" s="125">
        <f t="shared" si="9"/>
        <v>0</v>
      </c>
      <c r="I282" s="125">
        <v>8</v>
      </c>
      <c r="J282" s="136"/>
      <c r="K282" s="125">
        <v>888480</v>
      </c>
      <c r="L282" s="131">
        <f t="shared" si="10"/>
        <v>111060</v>
      </c>
    </row>
    <row r="283" spans="1:17" ht="15" x14ac:dyDescent="0.25">
      <c r="A283" s="123" t="s">
        <v>288</v>
      </c>
      <c r="B283" s="123">
        <v>12</v>
      </c>
      <c r="C283" s="125">
        <v>72</v>
      </c>
      <c r="D283" s="125">
        <v>1717560</v>
      </c>
      <c r="E283" s="125">
        <v>2768</v>
      </c>
      <c r="F283" s="125"/>
      <c r="G283" s="125">
        <v>0</v>
      </c>
      <c r="H283" s="125">
        <f t="shared" si="9"/>
        <v>0</v>
      </c>
      <c r="I283" s="125">
        <v>72</v>
      </c>
      <c r="J283" s="136"/>
      <c r="K283" s="125">
        <v>1717560</v>
      </c>
      <c r="L283" s="131">
        <f t="shared" si="10"/>
        <v>23855</v>
      </c>
    </row>
    <row r="284" spans="1:17" ht="15" x14ac:dyDescent="0.25">
      <c r="A284" s="123" t="s">
        <v>289</v>
      </c>
      <c r="B284" s="123">
        <v>12</v>
      </c>
      <c r="C284" s="125">
        <v>5453</v>
      </c>
      <c r="D284" s="125">
        <v>18544800</v>
      </c>
      <c r="E284" s="125">
        <v>3249</v>
      </c>
      <c r="F284" s="125">
        <v>26723118.901734103</v>
      </c>
      <c r="G284" s="125">
        <v>5934</v>
      </c>
      <c r="H284" s="125">
        <f t="shared" si="9"/>
        <v>22501038.901734099</v>
      </c>
      <c r="I284" s="125">
        <v>2768</v>
      </c>
      <c r="J284" s="136"/>
      <c r="K284" s="125">
        <v>22766880</v>
      </c>
      <c r="L284" s="131">
        <f t="shared" si="10"/>
        <v>8225.0289017341038</v>
      </c>
    </row>
    <row r="285" spans="1:17" ht="15" x14ac:dyDescent="0.25">
      <c r="A285" s="123" t="s">
        <v>290</v>
      </c>
      <c r="B285" s="123">
        <v>12</v>
      </c>
      <c r="C285" s="125">
        <v>294</v>
      </c>
      <c r="D285" s="125">
        <v>26161598</v>
      </c>
      <c r="E285" s="125">
        <v>612</v>
      </c>
      <c r="F285" s="125">
        <v>54458208</v>
      </c>
      <c r="G285" s="125">
        <v>462</v>
      </c>
      <c r="H285" s="125">
        <f t="shared" si="9"/>
        <v>41110762</v>
      </c>
      <c r="I285" s="125">
        <v>444</v>
      </c>
      <c r="J285" s="136"/>
      <c r="K285" s="125">
        <v>39509044</v>
      </c>
      <c r="L285" s="131">
        <f t="shared" si="10"/>
        <v>88984.333333333328</v>
      </c>
    </row>
    <row r="286" spans="1:17" ht="15" x14ac:dyDescent="0.25">
      <c r="A286" s="123" t="s">
        <v>291</v>
      </c>
      <c r="B286" s="123">
        <v>12</v>
      </c>
      <c r="C286" s="125">
        <v>580</v>
      </c>
      <c r="D286" s="125">
        <v>54183265</v>
      </c>
      <c r="E286" s="125">
        <v>1120</v>
      </c>
      <c r="F286" s="125">
        <v>104711040</v>
      </c>
      <c r="G286" s="125">
        <v>821</v>
      </c>
      <c r="H286" s="125">
        <f t="shared" si="9"/>
        <v>76736603</v>
      </c>
      <c r="I286" s="125">
        <v>879</v>
      </c>
      <c r="J286" s="136"/>
      <c r="K286" s="125">
        <v>82157702</v>
      </c>
      <c r="L286" s="131">
        <f t="shared" si="10"/>
        <v>93467.237770193402</v>
      </c>
    </row>
    <row r="287" spans="1:17" ht="15" x14ac:dyDescent="0.25">
      <c r="A287" s="123" t="s">
        <v>292</v>
      </c>
      <c r="B287" s="123">
        <v>12</v>
      </c>
      <c r="C287" s="125">
        <v>0</v>
      </c>
      <c r="D287" s="125">
        <v>0</v>
      </c>
      <c r="E287" s="125">
        <v>394</v>
      </c>
      <c r="F287" s="125">
        <v>34234181</v>
      </c>
      <c r="G287" s="125">
        <v>394</v>
      </c>
      <c r="H287" s="125">
        <f t="shared" si="9"/>
        <v>34234181</v>
      </c>
      <c r="I287" s="125">
        <v>0</v>
      </c>
      <c r="J287" s="136"/>
      <c r="K287" s="125">
        <v>0</v>
      </c>
      <c r="L287" s="131"/>
    </row>
    <row r="288" spans="1:17" s="128" customFormat="1" ht="14.25" x14ac:dyDescent="0.2">
      <c r="A288" s="126"/>
      <c r="B288" s="126"/>
      <c r="C288" s="127"/>
      <c r="D288" s="127">
        <f>SUM(D4:D287)</f>
        <v>15757074952.489557</v>
      </c>
      <c r="E288" s="127"/>
      <c r="F288" s="127">
        <f t="shared" ref="F288:K288" si="11">SUM(F4:F287)</f>
        <v>24085377822.295795</v>
      </c>
      <c r="G288" s="127"/>
      <c r="H288" s="127">
        <f t="shared" si="11"/>
        <v>28212704350.149536</v>
      </c>
      <c r="I288" s="127"/>
      <c r="J288" s="138"/>
      <c r="K288" s="127">
        <f t="shared" si="11"/>
        <v>15761231523</v>
      </c>
      <c r="L288" s="132"/>
      <c r="Q288" s="140"/>
    </row>
    <row r="289" spans="1:11" x14ac:dyDescent="0.2">
      <c r="A289" s="134" t="s">
        <v>889</v>
      </c>
      <c r="B289" s="135" t="s">
        <v>327</v>
      </c>
      <c r="C289" s="133">
        <v>3</v>
      </c>
      <c r="K289" s="129">
        <f>D288+F288-H288</f>
        <v>11629748424.635818</v>
      </c>
    </row>
    <row r="290" spans="1:11" x14ac:dyDescent="0.2">
      <c r="A290" s="134" t="s">
        <v>890</v>
      </c>
      <c r="B290" s="135" t="s">
        <v>327</v>
      </c>
      <c r="C290" s="133">
        <v>30</v>
      </c>
    </row>
    <row r="291" spans="1:11" x14ac:dyDescent="0.2">
      <c r="A291" s="134" t="s">
        <v>891</v>
      </c>
      <c r="B291" s="135" t="s">
        <v>327</v>
      </c>
      <c r="C291" s="133">
        <v>495</v>
      </c>
    </row>
    <row r="292" spans="1:11" x14ac:dyDescent="0.2">
      <c r="A292" s="134" t="s">
        <v>892</v>
      </c>
      <c r="B292" s="135" t="s">
        <v>393</v>
      </c>
      <c r="C292" s="133">
        <v>5</v>
      </c>
      <c r="D292" s="133">
        <v>0</v>
      </c>
      <c r="E292" s="133" t="s">
        <v>949</v>
      </c>
    </row>
    <row r="293" spans="1:11" x14ac:dyDescent="0.2">
      <c r="A293" s="134" t="s">
        <v>893</v>
      </c>
      <c r="B293" s="135" t="s">
        <v>393</v>
      </c>
      <c r="C293" s="133">
        <v>2</v>
      </c>
      <c r="D293" s="133">
        <v>0</v>
      </c>
      <c r="E293" s="133" t="s">
        <v>949</v>
      </c>
    </row>
    <row r="294" spans="1:11" x14ac:dyDescent="0.2">
      <c r="A294" s="134" t="s">
        <v>894</v>
      </c>
      <c r="B294" s="135" t="s">
        <v>393</v>
      </c>
      <c r="C294" s="133">
        <v>24</v>
      </c>
      <c r="D294" s="133">
        <v>0</v>
      </c>
      <c r="E294" s="133" t="s">
        <v>949</v>
      </c>
    </row>
    <row r="295" spans="1:11" x14ac:dyDescent="0.2">
      <c r="A295" s="134" t="s">
        <v>895</v>
      </c>
      <c r="B295" s="135" t="s">
        <v>393</v>
      </c>
      <c r="C295" s="133">
        <v>3</v>
      </c>
      <c r="D295" s="133">
        <v>0</v>
      </c>
      <c r="E295" s="133" t="s">
        <v>949</v>
      </c>
    </row>
    <row r="296" spans="1:11" x14ac:dyDescent="0.2">
      <c r="A296" s="134" t="s">
        <v>896</v>
      </c>
      <c r="B296" s="135" t="s">
        <v>393</v>
      </c>
      <c r="C296" s="133">
        <v>16</v>
      </c>
      <c r="D296" s="133">
        <v>0</v>
      </c>
      <c r="E296" s="133" t="s">
        <v>949</v>
      </c>
    </row>
    <row r="297" spans="1:11" x14ac:dyDescent="0.2">
      <c r="A297" s="134" t="s">
        <v>897</v>
      </c>
      <c r="B297" s="135" t="s">
        <v>451</v>
      </c>
      <c r="C297" s="133">
        <v>30</v>
      </c>
      <c r="D297" s="133">
        <v>0</v>
      </c>
      <c r="E297" s="133" t="s">
        <v>949</v>
      </c>
    </row>
    <row r="298" spans="1:11" x14ac:dyDescent="0.2">
      <c r="A298" s="134" t="s">
        <v>898</v>
      </c>
      <c r="B298" s="135" t="s">
        <v>393</v>
      </c>
      <c r="C298" s="133">
        <v>8</v>
      </c>
      <c r="D298" s="133">
        <v>0</v>
      </c>
      <c r="E298" s="133" t="s">
        <v>949</v>
      </c>
    </row>
    <row r="299" spans="1:11" x14ac:dyDescent="0.2">
      <c r="A299" s="134" t="s">
        <v>899</v>
      </c>
      <c r="B299" s="135" t="s">
        <v>393</v>
      </c>
      <c r="C299" s="133">
        <v>6</v>
      </c>
      <c r="D299" s="133">
        <v>0</v>
      </c>
      <c r="E299" s="133" t="s">
        <v>949</v>
      </c>
    </row>
    <row r="300" spans="1:11" x14ac:dyDescent="0.2">
      <c r="A300" s="134" t="s">
        <v>900</v>
      </c>
      <c r="B300" s="135" t="s">
        <v>393</v>
      </c>
      <c r="C300" s="133">
        <v>138</v>
      </c>
      <c r="D300" s="133">
        <v>0</v>
      </c>
      <c r="E300" s="133" t="s">
        <v>949</v>
      </c>
    </row>
    <row r="301" spans="1:11" x14ac:dyDescent="0.2">
      <c r="A301" s="134" t="s">
        <v>901</v>
      </c>
      <c r="B301" s="135" t="s">
        <v>393</v>
      </c>
      <c r="C301" s="133">
        <v>119</v>
      </c>
      <c r="D301" s="133">
        <v>0</v>
      </c>
      <c r="E301" s="133" t="s">
        <v>949</v>
      </c>
    </row>
    <row r="302" spans="1:11" x14ac:dyDescent="0.2">
      <c r="A302" s="134" t="s">
        <v>902</v>
      </c>
      <c r="B302" s="135" t="s">
        <v>393</v>
      </c>
      <c r="C302" s="133">
        <v>156</v>
      </c>
      <c r="D302" s="133">
        <v>0</v>
      </c>
      <c r="E302" s="133" t="s">
        <v>949</v>
      </c>
    </row>
    <row r="303" spans="1:11" x14ac:dyDescent="0.2">
      <c r="A303" s="134" t="s">
        <v>903</v>
      </c>
      <c r="B303" s="135" t="s">
        <v>327</v>
      </c>
      <c r="C303" s="133">
        <v>12</v>
      </c>
      <c r="D303" s="133">
        <v>0</v>
      </c>
      <c r="E303" s="133" t="s">
        <v>949</v>
      </c>
    </row>
    <row r="304" spans="1:11" x14ac:dyDescent="0.2">
      <c r="A304" s="134" t="s">
        <v>904</v>
      </c>
      <c r="B304" s="135" t="s">
        <v>393</v>
      </c>
      <c r="C304" s="133">
        <v>6</v>
      </c>
      <c r="D304" s="133">
        <v>0</v>
      </c>
      <c r="E304" s="133" t="s">
        <v>949</v>
      </c>
    </row>
    <row r="305" spans="1:5" x14ac:dyDescent="0.2">
      <c r="A305" s="134" t="s">
        <v>905</v>
      </c>
      <c r="B305" s="135" t="s">
        <v>327</v>
      </c>
      <c r="C305" s="133">
        <v>45</v>
      </c>
      <c r="D305" s="133">
        <v>0</v>
      </c>
      <c r="E305" s="133" t="s">
        <v>949</v>
      </c>
    </row>
    <row r="306" spans="1:5" x14ac:dyDescent="0.2">
      <c r="A306" s="134" t="s">
        <v>906</v>
      </c>
      <c r="B306" s="135" t="s">
        <v>451</v>
      </c>
      <c r="C306" s="133">
        <v>1</v>
      </c>
      <c r="D306" s="133">
        <v>0</v>
      </c>
      <c r="E306" s="133" t="s">
        <v>949</v>
      </c>
    </row>
    <row r="307" spans="1:5" x14ac:dyDescent="0.2">
      <c r="A307" s="134" t="s">
        <v>907</v>
      </c>
      <c r="B307" s="135" t="s">
        <v>303</v>
      </c>
      <c r="C307" s="133">
        <v>4</v>
      </c>
      <c r="D307" s="133">
        <v>0</v>
      </c>
    </row>
    <row r="308" spans="1:5" x14ac:dyDescent="0.2">
      <c r="A308" s="134" t="s">
        <v>908</v>
      </c>
      <c r="B308" s="135" t="s">
        <v>393</v>
      </c>
      <c r="C308" s="133">
        <v>9</v>
      </c>
      <c r="D308" s="133">
        <v>0</v>
      </c>
    </row>
    <row r="309" spans="1:5" x14ac:dyDescent="0.2">
      <c r="A309" s="134" t="s">
        <v>909</v>
      </c>
      <c r="B309" s="135" t="s">
        <v>528</v>
      </c>
      <c r="C309" s="133">
        <v>6</v>
      </c>
      <c r="D309" s="133">
        <v>0</v>
      </c>
    </row>
    <row r="310" spans="1:5" ht="25.5" x14ac:dyDescent="0.2">
      <c r="A310" s="134" t="s">
        <v>910</v>
      </c>
      <c r="B310" s="135" t="s">
        <v>528</v>
      </c>
      <c r="C310" s="133">
        <v>18</v>
      </c>
      <c r="D310" s="133">
        <v>0</v>
      </c>
    </row>
    <row r="311" spans="1:5" x14ac:dyDescent="0.2">
      <c r="A311" s="134" t="s">
        <v>911</v>
      </c>
      <c r="B311" s="135" t="s">
        <v>528</v>
      </c>
      <c r="C311" s="133">
        <v>84</v>
      </c>
      <c r="D311" s="133">
        <v>0</v>
      </c>
    </row>
    <row r="312" spans="1:5" x14ac:dyDescent="0.2">
      <c r="A312" s="134" t="s">
        <v>912</v>
      </c>
      <c r="B312" s="135" t="s">
        <v>528</v>
      </c>
      <c r="C312" s="133">
        <v>2</v>
      </c>
      <c r="D312" s="133">
        <v>0</v>
      </c>
    </row>
    <row r="313" spans="1:5" ht="25.5" x14ac:dyDescent="0.2">
      <c r="A313" s="134" t="s">
        <v>913</v>
      </c>
      <c r="B313" s="135" t="s">
        <v>528</v>
      </c>
      <c r="C313" s="133">
        <v>5</v>
      </c>
      <c r="D313" s="133">
        <v>0</v>
      </c>
    </row>
    <row r="314" spans="1:5" ht="25.5" x14ac:dyDescent="0.2">
      <c r="A314" s="134" t="s">
        <v>914</v>
      </c>
      <c r="B314" s="135" t="s">
        <v>528</v>
      </c>
      <c r="C314" s="133">
        <v>9</v>
      </c>
      <c r="D314" s="133">
        <v>0</v>
      </c>
    </row>
    <row r="315" spans="1:5" x14ac:dyDescent="0.2">
      <c r="A315" s="134" t="s">
        <v>916</v>
      </c>
      <c r="B315" s="135" t="s">
        <v>393</v>
      </c>
      <c r="C315" s="133">
        <v>28</v>
      </c>
      <c r="D315" s="133">
        <v>0</v>
      </c>
    </row>
    <row r="316" spans="1:5" x14ac:dyDescent="0.2">
      <c r="A316" s="134" t="s">
        <v>917</v>
      </c>
      <c r="B316" s="135" t="s">
        <v>393</v>
      </c>
      <c r="C316" s="133">
        <v>661</v>
      </c>
      <c r="D316" s="133">
        <v>0</v>
      </c>
    </row>
    <row r="317" spans="1:5" x14ac:dyDescent="0.2">
      <c r="A317" s="134" t="s">
        <v>918</v>
      </c>
      <c r="B317" s="135" t="s">
        <v>303</v>
      </c>
      <c r="C317" s="133">
        <v>1</v>
      </c>
      <c r="D317" s="133">
        <v>0</v>
      </c>
    </row>
    <row r="318" spans="1:5" x14ac:dyDescent="0.2">
      <c r="A318" s="134" t="s">
        <v>919</v>
      </c>
      <c r="B318" s="135" t="s">
        <v>753</v>
      </c>
      <c r="C318" s="133">
        <v>2</v>
      </c>
      <c r="D318" s="133">
        <v>0</v>
      </c>
    </row>
    <row r="319" spans="1:5" x14ac:dyDescent="0.2">
      <c r="A319" s="134" t="s">
        <v>920</v>
      </c>
      <c r="B319" s="135" t="s">
        <v>311</v>
      </c>
      <c r="C319" s="133">
        <v>3861</v>
      </c>
      <c r="D319" s="133">
        <v>0</v>
      </c>
    </row>
    <row r="320" spans="1:5" x14ac:dyDescent="0.2">
      <c r="A320" s="134" t="s">
        <v>921</v>
      </c>
      <c r="B320" s="135" t="s">
        <v>327</v>
      </c>
      <c r="C320" s="133">
        <v>12</v>
      </c>
    </row>
    <row r="321" spans="1:4" x14ac:dyDescent="0.2">
      <c r="A321" s="134" t="s">
        <v>773</v>
      </c>
      <c r="B321" s="135" t="s">
        <v>303</v>
      </c>
      <c r="C321" s="133">
        <v>16</v>
      </c>
    </row>
    <row r="322" spans="1:4" x14ac:dyDescent="0.2">
      <c r="A322" s="134" t="s">
        <v>775</v>
      </c>
      <c r="B322" s="135" t="s">
        <v>303</v>
      </c>
      <c r="C322" s="133">
        <v>3</v>
      </c>
      <c r="D322" s="133">
        <v>0</v>
      </c>
    </row>
    <row r="323" spans="1:4" x14ac:dyDescent="0.2">
      <c r="A323" s="134" t="s">
        <v>649</v>
      </c>
      <c r="B323" s="135" t="s">
        <v>303</v>
      </c>
      <c r="C323" s="133">
        <v>2</v>
      </c>
      <c r="D323" s="133">
        <v>0</v>
      </c>
    </row>
    <row r="324" spans="1:4" x14ac:dyDescent="0.2">
      <c r="A324" s="134" t="s">
        <v>923</v>
      </c>
      <c r="B324" s="135" t="s">
        <v>303</v>
      </c>
      <c r="C324" s="133">
        <v>915</v>
      </c>
      <c r="D324" s="133">
        <v>0</v>
      </c>
    </row>
    <row r="325" spans="1:4" x14ac:dyDescent="0.2">
      <c r="A325" s="134" t="s">
        <v>924</v>
      </c>
      <c r="B325" s="135" t="s">
        <v>844</v>
      </c>
      <c r="C325" s="133">
        <v>1</v>
      </c>
      <c r="D325" s="133">
        <v>0</v>
      </c>
    </row>
    <row r="326" spans="1:4" x14ac:dyDescent="0.2">
      <c r="A326" s="134" t="s">
        <v>925</v>
      </c>
      <c r="B326" s="135" t="s">
        <v>451</v>
      </c>
      <c r="C326" s="133">
        <v>1</v>
      </c>
      <c r="D326" s="133">
        <v>0</v>
      </c>
    </row>
    <row r="327" spans="1:4" x14ac:dyDescent="0.2">
      <c r="A327" s="134" t="s">
        <v>926</v>
      </c>
      <c r="B327" s="135" t="s">
        <v>327</v>
      </c>
      <c r="C327" s="133">
        <v>3</v>
      </c>
      <c r="D327" s="133">
        <v>0</v>
      </c>
    </row>
    <row r="328" spans="1:4" x14ac:dyDescent="0.2">
      <c r="A328" s="134" t="s">
        <v>927</v>
      </c>
      <c r="B328" s="135" t="s">
        <v>327</v>
      </c>
      <c r="C328" s="133">
        <v>3</v>
      </c>
      <c r="D328" s="133">
        <v>0</v>
      </c>
    </row>
    <row r="329" spans="1:4" x14ac:dyDescent="0.2">
      <c r="A329" s="134" t="s">
        <v>928</v>
      </c>
      <c r="B329" s="135" t="s">
        <v>327</v>
      </c>
      <c r="C329" s="133">
        <v>41</v>
      </c>
      <c r="D329" s="133">
        <v>0</v>
      </c>
    </row>
    <row r="330" spans="1:4" x14ac:dyDescent="0.2">
      <c r="A330" s="134" t="s">
        <v>929</v>
      </c>
      <c r="B330" s="135" t="s">
        <v>699</v>
      </c>
      <c r="C330" s="133">
        <v>25</v>
      </c>
      <c r="D330" s="133">
        <v>0</v>
      </c>
    </row>
    <row r="331" spans="1:4" x14ac:dyDescent="0.2">
      <c r="A331" s="134" t="s">
        <v>932</v>
      </c>
      <c r="B331" s="135" t="s">
        <v>303</v>
      </c>
      <c r="C331" s="133">
        <v>946</v>
      </c>
      <c r="D331" s="133">
        <v>0</v>
      </c>
    </row>
    <row r="332" spans="1:4" x14ac:dyDescent="0.2">
      <c r="A332" s="134" t="s">
        <v>933</v>
      </c>
      <c r="B332" s="135" t="s">
        <v>327</v>
      </c>
      <c r="C332" s="133">
        <v>4</v>
      </c>
      <c r="D332" s="133">
        <v>0</v>
      </c>
    </row>
    <row r="333" spans="1:4" x14ac:dyDescent="0.2">
      <c r="A333" s="134" t="s">
        <v>934</v>
      </c>
      <c r="B333" s="135" t="s">
        <v>327</v>
      </c>
      <c r="C333" s="133">
        <v>4</v>
      </c>
      <c r="D333" s="133">
        <v>0</v>
      </c>
    </row>
    <row r="334" spans="1:4" x14ac:dyDescent="0.2">
      <c r="A334" s="134" t="s">
        <v>935</v>
      </c>
      <c r="B334" s="135" t="s">
        <v>327</v>
      </c>
      <c r="C334" s="133">
        <v>33</v>
      </c>
      <c r="D334" s="133">
        <v>0</v>
      </c>
    </row>
    <row r="335" spans="1:4" x14ac:dyDescent="0.2">
      <c r="A335" s="134" t="s">
        <v>936</v>
      </c>
      <c r="B335" s="135" t="s">
        <v>303</v>
      </c>
      <c r="C335" s="133">
        <v>16</v>
      </c>
      <c r="D335" s="133">
        <v>0</v>
      </c>
    </row>
    <row r="336" spans="1:4" x14ac:dyDescent="0.2">
      <c r="A336" s="134" t="s">
        <v>937</v>
      </c>
      <c r="B336" s="135" t="s">
        <v>327</v>
      </c>
      <c r="C336" s="133">
        <v>2</v>
      </c>
      <c r="D336" s="133">
        <v>0</v>
      </c>
    </row>
    <row r="337" spans="1:4" x14ac:dyDescent="0.2">
      <c r="A337" s="134" t="s">
        <v>938</v>
      </c>
      <c r="B337" s="135" t="s">
        <v>327</v>
      </c>
      <c r="C337" s="133">
        <v>3</v>
      </c>
      <c r="D337" s="133">
        <v>0</v>
      </c>
    </row>
    <row r="338" spans="1:4" x14ac:dyDescent="0.2">
      <c r="A338" s="134" t="s">
        <v>939</v>
      </c>
      <c r="B338" s="135" t="s">
        <v>327</v>
      </c>
      <c r="C338" s="133">
        <v>4</v>
      </c>
      <c r="D338" s="133">
        <v>0</v>
      </c>
    </row>
    <row r="339" spans="1:4" x14ac:dyDescent="0.2">
      <c r="A339" s="134" t="s">
        <v>940</v>
      </c>
      <c r="B339" s="135" t="s">
        <v>699</v>
      </c>
      <c r="C339" s="133">
        <v>15</v>
      </c>
      <c r="D339" s="133">
        <v>0</v>
      </c>
    </row>
    <row r="340" spans="1:4" x14ac:dyDescent="0.2">
      <c r="A340" s="134" t="s">
        <v>941</v>
      </c>
      <c r="B340" s="135" t="s">
        <v>327</v>
      </c>
      <c r="C340" s="133">
        <v>6</v>
      </c>
      <c r="D340" s="133">
        <v>0</v>
      </c>
    </row>
    <row r="341" spans="1:4" x14ac:dyDescent="0.2">
      <c r="A341" s="134" t="s">
        <v>942</v>
      </c>
      <c r="B341" s="135" t="s">
        <v>864</v>
      </c>
      <c r="C341" s="133">
        <v>1</v>
      </c>
      <c r="D341" s="133">
        <v>0</v>
      </c>
    </row>
  </sheetData>
  <mergeCells count="1">
    <mergeCell ref="A1:K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6F685-4B50-401D-97F5-D59E80184AC8}">
  <dimension ref="A2:L413"/>
  <sheetViews>
    <sheetView topLeftCell="A400" workbookViewId="0">
      <selection activeCell="B48" sqref="B48"/>
    </sheetView>
  </sheetViews>
  <sheetFormatPr defaultRowHeight="12.75" x14ac:dyDescent="0.2"/>
  <cols>
    <col min="1" max="1" width="11" customWidth="1"/>
    <col min="2" max="2" width="44.5703125" customWidth="1"/>
    <col min="4" max="4" width="15.42578125" customWidth="1"/>
    <col min="5" max="5" width="15.140625" customWidth="1"/>
    <col min="6" max="6" width="11.28515625" customWidth="1"/>
    <col min="7" max="7" width="16.42578125" customWidth="1"/>
    <col min="9" max="9" width="14" customWidth="1"/>
    <col min="10" max="10" width="11.5703125" customWidth="1"/>
    <col min="12" max="12" width="15.28515625" bestFit="1" customWidth="1"/>
  </cols>
  <sheetData>
    <row r="2" spans="1:12" x14ac:dyDescent="0.2">
      <c r="A2" s="217" t="s">
        <v>951</v>
      </c>
      <c r="B2" s="217"/>
      <c r="C2" s="217"/>
      <c r="D2" s="217"/>
      <c r="E2" s="217"/>
      <c r="F2" s="217"/>
      <c r="G2" s="217"/>
      <c r="H2" s="217"/>
      <c r="I2" s="217"/>
      <c r="J2" s="217"/>
      <c r="K2" s="217"/>
      <c r="L2" s="217"/>
    </row>
    <row r="4" spans="1:12" x14ac:dyDescent="0.2">
      <c r="D4" s="218" t="s">
        <v>954</v>
      </c>
      <c r="E4" s="219"/>
      <c r="F4" s="218" t="s">
        <v>957</v>
      </c>
      <c r="G4" s="219"/>
      <c r="H4" s="218" t="s">
        <v>958</v>
      </c>
      <c r="I4" s="219"/>
      <c r="J4" s="218" t="s">
        <v>959</v>
      </c>
      <c r="K4" s="220"/>
      <c r="L4" s="219"/>
    </row>
    <row r="5" spans="1:12" ht="15" x14ac:dyDescent="0.25">
      <c r="A5" s="170" t="s">
        <v>952</v>
      </c>
      <c r="B5" s="170" t="s">
        <v>953</v>
      </c>
      <c r="C5" s="170" t="s">
        <v>297</v>
      </c>
      <c r="D5" s="171" t="s">
        <v>955</v>
      </c>
      <c r="E5" s="171" t="s">
        <v>956</v>
      </c>
      <c r="F5" s="171" t="s">
        <v>955</v>
      </c>
      <c r="G5" s="171" t="s">
        <v>956</v>
      </c>
      <c r="H5" s="171" t="s">
        <v>955</v>
      </c>
      <c r="I5" s="171" t="s">
        <v>956</v>
      </c>
      <c r="J5" s="172" t="s">
        <v>298</v>
      </c>
      <c r="K5" s="173" t="s">
        <v>299</v>
      </c>
      <c r="L5" s="174" t="s">
        <v>300</v>
      </c>
    </row>
    <row r="6" spans="1:12" ht="22.5" customHeight="1" x14ac:dyDescent="0.25">
      <c r="A6" s="32" t="s">
        <v>301</v>
      </c>
      <c r="B6" s="32" t="s">
        <v>302</v>
      </c>
      <c r="C6" s="32" t="s">
        <v>303</v>
      </c>
      <c r="D6" s="175"/>
      <c r="E6" s="175"/>
      <c r="F6" s="175"/>
      <c r="G6" s="175"/>
      <c r="H6" s="175"/>
      <c r="I6" s="175"/>
      <c r="J6" s="176"/>
      <c r="K6" s="177"/>
      <c r="L6" s="33">
        <f t="shared" ref="L6:L69" si="0">J6*K6</f>
        <v>0</v>
      </c>
    </row>
    <row r="7" spans="1:12" ht="22.5" customHeight="1" x14ac:dyDescent="0.25">
      <c r="A7" s="32" t="s">
        <v>304</v>
      </c>
      <c r="B7" s="32" t="s">
        <v>23</v>
      </c>
      <c r="C7" s="32" t="s">
        <v>305</v>
      </c>
      <c r="D7" s="175"/>
      <c r="E7" s="175"/>
      <c r="F7" s="175"/>
      <c r="G7" s="175"/>
      <c r="H7" s="175"/>
      <c r="I7" s="175"/>
      <c r="J7" s="176"/>
      <c r="K7" s="177"/>
      <c r="L7" s="33">
        <f t="shared" si="0"/>
        <v>0</v>
      </c>
    </row>
    <row r="8" spans="1:12" ht="22.5" customHeight="1" x14ac:dyDescent="0.25">
      <c r="A8" s="32" t="s">
        <v>306</v>
      </c>
      <c r="B8" s="32" t="s">
        <v>12</v>
      </c>
      <c r="C8" s="32" t="s">
        <v>305</v>
      </c>
      <c r="D8" s="175"/>
      <c r="E8" s="175"/>
      <c r="F8" s="175"/>
      <c r="G8" s="175"/>
      <c r="H8" s="175"/>
      <c r="I8" s="175"/>
      <c r="J8" s="176"/>
      <c r="K8" s="177"/>
      <c r="L8" s="33">
        <f t="shared" si="0"/>
        <v>0</v>
      </c>
    </row>
    <row r="9" spans="1:12" ht="22.5" customHeight="1" x14ac:dyDescent="0.25">
      <c r="A9" s="178" t="s">
        <v>307</v>
      </c>
      <c r="B9" s="178" t="s">
        <v>13</v>
      </c>
      <c r="C9" s="178" t="s">
        <v>305</v>
      </c>
      <c r="D9" s="179">
        <v>587</v>
      </c>
      <c r="E9" s="179">
        <v>19248466</v>
      </c>
      <c r="F9" s="179">
        <v>0</v>
      </c>
      <c r="G9" s="179">
        <v>0</v>
      </c>
      <c r="H9" s="179">
        <v>338</v>
      </c>
      <c r="I9" s="179">
        <f t="shared" ref="I9" si="1">E9+G9-K9</f>
        <v>19231098.699999999</v>
      </c>
      <c r="J9" s="180">
        <v>132</v>
      </c>
      <c r="K9" s="181">
        <v>17367.3</v>
      </c>
      <c r="L9" s="169">
        <f t="shared" si="0"/>
        <v>2292483.6</v>
      </c>
    </row>
    <row r="10" spans="1:12" ht="22.5" customHeight="1" x14ac:dyDescent="0.25">
      <c r="A10" s="32" t="s">
        <v>308</v>
      </c>
      <c r="B10" s="32" t="s">
        <v>24</v>
      </c>
      <c r="C10" s="32" t="s">
        <v>305</v>
      </c>
      <c r="D10" s="175"/>
      <c r="E10" s="175"/>
      <c r="F10" s="175"/>
      <c r="G10" s="175"/>
      <c r="H10" s="175"/>
      <c r="I10" s="175"/>
      <c r="J10" s="176"/>
      <c r="K10" s="177"/>
      <c r="L10" s="33">
        <f t="shared" si="0"/>
        <v>0</v>
      </c>
    </row>
    <row r="11" spans="1:12" ht="22.5" customHeight="1" x14ac:dyDescent="0.25">
      <c r="A11" s="32" t="s">
        <v>309</v>
      </c>
      <c r="B11" s="32" t="s">
        <v>14</v>
      </c>
      <c r="C11" s="32" t="s">
        <v>303</v>
      </c>
      <c r="D11" s="175"/>
      <c r="E11" s="175"/>
      <c r="F11" s="175"/>
      <c r="G11" s="175"/>
      <c r="H11" s="175"/>
      <c r="I11" s="175"/>
      <c r="J11" s="176"/>
      <c r="K11" s="177"/>
      <c r="L11" s="33">
        <f t="shared" si="0"/>
        <v>0</v>
      </c>
    </row>
    <row r="12" spans="1:12" ht="22.5" customHeight="1" x14ac:dyDescent="0.25">
      <c r="A12" s="32" t="s">
        <v>310</v>
      </c>
      <c r="B12" s="32" t="s">
        <v>15</v>
      </c>
      <c r="C12" s="32" t="s">
        <v>311</v>
      </c>
      <c r="D12" s="125">
        <v>504</v>
      </c>
      <c r="E12" s="125">
        <v>68557545</v>
      </c>
      <c r="F12" s="125">
        <v>0</v>
      </c>
      <c r="G12" s="125">
        <v>0</v>
      </c>
      <c r="H12" s="125">
        <v>134</v>
      </c>
      <c r="I12" s="125">
        <f t="shared" ref="I12:I13" si="2">E12+G12-K12</f>
        <v>68474044.799999997</v>
      </c>
      <c r="J12" s="182">
        <v>227</v>
      </c>
      <c r="K12" s="177">
        <v>83500.2</v>
      </c>
      <c r="L12" s="33">
        <f t="shared" si="0"/>
        <v>18954545.399999999</v>
      </c>
    </row>
    <row r="13" spans="1:12" ht="22.5" customHeight="1" x14ac:dyDescent="0.25">
      <c r="A13" s="32" t="s">
        <v>312</v>
      </c>
      <c r="B13" s="32" t="s">
        <v>16</v>
      </c>
      <c r="C13" s="32" t="s">
        <v>303</v>
      </c>
      <c r="D13" s="125">
        <v>344</v>
      </c>
      <c r="E13" s="125">
        <v>53839916</v>
      </c>
      <c r="F13" s="125">
        <v>0</v>
      </c>
      <c r="G13" s="125">
        <v>0</v>
      </c>
      <c r="H13" s="125">
        <v>34</v>
      </c>
      <c r="I13" s="125">
        <f t="shared" si="2"/>
        <v>53764215.200000003</v>
      </c>
      <c r="J13" s="182">
        <v>150</v>
      </c>
      <c r="K13" s="177">
        <v>75700.800000000003</v>
      </c>
      <c r="L13" s="33">
        <f t="shared" si="0"/>
        <v>11355120</v>
      </c>
    </row>
    <row r="14" spans="1:12" ht="22.5" customHeight="1" x14ac:dyDescent="0.25">
      <c r="A14" s="32" t="s">
        <v>313</v>
      </c>
      <c r="B14" s="32" t="s">
        <v>17</v>
      </c>
      <c r="C14" s="32" t="s">
        <v>311</v>
      </c>
      <c r="D14" s="175"/>
      <c r="E14" s="175"/>
      <c r="F14" s="175"/>
      <c r="G14" s="175"/>
      <c r="H14" s="175"/>
      <c r="I14" s="175"/>
      <c r="J14" s="183">
        <v>0</v>
      </c>
      <c r="K14" s="184"/>
      <c r="L14" s="33">
        <f t="shared" si="0"/>
        <v>0</v>
      </c>
    </row>
    <row r="15" spans="1:12" ht="22.5" customHeight="1" x14ac:dyDescent="0.25">
      <c r="A15" s="32" t="s">
        <v>314</v>
      </c>
      <c r="B15" s="32" t="s">
        <v>315</v>
      </c>
      <c r="C15" s="32" t="s">
        <v>311</v>
      </c>
      <c r="D15" s="175"/>
      <c r="E15" s="175"/>
      <c r="F15" s="175"/>
      <c r="G15" s="175"/>
      <c r="H15" s="175"/>
      <c r="I15" s="175"/>
      <c r="J15" s="176"/>
      <c r="K15" s="177"/>
      <c r="L15" s="33">
        <f t="shared" si="0"/>
        <v>0</v>
      </c>
    </row>
    <row r="16" spans="1:12" ht="22.5" customHeight="1" x14ac:dyDescent="0.25">
      <c r="A16" s="32" t="s">
        <v>316</v>
      </c>
      <c r="B16" s="32" t="s">
        <v>317</v>
      </c>
      <c r="C16" s="32" t="s">
        <v>311</v>
      </c>
      <c r="D16" s="175"/>
      <c r="E16" s="175"/>
      <c r="F16" s="175"/>
      <c r="G16" s="175"/>
      <c r="H16" s="175"/>
      <c r="I16" s="175"/>
      <c r="J16" s="176"/>
      <c r="K16" s="177"/>
      <c r="L16" s="33">
        <f t="shared" si="0"/>
        <v>0</v>
      </c>
    </row>
    <row r="17" spans="1:12" ht="22.5" customHeight="1" x14ac:dyDescent="0.25">
      <c r="A17" s="32" t="s">
        <v>318</v>
      </c>
      <c r="B17" s="32" t="s">
        <v>18</v>
      </c>
      <c r="C17" s="32" t="s">
        <v>305</v>
      </c>
      <c r="D17" s="125">
        <v>554</v>
      </c>
      <c r="E17" s="125">
        <v>12063982</v>
      </c>
      <c r="F17" s="125">
        <v>0</v>
      </c>
      <c r="G17" s="125">
        <v>0</v>
      </c>
      <c r="H17" s="125">
        <v>344</v>
      </c>
      <c r="I17" s="125">
        <f t="shared" ref="I17:I18" si="3">E17+G17-K17</f>
        <v>12051940.9</v>
      </c>
      <c r="J17" s="182">
        <v>116</v>
      </c>
      <c r="K17" s="177">
        <v>12041.1</v>
      </c>
      <c r="L17" s="33">
        <f t="shared" si="0"/>
        <v>1396767.6</v>
      </c>
    </row>
    <row r="18" spans="1:12" ht="22.5" customHeight="1" x14ac:dyDescent="0.25">
      <c r="A18" s="32" t="s">
        <v>319</v>
      </c>
      <c r="B18" s="32" t="s">
        <v>19</v>
      </c>
      <c r="C18" s="32" t="s">
        <v>305</v>
      </c>
      <c r="D18" s="125">
        <v>180</v>
      </c>
      <c r="E18" s="125">
        <v>3904035</v>
      </c>
      <c r="F18" s="125">
        <v>0</v>
      </c>
      <c r="G18" s="125">
        <v>0</v>
      </c>
      <c r="H18" s="125">
        <v>40</v>
      </c>
      <c r="I18" s="125">
        <f t="shared" si="3"/>
        <v>3891993.9</v>
      </c>
      <c r="J18" s="182">
        <v>78</v>
      </c>
      <c r="K18" s="177">
        <v>12041.1</v>
      </c>
      <c r="L18" s="33">
        <f t="shared" si="0"/>
        <v>939205.8</v>
      </c>
    </row>
    <row r="19" spans="1:12" ht="22.5" customHeight="1" x14ac:dyDescent="0.25">
      <c r="A19" s="32" t="s">
        <v>320</v>
      </c>
      <c r="B19" s="32" t="s">
        <v>321</v>
      </c>
      <c r="C19" s="32" t="s">
        <v>311</v>
      </c>
      <c r="D19" s="175"/>
      <c r="E19" s="175"/>
      <c r="F19" s="175"/>
      <c r="G19" s="175"/>
      <c r="H19" s="175"/>
      <c r="I19" s="175"/>
      <c r="J19" s="176"/>
      <c r="K19" s="177"/>
      <c r="L19" s="33">
        <f t="shared" si="0"/>
        <v>0</v>
      </c>
    </row>
    <row r="20" spans="1:12" ht="22.5" customHeight="1" x14ac:dyDescent="0.25">
      <c r="A20" s="32" t="s">
        <v>322</v>
      </c>
      <c r="B20" s="32" t="s">
        <v>20</v>
      </c>
      <c r="C20" s="32" t="s">
        <v>303</v>
      </c>
      <c r="D20" s="175"/>
      <c r="E20" s="175"/>
      <c r="F20" s="175"/>
      <c r="G20" s="175"/>
      <c r="H20" s="175"/>
      <c r="I20" s="175"/>
      <c r="J20" s="176"/>
      <c r="K20" s="177"/>
      <c r="L20" s="33">
        <f t="shared" si="0"/>
        <v>0</v>
      </c>
    </row>
    <row r="21" spans="1:12" ht="22.5" customHeight="1" x14ac:dyDescent="0.25">
      <c r="A21" s="32" t="s">
        <v>323</v>
      </c>
      <c r="B21" s="32" t="s">
        <v>21</v>
      </c>
      <c r="C21" s="32" t="s">
        <v>311</v>
      </c>
      <c r="D21" s="125">
        <v>170</v>
      </c>
      <c r="E21" s="125">
        <v>40681945</v>
      </c>
      <c r="F21" s="125">
        <v>0</v>
      </c>
      <c r="G21" s="125">
        <v>0</v>
      </c>
      <c r="H21" s="125">
        <v>88</v>
      </c>
      <c r="I21" s="125">
        <f t="shared" ref="I21" si="4">E21+G21-K21</f>
        <v>40542701.5</v>
      </c>
      <c r="J21" s="182">
        <v>48</v>
      </c>
      <c r="K21" s="177">
        <v>139243.5</v>
      </c>
      <c r="L21" s="33">
        <f t="shared" si="0"/>
        <v>6683688</v>
      </c>
    </row>
    <row r="22" spans="1:12" ht="22.5" customHeight="1" x14ac:dyDescent="0.25">
      <c r="A22" s="32" t="s">
        <v>324</v>
      </c>
      <c r="B22" s="32" t="s">
        <v>22</v>
      </c>
      <c r="C22" s="32" t="s">
        <v>303</v>
      </c>
      <c r="D22" s="175"/>
      <c r="E22" s="175"/>
      <c r="F22" s="175"/>
      <c r="G22" s="175"/>
      <c r="H22" s="175"/>
      <c r="I22" s="175"/>
      <c r="J22" s="176"/>
      <c r="K22" s="177"/>
      <c r="L22" s="33">
        <f t="shared" si="0"/>
        <v>0</v>
      </c>
    </row>
    <row r="23" spans="1:12" ht="22.5" customHeight="1" x14ac:dyDescent="0.25">
      <c r="A23" s="32" t="s">
        <v>325</v>
      </c>
      <c r="B23" s="32" t="s">
        <v>326</v>
      </c>
      <c r="C23" s="32" t="s">
        <v>327</v>
      </c>
      <c r="D23" s="175"/>
      <c r="E23" s="175"/>
      <c r="F23" s="175"/>
      <c r="G23" s="175"/>
      <c r="H23" s="175"/>
      <c r="I23" s="175"/>
      <c r="J23" s="176"/>
      <c r="K23" s="177"/>
      <c r="L23" s="33">
        <f t="shared" si="0"/>
        <v>0</v>
      </c>
    </row>
    <row r="24" spans="1:12" ht="22.5" customHeight="1" x14ac:dyDescent="0.25">
      <c r="A24" s="32" t="s">
        <v>328</v>
      </c>
      <c r="B24" s="32" t="s">
        <v>329</v>
      </c>
      <c r="C24" s="32" t="s">
        <v>327</v>
      </c>
      <c r="D24" s="175"/>
      <c r="E24" s="175"/>
      <c r="F24" s="175"/>
      <c r="G24" s="175"/>
      <c r="H24" s="175"/>
      <c r="I24" s="175"/>
      <c r="J24" s="176"/>
      <c r="K24" s="177"/>
      <c r="L24" s="33">
        <f t="shared" si="0"/>
        <v>0</v>
      </c>
    </row>
    <row r="25" spans="1:12" ht="22.5" customHeight="1" x14ac:dyDescent="0.25">
      <c r="A25" s="32" t="s">
        <v>330</v>
      </c>
      <c r="B25" s="32" t="s">
        <v>331</v>
      </c>
      <c r="C25" s="32" t="s">
        <v>303</v>
      </c>
      <c r="D25" s="175"/>
      <c r="E25" s="175"/>
      <c r="F25" s="175"/>
      <c r="G25" s="175"/>
      <c r="H25" s="175"/>
      <c r="I25" s="175"/>
      <c r="J25" s="176"/>
      <c r="K25" s="177"/>
      <c r="L25" s="33">
        <f t="shared" si="0"/>
        <v>0</v>
      </c>
    </row>
    <row r="26" spans="1:12" ht="22.5" customHeight="1" x14ac:dyDescent="0.25">
      <c r="A26" s="53" t="s">
        <v>332</v>
      </c>
      <c r="B26" s="53" t="s">
        <v>333</v>
      </c>
      <c r="C26" s="53" t="s">
        <v>303</v>
      </c>
      <c r="D26" s="125">
        <v>833</v>
      </c>
      <c r="E26" s="125">
        <v>46378988</v>
      </c>
      <c r="F26" s="125">
        <v>4571</v>
      </c>
      <c r="G26" s="125">
        <v>254508576</v>
      </c>
      <c r="H26" s="125">
        <v>5404</v>
      </c>
      <c r="I26" s="125">
        <f t="shared" ref="I26" si="5">E26+G26-K26</f>
        <v>300821345</v>
      </c>
      <c r="J26" s="185">
        <v>3840</v>
      </c>
      <c r="K26" s="186">
        <v>66219</v>
      </c>
      <c r="L26" s="57">
        <f t="shared" si="0"/>
        <v>254280960</v>
      </c>
    </row>
    <row r="27" spans="1:12" ht="22.5" customHeight="1" x14ac:dyDescent="0.25">
      <c r="A27" s="32" t="s">
        <v>334</v>
      </c>
      <c r="B27" s="32" t="s">
        <v>335</v>
      </c>
      <c r="C27" s="32" t="s">
        <v>303</v>
      </c>
      <c r="D27" s="175"/>
      <c r="E27" s="175"/>
      <c r="F27" s="175"/>
      <c r="G27" s="175"/>
      <c r="H27" s="175"/>
      <c r="I27" s="175"/>
      <c r="J27" s="176"/>
      <c r="K27" s="177"/>
      <c r="L27" s="33">
        <f t="shared" si="0"/>
        <v>0</v>
      </c>
    </row>
    <row r="28" spans="1:12" ht="22.5" customHeight="1" x14ac:dyDescent="0.25">
      <c r="A28" s="53" t="s">
        <v>336</v>
      </c>
      <c r="B28" s="53" t="s">
        <v>38</v>
      </c>
      <c r="C28" s="53" t="s">
        <v>303</v>
      </c>
      <c r="D28" s="125">
        <v>273867</v>
      </c>
      <c r="E28" s="125">
        <v>255643095</v>
      </c>
      <c r="F28" s="125">
        <v>8568</v>
      </c>
      <c r="G28" s="125">
        <v>267390144</v>
      </c>
      <c r="H28" s="125">
        <v>274625</v>
      </c>
      <c r="I28" s="125">
        <f t="shared" ref="I28" si="6">E28+G28-K28</f>
        <v>523002031</v>
      </c>
      <c r="J28" s="187">
        <v>5200</v>
      </c>
      <c r="K28" s="188">
        <v>31208</v>
      </c>
      <c r="L28" s="57">
        <f t="shared" si="0"/>
        <v>162281600</v>
      </c>
    </row>
    <row r="29" spans="1:12" ht="22.5" customHeight="1" x14ac:dyDescent="0.25">
      <c r="A29" s="32" t="s">
        <v>337</v>
      </c>
      <c r="B29" s="32" t="s">
        <v>338</v>
      </c>
      <c r="C29" s="32" t="s">
        <v>303</v>
      </c>
      <c r="D29" s="175"/>
      <c r="E29" s="175"/>
      <c r="F29" s="175"/>
      <c r="G29" s="175"/>
      <c r="H29" s="175"/>
      <c r="I29" s="175"/>
      <c r="J29" s="176"/>
      <c r="K29" s="177"/>
      <c r="L29" s="33">
        <f t="shared" si="0"/>
        <v>0</v>
      </c>
    </row>
    <row r="30" spans="1:12" ht="22.5" customHeight="1" x14ac:dyDescent="0.25">
      <c r="A30" s="32" t="s">
        <v>339</v>
      </c>
      <c r="B30" s="32" t="s">
        <v>340</v>
      </c>
      <c r="C30" s="32" t="s">
        <v>303</v>
      </c>
      <c r="D30" s="175"/>
      <c r="E30" s="175"/>
      <c r="F30" s="175"/>
      <c r="G30" s="175"/>
      <c r="H30" s="175"/>
      <c r="I30" s="175"/>
      <c r="J30" s="176"/>
      <c r="K30" s="177"/>
      <c r="L30" s="33">
        <f t="shared" si="0"/>
        <v>0</v>
      </c>
    </row>
    <row r="31" spans="1:12" ht="22.5" customHeight="1" x14ac:dyDescent="0.25">
      <c r="A31" s="32" t="s">
        <v>341</v>
      </c>
      <c r="B31" s="32" t="s">
        <v>342</v>
      </c>
      <c r="C31" s="32" t="s">
        <v>303</v>
      </c>
      <c r="D31" s="175"/>
      <c r="E31" s="175"/>
      <c r="F31" s="175"/>
      <c r="G31" s="175"/>
      <c r="H31" s="175"/>
      <c r="I31" s="175"/>
      <c r="J31" s="176"/>
      <c r="K31" s="177"/>
      <c r="L31" s="33">
        <f t="shared" si="0"/>
        <v>0</v>
      </c>
    </row>
    <row r="32" spans="1:12" ht="22.5" customHeight="1" x14ac:dyDescent="0.25">
      <c r="A32" s="32" t="s">
        <v>343</v>
      </c>
      <c r="B32" s="32" t="s">
        <v>344</v>
      </c>
      <c r="C32" s="32" t="s">
        <v>303</v>
      </c>
      <c r="D32" s="175"/>
      <c r="E32" s="175"/>
      <c r="F32" s="175"/>
      <c r="G32" s="175"/>
      <c r="H32" s="175"/>
      <c r="I32" s="175"/>
      <c r="J32" s="176"/>
      <c r="K32" s="177"/>
      <c r="L32" s="33">
        <f t="shared" si="0"/>
        <v>0</v>
      </c>
    </row>
    <row r="33" spans="1:12" ht="22.5" customHeight="1" x14ac:dyDescent="0.25">
      <c r="A33" s="32" t="s">
        <v>345</v>
      </c>
      <c r="B33" s="32" t="s">
        <v>346</v>
      </c>
      <c r="C33" s="32" t="s">
        <v>327</v>
      </c>
      <c r="D33" s="175"/>
      <c r="E33" s="175"/>
      <c r="F33" s="175"/>
      <c r="G33" s="175"/>
      <c r="H33" s="175"/>
      <c r="I33" s="175"/>
      <c r="J33" s="208">
        <v>306</v>
      </c>
      <c r="K33" s="209">
        <v>51389</v>
      </c>
      <c r="L33" s="85">
        <f t="shared" si="0"/>
        <v>15725034</v>
      </c>
    </row>
    <row r="34" spans="1:12" ht="22.5" customHeight="1" x14ac:dyDescent="0.25">
      <c r="A34" s="53" t="s">
        <v>347</v>
      </c>
      <c r="B34" s="53" t="s">
        <v>348</v>
      </c>
      <c r="C34" s="53" t="s">
        <v>327</v>
      </c>
      <c r="D34" s="125">
        <v>25915</v>
      </c>
      <c r="E34" s="125">
        <v>50321430</v>
      </c>
      <c r="F34" s="125">
        <v>1500</v>
      </c>
      <c r="G34" s="125">
        <v>54276000</v>
      </c>
      <c r="H34" s="125">
        <v>26863</v>
      </c>
      <c r="I34" s="125">
        <f t="shared" ref="I34:I35" si="7">E34+G34-K34</f>
        <v>104561246</v>
      </c>
      <c r="J34" s="187">
        <v>2000</v>
      </c>
      <c r="K34" s="188">
        <v>36184</v>
      </c>
      <c r="L34" s="57">
        <f t="shared" si="0"/>
        <v>72368000</v>
      </c>
    </row>
    <row r="35" spans="1:12" ht="22.5" customHeight="1" x14ac:dyDescent="0.25">
      <c r="A35" s="32" t="s">
        <v>349</v>
      </c>
      <c r="B35" s="32" t="s">
        <v>42</v>
      </c>
      <c r="C35" s="32" t="s">
        <v>327</v>
      </c>
      <c r="D35" s="125">
        <v>160</v>
      </c>
      <c r="E35" s="125">
        <v>8538638</v>
      </c>
      <c r="F35" s="125">
        <v>0</v>
      </c>
      <c r="G35" s="125">
        <v>0</v>
      </c>
      <c r="H35" s="125">
        <v>26</v>
      </c>
      <c r="I35" s="125">
        <f t="shared" si="7"/>
        <v>8486153</v>
      </c>
      <c r="J35" s="182">
        <v>130</v>
      </c>
      <c r="K35" s="189">
        <v>52485</v>
      </c>
      <c r="L35" s="33">
        <f t="shared" si="0"/>
        <v>6823050</v>
      </c>
    </row>
    <row r="36" spans="1:12" ht="22.5" customHeight="1" x14ac:dyDescent="0.25">
      <c r="A36" s="32" t="s">
        <v>350</v>
      </c>
      <c r="B36" s="32" t="s">
        <v>351</v>
      </c>
      <c r="C36" s="32" t="s">
        <v>327</v>
      </c>
      <c r="D36" s="175"/>
      <c r="E36" s="175"/>
      <c r="F36" s="175"/>
      <c r="G36" s="175"/>
      <c r="H36" s="175"/>
      <c r="I36" s="175"/>
      <c r="J36" s="176"/>
      <c r="K36" s="177"/>
      <c r="L36" s="33">
        <f t="shared" si="0"/>
        <v>0</v>
      </c>
    </row>
    <row r="37" spans="1:12" ht="21" customHeight="1" x14ac:dyDescent="0.25">
      <c r="A37" s="32" t="s">
        <v>352</v>
      </c>
      <c r="B37" s="32" t="s">
        <v>41</v>
      </c>
      <c r="C37" s="32" t="s">
        <v>303</v>
      </c>
      <c r="D37" s="175"/>
      <c r="E37" s="175"/>
      <c r="F37" s="175"/>
      <c r="G37" s="175"/>
      <c r="H37" s="175"/>
      <c r="I37" s="175"/>
      <c r="J37" s="176"/>
      <c r="K37" s="177"/>
      <c r="L37" s="33">
        <f t="shared" si="0"/>
        <v>0</v>
      </c>
    </row>
    <row r="38" spans="1:12" ht="22.5" customHeight="1" x14ac:dyDescent="0.25">
      <c r="A38" s="32" t="s">
        <v>353</v>
      </c>
      <c r="B38" s="32" t="s">
        <v>354</v>
      </c>
      <c r="C38" s="32" t="s">
        <v>355</v>
      </c>
      <c r="D38" s="175"/>
      <c r="E38" s="175"/>
      <c r="F38" s="175"/>
      <c r="G38" s="175"/>
      <c r="H38" s="175"/>
      <c r="I38" s="175"/>
      <c r="J38" s="176"/>
      <c r="K38" s="177"/>
      <c r="L38" s="33">
        <f t="shared" si="0"/>
        <v>0</v>
      </c>
    </row>
    <row r="39" spans="1:12" ht="22.5" customHeight="1" x14ac:dyDescent="0.25">
      <c r="A39" s="32" t="s">
        <v>356</v>
      </c>
      <c r="B39" s="32" t="s">
        <v>357</v>
      </c>
      <c r="C39" s="32" t="s">
        <v>327</v>
      </c>
      <c r="D39" s="175"/>
      <c r="E39" s="175"/>
      <c r="F39" s="175"/>
      <c r="G39" s="175"/>
      <c r="H39" s="175"/>
      <c r="I39" s="175"/>
      <c r="J39" s="208">
        <v>62</v>
      </c>
      <c r="K39" s="209">
        <v>29119.919999999998</v>
      </c>
      <c r="L39" s="85">
        <f t="shared" si="0"/>
        <v>1805435.0399999998</v>
      </c>
    </row>
    <row r="40" spans="1:12" ht="22.5" customHeight="1" x14ac:dyDescent="0.25">
      <c r="A40" s="32" t="s">
        <v>358</v>
      </c>
      <c r="B40" s="32" t="s">
        <v>50</v>
      </c>
      <c r="C40" s="32" t="s">
        <v>327</v>
      </c>
      <c r="D40" s="125">
        <v>750</v>
      </c>
      <c r="E40" s="125">
        <v>2517000</v>
      </c>
      <c r="F40" s="125">
        <v>0</v>
      </c>
      <c r="G40" s="125">
        <v>0</v>
      </c>
      <c r="H40" s="125">
        <v>23</v>
      </c>
      <c r="I40" s="125">
        <f t="shared" ref="I40:I41" si="8">E40+G40-K40</f>
        <v>2513536.7599999998</v>
      </c>
      <c r="J40" s="182">
        <v>750</v>
      </c>
      <c r="K40" s="189">
        <v>3463.24</v>
      </c>
      <c r="L40" s="33">
        <f t="shared" si="0"/>
        <v>2597430</v>
      </c>
    </row>
    <row r="41" spans="1:12" ht="22.5" customHeight="1" x14ac:dyDescent="0.25">
      <c r="A41" s="32" t="s">
        <v>359</v>
      </c>
      <c r="B41" s="32" t="s">
        <v>360</v>
      </c>
      <c r="C41" s="32" t="s">
        <v>327</v>
      </c>
      <c r="D41" s="125">
        <v>1500</v>
      </c>
      <c r="E41" s="125">
        <v>7597338</v>
      </c>
      <c r="F41" s="125">
        <v>250</v>
      </c>
      <c r="G41" s="125">
        <v>1273250</v>
      </c>
      <c r="H41" s="125">
        <v>691</v>
      </c>
      <c r="I41" s="125">
        <f t="shared" si="8"/>
        <v>8865826.0399999991</v>
      </c>
      <c r="J41" s="182">
        <v>995</v>
      </c>
      <c r="K41" s="189">
        <v>4761.96</v>
      </c>
      <c r="L41" s="33">
        <f t="shared" si="0"/>
        <v>4738150.2</v>
      </c>
    </row>
    <row r="42" spans="1:12" ht="22.5" customHeight="1" x14ac:dyDescent="0.25">
      <c r="A42" s="32" t="s">
        <v>361</v>
      </c>
      <c r="B42" s="32" t="s">
        <v>51</v>
      </c>
      <c r="C42" s="32" t="s">
        <v>327</v>
      </c>
      <c r="D42" s="125">
        <v>1350</v>
      </c>
      <c r="E42" s="125">
        <v>5561964</v>
      </c>
      <c r="F42" s="125">
        <v>200</v>
      </c>
      <c r="G42" s="125">
        <v>833400</v>
      </c>
      <c r="H42" s="125">
        <v>780</v>
      </c>
      <c r="I42" s="125">
        <f t="shared" ref="I42:I43" si="9">E42+G42-K42</f>
        <v>6391467.8600000003</v>
      </c>
      <c r="J42" s="182">
        <v>770</v>
      </c>
      <c r="K42" s="189">
        <v>3896.14</v>
      </c>
      <c r="L42" s="33">
        <f t="shared" si="0"/>
        <v>3000027.8</v>
      </c>
    </row>
    <row r="43" spans="1:12" ht="22.5" customHeight="1" x14ac:dyDescent="0.25">
      <c r="A43" s="32" t="s">
        <v>362</v>
      </c>
      <c r="B43" s="32" t="s">
        <v>52</v>
      </c>
      <c r="C43" s="32" t="s">
        <v>303</v>
      </c>
      <c r="D43" s="125">
        <v>1676</v>
      </c>
      <c r="E43" s="125">
        <v>38641471</v>
      </c>
      <c r="F43" s="125">
        <v>288</v>
      </c>
      <c r="G43" s="125">
        <v>6666624</v>
      </c>
      <c r="H43" s="125">
        <v>143</v>
      </c>
      <c r="I43" s="125">
        <f t="shared" si="9"/>
        <v>45286451.619999997</v>
      </c>
      <c r="J43" s="182">
        <v>1708</v>
      </c>
      <c r="K43" s="189">
        <v>21643.38</v>
      </c>
      <c r="L43" s="33">
        <f t="shared" si="0"/>
        <v>36966893.039999999</v>
      </c>
    </row>
    <row r="44" spans="1:12" ht="22.5" customHeight="1" x14ac:dyDescent="0.25">
      <c r="A44" s="32" t="s">
        <v>363</v>
      </c>
      <c r="B44" s="32" t="s">
        <v>364</v>
      </c>
      <c r="C44" s="32" t="s">
        <v>303</v>
      </c>
      <c r="D44" s="175"/>
      <c r="E44" s="175"/>
      <c r="F44" s="175"/>
      <c r="G44" s="175"/>
      <c r="H44" s="175"/>
      <c r="I44" s="175"/>
      <c r="J44" s="176"/>
      <c r="K44" s="177"/>
      <c r="L44" s="33">
        <f t="shared" si="0"/>
        <v>0</v>
      </c>
    </row>
    <row r="45" spans="1:12" ht="22.5" customHeight="1" x14ac:dyDescent="0.25">
      <c r="A45" s="32" t="s">
        <v>365</v>
      </c>
      <c r="B45" s="32" t="s">
        <v>366</v>
      </c>
      <c r="C45" s="32" t="s">
        <v>367</v>
      </c>
      <c r="D45" s="175"/>
      <c r="E45" s="175"/>
      <c r="F45" s="175"/>
      <c r="G45" s="175"/>
      <c r="H45" s="175"/>
      <c r="I45" s="175"/>
      <c r="J45" s="176"/>
      <c r="K45" s="177"/>
      <c r="L45" s="33">
        <f t="shared" si="0"/>
        <v>0</v>
      </c>
    </row>
    <row r="46" spans="1:12" ht="22.5" customHeight="1" x14ac:dyDescent="0.25">
      <c r="A46" s="32" t="s">
        <v>368</v>
      </c>
      <c r="B46" s="32" t="s">
        <v>369</v>
      </c>
      <c r="C46" s="32" t="s">
        <v>367</v>
      </c>
      <c r="D46" s="175"/>
      <c r="E46" s="175"/>
      <c r="F46" s="175"/>
      <c r="G46" s="175"/>
      <c r="H46" s="175"/>
      <c r="I46" s="175"/>
      <c r="J46" s="176"/>
      <c r="K46" s="177"/>
      <c r="L46" s="33">
        <f t="shared" si="0"/>
        <v>0</v>
      </c>
    </row>
    <row r="47" spans="1:12" ht="22.5" customHeight="1" x14ac:dyDescent="0.25">
      <c r="A47" s="32" t="s">
        <v>370</v>
      </c>
      <c r="B47" s="32" t="s">
        <v>371</v>
      </c>
      <c r="C47" s="32" t="s">
        <v>367</v>
      </c>
      <c r="D47" s="175"/>
      <c r="E47" s="175"/>
      <c r="F47" s="175"/>
      <c r="G47" s="175"/>
      <c r="H47" s="175"/>
      <c r="I47" s="175"/>
      <c r="J47" s="176"/>
      <c r="K47" s="177"/>
      <c r="L47" s="33">
        <f t="shared" si="0"/>
        <v>0</v>
      </c>
    </row>
    <row r="48" spans="1:12" ht="22.5" customHeight="1" x14ac:dyDescent="0.25">
      <c r="A48" s="53" t="s">
        <v>372</v>
      </c>
      <c r="B48" s="53" t="s">
        <v>373</v>
      </c>
      <c r="C48" s="53" t="s">
        <v>303</v>
      </c>
      <c r="D48" s="175"/>
      <c r="E48" s="175"/>
      <c r="F48" s="175"/>
      <c r="G48" s="175"/>
      <c r="H48" s="175"/>
      <c r="I48" s="175"/>
      <c r="J48" s="185">
        <v>628</v>
      </c>
      <c r="K48" s="186">
        <v>8657</v>
      </c>
      <c r="L48" s="57">
        <f t="shared" si="0"/>
        <v>5436596</v>
      </c>
    </row>
    <row r="49" spans="1:12" ht="22.5" customHeight="1" x14ac:dyDescent="0.25">
      <c r="A49" s="81" t="s">
        <v>374</v>
      </c>
      <c r="B49" s="81" t="s">
        <v>375</v>
      </c>
      <c r="C49" s="81" t="s">
        <v>303</v>
      </c>
      <c r="D49" s="175"/>
      <c r="E49" s="175"/>
      <c r="F49" s="175"/>
      <c r="G49" s="175"/>
      <c r="H49" s="175"/>
      <c r="I49" s="175"/>
      <c r="J49" s="190">
        <v>651</v>
      </c>
      <c r="K49" s="191">
        <v>8657</v>
      </c>
      <c r="L49" s="82">
        <f t="shared" si="0"/>
        <v>5635707</v>
      </c>
    </row>
    <row r="50" spans="1:12" ht="22.5" customHeight="1" x14ac:dyDescent="0.25">
      <c r="A50" s="81" t="s">
        <v>376</v>
      </c>
      <c r="B50" s="81" t="s">
        <v>377</v>
      </c>
      <c r="C50" s="81" t="s">
        <v>303</v>
      </c>
      <c r="D50" s="175"/>
      <c r="E50" s="175"/>
      <c r="F50" s="175"/>
      <c r="G50" s="175"/>
      <c r="H50" s="175"/>
      <c r="I50" s="175"/>
      <c r="J50" s="182">
        <v>890</v>
      </c>
      <c r="K50" s="192">
        <v>9090</v>
      </c>
      <c r="L50" s="82">
        <f t="shared" si="0"/>
        <v>8090100</v>
      </c>
    </row>
    <row r="51" spans="1:12" ht="22.5" customHeight="1" x14ac:dyDescent="0.25">
      <c r="A51" s="32" t="s">
        <v>378</v>
      </c>
      <c r="B51" s="32" t="s">
        <v>53</v>
      </c>
      <c r="C51" s="32" t="s">
        <v>303</v>
      </c>
      <c r="D51" s="175"/>
      <c r="E51" s="175"/>
      <c r="F51" s="175"/>
      <c r="G51" s="175"/>
      <c r="H51" s="175"/>
      <c r="I51" s="175"/>
      <c r="J51" s="182">
        <v>3590</v>
      </c>
      <c r="K51" s="189">
        <v>9955.8799999999992</v>
      </c>
      <c r="L51" s="33">
        <f t="shared" si="0"/>
        <v>35741609.199999996</v>
      </c>
    </row>
    <row r="52" spans="1:12" ht="22.5" customHeight="1" x14ac:dyDescent="0.25">
      <c r="A52" s="32" t="s">
        <v>379</v>
      </c>
      <c r="B52" s="32" t="s">
        <v>380</v>
      </c>
      <c r="C52" s="32" t="s">
        <v>327</v>
      </c>
      <c r="D52" s="175"/>
      <c r="E52" s="175"/>
      <c r="F52" s="175"/>
      <c r="G52" s="175"/>
      <c r="H52" s="175"/>
      <c r="I52" s="175"/>
      <c r="J52" s="182">
        <v>37</v>
      </c>
      <c r="K52" s="189">
        <v>19698.8</v>
      </c>
      <c r="L52" s="33">
        <f t="shared" si="0"/>
        <v>728855.6</v>
      </c>
    </row>
    <row r="53" spans="1:12" ht="22.5" customHeight="1" x14ac:dyDescent="0.25">
      <c r="A53" s="32" t="s">
        <v>381</v>
      </c>
      <c r="B53" s="32" t="s">
        <v>382</v>
      </c>
      <c r="C53" s="32" t="s">
        <v>327</v>
      </c>
      <c r="D53" s="175"/>
      <c r="E53" s="175"/>
      <c r="F53" s="175"/>
      <c r="G53" s="175"/>
      <c r="H53" s="175"/>
      <c r="I53" s="175"/>
      <c r="J53" s="182">
        <v>132</v>
      </c>
      <c r="K53" s="189">
        <v>23981.55</v>
      </c>
      <c r="L53" s="33">
        <f t="shared" si="0"/>
        <v>3165564.6</v>
      </c>
    </row>
    <row r="54" spans="1:12" ht="22.5" customHeight="1" x14ac:dyDescent="0.25">
      <c r="A54" s="32" t="s">
        <v>383</v>
      </c>
      <c r="B54" s="32" t="s">
        <v>384</v>
      </c>
      <c r="C54" s="32" t="s">
        <v>327</v>
      </c>
      <c r="D54" s="175"/>
      <c r="E54" s="175"/>
      <c r="F54" s="175"/>
      <c r="G54" s="175"/>
      <c r="H54" s="175"/>
      <c r="I54" s="175"/>
      <c r="J54" s="182">
        <v>40</v>
      </c>
      <c r="K54" s="189">
        <v>42045.88</v>
      </c>
      <c r="L54" s="33">
        <f t="shared" si="0"/>
        <v>1681835.2</v>
      </c>
    </row>
    <row r="55" spans="1:12" ht="22.5" customHeight="1" x14ac:dyDescent="0.25">
      <c r="A55" s="32" t="s">
        <v>385</v>
      </c>
      <c r="B55" s="32" t="s">
        <v>129</v>
      </c>
      <c r="C55" s="32" t="s">
        <v>327</v>
      </c>
      <c r="D55" s="175"/>
      <c r="E55" s="175"/>
      <c r="F55" s="175"/>
      <c r="G55" s="175"/>
      <c r="H55" s="175"/>
      <c r="I55" s="175"/>
      <c r="J55" s="182">
        <v>15</v>
      </c>
      <c r="K55" s="189">
        <v>31689.58</v>
      </c>
      <c r="L55" s="33">
        <f t="shared" si="0"/>
        <v>475343.7</v>
      </c>
    </row>
    <row r="56" spans="1:12" ht="22.5" customHeight="1" x14ac:dyDescent="0.25">
      <c r="A56" s="32" t="s">
        <v>386</v>
      </c>
      <c r="B56" s="32" t="s">
        <v>130</v>
      </c>
      <c r="C56" s="32" t="s">
        <v>327</v>
      </c>
      <c r="D56" s="175"/>
      <c r="E56" s="175"/>
      <c r="F56" s="175"/>
      <c r="G56" s="175"/>
      <c r="H56" s="175"/>
      <c r="I56" s="175"/>
      <c r="J56" s="182">
        <v>86</v>
      </c>
      <c r="K56" s="189">
        <v>44108.62</v>
      </c>
      <c r="L56" s="33">
        <f t="shared" si="0"/>
        <v>3793341.3200000003</v>
      </c>
    </row>
    <row r="57" spans="1:12" ht="22.5" customHeight="1" x14ac:dyDescent="0.25">
      <c r="A57" s="32" t="s">
        <v>387</v>
      </c>
      <c r="B57" s="32" t="s">
        <v>131</v>
      </c>
      <c r="C57" s="32" t="s">
        <v>327</v>
      </c>
      <c r="D57" s="175"/>
      <c r="E57" s="175"/>
      <c r="F57" s="175"/>
      <c r="G57" s="175"/>
      <c r="H57" s="175"/>
      <c r="I57" s="175"/>
      <c r="J57" s="182">
        <v>36</v>
      </c>
      <c r="K57" s="189">
        <v>46250</v>
      </c>
      <c r="L57" s="33">
        <f t="shared" si="0"/>
        <v>1665000</v>
      </c>
    </row>
    <row r="58" spans="1:12" ht="22.5" customHeight="1" x14ac:dyDescent="0.25">
      <c r="A58" s="32" t="s">
        <v>388</v>
      </c>
      <c r="B58" s="32" t="s">
        <v>132</v>
      </c>
      <c r="C58" s="32" t="s">
        <v>327</v>
      </c>
      <c r="D58" s="175"/>
      <c r="E58" s="175"/>
      <c r="F58" s="175"/>
      <c r="G58" s="175"/>
      <c r="H58" s="175"/>
      <c r="I58" s="175"/>
      <c r="J58" s="182">
        <v>53</v>
      </c>
      <c r="K58" s="189">
        <v>41110.699999999997</v>
      </c>
      <c r="L58" s="33">
        <f t="shared" si="0"/>
        <v>2178867.0999999996</v>
      </c>
    </row>
    <row r="59" spans="1:12" ht="22.5" customHeight="1" x14ac:dyDescent="0.25">
      <c r="A59" s="32" t="s">
        <v>389</v>
      </c>
      <c r="B59" s="32" t="s">
        <v>390</v>
      </c>
      <c r="C59" s="32" t="s">
        <v>327</v>
      </c>
      <c r="D59" s="175"/>
      <c r="E59" s="175"/>
      <c r="F59" s="175"/>
      <c r="G59" s="175"/>
      <c r="H59" s="175"/>
      <c r="I59" s="175"/>
      <c r="J59" s="176"/>
      <c r="K59" s="177"/>
      <c r="L59" s="33">
        <f t="shared" si="0"/>
        <v>0</v>
      </c>
    </row>
    <row r="60" spans="1:12" ht="22.5" customHeight="1" x14ac:dyDescent="0.25">
      <c r="A60" s="32" t="s">
        <v>391</v>
      </c>
      <c r="B60" s="32" t="s">
        <v>133</v>
      </c>
      <c r="C60" s="32" t="s">
        <v>327</v>
      </c>
      <c r="D60" s="175"/>
      <c r="E60" s="175"/>
      <c r="F60" s="175"/>
      <c r="G60" s="175"/>
      <c r="H60" s="175"/>
      <c r="I60" s="175"/>
      <c r="J60" s="182">
        <v>35</v>
      </c>
      <c r="K60" s="189">
        <v>35115.78</v>
      </c>
      <c r="L60" s="33">
        <f t="shared" si="0"/>
        <v>1229052.3</v>
      </c>
    </row>
    <row r="61" spans="1:12" ht="22.5" customHeight="1" x14ac:dyDescent="0.25">
      <c r="A61" s="32" t="s">
        <v>392</v>
      </c>
      <c r="B61" s="32" t="s">
        <v>54</v>
      </c>
      <c r="C61" s="32" t="s">
        <v>393</v>
      </c>
      <c r="D61" s="175"/>
      <c r="E61" s="175"/>
      <c r="F61" s="175"/>
      <c r="G61" s="175"/>
      <c r="H61" s="175"/>
      <c r="I61" s="175"/>
      <c r="J61" s="182">
        <v>5692</v>
      </c>
      <c r="K61" s="189">
        <v>13852.02</v>
      </c>
      <c r="L61" s="33">
        <f t="shared" si="0"/>
        <v>78845697.840000004</v>
      </c>
    </row>
    <row r="62" spans="1:12" ht="22.5" customHeight="1" x14ac:dyDescent="0.25">
      <c r="A62" s="32" t="s">
        <v>394</v>
      </c>
      <c r="B62" s="32" t="s">
        <v>55</v>
      </c>
      <c r="C62" s="32" t="s">
        <v>395</v>
      </c>
      <c r="D62" s="175"/>
      <c r="E62" s="175"/>
      <c r="F62" s="175"/>
      <c r="G62" s="175"/>
      <c r="H62" s="175"/>
      <c r="I62" s="175"/>
      <c r="J62" s="182">
        <v>258</v>
      </c>
      <c r="K62" s="189">
        <v>82678.31</v>
      </c>
      <c r="L62" s="33">
        <f t="shared" si="0"/>
        <v>21331003.98</v>
      </c>
    </row>
    <row r="63" spans="1:12" ht="22.5" customHeight="1" x14ac:dyDescent="0.25">
      <c r="A63" s="32" t="s">
        <v>396</v>
      </c>
      <c r="B63" s="32" t="s">
        <v>134</v>
      </c>
      <c r="C63" s="32" t="s">
        <v>327</v>
      </c>
      <c r="D63" s="175"/>
      <c r="E63" s="175"/>
      <c r="F63" s="175"/>
      <c r="G63" s="175"/>
      <c r="H63" s="175"/>
      <c r="I63" s="175"/>
      <c r="J63" s="182">
        <v>15</v>
      </c>
      <c r="K63" s="189">
        <v>26979.48</v>
      </c>
      <c r="L63" s="33">
        <f t="shared" si="0"/>
        <v>404692.2</v>
      </c>
    </row>
    <row r="64" spans="1:12" ht="22.5" customHeight="1" x14ac:dyDescent="0.25">
      <c r="A64" s="32" t="s">
        <v>397</v>
      </c>
      <c r="B64" s="32" t="s">
        <v>398</v>
      </c>
      <c r="C64" s="32" t="s">
        <v>327</v>
      </c>
      <c r="D64" s="175"/>
      <c r="E64" s="175"/>
      <c r="F64" s="175"/>
      <c r="G64" s="175"/>
      <c r="H64" s="175"/>
      <c r="I64" s="175"/>
      <c r="J64" s="176"/>
      <c r="K64" s="177"/>
      <c r="L64" s="33">
        <f t="shared" si="0"/>
        <v>0</v>
      </c>
    </row>
    <row r="65" spans="1:12" ht="22.5" customHeight="1" x14ac:dyDescent="0.25">
      <c r="A65" s="32" t="s">
        <v>399</v>
      </c>
      <c r="B65" s="32" t="s">
        <v>56</v>
      </c>
      <c r="C65" s="32" t="s">
        <v>393</v>
      </c>
      <c r="D65" s="175"/>
      <c r="E65" s="175"/>
      <c r="F65" s="175"/>
      <c r="G65" s="175"/>
      <c r="H65" s="175"/>
      <c r="I65" s="175"/>
      <c r="J65" s="182">
        <v>1056</v>
      </c>
      <c r="K65" s="189">
        <v>9004.0499999999993</v>
      </c>
      <c r="L65" s="33">
        <f t="shared" si="0"/>
        <v>9508276.7999999989</v>
      </c>
    </row>
    <row r="66" spans="1:12" ht="22.5" customHeight="1" x14ac:dyDescent="0.25">
      <c r="A66" s="32" t="s">
        <v>400</v>
      </c>
      <c r="B66" s="32" t="s">
        <v>57</v>
      </c>
      <c r="C66" s="32" t="s">
        <v>393</v>
      </c>
      <c r="D66" s="175"/>
      <c r="E66" s="175"/>
      <c r="F66" s="175"/>
      <c r="G66" s="175"/>
      <c r="H66" s="175"/>
      <c r="I66" s="175"/>
      <c r="J66" s="182">
        <v>766</v>
      </c>
      <c r="K66" s="189">
        <v>16449.46</v>
      </c>
      <c r="L66" s="33">
        <f t="shared" si="0"/>
        <v>12600286.359999999</v>
      </c>
    </row>
    <row r="67" spans="1:12" ht="22.5" customHeight="1" x14ac:dyDescent="0.25">
      <c r="A67" s="32" t="s">
        <v>401</v>
      </c>
      <c r="B67" s="32" t="s">
        <v>402</v>
      </c>
      <c r="C67" s="32" t="s">
        <v>393</v>
      </c>
      <c r="D67" s="175"/>
      <c r="E67" s="175"/>
      <c r="F67" s="175"/>
      <c r="G67" s="175"/>
      <c r="H67" s="175"/>
      <c r="I67" s="175"/>
      <c r="J67" s="176"/>
      <c r="K67" s="177"/>
      <c r="L67" s="33">
        <f t="shared" si="0"/>
        <v>0</v>
      </c>
    </row>
    <row r="68" spans="1:12" ht="22.5" customHeight="1" x14ac:dyDescent="0.25">
      <c r="A68" s="32" t="s">
        <v>403</v>
      </c>
      <c r="B68" s="32" t="s">
        <v>58</v>
      </c>
      <c r="C68" s="32" t="s">
        <v>393</v>
      </c>
      <c r="D68" s="175"/>
      <c r="E68" s="175"/>
      <c r="F68" s="175"/>
      <c r="G68" s="175"/>
      <c r="H68" s="175"/>
      <c r="I68" s="175"/>
      <c r="J68" s="182">
        <v>2892</v>
      </c>
      <c r="K68" s="189">
        <v>8051.28</v>
      </c>
      <c r="L68" s="33">
        <f t="shared" si="0"/>
        <v>23284301.759999998</v>
      </c>
    </row>
    <row r="69" spans="1:12" ht="22.5" customHeight="1" x14ac:dyDescent="0.25">
      <c r="A69" s="32" t="s">
        <v>404</v>
      </c>
      <c r="B69" s="32" t="s">
        <v>59</v>
      </c>
      <c r="C69" s="32" t="s">
        <v>393</v>
      </c>
      <c r="D69" s="175"/>
      <c r="E69" s="175"/>
      <c r="F69" s="175"/>
      <c r="G69" s="175"/>
      <c r="H69" s="175"/>
      <c r="I69" s="175"/>
      <c r="J69" s="182">
        <v>2848</v>
      </c>
      <c r="K69" s="189">
        <v>15583.64</v>
      </c>
      <c r="L69" s="33">
        <f t="shared" si="0"/>
        <v>44382206.719999999</v>
      </c>
    </row>
    <row r="70" spans="1:12" ht="22.5" customHeight="1" x14ac:dyDescent="0.25">
      <c r="A70" s="32" t="s">
        <v>405</v>
      </c>
      <c r="B70" s="32" t="s">
        <v>60</v>
      </c>
      <c r="C70" s="32" t="s">
        <v>393</v>
      </c>
      <c r="D70" s="175"/>
      <c r="E70" s="175"/>
      <c r="F70" s="175"/>
      <c r="G70" s="175"/>
      <c r="H70" s="175"/>
      <c r="I70" s="175"/>
      <c r="J70" s="182">
        <v>1637</v>
      </c>
      <c r="K70" s="189">
        <v>32897.980000000003</v>
      </c>
      <c r="L70" s="33">
        <f t="shared" ref="L70:L133" si="10">J70*K70</f>
        <v>53853993.260000005</v>
      </c>
    </row>
    <row r="71" spans="1:12" ht="22.5" customHeight="1" x14ac:dyDescent="0.25">
      <c r="A71" s="32" t="s">
        <v>406</v>
      </c>
      <c r="B71" s="32" t="s">
        <v>407</v>
      </c>
      <c r="C71" s="32" t="s">
        <v>327</v>
      </c>
      <c r="D71" s="175"/>
      <c r="E71" s="175"/>
      <c r="F71" s="175"/>
      <c r="G71" s="175"/>
      <c r="H71" s="175"/>
      <c r="I71" s="175"/>
      <c r="J71" s="176"/>
      <c r="K71" s="177"/>
      <c r="L71" s="33">
        <f t="shared" si="10"/>
        <v>0</v>
      </c>
    </row>
    <row r="72" spans="1:12" ht="22.5" customHeight="1" x14ac:dyDescent="0.25">
      <c r="A72" s="32" t="s">
        <v>408</v>
      </c>
      <c r="B72" s="32" t="s">
        <v>49</v>
      </c>
      <c r="C72" s="32" t="s">
        <v>327</v>
      </c>
      <c r="D72" s="175"/>
      <c r="E72" s="175"/>
      <c r="F72" s="175"/>
      <c r="G72" s="175"/>
      <c r="H72" s="175"/>
      <c r="I72" s="175"/>
      <c r="J72" s="182">
        <v>1570</v>
      </c>
      <c r="K72" s="189">
        <v>4588.04</v>
      </c>
      <c r="L72" s="33">
        <f t="shared" si="10"/>
        <v>7203222.7999999998</v>
      </c>
    </row>
    <row r="73" spans="1:12" ht="22.5" customHeight="1" x14ac:dyDescent="0.25">
      <c r="A73" s="32" t="s">
        <v>409</v>
      </c>
      <c r="B73" s="32" t="s">
        <v>410</v>
      </c>
      <c r="C73" s="32" t="s">
        <v>303</v>
      </c>
      <c r="D73" s="175"/>
      <c r="E73" s="175"/>
      <c r="F73" s="175"/>
      <c r="G73" s="175"/>
      <c r="H73" s="175"/>
      <c r="I73" s="175"/>
      <c r="J73" s="176"/>
      <c r="K73" s="177"/>
      <c r="L73" s="33">
        <f t="shared" si="10"/>
        <v>0</v>
      </c>
    </row>
    <row r="74" spans="1:12" ht="22.5" customHeight="1" x14ac:dyDescent="0.25">
      <c r="A74" s="32" t="s">
        <v>411</v>
      </c>
      <c r="B74" s="32" t="s">
        <v>62</v>
      </c>
      <c r="C74" s="32" t="s">
        <v>327</v>
      </c>
      <c r="D74" s="175"/>
      <c r="E74" s="175"/>
      <c r="F74" s="175"/>
      <c r="G74" s="175"/>
      <c r="H74" s="175"/>
      <c r="I74" s="175"/>
      <c r="J74" s="182">
        <v>1844</v>
      </c>
      <c r="K74" s="189">
        <v>4588.04</v>
      </c>
      <c r="L74" s="33">
        <f t="shared" si="10"/>
        <v>8460345.7599999998</v>
      </c>
    </row>
    <row r="75" spans="1:12" ht="22.5" customHeight="1" x14ac:dyDescent="0.25">
      <c r="A75" s="32" t="s">
        <v>412</v>
      </c>
      <c r="B75" s="32" t="s">
        <v>413</v>
      </c>
      <c r="C75" s="32" t="s">
        <v>303</v>
      </c>
      <c r="D75" s="175"/>
      <c r="E75" s="175"/>
      <c r="F75" s="175"/>
      <c r="G75" s="175"/>
      <c r="H75" s="175"/>
      <c r="I75" s="175"/>
      <c r="J75" s="176"/>
      <c r="K75" s="177"/>
      <c r="L75" s="33">
        <f t="shared" si="10"/>
        <v>0</v>
      </c>
    </row>
    <row r="76" spans="1:12" ht="22.5" customHeight="1" x14ac:dyDescent="0.25">
      <c r="A76" s="32" t="s">
        <v>414</v>
      </c>
      <c r="B76" s="32" t="s">
        <v>64</v>
      </c>
      <c r="C76" s="32" t="s">
        <v>303</v>
      </c>
      <c r="D76" s="175"/>
      <c r="E76" s="175"/>
      <c r="F76" s="175"/>
      <c r="G76" s="175"/>
      <c r="H76" s="175"/>
      <c r="I76" s="175"/>
      <c r="J76" s="182">
        <v>25</v>
      </c>
      <c r="K76" s="189">
        <v>181805.14</v>
      </c>
      <c r="L76" s="33">
        <f t="shared" si="10"/>
        <v>4545128.5</v>
      </c>
    </row>
    <row r="77" spans="1:12" ht="22.5" customHeight="1" x14ac:dyDescent="0.25">
      <c r="A77" s="32" t="s">
        <v>415</v>
      </c>
      <c r="B77" s="32" t="s">
        <v>65</v>
      </c>
      <c r="C77" s="32" t="s">
        <v>303</v>
      </c>
      <c r="D77" s="175"/>
      <c r="E77" s="175"/>
      <c r="F77" s="175"/>
      <c r="G77" s="175"/>
      <c r="H77" s="175"/>
      <c r="I77" s="175"/>
      <c r="J77" s="182">
        <v>7</v>
      </c>
      <c r="K77" s="189">
        <v>177477.02</v>
      </c>
      <c r="L77" s="33">
        <f t="shared" si="10"/>
        <v>1242339.1399999999</v>
      </c>
    </row>
    <row r="78" spans="1:12" ht="22.5" customHeight="1" x14ac:dyDescent="0.25">
      <c r="A78" s="32" t="s">
        <v>416</v>
      </c>
      <c r="B78" s="32" t="s">
        <v>66</v>
      </c>
      <c r="C78" s="32" t="s">
        <v>393</v>
      </c>
      <c r="D78" s="175"/>
      <c r="E78" s="175"/>
      <c r="F78" s="175"/>
      <c r="G78" s="175"/>
      <c r="H78" s="175"/>
      <c r="I78" s="175"/>
      <c r="J78" s="182">
        <v>1419</v>
      </c>
      <c r="K78" s="189">
        <v>14717.84</v>
      </c>
      <c r="L78" s="33">
        <f t="shared" si="10"/>
        <v>20884614.960000001</v>
      </c>
    </row>
    <row r="79" spans="1:12" ht="22.5" customHeight="1" x14ac:dyDescent="0.25">
      <c r="A79" s="32" t="s">
        <v>417</v>
      </c>
      <c r="B79" s="32" t="s">
        <v>418</v>
      </c>
      <c r="C79" s="32" t="s">
        <v>393</v>
      </c>
      <c r="D79" s="175"/>
      <c r="E79" s="175"/>
      <c r="F79" s="175"/>
      <c r="G79" s="175"/>
      <c r="H79" s="175"/>
      <c r="I79" s="175"/>
      <c r="J79" s="182">
        <v>5123</v>
      </c>
      <c r="K79" s="189">
        <v>14284.93</v>
      </c>
      <c r="L79" s="33">
        <f t="shared" si="10"/>
        <v>73181696.390000001</v>
      </c>
    </row>
    <row r="80" spans="1:12" ht="22.5" customHeight="1" x14ac:dyDescent="0.25">
      <c r="A80" s="32" t="s">
        <v>419</v>
      </c>
      <c r="B80" s="32" t="s">
        <v>420</v>
      </c>
      <c r="C80" s="32" t="s">
        <v>393</v>
      </c>
      <c r="D80" s="175"/>
      <c r="E80" s="175"/>
      <c r="F80" s="175"/>
      <c r="G80" s="175"/>
      <c r="H80" s="175"/>
      <c r="I80" s="175"/>
      <c r="J80" s="176"/>
      <c r="K80" s="177"/>
      <c r="L80" s="33">
        <f t="shared" si="10"/>
        <v>0</v>
      </c>
    </row>
    <row r="81" spans="1:12" ht="22.5" customHeight="1" x14ac:dyDescent="0.25">
      <c r="A81" s="32" t="s">
        <v>421</v>
      </c>
      <c r="B81" s="32" t="s">
        <v>422</v>
      </c>
      <c r="C81" s="32" t="s">
        <v>393</v>
      </c>
      <c r="D81" s="175"/>
      <c r="E81" s="175"/>
      <c r="F81" s="175"/>
      <c r="G81" s="175"/>
      <c r="H81" s="175"/>
      <c r="I81" s="175"/>
      <c r="J81" s="176"/>
      <c r="K81" s="177"/>
      <c r="L81" s="33">
        <f t="shared" si="10"/>
        <v>0</v>
      </c>
    </row>
    <row r="82" spans="1:12" ht="22.5" customHeight="1" x14ac:dyDescent="0.25">
      <c r="A82" s="32" t="s">
        <v>423</v>
      </c>
      <c r="B82" s="32" t="s">
        <v>424</v>
      </c>
      <c r="C82" s="32" t="s">
        <v>393</v>
      </c>
      <c r="D82" s="175"/>
      <c r="E82" s="175"/>
      <c r="F82" s="175"/>
      <c r="G82" s="175"/>
      <c r="H82" s="175"/>
      <c r="I82" s="175"/>
      <c r="J82" s="176"/>
      <c r="K82" s="177"/>
      <c r="L82" s="33">
        <f t="shared" si="10"/>
        <v>0</v>
      </c>
    </row>
    <row r="83" spans="1:12" ht="22.5" customHeight="1" x14ac:dyDescent="0.25">
      <c r="A83" s="32" t="s">
        <v>425</v>
      </c>
      <c r="B83" s="32" t="s">
        <v>426</v>
      </c>
      <c r="C83" s="32" t="s">
        <v>393</v>
      </c>
      <c r="D83" s="175"/>
      <c r="E83" s="175"/>
      <c r="F83" s="175"/>
      <c r="G83" s="175"/>
      <c r="H83" s="175"/>
      <c r="I83" s="175"/>
      <c r="J83" s="182">
        <v>720</v>
      </c>
      <c r="K83" s="189">
        <v>36534.19</v>
      </c>
      <c r="L83" s="33">
        <f t="shared" si="10"/>
        <v>26304616.800000001</v>
      </c>
    </row>
    <row r="84" spans="1:12" ht="22.5" customHeight="1" x14ac:dyDescent="0.25">
      <c r="A84" s="32" t="s">
        <v>427</v>
      </c>
      <c r="B84" s="32" t="s">
        <v>428</v>
      </c>
      <c r="C84" s="32" t="s">
        <v>393</v>
      </c>
      <c r="D84" s="175"/>
      <c r="E84" s="175"/>
      <c r="F84" s="175"/>
      <c r="G84" s="175"/>
      <c r="H84" s="175"/>
      <c r="I84" s="175"/>
      <c r="J84" s="176"/>
      <c r="K84" s="177"/>
      <c r="L84" s="33">
        <f t="shared" si="10"/>
        <v>0</v>
      </c>
    </row>
    <row r="85" spans="1:12" ht="22.5" customHeight="1" x14ac:dyDescent="0.25">
      <c r="A85" s="32" t="s">
        <v>429</v>
      </c>
      <c r="B85" s="32" t="s">
        <v>67</v>
      </c>
      <c r="C85" s="32" t="s">
        <v>393</v>
      </c>
      <c r="D85" s="175"/>
      <c r="E85" s="175"/>
      <c r="F85" s="175"/>
      <c r="G85" s="175"/>
      <c r="H85" s="175"/>
      <c r="I85" s="175"/>
      <c r="J85" s="193">
        <v>191</v>
      </c>
      <c r="K85" s="189">
        <v>15583.64</v>
      </c>
      <c r="L85" s="33">
        <f t="shared" si="10"/>
        <v>2976475.2399999998</v>
      </c>
    </row>
    <row r="86" spans="1:12" ht="22.5" customHeight="1" x14ac:dyDescent="0.25">
      <c r="A86" s="32" t="s">
        <v>430</v>
      </c>
      <c r="B86" s="32" t="s">
        <v>68</v>
      </c>
      <c r="C86" s="32" t="s">
        <v>393</v>
      </c>
      <c r="D86" s="175"/>
      <c r="E86" s="175"/>
      <c r="F86" s="175"/>
      <c r="G86" s="175"/>
      <c r="H86" s="175"/>
      <c r="I86" s="175"/>
      <c r="J86" s="182">
        <v>364</v>
      </c>
      <c r="K86" s="189">
        <v>43633.64</v>
      </c>
      <c r="L86" s="33">
        <f t="shared" si="10"/>
        <v>15882644.959999999</v>
      </c>
    </row>
    <row r="87" spans="1:12" ht="22.5" customHeight="1" x14ac:dyDescent="0.25">
      <c r="A87" s="32" t="s">
        <v>431</v>
      </c>
      <c r="B87" s="32" t="s">
        <v>69</v>
      </c>
      <c r="C87" s="32" t="s">
        <v>303</v>
      </c>
      <c r="D87" s="175"/>
      <c r="E87" s="175"/>
      <c r="F87" s="175"/>
      <c r="G87" s="175"/>
      <c r="H87" s="175"/>
      <c r="I87" s="175"/>
      <c r="J87" s="182">
        <v>150</v>
      </c>
      <c r="K87" s="189">
        <v>96963.24</v>
      </c>
      <c r="L87" s="33">
        <f t="shared" si="10"/>
        <v>14544486</v>
      </c>
    </row>
    <row r="88" spans="1:12" ht="22.5" customHeight="1" x14ac:dyDescent="0.25">
      <c r="A88" s="32" t="s">
        <v>432</v>
      </c>
      <c r="B88" s="32" t="s">
        <v>70</v>
      </c>
      <c r="C88" s="32" t="s">
        <v>303</v>
      </c>
      <c r="D88" s="175"/>
      <c r="E88" s="175"/>
      <c r="F88" s="175"/>
      <c r="G88" s="175"/>
      <c r="H88" s="175"/>
      <c r="I88" s="175"/>
      <c r="J88" s="182">
        <v>79</v>
      </c>
      <c r="K88" s="189">
        <v>135055.14000000001</v>
      </c>
      <c r="L88" s="33">
        <f t="shared" si="10"/>
        <v>10669356.060000001</v>
      </c>
    </row>
    <row r="89" spans="1:12" ht="22.5" customHeight="1" x14ac:dyDescent="0.25">
      <c r="A89" s="32" t="s">
        <v>433</v>
      </c>
      <c r="B89" s="32" t="s">
        <v>71</v>
      </c>
      <c r="C89" s="32" t="s">
        <v>393</v>
      </c>
      <c r="D89" s="175"/>
      <c r="E89" s="175"/>
      <c r="F89" s="175"/>
      <c r="G89" s="175"/>
      <c r="H89" s="175"/>
      <c r="I89" s="175"/>
      <c r="J89" s="182">
        <v>817</v>
      </c>
      <c r="K89" s="189">
        <v>14717.84</v>
      </c>
      <c r="L89" s="33">
        <f t="shared" si="10"/>
        <v>12024475.279999999</v>
      </c>
    </row>
    <row r="90" spans="1:12" ht="22.5" customHeight="1" x14ac:dyDescent="0.25">
      <c r="A90" s="81" t="s">
        <v>434</v>
      </c>
      <c r="B90" s="81" t="s">
        <v>435</v>
      </c>
      <c r="C90" s="81" t="s">
        <v>395</v>
      </c>
      <c r="D90" s="175"/>
      <c r="E90" s="175"/>
      <c r="F90" s="175"/>
      <c r="G90" s="175"/>
      <c r="H90" s="175"/>
      <c r="I90" s="175"/>
      <c r="J90" s="182">
        <v>245</v>
      </c>
      <c r="K90" s="192">
        <v>49347.43</v>
      </c>
      <c r="L90" s="82">
        <f t="shared" si="10"/>
        <v>12090120.35</v>
      </c>
    </row>
    <row r="91" spans="1:12" ht="22.5" customHeight="1" x14ac:dyDescent="0.25">
      <c r="A91" s="32" t="s">
        <v>436</v>
      </c>
      <c r="B91" s="32" t="s">
        <v>72</v>
      </c>
      <c r="C91" s="32" t="s">
        <v>393</v>
      </c>
      <c r="D91" s="175"/>
      <c r="E91" s="175"/>
      <c r="F91" s="175"/>
      <c r="G91" s="175"/>
      <c r="H91" s="175"/>
      <c r="I91" s="175"/>
      <c r="J91" s="182">
        <v>1734</v>
      </c>
      <c r="K91" s="189">
        <v>22509.19</v>
      </c>
      <c r="L91" s="33">
        <f t="shared" si="10"/>
        <v>39030935.460000001</v>
      </c>
    </row>
    <row r="92" spans="1:12" ht="22.5" customHeight="1" x14ac:dyDescent="0.25">
      <c r="A92" s="32" t="s">
        <v>437</v>
      </c>
      <c r="B92" s="32" t="s">
        <v>438</v>
      </c>
      <c r="C92" s="32" t="s">
        <v>393</v>
      </c>
      <c r="D92" s="175"/>
      <c r="E92" s="175"/>
      <c r="F92" s="175"/>
      <c r="G92" s="175"/>
      <c r="H92" s="175"/>
      <c r="I92" s="175"/>
      <c r="J92" s="176"/>
      <c r="K92" s="177"/>
      <c r="L92" s="33">
        <f t="shared" si="10"/>
        <v>0</v>
      </c>
    </row>
    <row r="93" spans="1:12" ht="22.5" customHeight="1" x14ac:dyDescent="0.25">
      <c r="A93" s="32" t="s">
        <v>439</v>
      </c>
      <c r="B93" s="32" t="s">
        <v>73</v>
      </c>
      <c r="C93" s="32" t="s">
        <v>393</v>
      </c>
      <c r="D93" s="175"/>
      <c r="E93" s="175"/>
      <c r="F93" s="175"/>
      <c r="G93" s="175"/>
      <c r="H93" s="175"/>
      <c r="I93" s="175"/>
      <c r="J93" s="182">
        <v>1072</v>
      </c>
      <c r="K93" s="189">
        <v>32032.16</v>
      </c>
      <c r="L93" s="33">
        <f t="shared" si="10"/>
        <v>34338475.520000003</v>
      </c>
    </row>
    <row r="94" spans="1:12" ht="22.5" customHeight="1" x14ac:dyDescent="0.25">
      <c r="A94" s="32" t="s">
        <v>440</v>
      </c>
      <c r="B94" s="32" t="s">
        <v>77</v>
      </c>
      <c r="C94" s="32" t="s">
        <v>393</v>
      </c>
      <c r="D94" s="175"/>
      <c r="E94" s="175"/>
      <c r="F94" s="175"/>
      <c r="G94" s="175"/>
      <c r="H94" s="175"/>
      <c r="I94" s="175"/>
      <c r="J94" s="182">
        <v>846</v>
      </c>
      <c r="K94" s="189">
        <v>5886.76</v>
      </c>
      <c r="L94" s="33">
        <f t="shared" si="10"/>
        <v>4980198.96</v>
      </c>
    </row>
    <row r="95" spans="1:12" ht="22.5" customHeight="1" x14ac:dyDescent="0.25">
      <c r="A95" s="32" t="s">
        <v>441</v>
      </c>
      <c r="B95" s="32" t="s">
        <v>78</v>
      </c>
      <c r="C95" s="32" t="s">
        <v>393</v>
      </c>
      <c r="D95" s="175"/>
      <c r="E95" s="175"/>
      <c r="F95" s="175"/>
      <c r="G95" s="175"/>
      <c r="H95" s="175"/>
      <c r="I95" s="175"/>
      <c r="J95" s="182">
        <v>4801</v>
      </c>
      <c r="K95" s="189">
        <v>10388.780000000001</v>
      </c>
      <c r="L95" s="33">
        <f t="shared" si="10"/>
        <v>49876532.780000001</v>
      </c>
    </row>
    <row r="96" spans="1:12" ht="22.5" customHeight="1" x14ac:dyDescent="0.25">
      <c r="A96" s="32" t="s">
        <v>442</v>
      </c>
      <c r="B96" s="32" t="s">
        <v>79</v>
      </c>
      <c r="C96" s="32" t="s">
        <v>393</v>
      </c>
      <c r="D96" s="175"/>
      <c r="E96" s="175"/>
      <c r="F96" s="175"/>
      <c r="G96" s="175"/>
      <c r="H96" s="175"/>
      <c r="I96" s="175"/>
      <c r="J96" s="182">
        <v>339</v>
      </c>
      <c r="K96" s="189">
        <v>19911.759999999998</v>
      </c>
      <c r="L96" s="33">
        <f t="shared" si="10"/>
        <v>6750086.6399999997</v>
      </c>
    </row>
    <row r="97" spans="1:12" ht="22.5" customHeight="1" x14ac:dyDescent="0.25">
      <c r="A97" s="32" t="s">
        <v>443</v>
      </c>
      <c r="B97" s="32" t="s">
        <v>76</v>
      </c>
      <c r="C97" s="32" t="s">
        <v>395</v>
      </c>
      <c r="D97" s="175"/>
      <c r="E97" s="175"/>
      <c r="F97" s="175"/>
      <c r="G97" s="175"/>
      <c r="H97" s="175"/>
      <c r="I97" s="175"/>
      <c r="J97" s="176"/>
      <c r="K97" s="177"/>
      <c r="L97" s="33">
        <f t="shared" si="10"/>
        <v>0</v>
      </c>
    </row>
    <row r="98" spans="1:12" ht="22.5" customHeight="1" x14ac:dyDescent="0.25">
      <c r="A98" s="32" t="s">
        <v>444</v>
      </c>
      <c r="B98" s="32" t="s">
        <v>445</v>
      </c>
      <c r="C98" s="32" t="s">
        <v>393</v>
      </c>
      <c r="D98" s="175"/>
      <c r="E98" s="175"/>
      <c r="F98" s="175"/>
      <c r="G98" s="175"/>
      <c r="H98" s="175"/>
      <c r="I98" s="175"/>
      <c r="J98" s="182">
        <v>778</v>
      </c>
      <c r="K98" s="189">
        <v>13852.02</v>
      </c>
      <c r="L98" s="33">
        <f t="shared" si="10"/>
        <v>10776871.560000001</v>
      </c>
    </row>
    <row r="99" spans="1:12" ht="22.5" customHeight="1" x14ac:dyDescent="0.25">
      <c r="A99" s="32" t="s">
        <v>446</v>
      </c>
      <c r="B99" s="32" t="s">
        <v>75</v>
      </c>
      <c r="C99" s="32" t="s">
        <v>327</v>
      </c>
      <c r="D99" s="175"/>
      <c r="E99" s="175"/>
      <c r="F99" s="175"/>
      <c r="G99" s="175"/>
      <c r="H99" s="175"/>
      <c r="I99" s="175"/>
      <c r="J99" s="182">
        <v>800</v>
      </c>
      <c r="K99" s="189">
        <v>345.95</v>
      </c>
      <c r="L99" s="33">
        <f t="shared" si="10"/>
        <v>276760</v>
      </c>
    </row>
    <row r="100" spans="1:12" ht="22.5" customHeight="1" x14ac:dyDescent="0.25">
      <c r="A100" s="32" t="s">
        <v>447</v>
      </c>
      <c r="B100" s="32" t="s">
        <v>448</v>
      </c>
      <c r="C100" s="32" t="s">
        <v>393</v>
      </c>
      <c r="D100" s="175"/>
      <c r="E100" s="175"/>
      <c r="F100" s="175"/>
      <c r="G100" s="175"/>
      <c r="H100" s="175"/>
      <c r="I100" s="175"/>
      <c r="J100" s="182">
        <v>26074</v>
      </c>
      <c r="K100" s="189">
        <v>5194.8599999999997</v>
      </c>
      <c r="L100" s="33">
        <f t="shared" si="10"/>
        <v>135450779.63999999</v>
      </c>
    </row>
    <row r="101" spans="1:12" ht="22.5" customHeight="1" x14ac:dyDescent="0.25">
      <c r="A101" s="32" t="s">
        <v>449</v>
      </c>
      <c r="B101" s="32" t="s">
        <v>80</v>
      </c>
      <c r="C101" s="32" t="s">
        <v>393</v>
      </c>
      <c r="D101" s="175"/>
      <c r="E101" s="175"/>
      <c r="F101" s="175"/>
      <c r="G101" s="175"/>
      <c r="H101" s="175"/>
      <c r="I101" s="175"/>
      <c r="J101" s="182">
        <v>252</v>
      </c>
      <c r="K101" s="189">
        <v>13852.02</v>
      </c>
      <c r="L101" s="33">
        <f t="shared" si="10"/>
        <v>3490709.04</v>
      </c>
    </row>
    <row r="102" spans="1:12" ht="22.5" customHeight="1" x14ac:dyDescent="0.25">
      <c r="A102" s="32" t="s">
        <v>450</v>
      </c>
      <c r="B102" s="32" t="s">
        <v>81</v>
      </c>
      <c r="C102" s="32" t="s">
        <v>451</v>
      </c>
      <c r="D102" s="175"/>
      <c r="E102" s="175"/>
      <c r="F102" s="175"/>
      <c r="G102" s="175"/>
      <c r="H102" s="175"/>
      <c r="I102" s="175"/>
      <c r="J102" s="182">
        <v>516</v>
      </c>
      <c r="K102" s="189">
        <v>14717.84</v>
      </c>
      <c r="L102" s="33">
        <f t="shared" si="10"/>
        <v>7594405.4400000004</v>
      </c>
    </row>
    <row r="103" spans="1:12" ht="22.5" customHeight="1" x14ac:dyDescent="0.25">
      <c r="A103" s="32" t="s">
        <v>452</v>
      </c>
      <c r="B103" s="32" t="s">
        <v>453</v>
      </c>
      <c r="C103" s="32" t="s">
        <v>367</v>
      </c>
      <c r="D103" s="175"/>
      <c r="E103" s="175"/>
      <c r="F103" s="175"/>
      <c r="G103" s="175"/>
      <c r="H103" s="175"/>
      <c r="I103" s="175"/>
      <c r="J103" s="176"/>
      <c r="K103" s="177"/>
      <c r="L103" s="33">
        <f t="shared" si="10"/>
        <v>0</v>
      </c>
    </row>
    <row r="104" spans="1:12" ht="22.5" customHeight="1" x14ac:dyDescent="0.25">
      <c r="A104" s="32" t="s">
        <v>454</v>
      </c>
      <c r="B104" s="32" t="s">
        <v>455</v>
      </c>
      <c r="C104" s="32" t="s">
        <v>367</v>
      </c>
      <c r="D104" s="175"/>
      <c r="E104" s="175"/>
      <c r="F104" s="175"/>
      <c r="G104" s="175"/>
      <c r="H104" s="175"/>
      <c r="I104" s="175"/>
      <c r="J104" s="176"/>
      <c r="K104" s="177"/>
      <c r="L104" s="33">
        <f t="shared" si="10"/>
        <v>0</v>
      </c>
    </row>
    <row r="105" spans="1:12" ht="22.5" customHeight="1" x14ac:dyDescent="0.25">
      <c r="A105" s="32" t="s">
        <v>456</v>
      </c>
      <c r="B105" s="32" t="s">
        <v>457</v>
      </c>
      <c r="C105" s="32" t="s">
        <v>458</v>
      </c>
      <c r="D105" s="175"/>
      <c r="E105" s="175"/>
      <c r="F105" s="175"/>
      <c r="G105" s="175"/>
      <c r="H105" s="175"/>
      <c r="I105" s="175"/>
      <c r="J105" s="176"/>
      <c r="K105" s="177"/>
      <c r="L105" s="33">
        <f t="shared" si="10"/>
        <v>0</v>
      </c>
    </row>
    <row r="106" spans="1:12" ht="22.5" customHeight="1" x14ac:dyDescent="0.25">
      <c r="A106" s="32" t="s">
        <v>459</v>
      </c>
      <c r="B106" s="32" t="s">
        <v>82</v>
      </c>
      <c r="C106" s="32" t="s">
        <v>451</v>
      </c>
      <c r="D106" s="175"/>
      <c r="E106" s="175"/>
      <c r="F106" s="175"/>
      <c r="G106" s="175"/>
      <c r="H106" s="175"/>
      <c r="I106" s="175"/>
      <c r="J106" s="182">
        <v>2024</v>
      </c>
      <c r="K106" s="189">
        <v>6925.54</v>
      </c>
      <c r="L106" s="33">
        <f t="shared" si="10"/>
        <v>14017292.959999999</v>
      </c>
    </row>
    <row r="107" spans="1:12" ht="22.5" customHeight="1" x14ac:dyDescent="0.25">
      <c r="A107" s="32" t="s">
        <v>460</v>
      </c>
      <c r="B107" s="32" t="s">
        <v>83</v>
      </c>
      <c r="C107" s="32" t="s">
        <v>393</v>
      </c>
      <c r="D107" s="175"/>
      <c r="E107" s="175"/>
      <c r="F107" s="175"/>
      <c r="G107" s="175"/>
      <c r="H107" s="175"/>
      <c r="I107" s="175"/>
      <c r="J107" s="182">
        <v>744</v>
      </c>
      <c r="K107" s="189">
        <v>7272.43</v>
      </c>
      <c r="L107" s="33">
        <f t="shared" si="10"/>
        <v>5410687.9199999999</v>
      </c>
    </row>
    <row r="108" spans="1:12" ht="22.5" customHeight="1" x14ac:dyDescent="0.25">
      <c r="A108" s="32" t="s">
        <v>461</v>
      </c>
      <c r="B108" s="32" t="s">
        <v>84</v>
      </c>
      <c r="C108" s="32" t="s">
        <v>451</v>
      </c>
      <c r="D108" s="175"/>
      <c r="E108" s="175"/>
      <c r="F108" s="175"/>
      <c r="G108" s="175"/>
      <c r="H108" s="175"/>
      <c r="I108" s="175"/>
      <c r="J108" s="182">
        <v>9318</v>
      </c>
      <c r="K108" s="189">
        <v>29434.74</v>
      </c>
      <c r="L108" s="33">
        <f t="shared" si="10"/>
        <v>274272907.31999999</v>
      </c>
    </row>
    <row r="109" spans="1:12" ht="22.5" customHeight="1" x14ac:dyDescent="0.25">
      <c r="A109" s="32" t="s">
        <v>462</v>
      </c>
      <c r="B109" s="32" t="s">
        <v>85</v>
      </c>
      <c r="C109" s="32" t="s">
        <v>393</v>
      </c>
      <c r="D109" s="175"/>
      <c r="E109" s="175"/>
      <c r="F109" s="175"/>
      <c r="G109" s="175"/>
      <c r="H109" s="175"/>
      <c r="I109" s="175"/>
      <c r="J109" s="182">
        <v>15053</v>
      </c>
      <c r="K109" s="189">
        <v>8657.17</v>
      </c>
      <c r="L109" s="33">
        <f t="shared" si="10"/>
        <v>130316380.01000001</v>
      </c>
    </row>
    <row r="110" spans="1:12" ht="22.5" customHeight="1" x14ac:dyDescent="0.25">
      <c r="A110" s="53" t="s">
        <v>463</v>
      </c>
      <c r="B110" s="53" t="s">
        <v>86</v>
      </c>
      <c r="C110" s="53" t="s">
        <v>451</v>
      </c>
      <c r="D110" s="175"/>
      <c r="E110" s="175"/>
      <c r="F110" s="175"/>
      <c r="G110" s="175"/>
      <c r="H110" s="175"/>
      <c r="I110" s="175"/>
      <c r="J110" s="187">
        <v>14400</v>
      </c>
      <c r="K110" s="188">
        <v>6925.54</v>
      </c>
      <c r="L110" s="57">
        <f t="shared" si="10"/>
        <v>99727776</v>
      </c>
    </row>
    <row r="111" spans="1:12" ht="22.5" customHeight="1" x14ac:dyDescent="0.25">
      <c r="A111" s="32" t="s">
        <v>464</v>
      </c>
      <c r="B111" s="32" t="s">
        <v>465</v>
      </c>
      <c r="C111" s="32" t="s">
        <v>451</v>
      </c>
      <c r="D111" s="175"/>
      <c r="E111" s="175"/>
      <c r="F111" s="175"/>
      <c r="G111" s="175"/>
      <c r="H111" s="175"/>
      <c r="I111" s="175"/>
      <c r="J111" s="182">
        <v>2810</v>
      </c>
      <c r="K111" s="189">
        <v>16882.36</v>
      </c>
      <c r="L111" s="33">
        <f t="shared" si="10"/>
        <v>47439431.600000001</v>
      </c>
    </row>
    <row r="112" spans="1:12" ht="22.5" customHeight="1" x14ac:dyDescent="0.25">
      <c r="A112" s="32" t="s">
        <v>466</v>
      </c>
      <c r="B112" s="32" t="s">
        <v>125</v>
      </c>
      <c r="C112" s="32" t="s">
        <v>451</v>
      </c>
      <c r="D112" s="175"/>
      <c r="E112" s="175"/>
      <c r="F112" s="175"/>
      <c r="G112" s="175"/>
      <c r="H112" s="175"/>
      <c r="I112" s="175"/>
      <c r="J112" s="182">
        <v>644</v>
      </c>
      <c r="K112" s="189">
        <v>41988.04</v>
      </c>
      <c r="L112" s="33">
        <f t="shared" si="10"/>
        <v>27040297.760000002</v>
      </c>
    </row>
    <row r="113" spans="1:12" ht="22.5" customHeight="1" x14ac:dyDescent="0.25">
      <c r="A113" s="32" t="s">
        <v>467</v>
      </c>
      <c r="B113" s="32" t="s">
        <v>110</v>
      </c>
      <c r="C113" s="32" t="s">
        <v>451</v>
      </c>
      <c r="D113" s="175"/>
      <c r="E113" s="175"/>
      <c r="F113" s="175"/>
      <c r="G113" s="175"/>
      <c r="H113" s="175"/>
      <c r="I113" s="175"/>
      <c r="J113" s="182">
        <v>420</v>
      </c>
      <c r="K113" s="189">
        <v>16882.36</v>
      </c>
      <c r="L113" s="33">
        <f t="shared" si="10"/>
        <v>7090591.2000000002</v>
      </c>
    </row>
    <row r="114" spans="1:12" ht="22.5" customHeight="1" x14ac:dyDescent="0.25">
      <c r="A114" s="32" t="s">
        <v>468</v>
      </c>
      <c r="B114" s="32" t="s">
        <v>89</v>
      </c>
      <c r="C114" s="32" t="s">
        <v>393</v>
      </c>
      <c r="D114" s="175"/>
      <c r="E114" s="175"/>
      <c r="F114" s="175"/>
      <c r="G114" s="175"/>
      <c r="H114" s="175"/>
      <c r="I114" s="175"/>
      <c r="J114" s="182">
        <v>444</v>
      </c>
      <c r="K114" s="189">
        <v>22942.1</v>
      </c>
      <c r="L114" s="33">
        <f t="shared" si="10"/>
        <v>10186292.399999999</v>
      </c>
    </row>
    <row r="115" spans="1:12" ht="22.5" customHeight="1" x14ac:dyDescent="0.25">
      <c r="A115" s="32" t="s">
        <v>469</v>
      </c>
      <c r="B115" s="32" t="s">
        <v>90</v>
      </c>
      <c r="C115" s="32" t="s">
        <v>393</v>
      </c>
      <c r="D115" s="175"/>
      <c r="E115" s="175"/>
      <c r="F115" s="175"/>
      <c r="G115" s="175"/>
      <c r="H115" s="175"/>
      <c r="I115" s="175"/>
      <c r="J115" s="182">
        <v>539</v>
      </c>
      <c r="K115" s="189">
        <v>49780.34</v>
      </c>
      <c r="L115" s="33">
        <f t="shared" si="10"/>
        <v>26831603.259999998</v>
      </c>
    </row>
    <row r="116" spans="1:12" ht="22.5" customHeight="1" x14ac:dyDescent="0.25">
      <c r="A116" s="32" t="s">
        <v>470</v>
      </c>
      <c r="B116" s="32" t="s">
        <v>91</v>
      </c>
      <c r="C116" s="32" t="s">
        <v>393</v>
      </c>
      <c r="D116" s="175"/>
      <c r="E116" s="175"/>
      <c r="F116" s="175"/>
      <c r="G116" s="175"/>
      <c r="H116" s="175"/>
      <c r="I116" s="175"/>
      <c r="J116" s="182">
        <v>5847</v>
      </c>
      <c r="K116" s="189">
        <v>9090.07</v>
      </c>
      <c r="L116" s="33">
        <f t="shared" si="10"/>
        <v>53149639.289999999</v>
      </c>
    </row>
    <row r="117" spans="1:12" ht="22.5" customHeight="1" x14ac:dyDescent="0.25">
      <c r="A117" s="32" t="s">
        <v>471</v>
      </c>
      <c r="B117" s="32" t="s">
        <v>92</v>
      </c>
      <c r="C117" s="32" t="s">
        <v>327</v>
      </c>
      <c r="D117" s="175"/>
      <c r="E117" s="175"/>
      <c r="F117" s="175"/>
      <c r="G117" s="175"/>
      <c r="H117" s="175"/>
      <c r="I117" s="175"/>
      <c r="J117" s="182">
        <v>38000</v>
      </c>
      <c r="K117" s="189">
        <v>459.08</v>
      </c>
      <c r="L117" s="33">
        <f t="shared" si="10"/>
        <v>17445040</v>
      </c>
    </row>
    <row r="118" spans="1:12" ht="22.5" customHeight="1" x14ac:dyDescent="0.25">
      <c r="A118" s="32" t="s">
        <v>472</v>
      </c>
      <c r="B118" s="32" t="s">
        <v>94</v>
      </c>
      <c r="C118" s="32" t="s">
        <v>393</v>
      </c>
      <c r="D118" s="175"/>
      <c r="E118" s="175"/>
      <c r="F118" s="175"/>
      <c r="G118" s="175"/>
      <c r="H118" s="175"/>
      <c r="I118" s="175"/>
      <c r="J118" s="182">
        <v>168</v>
      </c>
      <c r="K118" s="189">
        <v>9090.07</v>
      </c>
      <c r="L118" s="33">
        <f t="shared" si="10"/>
        <v>1527131.76</v>
      </c>
    </row>
    <row r="119" spans="1:12" ht="22.5" customHeight="1" x14ac:dyDescent="0.25">
      <c r="A119" s="32" t="s">
        <v>473</v>
      </c>
      <c r="B119" s="32" t="s">
        <v>93</v>
      </c>
      <c r="C119" s="32" t="s">
        <v>393</v>
      </c>
      <c r="D119" s="175"/>
      <c r="E119" s="175"/>
      <c r="F119" s="175"/>
      <c r="G119" s="175"/>
      <c r="H119" s="175"/>
      <c r="I119" s="175"/>
      <c r="J119" s="182">
        <v>36</v>
      </c>
      <c r="K119" s="189">
        <v>49780.34</v>
      </c>
      <c r="L119" s="33">
        <f t="shared" si="10"/>
        <v>1792092.2399999998</v>
      </c>
    </row>
    <row r="120" spans="1:12" ht="22.5" customHeight="1" x14ac:dyDescent="0.25">
      <c r="A120" s="81" t="s">
        <v>474</v>
      </c>
      <c r="B120" s="81" t="s">
        <v>475</v>
      </c>
      <c r="C120" s="81" t="s">
        <v>393</v>
      </c>
      <c r="D120" s="175"/>
      <c r="E120" s="175"/>
      <c r="F120" s="175"/>
      <c r="G120" s="175"/>
      <c r="H120" s="175"/>
      <c r="I120" s="175"/>
      <c r="J120" s="194">
        <v>48</v>
      </c>
      <c r="K120" s="191">
        <v>22942</v>
      </c>
      <c r="L120" s="82">
        <f t="shared" si="10"/>
        <v>1101216</v>
      </c>
    </row>
    <row r="121" spans="1:12" ht="22.5" customHeight="1" x14ac:dyDescent="0.25">
      <c r="A121" s="32" t="s">
        <v>476</v>
      </c>
      <c r="B121" s="32" t="s">
        <v>107</v>
      </c>
      <c r="C121" s="32" t="s">
        <v>393</v>
      </c>
      <c r="D121" s="175"/>
      <c r="E121" s="175"/>
      <c r="F121" s="175"/>
      <c r="G121" s="175"/>
      <c r="H121" s="175"/>
      <c r="I121" s="175"/>
      <c r="J121" s="176"/>
      <c r="K121" s="177"/>
      <c r="L121" s="33">
        <f t="shared" si="10"/>
        <v>0</v>
      </c>
    </row>
    <row r="122" spans="1:12" ht="22.5" customHeight="1" x14ac:dyDescent="0.25">
      <c r="A122" s="32" t="s">
        <v>477</v>
      </c>
      <c r="B122" s="32" t="s">
        <v>478</v>
      </c>
      <c r="C122" s="32" t="s">
        <v>393</v>
      </c>
      <c r="D122" s="175"/>
      <c r="E122" s="175"/>
      <c r="F122" s="175"/>
      <c r="G122" s="175"/>
      <c r="H122" s="175"/>
      <c r="I122" s="175"/>
      <c r="J122" s="176"/>
      <c r="K122" s="177"/>
      <c r="L122" s="33">
        <f t="shared" si="10"/>
        <v>0</v>
      </c>
    </row>
    <row r="123" spans="1:12" ht="22.5" customHeight="1" x14ac:dyDescent="0.25">
      <c r="A123" s="53" t="s">
        <v>479</v>
      </c>
      <c r="B123" s="53" t="s">
        <v>108</v>
      </c>
      <c r="C123" s="53" t="s">
        <v>393</v>
      </c>
      <c r="D123" s="175"/>
      <c r="E123" s="175"/>
      <c r="F123" s="175"/>
      <c r="G123" s="175"/>
      <c r="H123" s="175"/>
      <c r="I123" s="175"/>
      <c r="J123" s="187">
        <v>14488</v>
      </c>
      <c r="K123" s="188">
        <v>6925.54</v>
      </c>
      <c r="L123" s="57">
        <f t="shared" si="10"/>
        <v>100337223.52</v>
      </c>
    </row>
    <row r="124" spans="1:12" ht="22.5" customHeight="1" x14ac:dyDescent="0.25">
      <c r="A124" s="53" t="s">
        <v>480</v>
      </c>
      <c r="B124" s="53" t="s">
        <v>481</v>
      </c>
      <c r="C124" s="53" t="s">
        <v>393</v>
      </c>
      <c r="D124" s="175"/>
      <c r="E124" s="175"/>
      <c r="F124" s="175"/>
      <c r="G124" s="175"/>
      <c r="H124" s="175"/>
      <c r="I124" s="175"/>
      <c r="J124" s="187">
        <v>60</v>
      </c>
      <c r="K124" s="188">
        <v>45451.28</v>
      </c>
      <c r="L124" s="57">
        <f t="shared" si="10"/>
        <v>2727076.8</v>
      </c>
    </row>
    <row r="125" spans="1:12" ht="22.5" customHeight="1" x14ac:dyDescent="0.25">
      <c r="A125" s="32" t="s">
        <v>482</v>
      </c>
      <c r="B125" s="32" t="s">
        <v>483</v>
      </c>
      <c r="C125" s="32" t="s">
        <v>393</v>
      </c>
      <c r="D125" s="175"/>
      <c r="E125" s="175"/>
      <c r="F125" s="175"/>
      <c r="G125" s="175"/>
      <c r="H125" s="175"/>
      <c r="I125" s="175"/>
      <c r="J125" s="182">
        <v>78</v>
      </c>
      <c r="K125" s="189">
        <v>15150.74</v>
      </c>
      <c r="L125" s="33">
        <f t="shared" si="10"/>
        <v>1181757.72</v>
      </c>
    </row>
    <row r="126" spans="1:12" ht="22.5" customHeight="1" x14ac:dyDescent="0.25">
      <c r="A126" s="32" t="s">
        <v>484</v>
      </c>
      <c r="B126" s="32" t="s">
        <v>95</v>
      </c>
      <c r="C126" s="32" t="s">
        <v>451</v>
      </c>
      <c r="D126" s="175"/>
      <c r="E126" s="175"/>
      <c r="F126" s="175"/>
      <c r="G126" s="175"/>
      <c r="H126" s="175"/>
      <c r="I126" s="175"/>
      <c r="J126" s="182">
        <v>78</v>
      </c>
      <c r="K126" s="195">
        <v>7791.36</v>
      </c>
      <c r="L126" s="33">
        <f t="shared" si="10"/>
        <v>607726.07999999996</v>
      </c>
    </row>
    <row r="127" spans="1:12" ht="22.5" customHeight="1" x14ac:dyDescent="0.25">
      <c r="A127" s="32" t="s">
        <v>485</v>
      </c>
      <c r="B127" s="32" t="s">
        <v>88</v>
      </c>
      <c r="C127" s="32" t="s">
        <v>311</v>
      </c>
      <c r="D127" s="175"/>
      <c r="E127" s="175"/>
      <c r="F127" s="175"/>
      <c r="G127" s="175"/>
      <c r="H127" s="175"/>
      <c r="I127" s="175"/>
      <c r="J127" s="182">
        <v>548</v>
      </c>
      <c r="K127" s="189">
        <v>19549.919999999998</v>
      </c>
      <c r="L127" s="33">
        <f t="shared" si="10"/>
        <v>10713356.159999998</v>
      </c>
    </row>
    <row r="128" spans="1:12" ht="22.5" customHeight="1" x14ac:dyDescent="0.25">
      <c r="A128" s="32" t="s">
        <v>486</v>
      </c>
      <c r="B128" s="32" t="s">
        <v>487</v>
      </c>
      <c r="C128" s="32" t="s">
        <v>311</v>
      </c>
      <c r="D128" s="175"/>
      <c r="E128" s="175"/>
      <c r="F128" s="175"/>
      <c r="G128" s="175"/>
      <c r="H128" s="175"/>
      <c r="I128" s="175"/>
      <c r="J128" s="176"/>
      <c r="K128" s="177"/>
      <c r="L128" s="33">
        <f t="shared" si="10"/>
        <v>0</v>
      </c>
    </row>
    <row r="129" spans="1:12" ht="22.5" customHeight="1" x14ac:dyDescent="0.25">
      <c r="A129" s="53" t="s">
        <v>488</v>
      </c>
      <c r="B129" s="53" t="s">
        <v>96</v>
      </c>
      <c r="C129" s="53" t="s">
        <v>395</v>
      </c>
      <c r="D129" s="175"/>
      <c r="E129" s="175"/>
      <c r="F129" s="175"/>
      <c r="G129" s="175"/>
      <c r="H129" s="175"/>
      <c r="I129" s="175"/>
      <c r="J129" s="187">
        <v>30</v>
      </c>
      <c r="K129" s="188">
        <v>108650.74</v>
      </c>
      <c r="L129" s="57">
        <f t="shared" si="10"/>
        <v>3259522.2</v>
      </c>
    </row>
    <row r="130" spans="1:12" ht="22.5" customHeight="1" x14ac:dyDescent="0.25">
      <c r="A130" s="32" t="s">
        <v>489</v>
      </c>
      <c r="B130" s="32" t="s">
        <v>490</v>
      </c>
      <c r="C130" s="32" t="s">
        <v>393</v>
      </c>
      <c r="D130" s="175"/>
      <c r="E130" s="175"/>
      <c r="F130" s="175"/>
      <c r="G130" s="175"/>
      <c r="H130" s="175"/>
      <c r="I130" s="175"/>
      <c r="J130" s="176"/>
      <c r="K130" s="177"/>
      <c r="L130" s="33">
        <f t="shared" si="10"/>
        <v>0</v>
      </c>
    </row>
    <row r="131" spans="1:12" ht="22.5" customHeight="1" x14ac:dyDescent="0.25">
      <c r="A131" s="32" t="s">
        <v>491</v>
      </c>
      <c r="B131" s="32" t="s">
        <v>97</v>
      </c>
      <c r="C131" s="32" t="s">
        <v>327</v>
      </c>
      <c r="D131" s="175"/>
      <c r="E131" s="175"/>
      <c r="F131" s="175"/>
      <c r="G131" s="175"/>
      <c r="H131" s="175"/>
      <c r="I131" s="175"/>
      <c r="J131" s="182">
        <v>42800</v>
      </c>
      <c r="K131" s="189">
        <v>459.08</v>
      </c>
      <c r="L131" s="33">
        <f t="shared" si="10"/>
        <v>19648624</v>
      </c>
    </row>
    <row r="132" spans="1:12" ht="22.5" customHeight="1" x14ac:dyDescent="0.25">
      <c r="A132" s="32" t="s">
        <v>492</v>
      </c>
      <c r="B132" s="32" t="s">
        <v>98</v>
      </c>
      <c r="C132" s="32" t="s">
        <v>393</v>
      </c>
      <c r="D132" s="175"/>
      <c r="E132" s="175"/>
      <c r="F132" s="175"/>
      <c r="G132" s="175"/>
      <c r="H132" s="175"/>
      <c r="I132" s="175"/>
      <c r="J132" s="182">
        <v>738</v>
      </c>
      <c r="K132" s="189">
        <v>9869.86</v>
      </c>
      <c r="L132" s="33">
        <f t="shared" si="10"/>
        <v>7283956.6800000006</v>
      </c>
    </row>
    <row r="133" spans="1:12" ht="22.5" customHeight="1" x14ac:dyDescent="0.25">
      <c r="A133" s="32" t="s">
        <v>493</v>
      </c>
      <c r="B133" s="32" t="s">
        <v>99</v>
      </c>
      <c r="C133" s="32" t="s">
        <v>393</v>
      </c>
      <c r="D133" s="175"/>
      <c r="E133" s="175"/>
      <c r="F133" s="175"/>
      <c r="G133" s="175"/>
      <c r="H133" s="175"/>
      <c r="I133" s="175"/>
      <c r="J133" s="182">
        <v>172</v>
      </c>
      <c r="K133" s="189">
        <v>5800.74</v>
      </c>
      <c r="L133" s="33">
        <f t="shared" si="10"/>
        <v>997727.27999999991</v>
      </c>
    </row>
    <row r="134" spans="1:12" ht="22.5" customHeight="1" x14ac:dyDescent="0.25">
      <c r="A134" s="32" t="s">
        <v>494</v>
      </c>
      <c r="B134" s="32" t="s">
        <v>100</v>
      </c>
      <c r="C134" s="32" t="s">
        <v>393</v>
      </c>
      <c r="D134" s="175"/>
      <c r="E134" s="175"/>
      <c r="F134" s="175"/>
      <c r="G134" s="175"/>
      <c r="H134" s="175"/>
      <c r="I134" s="175"/>
      <c r="J134" s="182">
        <v>1923</v>
      </c>
      <c r="K134" s="189">
        <v>49780.34</v>
      </c>
      <c r="L134" s="33">
        <f t="shared" ref="L134:L197" si="11">J134*K134</f>
        <v>95727593.819999993</v>
      </c>
    </row>
    <row r="135" spans="1:12" ht="22.5" customHeight="1" x14ac:dyDescent="0.25">
      <c r="A135" s="32" t="s">
        <v>495</v>
      </c>
      <c r="B135" s="32" t="s">
        <v>496</v>
      </c>
      <c r="C135" s="32" t="s">
        <v>393</v>
      </c>
      <c r="D135" s="175"/>
      <c r="E135" s="175"/>
      <c r="F135" s="175"/>
      <c r="G135" s="175"/>
      <c r="H135" s="175"/>
      <c r="I135" s="175"/>
      <c r="J135" s="182">
        <v>144</v>
      </c>
      <c r="K135" s="189">
        <v>6925.54</v>
      </c>
      <c r="L135" s="33">
        <f t="shared" si="11"/>
        <v>997277.76</v>
      </c>
    </row>
    <row r="136" spans="1:12" ht="22.5" customHeight="1" x14ac:dyDescent="0.25">
      <c r="A136" s="53" t="s">
        <v>497</v>
      </c>
      <c r="B136" s="53" t="s">
        <v>101</v>
      </c>
      <c r="C136" s="53" t="s">
        <v>393</v>
      </c>
      <c r="D136" s="175"/>
      <c r="E136" s="175"/>
      <c r="F136" s="175"/>
      <c r="G136" s="175"/>
      <c r="H136" s="175"/>
      <c r="I136" s="175"/>
      <c r="J136" s="187">
        <v>4800</v>
      </c>
      <c r="K136" s="188">
        <v>9090.07</v>
      </c>
      <c r="L136" s="57">
        <f t="shared" si="11"/>
        <v>43632336</v>
      </c>
    </row>
    <row r="137" spans="1:12" ht="22.5" customHeight="1" x14ac:dyDescent="0.25">
      <c r="A137" s="32" t="s">
        <v>498</v>
      </c>
      <c r="B137" s="32" t="s">
        <v>102</v>
      </c>
      <c r="C137" s="32" t="s">
        <v>393</v>
      </c>
      <c r="D137" s="175"/>
      <c r="E137" s="175"/>
      <c r="F137" s="175"/>
      <c r="G137" s="175"/>
      <c r="H137" s="175"/>
      <c r="I137" s="175"/>
      <c r="J137" s="182">
        <v>489</v>
      </c>
      <c r="K137" s="189">
        <v>22942.1</v>
      </c>
      <c r="L137" s="33">
        <f t="shared" si="11"/>
        <v>11218686.899999999</v>
      </c>
    </row>
    <row r="138" spans="1:12" ht="22.5" customHeight="1" x14ac:dyDescent="0.25">
      <c r="A138" s="32" t="s">
        <v>499</v>
      </c>
      <c r="B138" s="32" t="s">
        <v>103</v>
      </c>
      <c r="C138" s="32" t="s">
        <v>393</v>
      </c>
      <c r="D138" s="175"/>
      <c r="E138" s="175"/>
      <c r="F138" s="175"/>
      <c r="G138" s="175"/>
      <c r="H138" s="175"/>
      <c r="I138" s="175"/>
      <c r="J138" s="182">
        <v>1236</v>
      </c>
      <c r="K138" s="189">
        <v>12986.22</v>
      </c>
      <c r="L138" s="33">
        <f t="shared" si="11"/>
        <v>16050967.92</v>
      </c>
    </row>
    <row r="139" spans="1:12" ht="22.5" customHeight="1" x14ac:dyDescent="0.25">
      <c r="A139" s="32" t="s">
        <v>500</v>
      </c>
      <c r="B139" s="32" t="s">
        <v>104</v>
      </c>
      <c r="C139" s="32" t="s">
        <v>393</v>
      </c>
      <c r="D139" s="175"/>
      <c r="E139" s="175"/>
      <c r="F139" s="175"/>
      <c r="G139" s="175"/>
      <c r="H139" s="175"/>
      <c r="I139" s="175"/>
      <c r="J139" s="182">
        <v>285</v>
      </c>
      <c r="K139" s="189">
        <v>18180.14</v>
      </c>
      <c r="L139" s="33">
        <f t="shared" si="11"/>
        <v>5181339.8999999994</v>
      </c>
    </row>
    <row r="140" spans="1:12" ht="22.5" customHeight="1" x14ac:dyDescent="0.25">
      <c r="A140" s="32" t="s">
        <v>501</v>
      </c>
      <c r="B140" s="32" t="s">
        <v>105</v>
      </c>
      <c r="C140" s="32" t="s">
        <v>393</v>
      </c>
      <c r="D140" s="175"/>
      <c r="E140" s="175"/>
      <c r="F140" s="175"/>
      <c r="G140" s="175"/>
      <c r="H140" s="175"/>
      <c r="I140" s="175"/>
      <c r="J140" s="182">
        <v>30</v>
      </c>
      <c r="K140" s="189">
        <v>49780.34</v>
      </c>
      <c r="L140" s="33">
        <f t="shared" si="11"/>
        <v>1493410.2</v>
      </c>
    </row>
    <row r="141" spans="1:12" ht="22.5" customHeight="1" x14ac:dyDescent="0.25">
      <c r="A141" s="32" t="s">
        <v>502</v>
      </c>
      <c r="B141" s="32" t="s">
        <v>106</v>
      </c>
      <c r="C141" s="32" t="s">
        <v>393</v>
      </c>
      <c r="D141" s="175"/>
      <c r="E141" s="175"/>
      <c r="F141" s="175"/>
      <c r="G141" s="175"/>
      <c r="H141" s="175"/>
      <c r="I141" s="175"/>
      <c r="J141" s="182">
        <v>749</v>
      </c>
      <c r="K141" s="189">
        <v>9090.07</v>
      </c>
      <c r="L141" s="33">
        <f t="shared" si="11"/>
        <v>6808462.4299999997</v>
      </c>
    </row>
    <row r="142" spans="1:12" ht="22.5" customHeight="1" x14ac:dyDescent="0.25">
      <c r="A142" s="32" t="s">
        <v>503</v>
      </c>
      <c r="B142" s="32" t="s">
        <v>112</v>
      </c>
      <c r="C142" s="32" t="s">
        <v>327</v>
      </c>
      <c r="D142" s="175"/>
      <c r="E142" s="175"/>
      <c r="F142" s="175"/>
      <c r="G142" s="175"/>
      <c r="H142" s="175"/>
      <c r="I142" s="175"/>
      <c r="J142" s="182">
        <v>870</v>
      </c>
      <c r="K142" s="189">
        <v>7618.38</v>
      </c>
      <c r="L142" s="33">
        <f t="shared" si="11"/>
        <v>6627990.6000000006</v>
      </c>
    </row>
    <row r="143" spans="1:12" ht="22.5" customHeight="1" x14ac:dyDescent="0.25">
      <c r="A143" s="32" t="s">
        <v>504</v>
      </c>
      <c r="B143" s="32" t="s">
        <v>111</v>
      </c>
      <c r="C143" s="32" t="s">
        <v>327</v>
      </c>
      <c r="D143" s="175"/>
      <c r="E143" s="175"/>
      <c r="F143" s="175"/>
      <c r="G143" s="175"/>
      <c r="H143" s="175"/>
      <c r="I143" s="175"/>
      <c r="J143" s="182">
        <v>1460</v>
      </c>
      <c r="K143" s="189">
        <v>7618.38</v>
      </c>
      <c r="L143" s="33">
        <f t="shared" si="11"/>
        <v>11122834.800000001</v>
      </c>
    </row>
    <row r="144" spans="1:12" ht="22.5" customHeight="1" x14ac:dyDescent="0.25">
      <c r="A144" s="32" t="s">
        <v>505</v>
      </c>
      <c r="B144" s="32" t="s">
        <v>114</v>
      </c>
      <c r="C144" s="32" t="s">
        <v>393</v>
      </c>
      <c r="D144" s="175"/>
      <c r="E144" s="175"/>
      <c r="F144" s="175"/>
      <c r="G144" s="175"/>
      <c r="H144" s="175"/>
      <c r="I144" s="175"/>
      <c r="J144" s="182">
        <v>261</v>
      </c>
      <c r="K144" s="189">
        <v>18180.14</v>
      </c>
      <c r="L144" s="33">
        <f t="shared" si="11"/>
        <v>4745016.54</v>
      </c>
    </row>
    <row r="145" spans="1:12" ht="22.5" customHeight="1" x14ac:dyDescent="0.25">
      <c r="A145" s="32" t="s">
        <v>506</v>
      </c>
      <c r="B145" s="32" t="s">
        <v>113</v>
      </c>
      <c r="C145" s="32" t="s">
        <v>393</v>
      </c>
      <c r="D145" s="175"/>
      <c r="E145" s="175"/>
      <c r="F145" s="175"/>
      <c r="G145" s="175"/>
      <c r="H145" s="175"/>
      <c r="I145" s="175"/>
      <c r="J145" s="182">
        <v>312</v>
      </c>
      <c r="K145" s="189">
        <v>15583.64</v>
      </c>
      <c r="L145" s="33">
        <f t="shared" si="11"/>
        <v>4862095.68</v>
      </c>
    </row>
    <row r="146" spans="1:12" ht="22.5" customHeight="1" x14ac:dyDescent="0.25">
      <c r="A146" s="32" t="s">
        <v>507</v>
      </c>
      <c r="B146" s="32" t="s">
        <v>115</v>
      </c>
      <c r="C146" s="32" t="s">
        <v>327</v>
      </c>
      <c r="D146" s="175"/>
      <c r="E146" s="175"/>
      <c r="F146" s="175"/>
      <c r="G146" s="175"/>
      <c r="H146" s="175"/>
      <c r="I146" s="175"/>
      <c r="J146" s="182">
        <v>1947</v>
      </c>
      <c r="K146" s="189">
        <v>6059.74</v>
      </c>
      <c r="L146" s="33">
        <f t="shared" si="11"/>
        <v>11798313.779999999</v>
      </c>
    </row>
    <row r="147" spans="1:12" ht="22.5" customHeight="1" x14ac:dyDescent="0.25">
      <c r="A147" s="32" t="s">
        <v>508</v>
      </c>
      <c r="B147" s="32" t="s">
        <v>116</v>
      </c>
      <c r="C147" s="32" t="s">
        <v>393</v>
      </c>
      <c r="D147" s="175"/>
      <c r="E147" s="175"/>
      <c r="F147" s="175"/>
      <c r="G147" s="175"/>
      <c r="H147" s="175"/>
      <c r="I147" s="175"/>
      <c r="J147" s="182">
        <v>1969</v>
      </c>
      <c r="K147" s="189">
        <v>19045.95</v>
      </c>
      <c r="L147" s="33">
        <f t="shared" si="11"/>
        <v>37501475.550000004</v>
      </c>
    </row>
    <row r="148" spans="1:12" ht="22.5" customHeight="1" x14ac:dyDescent="0.25">
      <c r="A148" s="32" t="s">
        <v>509</v>
      </c>
      <c r="B148" s="32" t="s">
        <v>117</v>
      </c>
      <c r="C148" s="32" t="s">
        <v>393</v>
      </c>
      <c r="D148" s="175"/>
      <c r="E148" s="175"/>
      <c r="F148" s="175"/>
      <c r="G148" s="175"/>
      <c r="H148" s="175"/>
      <c r="I148" s="175"/>
      <c r="J148" s="182">
        <v>470</v>
      </c>
      <c r="K148" s="189">
        <v>16449.46</v>
      </c>
      <c r="L148" s="33">
        <f t="shared" si="11"/>
        <v>7731246.1999999993</v>
      </c>
    </row>
    <row r="149" spans="1:12" ht="22.5" customHeight="1" x14ac:dyDescent="0.25">
      <c r="A149" s="32" t="s">
        <v>510</v>
      </c>
      <c r="B149" s="32" t="s">
        <v>118</v>
      </c>
      <c r="C149" s="32" t="s">
        <v>395</v>
      </c>
      <c r="D149" s="175"/>
      <c r="E149" s="175"/>
      <c r="F149" s="175"/>
      <c r="G149" s="175"/>
      <c r="H149" s="175"/>
      <c r="I149" s="175"/>
      <c r="J149" s="182">
        <v>288</v>
      </c>
      <c r="K149" s="189">
        <v>14284.93</v>
      </c>
      <c r="L149" s="33">
        <f t="shared" si="11"/>
        <v>4114059.84</v>
      </c>
    </row>
    <row r="150" spans="1:12" ht="22.5" customHeight="1" x14ac:dyDescent="0.25">
      <c r="A150" s="32" t="s">
        <v>511</v>
      </c>
      <c r="B150" s="32" t="s">
        <v>119</v>
      </c>
      <c r="C150" s="32" t="s">
        <v>327</v>
      </c>
      <c r="D150" s="175"/>
      <c r="E150" s="175"/>
      <c r="F150" s="175"/>
      <c r="G150" s="175"/>
      <c r="H150" s="175"/>
      <c r="I150" s="175"/>
      <c r="J150" s="182">
        <v>260</v>
      </c>
      <c r="K150" s="189">
        <v>21643.38</v>
      </c>
      <c r="L150" s="33">
        <f t="shared" si="11"/>
        <v>5627278.7999999998</v>
      </c>
    </row>
    <row r="151" spans="1:12" ht="22.5" customHeight="1" x14ac:dyDescent="0.25">
      <c r="A151" s="32" t="s">
        <v>512</v>
      </c>
      <c r="B151" s="32" t="s">
        <v>120</v>
      </c>
      <c r="C151" s="32" t="s">
        <v>327</v>
      </c>
      <c r="D151" s="175"/>
      <c r="E151" s="175"/>
      <c r="F151" s="175"/>
      <c r="G151" s="175"/>
      <c r="H151" s="175"/>
      <c r="I151" s="175"/>
      <c r="J151" s="182">
        <v>80</v>
      </c>
      <c r="K151" s="189">
        <v>20777.57</v>
      </c>
      <c r="L151" s="33">
        <f t="shared" si="11"/>
        <v>1662205.6</v>
      </c>
    </row>
    <row r="152" spans="1:12" ht="22.5" customHeight="1" x14ac:dyDescent="0.25">
      <c r="A152" s="32" t="s">
        <v>513</v>
      </c>
      <c r="B152" s="32" t="s">
        <v>121</v>
      </c>
      <c r="C152" s="32" t="s">
        <v>393</v>
      </c>
      <c r="D152" s="175"/>
      <c r="E152" s="175"/>
      <c r="F152" s="175"/>
      <c r="G152" s="175"/>
      <c r="H152" s="175"/>
      <c r="I152" s="175"/>
      <c r="J152" s="182">
        <v>2934</v>
      </c>
      <c r="K152" s="189">
        <v>11254.6</v>
      </c>
      <c r="L152" s="33">
        <f t="shared" si="11"/>
        <v>33020996.400000002</v>
      </c>
    </row>
    <row r="153" spans="1:12" ht="22.5" customHeight="1" x14ac:dyDescent="0.25">
      <c r="A153" s="32" t="s">
        <v>514</v>
      </c>
      <c r="B153" s="32" t="s">
        <v>122</v>
      </c>
      <c r="C153" s="32" t="s">
        <v>327</v>
      </c>
      <c r="D153" s="175"/>
      <c r="E153" s="175"/>
      <c r="F153" s="175"/>
      <c r="G153" s="175"/>
      <c r="H153" s="175"/>
      <c r="I153" s="175"/>
      <c r="J153" s="182">
        <v>163</v>
      </c>
      <c r="K153" s="189">
        <v>8138.24</v>
      </c>
      <c r="L153" s="33">
        <f t="shared" si="11"/>
        <v>1326533.1199999999</v>
      </c>
    </row>
    <row r="154" spans="1:12" ht="22.5" customHeight="1" x14ac:dyDescent="0.25">
      <c r="A154" s="32" t="s">
        <v>515</v>
      </c>
      <c r="B154" s="32" t="s">
        <v>516</v>
      </c>
      <c r="C154" s="32" t="s">
        <v>451</v>
      </c>
      <c r="D154" s="175"/>
      <c r="E154" s="175"/>
      <c r="F154" s="175"/>
      <c r="G154" s="175"/>
      <c r="H154" s="175"/>
      <c r="I154" s="175"/>
      <c r="J154" s="182">
        <v>72</v>
      </c>
      <c r="K154" s="189">
        <v>22509.19</v>
      </c>
      <c r="L154" s="33">
        <f t="shared" si="11"/>
        <v>1620661.68</v>
      </c>
    </row>
    <row r="155" spans="1:12" ht="22.5" customHeight="1" x14ac:dyDescent="0.25">
      <c r="A155" s="32" t="s">
        <v>517</v>
      </c>
      <c r="B155" s="32" t="s">
        <v>123</v>
      </c>
      <c r="C155" s="32" t="s">
        <v>393</v>
      </c>
      <c r="D155" s="175"/>
      <c r="E155" s="175"/>
      <c r="F155" s="175"/>
      <c r="G155" s="175"/>
      <c r="H155" s="175"/>
      <c r="I155" s="175"/>
      <c r="J155" s="182">
        <v>132</v>
      </c>
      <c r="K155" s="189">
        <v>17315.259999999998</v>
      </c>
      <c r="L155" s="33">
        <f t="shared" si="11"/>
        <v>2285614.3199999998</v>
      </c>
    </row>
    <row r="156" spans="1:12" ht="22.5" customHeight="1" x14ac:dyDescent="0.25">
      <c r="A156" s="32" t="s">
        <v>518</v>
      </c>
      <c r="B156" s="32" t="s">
        <v>519</v>
      </c>
      <c r="C156" s="32" t="s">
        <v>327</v>
      </c>
      <c r="D156" s="175"/>
      <c r="E156" s="175"/>
      <c r="F156" s="175"/>
      <c r="G156" s="175"/>
      <c r="H156" s="175"/>
      <c r="I156" s="175"/>
      <c r="J156" s="176"/>
      <c r="K156" s="177"/>
      <c r="L156" s="33">
        <f t="shared" si="11"/>
        <v>0</v>
      </c>
    </row>
    <row r="157" spans="1:12" ht="22.5" customHeight="1" x14ac:dyDescent="0.25">
      <c r="A157" s="32" t="s">
        <v>520</v>
      </c>
      <c r="B157" s="32" t="s">
        <v>124</v>
      </c>
      <c r="C157" s="32" t="s">
        <v>393</v>
      </c>
      <c r="D157" s="175"/>
      <c r="E157" s="175"/>
      <c r="F157" s="175"/>
      <c r="G157" s="175"/>
      <c r="H157" s="175"/>
      <c r="I157" s="175"/>
      <c r="J157" s="182">
        <v>8</v>
      </c>
      <c r="K157" s="189">
        <v>17315.259999999998</v>
      </c>
      <c r="L157" s="33">
        <f t="shared" si="11"/>
        <v>138522.07999999999</v>
      </c>
    </row>
    <row r="158" spans="1:12" ht="22.5" customHeight="1" x14ac:dyDescent="0.25">
      <c r="A158" s="32" t="s">
        <v>521</v>
      </c>
      <c r="B158" s="32" t="s">
        <v>522</v>
      </c>
      <c r="C158" s="32" t="s">
        <v>327</v>
      </c>
      <c r="D158" s="175"/>
      <c r="E158" s="175"/>
      <c r="F158" s="175"/>
      <c r="G158" s="175"/>
      <c r="H158" s="175"/>
      <c r="I158" s="175"/>
      <c r="J158" s="182">
        <v>5934</v>
      </c>
      <c r="K158" s="189">
        <v>8224.26</v>
      </c>
      <c r="L158" s="33">
        <f t="shared" si="11"/>
        <v>48802758.840000004</v>
      </c>
    </row>
    <row r="159" spans="1:12" ht="22.5" customHeight="1" x14ac:dyDescent="0.25">
      <c r="A159" s="32" t="s">
        <v>523</v>
      </c>
      <c r="B159" s="32" t="s">
        <v>126</v>
      </c>
      <c r="C159" s="32" t="s">
        <v>327</v>
      </c>
      <c r="D159" s="175"/>
      <c r="E159" s="175"/>
      <c r="F159" s="175"/>
      <c r="G159" s="175"/>
      <c r="H159" s="175"/>
      <c r="I159" s="175"/>
      <c r="J159" s="182">
        <v>34074</v>
      </c>
      <c r="K159" s="189">
        <v>5453.86</v>
      </c>
      <c r="L159" s="33">
        <f t="shared" si="11"/>
        <v>185834825.63999999</v>
      </c>
    </row>
    <row r="160" spans="1:12" ht="22.5" customHeight="1" x14ac:dyDescent="0.25">
      <c r="A160" s="32" t="s">
        <v>524</v>
      </c>
      <c r="B160" s="32" t="s">
        <v>127</v>
      </c>
      <c r="C160" s="32" t="s">
        <v>327</v>
      </c>
      <c r="D160" s="175"/>
      <c r="E160" s="175"/>
      <c r="F160" s="175"/>
      <c r="G160" s="175"/>
      <c r="H160" s="175"/>
      <c r="I160" s="175"/>
      <c r="J160" s="182">
        <v>2463</v>
      </c>
      <c r="K160" s="189">
        <v>5453.86</v>
      </c>
      <c r="L160" s="33">
        <f t="shared" si="11"/>
        <v>13432857.18</v>
      </c>
    </row>
    <row r="161" spans="1:12" ht="22.5" customHeight="1" x14ac:dyDescent="0.25">
      <c r="A161" s="32" t="s">
        <v>525</v>
      </c>
      <c r="B161" s="32" t="s">
        <v>128</v>
      </c>
      <c r="C161" s="32" t="s">
        <v>327</v>
      </c>
      <c r="D161" s="175"/>
      <c r="E161" s="175"/>
      <c r="F161" s="175"/>
      <c r="G161" s="175"/>
      <c r="H161" s="175"/>
      <c r="I161" s="175"/>
      <c r="J161" s="182">
        <v>454</v>
      </c>
      <c r="K161" s="189">
        <v>14284.93</v>
      </c>
      <c r="L161" s="33">
        <f t="shared" si="11"/>
        <v>6485358.2199999997</v>
      </c>
    </row>
    <row r="162" spans="1:12" ht="22.5" customHeight="1" x14ac:dyDescent="0.25">
      <c r="A162" s="32" t="s">
        <v>526</v>
      </c>
      <c r="B162" s="32" t="s">
        <v>527</v>
      </c>
      <c r="C162" s="32" t="s">
        <v>528</v>
      </c>
      <c r="D162" s="175"/>
      <c r="E162" s="175"/>
      <c r="F162" s="175"/>
      <c r="G162" s="175"/>
      <c r="H162" s="175"/>
      <c r="I162" s="175"/>
      <c r="J162" s="176"/>
      <c r="K162" s="177"/>
      <c r="L162" s="33">
        <f t="shared" si="11"/>
        <v>0</v>
      </c>
    </row>
    <row r="163" spans="1:12" ht="22.5" customHeight="1" x14ac:dyDescent="0.25">
      <c r="A163" s="32" t="s">
        <v>529</v>
      </c>
      <c r="B163" s="32" t="s">
        <v>168</v>
      </c>
      <c r="C163" s="32" t="s">
        <v>303</v>
      </c>
      <c r="D163" s="175"/>
      <c r="E163" s="175"/>
      <c r="F163" s="175"/>
      <c r="G163" s="175"/>
      <c r="H163" s="175"/>
      <c r="I163" s="175"/>
      <c r="J163" s="182">
        <v>83</v>
      </c>
      <c r="K163" s="189">
        <v>30500</v>
      </c>
      <c r="L163" s="33">
        <f t="shared" si="11"/>
        <v>2531500</v>
      </c>
    </row>
    <row r="164" spans="1:12" ht="22.5" customHeight="1" x14ac:dyDescent="0.25">
      <c r="A164" s="32" t="s">
        <v>530</v>
      </c>
      <c r="B164" s="32" t="s">
        <v>147</v>
      </c>
      <c r="C164" s="32" t="s">
        <v>327</v>
      </c>
      <c r="D164" s="175"/>
      <c r="E164" s="175"/>
      <c r="F164" s="175"/>
      <c r="G164" s="175"/>
      <c r="H164" s="175"/>
      <c r="I164" s="175"/>
      <c r="J164" s="182">
        <v>344</v>
      </c>
      <c r="K164" s="189">
        <v>4608.33</v>
      </c>
      <c r="L164" s="33">
        <f t="shared" si="11"/>
        <v>1585265.52</v>
      </c>
    </row>
    <row r="165" spans="1:12" ht="22.5" customHeight="1" x14ac:dyDescent="0.25">
      <c r="A165" s="32" t="s">
        <v>531</v>
      </c>
      <c r="B165" s="32" t="s">
        <v>532</v>
      </c>
      <c r="C165" s="32" t="s">
        <v>528</v>
      </c>
      <c r="D165" s="175"/>
      <c r="E165" s="175"/>
      <c r="F165" s="175"/>
      <c r="G165" s="175"/>
      <c r="H165" s="175"/>
      <c r="I165" s="175"/>
      <c r="J165" s="176"/>
      <c r="K165" s="177"/>
      <c r="L165" s="33">
        <f t="shared" si="11"/>
        <v>0</v>
      </c>
    </row>
    <row r="166" spans="1:12" ht="22.5" customHeight="1" x14ac:dyDescent="0.25">
      <c r="A166" s="32" t="s">
        <v>533</v>
      </c>
      <c r="B166" s="32" t="s">
        <v>140</v>
      </c>
      <c r="C166" s="32" t="s">
        <v>528</v>
      </c>
      <c r="D166" s="175"/>
      <c r="E166" s="175"/>
      <c r="F166" s="175"/>
      <c r="G166" s="175"/>
      <c r="H166" s="175"/>
      <c r="I166" s="175"/>
      <c r="J166" s="182">
        <v>1328</v>
      </c>
      <c r="K166" s="189">
        <v>186415</v>
      </c>
      <c r="L166" s="33">
        <f t="shared" si="11"/>
        <v>247559120</v>
      </c>
    </row>
    <row r="167" spans="1:12" ht="22.5" customHeight="1" x14ac:dyDescent="0.25">
      <c r="A167" s="32" t="s">
        <v>534</v>
      </c>
      <c r="B167" s="32" t="s">
        <v>142</v>
      </c>
      <c r="C167" s="32" t="s">
        <v>528</v>
      </c>
      <c r="D167" s="175"/>
      <c r="E167" s="175"/>
      <c r="F167" s="175"/>
      <c r="G167" s="175"/>
      <c r="H167" s="175"/>
      <c r="I167" s="175"/>
      <c r="J167" s="182">
        <v>1150</v>
      </c>
      <c r="K167" s="189">
        <v>183667</v>
      </c>
      <c r="L167" s="33">
        <f t="shared" si="11"/>
        <v>211217050</v>
      </c>
    </row>
    <row r="168" spans="1:12" ht="22.5" customHeight="1" x14ac:dyDescent="0.25">
      <c r="A168" s="53" t="s">
        <v>535</v>
      </c>
      <c r="B168" s="53" t="s">
        <v>141</v>
      </c>
      <c r="C168" s="53" t="s">
        <v>528</v>
      </c>
      <c r="D168" s="175"/>
      <c r="E168" s="175"/>
      <c r="F168" s="175"/>
      <c r="G168" s="175"/>
      <c r="H168" s="175"/>
      <c r="I168" s="175"/>
      <c r="J168" s="187">
        <v>1000</v>
      </c>
      <c r="K168" s="188">
        <v>186415</v>
      </c>
      <c r="L168" s="57">
        <f t="shared" si="11"/>
        <v>186415000</v>
      </c>
    </row>
    <row r="169" spans="1:12" ht="22.5" customHeight="1" x14ac:dyDescent="0.25">
      <c r="A169" s="32" t="s">
        <v>536</v>
      </c>
      <c r="B169" s="32" t="s">
        <v>149</v>
      </c>
      <c r="C169" s="32" t="s">
        <v>528</v>
      </c>
      <c r="D169" s="175"/>
      <c r="E169" s="175"/>
      <c r="F169" s="175"/>
      <c r="G169" s="175"/>
      <c r="H169" s="175"/>
      <c r="I169" s="175"/>
      <c r="J169" s="176"/>
      <c r="K169" s="177"/>
      <c r="L169" s="33">
        <f t="shared" si="11"/>
        <v>0</v>
      </c>
    </row>
    <row r="170" spans="1:12" ht="22.5" customHeight="1" x14ac:dyDescent="0.25">
      <c r="A170" s="32" t="s">
        <v>537</v>
      </c>
      <c r="B170" s="32" t="s">
        <v>143</v>
      </c>
      <c r="C170" s="32" t="s">
        <v>528</v>
      </c>
      <c r="D170" s="175"/>
      <c r="E170" s="175"/>
      <c r="F170" s="175"/>
      <c r="G170" s="175"/>
      <c r="H170" s="175"/>
      <c r="I170" s="175"/>
      <c r="J170" s="176"/>
      <c r="K170" s="177"/>
      <c r="L170" s="33">
        <f t="shared" si="11"/>
        <v>0</v>
      </c>
    </row>
    <row r="171" spans="1:12" ht="22.5" customHeight="1" x14ac:dyDescent="0.25">
      <c r="A171" s="32" t="s">
        <v>538</v>
      </c>
      <c r="B171" s="32" t="s">
        <v>144</v>
      </c>
      <c r="C171" s="32" t="s">
        <v>528</v>
      </c>
      <c r="D171" s="175"/>
      <c r="E171" s="175"/>
      <c r="F171" s="175"/>
      <c r="G171" s="175"/>
      <c r="H171" s="175"/>
      <c r="I171" s="175"/>
      <c r="J171" s="182">
        <v>583</v>
      </c>
      <c r="K171" s="189">
        <v>184320</v>
      </c>
      <c r="L171" s="33">
        <f t="shared" si="11"/>
        <v>107458560</v>
      </c>
    </row>
    <row r="172" spans="1:12" ht="22.5" customHeight="1" x14ac:dyDescent="0.25">
      <c r="A172" s="32" t="s">
        <v>539</v>
      </c>
      <c r="B172" s="32" t="s">
        <v>146</v>
      </c>
      <c r="C172" s="32" t="s">
        <v>528</v>
      </c>
      <c r="D172" s="175"/>
      <c r="E172" s="175"/>
      <c r="F172" s="175"/>
      <c r="G172" s="175"/>
      <c r="H172" s="175"/>
      <c r="I172" s="175"/>
      <c r="J172" s="182">
        <v>115</v>
      </c>
      <c r="K172" s="189">
        <v>191651</v>
      </c>
      <c r="L172" s="33">
        <f t="shared" si="11"/>
        <v>22039865</v>
      </c>
    </row>
    <row r="173" spans="1:12" ht="22.5" customHeight="1" x14ac:dyDescent="0.25">
      <c r="A173" s="32" t="s">
        <v>540</v>
      </c>
      <c r="B173" s="32" t="s">
        <v>149</v>
      </c>
      <c r="C173" s="32" t="s">
        <v>327</v>
      </c>
      <c r="D173" s="175"/>
      <c r="E173" s="175"/>
      <c r="F173" s="175"/>
      <c r="G173" s="175"/>
      <c r="H173" s="175"/>
      <c r="I173" s="175"/>
      <c r="J173" s="182">
        <v>1236</v>
      </c>
      <c r="K173" s="189">
        <v>16000</v>
      </c>
      <c r="L173" s="33">
        <f t="shared" si="11"/>
        <v>19776000</v>
      </c>
    </row>
    <row r="174" spans="1:12" ht="22.5" customHeight="1" x14ac:dyDescent="0.25">
      <c r="A174" s="32" t="s">
        <v>541</v>
      </c>
      <c r="B174" s="32" t="s">
        <v>542</v>
      </c>
      <c r="C174" s="32" t="s">
        <v>528</v>
      </c>
      <c r="D174" s="175"/>
      <c r="E174" s="175"/>
      <c r="F174" s="175"/>
      <c r="G174" s="175"/>
      <c r="H174" s="175"/>
      <c r="I174" s="175"/>
      <c r="J174" s="176"/>
      <c r="K174" s="177"/>
      <c r="L174" s="33">
        <f t="shared" si="11"/>
        <v>0</v>
      </c>
    </row>
    <row r="175" spans="1:12" ht="22.5" customHeight="1" x14ac:dyDescent="0.25">
      <c r="A175" s="32" t="s">
        <v>543</v>
      </c>
      <c r="B175" s="32" t="s">
        <v>148</v>
      </c>
      <c r="C175" s="32" t="s">
        <v>303</v>
      </c>
      <c r="D175" s="175"/>
      <c r="E175" s="175"/>
      <c r="F175" s="175"/>
      <c r="G175" s="175"/>
      <c r="H175" s="175"/>
      <c r="I175" s="175"/>
      <c r="J175" s="176"/>
      <c r="K175" s="177"/>
      <c r="L175" s="33">
        <f t="shared" si="11"/>
        <v>0</v>
      </c>
    </row>
    <row r="176" spans="1:12" ht="22.5" customHeight="1" x14ac:dyDescent="0.25">
      <c r="A176" s="32" t="s">
        <v>544</v>
      </c>
      <c r="B176" s="32" t="s">
        <v>146</v>
      </c>
      <c r="C176" s="32" t="s">
        <v>327</v>
      </c>
      <c r="D176" s="175"/>
      <c r="E176" s="175"/>
      <c r="F176" s="175"/>
      <c r="G176" s="175"/>
      <c r="H176" s="175"/>
      <c r="I176" s="175"/>
      <c r="J176" s="176"/>
      <c r="K176" s="177"/>
      <c r="L176" s="33">
        <f t="shared" si="11"/>
        <v>0</v>
      </c>
    </row>
    <row r="177" spans="1:12" ht="22.5" customHeight="1" x14ac:dyDescent="0.25">
      <c r="A177" s="32" t="s">
        <v>545</v>
      </c>
      <c r="B177" s="32" t="s">
        <v>546</v>
      </c>
      <c r="C177" s="32" t="s">
        <v>528</v>
      </c>
      <c r="D177" s="175"/>
      <c r="E177" s="175"/>
      <c r="F177" s="175"/>
      <c r="G177" s="175"/>
      <c r="H177" s="175"/>
      <c r="I177" s="175"/>
      <c r="J177" s="176"/>
      <c r="K177" s="177"/>
      <c r="L177" s="33">
        <f t="shared" si="11"/>
        <v>0</v>
      </c>
    </row>
    <row r="178" spans="1:12" ht="22.5" customHeight="1" x14ac:dyDescent="0.25">
      <c r="A178" s="32" t="s">
        <v>547</v>
      </c>
      <c r="B178" s="32" t="s">
        <v>548</v>
      </c>
      <c r="C178" s="32" t="s">
        <v>528</v>
      </c>
      <c r="D178" s="175"/>
      <c r="E178" s="175"/>
      <c r="F178" s="175"/>
      <c r="G178" s="175"/>
      <c r="H178" s="175"/>
      <c r="I178" s="175"/>
      <c r="J178" s="182">
        <v>810</v>
      </c>
      <c r="K178" s="189">
        <v>115200</v>
      </c>
      <c r="L178" s="33">
        <f t="shared" si="11"/>
        <v>93312000</v>
      </c>
    </row>
    <row r="179" spans="1:12" ht="22.5" customHeight="1" x14ac:dyDescent="0.25">
      <c r="A179" s="32" t="s">
        <v>549</v>
      </c>
      <c r="B179" s="32" t="s">
        <v>550</v>
      </c>
      <c r="C179" s="32" t="s">
        <v>528</v>
      </c>
      <c r="D179" s="175"/>
      <c r="E179" s="175"/>
      <c r="F179" s="175"/>
      <c r="G179" s="175"/>
      <c r="H179" s="175"/>
      <c r="I179" s="175"/>
      <c r="J179" s="182">
        <v>280</v>
      </c>
      <c r="K179" s="189">
        <v>267055</v>
      </c>
      <c r="L179" s="33">
        <f t="shared" si="11"/>
        <v>74775400</v>
      </c>
    </row>
    <row r="180" spans="1:12" ht="22.5" customHeight="1" x14ac:dyDescent="0.25">
      <c r="A180" s="32" t="s">
        <v>551</v>
      </c>
      <c r="B180" s="32" t="s">
        <v>139</v>
      </c>
      <c r="C180" s="32" t="s">
        <v>528</v>
      </c>
      <c r="D180" s="175"/>
      <c r="E180" s="175"/>
      <c r="F180" s="175"/>
      <c r="G180" s="175"/>
      <c r="H180" s="175"/>
      <c r="I180" s="175"/>
      <c r="J180" s="182">
        <v>188</v>
      </c>
      <c r="K180" s="189">
        <v>183667</v>
      </c>
      <c r="L180" s="33">
        <f t="shared" si="11"/>
        <v>34529396</v>
      </c>
    </row>
    <row r="181" spans="1:12" ht="22.5" customHeight="1" x14ac:dyDescent="0.25">
      <c r="A181" s="32" t="s">
        <v>552</v>
      </c>
      <c r="B181" s="32" t="s">
        <v>553</v>
      </c>
      <c r="C181" s="32" t="s">
        <v>528</v>
      </c>
      <c r="D181" s="175"/>
      <c r="E181" s="175"/>
      <c r="F181" s="175"/>
      <c r="G181" s="175"/>
      <c r="H181" s="175"/>
      <c r="I181" s="175"/>
      <c r="J181" s="176"/>
      <c r="K181" s="177"/>
      <c r="L181" s="33">
        <f t="shared" si="11"/>
        <v>0</v>
      </c>
    </row>
    <row r="182" spans="1:12" ht="22.5" customHeight="1" x14ac:dyDescent="0.25">
      <c r="A182" s="32" t="s">
        <v>554</v>
      </c>
      <c r="B182" s="32" t="s">
        <v>553</v>
      </c>
      <c r="C182" s="32" t="s">
        <v>303</v>
      </c>
      <c r="D182" s="175"/>
      <c r="E182" s="175"/>
      <c r="F182" s="175"/>
      <c r="G182" s="175"/>
      <c r="H182" s="175"/>
      <c r="I182" s="175"/>
      <c r="J182" s="176"/>
      <c r="K182" s="177"/>
      <c r="L182" s="33">
        <f t="shared" si="11"/>
        <v>0</v>
      </c>
    </row>
    <row r="183" spans="1:12" ht="22.5" customHeight="1" x14ac:dyDescent="0.25">
      <c r="A183" s="32" t="s">
        <v>555</v>
      </c>
      <c r="B183" s="32" t="s">
        <v>556</v>
      </c>
      <c r="C183" s="32" t="s">
        <v>528</v>
      </c>
      <c r="D183" s="175"/>
      <c r="E183" s="175"/>
      <c r="F183" s="175"/>
      <c r="G183" s="175"/>
      <c r="H183" s="175"/>
      <c r="I183" s="175"/>
      <c r="J183" s="182">
        <v>2</v>
      </c>
      <c r="K183" s="189">
        <v>184473</v>
      </c>
      <c r="L183" s="33">
        <f t="shared" si="11"/>
        <v>368946</v>
      </c>
    </row>
    <row r="184" spans="1:12" ht="22.5" customHeight="1" x14ac:dyDescent="0.25">
      <c r="A184" s="32" t="s">
        <v>557</v>
      </c>
      <c r="B184" s="32" t="s">
        <v>151</v>
      </c>
      <c r="C184" s="32" t="s">
        <v>528</v>
      </c>
      <c r="D184" s="175"/>
      <c r="E184" s="175"/>
      <c r="F184" s="175"/>
      <c r="G184" s="175"/>
      <c r="H184" s="175"/>
      <c r="I184" s="175"/>
      <c r="J184" s="182">
        <v>319</v>
      </c>
      <c r="K184" s="189">
        <v>189655</v>
      </c>
      <c r="L184" s="33">
        <f t="shared" si="11"/>
        <v>60499945</v>
      </c>
    </row>
    <row r="185" spans="1:12" ht="22.5" customHeight="1" x14ac:dyDescent="0.25">
      <c r="A185" s="32" t="s">
        <v>558</v>
      </c>
      <c r="B185" s="32" t="s">
        <v>559</v>
      </c>
      <c r="C185" s="32" t="s">
        <v>528</v>
      </c>
      <c r="D185" s="175"/>
      <c r="E185" s="175"/>
      <c r="F185" s="175"/>
      <c r="G185" s="175"/>
      <c r="H185" s="175"/>
      <c r="I185" s="175"/>
      <c r="J185" s="182">
        <v>50</v>
      </c>
      <c r="K185" s="189">
        <v>170182</v>
      </c>
      <c r="L185" s="33">
        <f t="shared" si="11"/>
        <v>8509100</v>
      </c>
    </row>
    <row r="186" spans="1:12" ht="22.5" customHeight="1" x14ac:dyDescent="0.25">
      <c r="A186" s="32" t="s">
        <v>560</v>
      </c>
      <c r="B186" s="32" t="s">
        <v>561</v>
      </c>
      <c r="C186" s="32" t="s">
        <v>528</v>
      </c>
      <c r="D186" s="175"/>
      <c r="E186" s="175"/>
      <c r="F186" s="175"/>
      <c r="G186" s="175"/>
      <c r="H186" s="175"/>
      <c r="I186" s="175"/>
      <c r="J186" s="176"/>
      <c r="K186" s="177"/>
      <c r="L186" s="33">
        <f t="shared" si="11"/>
        <v>0</v>
      </c>
    </row>
    <row r="187" spans="1:12" ht="22.5" customHeight="1" x14ac:dyDescent="0.25">
      <c r="A187" s="32" t="s">
        <v>562</v>
      </c>
      <c r="B187" s="32" t="s">
        <v>563</v>
      </c>
      <c r="C187" s="32" t="s">
        <v>327</v>
      </c>
      <c r="D187" s="175"/>
      <c r="E187" s="175"/>
      <c r="F187" s="175"/>
      <c r="G187" s="175"/>
      <c r="H187" s="175"/>
      <c r="I187" s="175"/>
      <c r="J187" s="176"/>
      <c r="K187" s="177"/>
      <c r="L187" s="33">
        <f t="shared" si="11"/>
        <v>0</v>
      </c>
    </row>
    <row r="188" spans="1:12" ht="22.5" customHeight="1" x14ac:dyDescent="0.25">
      <c r="A188" s="196" t="s">
        <v>564</v>
      </c>
      <c r="B188" s="196" t="s">
        <v>40</v>
      </c>
      <c r="C188" s="196" t="s">
        <v>327</v>
      </c>
      <c r="D188" s="175"/>
      <c r="E188" s="175"/>
      <c r="F188" s="175"/>
      <c r="G188" s="175"/>
      <c r="H188" s="175"/>
      <c r="I188" s="175"/>
      <c r="J188" s="197">
        <v>2430</v>
      </c>
      <c r="K188" s="177">
        <v>40050</v>
      </c>
      <c r="L188" s="33">
        <f t="shared" si="11"/>
        <v>97321500</v>
      </c>
    </row>
    <row r="189" spans="1:12" ht="22.5" customHeight="1" x14ac:dyDescent="0.25">
      <c r="A189" s="32" t="s">
        <v>565</v>
      </c>
      <c r="B189" s="32" t="s">
        <v>43</v>
      </c>
      <c r="C189" s="32" t="s">
        <v>303</v>
      </c>
      <c r="D189" s="175"/>
      <c r="E189" s="175"/>
      <c r="F189" s="175"/>
      <c r="G189" s="175"/>
      <c r="H189" s="175"/>
      <c r="I189" s="175"/>
      <c r="J189" s="176"/>
      <c r="K189" s="177"/>
      <c r="L189" s="33">
        <f t="shared" si="11"/>
        <v>0</v>
      </c>
    </row>
    <row r="190" spans="1:12" ht="22.5" customHeight="1" x14ac:dyDescent="0.25">
      <c r="A190" s="53" t="s">
        <v>566</v>
      </c>
      <c r="B190" s="53" t="s">
        <v>44</v>
      </c>
      <c r="C190" s="53" t="s">
        <v>327</v>
      </c>
      <c r="D190" s="175"/>
      <c r="E190" s="175"/>
      <c r="F190" s="175"/>
      <c r="G190" s="175"/>
      <c r="H190" s="175"/>
      <c r="I190" s="175"/>
      <c r="J190" s="187">
        <v>300</v>
      </c>
      <c r="K190" s="188">
        <v>36184</v>
      </c>
      <c r="L190" s="57">
        <f t="shared" si="11"/>
        <v>10855200</v>
      </c>
    </row>
    <row r="191" spans="1:12" ht="22.5" customHeight="1" x14ac:dyDescent="0.25">
      <c r="A191" s="53" t="s">
        <v>567</v>
      </c>
      <c r="B191" s="53" t="s">
        <v>45</v>
      </c>
      <c r="C191" s="53" t="s">
        <v>327</v>
      </c>
      <c r="D191" s="175"/>
      <c r="E191" s="175"/>
      <c r="F191" s="175"/>
      <c r="G191" s="175"/>
      <c r="H191" s="175"/>
      <c r="I191" s="175"/>
      <c r="J191" s="187">
        <v>150</v>
      </c>
      <c r="K191" s="188">
        <v>36184</v>
      </c>
      <c r="L191" s="57">
        <f t="shared" si="11"/>
        <v>5427600</v>
      </c>
    </row>
    <row r="192" spans="1:12" ht="22.5" customHeight="1" x14ac:dyDescent="0.25">
      <c r="A192" s="32" t="s">
        <v>568</v>
      </c>
      <c r="B192" s="32" t="s">
        <v>46</v>
      </c>
      <c r="C192" s="32" t="s">
        <v>327</v>
      </c>
      <c r="D192" s="175"/>
      <c r="E192" s="175"/>
      <c r="F192" s="175"/>
      <c r="G192" s="175"/>
      <c r="H192" s="175"/>
      <c r="I192" s="175"/>
      <c r="J192" s="182">
        <v>65</v>
      </c>
      <c r="K192" s="189">
        <v>36184</v>
      </c>
      <c r="L192" s="33">
        <f t="shared" si="11"/>
        <v>2351960</v>
      </c>
    </row>
    <row r="193" spans="1:12" ht="22.5" customHeight="1" x14ac:dyDescent="0.25">
      <c r="A193" s="32" t="s">
        <v>569</v>
      </c>
      <c r="B193" s="32" t="s">
        <v>570</v>
      </c>
      <c r="C193" s="32" t="s">
        <v>327</v>
      </c>
      <c r="D193" s="175"/>
      <c r="E193" s="175"/>
      <c r="F193" s="175"/>
      <c r="G193" s="175"/>
      <c r="H193" s="175"/>
      <c r="I193" s="175"/>
      <c r="J193" s="176"/>
      <c r="K193" s="177"/>
      <c r="L193" s="33">
        <f t="shared" si="11"/>
        <v>0</v>
      </c>
    </row>
    <row r="194" spans="1:12" ht="22.5" customHeight="1" x14ac:dyDescent="0.25">
      <c r="A194" s="32" t="s">
        <v>571</v>
      </c>
      <c r="B194" s="32" t="s">
        <v>572</v>
      </c>
      <c r="C194" s="32" t="s">
        <v>528</v>
      </c>
      <c r="D194" s="175"/>
      <c r="E194" s="175"/>
      <c r="F194" s="175"/>
      <c r="G194" s="175"/>
      <c r="H194" s="175"/>
      <c r="I194" s="175"/>
      <c r="J194" s="182">
        <v>123</v>
      </c>
      <c r="K194" s="189">
        <v>234589</v>
      </c>
      <c r="L194" s="33">
        <f t="shared" si="11"/>
        <v>28854447</v>
      </c>
    </row>
    <row r="195" spans="1:12" ht="22.5" customHeight="1" x14ac:dyDescent="0.25">
      <c r="A195" s="32" t="s">
        <v>573</v>
      </c>
      <c r="B195" s="32" t="s">
        <v>574</v>
      </c>
      <c r="C195" s="32" t="s">
        <v>528</v>
      </c>
      <c r="D195" s="175"/>
      <c r="E195" s="175"/>
      <c r="F195" s="175"/>
      <c r="G195" s="175"/>
      <c r="H195" s="175"/>
      <c r="I195" s="175"/>
      <c r="J195" s="182">
        <v>117</v>
      </c>
      <c r="K195" s="189">
        <v>167564</v>
      </c>
      <c r="L195" s="33">
        <f t="shared" si="11"/>
        <v>19604988</v>
      </c>
    </row>
    <row r="196" spans="1:12" ht="22.5" customHeight="1" x14ac:dyDescent="0.25">
      <c r="A196" s="32" t="s">
        <v>575</v>
      </c>
      <c r="B196" s="32" t="s">
        <v>155</v>
      </c>
      <c r="C196" s="32" t="s">
        <v>528</v>
      </c>
      <c r="D196" s="175"/>
      <c r="E196" s="175"/>
      <c r="F196" s="175"/>
      <c r="G196" s="175"/>
      <c r="H196" s="175"/>
      <c r="I196" s="175"/>
      <c r="J196" s="176"/>
      <c r="K196" s="177"/>
      <c r="L196" s="33">
        <f t="shared" si="11"/>
        <v>0</v>
      </c>
    </row>
    <row r="197" spans="1:12" ht="22.5" customHeight="1" x14ac:dyDescent="0.25">
      <c r="A197" s="32" t="s">
        <v>576</v>
      </c>
      <c r="B197" s="32" t="s">
        <v>577</v>
      </c>
      <c r="C197" s="32" t="s">
        <v>528</v>
      </c>
      <c r="D197" s="175"/>
      <c r="E197" s="175"/>
      <c r="F197" s="175"/>
      <c r="G197" s="175"/>
      <c r="H197" s="175"/>
      <c r="I197" s="175"/>
      <c r="J197" s="182">
        <v>70</v>
      </c>
      <c r="K197" s="189">
        <v>234589</v>
      </c>
      <c r="L197" s="33">
        <f t="shared" si="11"/>
        <v>16421230</v>
      </c>
    </row>
    <row r="198" spans="1:12" ht="22.5" customHeight="1" x14ac:dyDescent="0.25">
      <c r="A198" s="32" t="s">
        <v>578</v>
      </c>
      <c r="B198" s="32" t="s">
        <v>161</v>
      </c>
      <c r="C198" s="32" t="s">
        <v>528</v>
      </c>
      <c r="D198" s="175"/>
      <c r="E198" s="175"/>
      <c r="F198" s="175"/>
      <c r="G198" s="175"/>
      <c r="H198" s="175"/>
      <c r="I198" s="175"/>
      <c r="J198" s="182">
        <v>92</v>
      </c>
      <c r="K198" s="189">
        <v>234589</v>
      </c>
      <c r="L198" s="33">
        <f t="shared" ref="L198:L261" si="12">J198*K198</f>
        <v>21582188</v>
      </c>
    </row>
    <row r="199" spans="1:12" ht="22.5" customHeight="1" x14ac:dyDescent="0.25">
      <c r="A199" s="32" t="s">
        <v>579</v>
      </c>
      <c r="B199" s="32" t="s">
        <v>580</v>
      </c>
      <c r="C199" s="32" t="s">
        <v>528</v>
      </c>
      <c r="D199" s="175"/>
      <c r="E199" s="175"/>
      <c r="F199" s="175"/>
      <c r="G199" s="175"/>
      <c r="H199" s="175"/>
      <c r="I199" s="175"/>
      <c r="J199" s="176"/>
      <c r="K199" s="177"/>
      <c r="L199" s="33">
        <f t="shared" si="12"/>
        <v>0</v>
      </c>
    </row>
    <row r="200" spans="1:12" ht="22.5" customHeight="1" x14ac:dyDescent="0.25">
      <c r="A200" s="32" t="s">
        <v>581</v>
      </c>
      <c r="B200" s="32" t="s">
        <v>582</v>
      </c>
      <c r="C200" s="32" t="s">
        <v>528</v>
      </c>
      <c r="D200" s="175"/>
      <c r="E200" s="175"/>
      <c r="F200" s="175"/>
      <c r="G200" s="175"/>
      <c r="H200" s="175"/>
      <c r="I200" s="175"/>
      <c r="J200" s="182">
        <v>84</v>
      </c>
      <c r="K200" s="189">
        <v>234589</v>
      </c>
      <c r="L200" s="33">
        <f t="shared" si="12"/>
        <v>19705476</v>
      </c>
    </row>
    <row r="201" spans="1:12" ht="22.5" customHeight="1" x14ac:dyDescent="0.25">
      <c r="A201" s="32" t="s">
        <v>583</v>
      </c>
      <c r="B201" s="32" t="s">
        <v>156</v>
      </c>
      <c r="C201" s="32" t="s">
        <v>528</v>
      </c>
      <c r="D201" s="175"/>
      <c r="E201" s="175"/>
      <c r="F201" s="175"/>
      <c r="G201" s="175"/>
      <c r="H201" s="175"/>
      <c r="I201" s="175"/>
      <c r="J201" s="182">
        <v>137</v>
      </c>
      <c r="K201" s="189">
        <v>234589</v>
      </c>
      <c r="L201" s="33">
        <f t="shared" si="12"/>
        <v>32138693</v>
      </c>
    </row>
    <row r="202" spans="1:12" ht="22.5" customHeight="1" x14ac:dyDescent="0.25">
      <c r="A202" s="32" t="s">
        <v>584</v>
      </c>
      <c r="B202" s="32" t="s">
        <v>157</v>
      </c>
      <c r="C202" s="32" t="s">
        <v>528</v>
      </c>
      <c r="D202" s="175"/>
      <c r="E202" s="175"/>
      <c r="F202" s="175"/>
      <c r="G202" s="175"/>
      <c r="H202" s="175"/>
      <c r="I202" s="175"/>
      <c r="J202" s="182">
        <v>100</v>
      </c>
      <c r="K202" s="189">
        <v>234589</v>
      </c>
      <c r="L202" s="33">
        <f t="shared" si="12"/>
        <v>23458900</v>
      </c>
    </row>
    <row r="203" spans="1:12" ht="22.5" customHeight="1" x14ac:dyDescent="0.25">
      <c r="A203" s="32" t="s">
        <v>585</v>
      </c>
      <c r="B203" s="32" t="s">
        <v>586</v>
      </c>
      <c r="C203" s="32" t="s">
        <v>528</v>
      </c>
      <c r="D203" s="175"/>
      <c r="E203" s="175"/>
      <c r="F203" s="175"/>
      <c r="G203" s="175"/>
      <c r="H203" s="175"/>
      <c r="I203" s="175"/>
      <c r="J203" s="182">
        <v>351</v>
      </c>
      <c r="K203" s="189">
        <v>115200</v>
      </c>
      <c r="L203" s="33">
        <f t="shared" si="12"/>
        <v>40435200</v>
      </c>
    </row>
    <row r="204" spans="1:12" ht="22.5" customHeight="1" x14ac:dyDescent="0.25">
      <c r="A204" s="53" t="s">
        <v>587</v>
      </c>
      <c r="B204" s="53" t="s">
        <v>163</v>
      </c>
      <c r="C204" s="53" t="s">
        <v>528</v>
      </c>
      <c r="D204" s="175"/>
      <c r="E204" s="175"/>
      <c r="F204" s="175"/>
      <c r="G204" s="175"/>
      <c r="H204" s="175"/>
      <c r="I204" s="175"/>
      <c r="J204" s="187">
        <v>700</v>
      </c>
      <c r="K204" s="188">
        <v>319418</v>
      </c>
      <c r="L204" s="57">
        <f t="shared" si="12"/>
        <v>223592600</v>
      </c>
    </row>
    <row r="205" spans="1:12" ht="22.5" customHeight="1" x14ac:dyDescent="0.25">
      <c r="A205" s="32" t="s">
        <v>588</v>
      </c>
      <c r="B205" s="32" t="s">
        <v>167</v>
      </c>
      <c r="C205" s="32" t="s">
        <v>528</v>
      </c>
      <c r="D205" s="175"/>
      <c r="E205" s="175"/>
      <c r="F205" s="175"/>
      <c r="G205" s="175"/>
      <c r="H205" s="175"/>
      <c r="I205" s="175"/>
      <c r="J205" s="176"/>
      <c r="K205" s="177"/>
      <c r="L205" s="33">
        <f t="shared" si="12"/>
        <v>0</v>
      </c>
    </row>
    <row r="206" spans="1:12" ht="22.5" customHeight="1" x14ac:dyDescent="0.25">
      <c r="A206" s="32" t="s">
        <v>589</v>
      </c>
      <c r="B206" s="32" t="s">
        <v>168</v>
      </c>
      <c r="C206" s="32" t="s">
        <v>528</v>
      </c>
      <c r="D206" s="175"/>
      <c r="E206" s="175"/>
      <c r="F206" s="175"/>
      <c r="G206" s="175"/>
      <c r="H206" s="175"/>
      <c r="I206" s="175"/>
      <c r="J206" s="176"/>
      <c r="K206" s="177"/>
      <c r="L206" s="33">
        <f t="shared" si="12"/>
        <v>0</v>
      </c>
    </row>
    <row r="207" spans="1:12" ht="22.5" customHeight="1" x14ac:dyDescent="0.25">
      <c r="A207" s="32" t="s">
        <v>590</v>
      </c>
      <c r="B207" s="32" t="s">
        <v>164</v>
      </c>
      <c r="C207" s="32" t="s">
        <v>528</v>
      </c>
      <c r="D207" s="175"/>
      <c r="E207" s="175"/>
      <c r="F207" s="175"/>
      <c r="G207" s="175"/>
      <c r="H207" s="175"/>
      <c r="I207" s="175"/>
      <c r="J207" s="176"/>
      <c r="K207" s="177"/>
      <c r="L207" s="33">
        <f t="shared" si="12"/>
        <v>0</v>
      </c>
    </row>
    <row r="208" spans="1:12" ht="22.5" customHeight="1" x14ac:dyDescent="0.25">
      <c r="A208" s="32" t="s">
        <v>591</v>
      </c>
      <c r="B208" s="32" t="s">
        <v>165</v>
      </c>
      <c r="C208" s="32" t="s">
        <v>528</v>
      </c>
      <c r="D208" s="175"/>
      <c r="E208" s="175"/>
      <c r="F208" s="175"/>
      <c r="G208" s="175"/>
      <c r="H208" s="175"/>
      <c r="I208" s="175"/>
      <c r="J208" s="182"/>
      <c r="K208" s="189">
        <v>0</v>
      </c>
      <c r="L208" s="33">
        <f t="shared" si="12"/>
        <v>0</v>
      </c>
    </row>
    <row r="209" spans="1:12" ht="22.5" customHeight="1" x14ac:dyDescent="0.25">
      <c r="A209" s="32" t="s">
        <v>592</v>
      </c>
      <c r="B209" s="32" t="s">
        <v>166</v>
      </c>
      <c r="C209" s="32" t="s">
        <v>528</v>
      </c>
      <c r="D209" s="175"/>
      <c r="E209" s="175"/>
      <c r="F209" s="175"/>
      <c r="G209" s="175"/>
      <c r="H209" s="175"/>
      <c r="I209" s="175"/>
      <c r="J209" s="176"/>
      <c r="K209" s="177"/>
      <c r="L209" s="33">
        <f t="shared" si="12"/>
        <v>0</v>
      </c>
    </row>
    <row r="210" spans="1:12" ht="22.5" customHeight="1" x14ac:dyDescent="0.25">
      <c r="A210" s="32" t="s">
        <v>593</v>
      </c>
      <c r="B210" s="32" t="s">
        <v>171</v>
      </c>
      <c r="C210" s="32" t="s">
        <v>528</v>
      </c>
      <c r="D210" s="175"/>
      <c r="E210" s="175"/>
      <c r="F210" s="175"/>
      <c r="G210" s="175"/>
      <c r="H210" s="175"/>
      <c r="I210" s="175"/>
      <c r="J210" s="176"/>
      <c r="K210" s="177"/>
      <c r="L210" s="33">
        <f t="shared" si="12"/>
        <v>0</v>
      </c>
    </row>
    <row r="211" spans="1:12" ht="22.5" customHeight="1" x14ac:dyDescent="0.25">
      <c r="A211" s="32" t="s">
        <v>594</v>
      </c>
      <c r="B211" s="32" t="s">
        <v>172</v>
      </c>
      <c r="C211" s="32" t="s">
        <v>528</v>
      </c>
      <c r="D211" s="175"/>
      <c r="E211" s="175"/>
      <c r="F211" s="175"/>
      <c r="G211" s="175"/>
      <c r="H211" s="175"/>
      <c r="I211" s="175"/>
      <c r="J211" s="182">
        <v>489</v>
      </c>
      <c r="K211" s="189">
        <v>188509</v>
      </c>
      <c r="L211" s="33">
        <f t="shared" si="12"/>
        <v>92180901</v>
      </c>
    </row>
    <row r="212" spans="1:12" ht="22.5" customHeight="1" x14ac:dyDescent="0.25">
      <c r="A212" s="32" t="s">
        <v>595</v>
      </c>
      <c r="B212" s="32" t="s">
        <v>173</v>
      </c>
      <c r="C212" s="32" t="s">
        <v>528</v>
      </c>
      <c r="D212" s="175"/>
      <c r="E212" s="175"/>
      <c r="F212" s="175"/>
      <c r="G212" s="175"/>
      <c r="H212" s="175"/>
      <c r="I212" s="175"/>
      <c r="J212" s="182">
        <v>509</v>
      </c>
      <c r="K212" s="189">
        <v>188509</v>
      </c>
      <c r="L212" s="33">
        <f t="shared" si="12"/>
        <v>95951081</v>
      </c>
    </row>
    <row r="213" spans="1:12" ht="22.5" customHeight="1" x14ac:dyDescent="0.25">
      <c r="A213" s="32" t="s">
        <v>596</v>
      </c>
      <c r="B213" s="32" t="s">
        <v>145</v>
      </c>
      <c r="C213" s="32" t="s">
        <v>528</v>
      </c>
      <c r="D213" s="175"/>
      <c r="E213" s="175"/>
      <c r="F213" s="175"/>
      <c r="G213" s="175"/>
      <c r="H213" s="175"/>
      <c r="I213" s="175"/>
      <c r="J213" s="176"/>
      <c r="K213" s="177"/>
      <c r="L213" s="33">
        <f t="shared" si="12"/>
        <v>0</v>
      </c>
    </row>
    <row r="214" spans="1:12" ht="22.5" customHeight="1" x14ac:dyDescent="0.25">
      <c r="A214" s="32" t="s">
        <v>597</v>
      </c>
      <c r="B214" s="32" t="s">
        <v>598</v>
      </c>
      <c r="C214" s="32" t="s">
        <v>528</v>
      </c>
      <c r="D214" s="175"/>
      <c r="E214" s="175"/>
      <c r="F214" s="175"/>
      <c r="G214" s="175"/>
      <c r="H214" s="175"/>
      <c r="I214" s="175"/>
      <c r="J214" s="176"/>
      <c r="K214" s="177"/>
      <c r="L214" s="33">
        <f t="shared" si="12"/>
        <v>0</v>
      </c>
    </row>
    <row r="215" spans="1:12" ht="22.5" customHeight="1" x14ac:dyDescent="0.25">
      <c r="A215" s="32" t="s">
        <v>599</v>
      </c>
      <c r="B215" s="32" t="s">
        <v>600</v>
      </c>
      <c r="C215" s="32" t="s">
        <v>528</v>
      </c>
      <c r="D215" s="175"/>
      <c r="E215" s="175"/>
      <c r="F215" s="175"/>
      <c r="G215" s="175"/>
      <c r="H215" s="175"/>
      <c r="I215" s="175"/>
      <c r="J215" s="182">
        <v>144</v>
      </c>
      <c r="K215" s="189">
        <v>157091</v>
      </c>
      <c r="L215" s="33">
        <f t="shared" si="12"/>
        <v>22621104</v>
      </c>
    </row>
    <row r="216" spans="1:12" ht="22.5" customHeight="1" x14ac:dyDescent="0.25">
      <c r="A216" s="32" t="s">
        <v>601</v>
      </c>
      <c r="B216" s="32" t="s">
        <v>602</v>
      </c>
      <c r="C216" s="32" t="s">
        <v>528</v>
      </c>
      <c r="D216" s="175"/>
      <c r="E216" s="175"/>
      <c r="F216" s="175"/>
      <c r="G216" s="175"/>
      <c r="H216" s="175"/>
      <c r="I216" s="175"/>
      <c r="J216" s="182">
        <v>149</v>
      </c>
      <c r="K216" s="189">
        <v>157091</v>
      </c>
      <c r="L216" s="33">
        <f t="shared" si="12"/>
        <v>23406559</v>
      </c>
    </row>
    <row r="217" spans="1:12" ht="22.5" customHeight="1" x14ac:dyDescent="0.25">
      <c r="A217" s="32" t="s">
        <v>603</v>
      </c>
      <c r="B217" s="32" t="s">
        <v>604</v>
      </c>
      <c r="C217" s="32" t="s">
        <v>528</v>
      </c>
      <c r="D217" s="175"/>
      <c r="E217" s="175"/>
      <c r="F217" s="175"/>
      <c r="G217" s="175"/>
      <c r="H217" s="175"/>
      <c r="I217" s="175"/>
      <c r="J217" s="176"/>
      <c r="K217" s="177"/>
      <c r="L217" s="33">
        <f t="shared" si="12"/>
        <v>0</v>
      </c>
    </row>
    <row r="218" spans="1:12" ht="22.5" customHeight="1" x14ac:dyDescent="0.25">
      <c r="A218" s="32" t="s">
        <v>605</v>
      </c>
      <c r="B218" s="32" t="s">
        <v>606</v>
      </c>
      <c r="C218" s="32" t="s">
        <v>528</v>
      </c>
      <c r="D218" s="175"/>
      <c r="E218" s="175"/>
      <c r="F218" s="175"/>
      <c r="G218" s="175"/>
      <c r="H218" s="175"/>
      <c r="I218" s="175"/>
      <c r="J218" s="176"/>
      <c r="K218" s="177"/>
      <c r="L218" s="33">
        <f t="shared" si="12"/>
        <v>0</v>
      </c>
    </row>
    <row r="219" spans="1:12" ht="22.5" customHeight="1" x14ac:dyDescent="0.25">
      <c r="A219" s="32" t="s">
        <v>607</v>
      </c>
      <c r="B219" s="32" t="s">
        <v>608</v>
      </c>
      <c r="C219" s="32" t="s">
        <v>528</v>
      </c>
      <c r="D219" s="175"/>
      <c r="E219" s="175"/>
      <c r="F219" s="175"/>
      <c r="G219" s="175"/>
      <c r="H219" s="175"/>
      <c r="I219" s="175"/>
      <c r="J219" s="176"/>
      <c r="K219" s="177"/>
      <c r="L219" s="33">
        <f t="shared" si="12"/>
        <v>0</v>
      </c>
    </row>
    <row r="220" spans="1:12" ht="22.5" customHeight="1" x14ac:dyDescent="0.25">
      <c r="A220" s="32" t="s">
        <v>609</v>
      </c>
      <c r="B220" s="32" t="s">
        <v>610</v>
      </c>
      <c r="C220" s="32" t="s">
        <v>528</v>
      </c>
      <c r="D220" s="175"/>
      <c r="E220" s="175"/>
      <c r="F220" s="175"/>
      <c r="G220" s="175"/>
      <c r="H220" s="175"/>
      <c r="I220" s="175"/>
      <c r="J220" s="176"/>
      <c r="K220" s="177"/>
      <c r="L220" s="33">
        <f t="shared" si="12"/>
        <v>0</v>
      </c>
    </row>
    <row r="221" spans="1:12" ht="22.5" customHeight="1" x14ac:dyDescent="0.25">
      <c r="A221" s="32" t="s">
        <v>611</v>
      </c>
      <c r="B221" s="32" t="s">
        <v>147</v>
      </c>
      <c r="C221" s="32" t="s">
        <v>528</v>
      </c>
      <c r="D221" s="175"/>
      <c r="E221" s="175"/>
      <c r="F221" s="175"/>
      <c r="G221" s="175"/>
      <c r="H221" s="175"/>
      <c r="I221" s="175"/>
      <c r="J221" s="176"/>
      <c r="K221" s="177"/>
      <c r="L221" s="33">
        <f t="shared" si="12"/>
        <v>0</v>
      </c>
    </row>
    <row r="222" spans="1:12" ht="22.5" customHeight="1" x14ac:dyDescent="0.25">
      <c r="A222" s="32" t="s">
        <v>612</v>
      </c>
      <c r="B222" s="32" t="s">
        <v>613</v>
      </c>
      <c r="C222" s="32" t="s">
        <v>528</v>
      </c>
      <c r="D222" s="175"/>
      <c r="E222" s="175"/>
      <c r="F222" s="175"/>
      <c r="G222" s="175"/>
      <c r="H222" s="175"/>
      <c r="I222" s="175"/>
      <c r="J222" s="176"/>
      <c r="K222" s="177"/>
      <c r="L222" s="33">
        <f t="shared" si="12"/>
        <v>0</v>
      </c>
    </row>
    <row r="223" spans="1:12" ht="22.5" customHeight="1" x14ac:dyDescent="0.25">
      <c r="A223" s="32" t="s">
        <v>614</v>
      </c>
      <c r="B223" s="32" t="s">
        <v>148</v>
      </c>
      <c r="C223" s="32" t="s">
        <v>528</v>
      </c>
      <c r="D223" s="175"/>
      <c r="E223" s="175"/>
      <c r="F223" s="175"/>
      <c r="G223" s="175"/>
      <c r="H223" s="175"/>
      <c r="I223" s="175"/>
      <c r="J223" s="176"/>
      <c r="K223" s="177"/>
      <c r="L223" s="33">
        <f t="shared" si="12"/>
        <v>0</v>
      </c>
    </row>
    <row r="224" spans="1:12" ht="22.5" customHeight="1" x14ac:dyDescent="0.25">
      <c r="A224" s="32" t="s">
        <v>615</v>
      </c>
      <c r="B224" s="32" t="s">
        <v>616</v>
      </c>
      <c r="C224" s="32" t="s">
        <v>528</v>
      </c>
      <c r="D224" s="175"/>
      <c r="E224" s="175"/>
      <c r="F224" s="175"/>
      <c r="G224" s="175"/>
      <c r="H224" s="175"/>
      <c r="I224" s="175"/>
      <c r="J224" s="176"/>
      <c r="K224" s="177"/>
      <c r="L224" s="33">
        <f t="shared" si="12"/>
        <v>0</v>
      </c>
    </row>
    <row r="225" spans="1:12" ht="22.5" customHeight="1" x14ac:dyDescent="0.25">
      <c r="A225" s="32" t="s">
        <v>617</v>
      </c>
      <c r="B225" s="32" t="s">
        <v>618</v>
      </c>
      <c r="C225" s="32" t="s">
        <v>528</v>
      </c>
      <c r="D225" s="175"/>
      <c r="E225" s="175"/>
      <c r="F225" s="175"/>
      <c r="G225" s="175"/>
      <c r="H225" s="175"/>
      <c r="I225" s="175"/>
      <c r="J225" s="176"/>
      <c r="K225" s="177"/>
      <c r="L225" s="33">
        <f t="shared" si="12"/>
        <v>0</v>
      </c>
    </row>
    <row r="226" spans="1:12" ht="22.5" customHeight="1" x14ac:dyDescent="0.25">
      <c r="A226" s="32" t="s">
        <v>619</v>
      </c>
      <c r="B226" s="32" t="s">
        <v>150</v>
      </c>
      <c r="C226" s="32" t="s">
        <v>528</v>
      </c>
      <c r="D226" s="175"/>
      <c r="E226" s="175"/>
      <c r="F226" s="175"/>
      <c r="G226" s="175"/>
      <c r="H226" s="175"/>
      <c r="I226" s="175"/>
      <c r="J226" s="176"/>
      <c r="K226" s="177"/>
      <c r="L226" s="33">
        <f t="shared" si="12"/>
        <v>0</v>
      </c>
    </row>
    <row r="227" spans="1:12" ht="22.5" customHeight="1" x14ac:dyDescent="0.25">
      <c r="A227" s="32" t="s">
        <v>620</v>
      </c>
      <c r="B227" s="32" t="s">
        <v>153</v>
      </c>
      <c r="C227" s="32" t="s">
        <v>528</v>
      </c>
      <c r="D227" s="175"/>
      <c r="E227" s="175"/>
      <c r="F227" s="175"/>
      <c r="G227" s="175"/>
      <c r="H227" s="175"/>
      <c r="I227" s="175"/>
      <c r="J227" s="176"/>
      <c r="K227" s="177"/>
      <c r="L227" s="33">
        <f t="shared" si="12"/>
        <v>0</v>
      </c>
    </row>
    <row r="228" spans="1:12" ht="22.5" customHeight="1" x14ac:dyDescent="0.25">
      <c r="A228" s="32" t="s">
        <v>621</v>
      </c>
      <c r="B228" s="32" t="s">
        <v>159</v>
      </c>
      <c r="C228" s="32" t="s">
        <v>528</v>
      </c>
      <c r="D228" s="175"/>
      <c r="E228" s="175"/>
      <c r="F228" s="175"/>
      <c r="G228" s="175"/>
      <c r="H228" s="175"/>
      <c r="I228" s="175"/>
      <c r="J228" s="182">
        <v>59</v>
      </c>
      <c r="K228" s="189">
        <v>264273</v>
      </c>
      <c r="L228" s="33">
        <f t="shared" si="12"/>
        <v>15592107</v>
      </c>
    </row>
    <row r="229" spans="1:12" ht="22.5" customHeight="1" x14ac:dyDescent="0.25">
      <c r="A229" s="32" t="s">
        <v>622</v>
      </c>
      <c r="B229" s="32" t="s">
        <v>160</v>
      </c>
      <c r="C229" s="32" t="s">
        <v>528</v>
      </c>
      <c r="D229" s="175"/>
      <c r="E229" s="175"/>
      <c r="F229" s="175"/>
      <c r="G229" s="175"/>
      <c r="H229" s="175"/>
      <c r="I229" s="175"/>
      <c r="J229" s="182">
        <v>4</v>
      </c>
      <c r="K229" s="189">
        <v>264273</v>
      </c>
      <c r="L229" s="33">
        <f t="shared" si="12"/>
        <v>1057092</v>
      </c>
    </row>
    <row r="230" spans="1:12" ht="22.5" customHeight="1" x14ac:dyDescent="0.25">
      <c r="A230" s="32" t="s">
        <v>623</v>
      </c>
      <c r="B230" s="32" t="s">
        <v>158</v>
      </c>
      <c r="C230" s="32" t="s">
        <v>528</v>
      </c>
      <c r="D230" s="175"/>
      <c r="E230" s="175"/>
      <c r="F230" s="175"/>
      <c r="G230" s="175"/>
      <c r="H230" s="175"/>
      <c r="I230" s="175"/>
      <c r="J230" s="176"/>
      <c r="K230" s="177"/>
      <c r="L230" s="33">
        <f t="shared" si="12"/>
        <v>0</v>
      </c>
    </row>
    <row r="231" spans="1:12" ht="22.5" customHeight="1" x14ac:dyDescent="0.25">
      <c r="A231" s="32" t="s">
        <v>624</v>
      </c>
      <c r="B231" s="32" t="s">
        <v>625</v>
      </c>
      <c r="C231" s="32" t="s">
        <v>528</v>
      </c>
      <c r="D231" s="175"/>
      <c r="E231" s="175"/>
      <c r="F231" s="175"/>
      <c r="G231" s="175"/>
      <c r="H231" s="175"/>
      <c r="I231" s="175"/>
      <c r="J231" s="176"/>
      <c r="K231" s="177"/>
      <c r="L231" s="33">
        <f t="shared" si="12"/>
        <v>0</v>
      </c>
    </row>
    <row r="232" spans="1:12" ht="22.5" customHeight="1" x14ac:dyDescent="0.25">
      <c r="A232" s="32" t="s">
        <v>626</v>
      </c>
      <c r="B232" s="32" t="s">
        <v>627</v>
      </c>
      <c r="C232" s="32" t="s">
        <v>528</v>
      </c>
      <c r="D232" s="175"/>
      <c r="E232" s="175"/>
      <c r="F232" s="175"/>
      <c r="G232" s="175"/>
      <c r="H232" s="175"/>
      <c r="I232" s="175"/>
      <c r="J232" s="176"/>
      <c r="K232" s="177"/>
      <c r="L232" s="33">
        <f t="shared" si="12"/>
        <v>0</v>
      </c>
    </row>
    <row r="233" spans="1:12" ht="22.5" customHeight="1" x14ac:dyDescent="0.25">
      <c r="A233" s="32" t="s">
        <v>628</v>
      </c>
      <c r="B233" s="32" t="s">
        <v>629</v>
      </c>
      <c r="C233" s="32" t="s">
        <v>528</v>
      </c>
      <c r="D233" s="175"/>
      <c r="E233" s="175"/>
      <c r="F233" s="175"/>
      <c r="G233" s="175"/>
      <c r="H233" s="175"/>
      <c r="I233" s="175"/>
      <c r="J233" s="176"/>
      <c r="K233" s="177"/>
      <c r="L233" s="33">
        <f t="shared" si="12"/>
        <v>0</v>
      </c>
    </row>
    <row r="234" spans="1:12" ht="22.5" customHeight="1" x14ac:dyDescent="0.25">
      <c r="A234" s="32" t="s">
        <v>630</v>
      </c>
      <c r="B234" s="32" t="s">
        <v>631</v>
      </c>
      <c r="C234" s="32" t="s">
        <v>528</v>
      </c>
      <c r="D234" s="175"/>
      <c r="E234" s="175"/>
      <c r="F234" s="175"/>
      <c r="G234" s="175"/>
      <c r="H234" s="175"/>
      <c r="I234" s="175"/>
      <c r="J234" s="176"/>
      <c r="K234" s="177"/>
      <c r="L234" s="33">
        <f t="shared" si="12"/>
        <v>0</v>
      </c>
    </row>
    <row r="235" spans="1:12" ht="22.5" customHeight="1" x14ac:dyDescent="0.25">
      <c r="A235" s="32" t="s">
        <v>632</v>
      </c>
      <c r="B235" s="32" t="s">
        <v>633</v>
      </c>
      <c r="C235" s="32" t="s">
        <v>528</v>
      </c>
      <c r="D235" s="175"/>
      <c r="E235" s="175"/>
      <c r="F235" s="175"/>
      <c r="G235" s="175"/>
      <c r="H235" s="175"/>
      <c r="I235" s="175"/>
      <c r="J235" s="176"/>
      <c r="K235" s="177"/>
      <c r="L235" s="33">
        <f t="shared" si="12"/>
        <v>0</v>
      </c>
    </row>
    <row r="236" spans="1:12" ht="22.5" customHeight="1" x14ac:dyDescent="0.25">
      <c r="A236" s="32" t="s">
        <v>634</v>
      </c>
      <c r="B236" s="32" t="s">
        <v>174</v>
      </c>
      <c r="C236" s="32" t="s">
        <v>528</v>
      </c>
      <c r="D236" s="175"/>
      <c r="E236" s="175"/>
      <c r="F236" s="175"/>
      <c r="G236" s="175"/>
      <c r="H236" s="175"/>
      <c r="I236" s="175"/>
      <c r="J236" s="182">
        <v>5</v>
      </c>
      <c r="K236" s="189">
        <v>274636</v>
      </c>
      <c r="L236" s="33">
        <f t="shared" si="12"/>
        <v>1373180</v>
      </c>
    </row>
    <row r="237" spans="1:12" ht="22.5" customHeight="1" x14ac:dyDescent="0.25">
      <c r="A237" s="32" t="s">
        <v>635</v>
      </c>
      <c r="B237" s="32" t="s">
        <v>162</v>
      </c>
      <c r="C237" s="32" t="s">
        <v>528</v>
      </c>
      <c r="D237" s="175"/>
      <c r="E237" s="175"/>
      <c r="F237" s="175"/>
      <c r="G237" s="175"/>
      <c r="H237" s="175"/>
      <c r="I237" s="175"/>
      <c r="J237" s="176"/>
      <c r="K237" s="177"/>
      <c r="L237" s="33">
        <f t="shared" si="12"/>
        <v>0</v>
      </c>
    </row>
    <row r="238" spans="1:12" ht="22.5" customHeight="1" x14ac:dyDescent="0.25">
      <c r="A238" s="32" t="s">
        <v>636</v>
      </c>
      <c r="B238" s="32" t="s">
        <v>637</v>
      </c>
      <c r="C238" s="32" t="s">
        <v>528</v>
      </c>
      <c r="D238" s="175"/>
      <c r="E238" s="175"/>
      <c r="F238" s="175"/>
      <c r="G238" s="175"/>
      <c r="H238" s="175"/>
      <c r="I238" s="175"/>
      <c r="J238" s="176"/>
      <c r="K238" s="177"/>
      <c r="L238" s="33">
        <f t="shared" si="12"/>
        <v>0</v>
      </c>
    </row>
    <row r="239" spans="1:12" ht="22.5" customHeight="1" x14ac:dyDescent="0.25">
      <c r="A239" s="32" t="s">
        <v>638</v>
      </c>
      <c r="B239" s="32" t="s">
        <v>169</v>
      </c>
      <c r="C239" s="32" t="s">
        <v>528</v>
      </c>
      <c r="D239" s="175"/>
      <c r="E239" s="175"/>
      <c r="F239" s="175"/>
      <c r="G239" s="175"/>
      <c r="H239" s="175"/>
      <c r="I239" s="175"/>
      <c r="J239" s="182">
        <v>670</v>
      </c>
      <c r="K239" s="189">
        <v>182083</v>
      </c>
      <c r="L239" s="33">
        <f t="shared" si="12"/>
        <v>121995610</v>
      </c>
    </row>
    <row r="240" spans="1:12" ht="22.5" customHeight="1" x14ac:dyDescent="0.25">
      <c r="A240" s="32" t="s">
        <v>639</v>
      </c>
      <c r="B240" s="32" t="s">
        <v>152</v>
      </c>
      <c r="C240" s="32" t="s">
        <v>528</v>
      </c>
      <c r="D240" s="175"/>
      <c r="E240" s="175"/>
      <c r="F240" s="175"/>
      <c r="G240" s="175"/>
      <c r="H240" s="175"/>
      <c r="I240" s="175"/>
      <c r="J240" s="176"/>
      <c r="K240" s="177"/>
      <c r="L240" s="33">
        <f t="shared" si="12"/>
        <v>0</v>
      </c>
    </row>
    <row r="241" spans="1:12" ht="22.5" customHeight="1" x14ac:dyDescent="0.25">
      <c r="A241" s="32" t="s">
        <v>640</v>
      </c>
      <c r="B241" s="32" t="s">
        <v>641</v>
      </c>
      <c r="C241" s="32" t="s">
        <v>311</v>
      </c>
      <c r="D241" s="175"/>
      <c r="E241" s="175"/>
      <c r="F241" s="175"/>
      <c r="G241" s="175"/>
      <c r="H241" s="175"/>
      <c r="I241" s="175"/>
      <c r="J241" s="176"/>
      <c r="K241" s="177"/>
      <c r="L241" s="33">
        <f t="shared" si="12"/>
        <v>0</v>
      </c>
    </row>
    <row r="242" spans="1:12" ht="22.5" customHeight="1" x14ac:dyDescent="0.25">
      <c r="A242" s="32" t="s">
        <v>642</v>
      </c>
      <c r="B242" s="32" t="s">
        <v>643</v>
      </c>
      <c r="C242" s="32" t="s">
        <v>303</v>
      </c>
      <c r="D242" s="175"/>
      <c r="E242" s="175"/>
      <c r="F242" s="175"/>
      <c r="G242" s="175"/>
      <c r="H242" s="175"/>
      <c r="I242" s="175"/>
      <c r="J242" s="176"/>
      <c r="K242" s="177"/>
      <c r="L242" s="33">
        <f t="shared" si="12"/>
        <v>0</v>
      </c>
    </row>
    <row r="243" spans="1:12" ht="22.5" customHeight="1" x14ac:dyDescent="0.25">
      <c r="A243" s="32" t="s">
        <v>644</v>
      </c>
      <c r="B243" s="32" t="s">
        <v>645</v>
      </c>
      <c r="C243" s="32" t="s">
        <v>303</v>
      </c>
      <c r="D243" s="175"/>
      <c r="E243" s="175"/>
      <c r="F243" s="175"/>
      <c r="G243" s="175"/>
      <c r="H243" s="175"/>
      <c r="I243" s="175"/>
      <c r="J243" s="176"/>
      <c r="K243" s="177"/>
      <c r="L243" s="33">
        <f t="shared" si="12"/>
        <v>0</v>
      </c>
    </row>
    <row r="244" spans="1:12" ht="22.5" customHeight="1" x14ac:dyDescent="0.25">
      <c r="A244" s="32" t="s">
        <v>646</v>
      </c>
      <c r="B244" s="32" t="s">
        <v>193</v>
      </c>
      <c r="C244" s="32" t="s">
        <v>528</v>
      </c>
      <c r="D244" s="175"/>
      <c r="E244" s="175"/>
      <c r="F244" s="175"/>
      <c r="G244" s="175"/>
      <c r="H244" s="175"/>
      <c r="I244" s="175"/>
      <c r="J244" s="182">
        <v>250</v>
      </c>
      <c r="K244" s="189">
        <v>213651.57</v>
      </c>
      <c r="L244" s="33">
        <f t="shared" si="12"/>
        <v>53412892.5</v>
      </c>
    </row>
    <row r="245" spans="1:12" ht="22.5" customHeight="1" x14ac:dyDescent="0.25">
      <c r="A245" s="81" t="s">
        <v>647</v>
      </c>
      <c r="B245" s="81" t="s">
        <v>195</v>
      </c>
      <c r="C245" s="81" t="s">
        <v>528</v>
      </c>
      <c r="D245" s="175"/>
      <c r="E245" s="175"/>
      <c r="F245" s="175"/>
      <c r="G245" s="175"/>
      <c r="H245" s="175"/>
      <c r="I245" s="175"/>
      <c r="J245" s="198">
        <v>9805</v>
      </c>
      <c r="K245" s="192">
        <v>213651.57</v>
      </c>
      <c r="L245" s="82">
        <f t="shared" si="12"/>
        <v>2094853643.8500001</v>
      </c>
    </row>
    <row r="246" spans="1:12" ht="22.5" customHeight="1" x14ac:dyDescent="0.25">
      <c r="A246" s="32" t="s">
        <v>648</v>
      </c>
      <c r="B246" s="32" t="s">
        <v>649</v>
      </c>
      <c r="C246" s="32" t="s">
        <v>303</v>
      </c>
      <c r="D246" s="175"/>
      <c r="E246" s="175"/>
      <c r="F246" s="175"/>
      <c r="G246" s="175"/>
      <c r="H246" s="175"/>
      <c r="I246" s="175"/>
      <c r="J246" s="176"/>
      <c r="K246" s="177"/>
      <c r="L246" s="33">
        <f t="shared" si="12"/>
        <v>0</v>
      </c>
    </row>
    <row r="247" spans="1:12" ht="22.5" customHeight="1" x14ac:dyDescent="0.25">
      <c r="A247" s="32" t="s">
        <v>650</v>
      </c>
      <c r="B247" s="32" t="s">
        <v>651</v>
      </c>
      <c r="C247" s="32" t="s">
        <v>303</v>
      </c>
      <c r="D247" s="175"/>
      <c r="E247" s="175"/>
      <c r="F247" s="175"/>
      <c r="G247" s="175"/>
      <c r="H247" s="175"/>
      <c r="I247" s="175"/>
      <c r="J247" s="176"/>
      <c r="K247" s="177"/>
      <c r="L247" s="33">
        <f t="shared" si="12"/>
        <v>0</v>
      </c>
    </row>
    <row r="248" spans="1:12" ht="22.5" customHeight="1" x14ac:dyDescent="0.25">
      <c r="A248" s="32" t="s">
        <v>652</v>
      </c>
      <c r="B248" s="32" t="s">
        <v>653</v>
      </c>
      <c r="C248" s="32" t="s">
        <v>654</v>
      </c>
      <c r="D248" s="175"/>
      <c r="E248" s="175"/>
      <c r="F248" s="175"/>
      <c r="G248" s="175"/>
      <c r="H248" s="175"/>
      <c r="I248" s="175"/>
      <c r="J248" s="176"/>
      <c r="K248" s="177"/>
      <c r="L248" s="33">
        <f t="shared" si="12"/>
        <v>0</v>
      </c>
    </row>
    <row r="249" spans="1:12" ht="22.5" customHeight="1" x14ac:dyDescent="0.25">
      <c r="A249" s="32" t="s">
        <v>655</v>
      </c>
      <c r="B249" s="32" t="s">
        <v>251</v>
      </c>
      <c r="C249" s="32" t="s">
        <v>327</v>
      </c>
      <c r="D249" s="175"/>
      <c r="E249" s="175"/>
      <c r="F249" s="175"/>
      <c r="G249" s="175"/>
      <c r="H249" s="175"/>
      <c r="I249" s="175"/>
      <c r="J249" s="176"/>
      <c r="K249" s="177"/>
      <c r="L249" s="33">
        <f t="shared" si="12"/>
        <v>0</v>
      </c>
    </row>
    <row r="250" spans="1:12" ht="22.5" customHeight="1" x14ac:dyDescent="0.25">
      <c r="A250" s="32" t="s">
        <v>656</v>
      </c>
      <c r="B250" s="32" t="s">
        <v>252</v>
      </c>
      <c r="C250" s="32" t="s">
        <v>327</v>
      </c>
      <c r="D250" s="175"/>
      <c r="E250" s="175"/>
      <c r="F250" s="175"/>
      <c r="G250" s="175"/>
      <c r="H250" s="175"/>
      <c r="I250" s="175"/>
      <c r="J250" s="176"/>
      <c r="K250" s="177"/>
      <c r="L250" s="33">
        <f t="shared" si="12"/>
        <v>0</v>
      </c>
    </row>
    <row r="251" spans="1:12" ht="22.5" customHeight="1" x14ac:dyDescent="0.25">
      <c r="A251" s="32" t="s">
        <v>657</v>
      </c>
      <c r="B251" s="32" t="s">
        <v>253</v>
      </c>
      <c r="C251" s="32" t="s">
        <v>327</v>
      </c>
      <c r="D251" s="175"/>
      <c r="E251" s="175"/>
      <c r="F251" s="175"/>
      <c r="G251" s="175"/>
      <c r="H251" s="175"/>
      <c r="I251" s="175"/>
      <c r="J251" s="176"/>
      <c r="K251" s="177"/>
      <c r="L251" s="33">
        <f t="shared" si="12"/>
        <v>0</v>
      </c>
    </row>
    <row r="252" spans="1:12" ht="22.5" customHeight="1" x14ac:dyDescent="0.25">
      <c r="A252" s="32" t="s">
        <v>658</v>
      </c>
      <c r="B252" s="32" t="s">
        <v>659</v>
      </c>
      <c r="C252" s="32" t="s">
        <v>327</v>
      </c>
      <c r="D252" s="175"/>
      <c r="E252" s="175"/>
      <c r="F252" s="175"/>
      <c r="G252" s="175"/>
      <c r="H252" s="175"/>
      <c r="I252" s="175"/>
      <c r="J252" s="176"/>
      <c r="K252" s="177"/>
      <c r="L252" s="33">
        <f t="shared" si="12"/>
        <v>0</v>
      </c>
    </row>
    <row r="253" spans="1:12" ht="22.5" customHeight="1" x14ac:dyDescent="0.25">
      <c r="A253" s="32" t="s">
        <v>660</v>
      </c>
      <c r="B253" s="32" t="s">
        <v>254</v>
      </c>
      <c r="C253" s="32" t="s">
        <v>327</v>
      </c>
      <c r="D253" s="175"/>
      <c r="E253" s="175"/>
      <c r="F253" s="175"/>
      <c r="G253" s="175"/>
      <c r="H253" s="175"/>
      <c r="I253" s="175"/>
      <c r="J253" s="176"/>
      <c r="K253" s="177"/>
      <c r="L253" s="33">
        <f t="shared" si="12"/>
        <v>0</v>
      </c>
    </row>
    <row r="254" spans="1:12" ht="22.5" customHeight="1" x14ac:dyDescent="0.25">
      <c r="A254" s="32" t="s">
        <v>661</v>
      </c>
      <c r="B254" s="32" t="s">
        <v>662</v>
      </c>
      <c r="C254" s="32" t="s">
        <v>303</v>
      </c>
      <c r="D254" s="175"/>
      <c r="E254" s="175"/>
      <c r="F254" s="175"/>
      <c r="G254" s="175"/>
      <c r="H254" s="175"/>
      <c r="I254" s="175"/>
      <c r="J254" s="176"/>
      <c r="K254" s="177"/>
      <c r="L254" s="33">
        <f t="shared" si="12"/>
        <v>0</v>
      </c>
    </row>
    <row r="255" spans="1:12" ht="22.5" customHeight="1" x14ac:dyDescent="0.25">
      <c r="A255" s="32" t="s">
        <v>663</v>
      </c>
      <c r="B255" s="32" t="s">
        <v>260</v>
      </c>
      <c r="C255" s="32" t="s">
        <v>327</v>
      </c>
      <c r="D255" s="175"/>
      <c r="E255" s="175"/>
      <c r="F255" s="175"/>
      <c r="G255" s="175"/>
      <c r="H255" s="175"/>
      <c r="I255" s="175"/>
      <c r="J255" s="182">
        <v>7</v>
      </c>
      <c r="K255" s="189">
        <v>35040</v>
      </c>
      <c r="L255" s="33">
        <f t="shared" si="12"/>
        <v>245280</v>
      </c>
    </row>
    <row r="256" spans="1:12" ht="22.5" customHeight="1" x14ac:dyDescent="0.25">
      <c r="A256" s="32" t="s">
        <v>664</v>
      </c>
      <c r="B256" s="32" t="s">
        <v>261</v>
      </c>
      <c r="C256" s="32" t="s">
        <v>327</v>
      </c>
      <c r="D256" s="175"/>
      <c r="E256" s="175"/>
      <c r="F256" s="175"/>
      <c r="G256" s="175"/>
      <c r="H256" s="175"/>
      <c r="I256" s="175"/>
      <c r="J256" s="176"/>
      <c r="K256" s="177"/>
      <c r="L256" s="33">
        <f t="shared" si="12"/>
        <v>0</v>
      </c>
    </row>
    <row r="257" spans="1:12" ht="22.5" customHeight="1" x14ac:dyDescent="0.25">
      <c r="A257" s="32" t="s">
        <v>665</v>
      </c>
      <c r="B257" s="32" t="s">
        <v>262</v>
      </c>
      <c r="C257" s="32" t="s">
        <v>327</v>
      </c>
      <c r="D257" s="175"/>
      <c r="E257" s="175"/>
      <c r="F257" s="175"/>
      <c r="G257" s="175"/>
      <c r="H257" s="175"/>
      <c r="I257" s="175"/>
      <c r="J257" s="182">
        <v>4</v>
      </c>
      <c r="K257" s="189">
        <v>33060.370000000003</v>
      </c>
      <c r="L257" s="33">
        <f t="shared" si="12"/>
        <v>132241.48000000001</v>
      </c>
    </row>
    <row r="258" spans="1:12" ht="22.5" customHeight="1" x14ac:dyDescent="0.25">
      <c r="A258" s="32" t="s">
        <v>666</v>
      </c>
      <c r="B258" s="32" t="s">
        <v>263</v>
      </c>
      <c r="C258" s="32" t="s">
        <v>327</v>
      </c>
      <c r="D258" s="175"/>
      <c r="E258" s="175"/>
      <c r="F258" s="175"/>
      <c r="G258" s="175"/>
      <c r="H258" s="175"/>
      <c r="I258" s="175"/>
      <c r="J258" s="176"/>
      <c r="K258" s="177"/>
      <c r="L258" s="33">
        <f t="shared" si="12"/>
        <v>0</v>
      </c>
    </row>
    <row r="259" spans="1:12" ht="22.5" customHeight="1" x14ac:dyDescent="0.25">
      <c r="A259" s="32" t="s">
        <v>667</v>
      </c>
      <c r="B259" s="32" t="s">
        <v>668</v>
      </c>
      <c r="C259" s="32" t="s">
        <v>327</v>
      </c>
      <c r="D259" s="175"/>
      <c r="E259" s="175"/>
      <c r="F259" s="175"/>
      <c r="G259" s="175"/>
      <c r="H259" s="175"/>
      <c r="I259" s="175"/>
      <c r="J259" s="176"/>
      <c r="K259" s="177"/>
      <c r="L259" s="33">
        <f t="shared" si="12"/>
        <v>0</v>
      </c>
    </row>
    <row r="260" spans="1:12" ht="22.5" customHeight="1" x14ac:dyDescent="0.25">
      <c r="A260" s="32" t="s">
        <v>669</v>
      </c>
      <c r="B260" s="32" t="s">
        <v>670</v>
      </c>
      <c r="C260" s="32" t="s">
        <v>327</v>
      </c>
      <c r="D260" s="175"/>
      <c r="E260" s="175"/>
      <c r="F260" s="175"/>
      <c r="G260" s="175"/>
      <c r="H260" s="175"/>
      <c r="I260" s="175"/>
      <c r="J260" s="176"/>
      <c r="K260" s="177"/>
      <c r="L260" s="33">
        <f t="shared" si="12"/>
        <v>0</v>
      </c>
    </row>
    <row r="261" spans="1:12" ht="22.5" customHeight="1" x14ac:dyDescent="0.25">
      <c r="A261" s="32" t="s">
        <v>671</v>
      </c>
      <c r="B261" s="32" t="s">
        <v>672</v>
      </c>
      <c r="C261" s="32" t="s">
        <v>327</v>
      </c>
      <c r="D261" s="175"/>
      <c r="E261" s="175"/>
      <c r="F261" s="175"/>
      <c r="G261" s="175"/>
      <c r="H261" s="175"/>
      <c r="I261" s="175"/>
      <c r="J261" s="176"/>
      <c r="K261" s="177"/>
      <c r="L261" s="33">
        <f t="shared" si="12"/>
        <v>0</v>
      </c>
    </row>
    <row r="262" spans="1:12" ht="22.5" customHeight="1" x14ac:dyDescent="0.25">
      <c r="A262" s="32" t="s">
        <v>673</v>
      </c>
      <c r="B262" s="32" t="s">
        <v>264</v>
      </c>
      <c r="C262" s="32" t="s">
        <v>327</v>
      </c>
      <c r="D262" s="175"/>
      <c r="E262" s="175"/>
      <c r="F262" s="175"/>
      <c r="G262" s="175"/>
      <c r="H262" s="175"/>
      <c r="I262" s="175"/>
      <c r="J262" s="176"/>
      <c r="K262" s="177"/>
      <c r="L262" s="33">
        <f t="shared" ref="L262:L325" si="13">J262*K262</f>
        <v>0</v>
      </c>
    </row>
    <row r="263" spans="1:12" ht="22.5" customHeight="1" x14ac:dyDescent="0.25">
      <c r="A263" s="32" t="s">
        <v>674</v>
      </c>
      <c r="B263" s="32" t="s">
        <v>675</v>
      </c>
      <c r="C263" s="32" t="s">
        <v>327</v>
      </c>
      <c r="D263" s="175"/>
      <c r="E263" s="175"/>
      <c r="F263" s="175"/>
      <c r="G263" s="175"/>
      <c r="H263" s="175"/>
      <c r="I263" s="175"/>
      <c r="J263" s="176"/>
      <c r="K263" s="177"/>
      <c r="L263" s="33">
        <f t="shared" si="13"/>
        <v>0</v>
      </c>
    </row>
    <row r="264" spans="1:12" ht="22.5" customHeight="1" x14ac:dyDescent="0.25">
      <c r="A264" s="32" t="s">
        <v>676</v>
      </c>
      <c r="B264" s="32" t="s">
        <v>266</v>
      </c>
      <c r="C264" s="32" t="s">
        <v>327</v>
      </c>
      <c r="D264" s="175"/>
      <c r="E264" s="175"/>
      <c r="F264" s="175"/>
      <c r="G264" s="175"/>
      <c r="H264" s="175"/>
      <c r="I264" s="175"/>
      <c r="J264" s="182">
        <v>5</v>
      </c>
      <c r="K264" s="189">
        <v>44160</v>
      </c>
      <c r="L264" s="33">
        <f t="shared" si="13"/>
        <v>220800</v>
      </c>
    </row>
    <row r="265" spans="1:12" ht="22.5" customHeight="1" x14ac:dyDescent="0.25">
      <c r="A265" s="32" t="s">
        <v>677</v>
      </c>
      <c r="B265" s="32" t="s">
        <v>265</v>
      </c>
      <c r="C265" s="32" t="s">
        <v>327</v>
      </c>
      <c r="D265" s="175"/>
      <c r="E265" s="175"/>
      <c r="F265" s="175"/>
      <c r="G265" s="175"/>
      <c r="H265" s="175"/>
      <c r="I265" s="175"/>
      <c r="J265" s="182">
        <v>5</v>
      </c>
      <c r="K265" s="189">
        <v>41280</v>
      </c>
      <c r="L265" s="33">
        <f t="shared" si="13"/>
        <v>206400</v>
      </c>
    </row>
    <row r="266" spans="1:12" ht="22.5" customHeight="1" x14ac:dyDescent="0.25">
      <c r="A266" s="32" t="s">
        <v>678</v>
      </c>
      <c r="B266" s="32" t="s">
        <v>267</v>
      </c>
      <c r="C266" s="32" t="s">
        <v>327</v>
      </c>
      <c r="D266" s="175"/>
      <c r="E266" s="175"/>
      <c r="F266" s="175"/>
      <c r="G266" s="175"/>
      <c r="H266" s="175"/>
      <c r="I266" s="175"/>
      <c r="J266" s="182">
        <v>6</v>
      </c>
      <c r="K266" s="189">
        <v>40800</v>
      </c>
      <c r="L266" s="33">
        <f t="shared" si="13"/>
        <v>244800</v>
      </c>
    </row>
    <row r="267" spans="1:12" ht="22.5" customHeight="1" x14ac:dyDescent="0.25">
      <c r="A267" s="32" t="s">
        <v>679</v>
      </c>
      <c r="B267" s="32" t="s">
        <v>680</v>
      </c>
      <c r="C267" s="32" t="s">
        <v>327</v>
      </c>
      <c r="D267" s="175"/>
      <c r="E267" s="175"/>
      <c r="F267" s="175"/>
      <c r="G267" s="175"/>
      <c r="H267" s="175"/>
      <c r="I267" s="175"/>
      <c r="J267" s="176"/>
      <c r="K267" s="177"/>
      <c r="L267" s="33">
        <f t="shared" si="13"/>
        <v>0</v>
      </c>
    </row>
    <row r="268" spans="1:12" ht="22.5" customHeight="1" x14ac:dyDescent="0.25">
      <c r="A268" s="32" t="s">
        <v>681</v>
      </c>
      <c r="B268" s="32" t="s">
        <v>682</v>
      </c>
      <c r="C268" s="32" t="s">
        <v>327</v>
      </c>
      <c r="D268" s="175"/>
      <c r="E268" s="175"/>
      <c r="F268" s="175"/>
      <c r="G268" s="175"/>
      <c r="H268" s="175"/>
      <c r="I268" s="175"/>
      <c r="J268" s="176"/>
      <c r="K268" s="177"/>
      <c r="L268" s="33">
        <f t="shared" si="13"/>
        <v>0</v>
      </c>
    </row>
    <row r="269" spans="1:12" ht="22.5" customHeight="1" x14ac:dyDescent="0.25">
      <c r="A269" s="32" t="s">
        <v>683</v>
      </c>
      <c r="B269" s="32" t="s">
        <v>684</v>
      </c>
      <c r="C269" s="32" t="s">
        <v>327</v>
      </c>
      <c r="D269" s="175"/>
      <c r="E269" s="175"/>
      <c r="F269" s="175"/>
      <c r="G269" s="175"/>
      <c r="H269" s="175"/>
      <c r="I269" s="175"/>
      <c r="J269" s="176"/>
      <c r="K269" s="177"/>
      <c r="L269" s="33">
        <f t="shared" si="13"/>
        <v>0</v>
      </c>
    </row>
    <row r="270" spans="1:12" ht="22.5" customHeight="1" x14ac:dyDescent="0.25">
      <c r="A270" s="32" t="s">
        <v>685</v>
      </c>
      <c r="B270" s="32" t="s">
        <v>686</v>
      </c>
      <c r="C270" s="32" t="s">
        <v>654</v>
      </c>
      <c r="D270" s="175"/>
      <c r="E270" s="175"/>
      <c r="F270" s="175"/>
      <c r="G270" s="175"/>
      <c r="H270" s="175"/>
      <c r="I270" s="175"/>
      <c r="J270" s="176"/>
      <c r="K270" s="177"/>
      <c r="L270" s="33">
        <f t="shared" si="13"/>
        <v>0</v>
      </c>
    </row>
    <row r="271" spans="1:12" ht="22.5" customHeight="1" x14ac:dyDescent="0.25">
      <c r="A271" s="32" t="s">
        <v>687</v>
      </c>
      <c r="B271" s="32" t="s">
        <v>688</v>
      </c>
      <c r="C271" s="32" t="s">
        <v>327</v>
      </c>
      <c r="D271" s="175"/>
      <c r="E271" s="175"/>
      <c r="F271" s="175"/>
      <c r="G271" s="175"/>
      <c r="H271" s="175"/>
      <c r="I271" s="175"/>
      <c r="J271" s="176"/>
      <c r="K271" s="177"/>
      <c r="L271" s="33">
        <f t="shared" si="13"/>
        <v>0</v>
      </c>
    </row>
    <row r="272" spans="1:12" ht="22.5" customHeight="1" x14ac:dyDescent="0.25">
      <c r="A272" s="32" t="s">
        <v>689</v>
      </c>
      <c r="B272" s="32" t="s">
        <v>268</v>
      </c>
      <c r="C272" s="32" t="s">
        <v>327</v>
      </c>
      <c r="D272" s="175"/>
      <c r="E272" s="175"/>
      <c r="F272" s="175"/>
      <c r="G272" s="175"/>
      <c r="H272" s="175"/>
      <c r="I272" s="175"/>
      <c r="J272" s="176"/>
      <c r="K272" s="177"/>
      <c r="L272" s="33">
        <f t="shared" si="13"/>
        <v>0</v>
      </c>
    </row>
    <row r="273" spans="1:12" ht="22.5" customHeight="1" x14ac:dyDescent="0.25">
      <c r="A273" s="32" t="s">
        <v>690</v>
      </c>
      <c r="B273" s="32" t="s">
        <v>269</v>
      </c>
      <c r="C273" s="32" t="s">
        <v>327</v>
      </c>
      <c r="D273" s="175"/>
      <c r="E273" s="175"/>
      <c r="F273" s="175"/>
      <c r="G273" s="175"/>
      <c r="H273" s="175"/>
      <c r="I273" s="175"/>
      <c r="J273" s="176"/>
      <c r="K273" s="177"/>
      <c r="L273" s="33">
        <f t="shared" si="13"/>
        <v>0</v>
      </c>
    </row>
    <row r="274" spans="1:12" ht="22.5" customHeight="1" x14ac:dyDescent="0.25">
      <c r="A274" s="32" t="s">
        <v>691</v>
      </c>
      <c r="B274" s="32" t="s">
        <v>692</v>
      </c>
      <c r="C274" s="32" t="s">
        <v>327</v>
      </c>
      <c r="D274" s="175"/>
      <c r="E274" s="175"/>
      <c r="F274" s="175"/>
      <c r="G274" s="175"/>
      <c r="H274" s="175"/>
      <c r="I274" s="175"/>
      <c r="J274" s="176"/>
      <c r="K274" s="177"/>
      <c r="L274" s="33">
        <f t="shared" si="13"/>
        <v>0</v>
      </c>
    </row>
    <row r="275" spans="1:12" ht="22.5" customHeight="1" x14ac:dyDescent="0.25">
      <c r="A275" s="32" t="s">
        <v>693</v>
      </c>
      <c r="B275" s="32" t="s">
        <v>270</v>
      </c>
      <c r="C275" s="32" t="s">
        <v>327</v>
      </c>
      <c r="D275" s="175"/>
      <c r="E275" s="175"/>
      <c r="F275" s="175"/>
      <c r="G275" s="175"/>
      <c r="H275" s="175"/>
      <c r="I275" s="175"/>
      <c r="J275" s="176"/>
      <c r="K275" s="177"/>
      <c r="L275" s="33">
        <f t="shared" si="13"/>
        <v>0</v>
      </c>
    </row>
    <row r="276" spans="1:12" ht="22.5" customHeight="1" x14ac:dyDescent="0.25">
      <c r="A276" s="32" t="s">
        <v>694</v>
      </c>
      <c r="B276" s="32" t="s">
        <v>257</v>
      </c>
      <c r="C276" s="32" t="s">
        <v>327</v>
      </c>
      <c r="D276" s="175"/>
      <c r="E276" s="175"/>
      <c r="F276" s="175"/>
      <c r="G276" s="175"/>
      <c r="H276" s="175"/>
      <c r="I276" s="175"/>
      <c r="J276" s="176"/>
      <c r="K276" s="177"/>
      <c r="L276" s="33">
        <f t="shared" si="13"/>
        <v>0</v>
      </c>
    </row>
    <row r="277" spans="1:12" ht="22.5" customHeight="1" x14ac:dyDescent="0.25">
      <c r="A277" s="32" t="s">
        <v>695</v>
      </c>
      <c r="B277" s="81" t="s">
        <v>696</v>
      </c>
      <c r="C277" s="81" t="s">
        <v>327</v>
      </c>
      <c r="D277" s="175"/>
      <c r="E277" s="175"/>
      <c r="F277" s="175"/>
      <c r="G277" s="175"/>
      <c r="H277" s="175"/>
      <c r="I277" s="175"/>
      <c r="J277" s="190">
        <v>226</v>
      </c>
      <c r="K277" s="189">
        <v>27744</v>
      </c>
      <c r="L277" s="33">
        <f t="shared" si="13"/>
        <v>6270144</v>
      </c>
    </row>
    <row r="278" spans="1:12" ht="22.5" customHeight="1" x14ac:dyDescent="0.25">
      <c r="A278" s="32" t="s">
        <v>697</v>
      </c>
      <c r="B278" s="32" t="s">
        <v>698</v>
      </c>
      <c r="C278" s="32" t="s">
        <v>699</v>
      </c>
      <c r="D278" s="175"/>
      <c r="E278" s="175"/>
      <c r="F278" s="175"/>
      <c r="G278" s="175"/>
      <c r="H278" s="175"/>
      <c r="I278" s="175"/>
      <c r="J278" s="176"/>
      <c r="K278" s="177"/>
      <c r="L278" s="33">
        <f t="shared" si="13"/>
        <v>0</v>
      </c>
    </row>
    <row r="279" spans="1:12" ht="22.5" customHeight="1" x14ac:dyDescent="0.25">
      <c r="A279" s="32" t="s">
        <v>700</v>
      </c>
      <c r="B279" s="32" t="s">
        <v>211</v>
      </c>
      <c r="C279" s="32" t="s">
        <v>303</v>
      </c>
      <c r="D279" s="175"/>
      <c r="E279" s="175"/>
      <c r="F279" s="175"/>
      <c r="G279" s="175"/>
      <c r="H279" s="175"/>
      <c r="I279" s="175"/>
      <c r="J279" s="182">
        <v>144</v>
      </c>
      <c r="K279" s="177">
        <v>18630</v>
      </c>
      <c r="L279" s="33">
        <f t="shared" si="13"/>
        <v>2682720</v>
      </c>
    </row>
    <row r="280" spans="1:12" ht="22.5" customHeight="1" x14ac:dyDescent="0.25">
      <c r="A280" s="32" t="s">
        <v>701</v>
      </c>
      <c r="B280" s="32" t="s">
        <v>273</v>
      </c>
      <c r="C280" s="32" t="s">
        <v>327</v>
      </c>
      <c r="D280" s="175"/>
      <c r="E280" s="175"/>
      <c r="F280" s="175"/>
      <c r="G280" s="175"/>
      <c r="H280" s="175"/>
      <c r="I280" s="175"/>
      <c r="J280" s="176"/>
      <c r="K280" s="177"/>
      <c r="L280" s="33">
        <f t="shared" si="13"/>
        <v>0</v>
      </c>
    </row>
    <row r="281" spans="1:12" ht="22.5" customHeight="1" x14ac:dyDescent="0.25">
      <c r="A281" s="32" t="s">
        <v>702</v>
      </c>
      <c r="B281" s="32" t="s">
        <v>275</v>
      </c>
      <c r="C281" s="32" t="s">
        <v>327</v>
      </c>
      <c r="D281" s="175"/>
      <c r="E281" s="175"/>
      <c r="F281" s="175"/>
      <c r="G281" s="175"/>
      <c r="H281" s="175"/>
      <c r="I281" s="175"/>
      <c r="J281" s="176"/>
      <c r="K281" s="177"/>
      <c r="L281" s="33">
        <f t="shared" si="13"/>
        <v>0</v>
      </c>
    </row>
    <row r="282" spans="1:12" ht="22.5" customHeight="1" x14ac:dyDescent="0.25">
      <c r="A282" s="32" t="s">
        <v>703</v>
      </c>
      <c r="B282" s="32" t="s">
        <v>276</v>
      </c>
      <c r="C282" s="32" t="s">
        <v>327</v>
      </c>
      <c r="D282" s="175"/>
      <c r="E282" s="175"/>
      <c r="F282" s="175"/>
      <c r="G282" s="175"/>
      <c r="H282" s="175"/>
      <c r="I282" s="175"/>
      <c r="J282" s="176"/>
      <c r="K282" s="177"/>
      <c r="L282" s="33">
        <f t="shared" si="13"/>
        <v>0</v>
      </c>
    </row>
    <row r="283" spans="1:12" ht="22.5" customHeight="1" x14ac:dyDescent="0.25">
      <c r="A283" s="32" t="s">
        <v>704</v>
      </c>
      <c r="B283" s="32" t="s">
        <v>274</v>
      </c>
      <c r="C283" s="32" t="s">
        <v>327</v>
      </c>
      <c r="D283" s="175"/>
      <c r="E283" s="175"/>
      <c r="F283" s="175"/>
      <c r="G283" s="175"/>
      <c r="H283" s="175"/>
      <c r="I283" s="175"/>
      <c r="J283" s="182">
        <v>14</v>
      </c>
      <c r="K283" s="177">
        <v>31950</v>
      </c>
      <c r="L283" s="33">
        <f t="shared" si="13"/>
        <v>447300</v>
      </c>
    </row>
    <row r="284" spans="1:12" ht="22.5" customHeight="1" x14ac:dyDescent="0.25">
      <c r="A284" s="32" t="s">
        <v>705</v>
      </c>
      <c r="B284" s="32" t="s">
        <v>214</v>
      </c>
      <c r="C284" s="32" t="s">
        <v>303</v>
      </c>
      <c r="D284" s="175"/>
      <c r="E284" s="175"/>
      <c r="F284" s="175"/>
      <c r="G284" s="175"/>
      <c r="H284" s="175"/>
      <c r="I284" s="175"/>
      <c r="J284" s="182">
        <v>10868</v>
      </c>
      <c r="K284" s="189">
        <v>24638</v>
      </c>
      <c r="L284" s="33">
        <f t="shared" si="13"/>
        <v>267765784</v>
      </c>
    </row>
    <row r="285" spans="1:12" ht="22.5" customHeight="1" x14ac:dyDescent="0.25">
      <c r="A285" s="32" t="s">
        <v>706</v>
      </c>
      <c r="B285" s="32" t="s">
        <v>277</v>
      </c>
      <c r="C285" s="32" t="s">
        <v>327</v>
      </c>
      <c r="D285" s="175"/>
      <c r="E285" s="175"/>
      <c r="F285" s="175"/>
      <c r="G285" s="175"/>
      <c r="H285" s="175"/>
      <c r="I285" s="175"/>
      <c r="J285" s="176"/>
      <c r="K285" s="177"/>
      <c r="L285" s="33">
        <f t="shared" si="13"/>
        <v>0</v>
      </c>
    </row>
    <row r="286" spans="1:12" ht="22.5" customHeight="1" x14ac:dyDescent="0.25">
      <c r="A286" s="32" t="s">
        <v>707</v>
      </c>
      <c r="B286" s="32" t="s">
        <v>708</v>
      </c>
      <c r="C286" s="32" t="s">
        <v>327</v>
      </c>
      <c r="D286" s="175"/>
      <c r="E286" s="175"/>
      <c r="F286" s="175"/>
      <c r="G286" s="175"/>
      <c r="H286" s="175"/>
      <c r="I286" s="175"/>
      <c r="J286" s="176"/>
      <c r="K286" s="177"/>
      <c r="L286" s="33">
        <f t="shared" si="13"/>
        <v>0</v>
      </c>
    </row>
    <row r="287" spans="1:12" ht="22.5" customHeight="1" x14ac:dyDescent="0.25">
      <c r="A287" s="32" t="s">
        <v>709</v>
      </c>
      <c r="B287" s="32" t="s">
        <v>278</v>
      </c>
      <c r="C287" s="32" t="s">
        <v>303</v>
      </c>
      <c r="D287" s="175"/>
      <c r="E287" s="175"/>
      <c r="F287" s="175"/>
      <c r="G287" s="175"/>
      <c r="H287" s="175"/>
      <c r="I287" s="175"/>
      <c r="J287" s="176"/>
      <c r="K287" s="177"/>
      <c r="L287" s="33">
        <f t="shared" si="13"/>
        <v>0</v>
      </c>
    </row>
    <row r="288" spans="1:12" ht="22.5" customHeight="1" x14ac:dyDescent="0.25">
      <c r="A288" s="32" t="s">
        <v>710</v>
      </c>
      <c r="B288" s="32" t="s">
        <v>711</v>
      </c>
      <c r="C288" s="32" t="s">
        <v>327</v>
      </c>
      <c r="D288" s="175"/>
      <c r="E288" s="175"/>
      <c r="F288" s="175"/>
      <c r="G288" s="175"/>
      <c r="H288" s="175"/>
      <c r="I288" s="175"/>
      <c r="J288" s="176"/>
      <c r="K288" s="177"/>
      <c r="L288" s="33">
        <f t="shared" si="13"/>
        <v>0</v>
      </c>
    </row>
    <row r="289" spans="1:12" ht="22.5" customHeight="1" x14ac:dyDescent="0.25">
      <c r="A289" s="32" t="s">
        <v>712</v>
      </c>
      <c r="B289" s="32" t="s">
        <v>713</v>
      </c>
      <c r="C289" s="32" t="s">
        <v>303</v>
      </c>
      <c r="D289" s="175"/>
      <c r="E289" s="175"/>
      <c r="F289" s="175"/>
      <c r="G289" s="175"/>
      <c r="H289" s="175"/>
      <c r="I289" s="175"/>
      <c r="J289" s="176"/>
      <c r="K289" s="177"/>
      <c r="L289" s="33">
        <f t="shared" si="13"/>
        <v>0</v>
      </c>
    </row>
    <row r="290" spans="1:12" ht="22.5" customHeight="1" x14ac:dyDescent="0.25">
      <c r="A290" s="32" t="s">
        <v>714</v>
      </c>
      <c r="B290" s="32" t="s">
        <v>715</v>
      </c>
      <c r="C290" s="32" t="s">
        <v>303</v>
      </c>
      <c r="D290" s="175"/>
      <c r="E290" s="175"/>
      <c r="F290" s="175"/>
      <c r="G290" s="175"/>
      <c r="H290" s="175"/>
      <c r="I290" s="175"/>
      <c r="J290" s="176"/>
      <c r="K290" s="177"/>
      <c r="L290" s="33">
        <f t="shared" si="13"/>
        <v>0</v>
      </c>
    </row>
    <row r="291" spans="1:12" ht="22.5" customHeight="1" x14ac:dyDescent="0.25">
      <c r="A291" s="32" t="s">
        <v>716</v>
      </c>
      <c r="B291" s="32" t="s">
        <v>279</v>
      </c>
      <c r="C291" s="32" t="s">
        <v>327</v>
      </c>
      <c r="D291" s="175"/>
      <c r="E291" s="175"/>
      <c r="F291" s="175"/>
      <c r="G291" s="175"/>
      <c r="H291" s="175"/>
      <c r="I291" s="175"/>
      <c r="J291" s="176"/>
      <c r="K291" s="177"/>
      <c r="L291" s="33">
        <f t="shared" si="13"/>
        <v>0</v>
      </c>
    </row>
    <row r="292" spans="1:12" ht="22.5" customHeight="1" x14ac:dyDescent="0.25">
      <c r="A292" s="32" t="s">
        <v>717</v>
      </c>
      <c r="B292" s="32" t="s">
        <v>280</v>
      </c>
      <c r="C292" s="32" t="s">
        <v>327</v>
      </c>
      <c r="D292" s="175"/>
      <c r="E292" s="175"/>
      <c r="F292" s="175"/>
      <c r="G292" s="175"/>
      <c r="H292" s="175"/>
      <c r="I292" s="175"/>
      <c r="J292" s="176"/>
      <c r="K292" s="177"/>
      <c r="L292" s="33">
        <f t="shared" si="13"/>
        <v>0</v>
      </c>
    </row>
    <row r="293" spans="1:12" ht="22.5" customHeight="1" x14ac:dyDescent="0.25">
      <c r="A293" s="32" t="s">
        <v>718</v>
      </c>
      <c r="B293" s="32" t="s">
        <v>719</v>
      </c>
      <c r="C293" s="32" t="s">
        <v>327</v>
      </c>
      <c r="D293" s="175"/>
      <c r="E293" s="175"/>
      <c r="F293" s="175"/>
      <c r="G293" s="175"/>
      <c r="H293" s="175"/>
      <c r="I293" s="175"/>
      <c r="J293" s="182">
        <v>167</v>
      </c>
      <c r="K293" s="189">
        <v>17640</v>
      </c>
      <c r="L293" s="33">
        <f t="shared" si="13"/>
        <v>2945880</v>
      </c>
    </row>
    <row r="294" spans="1:12" ht="22.5" customHeight="1" x14ac:dyDescent="0.25">
      <c r="A294" s="32" t="s">
        <v>720</v>
      </c>
      <c r="B294" s="32" t="s">
        <v>282</v>
      </c>
      <c r="C294" s="32" t="s">
        <v>327</v>
      </c>
      <c r="D294" s="175"/>
      <c r="E294" s="175"/>
      <c r="F294" s="175"/>
      <c r="G294" s="175"/>
      <c r="H294" s="175"/>
      <c r="I294" s="175"/>
      <c r="J294" s="182">
        <v>13</v>
      </c>
      <c r="K294" s="189">
        <v>35280</v>
      </c>
      <c r="L294" s="33">
        <f t="shared" si="13"/>
        <v>458640</v>
      </c>
    </row>
    <row r="295" spans="1:12" ht="22.5" customHeight="1" x14ac:dyDescent="0.25">
      <c r="A295" s="32" t="s">
        <v>721</v>
      </c>
      <c r="B295" s="32" t="s">
        <v>233</v>
      </c>
      <c r="C295" s="32" t="s">
        <v>654</v>
      </c>
      <c r="D295" s="175"/>
      <c r="E295" s="175"/>
      <c r="F295" s="175"/>
      <c r="G295" s="175"/>
      <c r="H295" s="175"/>
      <c r="I295" s="175"/>
      <c r="J295" s="182">
        <v>2974</v>
      </c>
      <c r="K295" s="189">
        <v>62720</v>
      </c>
      <c r="L295" s="33">
        <f t="shared" si="13"/>
        <v>186529280</v>
      </c>
    </row>
    <row r="296" spans="1:12" ht="22.5" customHeight="1" x14ac:dyDescent="0.25">
      <c r="A296" s="32" t="s">
        <v>722</v>
      </c>
      <c r="B296" s="32" t="s">
        <v>245</v>
      </c>
      <c r="C296" s="32" t="s">
        <v>303</v>
      </c>
      <c r="D296" s="175"/>
      <c r="E296" s="175"/>
      <c r="F296" s="175"/>
      <c r="G296" s="175"/>
      <c r="H296" s="175"/>
      <c r="I296" s="175"/>
      <c r="J296" s="176"/>
      <c r="K296" s="177"/>
      <c r="L296" s="33">
        <f t="shared" si="13"/>
        <v>0</v>
      </c>
    </row>
    <row r="297" spans="1:12" ht="22.5" customHeight="1" x14ac:dyDescent="0.25">
      <c r="A297" s="32" t="s">
        <v>723</v>
      </c>
      <c r="B297" s="32" t="s">
        <v>724</v>
      </c>
      <c r="C297" s="32" t="s">
        <v>654</v>
      </c>
      <c r="D297" s="175"/>
      <c r="E297" s="175"/>
      <c r="F297" s="175"/>
      <c r="G297" s="175"/>
      <c r="H297" s="175"/>
      <c r="I297" s="175"/>
      <c r="J297" s="176"/>
      <c r="K297" s="177"/>
      <c r="L297" s="33">
        <f t="shared" si="13"/>
        <v>0</v>
      </c>
    </row>
    <row r="298" spans="1:12" ht="22.5" customHeight="1" x14ac:dyDescent="0.25">
      <c r="A298" s="32" t="s">
        <v>725</v>
      </c>
      <c r="B298" s="32" t="s">
        <v>726</v>
      </c>
      <c r="C298" s="32" t="s">
        <v>528</v>
      </c>
      <c r="D298" s="175"/>
      <c r="E298" s="175"/>
      <c r="F298" s="175"/>
      <c r="G298" s="175"/>
      <c r="H298" s="175"/>
      <c r="I298" s="175"/>
      <c r="J298" s="176"/>
      <c r="K298" s="177"/>
      <c r="L298" s="33">
        <f t="shared" si="13"/>
        <v>0</v>
      </c>
    </row>
    <row r="299" spans="1:12" ht="22.5" customHeight="1" x14ac:dyDescent="0.25">
      <c r="A299" s="32" t="s">
        <v>727</v>
      </c>
      <c r="B299" s="32" t="s">
        <v>728</v>
      </c>
      <c r="C299" s="32" t="s">
        <v>327</v>
      </c>
      <c r="D299" s="175"/>
      <c r="E299" s="175"/>
      <c r="F299" s="175"/>
      <c r="G299" s="175"/>
      <c r="H299" s="175"/>
      <c r="I299" s="175"/>
      <c r="J299" s="176"/>
      <c r="K299" s="177"/>
      <c r="L299" s="33">
        <f t="shared" si="13"/>
        <v>0</v>
      </c>
    </row>
    <row r="300" spans="1:12" ht="22.5" customHeight="1" x14ac:dyDescent="0.25">
      <c r="A300" s="32" t="s">
        <v>729</v>
      </c>
      <c r="B300" s="32" t="s">
        <v>730</v>
      </c>
      <c r="C300" s="32" t="s">
        <v>327</v>
      </c>
      <c r="D300" s="175"/>
      <c r="E300" s="175"/>
      <c r="F300" s="175"/>
      <c r="G300" s="175"/>
      <c r="H300" s="175"/>
      <c r="I300" s="175"/>
      <c r="J300" s="176"/>
      <c r="K300" s="177"/>
      <c r="L300" s="33">
        <f t="shared" si="13"/>
        <v>0</v>
      </c>
    </row>
    <row r="301" spans="1:12" ht="22.5" customHeight="1" x14ac:dyDescent="0.25">
      <c r="A301" s="32" t="s">
        <v>731</v>
      </c>
      <c r="B301" s="32" t="s">
        <v>287</v>
      </c>
      <c r="C301" s="32" t="s">
        <v>327</v>
      </c>
      <c r="D301" s="175"/>
      <c r="E301" s="175"/>
      <c r="F301" s="175"/>
      <c r="G301" s="175"/>
      <c r="H301" s="175"/>
      <c r="I301" s="175"/>
      <c r="J301" s="182">
        <v>8</v>
      </c>
      <c r="K301" s="189">
        <v>29616</v>
      </c>
      <c r="L301" s="33">
        <f t="shared" si="13"/>
        <v>236928</v>
      </c>
    </row>
    <row r="302" spans="1:12" ht="22.5" customHeight="1" x14ac:dyDescent="0.25">
      <c r="A302" s="32" t="s">
        <v>732</v>
      </c>
      <c r="B302" s="32" t="s">
        <v>618</v>
      </c>
      <c r="C302" s="32" t="s">
        <v>327</v>
      </c>
      <c r="D302" s="175"/>
      <c r="E302" s="175"/>
      <c r="F302" s="175"/>
      <c r="G302" s="175"/>
      <c r="H302" s="175"/>
      <c r="I302" s="175"/>
      <c r="J302" s="176"/>
      <c r="K302" s="177"/>
      <c r="L302" s="33">
        <f t="shared" si="13"/>
        <v>0</v>
      </c>
    </row>
    <row r="303" spans="1:12" ht="22.5" customHeight="1" x14ac:dyDescent="0.25">
      <c r="A303" s="32" t="s">
        <v>733</v>
      </c>
      <c r="B303" s="32" t="s">
        <v>210</v>
      </c>
      <c r="C303" s="32" t="s">
        <v>327</v>
      </c>
      <c r="D303" s="175"/>
      <c r="E303" s="175"/>
      <c r="F303" s="175"/>
      <c r="G303" s="175"/>
      <c r="H303" s="175"/>
      <c r="I303" s="175"/>
      <c r="J303" s="182">
        <v>625</v>
      </c>
      <c r="K303" s="189">
        <v>13152</v>
      </c>
      <c r="L303" s="33">
        <f t="shared" si="13"/>
        <v>8220000</v>
      </c>
    </row>
    <row r="304" spans="1:12" ht="22.5" customHeight="1" x14ac:dyDescent="0.25">
      <c r="A304" s="32" t="s">
        <v>734</v>
      </c>
      <c r="B304" s="32" t="s">
        <v>735</v>
      </c>
      <c r="C304" s="32" t="s">
        <v>736</v>
      </c>
      <c r="D304" s="175"/>
      <c r="E304" s="175"/>
      <c r="F304" s="175"/>
      <c r="G304" s="175"/>
      <c r="H304" s="175"/>
      <c r="I304" s="175"/>
      <c r="J304" s="176"/>
      <c r="K304" s="177"/>
      <c r="L304" s="33">
        <f t="shared" si="13"/>
        <v>0</v>
      </c>
    </row>
    <row r="305" spans="1:12" ht="22.5" customHeight="1" x14ac:dyDescent="0.25">
      <c r="A305" s="32" t="s">
        <v>737</v>
      </c>
      <c r="B305" s="32" t="s">
        <v>182</v>
      </c>
      <c r="C305" s="32" t="s">
        <v>528</v>
      </c>
      <c r="D305" s="175"/>
      <c r="E305" s="175"/>
      <c r="F305" s="175"/>
      <c r="G305" s="175"/>
      <c r="H305" s="175"/>
      <c r="I305" s="175"/>
      <c r="J305" s="176"/>
      <c r="K305" s="177"/>
      <c r="L305" s="33">
        <f t="shared" si="13"/>
        <v>0</v>
      </c>
    </row>
    <row r="306" spans="1:12" ht="22.5" customHeight="1" x14ac:dyDescent="0.25">
      <c r="A306" s="53" t="s">
        <v>738</v>
      </c>
      <c r="B306" s="53" t="s">
        <v>183</v>
      </c>
      <c r="C306" s="53" t="s">
        <v>528</v>
      </c>
      <c r="D306" s="175"/>
      <c r="E306" s="175"/>
      <c r="F306" s="175"/>
      <c r="G306" s="175"/>
      <c r="H306" s="175"/>
      <c r="I306" s="175"/>
      <c r="J306" s="187">
        <v>750</v>
      </c>
      <c r="K306" s="188">
        <v>54405.18</v>
      </c>
      <c r="L306" s="57">
        <f t="shared" si="13"/>
        <v>40803885</v>
      </c>
    </row>
    <row r="307" spans="1:12" ht="22.5" customHeight="1" x14ac:dyDescent="0.25">
      <c r="A307" s="53" t="s">
        <v>739</v>
      </c>
      <c r="B307" s="53" t="s">
        <v>184</v>
      </c>
      <c r="C307" s="53" t="s">
        <v>528</v>
      </c>
      <c r="D307" s="175"/>
      <c r="E307" s="175"/>
      <c r="F307" s="175"/>
      <c r="G307" s="175"/>
      <c r="H307" s="175"/>
      <c r="I307" s="175"/>
      <c r="J307" s="187">
        <v>678</v>
      </c>
      <c r="K307" s="188">
        <v>54405.18</v>
      </c>
      <c r="L307" s="57">
        <f t="shared" si="13"/>
        <v>36886712.039999999</v>
      </c>
    </row>
    <row r="308" spans="1:12" ht="22.5" customHeight="1" x14ac:dyDescent="0.25">
      <c r="A308" s="32" t="s">
        <v>740</v>
      </c>
      <c r="B308" s="32" t="s">
        <v>189</v>
      </c>
      <c r="C308" s="32" t="s">
        <v>303</v>
      </c>
      <c r="D308" s="175"/>
      <c r="E308" s="175"/>
      <c r="F308" s="175"/>
      <c r="G308" s="175"/>
      <c r="H308" s="175"/>
      <c r="I308" s="175"/>
      <c r="J308" s="182">
        <v>555</v>
      </c>
      <c r="K308" s="189">
        <v>44306.06</v>
      </c>
      <c r="L308" s="33">
        <f t="shared" si="13"/>
        <v>24589863.299999997</v>
      </c>
    </row>
    <row r="309" spans="1:12" ht="22.5" customHeight="1" x14ac:dyDescent="0.25">
      <c r="A309" s="32" t="s">
        <v>741</v>
      </c>
      <c r="B309" s="32" t="s">
        <v>742</v>
      </c>
      <c r="C309" s="32" t="s">
        <v>303</v>
      </c>
      <c r="D309" s="175"/>
      <c r="E309" s="175"/>
      <c r="F309" s="175"/>
      <c r="G309" s="175"/>
      <c r="H309" s="175"/>
      <c r="I309" s="175"/>
      <c r="J309" s="176"/>
      <c r="K309" s="177"/>
      <c r="L309" s="33">
        <f t="shared" si="13"/>
        <v>0</v>
      </c>
    </row>
    <row r="310" spans="1:12" ht="22.5" customHeight="1" x14ac:dyDescent="0.25">
      <c r="A310" s="32" t="s">
        <v>743</v>
      </c>
      <c r="B310" s="32" t="s">
        <v>186</v>
      </c>
      <c r="C310" s="32" t="s">
        <v>303</v>
      </c>
      <c r="D310" s="175"/>
      <c r="E310" s="175"/>
      <c r="F310" s="175"/>
      <c r="G310" s="175"/>
      <c r="H310" s="175"/>
      <c r="I310" s="175"/>
      <c r="J310" s="182">
        <v>4395</v>
      </c>
      <c r="K310" s="189">
        <v>43373.31</v>
      </c>
      <c r="L310" s="33">
        <f t="shared" si="13"/>
        <v>190625697.44999999</v>
      </c>
    </row>
    <row r="311" spans="1:12" ht="22.5" customHeight="1" x14ac:dyDescent="0.25">
      <c r="A311" s="32" t="s">
        <v>744</v>
      </c>
      <c r="B311" s="32" t="s">
        <v>745</v>
      </c>
      <c r="C311" s="32" t="s">
        <v>303</v>
      </c>
      <c r="D311" s="175"/>
      <c r="E311" s="175"/>
      <c r="F311" s="175"/>
      <c r="G311" s="175"/>
      <c r="H311" s="175"/>
      <c r="I311" s="175"/>
      <c r="J311" s="176"/>
      <c r="K311" s="177"/>
      <c r="L311" s="33">
        <f t="shared" si="13"/>
        <v>0</v>
      </c>
    </row>
    <row r="312" spans="1:12" ht="22.5" customHeight="1" x14ac:dyDescent="0.25">
      <c r="A312" s="32" t="s">
        <v>746</v>
      </c>
      <c r="B312" s="32" t="s">
        <v>185</v>
      </c>
      <c r="C312" s="32" t="s">
        <v>303</v>
      </c>
      <c r="D312" s="175"/>
      <c r="E312" s="175"/>
      <c r="F312" s="175"/>
      <c r="G312" s="175"/>
      <c r="H312" s="175"/>
      <c r="I312" s="175"/>
      <c r="J312" s="182">
        <v>925</v>
      </c>
      <c r="K312" s="189">
        <v>180233.73</v>
      </c>
      <c r="L312" s="33">
        <f t="shared" si="13"/>
        <v>166716200.25</v>
      </c>
    </row>
    <row r="313" spans="1:12" ht="22.5" customHeight="1" x14ac:dyDescent="0.25">
      <c r="A313" s="32" t="s">
        <v>747</v>
      </c>
      <c r="B313" s="32" t="s">
        <v>748</v>
      </c>
      <c r="C313" s="32" t="s">
        <v>303</v>
      </c>
      <c r="D313" s="175"/>
      <c r="E313" s="175"/>
      <c r="F313" s="175"/>
      <c r="G313" s="175"/>
      <c r="H313" s="175"/>
      <c r="I313" s="175"/>
      <c r="J313" s="182">
        <v>8407</v>
      </c>
      <c r="K313" s="189">
        <v>178467</v>
      </c>
      <c r="L313" s="33">
        <f t="shared" si="13"/>
        <v>1500372069</v>
      </c>
    </row>
    <row r="314" spans="1:12" ht="22.5" customHeight="1" x14ac:dyDescent="0.25">
      <c r="A314" s="32" t="s">
        <v>749</v>
      </c>
      <c r="B314" s="32" t="s">
        <v>750</v>
      </c>
      <c r="C314" s="32" t="s">
        <v>303</v>
      </c>
      <c r="D314" s="175"/>
      <c r="E314" s="175"/>
      <c r="F314" s="175"/>
      <c r="G314" s="175"/>
      <c r="H314" s="175"/>
      <c r="I314" s="175"/>
      <c r="J314" s="176"/>
      <c r="K314" s="177">
        <v>43373</v>
      </c>
      <c r="L314" s="33">
        <f t="shared" si="13"/>
        <v>0</v>
      </c>
    </row>
    <row r="315" spans="1:12" ht="22.5" customHeight="1" x14ac:dyDescent="0.25">
      <c r="A315" s="32" t="s">
        <v>751</v>
      </c>
      <c r="B315" s="32" t="s">
        <v>192</v>
      </c>
      <c r="C315" s="32" t="s">
        <v>311</v>
      </c>
      <c r="D315" s="175"/>
      <c r="E315" s="175"/>
      <c r="F315" s="175"/>
      <c r="G315" s="175"/>
      <c r="H315" s="175"/>
      <c r="I315" s="175"/>
      <c r="J315" s="182">
        <v>6335</v>
      </c>
      <c r="K315" s="189">
        <v>7220</v>
      </c>
      <c r="L315" s="33">
        <f t="shared" si="13"/>
        <v>45738700</v>
      </c>
    </row>
    <row r="316" spans="1:12" ht="22.5" customHeight="1" x14ac:dyDescent="0.25">
      <c r="A316" s="32" t="s">
        <v>752</v>
      </c>
      <c r="B316" s="32" t="s">
        <v>190</v>
      </c>
      <c r="C316" s="32" t="s">
        <v>753</v>
      </c>
      <c r="D316" s="175"/>
      <c r="E316" s="175"/>
      <c r="F316" s="175"/>
      <c r="G316" s="175"/>
      <c r="H316" s="175"/>
      <c r="I316" s="175"/>
      <c r="J316" s="182">
        <v>4737</v>
      </c>
      <c r="K316" s="189">
        <v>28272</v>
      </c>
      <c r="L316" s="33">
        <f t="shared" si="13"/>
        <v>133924464</v>
      </c>
    </row>
    <row r="317" spans="1:12" ht="22.5" customHeight="1" x14ac:dyDescent="0.25">
      <c r="A317" s="32" t="s">
        <v>754</v>
      </c>
      <c r="B317" s="32" t="s">
        <v>755</v>
      </c>
      <c r="C317" s="32" t="s">
        <v>753</v>
      </c>
      <c r="D317" s="175"/>
      <c r="E317" s="175"/>
      <c r="F317" s="175"/>
      <c r="G317" s="175"/>
      <c r="H317" s="175"/>
      <c r="I317" s="175"/>
      <c r="J317" s="182">
        <v>843</v>
      </c>
      <c r="K317" s="189">
        <v>35340</v>
      </c>
      <c r="L317" s="33">
        <f t="shared" si="13"/>
        <v>29791620</v>
      </c>
    </row>
    <row r="318" spans="1:12" ht="22.5" customHeight="1" x14ac:dyDescent="0.25">
      <c r="A318" s="32" t="s">
        <v>756</v>
      </c>
      <c r="B318" s="32" t="s">
        <v>194</v>
      </c>
      <c r="C318" s="32" t="s">
        <v>311</v>
      </c>
      <c r="D318" s="175"/>
      <c r="E318" s="175"/>
      <c r="F318" s="175"/>
      <c r="G318" s="175"/>
      <c r="H318" s="175"/>
      <c r="I318" s="175"/>
      <c r="J318" s="182">
        <v>243366</v>
      </c>
      <c r="K318" s="189">
        <v>7068</v>
      </c>
      <c r="L318" s="33">
        <f t="shared" si="13"/>
        <v>1720110888</v>
      </c>
    </row>
    <row r="319" spans="1:12" ht="22.5" customHeight="1" x14ac:dyDescent="0.25">
      <c r="A319" s="32" t="s">
        <v>757</v>
      </c>
      <c r="B319" s="32" t="s">
        <v>191</v>
      </c>
      <c r="C319" s="32" t="s">
        <v>753</v>
      </c>
      <c r="D319" s="175"/>
      <c r="E319" s="175"/>
      <c r="F319" s="175"/>
      <c r="G319" s="175"/>
      <c r="H319" s="175"/>
      <c r="I319" s="175"/>
      <c r="J319" s="182">
        <v>46715</v>
      </c>
      <c r="K319" s="189">
        <v>28272</v>
      </c>
      <c r="L319" s="33">
        <f t="shared" si="13"/>
        <v>1320726480</v>
      </c>
    </row>
    <row r="320" spans="1:12" ht="22.5" customHeight="1" x14ac:dyDescent="0.25">
      <c r="A320" s="32" t="s">
        <v>758</v>
      </c>
      <c r="B320" s="32" t="s">
        <v>759</v>
      </c>
      <c r="C320" s="32" t="s">
        <v>753</v>
      </c>
      <c r="D320" s="175"/>
      <c r="E320" s="175"/>
      <c r="F320" s="175"/>
      <c r="G320" s="175"/>
      <c r="H320" s="175"/>
      <c r="I320" s="175"/>
      <c r="J320" s="176"/>
      <c r="K320" s="177"/>
      <c r="L320" s="33">
        <f t="shared" si="13"/>
        <v>0</v>
      </c>
    </row>
    <row r="321" spans="1:12" ht="22.5" customHeight="1" x14ac:dyDescent="0.25">
      <c r="A321" s="32" t="s">
        <v>760</v>
      </c>
      <c r="B321" s="32" t="s">
        <v>198</v>
      </c>
      <c r="C321" s="32" t="s">
        <v>753</v>
      </c>
      <c r="D321" s="175"/>
      <c r="E321" s="175"/>
      <c r="F321" s="175"/>
      <c r="G321" s="175"/>
      <c r="H321" s="175"/>
      <c r="I321" s="175"/>
      <c r="J321" s="176"/>
      <c r="K321" s="177"/>
      <c r="L321" s="33">
        <f t="shared" si="13"/>
        <v>0</v>
      </c>
    </row>
    <row r="322" spans="1:12" ht="22.5" customHeight="1" x14ac:dyDescent="0.25">
      <c r="A322" s="53" t="s">
        <v>761</v>
      </c>
      <c r="B322" s="53" t="s">
        <v>762</v>
      </c>
      <c r="C322" s="53" t="s">
        <v>753</v>
      </c>
      <c r="D322" s="175"/>
      <c r="E322" s="175"/>
      <c r="F322" s="175"/>
      <c r="G322" s="175"/>
      <c r="H322" s="175"/>
      <c r="I322" s="175"/>
      <c r="J322" s="185">
        <v>18683</v>
      </c>
      <c r="K322" s="199">
        <v>27388.5</v>
      </c>
      <c r="L322" s="57">
        <f t="shared" si="13"/>
        <v>511699345.5</v>
      </c>
    </row>
    <row r="323" spans="1:12" ht="22.5" customHeight="1" x14ac:dyDescent="0.25">
      <c r="A323" s="32" t="s">
        <v>763</v>
      </c>
      <c r="B323" s="32" t="s">
        <v>196</v>
      </c>
      <c r="C323" s="32" t="s">
        <v>303</v>
      </c>
      <c r="D323" s="175"/>
      <c r="E323" s="175"/>
      <c r="F323" s="175"/>
      <c r="G323" s="175"/>
      <c r="H323" s="175"/>
      <c r="I323" s="175"/>
      <c r="J323" s="176"/>
      <c r="K323" s="177"/>
      <c r="L323" s="33">
        <f t="shared" si="13"/>
        <v>0</v>
      </c>
    </row>
    <row r="324" spans="1:12" ht="22.5" customHeight="1" x14ac:dyDescent="0.25">
      <c r="A324" s="32" t="s">
        <v>764</v>
      </c>
      <c r="B324" s="32" t="s">
        <v>765</v>
      </c>
      <c r="C324" s="32" t="s">
        <v>311</v>
      </c>
      <c r="D324" s="175"/>
      <c r="E324" s="175"/>
      <c r="F324" s="175"/>
      <c r="G324" s="175"/>
      <c r="H324" s="175"/>
      <c r="I324" s="175"/>
      <c r="J324" s="182">
        <v>1150</v>
      </c>
      <c r="K324" s="189">
        <v>7220</v>
      </c>
      <c r="L324" s="33">
        <f t="shared" si="13"/>
        <v>8303000</v>
      </c>
    </row>
    <row r="325" spans="1:12" ht="22.5" customHeight="1" x14ac:dyDescent="0.25">
      <c r="A325" s="32" t="s">
        <v>766</v>
      </c>
      <c r="B325" s="32" t="s">
        <v>767</v>
      </c>
      <c r="C325" s="32" t="s">
        <v>753</v>
      </c>
      <c r="D325" s="175"/>
      <c r="E325" s="175"/>
      <c r="F325" s="175"/>
      <c r="G325" s="175"/>
      <c r="H325" s="175"/>
      <c r="I325" s="175"/>
      <c r="J325" s="176"/>
      <c r="K325" s="177"/>
      <c r="L325" s="33">
        <f t="shared" si="13"/>
        <v>0</v>
      </c>
    </row>
    <row r="326" spans="1:12" ht="22.5" customHeight="1" x14ac:dyDescent="0.25">
      <c r="A326" s="32" t="s">
        <v>768</v>
      </c>
      <c r="B326" s="32" t="s">
        <v>769</v>
      </c>
      <c r="C326" s="32" t="s">
        <v>303</v>
      </c>
      <c r="D326" s="175"/>
      <c r="E326" s="175"/>
      <c r="F326" s="175"/>
      <c r="G326" s="175"/>
      <c r="H326" s="175"/>
      <c r="I326" s="175"/>
      <c r="J326" s="176"/>
      <c r="K326" s="177"/>
      <c r="L326" s="33">
        <f t="shared" ref="L326:L389" si="14">J326*K326</f>
        <v>0</v>
      </c>
    </row>
    <row r="327" spans="1:12" ht="22.5" customHeight="1" x14ac:dyDescent="0.25">
      <c r="A327" s="32" t="s">
        <v>770</v>
      </c>
      <c r="B327" s="32" t="s">
        <v>771</v>
      </c>
      <c r="C327" s="32" t="s">
        <v>303</v>
      </c>
      <c r="D327" s="175"/>
      <c r="E327" s="175"/>
      <c r="F327" s="175"/>
      <c r="G327" s="175"/>
      <c r="H327" s="175"/>
      <c r="I327" s="175"/>
      <c r="J327" s="176"/>
      <c r="K327" s="177"/>
      <c r="L327" s="33">
        <f t="shared" si="14"/>
        <v>0</v>
      </c>
    </row>
    <row r="328" spans="1:12" ht="22.5" customHeight="1" x14ac:dyDescent="0.25">
      <c r="A328" s="32" t="s">
        <v>772</v>
      </c>
      <c r="B328" s="32" t="s">
        <v>773</v>
      </c>
      <c r="C328" s="32" t="s">
        <v>303</v>
      </c>
      <c r="D328" s="175"/>
      <c r="E328" s="175"/>
      <c r="F328" s="175"/>
      <c r="G328" s="175"/>
      <c r="H328" s="175"/>
      <c r="I328" s="175"/>
      <c r="J328" s="176"/>
      <c r="K328" s="177"/>
      <c r="L328" s="33">
        <f t="shared" si="14"/>
        <v>0</v>
      </c>
    </row>
    <row r="329" spans="1:12" ht="22.5" customHeight="1" x14ac:dyDescent="0.25">
      <c r="A329" s="32" t="s">
        <v>774</v>
      </c>
      <c r="B329" s="32" t="s">
        <v>775</v>
      </c>
      <c r="C329" s="32" t="s">
        <v>303</v>
      </c>
      <c r="D329" s="175"/>
      <c r="E329" s="175"/>
      <c r="F329" s="175"/>
      <c r="G329" s="175"/>
      <c r="H329" s="175"/>
      <c r="I329" s="175"/>
      <c r="J329" s="176"/>
      <c r="K329" s="177"/>
      <c r="L329" s="33">
        <f t="shared" si="14"/>
        <v>0</v>
      </c>
    </row>
    <row r="330" spans="1:12" ht="22.5" customHeight="1" x14ac:dyDescent="0.25">
      <c r="A330" s="32" t="s">
        <v>776</v>
      </c>
      <c r="B330" s="32" t="s">
        <v>777</v>
      </c>
      <c r="C330" s="32" t="s">
        <v>303</v>
      </c>
      <c r="D330" s="175"/>
      <c r="E330" s="175"/>
      <c r="F330" s="175"/>
      <c r="G330" s="175"/>
      <c r="H330" s="175"/>
      <c r="I330" s="175"/>
      <c r="J330" s="176"/>
      <c r="K330" s="177"/>
      <c r="L330" s="33">
        <f t="shared" si="14"/>
        <v>0</v>
      </c>
    </row>
    <row r="331" spans="1:12" ht="22.5" customHeight="1" x14ac:dyDescent="0.25">
      <c r="A331" s="32" t="s">
        <v>778</v>
      </c>
      <c r="B331" s="32" t="s">
        <v>779</v>
      </c>
      <c r="C331" s="32" t="s">
        <v>303</v>
      </c>
      <c r="D331" s="175"/>
      <c r="E331" s="175"/>
      <c r="F331" s="175"/>
      <c r="G331" s="175"/>
      <c r="H331" s="175"/>
      <c r="I331" s="175"/>
      <c r="J331" s="176"/>
      <c r="K331" s="177"/>
      <c r="L331" s="33">
        <f t="shared" si="14"/>
        <v>0</v>
      </c>
    </row>
    <row r="332" spans="1:12" ht="22.5" customHeight="1" x14ac:dyDescent="0.25">
      <c r="A332" s="32" t="s">
        <v>780</v>
      </c>
      <c r="B332" s="32" t="s">
        <v>781</v>
      </c>
      <c r="C332" s="32" t="s">
        <v>303</v>
      </c>
      <c r="D332" s="175"/>
      <c r="E332" s="175"/>
      <c r="F332" s="175"/>
      <c r="G332" s="175"/>
      <c r="H332" s="175"/>
      <c r="I332" s="175"/>
      <c r="J332" s="176"/>
      <c r="K332" s="177"/>
      <c r="L332" s="33">
        <f t="shared" si="14"/>
        <v>0</v>
      </c>
    </row>
    <row r="333" spans="1:12" ht="22.5" customHeight="1" x14ac:dyDescent="0.25">
      <c r="A333" s="32" t="s">
        <v>782</v>
      </c>
      <c r="B333" s="32" t="s">
        <v>203</v>
      </c>
      <c r="C333" s="32" t="s">
        <v>303</v>
      </c>
      <c r="D333" s="175"/>
      <c r="E333" s="175"/>
      <c r="F333" s="175"/>
      <c r="G333" s="175"/>
      <c r="H333" s="175"/>
      <c r="I333" s="175"/>
      <c r="J333" s="182">
        <v>918</v>
      </c>
      <c r="K333" s="189">
        <v>11737</v>
      </c>
      <c r="L333" s="33">
        <f t="shared" si="14"/>
        <v>10774566</v>
      </c>
    </row>
    <row r="334" spans="1:12" ht="22.5" customHeight="1" x14ac:dyDescent="0.25">
      <c r="A334" s="32" t="s">
        <v>783</v>
      </c>
      <c r="B334" s="32" t="s">
        <v>202</v>
      </c>
      <c r="C334" s="32" t="s">
        <v>303</v>
      </c>
      <c r="D334" s="175"/>
      <c r="E334" s="175"/>
      <c r="F334" s="175"/>
      <c r="G334" s="175"/>
      <c r="H334" s="175"/>
      <c r="I334" s="175"/>
      <c r="J334" s="182">
        <v>72</v>
      </c>
      <c r="K334" s="189">
        <v>25802</v>
      </c>
      <c r="L334" s="33">
        <f t="shared" si="14"/>
        <v>1857744</v>
      </c>
    </row>
    <row r="335" spans="1:12" ht="22.5" customHeight="1" x14ac:dyDescent="0.25">
      <c r="A335" s="32" t="s">
        <v>784</v>
      </c>
      <c r="B335" s="32" t="s">
        <v>204</v>
      </c>
      <c r="C335" s="32" t="s">
        <v>303</v>
      </c>
      <c r="D335" s="175"/>
      <c r="E335" s="175"/>
      <c r="F335" s="175"/>
      <c r="G335" s="175"/>
      <c r="H335" s="175"/>
      <c r="I335" s="175"/>
      <c r="J335" s="182">
        <v>8457</v>
      </c>
      <c r="K335" s="189">
        <v>32010</v>
      </c>
      <c r="L335" s="33">
        <f t="shared" si="14"/>
        <v>270708570</v>
      </c>
    </row>
    <row r="336" spans="1:12" ht="22.5" customHeight="1" x14ac:dyDescent="0.25">
      <c r="A336" s="32" t="s">
        <v>785</v>
      </c>
      <c r="B336" s="32" t="s">
        <v>205</v>
      </c>
      <c r="C336" s="32" t="s">
        <v>303</v>
      </c>
      <c r="D336" s="175"/>
      <c r="E336" s="175"/>
      <c r="F336" s="175"/>
      <c r="G336" s="175"/>
      <c r="H336" s="175"/>
      <c r="I336" s="175"/>
      <c r="J336" s="182">
        <v>190</v>
      </c>
      <c r="K336" s="189">
        <v>67124</v>
      </c>
      <c r="L336" s="33">
        <f t="shared" si="14"/>
        <v>12753560</v>
      </c>
    </row>
    <row r="337" spans="1:12" ht="22.5" customHeight="1" x14ac:dyDescent="0.25">
      <c r="A337" s="32" t="s">
        <v>786</v>
      </c>
      <c r="B337" s="32" t="s">
        <v>787</v>
      </c>
      <c r="C337" s="32" t="s">
        <v>327</v>
      </c>
      <c r="D337" s="175"/>
      <c r="E337" s="175"/>
      <c r="F337" s="175"/>
      <c r="G337" s="175"/>
      <c r="H337" s="175"/>
      <c r="I337" s="175"/>
      <c r="J337" s="176"/>
      <c r="K337" s="177"/>
      <c r="L337" s="33">
        <f t="shared" si="14"/>
        <v>0</v>
      </c>
    </row>
    <row r="338" spans="1:12" ht="22.5" customHeight="1" x14ac:dyDescent="0.25">
      <c r="A338" s="32" t="s">
        <v>788</v>
      </c>
      <c r="B338" s="32" t="s">
        <v>255</v>
      </c>
      <c r="C338" s="32" t="s">
        <v>327</v>
      </c>
      <c r="D338" s="175"/>
      <c r="E338" s="175"/>
      <c r="F338" s="175"/>
      <c r="G338" s="175"/>
      <c r="H338" s="175"/>
      <c r="I338" s="175"/>
      <c r="J338" s="176"/>
      <c r="K338" s="177"/>
      <c r="L338" s="33">
        <f t="shared" si="14"/>
        <v>0</v>
      </c>
    </row>
    <row r="339" spans="1:12" ht="22.5" customHeight="1" x14ac:dyDescent="0.25">
      <c r="A339" s="32" t="s">
        <v>789</v>
      </c>
      <c r="B339" s="178" t="s">
        <v>209</v>
      </c>
      <c r="C339" s="32" t="s">
        <v>451</v>
      </c>
      <c r="D339" s="175"/>
      <c r="E339" s="175"/>
      <c r="F339" s="175"/>
      <c r="G339" s="175"/>
      <c r="H339" s="175"/>
      <c r="I339" s="175"/>
      <c r="J339" s="182">
        <v>76</v>
      </c>
      <c r="K339" s="189">
        <v>58410</v>
      </c>
      <c r="L339" s="33">
        <f t="shared" si="14"/>
        <v>4439160</v>
      </c>
    </row>
    <row r="340" spans="1:12" ht="22.5" customHeight="1" x14ac:dyDescent="0.25">
      <c r="A340" s="32" t="s">
        <v>790</v>
      </c>
      <c r="B340" s="32" t="s">
        <v>791</v>
      </c>
      <c r="C340" s="32" t="s">
        <v>654</v>
      </c>
      <c r="D340" s="175"/>
      <c r="E340" s="175"/>
      <c r="F340" s="175"/>
      <c r="G340" s="175"/>
      <c r="H340" s="175"/>
      <c r="I340" s="175"/>
      <c r="J340" s="176"/>
      <c r="K340" s="177"/>
      <c r="L340" s="33">
        <f t="shared" si="14"/>
        <v>0</v>
      </c>
    </row>
    <row r="341" spans="1:12" ht="22.5" customHeight="1" x14ac:dyDescent="0.25">
      <c r="A341" s="32" t="s">
        <v>792</v>
      </c>
      <c r="B341" s="32" t="s">
        <v>206</v>
      </c>
      <c r="C341" s="32" t="s">
        <v>303</v>
      </c>
      <c r="D341" s="175"/>
      <c r="E341" s="175"/>
      <c r="F341" s="175"/>
      <c r="G341" s="175"/>
      <c r="H341" s="175"/>
      <c r="I341" s="175"/>
      <c r="J341" s="182">
        <v>360</v>
      </c>
      <c r="K341" s="189">
        <v>32864</v>
      </c>
      <c r="L341" s="33">
        <f t="shared" si="14"/>
        <v>11831040</v>
      </c>
    </row>
    <row r="342" spans="1:12" ht="22.5" customHeight="1" x14ac:dyDescent="0.25">
      <c r="A342" s="32" t="s">
        <v>793</v>
      </c>
      <c r="B342" s="32" t="s">
        <v>207</v>
      </c>
      <c r="C342" s="32" t="s">
        <v>303</v>
      </c>
      <c r="D342" s="175"/>
      <c r="E342" s="175"/>
      <c r="F342" s="175"/>
      <c r="G342" s="175"/>
      <c r="H342" s="175"/>
      <c r="I342" s="175"/>
      <c r="J342" s="182">
        <v>2634</v>
      </c>
      <c r="K342" s="189">
        <v>12804</v>
      </c>
      <c r="L342" s="33">
        <f t="shared" si="14"/>
        <v>33725736</v>
      </c>
    </row>
    <row r="343" spans="1:12" ht="22.5" customHeight="1" x14ac:dyDescent="0.25">
      <c r="A343" s="32" t="s">
        <v>794</v>
      </c>
      <c r="B343" s="32" t="s">
        <v>258</v>
      </c>
      <c r="C343" s="32" t="s">
        <v>327</v>
      </c>
      <c r="D343" s="175"/>
      <c r="E343" s="175"/>
      <c r="F343" s="175"/>
      <c r="G343" s="175"/>
      <c r="H343" s="175"/>
      <c r="I343" s="175"/>
      <c r="J343" s="182">
        <v>1215</v>
      </c>
      <c r="K343" s="195">
        <v>15322</v>
      </c>
      <c r="L343" s="33">
        <f t="shared" si="14"/>
        <v>18616230</v>
      </c>
    </row>
    <row r="344" spans="1:12" ht="22.5" customHeight="1" x14ac:dyDescent="0.25">
      <c r="A344" s="32" t="s">
        <v>795</v>
      </c>
      <c r="B344" s="32" t="s">
        <v>208</v>
      </c>
      <c r="C344" s="32" t="s">
        <v>303</v>
      </c>
      <c r="D344" s="175"/>
      <c r="E344" s="175"/>
      <c r="F344" s="175"/>
      <c r="G344" s="175"/>
      <c r="H344" s="175"/>
      <c r="I344" s="175"/>
      <c r="J344" s="182">
        <v>205</v>
      </c>
      <c r="K344" s="189">
        <v>10476</v>
      </c>
      <c r="L344" s="33">
        <f t="shared" si="14"/>
        <v>2147580</v>
      </c>
    </row>
    <row r="345" spans="1:12" ht="22.5" customHeight="1" x14ac:dyDescent="0.25">
      <c r="A345" s="32" t="s">
        <v>796</v>
      </c>
      <c r="B345" s="32" t="s">
        <v>797</v>
      </c>
      <c r="C345" s="32" t="s">
        <v>327</v>
      </c>
      <c r="D345" s="175"/>
      <c r="E345" s="175"/>
      <c r="F345" s="175"/>
      <c r="G345" s="175"/>
      <c r="H345" s="175"/>
      <c r="I345" s="175"/>
      <c r="J345" s="182">
        <v>90</v>
      </c>
      <c r="K345" s="200">
        <v>21363.9</v>
      </c>
      <c r="L345" s="33">
        <f t="shared" si="14"/>
        <v>1922751.0000000002</v>
      </c>
    </row>
    <row r="346" spans="1:12" ht="22.5" customHeight="1" x14ac:dyDescent="0.25">
      <c r="A346" s="32" t="s">
        <v>798</v>
      </c>
      <c r="B346" s="32" t="s">
        <v>799</v>
      </c>
      <c r="C346" s="32" t="s">
        <v>327</v>
      </c>
      <c r="D346" s="175"/>
      <c r="E346" s="175"/>
      <c r="F346" s="175"/>
      <c r="G346" s="175"/>
      <c r="H346" s="175"/>
      <c r="I346" s="175"/>
      <c r="J346" s="176"/>
      <c r="K346" s="177"/>
      <c r="L346" s="33">
        <f t="shared" si="14"/>
        <v>0</v>
      </c>
    </row>
    <row r="347" spans="1:12" ht="22.5" customHeight="1" x14ac:dyDescent="0.25">
      <c r="A347" s="32" t="s">
        <v>800</v>
      </c>
      <c r="B347" s="32" t="s">
        <v>801</v>
      </c>
      <c r="C347" s="32" t="s">
        <v>327</v>
      </c>
      <c r="D347" s="175"/>
      <c r="E347" s="175"/>
      <c r="F347" s="175"/>
      <c r="G347" s="175"/>
      <c r="H347" s="175"/>
      <c r="I347" s="175"/>
      <c r="J347" s="176"/>
      <c r="K347" s="177"/>
      <c r="L347" s="33">
        <f t="shared" si="14"/>
        <v>0</v>
      </c>
    </row>
    <row r="348" spans="1:12" ht="22.5" customHeight="1" x14ac:dyDescent="0.25">
      <c r="A348" s="32" t="s">
        <v>802</v>
      </c>
      <c r="B348" s="32" t="s">
        <v>803</v>
      </c>
      <c r="C348" s="32" t="s">
        <v>327</v>
      </c>
      <c r="D348" s="175"/>
      <c r="E348" s="175"/>
      <c r="F348" s="175"/>
      <c r="G348" s="175"/>
      <c r="H348" s="175"/>
      <c r="I348" s="175"/>
      <c r="J348" s="176"/>
      <c r="K348" s="177"/>
      <c r="L348" s="33">
        <f t="shared" si="14"/>
        <v>0</v>
      </c>
    </row>
    <row r="349" spans="1:12" ht="22.5" customHeight="1" x14ac:dyDescent="0.25">
      <c r="A349" s="32" t="s">
        <v>804</v>
      </c>
      <c r="B349" s="32" t="s">
        <v>805</v>
      </c>
      <c r="C349" s="32" t="s">
        <v>699</v>
      </c>
      <c r="D349" s="175"/>
      <c r="E349" s="175"/>
      <c r="F349" s="175"/>
      <c r="G349" s="175"/>
      <c r="H349" s="175"/>
      <c r="I349" s="175"/>
      <c r="J349" s="176"/>
      <c r="K349" s="177"/>
      <c r="L349" s="33">
        <f t="shared" si="14"/>
        <v>0</v>
      </c>
    </row>
    <row r="350" spans="1:12" ht="22.5" customHeight="1" x14ac:dyDescent="0.25">
      <c r="A350" s="32" t="s">
        <v>806</v>
      </c>
      <c r="B350" s="32" t="s">
        <v>256</v>
      </c>
      <c r="C350" s="32" t="s">
        <v>327</v>
      </c>
      <c r="D350" s="175"/>
      <c r="E350" s="175"/>
      <c r="F350" s="175"/>
      <c r="G350" s="175"/>
      <c r="H350" s="175"/>
      <c r="I350" s="175"/>
      <c r="J350" s="176"/>
      <c r="K350" s="177"/>
      <c r="L350" s="33">
        <f t="shared" si="14"/>
        <v>0</v>
      </c>
    </row>
    <row r="351" spans="1:12" ht="22.5" customHeight="1" x14ac:dyDescent="0.25">
      <c r="A351" s="32" t="s">
        <v>807</v>
      </c>
      <c r="B351" s="32" t="s">
        <v>286</v>
      </c>
      <c r="C351" s="32" t="s">
        <v>327</v>
      </c>
      <c r="D351" s="175"/>
      <c r="E351" s="175"/>
      <c r="F351" s="175"/>
      <c r="G351" s="175"/>
      <c r="H351" s="175"/>
      <c r="I351" s="175"/>
      <c r="J351" s="176"/>
      <c r="K351" s="177"/>
      <c r="L351" s="33">
        <f t="shared" si="14"/>
        <v>0</v>
      </c>
    </row>
    <row r="352" spans="1:12" ht="22.5" customHeight="1" x14ac:dyDescent="0.25">
      <c r="A352" s="32" t="s">
        <v>808</v>
      </c>
      <c r="B352" s="32" t="s">
        <v>213</v>
      </c>
      <c r="C352" s="32" t="s">
        <v>303</v>
      </c>
      <c r="D352" s="175"/>
      <c r="E352" s="175"/>
      <c r="F352" s="175"/>
      <c r="G352" s="175"/>
      <c r="H352" s="175"/>
      <c r="I352" s="175"/>
      <c r="J352" s="182">
        <v>1474</v>
      </c>
      <c r="K352" s="189">
        <v>21243</v>
      </c>
      <c r="L352" s="33">
        <f t="shared" si="14"/>
        <v>31312182</v>
      </c>
    </row>
    <row r="353" spans="1:12" ht="22.5" customHeight="1" x14ac:dyDescent="0.25">
      <c r="A353" s="32" t="s">
        <v>809</v>
      </c>
      <c r="B353" s="32" t="s">
        <v>212</v>
      </c>
      <c r="C353" s="32" t="s">
        <v>303</v>
      </c>
      <c r="D353" s="175"/>
      <c r="E353" s="175"/>
      <c r="F353" s="175"/>
      <c r="G353" s="175"/>
      <c r="H353" s="175"/>
      <c r="I353" s="175"/>
      <c r="J353" s="182">
        <v>20747</v>
      </c>
      <c r="K353" s="189">
        <v>12416</v>
      </c>
      <c r="L353" s="33">
        <f t="shared" si="14"/>
        <v>257594752</v>
      </c>
    </row>
    <row r="354" spans="1:12" ht="22.5" customHeight="1" x14ac:dyDescent="0.25">
      <c r="A354" s="32" t="s">
        <v>810</v>
      </c>
      <c r="B354" s="32" t="s">
        <v>811</v>
      </c>
      <c r="C354" s="32" t="s">
        <v>303</v>
      </c>
      <c r="D354" s="175"/>
      <c r="E354" s="175"/>
      <c r="F354" s="175"/>
      <c r="G354" s="175"/>
      <c r="H354" s="175"/>
      <c r="I354" s="175"/>
      <c r="J354" s="176"/>
      <c r="K354" s="177"/>
      <c r="L354" s="33">
        <f t="shared" si="14"/>
        <v>0</v>
      </c>
    </row>
    <row r="355" spans="1:12" ht="22.5" customHeight="1" x14ac:dyDescent="0.25">
      <c r="A355" s="32" t="s">
        <v>812</v>
      </c>
      <c r="B355" s="32" t="s">
        <v>215</v>
      </c>
      <c r="C355" s="32" t="s">
        <v>303</v>
      </c>
      <c r="D355" s="175"/>
      <c r="E355" s="175"/>
      <c r="F355" s="175"/>
      <c r="G355" s="175"/>
      <c r="H355" s="175"/>
      <c r="I355" s="175"/>
      <c r="J355" s="182">
        <v>597</v>
      </c>
      <c r="K355" s="189">
        <v>42680</v>
      </c>
      <c r="L355" s="33">
        <f t="shared" si="14"/>
        <v>25479960</v>
      </c>
    </row>
    <row r="356" spans="1:12" ht="22.5" customHeight="1" x14ac:dyDescent="0.25">
      <c r="A356" s="32" t="s">
        <v>813</v>
      </c>
      <c r="B356" s="32" t="s">
        <v>216</v>
      </c>
      <c r="C356" s="32" t="s">
        <v>303</v>
      </c>
      <c r="D356" s="175"/>
      <c r="E356" s="175"/>
      <c r="F356" s="175"/>
      <c r="G356" s="175"/>
      <c r="H356" s="175"/>
      <c r="I356" s="175"/>
      <c r="J356" s="176"/>
      <c r="K356" s="177"/>
      <c r="L356" s="33">
        <f t="shared" si="14"/>
        <v>0</v>
      </c>
    </row>
    <row r="357" spans="1:12" ht="22.5" customHeight="1" x14ac:dyDescent="0.25">
      <c r="A357" s="32" t="s">
        <v>814</v>
      </c>
      <c r="B357" s="32" t="s">
        <v>815</v>
      </c>
      <c r="C357" s="32" t="s">
        <v>327</v>
      </c>
      <c r="D357" s="175"/>
      <c r="E357" s="175"/>
      <c r="F357" s="175"/>
      <c r="G357" s="175"/>
      <c r="H357" s="175"/>
      <c r="I357" s="175"/>
      <c r="J357" s="176"/>
      <c r="K357" s="177"/>
      <c r="L357" s="33">
        <f t="shared" si="14"/>
        <v>0</v>
      </c>
    </row>
    <row r="358" spans="1:12" ht="22.5" customHeight="1" x14ac:dyDescent="0.25">
      <c r="A358" s="32" t="s">
        <v>816</v>
      </c>
      <c r="B358" s="32" t="s">
        <v>815</v>
      </c>
      <c r="C358" s="32" t="s">
        <v>528</v>
      </c>
      <c r="D358" s="175"/>
      <c r="E358" s="175"/>
      <c r="F358" s="175"/>
      <c r="G358" s="175"/>
      <c r="H358" s="175"/>
      <c r="I358" s="175"/>
      <c r="J358" s="176"/>
      <c r="K358" s="177"/>
      <c r="L358" s="33">
        <f t="shared" si="14"/>
        <v>0</v>
      </c>
    </row>
    <row r="359" spans="1:12" ht="22.5" customHeight="1" x14ac:dyDescent="0.25">
      <c r="A359" s="32" t="s">
        <v>817</v>
      </c>
      <c r="B359" s="32" t="s">
        <v>818</v>
      </c>
      <c r="C359" s="32" t="s">
        <v>528</v>
      </c>
      <c r="D359" s="175"/>
      <c r="E359" s="175"/>
      <c r="F359" s="175"/>
      <c r="G359" s="175"/>
      <c r="H359" s="175"/>
      <c r="I359" s="175"/>
      <c r="J359" s="176"/>
      <c r="K359" s="177"/>
      <c r="L359" s="33">
        <f t="shared" si="14"/>
        <v>0</v>
      </c>
    </row>
    <row r="360" spans="1:12" ht="22.5" customHeight="1" x14ac:dyDescent="0.25">
      <c r="A360" s="32" t="s">
        <v>819</v>
      </c>
      <c r="B360" s="32" t="s">
        <v>239</v>
      </c>
      <c r="C360" s="32" t="s">
        <v>451</v>
      </c>
      <c r="D360" s="175"/>
      <c r="E360" s="175"/>
      <c r="F360" s="175"/>
      <c r="G360" s="175"/>
      <c r="H360" s="175"/>
      <c r="I360" s="175"/>
      <c r="J360" s="176"/>
      <c r="K360" s="177"/>
      <c r="L360" s="33">
        <f t="shared" si="14"/>
        <v>0</v>
      </c>
    </row>
    <row r="361" spans="1:12" ht="22.5" customHeight="1" x14ac:dyDescent="0.25">
      <c r="A361" s="32" t="s">
        <v>820</v>
      </c>
      <c r="B361" s="32" t="s">
        <v>821</v>
      </c>
      <c r="C361" s="32" t="s">
        <v>654</v>
      </c>
      <c r="D361" s="175"/>
      <c r="E361" s="175"/>
      <c r="F361" s="175"/>
      <c r="G361" s="175"/>
      <c r="H361" s="175"/>
      <c r="I361" s="175"/>
      <c r="J361" s="176"/>
      <c r="K361" s="177"/>
      <c r="L361" s="33">
        <f t="shared" si="14"/>
        <v>0</v>
      </c>
    </row>
    <row r="362" spans="1:12" ht="22.5" customHeight="1" x14ac:dyDescent="0.25">
      <c r="A362" s="32" t="s">
        <v>822</v>
      </c>
      <c r="B362" s="32" t="s">
        <v>217</v>
      </c>
      <c r="C362" s="32" t="s">
        <v>654</v>
      </c>
      <c r="D362" s="175"/>
      <c r="E362" s="175"/>
      <c r="F362" s="175"/>
      <c r="G362" s="175"/>
      <c r="H362" s="175"/>
      <c r="I362" s="175"/>
      <c r="J362" s="182">
        <v>90</v>
      </c>
      <c r="K362" s="189">
        <v>180700</v>
      </c>
      <c r="L362" s="33">
        <f t="shared" si="14"/>
        <v>16263000</v>
      </c>
    </row>
    <row r="363" spans="1:12" ht="22.5" customHeight="1" x14ac:dyDescent="0.25">
      <c r="A363" s="32" t="s">
        <v>823</v>
      </c>
      <c r="B363" s="32" t="s">
        <v>218</v>
      </c>
      <c r="C363" s="32" t="s">
        <v>654</v>
      </c>
      <c r="D363" s="175"/>
      <c r="E363" s="175"/>
      <c r="F363" s="175"/>
      <c r="G363" s="175"/>
      <c r="H363" s="175"/>
      <c r="I363" s="175"/>
      <c r="J363" s="182">
        <v>50</v>
      </c>
      <c r="K363" s="189">
        <v>239590</v>
      </c>
      <c r="L363" s="33">
        <f t="shared" si="14"/>
        <v>11979500</v>
      </c>
    </row>
    <row r="364" spans="1:12" ht="22.5" customHeight="1" x14ac:dyDescent="0.25">
      <c r="A364" s="32" t="s">
        <v>824</v>
      </c>
      <c r="B364" s="32" t="s">
        <v>219</v>
      </c>
      <c r="C364" s="32" t="s">
        <v>654</v>
      </c>
      <c r="D364" s="175"/>
      <c r="E364" s="175"/>
      <c r="F364" s="175"/>
      <c r="G364" s="175"/>
      <c r="H364" s="175"/>
      <c r="I364" s="175"/>
      <c r="J364" s="182">
        <v>30</v>
      </c>
      <c r="K364" s="189">
        <v>236000</v>
      </c>
      <c r="L364" s="33">
        <f t="shared" si="14"/>
        <v>7080000</v>
      </c>
    </row>
    <row r="365" spans="1:12" ht="22.5" customHeight="1" x14ac:dyDescent="0.25">
      <c r="A365" s="32" t="s">
        <v>825</v>
      </c>
      <c r="B365" s="32" t="s">
        <v>220</v>
      </c>
      <c r="C365" s="32" t="s">
        <v>303</v>
      </c>
      <c r="D365" s="175"/>
      <c r="E365" s="175"/>
      <c r="F365" s="175"/>
      <c r="G365" s="175"/>
      <c r="H365" s="175"/>
      <c r="I365" s="175"/>
      <c r="J365" s="182">
        <v>72</v>
      </c>
      <c r="K365" s="189">
        <v>24444</v>
      </c>
      <c r="L365" s="33">
        <f t="shared" si="14"/>
        <v>1759968</v>
      </c>
    </row>
    <row r="366" spans="1:12" ht="22.5" customHeight="1" x14ac:dyDescent="0.25">
      <c r="A366" s="32" t="s">
        <v>826</v>
      </c>
      <c r="B366" s="32" t="s">
        <v>827</v>
      </c>
      <c r="C366" s="32" t="s">
        <v>303</v>
      </c>
      <c r="D366" s="175"/>
      <c r="E366" s="175"/>
      <c r="F366" s="175"/>
      <c r="G366" s="175"/>
      <c r="H366" s="175"/>
      <c r="I366" s="175"/>
      <c r="J366" s="176"/>
      <c r="K366" s="177"/>
      <c r="L366" s="33">
        <f t="shared" si="14"/>
        <v>0</v>
      </c>
    </row>
    <row r="367" spans="1:12" ht="22.5" customHeight="1" x14ac:dyDescent="0.25">
      <c r="A367" s="32" t="s">
        <v>828</v>
      </c>
      <c r="B367" s="32" t="s">
        <v>829</v>
      </c>
      <c r="C367" s="32" t="s">
        <v>654</v>
      </c>
      <c r="D367" s="175"/>
      <c r="E367" s="175"/>
      <c r="F367" s="175"/>
      <c r="G367" s="175"/>
      <c r="H367" s="175"/>
      <c r="I367" s="175"/>
      <c r="J367" s="176"/>
      <c r="K367" s="177"/>
      <c r="L367" s="33">
        <f t="shared" si="14"/>
        <v>0</v>
      </c>
    </row>
    <row r="368" spans="1:12" ht="22.5" customHeight="1" x14ac:dyDescent="0.25">
      <c r="A368" s="32" t="s">
        <v>830</v>
      </c>
      <c r="B368" s="32" t="s">
        <v>221</v>
      </c>
      <c r="C368" s="32" t="s">
        <v>303</v>
      </c>
      <c r="D368" s="175"/>
      <c r="E368" s="175"/>
      <c r="F368" s="175"/>
      <c r="G368" s="175"/>
      <c r="H368" s="175"/>
      <c r="I368" s="175"/>
      <c r="J368" s="182">
        <v>3930</v>
      </c>
      <c r="K368" s="189">
        <v>19691</v>
      </c>
      <c r="L368" s="33">
        <f t="shared" si="14"/>
        <v>77385630</v>
      </c>
    </row>
    <row r="369" spans="1:12" ht="22.5" customHeight="1" x14ac:dyDescent="0.25">
      <c r="A369" s="32" t="s">
        <v>831</v>
      </c>
      <c r="B369" s="32" t="s">
        <v>222</v>
      </c>
      <c r="C369" s="32" t="s">
        <v>303</v>
      </c>
      <c r="D369" s="175"/>
      <c r="E369" s="175"/>
      <c r="F369" s="175"/>
      <c r="G369" s="175"/>
      <c r="H369" s="175"/>
      <c r="I369" s="175"/>
      <c r="J369" s="182">
        <v>892</v>
      </c>
      <c r="K369" s="189">
        <v>25123</v>
      </c>
      <c r="L369" s="33">
        <f t="shared" si="14"/>
        <v>22409716</v>
      </c>
    </row>
    <row r="370" spans="1:12" ht="22.5" customHeight="1" x14ac:dyDescent="0.25">
      <c r="A370" s="32" t="s">
        <v>832</v>
      </c>
      <c r="B370" s="32" t="s">
        <v>223</v>
      </c>
      <c r="C370" s="32" t="s">
        <v>303</v>
      </c>
      <c r="D370" s="175"/>
      <c r="E370" s="175"/>
      <c r="F370" s="175"/>
      <c r="G370" s="175"/>
      <c r="H370" s="175"/>
      <c r="I370" s="175"/>
      <c r="J370" s="182">
        <v>247</v>
      </c>
      <c r="K370" s="189">
        <v>43262</v>
      </c>
      <c r="L370" s="33">
        <f t="shared" si="14"/>
        <v>10685714</v>
      </c>
    </row>
    <row r="371" spans="1:12" ht="22.5" customHeight="1" x14ac:dyDescent="0.25">
      <c r="A371" s="32" t="s">
        <v>833</v>
      </c>
      <c r="B371" s="32" t="s">
        <v>224</v>
      </c>
      <c r="C371" s="32" t="s">
        <v>303</v>
      </c>
      <c r="D371" s="175"/>
      <c r="E371" s="175"/>
      <c r="F371" s="175"/>
      <c r="G371" s="175"/>
      <c r="H371" s="175"/>
      <c r="I371" s="175"/>
      <c r="J371" s="176"/>
      <c r="K371" s="177"/>
      <c r="L371" s="33">
        <f t="shared" si="14"/>
        <v>0</v>
      </c>
    </row>
    <row r="372" spans="1:12" ht="22.5" customHeight="1" x14ac:dyDescent="0.25">
      <c r="A372" s="32" t="s">
        <v>834</v>
      </c>
      <c r="B372" s="32" t="s">
        <v>225</v>
      </c>
      <c r="C372" s="32" t="s">
        <v>303</v>
      </c>
      <c r="D372" s="175"/>
      <c r="E372" s="175"/>
      <c r="F372" s="175"/>
      <c r="G372" s="175"/>
      <c r="H372" s="175"/>
      <c r="I372" s="175"/>
      <c r="J372" s="182">
        <v>232</v>
      </c>
      <c r="K372" s="189">
        <v>20981</v>
      </c>
      <c r="L372" s="33">
        <f t="shared" si="14"/>
        <v>4867592</v>
      </c>
    </row>
    <row r="373" spans="1:12" ht="22.5" customHeight="1" x14ac:dyDescent="0.25">
      <c r="A373" s="32" t="s">
        <v>835</v>
      </c>
      <c r="B373" s="32" t="s">
        <v>226</v>
      </c>
      <c r="C373" s="32" t="s">
        <v>303</v>
      </c>
      <c r="D373" s="175"/>
      <c r="E373" s="175"/>
      <c r="F373" s="175"/>
      <c r="G373" s="175"/>
      <c r="H373" s="175"/>
      <c r="I373" s="175"/>
      <c r="J373" s="176"/>
      <c r="K373" s="177"/>
      <c r="L373" s="33">
        <f t="shared" si="14"/>
        <v>0</v>
      </c>
    </row>
    <row r="374" spans="1:12" ht="22.5" customHeight="1" x14ac:dyDescent="0.25">
      <c r="A374" s="32" t="s">
        <v>836</v>
      </c>
      <c r="B374" s="32" t="s">
        <v>837</v>
      </c>
      <c r="C374" s="32" t="s">
        <v>654</v>
      </c>
      <c r="D374" s="175"/>
      <c r="E374" s="175"/>
      <c r="F374" s="175"/>
      <c r="G374" s="175"/>
      <c r="H374" s="175"/>
      <c r="I374" s="175"/>
      <c r="J374" s="182">
        <v>444</v>
      </c>
      <c r="K374" s="189">
        <v>88984</v>
      </c>
      <c r="L374" s="33">
        <f t="shared" si="14"/>
        <v>39508896</v>
      </c>
    </row>
    <row r="375" spans="1:12" ht="22.5" customHeight="1" x14ac:dyDescent="0.25">
      <c r="A375" s="32" t="s">
        <v>838</v>
      </c>
      <c r="B375" s="32" t="s">
        <v>839</v>
      </c>
      <c r="C375" s="32" t="s">
        <v>654</v>
      </c>
      <c r="D375" s="175"/>
      <c r="E375" s="175"/>
      <c r="F375" s="175"/>
      <c r="G375" s="175"/>
      <c r="H375" s="175"/>
      <c r="I375" s="175"/>
      <c r="J375" s="182">
        <v>123</v>
      </c>
      <c r="K375" s="189">
        <v>87808</v>
      </c>
      <c r="L375" s="33">
        <f t="shared" si="14"/>
        <v>10800384</v>
      </c>
    </row>
    <row r="376" spans="1:12" ht="22.5" customHeight="1" x14ac:dyDescent="0.25">
      <c r="A376" s="32" t="s">
        <v>840</v>
      </c>
      <c r="B376" s="32" t="s">
        <v>234</v>
      </c>
      <c r="C376" s="32" t="s">
        <v>654</v>
      </c>
      <c r="D376" s="175"/>
      <c r="E376" s="175"/>
      <c r="F376" s="175"/>
      <c r="G376" s="175"/>
      <c r="H376" s="175"/>
      <c r="I376" s="175"/>
      <c r="J376" s="182">
        <v>18807</v>
      </c>
      <c r="K376" s="189">
        <v>59682</v>
      </c>
      <c r="L376" s="33">
        <f t="shared" si="14"/>
        <v>1122439374</v>
      </c>
    </row>
    <row r="377" spans="1:12" ht="22.5" customHeight="1" x14ac:dyDescent="0.25">
      <c r="A377" s="32" t="s">
        <v>841</v>
      </c>
      <c r="B377" s="32" t="s">
        <v>235</v>
      </c>
      <c r="C377" s="32" t="s">
        <v>451</v>
      </c>
      <c r="D377" s="175"/>
      <c r="E377" s="175"/>
      <c r="F377" s="175"/>
      <c r="G377" s="175"/>
      <c r="H377" s="175"/>
      <c r="I377" s="175"/>
      <c r="J377" s="182">
        <v>144</v>
      </c>
      <c r="K377" s="189">
        <v>70560</v>
      </c>
      <c r="L377" s="33">
        <f t="shared" si="14"/>
        <v>10160640</v>
      </c>
    </row>
    <row r="378" spans="1:12" ht="22.5" customHeight="1" x14ac:dyDescent="0.25">
      <c r="A378" s="32" t="s">
        <v>842</v>
      </c>
      <c r="B378" s="32" t="s">
        <v>843</v>
      </c>
      <c r="C378" s="32" t="s">
        <v>844</v>
      </c>
      <c r="D378" s="175"/>
      <c r="E378" s="175"/>
      <c r="F378" s="175"/>
      <c r="G378" s="175"/>
      <c r="H378" s="175"/>
      <c r="I378" s="175"/>
      <c r="J378" s="182">
        <v>263</v>
      </c>
      <c r="K378" s="200">
        <v>65170</v>
      </c>
      <c r="L378" s="33">
        <f t="shared" si="14"/>
        <v>17139710</v>
      </c>
    </row>
    <row r="379" spans="1:12" ht="22.5" customHeight="1" x14ac:dyDescent="0.25">
      <c r="A379" s="201" t="s">
        <v>845</v>
      </c>
      <c r="B379" s="201" t="s">
        <v>231</v>
      </c>
      <c r="C379" s="201" t="s">
        <v>451</v>
      </c>
      <c r="D379" s="175"/>
      <c r="E379" s="175"/>
      <c r="F379" s="175"/>
      <c r="G379" s="175"/>
      <c r="H379" s="175"/>
      <c r="I379" s="175"/>
      <c r="J379" s="202">
        <v>0</v>
      </c>
      <c r="K379" s="203"/>
      <c r="L379" s="33">
        <f t="shared" si="14"/>
        <v>0</v>
      </c>
    </row>
    <row r="380" spans="1:12" ht="22.5" customHeight="1" x14ac:dyDescent="0.25">
      <c r="A380" s="32" t="s">
        <v>846</v>
      </c>
      <c r="B380" s="32" t="s">
        <v>232</v>
      </c>
      <c r="C380" s="32" t="s">
        <v>451</v>
      </c>
      <c r="D380" s="175"/>
      <c r="E380" s="175"/>
      <c r="F380" s="175"/>
      <c r="G380" s="175"/>
      <c r="H380" s="175"/>
      <c r="I380" s="175"/>
      <c r="J380" s="176"/>
      <c r="K380" s="177"/>
      <c r="L380" s="33">
        <f t="shared" si="14"/>
        <v>0</v>
      </c>
    </row>
    <row r="381" spans="1:12" ht="22.5" customHeight="1" x14ac:dyDescent="0.25">
      <c r="A381" s="32" t="s">
        <v>847</v>
      </c>
      <c r="B381" s="32" t="s">
        <v>237</v>
      </c>
      <c r="C381" s="32" t="s">
        <v>654</v>
      </c>
      <c r="D381" s="175"/>
      <c r="E381" s="175"/>
      <c r="F381" s="175"/>
      <c r="G381" s="175"/>
      <c r="H381" s="175"/>
      <c r="I381" s="175"/>
      <c r="J381" s="182">
        <v>235</v>
      </c>
      <c r="K381" s="189">
        <v>59290</v>
      </c>
      <c r="L381" s="33">
        <f t="shared" si="14"/>
        <v>13933150</v>
      </c>
    </row>
    <row r="382" spans="1:12" ht="22.5" customHeight="1" x14ac:dyDescent="0.25">
      <c r="A382" s="32" t="s">
        <v>848</v>
      </c>
      <c r="B382" s="32" t="s">
        <v>238</v>
      </c>
      <c r="C382" s="32" t="s">
        <v>654</v>
      </c>
      <c r="D382" s="175"/>
      <c r="E382" s="175"/>
      <c r="F382" s="175"/>
      <c r="G382" s="175"/>
      <c r="H382" s="175"/>
      <c r="I382" s="175"/>
      <c r="J382" s="182">
        <v>810</v>
      </c>
      <c r="K382" s="189">
        <v>59100.86</v>
      </c>
      <c r="L382" s="33">
        <f t="shared" si="14"/>
        <v>47871696.600000001</v>
      </c>
    </row>
    <row r="383" spans="1:12" ht="22.5" customHeight="1" x14ac:dyDescent="0.25">
      <c r="A383" s="32" t="s">
        <v>849</v>
      </c>
      <c r="B383" s="32" t="s">
        <v>236</v>
      </c>
      <c r="C383" s="32" t="s">
        <v>654</v>
      </c>
      <c r="D383" s="175"/>
      <c r="E383" s="175"/>
      <c r="F383" s="175"/>
      <c r="G383" s="175"/>
      <c r="H383" s="175"/>
      <c r="I383" s="175"/>
      <c r="J383" s="182">
        <v>412</v>
      </c>
      <c r="K383" s="189">
        <v>64141</v>
      </c>
      <c r="L383" s="33">
        <f t="shared" si="14"/>
        <v>26426092</v>
      </c>
    </row>
    <row r="384" spans="1:12" ht="22.5" customHeight="1" x14ac:dyDescent="0.25">
      <c r="A384" s="32" t="s">
        <v>850</v>
      </c>
      <c r="B384" s="32" t="s">
        <v>851</v>
      </c>
      <c r="C384" s="32" t="s">
        <v>451</v>
      </c>
      <c r="D384" s="175"/>
      <c r="E384" s="175"/>
      <c r="F384" s="175"/>
      <c r="G384" s="175"/>
      <c r="H384" s="175"/>
      <c r="I384" s="175"/>
      <c r="J384" s="176"/>
      <c r="K384" s="177"/>
      <c r="L384" s="33">
        <f t="shared" si="14"/>
        <v>0</v>
      </c>
    </row>
    <row r="385" spans="1:12" ht="22.5" customHeight="1" x14ac:dyDescent="0.25">
      <c r="A385" s="32" t="s">
        <v>852</v>
      </c>
      <c r="B385" s="32" t="s">
        <v>229</v>
      </c>
      <c r="C385" s="32" t="s">
        <v>654</v>
      </c>
      <c r="D385" s="175"/>
      <c r="E385" s="175"/>
      <c r="F385" s="175"/>
      <c r="G385" s="175"/>
      <c r="H385" s="175"/>
      <c r="I385" s="175"/>
      <c r="J385" s="182">
        <v>226</v>
      </c>
      <c r="K385" s="189">
        <v>93394</v>
      </c>
      <c r="L385" s="33">
        <f t="shared" si="14"/>
        <v>21107044</v>
      </c>
    </row>
    <row r="386" spans="1:12" ht="22.5" customHeight="1" x14ac:dyDescent="0.25">
      <c r="A386" s="32" t="s">
        <v>853</v>
      </c>
      <c r="B386" s="32" t="s">
        <v>240</v>
      </c>
      <c r="C386" s="32" t="s">
        <v>654</v>
      </c>
      <c r="D386" s="175"/>
      <c r="E386" s="175"/>
      <c r="F386" s="175"/>
      <c r="G386" s="175"/>
      <c r="H386" s="175"/>
      <c r="I386" s="175"/>
      <c r="J386" s="182">
        <v>549</v>
      </c>
      <c r="K386" s="189">
        <v>93492</v>
      </c>
      <c r="L386" s="33">
        <f t="shared" si="14"/>
        <v>51327108</v>
      </c>
    </row>
    <row r="387" spans="1:12" ht="22.5" customHeight="1" x14ac:dyDescent="0.25">
      <c r="A387" s="32" t="s">
        <v>854</v>
      </c>
      <c r="B387" s="32" t="s">
        <v>241</v>
      </c>
      <c r="C387" s="32" t="s">
        <v>654</v>
      </c>
      <c r="D387" s="175"/>
      <c r="E387" s="175"/>
      <c r="F387" s="175"/>
      <c r="G387" s="175"/>
      <c r="H387" s="175"/>
      <c r="I387" s="175"/>
      <c r="J387" s="182">
        <v>969</v>
      </c>
      <c r="K387" s="189">
        <v>82810</v>
      </c>
      <c r="L387" s="33">
        <f t="shared" si="14"/>
        <v>80242890</v>
      </c>
    </row>
    <row r="388" spans="1:12" ht="22.5" customHeight="1" x14ac:dyDescent="0.25">
      <c r="A388" s="32" t="s">
        <v>855</v>
      </c>
      <c r="B388" s="32" t="s">
        <v>242</v>
      </c>
      <c r="C388" s="32" t="s">
        <v>654</v>
      </c>
      <c r="D388" s="175"/>
      <c r="E388" s="175"/>
      <c r="F388" s="175"/>
      <c r="G388" s="175"/>
      <c r="H388" s="175"/>
      <c r="I388" s="175"/>
      <c r="J388" s="182">
        <v>158</v>
      </c>
      <c r="K388" s="189">
        <v>72324</v>
      </c>
      <c r="L388" s="33">
        <f t="shared" si="14"/>
        <v>11427192</v>
      </c>
    </row>
    <row r="389" spans="1:12" ht="22.5" customHeight="1" x14ac:dyDescent="0.25">
      <c r="A389" s="32" t="s">
        <v>856</v>
      </c>
      <c r="B389" s="32" t="s">
        <v>857</v>
      </c>
      <c r="C389" s="32" t="s">
        <v>654</v>
      </c>
      <c r="D389" s="175"/>
      <c r="E389" s="175"/>
      <c r="F389" s="175"/>
      <c r="G389" s="175"/>
      <c r="H389" s="175"/>
      <c r="I389" s="175"/>
      <c r="J389" s="182">
        <v>879</v>
      </c>
      <c r="K389" s="189">
        <v>93492</v>
      </c>
      <c r="L389" s="33">
        <f t="shared" si="14"/>
        <v>82179468</v>
      </c>
    </row>
    <row r="390" spans="1:12" ht="22.5" customHeight="1" x14ac:dyDescent="0.25">
      <c r="A390" s="32" t="s">
        <v>858</v>
      </c>
      <c r="B390" s="32" t="s">
        <v>859</v>
      </c>
      <c r="C390" s="32" t="s">
        <v>654</v>
      </c>
      <c r="D390" s="175"/>
      <c r="E390" s="175"/>
      <c r="F390" s="175"/>
      <c r="G390" s="175"/>
      <c r="H390" s="175"/>
      <c r="I390" s="175"/>
      <c r="J390" s="176"/>
      <c r="K390" s="177"/>
      <c r="L390" s="33">
        <f t="shared" ref="L390:L410" si="15">J390*K390</f>
        <v>0</v>
      </c>
    </row>
    <row r="391" spans="1:12" ht="22.5" customHeight="1" x14ac:dyDescent="0.25">
      <c r="A391" s="32" t="s">
        <v>860</v>
      </c>
      <c r="B391" s="32" t="s">
        <v>244</v>
      </c>
      <c r="C391" s="32" t="s">
        <v>654</v>
      </c>
      <c r="D391" s="175"/>
      <c r="E391" s="175"/>
      <c r="F391" s="175"/>
      <c r="G391" s="175"/>
      <c r="H391" s="175"/>
      <c r="I391" s="175"/>
      <c r="J391" s="176"/>
      <c r="K391" s="177"/>
      <c r="L391" s="33">
        <f t="shared" si="15"/>
        <v>0</v>
      </c>
    </row>
    <row r="392" spans="1:12" ht="22.5" customHeight="1" x14ac:dyDescent="0.25">
      <c r="A392" s="32" t="s">
        <v>861</v>
      </c>
      <c r="B392" s="32" t="s">
        <v>243</v>
      </c>
      <c r="C392" s="32" t="s">
        <v>654</v>
      </c>
      <c r="D392" s="175"/>
      <c r="E392" s="175"/>
      <c r="F392" s="175"/>
      <c r="G392" s="175"/>
      <c r="H392" s="175"/>
      <c r="I392" s="175"/>
      <c r="J392" s="182">
        <v>129</v>
      </c>
      <c r="K392" s="189">
        <v>93394</v>
      </c>
      <c r="L392" s="33">
        <f t="shared" si="15"/>
        <v>12047826</v>
      </c>
    </row>
    <row r="393" spans="1:12" ht="22.5" customHeight="1" x14ac:dyDescent="0.25">
      <c r="A393" s="32" t="s">
        <v>862</v>
      </c>
      <c r="B393" s="32" t="s">
        <v>863</v>
      </c>
      <c r="C393" s="32" t="s">
        <v>864</v>
      </c>
      <c r="D393" s="175"/>
      <c r="E393" s="175"/>
      <c r="F393" s="175"/>
      <c r="G393" s="175"/>
      <c r="H393" s="175"/>
      <c r="I393" s="175"/>
      <c r="J393" s="176"/>
      <c r="K393" s="177"/>
      <c r="L393" s="33">
        <f t="shared" si="15"/>
        <v>0</v>
      </c>
    </row>
    <row r="394" spans="1:12" ht="22.5" customHeight="1" x14ac:dyDescent="0.25">
      <c r="A394" s="32" t="s">
        <v>865</v>
      </c>
      <c r="B394" s="32" t="s">
        <v>866</v>
      </c>
      <c r="C394" s="32" t="s">
        <v>528</v>
      </c>
      <c r="D394" s="175"/>
      <c r="E394" s="175"/>
      <c r="F394" s="175"/>
      <c r="G394" s="175"/>
      <c r="H394" s="175"/>
      <c r="I394" s="175"/>
      <c r="J394" s="176"/>
      <c r="K394" s="177"/>
      <c r="L394" s="33">
        <f t="shared" si="15"/>
        <v>0</v>
      </c>
    </row>
    <row r="395" spans="1:12" ht="22.5" customHeight="1" x14ac:dyDescent="0.25">
      <c r="A395" s="53" t="s">
        <v>867</v>
      </c>
      <c r="B395" s="53" t="s">
        <v>866</v>
      </c>
      <c r="C395" s="53" t="s">
        <v>864</v>
      </c>
      <c r="D395" s="175"/>
      <c r="E395" s="175"/>
      <c r="F395" s="175"/>
      <c r="G395" s="175"/>
      <c r="H395" s="175"/>
      <c r="I395" s="175"/>
      <c r="J395" s="187">
        <v>5280</v>
      </c>
      <c r="K395" s="188">
        <v>7127.54</v>
      </c>
      <c r="L395" s="57">
        <f t="shared" si="15"/>
        <v>37633411.200000003</v>
      </c>
    </row>
    <row r="396" spans="1:12" ht="22.5" customHeight="1" x14ac:dyDescent="0.25">
      <c r="A396" s="32" t="s">
        <v>868</v>
      </c>
      <c r="B396" s="32" t="s">
        <v>869</v>
      </c>
      <c r="C396" s="32" t="s">
        <v>528</v>
      </c>
      <c r="D396" s="175"/>
      <c r="E396" s="175"/>
      <c r="F396" s="175"/>
      <c r="G396" s="175"/>
      <c r="H396" s="175"/>
      <c r="I396" s="175"/>
      <c r="J396" s="176"/>
      <c r="K396" s="177"/>
      <c r="L396" s="33">
        <f t="shared" si="15"/>
        <v>0</v>
      </c>
    </row>
    <row r="397" spans="1:12" ht="22.5" customHeight="1" x14ac:dyDescent="0.25">
      <c r="A397" s="32" t="s">
        <v>870</v>
      </c>
      <c r="B397" s="32" t="s">
        <v>247</v>
      </c>
      <c r="C397" s="32" t="s">
        <v>528</v>
      </c>
      <c r="D397" s="175"/>
      <c r="E397" s="175"/>
      <c r="F397" s="175"/>
      <c r="G397" s="175"/>
      <c r="H397" s="175"/>
      <c r="I397" s="175"/>
      <c r="J397" s="176"/>
      <c r="K397" s="177"/>
      <c r="L397" s="33">
        <f t="shared" si="15"/>
        <v>0</v>
      </c>
    </row>
    <row r="398" spans="1:12" ht="22.5" customHeight="1" x14ac:dyDescent="0.25">
      <c r="A398" s="53" t="s">
        <v>871</v>
      </c>
      <c r="B398" s="53" t="s">
        <v>247</v>
      </c>
      <c r="C398" s="53" t="s">
        <v>864</v>
      </c>
      <c r="D398" s="175"/>
      <c r="E398" s="175"/>
      <c r="F398" s="175"/>
      <c r="G398" s="175"/>
      <c r="H398" s="175"/>
      <c r="I398" s="175"/>
      <c r="J398" s="187">
        <v>8640</v>
      </c>
      <c r="K398" s="188">
        <v>7127.54</v>
      </c>
      <c r="L398" s="57">
        <f t="shared" si="15"/>
        <v>61581945.600000001</v>
      </c>
    </row>
    <row r="399" spans="1:12" ht="22.5" customHeight="1" x14ac:dyDescent="0.25">
      <c r="A399" s="32" t="s">
        <v>872</v>
      </c>
      <c r="B399" s="32" t="s">
        <v>248</v>
      </c>
      <c r="C399" s="32" t="s">
        <v>528</v>
      </c>
      <c r="D399" s="175"/>
      <c r="E399" s="175"/>
      <c r="F399" s="175"/>
      <c r="G399" s="175"/>
      <c r="H399" s="175"/>
      <c r="I399" s="175"/>
      <c r="J399" s="176"/>
      <c r="K399" s="177"/>
      <c r="L399" s="33">
        <f t="shared" si="15"/>
        <v>0</v>
      </c>
    </row>
    <row r="400" spans="1:12" ht="22.5" customHeight="1" x14ac:dyDescent="0.25">
      <c r="A400" s="32" t="s">
        <v>873</v>
      </c>
      <c r="B400" s="32" t="s">
        <v>874</v>
      </c>
      <c r="C400" s="32" t="s">
        <v>528</v>
      </c>
      <c r="D400" s="175"/>
      <c r="E400" s="175"/>
      <c r="F400" s="175"/>
      <c r="G400" s="175"/>
      <c r="H400" s="175"/>
      <c r="I400" s="175"/>
      <c r="J400" s="176"/>
      <c r="K400" s="177"/>
      <c r="L400" s="33">
        <f t="shared" si="15"/>
        <v>0</v>
      </c>
    </row>
    <row r="401" spans="1:12" ht="22.5" customHeight="1" x14ac:dyDescent="0.25">
      <c r="A401" s="32" t="s">
        <v>875</v>
      </c>
      <c r="B401" s="32" t="s">
        <v>248</v>
      </c>
      <c r="C401" s="32" t="s">
        <v>864</v>
      </c>
      <c r="D401" s="175"/>
      <c r="E401" s="175"/>
      <c r="F401" s="175"/>
      <c r="G401" s="175"/>
      <c r="H401" s="175"/>
      <c r="I401" s="175"/>
      <c r="J401" s="202">
        <v>384</v>
      </c>
      <c r="K401" s="204">
        <v>7127.541666666667</v>
      </c>
      <c r="L401" s="33">
        <f t="shared" si="15"/>
        <v>2736976</v>
      </c>
    </row>
    <row r="402" spans="1:12" ht="22.5" customHeight="1" x14ac:dyDescent="0.25">
      <c r="A402" s="32" t="s">
        <v>876</v>
      </c>
      <c r="B402" s="32" t="s">
        <v>249</v>
      </c>
      <c r="C402" s="32" t="s">
        <v>528</v>
      </c>
      <c r="D402" s="175"/>
      <c r="E402" s="175"/>
      <c r="F402" s="175"/>
      <c r="G402" s="175"/>
      <c r="H402" s="175"/>
      <c r="I402" s="175"/>
      <c r="J402" s="176"/>
      <c r="K402" s="177"/>
      <c r="L402" s="33">
        <f t="shared" si="15"/>
        <v>0</v>
      </c>
    </row>
    <row r="403" spans="1:12" ht="22.5" customHeight="1" x14ac:dyDescent="0.25">
      <c r="A403" s="32" t="s">
        <v>877</v>
      </c>
      <c r="B403" s="32" t="s">
        <v>878</v>
      </c>
      <c r="C403" s="32" t="s">
        <v>528</v>
      </c>
      <c r="D403" s="175"/>
      <c r="E403" s="175"/>
      <c r="F403" s="175"/>
      <c r="G403" s="175"/>
      <c r="H403" s="175"/>
      <c r="I403" s="175"/>
      <c r="J403" s="176"/>
      <c r="K403" s="177"/>
      <c r="L403" s="33">
        <f t="shared" si="15"/>
        <v>0</v>
      </c>
    </row>
    <row r="404" spans="1:12" ht="22.5" customHeight="1" x14ac:dyDescent="0.25">
      <c r="A404" s="32" t="s">
        <v>879</v>
      </c>
      <c r="B404" s="32" t="s">
        <v>249</v>
      </c>
      <c r="C404" s="32" t="s">
        <v>864</v>
      </c>
      <c r="D404" s="175"/>
      <c r="E404" s="175"/>
      <c r="F404" s="175"/>
      <c r="G404" s="175"/>
      <c r="H404" s="175"/>
      <c r="I404" s="175"/>
      <c r="J404" s="202">
        <v>691</v>
      </c>
      <c r="K404" s="204">
        <v>7127.541666666667</v>
      </c>
      <c r="L404" s="33">
        <f t="shared" si="15"/>
        <v>4925131.291666667</v>
      </c>
    </row>
    <row r="405" spans="1:12" ht="22.5" customHeight="1" x14ac:dyDescent="0.25">
      <c r="A405" s="32" t="s">
        <v>880</v>
      </c>
      <c r="B405" s="32" t="s">
        <v>881</v>
      </c>
      <c r="C405" s="32" t="s">
        <v>528</v>
      </c>
      <c r="D405" s="175"/>
      <c r="E405" s="175"/>
      <c r="F405" s="175"/>
      <c r="G405" s="175"/>
      <c r="H405" s="175"/>
      <c r="I405" s="175"/>
      <c r="J405" s="176"/>
      <c r="K405" s="177"/>
      <c r="L405" s="33">
        <f t="shared" si="15"/>
        <v>0</v>
      </c>
    </row>
    <row r="406" spans="1:12" ht="22.5" customHeight="1" x14ac:dyDescent="0.25">
      <c r="A406" s="53" t="s">
        <v>882</v>
      </c>
      <c r="B406" s="53" t="s">
        <v>881</v>
      </c>
      <c r="C406" s="53" t="s">
        <v>864</v>
      </c>
      <c r="D406" s="175"/>
      <c r="E406" s="175"/>
      <c r="F406" s="175"/>
      <c r="G406" s="175"/>
      <c r="H406" s="175"/>
      <c r="I406" s="175"/>
      <c r="J406" s="187">
        <v>7200</v>
      </c>
      <c r="K406" s="205">
        <v>7127.541666666667</v>
      </c>
      <c r="L406" s="57">
        <f t="shared" si="15"/>
        <v>51318300</v>
      </c>
    </row>
    <row r="407" spans="1:12" ht="22.5" customHeight="1" x14ac:dyDescent="0.25">
      <c r="A407" s="81" t="s">
        <v>883</v>
      </c>
      <c r="B407" s="81" t="s">
        <v>227</v>
      </c>
      <c r="C407" s="81" t="s">
        <v>528</v>
      </c>
      <c r="D407" s="175"/>
      <c r="E407" s="175"/>
      <c r="F407" s="175"/>
      <c r="G407" s="175"/>
      <c r="H407" s="175"/>
      <c r="I407" s="175"/>
      <c r="J407" s="190"/>
      <c r="K407" s="191"/>
      <c r="L407" s="82">
        <f t="shared" si="15"/>
        <v>0</v>
      </c>
    </row>
    <row r="408" spans="1:12" ht="22.5" customHeight="1" x14ac:dyDescent="0.25">
      <c r="A408" s="53" t="s">
        <v>884</v>
      </c>
      <c r="B408" s="53" t="s">
        <v>283</v>
      </c>
      <c r="C408" s="53" t="s">
        <v>327</v>
      </c>
      <c r="D408" s="175"/>
      <c r="E408" s="175"/>
      <c r="F408" s="175"/>
      <c r="G408" s="175"/>
      <c r="H408" s="175"/>
      <c r="I408" s="175"/>
      <c r="J408" s="187">
        <v>500</v>
      </c>
      <c r="K408" s="188">
        <v>35952</v>
      </c>
      <c r="L408" s="57">
        <f t="shared" si="15"/>
        <v>17976000</v>
      </c>
    </row>
    <row r="409" spans="1:12" ht="22.5" customHeight="1" x14ac:dyDescent="0.25">
      <c r="A409" s="32" t="s">
        <v>885</v>
      </c>
      <c r="B409" s="32" t="s">
        <v>284</v>
      </c>
      <c r="C409" s="32" t="s">
        <v>327</v>
      </c>
      <c r="D409" s="175"/>
      <c r="E409" s="175"/>
      <c r="F409" s="175"/>
      <c r="G409" s="175"/>
      <c r="H409" s="175"/>
      <c r="I409" s="175"/>
      <c r="J409" s="182">
        <v>184</v>
      </c>
      <c r="K409" s="200">
        <v>46032</v>
      </c>
      <c r="L409" s="33">
        <f t="shared" si="15"/>
        <v>8469888</v>
      </c>
    </row>
    <row r="410" spans="1:12" ht="22.5" customHeight="1" x14ac:dyDescent="0.25">
      <c r="A410" s="32" t="s">
        <v>886</v>
      </c>
      <c r="B410" s="32" t="s">
        <v>285</v>
      </c>
      <c r="C410" s="32" t="s">
        <v>327</v>
      </c>
      <c r="D410" s="175"/>
      <c r="E410" s="175"/>
      <c r="F410" s="175"/>
      <c r="G410" s="175"/>
      <c r="H410" s="175"/>
      <c r="I410" s="175"/>
      <c r="J410" s="176"/>
      <c r="K410" s="177"/>
      <c r="L410" s="33">
        <f t="shared" si="15"/>
        <v>0</v>
      </c>
    </row>
    <row r="411" spans="1:12" ht="15" x14ac:dyDescent="0.25">
      <c r="A411" s="26"/>
      <c r="B411" s="26"/>
      <c r="C411" s="26"/>
      <c r="J411" s="26"/>
      <c r="K411" s="206"/>
      <c r="L411" s="207">
        <f>SUM(L6:L410)</f>
        <v>15761286564.241667</v>
      </c>
    </row>
    <row r="412" spans="1:12" ht="15" x14ac:dyDescent="0.25">
      <c r="A412" s="26"/>
      <c r="B412" s="26"/>
      <c r="C412" s="26"/>
      <c r="J412" s="26"/>
      <c r="K412" s="206"/>
      <c r="L412" s="207">
        <f>'ĐC Chính'!$J$286</f>
        <v>15761231523</v>
      </c>
    </row>
    <row r="413" spans="1:12" ht="15" x14ac:dyDescent="0.25">
      <c r="A413" s="26"/>
      <c r="B413" s="26"/>
      <c r="C413" s="26"/>
      <c r="J413" s="26"/>
      <c r="K413" s="206"/>
      <c r="L413" s="207">
        <f>L411-L412</f>
        <v>55041.241666793823</v>
      </c>
    </row>
  </sheetData>
  <mergeCells count="5">
    <mergeCell ref="A2:L2"/>
    <mergeCell ref="D4:E4"/>
    <mergeCell ref="F4:G4"/>
    <mergeCell ref="H4:I4"/>
    <mergeCell ref="J4:L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16C68-4854-4840-84FB-896A1DE9401A}">
  <dimension ref="A1:R410"/>
  <sheetViews>
    <sheetView tabSelected="1" topLeftCell="A208" workbookViewId="0">
      <selection activeCell="J289" sqref="J289"/>
    </sheetView>
  </sheetViews>
  <sheetFormatPr defaultRowHeight="12.75" x14ac:dyDescent="0.2"/>
  <cols>
    <col min="1" max="1" width="51.28515625" style="124" customWidth="1"/>
    <col min="2" max="2" width="9.28515625" style="124" bestFit="1" customWidth="1"/>
    <col min="3" max="3" width="12.7109375" style="124" bestFit="1" customWidth="1"/>
    <col min="4" max="4" width="19.85546875" style="124" bestFit="1" customWidth="1"/>
    <col min="5" max="5" width="12.7109375" style="124" bestFit="1" customWidth="1"/>
    <col min="6" max="6" width="19.85546875" style="124" bestFit="1" customWidth="1"/>
    <col min="7" max="7" width="14.5703125" style="124" bestFit="1" customWidth="1"/>
    <col min="8" max="8" width="21" style="124" bestFit="1" customWidth="1"/>
    <col min="9" max="9" width="12.7109375" style="124" bestFit="1" customWidth="1"/>
    <col min="10" max="10" width="19.85546875" style="124" bestFit="1" customWidth="1"/>
    <col min="11" max="11" width="9.85546875" style="130" bestFit="1" customWidth="1"/>
    <col min="12" max="13" width="9.140625" style="124"/>
    <col min="14" max="14" width="36.7109375" style="124" customWidth="1"/>
    <col min="15" max="16" width="9.140625" style="124"/>
    <col min="17" max="17" width="9.85546875" style="157" bestFit="1" customWidth="1"/>
    <col min="18" max="18" width="15.140625" style="130" bestFit="1" customWidth="1"/>
    <col min="19" max="16384" width="9.140625" style="124"/>
  </cols>
  <sheetData>
    <row r="1" spans="1:18" ht="18.75" x14ac:dyDescent="0.25">
      <c r="A1" s="216" t="s">
        <v>947</v>
      </c>
      <c r="B1" s="216"/>
      <c r="C1" s="216"/>
      <c r="D1" s="216"/>
      <c r="E1" s="216"/>
      <c r="F1" s="216"/>
      <c r="G1" s="216"/>
      <c r="H1" s="216"/>
      <c r="I1" s="216"/>
      <c r="J1" s="216"/>
      <c r="L1" s="26"/>
    </row>
    <row r="2" spans="1:18" ht="15" x14ac:dyDescent="0.25">
      <c r="A2" s="126"/>
      <c r="B2" s="126"/>
      <c r="C2" s="126" t="s">
        <v>0</v>
      </c>
      <c r="D2" s="126"/>
      <c r="E2" s="126" t="s">
        <v>1</v>
      </c>
      <c r="F2" s="126"/>
      <c r="G2" s="126" t="s">
        <v>2</v>
      </c>
      <c r="H2" s="126"/>
      <c r="I2" s="126" t="s">
        <v>3</v>
      </c>
      <c r="J2" s="126"/>
      <c r="K2" s="149"/>
      <c r="L2" s="151"/>
      <c r="M2" s="152" t="s">
        <v>295</v>
      </c>
      <c r="N2" s="152" t="s">
        <v>296</v>
      </c>
      <c r="O2" s="152" t="s">
        <v>297</v>
      </c>
      <c r="P2" s="152" t="s">
        <v>298</v>
      </c>
      <c r="Q2" s="158" t="s">
        <v>299</v>
      </c>
      <c r="R2" s="131" t="s">
        <v>300</v>
      </c>
    </row>
    <row r="3" spans="1:18" ht="15" x14ac:dyDescent="0.25">
      <c r="A3" s="126" t="s">
        <v>4</v>
      </c>
      <c r="B3" s="126" t="s">
        <v>5</v>
      </c>
      <c r="C3" s="126" t="s">
        <v>6</v>
      </c>
      <c r="D3" s="126" t="s">
        <v>7</v>
      </c>
      <c r="E3" s="126" t="s">
        <v>8</v>
      </c>
      <c r="F3" s="126" t="s">
        <v>9</v>
      </c>
      <c r="G3" s="126" t="s">
        <v>6</v>
      </c>
      <c r="H3" s="126" t="s">
        <v>10</v>
      </c>
      <c r="I3" s="126" t="s">
        <v>6</v>
      </c>
      <c r="J3" s="126" t="s">
        <v>9</v>
      </c>
      <c r="K3" s="149" t="s">
        <v>948</v>
      </c>
      <c r="L3" s="151">
        <v>1</v>
      </c>
      <c r="M3" s="152" t="s">
        <v>301</v>
      </c>
      <c r="N3" s="152" t="s">
        <v>302</v>
      </c>
      <c r="O3" s="152" t="s">
        <v>303</v>
      </c>
      <c r="P3" s="161"/>
      <c r="Q3" s="167"/>
      <c r="R3" s="162">
        <v>0</v>
      </c>
    </row>
    <row r="4" spans="1:18" ht="15" x14ac:dyDescent="0.25">
      <c r="A4" s="153" t="s">
        <v>11</v>
      </c>
      <c r="B4" s="153">
        <v>12</v>
      </c>
      <c r="C4" s="136">
        <v>226</v>
      </c>
      <c r="D4" s="136">
        <v>6255676</v>
      </c>
      <c r="E4" s="136">
        <v>100</v>
      </c>
      <c r="F4" s="136">
        <v>2774400</v>
      </c>
      <c r="G4" s="136">
        <v>100</v>
      </c>
      <c r="H4" s="136">
        <f>D4+F4-J4</f>
        <v>2769962</v>
      </c>
      <c r="I4" s="136">
        <v>226</v>
      </c>
      <c r="J4" s="136">
        <v>6260114</v>
      </c>
      <c r="K4" s="160">
        <f>J4/I4</f>
        <v>27699.619469026547</v>
      </c>
      <c r="L4" s="151">
        <v>2</v>
      </c>
      <c r="M4" s="152" t="s">
        <v>304</v>
      </c>
      <c r="N4" s="152" t="s">
        <v>23</v>
      </c>
      <c r="O4" s="152" t="s">
        <v>305</v>
      </c>
      <c r="P4" s="161"/>
      <c r="Q4" s="167"/>
      <c r="R4" s="162">
        <v>0</v>
      </c>
    </row>
    <row r="5" spans="1:18" ht="15" x14ac:dyDescent="0.25">
      <c r="A5" s="123" t="s">
        <v>12</v>
      </c>
      <c r="B5" s="123">
        <v>12</v>
      </c>
      <c r="C5" s="125">
        <v>0</v>
      </c>
      <c r="D5" s="125">
        <v>0</v>
      </c>
      <c r="E5" s="125">
        <v>60</v>
      </c>
      <c r="F5" s="125">
        <v>1188660</v>
      </c>
      <c r="G5" s="125">
        <v>60</v>
      </c>
      <c r="H5" s="125">
        <f t="shared" ref="H5:H68" si="0">D5+F5-J5</f>
        <v>1188660</v>
      </c>
      <c r="I5" s="136">
        <v>0</v>
      </c>
      <c r="J5" s="136">
        <v>0</v>
      </c>
      <c r="K5" s="160"/>
      <c r="L5" s="151">
        <v>3</v>
      </c>
      <c r="M5" s="152" t="s">
        <v>306</v>
      </c>
      <c r="N5" s="152" t="s">
        <v>12</v>
      </c>
      <c r="O5" s="152" t="s">
        <v>305</v>
      </c>
      <c r="P5" s="161"/>
      <c r="Q5" s="167"/>
      <c r="R5" s="162">
        <v>0</v>
      </c>
    </row>
    <row r="6" spans="1:18" ht="15" x14ac:dyDescent="0.25">
      <c r="A6" s="153" t="s">
        <v>13</v>
      </c>
      <c r="B6" s="153">
        <v>12</v>
      </c>
      <c r="C6" s="136">
        <v>587</v>
      </c>
      <c r="D6" s="136">
        <v>19248466</v>
      </c>
      <c r="E6" s="136">
        <v>0</v>
      </c>
      <c r="F6" s="136">
        <v>0</v>
      </c>
      <c r="G6" s="136">
        <v>338</v>
      </c>
      <c r="H6" s="136">
        <f t="shared" si="0"/>
        <v>16955982.399999999</v>
      </c>
      <c r="I6" s="136">
        <v>132</v>
      </c>
      <c r="J6" s="136">
        <f>I6*K6</f>
        <v>2292483.6</v>
      </c>
      <c r="K6" s="160">
        <v>17367.3</v>
      </c>
      <c r="L6" s="151">
        <v>4</v>
      </c>
      <c r="M6" s="152" t="s">
        <v>307</v>
      </c>
      <c r="N6" s="152" t="s">
        <v>13</v>
      </c>
      <c r="O6" s="152" t="s">
        <v>305</v>
      </c>
      <c r="P6" s="161">
        <v>132</v>
      </c>
      <c r="Q6" s="167">
        <v>17367.3</v>
      </c>
      <c r="R6" s="162">
        <v>2292483.6</v>
      </c>
    </row>
    <row r="7" spans="1:18" ht="15" x14ac:dyDescent="0.25">
      <c r="A7" s="123" t="s">
        <v>14</v>
      </c>
      <c r="B7" s="123">
        <v>12</v>
      </c>
      <c r="C7" s="125">
        <v>120</v>
      </c>
      <c r="D7" s="125">
        <v>35752144</v>
      </c>
      <c r="E7" s="125">
        <v>0</v>
      </c>
      <c r="F7" s="125">
        <v>0</v>
      </c>
      <c r="G7" s="125">
        <v>120</v>
      </c>
      <c r="H7" s="125">
        <f t="shared" si="0"/>
        <v>35752144</v>
      </c>
      <c r="I7" s="136">
        <v>0</v>
      </c>
      <c r="J7" s="136">
        <v>0</v>
      </c>
      <c r="K7" s="160"/>
      <c r="L7" s="151">
        <v>5</v>
      </c>
      <c r="M7" s="152" t="s">
        <v>308</v>
      </c>
      <c r="N7" s="152" t="s">
        <v>24</v>
      </c>
      <c r="O7" s="152" t="s">
        <v>305</v>
      </c>
      <c r="P7" s="161"/>
      <c r="Q7" s="167"/>
      <c r="R7" s="162">
        <v>0</v>
      </c>
    </row>
    <row r="8" spans="1:18" ht="15" x14ac:dyDescent="0.25">
      <c r="A8" s="123" t="s">
        <v>15</v>
      </c>
      <c r="B8" s="123">
        <v>12</v>
      </c>
      <c r="C8" s="125">
        <v>504</v>
      </c>
      <c r="D8" s="125">
        <v>68557545</v>
      </c>
      <c r="E8" s="125">
        <v>0</v>
      </c>
      <c r="F8" s="125">
        <v>0</v>
      </c>
      <c r="G8" s="125">
        <v>134</v>
      </c>
      <c r="H8" s="125">
        <f t="shared" si="0"/>
        <v>49603045</v>
      </c>
      <c r="I8" s="136">
        <v>227</v>
      </c>
      <c r="J8" s="136">
        <f>I8*K8</f>
        <v>18954500</v>
      </c>
      <c r="K8" s="160">
        <v>83500</v>
      </c>
      <c r="L8" s="151">
        <v>6</v>
      </c>
      <c r="M8" s="152" t="s">
        <v>309</v>
      </c>
      <c r="N8" s="152" t="s">
        <v>14</v>
      </c>
      <c r="O8" s="152" t="s">
        <v>303</v>
      </c>
      <c r="P8" s="161"/>
      <c r="Q8" s="167"/>
      <c r="R8" s="162">
        <v>0</v>
      </c>
    </row>
    <row r="9" spans="1:18" ht="15" x14ac:dyDescent="0.25">
      <c r="A9" s="123" t="s">
        <v>16</v>
      </c>
      <c r="B9" s="123">
        <v>12</v>
      </c>
      <c r="C9" s="125">
        <v>344</v>
      </c>
      <c r="D9" s="125">
        <v>53839916</v>
      </c>
      <c r="E9" s="125">
        <v>0</v>
      </c>
      <c r="F9" s="125">
        <v>0</v>
      </c>
      <c r="G9" s="125">
        <v>34</v>
      </c>
      <c r="H9" s="125">
        <f t="shared" si="0"/>
        <v>42484796</v>
      </c>
      <c r="I9" s="136">
        <v>150</v>
      </c>
      <c r="J9" s="136">
        <f>I9*K9</f>
        <v>11355120</v>
      </c>
      <c r="K9" s="160">
        <v>75700.800000000003</v>
      </c>
      <c r="L9" s="151">
        <v>7</v>
      </c>
      <c r="M9" s="152" t="s">
        <v>310</v>
      </c>
      <c r="N9" s="152" t="s">
        <v>15</v>
      </c>
      <c r="O9" s="152" t="s">
        <v>311</v>
      </c>
      <c r="P9" s="161">
        <v>227</v>
      </c>
      <c r="Q9" s="167">
        <v>83500.2</v>
      </c>
      <c r="R9" s="162">
        <v>18954545.399999999</v>
      </c>
    </row>
    <row r="10" spans="1:18" ht="15" x14ac:dyDescent="0.25">
      <c r="A10" s="123" t="s">
        <v>17</v>
      </c>
      <c r="B10" s="123">
        <v>12</v>
      </c>
      <c r="C10" s="125">
        <v>153</v>
      </c>
      <c r="D10" s="125">
        <v>36613751</v>
      </c>
      <c r="E10" s="125">
        <v>0</v>
      </c>
      <c r="F10" s="125">
        <v>0</v>
      </c>
      <c r="G10" s="125">
        <v>153</v>
      </c>
      <c r="H10" s="125">
        <f t="shared" si="0"/>
        <v>36613751</v>
      </c>
      <c r="I10" s="136">
        <v>0</v>
      </c>
      <c r="J10" s="136">
        <v>0</v>
      </c>
      <c r="K10" s="160"/>
      <c r="L10" s="151">
        <v>8</v>
      </c>
      <c r="M10" s="152" t="s">
        <v>312</v>
      </c>
      <c r="N10" s="152" t="s">
        <v>16</v>
      </c>
      <c r="O10" s="152" t="s">
        <v>303</v>
      </c>
      <c r="P10" s="161">
        <v>150</v>
      </c>
      <c r="Q10" s="167">
        <v>75700.800000000003</v>
      </c>
      <c r="R10" s="162">
        <v>11355120</v>
      </c>
    </row>
    <row r="11" spans="1:18" ht="15" x14ac:dyDescent="0.25">
      <c r="A11" s="123" t="s">
        <v>18</v>
      </c>
      <c r="B11" s="123">
        <v>12</v>
      </c>
      <c r="C11" s="125">
        <v>554</v>
      </c>
      <c r="D11" s="125">
        <v>12063982</v>
      </c>
      <c r="E11" s="125">
        <v>0</v>
      </c>
      <c r="F11" s="125">
        <v>0</v>
      </c>
      <c r="G11" s="125">
        <v>344</v>
      </c>
      <c r="H11" s="125">
        <f t="shared" si="0"/>
        <v>10667226</v>
      </c>
      <c r="I11" s="136">
        <v>116</v>
      </c>
      <c r="J11" s="136">
        <f>I11*K11</f>
        <v>1396756</v>
      </c>
      <c r="K11" s="160">
        <v>12041</v>
      </c>
      <c r="L11" s="151">
        <v>9</v>
      </c>
      <c r="M11" s="152" t="s">
        <v>313</v>
      </c>
      <c r="N11" s="152" t="s">
        <v>17</v>
      </c>
      <c r="O11" s="152" t="s">
        <v>311</v>
      </c>
      <c r="P11" s="161">
        <v>0</v>
      </c>
      <c r="Q11" s="167"/>
      <c r="R11" s="162">
        <v>0</v>
      </c>
    </row>
    <row r="12" spans="1:18" ht="15" x14ac:dyDescent="0.25">
      <c r="A12" s="123" t="s">
        <v>19</v>
      </c>
      <c r="B12" s="123">
        <v>12</v>
      </c>
      <c r="C12" s="125">
        <v>180</v>
      </c>
      <c r="D12" s="125">
        <v>3904035</v>
      </c>
      <c r="E12" s="125">
        <v>0</v>
      </c>
      <c r="F12" s="125">
        <v>0</v>
      </c>
      <c r="G12" s="125">
        <v>40</v>
      </c>
      <c r="H12" s="125">
        <f t="shared" si="0"/>
        <v>2964837</v>
      </c>
      <c r="I12" s="136">
        <v>78</v>
      </c>
      <c r="J12" s="136">
        <f>I12*K12</f>
        <v>939198</v>
      </c>
      <c r="K12" s="160">
        <v>12041</v>
      </c>
      <c r="L12" s="151">
        <v>10</v>
      </c>
      <c r="M12" s="152" t="s">
        <v>314</v>
      </c>
      <c r="N12" s="152" t="s">
        <v>315</v>
      </c>
      <c r="O12" s="152" t="s">
        <v>311</v>
      </c>
      <c r="P12" s="161"/>
      <c r="Q12" s="167"/>
      <c r="R12" s="162">
        <v>0</v>
      </c>
    </row>
    <row r="13" spans="1:18" ht="15" x14ac:dyDescent="0.25">
      <c r="A13" s="123" t="s">
        <v>20</v>
      </c>
      <c r="B13" s="123">
        <v>12</v>
      </c>
      <c r="C13" s="125">
        <v>295</v>
      </c>
      <c r="D13" s="125">
        <v>31404753</v>
      </c>
      <c r="E13" s="125">
        <v>0</v>
      </c>
      <c r="F13" s="125">
        <v>0</v>
      </c>
      <c r="G13" s="125">
        <v>277</v>
      </c>
      <c r="H13" s="125">
        <f t="shared" si="0"/>
        <v>29488531</v>
      </c>
      <c r="I13" s="163">
        <v>18</v>
      </c>
      <c r="J13" s="163">
        <v>1916222</v>
      </c>
      <c r="K13" s="164">
        <f t="shared" ref="K13:K69" si="1">J13/I13</f>
        <v>106456.77777777778</v>
      </c>
      <c r="L13" s="151">
        <v>11</v>
      </c>
      <c r="M13" s="152" t="s">
        <v>316</v>
      </c>
      <c r="N13" s="152" t="s">
        <v>317</v>
      </c>
      <c r="O13" s="152" t="s">
        <v>311</v>
      </c>
      <c r="P13" s="161"/>
      <c r="Q13" s="167"/>
      <c r="R13" s="162">
        <v>0</v>
      </c>
    </row>
    <row r="14" spans="1:18" ht="15" x14ac:dyDescent="0.25">
      <c r="A14" s="123" t="s">
        <v>21</v>
      </c>
      <c r="B14" s="123">
        <v>12</v>
      </c>
      <c r="C14" s="125">
        <v>170</v>
      </c>
      <c r="D14" s="125">
        <v>40681945</v>
      </c>
      <c r="E14" s="125">
        <v>0</v>
      </c>
      <c r="F14" s="125">
        <v>0</v>
      </c>
      <c r="G14" s="125">
        <v>88</v>
      </c>
      <c r="H14" s="125">
        <f t="shared" si="0"/>
        <v>33998257</v>
      </c>
      <c r="I14" s="136">
        <v>48</v>
      </c>
      <c r="J14" s="136">
        <f>I14*K14</f>
        <v>6683688</v>
      </c>
      <c r="K14" s="160">
        <v>139243.5</v>
      </c>
      <c r="L14" s="151">
        <v>12</v>
      </c>
      <c r="M14" s="152" t="s">
        <v>318</v>
      </c>
      <c r="N14" s="152" t="s">
        <v>18</v>
      </c>
      <c r="O14" s="152" t="s">
        <v>305</v>
      </c>
      <c r="P14" s="161">
        <v>116</v>
      </c>
      <c r="Q14" s="167">
        <v>12041.1</v>
      </c>
      <c r="R14" s="162">
        <v>1396767.6</v>
      </c>
    </row>
    <row r="15" spans="1:18" ht="15" x14ac:dyDescent="0.25">
      <c r="A15" s="123" t="s">
        <v>22</v>
      </c>
      <c r="B15" s="123">
        <v>12</v>
      </c>
      <c r="C15" s="125">
        <v>18</v>
      </c>
      <c r="D15" s="125">
        <v>407934</v>
      </c>
      <c r="E15" s="125">
        <v>0</v>
      </c>
      <c r="F15" s="125">
        <v>0</v>
      </c>
      <c r="G15" s="125">
        <v>18</v>
      </c>
      <c r="H15" s="125">
        <f t="shared" si="0"/>
        <v>407934</v>
      </c>
      <c r="I15" s="136">
        <v>0</v>
      </c>
      <c r="J15" s="136">
        <v>0</v>
      </c>
      <c r="K15" s="160"/>
      <c r="L15" s="151">
        <v>13</v>
      </c>
      <c r="M15" s="152" t="s">
        <v>319</v>
      </c>
      <c r="N15" s="152" t="s">
        <v>19</v>
      </c>
      <c r="O15" s="152" t="s">
        <v>305</v>
      </c>
      <c r="P15" s="161">
        <v>78</v>
      </c>
      <c r="Q15" s="167">
        <v>12041.1</v>
      </c>
      <c r="R15" s="162">
        <v>939205.8</v>
      </c>
    </row>
    <row r="16" spans="1:18" ht="15" x14ac:dyDescent="0.25">
      <c r="A16" s="123" t="s">
        <v>23</v>
      </c>
      <c r="B16" s="123">
        <v>12</v>
      </c>
      <c r="C16" s="125">
        <v>0</v>
      </c>
      <c r="D16" s="125">
        <v>0</v>
      </c>
      <c r="E16" s="125">
        <v>3</v>
      </c>
      <c r="F16" s="125">
        <v>57891</v>
      </c>
      <c r="G16" s="125">
        <v>3</v>
      </c>
      <c r="H16" s="125">
        <f t="shared" si="0"/>
        <v>57891</v>
      </c>
      <c r="I16" s="125">
        <v>0</v>
      </c>
      <c r="J16" s="125">
        <v>0</v>
      </c>
      <c r="K16" s="150"/>
      <c r="L16" s="151">
        <v>14</v>
      </c>
      <c r="M16" s="152" t="s">
        <v>320</v>
      </c>
      <c r="N16" s="152" t="s">
        <v>321</v>
      </c>
      <c r="O16" s="152" t="s">
        <v>311</v>
      </c>
      <c r="P16" s="161"/>
      <c r="Q16" s="167"/>
      <c r="R16" s="162">
        <v>0</v>
      </c>
    </row>
    <row r="17" spans="1:18" ht="15" x14ac:dyDescent="0.25">
      <c r="A17" s="123" t="s">
        <v>24</v>
      </c>
      <c r="B17" s="123">
        <v>12</v>
      </c>
      <c r="C17" s="125">
        <v>0</v>
      </c>
      <c r="D17" s="125">
        <v>0</v>
      </c>
      <c r="E17" s="125">
        <v>12</v>
      </c>
      <c r="F17" s="125">
        <v>231564</v>
      </c>
      <c r="G17" s="125">
        <v>12</v>
      </c>
      <c r="H17" s="125">
        <f t="shared" si="0"/>
        <v>231564</v>
      </c>
      <c r="I17" s="125">
        <v>0</v>
      </c>
      <c r="J17" s="125">
        <v>0</v>
      </c>
      <c r="K17" s="150"/>
      <c r="L17" s="151">
        <v>15</v>
      </c>
      <c r="M17" s="152" t="s">
        <v>322</v>
      </c>
      <c r="N17" s="152" t="s">
        <v>20</v>
      </c>
      <c r="O17" s="152" t="s">
        <v>303</v>
      </c>
      <c r="P17" s="161"/>
      <c r="Q17" s="167"/>
      <c r="R17" s="162">
        <v>0</v>
      </c>
    </row>
    <row r="18" spans="1:18" ht="15" x14ac:dyDescent="0.25">
      <c r="A18" s="123" t="s">
        <v>25</v>
      </c>
      <c r="B18" s="123">
        <v>12</v>
      </c>
      <c r="C18" s="125">
        <v>72</v>
      </c>
      <c r="D18" s="125">
        <v>1533524</v>
      </c>
      <c r="E18" s="125">
        <v>35</v>
      </c>
      <c r="F18" s="125">
        <v>745360</v>
      </c>
      <c r="G18" s="125">
        <v>67</v>
      </c>
      <c r="H18" s="125">
        <f t="shared" si="0"/>
        <v>1490606</v>
      </c>
      <c r="I18" s="125">
        <v>40</v>
      </c>
      <c r="J18" s="125">
        <v>788278</v>
      </c>
      <c r="K18" s="150">
        <f t="shared" si="1"/>
        <v>19706.95</v>
      </c>
      <c r="L18" s="151">
        <v>16</v>
      </c>
      <c r="M18" s="152" t="s">
        <v>323</v>
      </c>
      <c r="N18" s="152" t="s">
        <v>21</v>
      </c>
      <c r="O18" s="152" t="s">
        <v>311</v>
      </c>
      <c r="P18" s="161">
        <v>48</v>
      </c>
      <c r="Q18" s="167">
        <v>139243.5</v>
      </c>
      <c r="R18" s="162">
        <v>6683688</v>
      </c>
    </row>
    <row r="19" spans="1:18" ht="15" x14ac:dyDescent="0.25">
      <c r="A19" s="123" t="s">
        <v>26</v>
      </c>
      <c r="B19" s="123">
        <v>12</v>
      </c>
      <c r="C19" s="125">
        <v>96</v>
      </c>
      <c r="D19" s="125">
        <v>2486575</v>
      </c>
      <c r="E19" s="125">
        <v>51</v>
      </c>
      <c r="F19" s="125">
        <v>1322226</v>
      </c>
      <c r="G19" s="125">
        <v>4</v>
      </c>
      <c r="H19" s="125">
        <f t="shared" si="0"/>
        <v>388653</v>
      </c>
      <c r="I19" s="125">
        <v>143</v>
      </c>
      <c r="J19" s="125">
        <v>3420148</v>
      </c>
      <c r="K19" s="150">
        <f t="shared" si="1"/>
        <v>23917.11888111888</v>
      </c>
      <c r="L19" s="151">
        <v>17</v>
      </c>
      <c r="M19" s="152" t="s">
        <v>324</v>
      </c>
      <c r="N19" s="152" t="s">
        <v>22</v>
      </c>
      <c r="O19" s="152" t="s">
        <v>303</v>
      </c>
      <c r="P19" s="152"/>
      <c r="Q19" s="158"/>
      <c r="R19" s="131">
        <v>0</v>
      </c>
    </row>
    <row r="20" spans="1:18" ht="15" x14ac:dyDescent="0.25">
      <c r="A20" s="123" t="s">
        <v>27</v>
      </c>
      <c r="B20" s="123">
        <v>12</v>
      </c>
      <c r="C20" s="125">
        <v>67</v>
      </c>
      <c r="D20" s="125">
        <v>2083589</v>
      </c>
      <c r="E20" s="125">
        <v>0</v>
      </c>
      <c r="F20" s="125">
        <v>0</v>
      </c>
      <c r="G20" s="125">
        <v>1</v>
      </c>
      <c r="H20" s="125">
        <f t="shared" si="0"/>
        <v>155492</v>
      </c>
      <c r="I20" s="125">
        <v>66</v>
      </c>
      <c r="J20" s="125">
        <v>1928097</v>
      </c>
      <c r="K20" s="150">
        <f t="shared" si="1"/>
        <v>29213.590909090908</v>
      </c>
      <c r="L20" s="151">
        <v>18</v>
      </c>
      <c r="M20" s="152" t="s">
        <v>325</v>
      </c>
      <c r="N20" s="152" t="s">
        <v>326</v>
      </c>
      <c r="O20" s="152" t="s">
        <v>327</v>
      </c>
      <c r="P20" s="152"/>
      <c r="Q20" s="158"/>
      <c r="R20" s="131">
        <v>0</v>
      </c>
    </row>
    <row r="21" spans="1:18" ht="15" x14ac:dyDescent="0.25">
      <c r="A21" s="123" t="s">
        <v>28</v>
      </c>
      <c r="B21" s="123">
        <v>12</v>
      </c>
      <c r="C21" s="125">
        <v>650</v>
      </c>
      <c r="D21" s="125">
        <v>74700000</v>
      </c>
      <c r="E21" s="125">
        <v>160</v>
      </c>
      <c r="F21" s="125">
        <v>18432000</v>
      </c>
      <c r="G21" s="125">
        <v>0</v>
      </c>
      <c r="H21" s="125">
        <f t="shared" si="0"/>
        <v>0</v>
      </c>
      <c r="I21" s="125">
        <v>810</v>
      </c>
      <c r="J21" s="125">
        <v>93132000</v>
      </c>
      <c r="K21" s="150">
        <f t="shared" si="1"/>
        <v>114977.77777777778</v>
      </c>
      <c r="L21" s="151">
        <v>19</v>
      </c>
      <c r="M21" s="152" t="s">
        <v>328</v>
      </c>
      <c r="N21" s="152" t="s">
        <v>329</v>
      </c>
      <c r="O21" s="152" t="s">
        <v>327</v>
      </c>
      <c r="P21" s="152"/>
      <c r="Q21" s="158"/>
      <c r="R21" s="131">
        <v>0</v>
      </c>
    </row>
    <row r="22" spans="1:18" ht="15" x14ac:dyDescent="0.25">
      <c r="A22" s="123" t="s">
        <v>29</v>
      </c>
      <c r="B22" s="123">
        <v>12</v>
      </c>
      <c r="C22" s="125">
        <v>280</v>
      </c>
      <c r="D22" s="125">
        <v>74052080</v>
      </c>
      <c r="E22" s="125">
        <v>0</v>
      </c>
      <c r="F22" s="125">
        <v>0</v>
      </c>
      <c r="G22" s="125">
        <v>0</v>
      </c>
      <c r="H22" s="125">
        <f t="shared" si="0"/>
        <v>0</v>
      </c>
      <c r="I22" s="125">
        <v>280</v>
      </c>
      <c r="J22" s="125">
        <v>74052080</v>
      </c>
      <c r="K22" s="150">
        <f t="shared" si="1"/>
        <v>264471.71428571426</v>
      </c>
      <c r="L22" s="151">
        <v>20</v>
      </c>
      <c r="M22" s="152" t="s">
        <v>330</v>
      </c>
      <c r="N22" s="152" t="s">
        <v>331</v>
      </c>
      <c r="O22" s="152" t="s">
        <v>303</v>
      </c>
      <c r="P22" s="152"/>
      <c r="Q22" s="158"/>
      <c r="R22" s="131">
        <v>0</v>
      </c>
    </row>
    <row r="23" spans="1:18" ht="15" x14ac:dyDescent="0.25">
      <c r="A23" s="123" t="s">
        <v>30</v>
      </c>
      <c r="B23" s="123">
        <v>12</v>
      </c>
      <c r="C23" s="125">
        <v>102</v>
      </c>
      <c r="D23" s="125">
        <v>19779439</v>
      </c>
      <c r="E23" s="125">
        <v>0</v>
      </c>
      <c r="F23" s="125">
        <v>0</v>
      </c>
      <c r="G23" s="125">
        <v>100</v>
      </c>
      <c r="H23" s="125">
        <f t="shared" si="0"/>
        <v>19391607</v>
      </c>
      <c r="I23" s="125">
        <v>2</v>
      </c>
      <c r="J23" s="125">
        <v>387832</v>
      </c>
      <c r="K23" s="150">
        <f t="shared" si="1"/>
        <v>193916</v>
      </c>
      <c r="L23" s="151">
        <v>21</v>
      </c>
      <c r="M23" s="152" t="s">
        <v>332</v>
      </c>
      <c r="N23" s="152" t="s">
        <v>333</v>
      </c>
      <c r="O23" s="152" t="s">
        <v>303</v>
      </c>
      <c r="P23" s="161">
        <v>3840</v>
      </c>
      <c r="Q23" s="167">
        <v>66219</v>
      </c>
      <c r="R23" s="162">
        <v>254280960</v>
      </c>
    </row>
    <row r="24" spans="1:18" ht="15" x14ac:dyDescent="0.25">
      <c r="A24" s="123" t="s">
        <v>31</v>
      </c>
      <c r="B24" s="123">
        <v>12</v>
      </c>
      <c r="C24" s="125">
        <v>0</v>
      </c>
      <c r="D24" s="125">
        <v>0</v>
      </c>
      <c r="E24" s="125">
        <v>50</v>
      </c>
      <c r="F24" s="125">
        <v>8509100</v>
      </c>
      <c r="G24" s="125">
        <v>0</v>
      </c>
      <c r="H24" s="125">
        <f t="shared" si="0"/>
        <v>0</v>
      </c>
      <c r="I24" s="125">
        <v>50</v>
      </c>
      <c r="J24" s="125">
        <v>8509100</v>
      </c>
      <c r="K24" s="150">
        <f t="shared" si="1"/>
        <v>170182</v>
      </c>
      <c r="L24" s="151">
        <v>22</v>
      </c>
      <c r="M24" s="152" t="s">
        <v>334</v>
      </c>
      <c r="N24" s="152" t="s">
        <v>335</v>
      </c>
      <c r="O24" s="152" t="s">
        <v>303</v>
      </c>
      <c r="P24" s="152"/>
      <c r="Q24" s="158"/>
      <c r="R24" s="131">
        <v>0</v>
      </c>
    </row>
    <row r="25" spans="1:18" ht="15" x14ac:dyDescent="0.25">
      <c r="A25" s="123" t="s">
        <v>32</v>
      </c>
      <c r="B25" s="123">
        <v>12</v>
      </c>
      <c r="C25" s="125">
        <v>137</v>
      </c>
      <c r="D25" s="125">
        <v>22821826</v>
      </c>
      <c r="E25" s="125">
        <v>0</v>
      </c>
      <c r="F25" s="125">
        <v>0</v>
      </c>
      <c r="G25" s="125">
        <v>20</v>
      </c>
      <c r="H25" s="125">
        <f t="shared" si="0"/>
        <v>3331653</v>
      </c>
      <c r="I25" s="125">
        <v>117</v>
      </c>
      <c r="J25" s="125">
        <v>19490173</v>
      </c>
      <c r="K25" s="150">
        <f t="shared" si="1"/>
        <v>166582.67521367522</v>
      </c>
      <c r="L25" s="151">
        <v>23</v>
      </c>
      <c r="M25" s="152" t="s">
        <v>336</v>
      </c>
      <c r="N25" s="152" t="s">
        <v>38</v>
      </c>
      <c r="O25" s="152" t="s">
        <v>303</v>
      </c>
      <c r="P25" s="161">
        <v>5200</v>
      </c>
      <c r="Q25" s="167">
        <v>31208</v>
      </c>
      <c r="R25" s="162">
        <v>162281600</v>
      </c>
    </row>
    <row r="26" spans="1:18" ht="15" x14ac:dyDescent="0.25">
      <c r="A26" s="123" t="s">
        <v>33</v>
      </c>
      <c r="B26" s="123">
        <v>12</v>
      </c>
      <c r="C26" s="125">
        <v>106</v>
      </c>
      <c r="D26" s="125">
        <v>16323470</v>
      </c>
      <c r="E26" s="125">
        <v>45</v>
      </c>
      <c r="F26" s="125">
        <v>10556505</v>
      </c>
      <c r="G26" s="125">
        <v>58</v>
      </c>
      <c r="H26" s="125">
        <f t="shared" si="0"/>
        <v>4984366</v>
      </c>
      <c r="I26" s="125">
        <v>93</v>
      </c>
      <c r="J26" s="125">
        <v>21895609</v>
      </c>
      <c r="K26" s="150">
        <f t="shared" si="1"/>
        <v>235436.65591397849</v>
      </c>
      <c r="L26" s="151">
        <v>24</v>
      </c>
      <c r="M26" s="152" t="s">
        <v>337</v>
      </c>
      <c r="N26" s="152" t="s">
        <v>338</v>
      </c>
      <c r="O26" s="152" t="s">
        <v>303</v>
      </c>
      <c r="P26" s="152"/>
      <c r="Q26" s="158"/>
      <c r="R26" s="131">
        <v>0</v>
      </c>
    </row>
    <row r="27" spans="1:18" ht="15" x14ac:dyDescent="0.25">
      <c r="A27" s="123" t="s">
        <v>34</v>
      </c>
      <c r="B27" s="123">
        <v>12</v>
      </c>
      <c r="C27" s="125">
        <v>94</v>
      </c>
      <c r="D27" s="125">
        <v>17372116</v>
      </c>
      <c r="E27" s="125">
        <v>40</v>
      </c>
      <c r="F27" s="125">
        <v>9383560</v>
      </c>
      <c r="G27" s="125">
        <v>63</v>
      </c>
      <c r="H27" s="125">
        <f t="shared" si="0"/>
        <v>9983461</v>
      </c>
      <c r="I27" s="125">
        <v>71</v>
      </c>
      <c r="J27" s="125">
        <v>16772215</v>
      </c>
      <c r="K27" s="150">
        <f t="shared" si="1"/>
        <v>236228.38028169013</v>
      </c>
      <c r="L27" s="151">
        <v>25</v>
      </c>
      <c r="M27" s="152" t="s">
        <v>339</v>
      </c>
      <c r="N27" s="152" t="s">
        <v>340</v>
      </c>
      <c r="O27" s="152" t="s">
        <v>303</v>
      </c>
      <c r="P27" s="152"/>
      <c r="Q27" s="158"/>
      <c r="R27" s="131">
        <v>0</v>
      </c>
    </row>
    <row r="28" spans="1:18" ht="15" x14ac:dyDescent="0.25">
      <c r="A28" s="123" t="s">
        <v>35</v>
      </c>
      <c r="B28" s="123">
        <v>12</v>
      </c>
      <c r="C28" s="125">
        <v>351</v>
      </c>
      <c r="D28" s="125">
        <v>40194000</v>
      </c>
      <c r="E28" s="125">
        <v>0</v>
      </c>
      <c r="F28" s="125">
        <v>0</v>
      </c>
      <c r="G28" s="125">
        <v>0</v>
      </c>
      <c r="H28" s="125">
        <f t="shared" si="0"/>
        <v>0</v>
      </c>
      <c r="I28" s="125">
        <v>351</v>
      </c>
      <c r="J28" s="125">
        <v>40194000</v>
      </c>
      <c r="K28" s="150">
        <f t="shared" si="1"/>
        <v>114512.82051282052</v>
      </c>
      <c r="L28" s="151">
        <v>26</v>
      </c>
      <c r="M28" s="152" t="s">
        <v>341</v>
      </c>
      <c r="N28" s="152" t="s">
        <v>342</v>
      </c>
      <c r="O28" s="152" t="s">
        <v>303</v>
      </c>
      <c r="P28" s="152"/>
      <c r="Q28" s="158"/>
      <c r="R28" s="131">
        <v>0</v>
      </c>
    </row>
    <row r="29" spans="1:18" ht="15" x14ac:dyDescent="0.25">
      <c r="A29" s="123" t="s">
        <v>36</v>
      </c>
      <c r="B29" s="123">
        <v>12</v>
      </c>
      <c r="C29" s="125">
        <v>40</v>
      </c>
      <c r="D29" s="125">
        <v>1818200</v>
      </c>
      <c r="E29" s="125">
        <v>0</v>
      </c>
      <c r="F29" s="125">
        <v>0</v>
      </c>
      <c r="G29" s="125">
        <v>0</v>
      </c>
      <c r="H29" s="125">
        <f t="shared" si="0"/>
        <v>0</v>
      </c>
      <c r="I29" s="125">
        <v>40</v>
      </c>
      <c r="J29" s="125">
        <v>1818200</v>
      </c>
      <c r="K29" s="150">
        <f t="shared" si="1"/>
        <v>45455</v>
      </c>
      <c r="L29" s="151">
        <v>27</v>
      </c>
      <c r="M29" s="152" t="s">
        <v>343</v>
      </c>
      <c r="N29" s="152" t="s">
        <v>344</v>
      </c>
      <c r="O29" s="152" t="s">
        <v>303</v>
      </c>
      <c r="P29" s="152"/>
      <c r="Q29" s="158"/>
      <c r="R29" s="131">
        <v>0</v>
      </c>
    </row>
    <row r="30" spans="1:18" ht="15" x14ac:dyDescent="0.25">
      <c r="A30" s="123" t="s">
        <v>37</v>
      </c>
      <c r="B30" s="123">
        <v>12</v>
      </c>
      <c r="C30" s="125">
        <v>833</v>
      </c>
      <c r="D30" s="125">
        <v>46378988</v>
      </c>
      <c r="E30" s="125">
        <v>4571</v>
      </c>
      <c r="F30" s="125">
        <v>254508576</v>
      </c>
      <c r="G30" s="125">
        <v>5404</v>
      </c>
      <c r="H30" s="125">
        <f t="shared" si="0"/>
        <v>46606604</v>
      </c>
      <c r="I30" s="136">
        <v>3840</v>
      </c>
      <c r="J30" s="136">
        <f>I30*K30</f>
        <v>254280960</v>
      </c>
      <c r="K30" s="160">
        <v>66219</v>
      </c>
      <c r="L30" s="151">
        <v>28</v>
      </c>
      <c r="M30" s="152" t="s">
        <v>345</v>
      </c>
      <c r="N30" s="165" t="s">
        <v>346</v>
      </c>
      <c r="O30" s="165" t="s">
        <v>327</v>
      </c>
      <c r="P30" s="165">
        <v>306</v>
      </c>
      <c r="Q30" s="168">
        <v>51389</v>
      </c>
      <c r="R30" s="166">
        <v>15725034</v>
      </c>
    </row>
    <row r="31" spans="1:18" ht="15" x14ac:dyDescent="0.25">
      <c r="A31" s="123" t="s">
        <v>38</v>
      </c>
      <c r="B31" s="123">
        <v>12</v>
      </c>
      <c r="C31" s="125">
        <v>273867</v>
      </c>
      <c r="D31" s="125">
        <v>255643095</v>
      </c>
      <c r="E31" s="125">
        <v>8568</v>
      </c>
      <c r="F31" s="125">
        <v>267390144</v>
      </c>
      <c r="G31" s="125">
        <v>274625</v>
      </c>
      <c r="H31" s="125">
        <f t="shared" si="0"/>
        <v>360751639</v>
      </c>
      <c r="I31" s="136">
        <v>5200</v>
      </c>
      <c r="J31" s="136">
        <f>I31*K31</f>
        <v>162281600</v>
      </c>
      <c r="K31" s="160">
        <v>31208</v>
      </c>
      <c r="L31" s="151">
        <v>29</v>
      </c>
      <c r="M31" s="152" t="s">
        <v>347</v>
      </c>
      <c r="N31" s="152" t="s">
        <v>348</v>
      </c>
      <c r="O31" s="152" t="s">
        <v>327</v>
      </c>
      <c r="P31" s="161">
        <v>2000</v>
      </c>
      <c r="Q31" s="167">
        <v>36184</v>
      </c>
      <c r="R31" s="162">
        <v>72368000</v>
      </c>
    </row>
    <row r="32" spans="1:18" ht="15" x14ac:dyDescent="0.25">
      <c r="A32" s="123" t="s">
        <v>39</v>
      </c>
      <c r="B32" s="123">
        <v>12</v>
      </c>
      <c r="C32" s="125">
        <v>25915</v>
      </c>
      <c r="D32" s="125">
        <v>50321430</v>
      </c>
      <c r="E32" s="125">
        <v>1500</v>
      </c>
      <c r="F32" s="125">
        <v>54276000</v>
      </c>
      <c r="G32" s="125">
        <v>26863</v>
      </c>
      <c r="H32" s="125">
        <f t="shared" si="0"/>
        <v>32229430</v>
      </c>
      <c r="I32" s="136">
        <v>2000</v>
      </c>
      <c r="J32" s="136">
        <f>I32*K32</f>
        <v>72368000</v>
      </c>
      <c r="K32" s="160">
        <v>36184</v>
      </c>
      <c r="L32" s="151">
        <v>30</v>
      </c>
      <c r="M32" s="152" t="s">
        <v>349</v>
      </c>
      <c r="N32" s="152" t="s">
        <v>42</v>
      </c>
      <c r="O32" s="152" t="s">
        <v>327</v>
      </c>
      <c r="P32" s="161">
        <v>130</v>
      </c>
      <c r="Q32" s="167">
        <v>52485</v>
      </c>
      <c r="R32" s="162">
        <v>6823050</v>
      </c>
    </row>
    <row r="33" spans="1:18" ht="15" x14ac:dyDescent="0.25">
      <c r="A33" s="123" t="s">
        <v>40</v>
      </c>
      <c r="B33" s="123">
        <v>12</v>
      </c>
      <c r="C33" s="125">
        <v>2430</v>
      </c>
      <c r="D33" s="125">
        <v>87927120</v>
      </c>
      <c r="E33" s="125">
        <v>0</v>
      </c>
      <c r="F33" s="125">
        <v>0</v>
      </c>
      <c r="G33" s="125">
        <v>0</v>
      </c>
      <c r="H33" s="125">
        <f t="shared" si="0"/>
        <v>0</v>
      </c>
      <c r="I33" s="125">
        <v>2430</v>
      </c>
      <c r="J33" s="125">
        <v>87927120</v>
      </c>
      <c r="K33" s="150">
        <f t="shared" si="1"/>
        <v>36184</v>
      </c>
      <c r="L33" s="151">
        <v>31</v>
      </c>
      <c r="M33" s="152" t="s">
        <v>350</v>
      </c>
      <c r="N33" s="152" t="s">
        <v>351</v>
      </c>
      <c r="O33" s="152" t="s">
        <v>327</v>
      </c>
      <c r="P33" s="152"/>
      <c r="Q33" s="158"/>
      <c r="R33" s="131">
        <v>0</v>
      </c>
    </row>
    <row r="34" spans="1:18" ht="15" x14ac:dyDescent="0.25">
      <c r="A34" s="123" t="s">
        <v>41</v>
      </c>
      <c r="B34" s="123">
        <v>12</v>
      </c>
      <c r="C34" s="125">
        <v>0</v>
      </c>
      <c r="D34" s="125">
        <v>189538</v>
      </c>
      <c r="E34" s="125">
        <v>0</v>
      </c>
      <c r="F34" s="125">
        <v>0</v>
      </c>
      <c r="G34" s="125">
        <v>0</v>
      </c>
      <c r="H34" s="125">
        <f t="shared" si="0"/>
        <v>0</v>
      </c>
      <c r="I34" s="125">
        <v>0</v>
      </c>
      <c r="J34" s="125">
        <v>189538</v>
      </c>
      <c r="K34" s="150"/>
      <c r="L34" s="151">
        <v>32</v>
      </c>
      <c r="M34" s="152" t="s">
        <v>352</v>
      </c>
      <c r="N34" s="152" t="s">
        <v>41</v>
      </c>
      <c r="O34" s="152" t="s">
        <v>303</v>
      </c>
      <c r="P34" s="152"/>
      <c r="Q34" s="158"/>
      <c r="R34" s="131">
        <v>0</v>
      </c>
    </row>
    <row r="35" spans="1:18" ht="15" x14ac:dyDescent="0.25">
      <c r="A35" s="123" t="s">
        <v>42</v>
      </c>
      <c r="B35" s="123">
        <v>12</v>
      </c>
      <c r="C35" s="125">
        <v>160</v>
      </c>
      <c r="D35" s="125">
        <v>8538638</v>
      </c>
      <c r="E35" s="125">
        <v>0</v>
      </c>
      <c r="F35" s="125">
        <v>0</v>
      </c>
      <c r="G35" s="125">
        <v>26</v>
      </c>
      <c r="H35" s="125">
        <f t="shared" si="0"/>
        <v>1715588</v>
      </c>
      <c r="I35" s="125">
        <v>130</v>
      </c>
      <c r="J35" s="125">
        <f>I35*K35</f>
        <v>6823050</v>
      </c>
      <c r="K35" s="150">
        <v>52485</v>
      </c>
      <c r="L35" s="151">
        <v>33</v>
      </c>
      <c r="M35" s="152" t="s">
        <v>353</v>
      </c>
      <c r="N35" s="152" t="s">
        <v>354</v>
      </c>
      <c r="O35" s="152" t="s">
        <v>355</v>
      </c>
      <c r="P35" s="152"/>
      <c r="Q35" s="158"/>
      <c r="R35" s="131">
        <v>0</v>
      </c>
    </row>
    <row r="36" spans="1:18" ht="15" x14ac:dyDescent="0.25">
      <c r="A36" s="123" t="s">
        <v>43</v>
      </c>
      <c r="B36" s="123">
        <v>12</v>
      </c>
      <c r="C36" s="125">
        <v>0</v>
      </c>
      <c r="D36" s="125">
        <v>0</v>
      </c>
      <c r="E36" s="125">
        <v>0</v>
      </c>
      <c r="F36" s="125">
        <v>0</v>
      </c>
      <c r="G36" s="125">
        <v>0</v>
      </c>
      <c r="H36" s="125">
        <f t="shared" si="0"/>
        <v>0</v>
      </c>
      <c r="I36" s="125">
        <v>0</v>
      </c>
      <c r="J36" s="125">
        <v>0</v>
      </c>
      <c r="K36" s="150"/>
      <c r="L36" s="151">
        <v>34</v>
      </c>
      <c r="M36" s="152" t="s">
        <v>356</v>
      </c>
      <c r="N36" s="152" t="s">
        <v>357</v>
      </c>
      <c r="O36" s="152" t="s">
        <v>327</v>
      </c>
      <c r="P36" s="165">
        <v>62</v>
      </c>
      <c r="Q36" s="168">
        <v>29119.919999999998</v>
      </c>
      <c r="R36" s="166">
        <v>1805435.0399999998</v>
      </c>
    </row>
    <row r="37" spans="1:18" ht="15" x14ac:dyDescent="0.25">
      <c r="A37" s="123" t="s">
        <v>44</v>
      </c>
      <c r="B37" s="123">
        <v>12</v>
      </c>
      <c r="C37" s="125">
        <v>9485</v>
      </c>
      <c r="D37" s="125">
        <v>33640650</v>
      </c>
      <c r="E37" s="125">
        <v>1050</v>
      </c>
      <c r="F37" s="125">
        <v>37993200</v>
      </c>
      <c r="G37" s="125">
        <v>9635</v>
      </c>
      <c r="H37" s="125">
        <f t="shared" si="0"/>
        <v>39077621</v>
      </c>
      <c r="I37" s="125">
        <v>900</v>
      </c>
      <c r="J37" s="125">
        <v>32556229</v>
      </c>
      <c r="K37" s="150">
        <f t="shared" si="1"/>
        <v>36173.587777777779</v>
      </c>
      <c r="L37" s="151">
        <v>35</v>
      </c>
      <c r="M37" s="152" t="s">
        <v>358</v>
      </c>
      <c r="N37" s="152" t="s">
        <v>50</v>
      </c>
      <c r="O37" s="152" t="s">
        <v>327</v>
      </c>
      <c r="P37" s="161">
        <v>750</v>
      </c>
      <c r="Q37" s="167">
        <v>3463.24</v>
      </c>
      <c r="R37" s="162">
        <v>2597430</v>
      </c>
    </row>
    <row r="38" spans="1:18" ht="15" x14ac:dyDescent="0.25">
      <c r="A38" s="123" t="s">
        <v>45</v>
      </c>
      <c r="B38" s="123">
        <v>12</v>
      </c>
      <c r="C38" s="125">
        <v>320</v>
      </c>
      <c r="D38" s="125">
        <v>11571799</v>
      </c>
      <c r="E38" s="125">
        <v>405</v>
      </c>
      <c r="F38" s="125">
        <v>14654520</v>
      </c>
      <c r="G38" s="125">
        <v>630</v>
      </c>
      <c r="H38" s="125">
        <f t="shared" si="0"/>
        <v>22789767</v>
      </c>
      <c r="I38" s="125">
        <v>95</v>
      </c>
      <c r="J38" s="125">
        <v>3436552</v>
      </c>
      <c r="K38" s="150">
        <f t="shared" si="1"/>
        <v>36174.231578947365</v>
      </c>
      <c r="L38" s="151">
        <v>36</v>
      </c>
      <c r="M38" s="152" t="s">
        <v>359</v>
      </c>
      <c r="N38" s="152" t="s">
        <v>360</v>
      </c>
      <c r="O38" s="152" t="s">
        <v>327</v>
      </c>
      <c r="P38" s="161">
        <v>995</v>
      </c>
      <c r="Q38" s="167">
        <v>4761.96</v>
      </c>
      <c r="R38" s="162">
        <v>4738150.2</v>
      </c>
    </row>
    <row r="39" spans="1:18" ht="15" x14ac:dyDescent="0.25">
      <c r="A39" s="123" t="s">
        <v>46</v>
      </c>
      <c r="B39" s="123">
        <v>12</v>
      </c>
      <c r="C39" s="125">
        <v>270</v>
      </c>
      <c r="D39" s="125">
        <v>9896208</v>
      </c>
      <c r="E39" s="125">
        <v>120</v>
      </c>
      <c r="F39" s="125">
        <v>4342080</v>
      </c>
      <c r="G39" s="125">
        <v>319</v>
      </c>
      <c r="H39" s="125">
        <f t="shared" si="0"/>
        <v>11669303</v>
      </c>
      <c r="I39" s="125">
        <v>71</v>
      </c>
      <c r="J39" s="125">
        <v>2568985</v>
      </c>
      <c r="K39" s="150">
        <f t="shared" si="1"/>
        <v>36182.887323943665</v>
      </c>
      <c r="L39" s="151">
        <v>37</v>
      </c>
      <c r="M39" s="152" t="s">
        <v>361</v>
      </c>
      <c r="N39" s="152" t="s">
        <v>51</v>
      </c>
      <c r="O39" s="152" t="s">
        <v>327</v>
      </c>
      <c r="P39" s="161">
        <v>770</v>
      </c>
      <c r="Q39" s="167">
        <v>3896.14</v>
      </c>
      <c r="R39" s="162">
        <v>3000027.8</v>
      </c>
    </row>
    <row r="40" spans="1:18" ht="15" x14ac:dyDescent="0.25">
      <c r="A40" s="123" t="s">
        <v>47</v>
      </c>
      <c r="B40" s="123">
        <v>12</v>
      </c>
      <c r="C40" s="125">
        <v>1500</v>
      </c>
      <c r="D40" s="125">
        <v>7597338</v>
      </c>
      <c r="E40" s="125">
        <v>250</v>
      </c>
      <c r="F40" s="125">
        <v>1273250</v>
      </c>
      <c r="G40" s="125">
        <v>691</v>
      </c>
      <c r="H40" s="125">
        <f t="shared" si="0"/>
        <v>4132398</v>
      </c>
      <c r="I40" s="136">
        <v>995</v>
      </c>
      <c r="J40" s="136">
        <f>I40*K40</f>
        <v>4738190</v>
      </c>
      <c r="K40" s="160">
        <v>4762</v>
      </c>
      <c r="L40" s="151">
        <v>38</v>
      </c>
      <c r="M40" s="152" t="s">
        <v>362</v>
      </c>
      <c r="N40" s="152" t="s">
        <v>52</v>
      </c>
      <c r="O40" s="152" t="s">
        <v>303</v>
      </c>
      <c r="P40" s="161">
        <v>1708</v>
      </c>
      <c r="Q40" s="167">
        <v>21643.38</v>
      </c>
      <c r="R40" s="162">
        <v>36966893.039999999</v>
      </c>
    </row>
    <row r="41" spans="1:18" ht="15" x14ac:dyDescent="0.25">
      <c r="A41" s="123" t="s">
        <v>48</v>
      </c>
      <c r="B41" s="123">
        <v>12</v>
      </c>
      <c r="C41" s="125">
        <v>192</v>
      </c>
      <c r="D41" s="125">
        <v>4111968</v>
      </c>
      <c r="E41" s="125">
        <v>48</v>
      </c>
      <c r="F41" s="125">
        <v>933312</v>
      </c>
      <c r="G41" s="125">
        <v>0</v>
      </c>
      <c r="H41" s="125">
        <f t="shared" si="0"/>
        <v>0</v>
      </c>
      <c r="I41" s="125">
        <v>240</v>
      </c>
      <c r="J41" s="125">
        <v>5045280</v>
      </c>
      <c r="K41" s="150">
        <f t="shared" si="1"/>
        <v>21022</v>
      </c>
      <c r="L41" s="151">
        <v>39</v>
      </c>
      <c r="M41" s="152" t="s">
        <v>363</v>
      </c>
      <c r="N41" s="152" t="s">
        <v>364</v>
      </c>
      <c r="O41" s="152" t="s">
        <v>303</v>
      </c>
      <c r="P41" s="152"/>
      <c r="Q41" s="158"/>
      <c r="R41" s="131">
        <v>0</v>
      </c>
    </row>
    <row r="42" spans="1:18" ht="15" x14ac:dyDescent="0.25">
      <c r="A42" s="123" t="s">
        <v>49</v>
      </c>
      <c r="B42" s="123">
        <v>12</v>
      </c>
      <c r="C42" s="125">
        <v>4020</v>
      </c>
      <c r="D42" s="125">
        <v>19708744</v>
      </c>
      <c r="E42" s="125">
        <v>3360</v>
      </c>
      <c r="F42" s="125">
        <v>16487520</v>
      </c>
      <c r="G42" s="125">
        <v>5702</v>
      </c>
      <c r="H42" s="125">
        <f t="shared" si="0"/>
        <v>28495976</v>
      </c>
      <c r="I42" s="125">
        <v>1678</v>
      </c>
      <c r="J42" s="125">
        <v>7700288</v>
      </c>
      <c r="K42" s="150">
        <f t="shared" si="1"/>
        <v>4588.9678188319431</v>
      </c>
      <c r="L42" s="151">
        <v>40</v>
      </c>
      <c r="M42" s="152" t="s">
        <v>365</v>
      </c>
      <c r="N42" s="152" t="s">
        <v>366</v>
      </c>
      <c r="O42" s="152" t="s">
        <v>367</v>
      </c>
      <c r="P42" s="152"/>
      <c r="Q42" s="158"/>
      <c r="R42" s="131">
        <v>0</v>
      </c>
    </row>
    <row r="43" spans="1:18" ht="15" x14ac:dyDescent="0.25">
      <c r="A43" s="123" t="s">
        <v>50</v>
      </c>
      <c r="B43" s="123">
        <v>12</v>
      </c>
      <c r="C43" s="125">
        <v>750</v>
      </c>
      <c r="D43" s="125">
        <v>2517000</v>
      </c>
      <c r="E43" s="125">
        <v>0</v>
      </c>
      <c r="F43" s="125">
        <v>0</v>
      </c>
      <c r="G43" s="125">
        <v>23</v>
      </c>
      <c r="H43" s="125">
        <f t="shared" si="0"/>
        <v>-80250</v>
      </c>
      <c r="I43" s="136">
        <v>750</v>
      </c>
      <c r="J43" s="136">
        <f>I43*K43</f>
        <v>2597250</v>
      </c>
      <c r="K43" s="160">
        <v>3463</v>
      </c>
      <c r="L43" s="151">
        <v>41</v>
      </c>
      <c r="M43" s="152" t="s">
        <v>368</v>
      </c>
      <c r="N43" s="152" t="s">
        <v>369</v>
      </c>
      <c r="O43" s="152" t="s">
        <v>367</v>
      </c>
      <c r="P43" s="152"/>
      <c r="Q43" s="158"/>
      <c r="R43" s="131">
        <v>0</v>
      </c>
    </row>
    <row r="44" spans="1:18" ht="15" x14ac:dyDescent="0.25">
      <c r="A44" s="123" t="s">
        <v>51</v>
      </c>
      <c r="B44" s="123">
        <v>12</v>
      </c>
      <c r="C44" s="125">
        <v>1350</v>
      </c>
      <c r="D44" s="125">
        <v>5561964</v>
      </c>
      <c r="E44" s="125">
        <v>200</v>
      </c>
      <c r="F44" s="125">
        <v>833400</v>
      </c>
      <c r="G44" s="125">
        <v>780</v>
      </c>
      <c r="H44" s="125">
        <f t="shared" si="0"/>
        <v>3395336.2</v>
      </c>
      <c r="I44" s="136">
        <v>770</v>
      </c>
      <c r="J44" s="136">
        <f>I44*K44</f>
        <v>3000027.8</v>
      </c>
      <c r="K44" s="160">
        <v>3896.14</v>
      </c>
      <c r="L44" s="151">
        <v>42</v>
      </c>
      <c r="M44" s="152" t="s">
        <v>370</v>
      </c>
      <c r="N44" s="152" t="s">
        <v>371</v>
      </c>
      <c r="O44" s="152" t="s">
        <v>367</v>
      </c>
      <c r="P44" s="152"/>
      <c r="Q44" s="158"/>
      <c r="R44" s="131">
        <v>0</v>
      </c>
    </row>
    <row r="45" spans="1:18" ht="15" x14ac:dyDescent="0.25">
      <c r="A45" s="123" t="s">
        <v>52</v>
      </c>
      <c r="B45" s="123">
        <v>12</v>
      </c>
      <c r="C45" s="125">
        <v>1676</v>
      </c>
      <c r="D45" s="125">
        <v>38641471</v>
      </c>
      <c r="E45" s="125">
        <v>288</v>
      </c>
      <c r="F45" s="125">
        <v>6666624</v>
      </c>
      <c r="G45" s="125">
        <v>143</v>
      </c>
      <c r="H45" s="125">
        <f t="shared" si="0"/>
        <v>8341167.799999997</v>
      </c>
      <c r="I45" s="136">
        <v>1708</v>
      </c>
      <c r="J45" s="136">
        <f>I45*K45</f>
        <v>36966927.200000003</v>
      </c>
      <c r="K45" s="160">
        <v>21643.4</v>
      </c>
      <c r="L45" s="151">
        <v>43</v>
      </c>
      <c r="M45" s="152" t="s">
        <v>372</v>
      </c>
      <c r="N45" s="152" t="s">
        <v>373</v>
      </c>
      <c r="O45" s="152" t="s">
        <v>303</v>
      </c>
      <c r="P45" s="165">
        <v>628</v>
      </c>
      <c r="Q45" s="168">
        <v>8657</v>
      </c>
      <c r="R45" s="166">
        <v>5436596</v>
      </c>
    </row>
    <row r="46" spans="1:18" ht="15" x14ac:dyDescent="0.25">
      <c r="A46" s="123" t="s">
        <v>888</v>
      </c>
      <c r="B46" s="123">
        <v>12</v>
      </c>
      <c r="C46" s="125">
        <v>0</v>
      </c>
      <c r="D46" s="125">
        <v>0</v>
      </c>
      <c r="E46" s="125">
        <v>3600</v>
      </c>
      <c r="F46" s="125">
        <v>38332800</v>
      </c>
      <c r="G46" s="125">
        <v>10</v>
      </c>
      <c r="H46" s="125">
        <f t="shared" si="0"/>
        <v>2591119</v>
      </c>
      <c r="I46" s="136">
        <v>3590</v>
      </c>
      <c r="J46" s="136">
        <f>I46*K46</f>
        <v>35741681</v>
      </c>
      <c r="K46" s="160">
        <v>9955.9</v>
      </c>
      <c r="L46" s="151">
        <v>44</v>
      </c>
      <c r="M46" s="152" t="s">
        <v>374</v>
      </c>
      <c r="N46" s="152" t="s">
        <v>375</v>
      </c>
      <c r="O46" s="152" t="s">
        <v>303</v>
      </c>
      <c r="P46" s="165">
        <v>651</v>
      </c>
      <c r="Q46" s="168">
        <v>8657</v>
      </c>
      <c r="R46" s="166">
        <v>5635707</v>
      </c>
    </row>
    <row r="47" spans="1:18" ht="15" x14ac:dyDescent="0.25">
      <c r="A47" s="123" t="s">
        <v>54</v>
      </c>
      <c r="B47" s="123">
        <v>12</v>
      </c>
      <c r="C47" s="125">
        <v>4478</v>
      </c>
      <c r="D47" s="125">
        <v>65694476</v>
      </c>
      <c r="E47" s="125">
        <v>9176</v>
      </c>
      <c r="F47" s="125">
        <v>133335000</v>
      </c>
      <c r="G47" s="125">
        <v>7664</v>
      </c>
      <c r="H47" s="125">
        <f t="shared" si="0"/>
        <v>116059227</v>
      </c>
      <c r="I47" s="125">
        <v>5990</v>
      </c>
      <c r="J47" s="125">
        <v>82970249</v>
      </c>
      <c r="K47" s="150">
        <f t="shared" si="1"/>
        <v>13851.460601001669</v>
      </c>
      <c r="L47" s="151">
        <v>45</v>
      </c>
      <c r="M47" s="152" t="s">
        <v>376</v>
      </c>
      <c r="N47" s="152" t="s">
        <v>377</v>
      </c>
      <c r="O47" s="152" t="s">
        <v>303</v>
      </c>
      <c r="P47" s="165">
        <v>18180</v>
      </c>
      <c r="Q47" s="168">
        <v>9090</v>
      </c>
      <c r="R47" s="166">
        <v>165256200</v>
      </c>
    </row>
    <row r="48" spans="1:18" ht="15" x14ac:dyDescent="0.25">
      <c r="A48" s="123" t="s">
        <v>55</v>
      </c>
      <c r="B48" s="123">
        <v>12</v>
      </c>
      <c r="C48" s="125">
        <v>162</v>
      </c>
      <c r="D48" s="125">
        <v>14271796</v>
      </c>
      <c r="E48" s="125">
        <v>119</v>
      </c>
      <c r="F48" s="125">
        <v>9838718.8900000006</v>
      </c>
      <c r="G48" s="125">
        <v>6</v>
      </c>
      <c r="H48" s="125">
        <f t="shared" si="0"/>
        <v>1348613.8900000006</v>
      </c>
      <c r="I48" s="125">
        <v>275</v>
      </c>
      <c r="J48" s="125">
        <v>22761901</v>
      </c>
      <c r="K48" s="150">
        <f t="shared" si="1"/>
        <v>82770.549090909088</v>
      </c>
      <c r="L48" s="151">
        <v>46</v>
      </c>
      <c r="M48" s="152" t="s">
        <v>378</v>
      </c>
      <c r="N48" s="152" t="s">
        <v>53</v>
      </c>
      <c r="O48" s="152" t="s">
        <v>303</v>
      </c>
      <c r="P48" s="161">
        <v>3590</v>
      </c>
      <c r="Q48" s="167">
        <v>9955.8799999999992</v>
      </c>
      <c r="R48" s="162">
        <v>35741609.199999996</v>
      </c>
    </row>
    <row r="49" spans="1:18" ht="15" x14ac:dyDescent="0.25">
      <c r="A49" s="123" t="s">
        <v>56</v>
      </c>
      <c r="B49" s="123">
        <v>12</v>
      </c>
      <c r="C49" s="125">
        <v>864</v>
      </c>
      <c r="D49" s="125">
        <v>8294400</v>
      </c>
      <c r="E49" s="125">
        <v>263</v>
      </c>
      <c r="F49" s="125">
        <v>9207921359.289999</v>
      </c>
      <c r="G49" s="125">
        <v>0</v>
      </c>
      <c r="H49" s="125">
        <f t="shared" si="0"/>
        <v>9206072399.289999</v>
      </c>
      <c r="I49" s="125">
        <v>1127</v>
      </c>
      <c r="J49" s="125">
        <v>10143360</v>
      </c>
      <c r="K49" s="150">
        <f t="shared" si="1"/>
        <v>9000.3194321206738</v>
      </c>
      <c r="L49" s="151">
        <v>47</v>
      </c>
      <c r="M49" s="152" t="s">
        <v>379</v>
      </c>
      <c r="N49" s="152" t="s">
        <v>380</v>
      </c>
      <c r="O49" s="152" t="s">
        <v>327</v>
      </c>
      <c r="P49" s="161">
        <v>37</v>
      </c>
      <c r="Q49" s="167">
        <v>19698.8</v>
      </c>
      <c r="R49" s="162">
        <v>728855.6</v>
      </c>
    </row>
    <row r="50" spans="1:18" ht="15" x14ac:dyDescent="0.25">
      <c r="A50" s="123" t="s">
        <v>57</v>
      </c>
      <c r="B50" s="123">
        <v>12</v>
      </c>
      <c r="C50" s="125">
        <v>758</v>
      </c>
      <c r="D50" s="125">
        <v>13116517</v>
      </c>
      <c r="E50" s="125">
        <v>168</v>
      </c>
      <c r="F50" s="125">
        <v>2955624</v>
      </c>
      <c r="G50" s="125">
        <v>118</v>
      </c>
      <c r="H50" s="125">
        <f t="shared" si="0"/>
        <v>15343285.4</v>
      </c>
      <c r="I50" s="125">
        <v>37</v>
      </c>
      <c r="J50" s="125">
        <f>I50*K50</f>
        <v>728855.6</v>
      </c>
      <c r="K50" s="150">
        <v>19698.8</v>
      </c>
      <c r="L50" s="151">
        <v>48</v>
      </c>
      <c r="M50" s="152" t="s">
        <v>381</v>
      </c>
      <c r="N50" s="165" t="s">
        <v>382</v>
      </c>
      <c r="O50" s="165" t="s">
        <v>327</v>
      </c>
      <c r="P50" s="165">
        <v>132</v>
      </c>
      <c r="Q50" s="168">
        <v>23981.55</v>
      </c>
      <c r="R50" s="166">
        <v>3165564.6</v>
      </c>
    </row>
    <row r="51" spans="1:18" ht="15" x14ac:dyDescent="0.25">
      <c r="A51" s="123" t="s">
        <v>58</v>
      </c>
      <c r="B51" s="123">
        <v>12</v>
      </c>
      <c r="C51" s="125">
        <v>3660</v>
      </c>
      <c r="D51" s="125">
        <v>31105758</v>
      </c>
      <c r="E51" s="125">
        <v>816</v>
      </c>
      <c r="F51" s="125">
        <v>7026576</v>
      </c>
      <c r="G51" s="125">
        <v>1416</v>
      </c>
      <c r="H51" s="125">
        <f t="shared" si="0"/>
        <v>13494553</v>
      </c>
      <c r="I51" s="125">
        <v>3060</v>
      </c>
      <c r="J51" s="125">
        <v>24637781</v>
      </c>
      <c r="K51" s="150">
        <f t="shared" si="1"/>
        <v>8051.5624183006539</v>
      </c>
      <c r="L51" s="151">
        <v>49</v>
      </c>
      <c r="M51" s="152" t="s">
        <v>383</v>
      </c>
      <c r="N51" s="152" t="s">
        <v>384</v>
      </c>
      <c r="O51" s="152" t="s">
        <v>327</v>
      </c>
      <c r="P51" s="165">
        <v>40</v>
      </c>
      <c r="Q51" s="168">
        <v>42045.88</v>
      </c>
      <c r="R51" s="166">
        <v>1681835.2</v>
      </c>
    </row>
    <row r="52" spans="1:18" ht="15" x14ac:dyDescent="0.25">
      <c r="A52" s="123" t="s">
        <v>59</v>
      </c>
      <c r="B52" s="123">
        <v>12</v>
      </c>
      <c r="C52" s="125">
        <v>4076</v>
      </c>
      <c r="D52" s="125">
        <v>66900098</v>
      </c>
      <c r="E52" s="125">
        <v>2466</v>
      </c>
      <c r="F52" s="125">
        <v>30000600</v>
      </c>
      <c r="G52" s="125">
        <v>3835</v>
      </c>
      <c r="H52" s="125">
        <f t="shared" si="0"/>
        <v>54715863</v>
      </c>
      <c r="I52" s="125">
        <v>2707</v>
      </c>
      <c r="J52" s="125">
        <v>42184835</v>
      </c>
      <c r="K52" s="150">
        <f t="shared" si="1"/>
        <v>15583.611008496491</v>
      </c>
      <c r="L52" s="151">
        <v>50</v>
      </c>
      <c r="M52" s="152" t="s">
        <v>385</v>
      </c>
      <c r="N52" s="152" t="s">
        <v>129</v>
      </c>
      <c r="O52" s="152" t="s">
        <v>327</v>
      </c>
      <c r="P52" s="161">
        <v>15</v>
      </c>
      <c r="Q52" s="167">
        <v>31689.58</v>
      </c>
      <c r="R52" s="162">
        <v>475343.7</v>
      </c>
    </row>
    <row r="53" spans="1:18" ht="15" x14ac:dyDescent="0.25">
      <c r="A53" s="123" t="s">
        <v>60</v>
      </c>
      <c r="B53" s="123">
        <v>12</v>
      </c>
      <c r="C53" s="125">
        <v>3051</v>
      </c>
      <c r="D53" s="125">
        <v>99561656</v>
      </c>
      <c r="E53" s="125">
        <v>1476</v>
      </c>
      <c r="F53" s="125">
        <v>51966396</v>
      </c>
      <c r="G53" s="125">
        <v>2861</v>
      </c>
      <c r="H53" s="125">
        <f t="shared" si="0"/>
        <v>96734277</v>
      </c>
      <c r="I53" s="125">
        <v>1666</v>
      </c>
      <c r="J53" s="125">
        <v>54793775</v>
      </c>
      <c r="K53" s="150">
        <f t="shared" si="1"/>
        <v>32889.420768307325</v>
      </c>
      <c r="L53" s="151">
        <v>51</v>
      </c>
      <c r="M53" s="152" t="s">
        <v>386</v>
      </c>
      <c r="N53" s="152" t="s">
        <v>130</v>
      </c>
      <c r="O53" s="152" t="s">
        <v>327</v>
      </c>
      <c r="P53" s="152">
        <v>86</v>
      </c>
      <c r="Q53" s="158">
        <v>44108.62</v>
      </c>
      <c r="R53" s="131">
        <v>3793341.3200000003</v>
      </c>
    </row>
    <row r="54" spans="1:18" ht="15" x14ac:dyDescent="0.25">
      <c r="A54" s="123" t="s">
        <v>61</v>
      </c>
      <c r="B54" s="123">
        <v>12</v>
      </c>
      <c r="C54" s="125">
        <v>0</v>
      </c>
      <c r="D54" s="125">
        <v>0</v>
      </c>
      <c r="E54" s="125">
        <v>0</v>
      </c>
      <c r="F54" s="125">
        <v>0</v>
      </c>
      <c r="G54" s="125">
        <v>0</v>
      </c>
      <c r="H54" s="125">
        <f t="shared" si="0"/>
        <v>0</v>
      </c>
      <c r="I54" s="125">
        <v>0</v>
      </c>
      <c r="J54" s="125">
        <v>0</v>
      </c>
      <c r="K54" s="150"/>
      <c r="L54" s="151">
        <v>52</v>
      </c>
      <c r="M54" s="152" t="s">
        <v>387</v>
      </c>
      <c r="N54" s="152" t="s">
        <v>131</v>
      </c>
      <c r="O54" s="152" t="s">
        <v>327</v>
      </c>
      <c r="P54" s="152">
        <v>36</v>
      </c>
      <c r="Q54" s="158">
        <v>46250</v>
      </c>
      <c r="R54" s="131">
        <v>1665000</v>
      </c>
    </row>
    <row r="55" spans="1:18" ht="15" x14ac:dyDescent="0.25">
      <c r="A55" s="123" t="s">
        <v>62</v>
      </c>
      <c r="B55" s="123">
        <v>12</v>
      </c>
      <c r="C55" s="125">
        <v>4034</v>
      </c>
      <c r="D55" s="125">
        <v>19765883</v>
      </c>
      <c r="E55" s="125">
        <v>4080</v>
      </c>
      <c r="F55" s="125">
        <v>20020560</v>
      </c>
      <c r="G55" s="125">
        <v>6143</v>
      </c>
      <c r="H55" s="125">
        <f t="shared" si="0"/>
        <v>30744515</v>
      </c>
      <c r="I55" s="125">
        <v>1971</v>
      </c>
      <c r="J55" s="125">
        <v>9041928</v>
      </c>
      <c r="K55" s="150">
        <f t="shared" si="1"/>
        <v>4587.4824961948252</v>
      </c>
      <c r="L55" s="151">
        <v>53</v>
      </c>
      <c r="M55" s="152" t="s">
        <v>388</v>
      </c>
      <c r="N55" s="152" t="s">
        <v>132</v>
      </c>
      <c r="O55" s="152" t="s">
        <v>327</v>
      </c>
      <c r="P55" s="152">
        <v>53</v>
      </c>
      <c r="Q55" s="158">
        <v>41110.699999999997</v>
      </c>
      <c r="R55" s="131">
        <v>2178867.0999999996</v>
      </c>
    </row>
    <row r="56" spans="1:18" ht="15" x14ac:dyDescent="0.25">
      <c r="A56" s="123" t="s">
        <v>63</v>
      </c>
      <c r="B56" s="123">
        <v>12</v>
      </c>
      <c r="C56" s="125">
        <v>0</v>
      </c>
      <c r="D56" s="125">
        <v>0</v>
      </c>
      <c r="E56" s="125">
        <v>0</v>
      </c>
      <c r="F56" s="125">
        <v>0</v>
      </c>
      <c r="G56" s="125">
        <v>0</v>
      </c>
      <c r="H56" s="125">
        <f t="shared" si="0"/>
        <v>0</v>
      </c>
      <c r="I56" s="125">
        <v>0</v>
      </c>
      <c r="J56" s="125">
        <v>0</v>
      </c>
      <c r="K56" s="150"/>
      <c r="L56" s="151">
        <v>54</v>
      </c>
      <c r="M56" s="152" t="s">
        <v>389</v>
      </c>
      <c r="N56" s="152" t="s">
        <v>390</v>
      </c>
      <c r="O56" s="152" t="s">
        <v>327</v>
      </c>
      <c r="P56" s="152"/>
      <c r="Q56" s="158"/>
      <c r="R56" s="131">
        <v>0</v>
      </c>
    </row>
    <row r="57" spans="1:18" ht="15" x14ac:dyDescent="0.25">
      <c r="A57" s="123" t="s">
        <v>64</v>
      </c>
      <c r="B57" s="123">
        <v>12</v>
      </c>
      <c r="C57" s="125">
        <v>25</v>
      </c>
      <c r="D57" s="125">
        <v>4861100</v>
      </c>
      <c r="E57" s="125">
        <v>0</v>
      </c>
      <c r="F57" s="125">
        <v>0</v>
      </c>
      <c r="G57" s="125">
        <v>0</v>
      </c>
      <c r="H57" s="125">
        <f t="shared" si="0"/>
        <v>0</v>
      </c>
      <c r="I57" s="125">
        <v>25</v>
      </c>
      <c r="J57" s="125">
        <v>4861100</v>
      </c>
      <c r="K57" s="150">
        <f t="shared" si="1"/>
        <v>194444</v>
      </c>
      <c r="L57" s="151">
        <v>55</v>
      </c>
      <c r="M57" s="152" t="s">
        <v>391</v>
      </c>
      <c r="N57" s="152" t="s">
        <v>133</v>
      </c>
      <c r="O57" s="152" t="s">
        <v>327</v>
      </c>
      <c r="P57" s="152">
        <v>35</v>
      </c>
      <c r="Q57" s="158">
        <v>35115.78</v>
      </c>
      <c r="R57" s="131">
        <v>1229052.3</v>
      </c>
    </row>
    <row r="58" spans="1:18" ht="15" x14ac:dyDescent="0.25">
      <c r="A58" s="123" t="s">
        <v>65</v>
      </c>
      <c r="B58" s="123">
        <v>12</v>
      </c>
      <c r="C58" s="125">
        <v>7</v>
      </c>
      <c r="D58" s="125">
        <v>1328705</v>
      </c>
      <c r="E58" s="125">
        <v>0</v>
      </c>
      <c r="F58" s="125">
        <v>0</v>
      </c>
      <c r="G58" s="125">
        <v>0</v>
      </c>
      <c r="H58" s="125">
        <f t="shared" si="0"/>
        <v>0</v>
      </c>
      <c r="I58" s="125">
        <v>7</v>
      </c>
      <c r="J58" s="125">
        <v>1328705</v>
      </c>
      <c r="K58" s="150">
        <f t="shared" si="1"/>
        <v>189815</v>
      </c>
      <c r="L58" s="151">
        <v>56</v>
      </c>
      <c r="M58" s="152" t="s">
        <v>392</v>
      </c>
      <c r="N58" s="152" t="s">
        <v>54</v>
      </c>
      <c r="O58" s="152" t="s">
        <v>393</v>
      </c>
      <c r="P58" s="152">
        <v>5692</v>
      </c>
      <c r="Q58" s="158">
        <v>13852.02</v>
      </c>
      <c r="R58" s="131">
        <v>78845697.840000004</v>
      </c>
    </row>
    <row r="59" spans="1:18" ht="15" x14ac:dyDescent="0.25">
      <c r="A59" s="123" t="s">
        <v>66</v>
      </c>
      <c r="B59" s="123">
        <v>12</v>
      </c>
      <c r="C59" s="125">
        <v>3640</v>
      </c>
      <c r="D59" s="125">
        <v>56770482</v>
      </c>
      <c r="E59" s="125">
        <v>4421</v>
      </c>
      <c r="F59" s="125">
        <v>68567796</v>
      </c>
      <c r="G59" s="125">
        <v>6562</v>
      </c>
      <c r="H59" s="125">
        <f t="shared" si="0"/>
        <v>103274636</v>
      </c>
      <c r="I59" s="125">
        <v>1499</v>
      </c>
      <c r="J59" s="125">
        <v>22063642</v>
      </c>
      <c r="K59" s="150">
        <f t="shared" si="1"/>
        <v>14718.907271514343</v>
      </c>
      <c r="L59" s="151">
        <v>57</v>
      </c>
      <c r="M59" s="152" t="s">
        <v>394</v>
      </c>
      <c r="N59" s="152" t="s">
        <v>55</v>
      </c>
      <c r="O59" s="152" t="s">
        <v>395</v>
      </c>
      <c r="P59" s="152">
        <v>258</v>
      </c>
      <c r="Q59" s="158">
        <v>82678.31</v>
      </c>
      <c r="R59" s="131">
        <v>21331003.98</v>
      </c>
    </row>
    <row r="60" spans="1:18" ht="15" x14ac:dyDescent="0.25">
      <c r="A60" s="123" t="s">
        <v>67</v>
      </c>
      <c r="B60" s="123">
        <v>12</v>
      </c>
      <c r="C60" s="125">
        <v>170</v>
      </c>
      <c r="D60" s="125">
        <v>1385264</v>
      </c>
      <c r="E60" s="125">
        <v>24</v>
      </c>
      <c r="F60" s="125">
        <v>400008</v>
      </c>
      <c r="G60" s="125">
        <v>81</v>
      </c>
      <c r="H60" s="125">
        <f t="shared" si="0"/>
        <v>27607</v>
      </c>
      <c r="I60" s="125">
        <v>113</v>
      </c>
      <c r="J60" s="125">
        <v>1757665</v>
      </c>
      <c r="K60" s="150">
        <f t="shared" si="1"/>
        <v>15554.557522123894</v>
      </c>
      <c r="L60" s="151">
        <v>58</v>
      </c>
      <c r="M60" s="152" t="s">
        <v>396</v>
      </c>
      <c r="N60" s="152" t="s">
        <v>134</v>
      </c>
      <c r="O60" s="152" t="s">
        <v>327</v>
      </c>
      <c r="P60" s="152">
        <v>15</v>
      </c>
      <c r="Q60" s="158">
        <v>26979.48</v>
      </c>
      <c r="R60" s="131">
        <v>404692.2</v>
      </c>
    </row>
    <row r="61" spans="1:18" ht="15" x14ac:dyDescent="0.25">
      <c r="A61" s="123" t="s">
        <v>68</v>
      </c>
      <c r="B61" s="123">
        <v>12</v>
      </c>
      <c r="C61" s="125">
        <v>384</v>
      </c>
      <c r="D61" s="125">
        <v>17725913</v>
      </c>
      <c r="E61" s="125">
        <v>0</v>
      </c>
      <c r="F61" s="125">
        <v>0</v>
      </c>
      <c r="G61" s="125"/>
      <c r="H61" s="125">
        <f t="shared" si="0"/>
        <v>923225</v>
      </c>
      <c r="I61" s="125">
        <v>384</v>
      </c>
      <c r="J61" s="125">
        <v>16802688</v>
      </c>
      <c r="K61" s="150">
        <f t="shared" si="1"/>
        <v>43757</v>
      </c>
      <c r="L61" s="151">
        <v>59</v>
      </c>
      <c r="M61" s="152" t="s">
        <v>397</v>
      </c>
      <c r="N61" s="152" t="s">
        <v>398</v>
      </c>
      <c r="O61" s="152" t="s">
        <v>327</v>
      </c>
      <c r="P61" s="152"/>
      <c r="Q61" s="158"/>
      <c r="R61" s="131">
        <v>0</v>
      </c>
    </row>
    <row r="62" spans="1:18" ht="15" x14ac:dyDescent="0.25">
      <c r="A62" s="123" t="s">
        <v>69</v>
      </c>
      <c r="B62" s="123">
        <v>12</v>
      </c>
      <c r="C62" s="125">
        <v>156</v>
      </c>
      <c r="D62" s="125">
        <v>16177824</v>
      </c>
      <c r="E62" s="125">
        <v>0</v>
      </c>
      <c r="F62" s="125">
        <v>0</v>
      </c>
      <c r="G62" s="125"/>
      <c r="H62" s="125">
        <f t="shared" si="0"/>
        <v>622224</v>
      </c>
      <c r="I62" s="125">
        <v>156</v>
      </c>
      <c r="J62" s="125">
        <v>15555600</v>
      </c>
      <c r="K62" s="150">
        <f t="shared" si="1"/>
        <v>99715.38461538461</v>
      </c>
      <c r="L62" s="151">
        <v>60</v>
      </c>
      <c r="M62" s="152" t="s">
        <v>399</v>
      </c>
      <c r="N62" s="152" t="s">
        <v>56</v>
      </c>
      <c r="O62" s="152" t="s">
        <v>393</v>
      </c>
      <c r="P62" s="152">
        <v>1056</v>
      </c>
      <c r="Q62" s="158">
        <v>9004.0499999999993</v>
      </c>
      <c r="R62" s="131">
        <v>9508276.7999999989</v>
      </c>
    </row>
    <row r="63" spans="1:18" ht="15" x14ac:dyDescent="0.25">
      <c r="A63" s="123" t="s">
        <v>70</v>
      </c>
      <c r="B63" s="123">
        <v>12</v>
      </c>
      <c r="C63" s="125">
        <v>84</v>
      </c>
      <c r="D63" s="125">
        <v>12133296</v>
      </c>
      <c r="E63" s="125"/>
      <c r="F63" s="125">
        <v>0</v>
      </c>
      <c r="G63" s="125"/>
      <c r="H63" s="125">
        <f t="shared" si="0"/>
        <v>0</v>
      </c>
      <c r="I63" s="125">
        <v>84</v>
      </c>
      <c r="J63" s="125">
        <v>12133296</v>
      </c>
      <c r="K63" s="150">
        <f t="shared" si="1"/>
        <v>144444</v>
      </c>
      <c r="L63" s="151">
        <v>61</v>
      </c>
      <c r="M63" s="152" t="s">
        <v>400</v>
      </c>
      <c r="N63" s="152" t="s">
        <v>57</v>
      </c>
      <c r="O63" s="152" t="s">
        <v>393</v>
      </c>
      <c r="P63" s="152">
        <v>766</v>
      </c>
      <c r="Q63" s="158">
        <v>16449.46</v>
      </c>
      <c r="R63" s="131">
        <v>12600286.359999999</v>
      </c>
    </row>
    <row r="64" spans="1:18" ht="15" x14ac:dyDescent="0.25">
      <c r="A64" s="123" t="s">
        <v>71</v>
      </c>
      <c r="B64" s="123">
        <v>12</v>
      </c>
      <c r="C64" s="125">
        <v>1608</v>
      </c>
      <c r="D64" s="125">
        <v>25016122</v>
      </c>
      <c r="E64" s="125">
        <v>552</v>
      </c>
      <c r="F64" s="125">
        <v>8689032</v>
      </c>
      <c r="G64" s="125">
        <v>1294</v>
      </c>
      <c r="H64" s="125">
        <f t="shared" si="0"/>
        <v>20956492</v>
      </c>
      <c r="I64" s="125">
        <v>866</v>
      </c>
      <c r="J64" s="125">
        <v>12748662</v>
      </c>
      <c r="K64" s="150">
        <f t="shared" si="1"/>
        <v>14721.318706697459</v>
      </c>
      <c r="L64" s="151">
        <v>62</v>
      </c>
      <c r="M64" s="152" t="s">
        <v>401</v>
      </c>
      <c r="N64" s="152" t="s">
        <v>402</v>
      </c>
      <c r="O64" s="152" t="s">
        <v>393</v>
      </c>
      <c r="P64" s="152"/>
      <c r="Q64" s="158"/>
      <c r="R64" s="131">
        <v>0</v>
      </c>
    </row>
    <row r="65" spans="1:18" ht="15" x14ac:dyDescent="0.25">
      <c r="A65" s="123" t="s">
        <v>72</v>
      </c>
      <c r="B65" s="123">
        <v>12</v>
      </c>
      <c r="C65" s="125">
        <v>3852</v>
      </c>
      <c r="D65" s="125">
        <v>90280472</v>
      </c>
      <c r="E65" s="125">
        <v>648</v>
      </c>
      <c r="F65" s="125">
        <v>15599952</v>
      </c>
      <c r="G65" s="125">
        <v>2687</v>
      </c>
      <c r="H65" s="125">
        <f t="shared" si="0"/>
        <v>65081167</v>
      </c>
      <c r="I65" s="125">
        <v>1813</v>
      </c>
      <c r="J65" s="125">
        <v>40799257</v>
      </c>
      <c r="K65" s="150">
        <f t="shared" si="1"/>
        <v>22503.72697186983</v>
      </c>
      <c r="L65" s="151">
        <v>63</v>
      </c>
      <c r="M65" s="152" t="s">
        <v>403</v>
      </c>
      <c r="N65" s="152" t="s">
        <v>58</v>
      </c>
      <c r="O65" s="152" t="s">
        <v>393</v>
      </c>
      <c r="P65" s="152">
        <v>2892</v>
      </c>
      <c r="Q65" s="158">
        <v>8051.28</v>
      </c>
      <c r="R65" s="131">
        <v>23284301.759999998</v>
      </c>
    </row>
    <row r="66" spans="1:18" ht="15" x14ac:dyDescent="0.25">
      <c r="A66" s="123" t="s">
        <v>73</v>
      </c>
      <c r="B66" s="123">
        <v>12</v>
      </c>
      <c r="C66" s="125">
        <v>4218</v>
      </c>
      <c r="D66" s="125">
        <v>143970514</v>
      </c>
      <c r="E66" s="125">
        <v>1800</v>
      </c>
      <c r="F66" s="125">
        <v>61666200</v>
      </c>
      <c r="G66" s="125">
        <v>4874</v>
      </c>
      <c r="H66" s="125">
        <f t="shared" si="0"/>
        <v>169006179</v>
      </c>
      <c r="I66" s="125">
        <v>1144</v>
      </c>
      <c r="J66" s="125">
        <v>36630535</v>
      </c>
      <c r="K66" s="150">
        <f t="shared" si="1"/>
        <v>32019.698426573428</v>
      </c>
      <c r="L66" s="151">
        <v>64</v>
      </c>
      <c r="M66" s="152" t="s">
        <v>404</v>
      </c>
      <c r="N66" s="152" t="s">
        <v>59</v>
      </c>
      <c r="O66" s="152" t="s">
        <v>393</v>
      </c>
      <c r="P66" s="152">
        <v>2848</v>
      </c>
      <c r="Q66" s="158">
        <v>15583.64</v>
      </c>
      <c r="R66" s="131">
        <v>44382206.719999999</v>
      </c>
    </row>
    <row r="67" spans="1:18" ht="15" x14ac:dyDescent="0.25">
      <c r="A67" s="123" t="s">
        <v>74</v>
      </c>
      <c r="B67" s="123">
        <v>12</v>
      </c>
      <c r="C67" s="125">
        <v>5136</v>
      </c>
      <c r="D67" s="125">
        <v>75745997</v>
      </c>
      <c r="E67" s="125">
        <v>1752</v>
      </c>
      <c r="F67" s="125">
        <v>25955880</v>
      </c>
      <c r="G67" s="125">
        <v>6059</v>
      </c>
      <c r="H67" s="125">
        <f t="shared" si="0"/>
        <v>90214644</v>
      </c>
      <c r="I67" s="125">
        <v>829</v>
      </c>
      <c r="J67" s="125">
        <v>11487233</v>
      </c>
      <c r="K67" s="150">
        <f t="shared" si="1"/>
        <v>13856.734620024126</v>
      </c>
      <c r="L67" s="151">
        <v>65</v>
      </c>
      <c r="M67" s="152" t="s">
        <v>405</v>
      </c>
      <c r="N67" s="152" t="s">
        <v>60</v>
      </c>
      <c r="O67" s="152" t="s">
        <v>393</v>
      </c>
      <c r="P67" s="152">
        <v>1637</v>
      </c>
      <c r="Q67" s="158">
        <v>32897.980000000003</v>
      </c>
      <c r="R67" s="131">
        <v>53853993.260000005</v>
      </c>
    </row>
    <row r="68" spans="1:18" ht="15" x14ac:dyDescent="0.25">
      <c r="A68" s="123" t="s">
        <v>75</v>
      </c>
      <c r="B68" s="123">
        <v>12</v>
      </c>
      <c r="C68" s="125">
        <v>10400</v>
      </c>
      <c r="D68" s="125">
        <v>3813333</v>
      </c>
      <c r="E68" s="125">
        <v>0</v>
      </c>
      <c r="F68" s="125">
        <v>0</v>
      </c>
      <c r="G68" s="125">
        <v>9600</v>
      </c>
      <c r="H68" s="125">
        <f t="shared" si="0"/>
        <v>3520000</v>
      </c>
      <c r="I68" s="125">
        <v>800</v>
      </c>
      <c r="J68" s="125">
        <v>293333</v>
      </c>
      <c r="K68" s="150">
        <f t="shared" si="1"/>
        <v>366.66624999999999</v>
      </c>
      <c r="L68" s="151">
        <v>66</v>
      </c>
      <c r="M68" s="152" t="s">
        <v>406</v>
      </c>
      <c r="N68" s="152" t="s">
        <v>407</v>
      </c>
      <c r="O68" s="152" t="s">
        <v>327</v>
      </c>
      <c r="P68" s="152"/>
      <c r="Q68" s="158"/>
      <c r="R68" s="131">
        <v>0</v>
      </c>
    </row>
    <row r="69" spans="1:18" ht="15" x14ac:dyDescent="0.25">
      <c r="A69" s="123" t="s">
        <v>76</v>
      </c>
      <c r="B69" s="123">
        <v>12</v>
      </c>
      <c r="C69" s="125">
        <v>168</v>
      </c>
      <c r="D69" s="125">
        <v>9544198</v>
      </c>
      <c r="E69" s="125">
        <v>279</v>
      </c>
      <c r="F69" s="125">
        <v>4275018</v>
      </c>
      <c r="G69" s="125">
        <v>171</v>
      </c>
      <c r="H69" s="125">
        <f t="shared" ref="H69:H132" si="2">D69+F69-J69</f>
        <v>221995</v>
      </c>
      <c r="I69" s="125">
        <v>276</v>
      </c>
      <c r="J69" s="125">
        <v>13597221</v>
      </c>
      <c r="K69" s="150">
        <f t="shared" si="1"/>
        <v>49265.293478260872</v>
      </c>
      <c r="L69" s="151">
        <v>67</v>
      </c>
      <c r="M69" s="152" t="s">
        <v>408</v>
      </c>
      <c r="N69" s="152" t="s">
        <v>49</v>
      </c>
      <c r="O69" s="152" t="s">
        <v>327</v>
      </c>
      <c r="P69" s="152">
        <v>1570</v>
      </c>
      <c r="Q69" s="158">
        <v>4588.04</v>
      </c>
      <c r="R69" s="131">
        <v>7203222.7999999998</v>
      </c>
    </row>
    <row r="70" spans="1:18" ht="15" x14ac:dyDescent="0.25">
      <c r="A70" s="123" t="s">
        <v>77</v>
      </c>
      <c r="B70" s="123">
        <v>12</v>
      </c>
      <c r="C70" s="125">
        <v>1092</v>
      </c>
      <c r="D70" s="125">
        <v>6735333</v>
      </c>
      <c r="E70" s="125">
        <v>0</v>
      </c>
      <c r="F70" s="125">
        <v>0</v>
      </c>
      <c r="G70" s="125">
        <v>206</v>
      </c>
      <c r="H70" s="125">
        <f t="shared" si="2"/>
        <v>1517300</v>
      </c>
      <c r="I70" s="125">
        <v>886</v>
      </c>
      <c r="J70" s="125">
        <v>5218033</v>
      </c>
      <c r="K70" s="150">
        <f t="shared" ref="K70:K133" si="3">J70/I70</f>
        <v>5889.4277652370201</v>
      </c>
      <c r="L70" s="151">
        <v>68</v>
      </c>
      <c r="M70" s="152" t="s">
        <v>409</v>
      </c>
      <c r="N70" s="152" t="s">
        <v>410</v>
      </c>
      <c r="O70" s="152" t="s">
        <v>303</v>
      </c>
      <c r="P70" s="152"/>
      <c r="Q70" s="158"/>
      <c r="R70" s="131">
        <v>0</v>
      </c>
    </row>
    <row r="71" spans="1:18" ht="15" x14ac:dyDescent="0.25">
      <c r="A71" s="123" t="s">
        <v>78</v>
      </c>
      <c r="B71" s="123">
        <v>12</v>
      </c>
      <c r="C71" s="125">
        <v>7371</v>
      </c>
      <c r="D71" s="125">
        <v>66190155</v>
      </c>
      <c r="E71" s="125">
        <v>1920</v>
      </c>
      <c r="F71" s="125">
        <v>21333120</v>
      </c>
      <c r="G71" s="125">
        <v>4938</v>
      </c>
      <c r="H71" s="125">
        <f t="shared" si="2"/>
        <v>42296793</v>
      </c>
      <c r="I71" s="125">
        <v>4353</v>
      </c>
      <c r="J71" s="125">
        <v>45226482</v>
      </c>
      <c r="K71" s="150">
        <f t="shared" si="3"/>
        <v>10389.727084769125</v>
      </c>
      <c r="L71" s="151">
        <v>69</v>
      </c>
      <c r="M71" s="152" t="s">
        <v>411</v>
      </c>
      <c r="N71" s="152" t="s">
        <v>62</v>
      </c>
      <c r="O71" s="152" t="s">
        <v>327</v>
      </c>
      <c r="P71" s="152">
        <v>1844</v>
      </c>
      <c r="Q71" s="158">
        <v>4588.04</v>
      </c>
      <c r="R71" s="131">
        <v>8460345.7599999998</v>
      </c>
    </row>
    <row r="72" spans="1:18" ht="15" x14ac:dyDescent="0.25">
      <c r="A72" s="123" t="s">
        <v>79</v>
      </c>
      <c r="B72" s="123">
        <v>12</v>
      </c>
      <c r="C72" s="125">
        <v>1912</v>
      </c>
      <c r="D72" s="125">
        <v>38449684</v>
      </c>
      <c r="E72" s="125">
        <v>1560</v>
      </c>
      <c r="F72" s="125">
        <v>33221760</v>
      </c>
      <c r="G72" s="125">
        <v>3121</v>
      </c>
      <c r="H72" s="125">
        <f t="shared" si="2"/>
        <v>64673570</v>
      </c>
      <c r="I72" s="125">
        <v>351</v>
      </c>
      <c r="J72" s="125">
        <v>6997874</v>
      </c>
      <c r="K72" s="150">
        <f t="shared" si="3"/>
        <v>19936.962962962964</v>
      </c>
      <c r="L72" s="151">
        <v>70</v>
      </c>
      <c r="M72" s="152" t="s">
        <v>412</v>
      </c>
      <c r="N72" s="152" t="s">
        <v>413</v>
      </c>
      <c r="O72" s="152" t="s">
        <v>303</v>
      </c>
      <c r="P72" s="152"/>
      <c r="Q72" s="158"/>
      <c r="R72" s="131">
        <v>0</v>
      </c>
    </row>
    <row r="73" spans="1:18" ht="15" x14ac:dyDescent="0.25">
      <c r="A73" s="123" t="s">
        <v>80</v>
      </c>
      <c r="B73" s="123">
        <v>12</v>
      </c>
      <c r="C73" s="125">
        <v>180</v>
      </c>
      <c r="D73" s="125">
        <v>2602954</v>
      </c>
      <c r="E73" s="125">
        <v>85</v>
      </c>
      <c r="F73" s="125">
        <v>1177052.4150943398</v>
      </c>
      <c r="G73" s="125">
        <v>0</v>
      </c>
      <c r="H73" s="125">
        <f t="shared" si="2"/>
        <v>110372.41509433975</v>
      </c>
      <c r="I73" s="125">
        <v>265</v>
      </c>
      <c r="J73" s="125">
        <v>3669634</v>
      </c>
      <c r="K73" s="150">
        <f t="shared" si="3"/>
        <v>13847.675471698114</v>
      </c>
      <c r="L73" s="151">
        <v>71</v>
      </c>
      <c r="M73" s="152" t="s">
        <v>414</v>
      </c>
      <c r="N73" s="152" t="s">
        <v>64</v>
      </c>
      <c r="O73" s="152" t="s">
        <v>303</v>
      </c>
      <c r="P73" s="152">
        <v>25</v>
      </c>
      <c r="Q73" s="158">
        <v>181805.14</v>
      </c>
      <c r="R73" s="131">
        <v>4545128.5</v>
      </c>
    </row>
    <row r="74" spans="1:18" ht="15" x14ac:dyDescent="0.25">
      <c r="A74" s="123" t="s">
        <v>81</v>
      </c>
      <c r="B74" s="123">
        <v>12</v>
      </c>
      <c r="C74" s="125">
        <v>2052</v>
      </c>
      <c r="D74" s="125">
        <v>31426776</v>
      </c>
      <c r="E74" s="125">
        <v>504</v>
      </c>
      <c r="F74" s="125">
        <v>7933464</v>
      </c>
      <c r="G74" s="125">
        <v>2016</v>
      </c>
      <c r="H74" s="125">
        <f t="shared" si="2"/>
        <v>31414276</v>
      </c>
      <c r="I74" s="125">
        <v>540</v>
      </c>
      <c r="J74" s="125">
        <v>7945964</v>
      </c>
      <c r="K74" s="150">
        <f t="shared" si="3"/>
        <v>14714.748148148148</v>
      </c>
      <c r="L74" s="151">
        <v>72</v>
      </c>
      <c r="M74" s="152" t="s">
        <v>415</v>
      </c>
      <c r="N74" s="152" t="s">
        <v>65</v>
      </c>
      <c r="O74" s="152" t="s">
        <v>303</v>
      </c>
      <c r="P74" s="152">
        <v>7</v>
      </c>
      <c r="Q74" s="158">
        <v>177477.02</v>
      </c>
      <c r="R74" s="131">
        <v>1242339.1399999999</v>
      </c>
    </row>
    <row r="75" spans="1:18" ht="15" x14ac:dyDescent="0.25">
      <c r="A75" s="123" t="s">
        <v>82</v>
      </c>
      <c r="B75" s="123">
        <v>12</v>
      </c>
      <c r="C75" s="125">
        <v>5760</v>
      </c>
      <c r="D75" s="125">
        <v>42106565</v>
      </c>
      <c r="E75" s="125">
        <v>1368</v>
      </c>
      <c r="F75" s="125">
        <v>10132776</v>
      </c>
      <c r="G75" s="125">
        <v>4986</v>
      </c>
      <c r="H75" s="125">
        <f t="shared" si="2"/>
        <v>37405948</v>
      </c>
      <c r="I75" s="125">
        <v>2142</v>
      </c>
      <c r="J75" s="125">
        <v>14833393</v>
      </c>
      <c r="K75" s="150">
        <f t="shared" si="3"/>
        <v>6925.0200746965456</v>
      </c>
      <c r="L75" s="151">
        <v>73</v>
      </c>
      <c r="M75" s="152" t="s">
        <v>416</v>
      </c>
      <c r="N75" s="152" t="s">
        <v>66</v>
      </c>
      <c r="O75" s="152" t="s">
        <v>393</v>
      </c>
      <c r="P75" s="152">
        <v>1419</v>
      </c>
      <c r="Q75" s="158">
        <v>14717.84</v>
      </c>
      <c r="R75" s="131">
        <v>20884614.960000001</v>
      </c>
    </row>
    <row r="76" spans="1:18" ht="15" x14ac:dyDescent="0.25">
      <c r="A76" s="123" t="s">
        <v>83</v>
      </c>
      <c r="B76" s="123">
        <v>12</v>
      </c>
      <c r="C76" s="125">
        <v>2646</v>
      </c>
      <c r="D76" s="125">
        <v>20061031</v>
      </c>
      <c r="E76" s="125">
        <v>720</v>
      </c>
      <c r="F76" s="125">
        <v>5235684.923076923</v>
      </c>
      <c r="G76" s="125">
        <v>2586</v>
      </c>
      <c r="H76" s="125">
        <f t="shared" si="2"/>
        <v>19624723.923076924</v>
      </c>
      <c r="I76" s="125">
        <v>780</v>
      </c>
      <c r="J76" s="125">
        <v>5671992</v>
      </c>
      <c r="K76" s="150">
        <f t="shared" si="3"/>
        <v>7271.7846153846158</v>
      </c>
      <c r="L76" s="151">
        <v>74</v>
      </c>
      <c r="M76" s="152" t="s">
        <v>417</v>
      </c>
      <c r="N76" s="152" t="s">
        <v>418</v>
      </c>
      <c r="O76" s="152" t="s">
        <v>393</v>
      </c>
      <c r="P76" s="152">
        <v>5123</v>
      </c>
      <c r="Q76" s="158">
        <v>14284.93</v>
      </c>
      <c r="R76" s="131">
        <v>73181696.390000001</v>
      </c>
    </row>
    <row r="77" spans="1:18" ht="15" x14ac:dyDescent="0.25">
      <c r="A77" s="123" t="s">
        <v>84</v>
      </c>
      <c r="B77" s="123">
        <v>12</v>
      </c>
      <c r="C77" s="125">
        <v>21344</v>
      </c>
      <c r="D77" s="125">
        <v>656441651</v>
      </c>
      <c r="E77" s="125">
        <v>13870</v>
      </c>
      <c r="F77" s="125">
        <v>423104640</v>
      </c>
      <c r="G77" s="125">
        <v>25509</v>
      </c>
      <c r="H77" s="125">
        <f t="shared" si="2"/>
        <v>793886828</v>
      </c>
      <c r="I77" s="125">
        <v>9705</v>
      </c>
      <c r="J77" s="125">
        <v>285659463</v>
      </c>
      <c r="K77" s="150">
        <f t="shared" si="3"/>
        <v>29434.256877897991</v>
      </c>
      <c r="L77" s="151">
        <v>75</v>
      </c>
      <c r="M77" s="152" t="s">
        <v>419</v>
      </c>
      <c r="N77" s="152" t="s">
        <v>420</v>
      </c>
      <c r="O77" s="152" t="s">
        <v>393</v>
      </c>
      <c r="P77" s="152"/>
      <c r="Q77" s="158"/>
      <c r="R77" s="131">
        <v>0</v>
      </c>
    </row>
    <row r="78" spans="1:18" ht="15" x14ac:dyDescent="0.25">
      <c r="A78" s="123" t="s">
        <v>85</v>
      </c>
      <c r="B78" s="123">
        <v>12</v>
      </c>
      <c r="C78" s="125">
        <v>22711</v>
      </c>
      <c r="D78" s="125">
        <v>206800382</v>
      </c>
      <c r="E78" s="125">
        <v>8744</v>
      </c>
      <c r="F78" s="125">
        <v>79997760</v>
      </c>
      <c r="G78" s="125">
        <v>15601</v>
      </c>
      <c r="H78" s="125">
        <f t="shared" si="2"/>
        <v>149548979</v>
      </c>
      <c r="I78" s="125">
        <v>15854</v>
      </c>
      <c r="J78" s="125">
        <v>137249163</v>
      </c>
      <c r="K78" s="150">
        <f t="shared" si="3"/>
        <v>8657.0684369875107</v>
      </c>
      <c r="L78" s="151">
        <v>76</v>
      </c>
      <c r="M78" s="152" t="s">
        <v>421</v>
      </c>
      <c r="N78" s="152" t="s">
        <v>422</v>
      </c>
      <c r="O78" s="152" t="s">
        <v>393</v>
      </c>
      <c r="P78" s="152"/>
      <c r="Q78" s="158"/>
      <c r="R78" s="131">
        <v>0</v>
      </c>
    </row>
    <row r="79" spans="1:18" ht="15" x14ac:dyDescent="0.25">
      <c r="A79" s="123" t="s">
        <v>86</v>
      </c>
      <c r="B79" s="123">
        <v>12</v>
      </c>
      <c r="C79" s="125">
        <v>51521</v>
      </c>
      <c r="D79" s="125">
        <v>363655744</v>
      </c>
      <c r="E79" s="125">
        <v>37214</v>
      </c>
      <c r="F79" s="125">
        <v>266652000</v>
      </c>
      <c r="G79" s="125">
        <v>41008</v>
      </c>
      <c r="H79" s="125">
        <f t="shared" si="2"/>
        <v>295371958</v>
      </c>
      <c r="I79" s="125">
        <v>48362</v>
      </c>
      <c r="J79" s="125">
        <v>334935786</v>
      </c>
      <c r="K79" s="150">
        <f t="shared" si="3"/>
        <v>6925.5983209958231</v>
      </c>
      <c r="L79" s="151">
        <v>77</v>
      </c>
      <c r="M79" s="152" t="s">
        <v>423</v>
      </c>
      <c r="N79" s="152" t="s">
        <v>424</v>
      </c>
      <c r="O79" s="152" t="s">
        <v>393</v>
      </c>
      <c r="P79" s="152"/>
      <c r="Q79" s="158"/>
      <c r="R79" s="131">
        <v>0</v>
      </c>
    </row>
    <row r="80" spans="1:18" ht="15" x14ac:dyDescent="0.25">
      <c r="A80" s="123" t="s">
        <v>87</v>
      </c>
      <c r="B80" s="123">
        <v>12</v>
      </c>
      <c r="C80" s="125">
        <v>3195</v>
      </c>
      <c r="D80" s="125">
        <v>57619421</v>
      </c>
      <c r="E80" s="125">
        <v>7471</v>
      </c>
      <c r="F80" s="125">
        <v>133253280</v>
      </c>
      <c r="G80" s="125">
        <v>7687</v>
      </c>
      <c r="H80" s="125">
        <f t="shared" si="2"/>
        <v>140586531</v>
      </c>
      <c r="I80" s="125">
        <v>2979</v>
      </c>
      <c r="J80" s="125">
        <v>50286170</v>
      </c>
      <c r="K80" s="150">
        <f t="shared" si="3"/>
        <v>16880.218194024841</v>
      </c>
      <c r="L80" s="151">
        <v>78</v>
      </c>
      <c r="M80" s="152" t="s">
        <v>425</v>
      </c>
      <c r="N80" s="152" t="s">
        <v>426</v>
      </c>
      <c r="O80" s="152" t="s">
        <v>393</v>
      </c>
      <c r="P80" s="152">
        <v>720</v>
      </c>
      <c r="Q80" s="158">
        <v>36534.19</v>
      </c>
      <c r="R80" s="131">
        <v>26304616.800000001</v>
      </c>
    </row>
    <row r="81" spans="1:18" ht="15" x14ac:dyDescent="0.25">
      <c r="A81" s="123" t="s">
        <v>88</v>
      </c>
      <c r="B81" s="123">
        <v>12</v>
      </c>
      <c r="C81" s="125">
        <v>618</v>
      </c>
      <c r="D81" s="125">
        <v>12921762</v>
      </c>
      <c r="E81" s="125">
        <v>0</v>
      </c>
      <c r="F81" s="125">
        <v>0</v>
      </c>
      <c r="G81" s="125">
        <v>32</v>
      </c>
      <c r="H81" s="125">
        <f t="shared" si="2"/>
        <v>1463630</v>
      </c>
      <c r="I81" s="125">
        <v>586</v>
      </c>
      <c r="J81" s="125">
        <v>11458132</v>
      </c>
      <c r="K81" s="150">
        <f t="shared" si="3"/>
        <v>19553.126279863482</v>
      </c>
      <c r="L81" s="151">
        <v>79</v>
      </c>
      <c r="M81" s="152" t="s">
        <v>427</v>
      </c>
      <c r="N81" s="152" t="s">
        <v>428</v>
      </c>
      <c r="O81" s="152" t="s">
        <v>393</v>
      </c>
      <c r="P81" s="152"/>
      <c r="Q81" s="158"/>
      <c r="R81" s="131">
        <v>0</v>
      </c>
    </row>
    <row r="82" spans="1:18" ht="15" x14ac:dyDescent="0.25">
      <c r="A82" s="123" t="s">
        <v>89</v>
      </c>
      <c r="B82" s="123">
        <v>12</v>
      </c>
      <c r="C82" s="125">
        <v>564</v>
      </c>
      <c r="D82" s="125">
        <v>13801691</v>
      </c>
      <c r="E82" s="125">
        <v>216</v>
      </c>
      <c r="F82" s="125">
        <v>5299992</v>
      </c>
      <c r="G82" s="125">
        <v>306</v>
      </c>
      <c r="H82" s="125">
        <f t="shared" si="2"/>
        <v>8228417</v>
      </c>
      <c r="I82" s="125">
        <v>474</v>
      </c>
      <c r="J82" s="125">
        <v>10873266</v>
      </c>
      <c r="K82" s="150">
        <f t="shared" si="3"/>
        <v>22939.379746835442</v>
      </c>
      <c r="L82" s="151">
        <v>80</v>
      </c>
      <c r="M82" s="152" t="s">
        <v>429</v>
      </c>
      <c r="N82" s="152" t="s">
        <v>67</v>
      </c>
      <c r="O82" s="152" t="s">
        <v>393</v>
      </c>
      <c r="P82" s="152">
        <v>191</v>
      </c>
      <c r="Q82" s="158">
        <v>15583.64</v>
      </c>
      <c r="R82" s="131">
        <v>2976475.2399999998</v>
      </c>
    </row>
    <row r="83" spans="1:18" ht="15" x14ac:dyDescent="0.25">
      <c r="A83" s="123" t="s">
        <v>90</v>
      </c>
      <c r="B83" s="123">
        <v>12</v>
      </c>
      <c r="C83" s="125">
        <v>1045</v>
      </c>
      <c r="D83" s="125">
        <v>55627273</v>
      </c>
      <c r="E83" s="125">
        <v>2820</v>
      </c>
      <c r="F83" s="125">
        <v>150139620</v>
      </c>
      <c r="G83" s="125">
        <v>3289</v>
      </c>
      <c r="H83" s="125">
        <f t="shared" si="2"/>
        <v>177071330</v>
      </c>
      <c r="I83" s="125">
        <v>576</v>
      </c>
      <c r="J83" s="125">
        <v>28695563</v>
      </c>
      <c r="K83" s="150">
        <f t="shared" si="3"/>
        <v>49818.685763888891</v>
      </c>
      <c r="L83" s="151">
        <v>81</v>
      </c>
      <c r="M83" s="152" t="s">
        <v>430</v>
      </c>
      <c r="N83" s="152" t="s">
        <v>68</v>
      </c>
      <c r="O83" s="152" t="s">
        <v>393</v>
      </c>
      <c r="P83" s="152">
        <v>364</v>
      </c>
      <c r="Q83" s="158">
        <v>43633.64</v>
      </c>
      <c r="R83" s="131">
        <v>15882644.959999999</v>
      </c>
    </row>
    <row r="84" spans="1:18" ht="15" x14ac:dyDescent="0.25">
      <c r="A84" s="123" t="s">
        <v>91</v>
      </c>
      <c r="B84" s="123">
        <v>12</v>
      </c>
      <c r="C84" s="125">
        <v>6789</v>
      </c>
      <c r="D84" s="125">
        <v>63245985</v>
      </c>
      <c r="E84" s="125">
        <v>4920</v>
      </c>
      <c r="F84" s="125">
        <v>44332320</v>
      </c>
      <c r="G84" s="125">
        <v>5799</v>
      </c>
      <c r="H84" s="125">
        <f t="shared" si="2"/>
        <v>53858060</v>
      </c>
      <c r="I84" s="125">
        <v>5910</v>
      </c>
      <c r="J84" s="125">
        <v>53720245</v>
      </c>
      <c r="K84" s="150">
        <f t="shared" si="3"/>
        <v>9089.719966159053</v>
      </c>
      <c r="L84" s="151">
        <v>82</v>
      </c>
      <c r="M84" s="152" t="s">
        <v>431</v>
      </c>
      <c r="N84" s="152" t="s">
        <v>69</v>
      </c>
      <c r="O84" s="152" t="s">
        <v>303</v>
      </c>
      <c r="P84" s="152">
        <v>150</v>
      </c>
      <c r="Q84" s="158">
        <v>96963.24</v>
      </c>
      <c r="R84" s="131">
        <v>14544486</v>
      </c>
    </row>
    <row r="85" spans="1:18" ht="15" x14ac:dyDescent="0.25">
      <c r="A85" s="123" t="s">
        <v>92</v>
      </c>
      <c r="B85" s="123">
        <v>12</v>
      </c>
      <c r="C85" s="125">
        <v>50800</v>
      </c>
      <c r="D85" s="125">
        <v>24895116</v>
      </c>
      <c r="E85" s="125">
        <v>23200</v>
      </c>
      <c r="F85" s="125">
        <v>11391200</v>
      </c>
      <c r="G85" s="125">
        <v>33411</v>
      </c>
      <c r="H85" s="125">
        <f t="shared" si="2"/>
        <v>17652802</v>
      </c>
      <c r="I85" s="125">
        <v>40589</v>
      </c>
      <c r="J85" s="125">
        <v>18633514</v>
      </c>
      <c r="K85" s="150">
        <f t="shared" si="3"/>
        <v>459.07792751730767</v>
      </c>
      <c r="L85" s="151">
        <v>83</v>
      </c>
      <c r="M85" s="152" t="s">
        <v>432</v>
      </c>
      <c r="N85" s="152" t="s">
        <v>70</v>
      </c>
      <c r="O85" s="152" t="s">
        <v>303</v>
      </c>
      <c r="P85" s="152">
        <v>79</v>
      </c>
      <c r="Q85" s="158">
        <v>135055.14000000001</v>
      </c>
      <c r="R85" s="131">
        <v>10669356.060000001</v>
      </c>
    </row>
    <row r="86" spans="1:18" ht="15" x14ac:dyDescent="0.25">
      <c r="A86" s="123" t="s">
        <v>93</v>
      </c>
      <c r="B86" s="123">
        <v>12</v>
      </c>
      <c r="C86" s="125">
        <v>444</v>
      </c>
      <c r="D86" s="125">
        <v>23449263</v>
      </c>
      <c r="E86" s="125">
        <v>96</v>
      </c>
      <c r="F86" s="125">
        <v>5111136</v>
      </c>
      <c r="G86" s="125">
        <v>502</v>
      </c>
      <c r="H86" s="125">
        <f t="shared" si="2"/>
        <v>26656372</v>
      </c>
      <c r="I86" s="125">
        <v>38</v>
      </c>
      <c r="J86" s="125">
        <v>1904027</v>
      </c>
      <c r="K86" s="150">
        <f t="shared" si="3"/>
        <v>50105.973684210527</v>
      </c>
      <c r="L86" s="151">
        <v>84</v>
      </c>
      <c r="M86" s="152" t="s">
        <v>433</v>
      </c>
      <c r="N86" s="152" t="s">
        <v>71</v>
      </c>
      <c r="O86" s="152" t="s">
        <v>393</v>
      </c>
      <c r="P86" s="152">
        <v>817</v>
      </c>
      <c r="Q86" s="158">
        <v>14717.84</v>
      </c>
      <c r="R86" s="131">
        <v>12024475.279999999</v>
      </c>
    </row>
    <row r="87" spans="1:18" ht="15" x14ac:dyDescent="0.25">
      <c r="A87" s="123" t="s">
        <v>94</v>
      </c>
      <c r="B87" s="123">
        <v>12</v>
      </c>
      <c r="C87" s="125">
        <v>408</v>
      </c>
      <c r="D87" s="125">
        <v>3857098</v>
      </c>
      <c r="E87" s="125">
        <v>0</v>
      </c>
      <c r="F87" s="125">
        <v>0</v>
      </c>
      <c r="G87" s="125">
        <v>233</v>
      </c>
      <c r="H87" s="125">
        <f t="shared" si="2"/>
        <v>2268881</v>
      </c>
      <c r="I87" s="125">
        <v>175</v>
      </c>
      <c r="J87" s="125">
        <v>1588217</v>
      </c>
      <c r="K87" s="150">
        <f t="shared" si="3"/>
        <v>9075.5257142857135</v>
      </c>
      <c r="L87" s="151">
        <v>85</v>
      </c>
      <c r="M87" s="152" t="s">
        <v>434</v>
      </c>
      <c r="N87" s="152" t="s">
        <v>435</v>
      </c>
      <c r="O87" s="152" t="s">
        <v>395</v>
      </c>
      <c r="P87" s="152">
        <v>245</v>
      </c>
      <c r="Q87" s="158">
        <v>49347.43</v>
      </c>
      <c r="R87" s="131">
        <v>12090120.35</v>
      </c>
    </row>
    <row r="88" spans="1:18" ht="15" x14ac:dyDescent="0.25">
      <c r="A88" s="123" t="s">
        <v>95</v>
      </c>
      <c r="B88" s="123">
        <v>12</v>
      </c>
      <c r="C88" s="125">
        <v>900</v>
      </c>
      <c r="D88" s="125">
        <v>7404657</v>
      </c>
      <c r="E88" s="125">
        <v>468</v>
      </c>
      <c r="F88" s="125">
        <v>3899844</v>
      </c>
      <c r="G88" s="125">
        <v>1325</v>
      </c>
      <c r="H88" s="125">
        <f t="shared" si="2"/>
        <v>10653008</v>
      </c>
      <c r="I88" s="125">
        <v>43</v>
      </c>
      <c r="J88" s="125">
        <v>651493</v>
      </c>
      <c r="K88" s="150">
        <f t="shared" si="3"/>
        <v>15151</v>
      </c>
      <c r="L88" s="153">
        <v>86</v>
      </c>
      <c r="M88" s="152" t="s">
        <v>436</v>
      </c>
      <c r="N88" s="152" t="s">
        <v>72</v>
      </c>
      <c r="O88" s="152" t="s">
        <v>393</v>
      </c>
      <c r="P88" s="152">
        <v>1734</v>
      </c>
      <c r="Q88" s="158">
        <v>22509.19</v>
      </c>
      <c r="R88" s="131">
        <v>39030935.460000001</v>
      </c>
    </row>
    <row r="89" spans="1:18" ht="15" x14ac:dyDescent="0.25">
      <c r="A89" s="123" t="s">
        <v>96</v>
      </c>
      <c r="B89" s="123">
        <v>12</v>
      </c>
      <c r="C89" s="125">
        <v>225</v>
      </c>
      <c r="D89" s="125">
        <v>25942946</v>
      </c>
      <c r="E89" s="125">
        <v>147</v>
      </c>
      <c r="F89" s="125">
        <v>15968530.408839779</v>
      </c>
      <c r="G89" s="125">
        <v>10</v>
      </c>
      <c r="H89" s="125">
        <f t="shared" si="2"/>
        <v>2587612.4088397771</v>
      </c>
      <c r="I89" s="125">
        <v>362</v>
      </c>
      <c r="J89" s="125">
        <v>39323864</v>
      </c>
      <c r="K89" s="150">
        <f t="shared" si="3"/>
        <v>108629.45856353591</v>
      </c>
      <c r="L89" s="151">
        <v>87</v>
      </c>
      <c r="M89" s="152" t="s">
        <v>437</v>
      </c>
      <c r="N89" s="152" t="s">
        <v>438</v>
      </c>
      <c r="O89" s="152" t="s">
        <v>393</v>
      </c>
      <c r="P89" s="152"/>
      <c r="Q89" s="158"/>
      <c r="R89" s="131">
        <v>0</v>
      </c>
    </row>
    <row r="90" spans="1:18" ht="15" x14ac:dyDescent="0.25">
      <c r="A90" s="123" t="s">
        <v>97</v>
      </c>
      <c r="B90" s="123">
        <v>12</v>
      </c>
      <c r="C90" s="125">
        <v>57200</v>
      </c>
      <c r="D90" s="125">
        <v>28035599</v>
      </c>
      <c r="E90" s="125">
        <v>24800</v>
      </c>
      <c r="F90" s="125">
        <v>12176800</v>
      </c>
      <c r="G90" s="125">
        <v>36280</v>
      </c>
      <c r="H90" s="125">
        <f t="shared" si="2"/>
        <v>19223488</v>
      </c>
      <c r="I90" s="125">
        <v>45720</v>
      </c>
      <c r="J90" s="125">
        <v>20988911</v>
      </c>
      <c r="K90" s="150">
        <f t="shared" si="3"/>
        <v>459.07504374453191</v>
      </c>
      <c r="L90" s="151">
        <v>88</v>
      </c>
      <c r="M90" s="152" t="s">
        <v>439</v>
      </c>
      <c r="N90" s="152" t="s">
        <v>73</v>
      </c>
      <c r="O90" s="152" t="s">
        <v>393</v>
      </c>
      <c r="P90" s="152">
        <v>1072</v>
      </c>
      <c r="Q90" s="158">
        <v>32032.16</v>
      </c>
      <c r="R90" s="131">
        <v>34338475.520000003</v>
      </c>
    </row>
    <row r="91" spans="1:18" ht="15" x14ac:dyDescent="0.25">
      <c r="A91" s="123" t="s">
        <v>98</v>
      </c>
      <c r="B91" s="123">
        <v>12</v>
      </c>
      <c r="C91" s="125">
        <v>1920</v>
      </c>
      <c r="D91" s="125">
        <v>19627720</v>
      </c>
      <c r="E91" s="125">
        <v>192</v>
      </c>
      <c r="F91" s="125">
        <v>2026752</v>
      </c>
      <c r="G91" s="125">
        <v>1345</v>
      </c>
      <c r="H91" s="125">
        <f t="shared" si="2"/>
        <v>14087710</v>
      </c>
      <c r="I91" s="125">
        <v>767</v>
      </c>
      <c r="J91" s="125">
        <v>7566762</v>
      </c>
      <c r="K91" s="150">
        <f t="shared" si="3"/>
        <v>9865.4002607561924</v>
      </c>
      <c r="L91" s="151">
        <v>89</v>
      </c>
      <c r="M91" s="152" t="s">
        <v>440</v>
      </c>
      <c r="N91" s="152" t="s">
        <v>77</v>
      </c>
      <c r="O91" s="152" t="s">
        <v>393</v>
      </c>
      <c r="P91" s="152">
        <v>846</v>
      </c>
      <c r="Q91" s="158">
        <v>5886.76</v>
      </c>
      <c r="R91" s="131">
        <v>4980198.96</v>
      </c>
    </row>
    <row r="92" spans="1:18" ht="15" x14ac:dyDescent="0.25">
      <c r="A92" s="123" t="s">
        <v>99</v>
      </c>
      <c r="B92" s="123">
        <v>12</v>
      </c>
      <c r="C92" s="125">
        <v>96</v>
      </c>
      <c r="D92" s="125">
        <v>595584</v>
      </c>
      <c r="E92" s="125">
        <v>96</v>
      </c>
      <c r="F92" s="125">
        <v>595584</v>
      </c>
      <c r="G92" s="125">
        <v>8</v>
      </c>
      <c r="H92" s="125">
        <f t="shared" si="2"/>
        <v>124080</v>
      </c>
      <c r="I92" s="125">
        <v>184</v>
      </c>
      <c r="J92" s="125">
        <v>1067088</v>
      </c>
      <c r="K92" s="150">
        <f t="shared" si="3"/>
        <v>5799.391304347826</v>
      </c>
      <c r="L92" s="151">
        <v>90</v>
      </c>
      <c r="M92" s="152" t="s">
        <v>441</v>
      </c>
      <c r="N92" s="152" t="s">
        <v>78</v>
      </c>
      <c r="O92" s="152" t="s">
        <v>393</v>
      </c>
      <c r="P92" s="152">
        <v>4801</v>
      </c>
      <c r="Q92" s="158">
        <v>10388.780000000001</v>
      </c>
      <c r="R92" s="131">
        <v>49876532.780000001</v>
      </c>
    </row>
    <row r="93" spans="1:18" ht="15" x14ac:dyDescent="0.25">
      <c r="A93" s="123" t="s">
        <v>100</v>
      </c>
      <c r="B93" s="123">
        <v>12</v>
      </c>
      <c r="C93" s="125">
        <v>2105</v>
      </c>
      <c r="D93" s="125">
        <v>108155379</v>
      </c>
      <c r="E93" s="125">
        <v>3340</v>
      </c>
      <c r="F93" s="125">
        <v>162917460</v>
      </c>
      <c r="G93" s="125">
        <v>3522</v>
      </c>
      <c r="H93" s="125">
        <f t="shared" si="2"/>
        <v>175338575</v>
      </c>
      <c r="I93" s="125">
        <v>1923</v>
      </c>
      <c r="J93" s="125">
        <v>95734264</v>
      </c>
      <c r="K93" s="150">
        <f t="shared" si="3"/>
        <v>49783.808632345295</v>
      </c>
      <c r="L93" s="151">
        <v>91</v>
      </c>
      <c r="M93" s="152" t="s">
        <v>442</v>
      </c>
      <c r="N93" s="152" t="s">
        <v>79</v>
      </c>
      <c r="O93" s="152" t="s">
        <v>393</v>
      </c>
      <c r="P93" s="152">
        <v>339</v>
      </c>
      <c r="Q93" s="158">
        <v>19911.759999999998</v>
      </c>
      <c r="R93" s="131">
        <v>6750086.6399999997</v>
      </c>
    </row>
    <row r="94" spans="1:18" ht="15" x14ac:dyDescent="0.25">
      <c r="A94" s="123" t="s">
        <v>101</v>
      </c>
      <c r="B94" s="123">
        <v>12</v>
      </c>
      <c r="C94" s="125">
        <v>21454</v>
      </c>
      <c r="D94" s="125">
        <v>153225770</v>
      </c>
      <c r="E94" s="125">
        <v>9132</v>
      </c>
      <c r="F94" s="125">
        <v>39665760</v>
      </c>
      <c r="G94" s="125">
        <v>12151</v>
      </c>
      <c r="H94" s="125">
        <f t="shared" si="2"/>
        <v>25314412</v>
      </c>
      <c r="I94" s="125">
        <v>18435</v>
      </c>
      <c r="J94" s="125">
        <v>167577118</v>
      </c>
      <c r="K94" s="150">
        <f t="shared" si="3"/>
        <v>9090.1609981014371</v>
      </c>
      <c r="L94" s="151">
        <v>92</v>
      </c>
      <c r="M94" s="152" t="s">
        <v>443</v>
      </c>
      <c r="N94" s="152" t="s">
        <v>76</v>
      </c>
      <c r="O94" s="152" t="s">
        <v>395</v>
      </c>
      <c r="P94" s="152"/>
      <c r="Q94" s="158"/>
      <c r="R94" s="131">
        <v>0</v>
      </c>
    </row>
    <row r="95" spans="1:18" ht="15" x14ac:dyDescent="0.25">
      <c r="A95" s="123" t="s">
        <v>102</v>
      </c>
      <c r="B95" s="123">
        <v>12</v>
      </c>
      <c r="C95" s="125">
        <v>540</v>
      </c>
      <c r="D95" s="125">
        <v>13238841</v>
      </c>
      <c r="E95" s="125">
        <v>588</v>
      </c>
      <c r="F95" s="125">
        <v>14427756</v>
      </c>
      <c r="G95" s="125">
        <v>605</v>
      </c>
      <c r="H95" s="125">
        <f t="shared" si="2"/>
        <v>15672834</v>
      </c>
      <c r="I95" s="125">
        <v>523</v>
      </c>
      <c r="J95" s="125">
        <v>11993763</v>
      </c>
      <c r="K95" s="150">
        <f t="shared" si="3"/>
        <v>22932.625239005734</v>
      </c>
      <c r="L95" s="151">
        <v>93</v>
      </c>
      <c r="M95" s="152" t="s">
        <v>444</v>
      </c>
      <c r="N95" s="152" t="s">
        <v>445</v>
      </c>
      <c r="O95" s="152" t="s">
        <v>393</v>
      </c>
      <c r="P95" s="152">
        <v>778</v>
      </c>
      <c r="Q95" s="158">
        <v>13852.02</v>
      </c>
      <c r="R95" s="131">
        <v>10776871.560000001</v>
      </c>
    </row>
    <row r="96" spans="1:18" ht="15" x14ac:dyDescent="0.25">
      <c r="A96" s="123" t="s">
        <v>103</v>
      </c>
      <c r="B96" s="123">
        <v>12</v>
      </c>
      <c r="C96" s="125">
        <v>2454</v>
      </c>
      <c r="D96" s="125">
        <v>27075398</v>
      </c>
      <c r="E96" s="125">
        <v>342</v>
      </c>
      <c r="F96" s="125">
        <v>1333344</v>
      </c>
      <c r="G96" s="125">
        <v>1829</v>
      </c>
      <c r="H96" s="125">
        <f t="shared" si="2"/>
        <v>15850371</v>
      </c>
      <c r="I96" s="125">
        <v>967</v>
      </c>
      <c r="J96" s="125">
        <v>12558371</v>
      </c>
      <c r="K96" s="150">
        <f t="shared" si="3"/>
        <v>12986.940020682523</v>
      </c>
      <c r="L96" s="151">
        <v>94</v>
      </c>
      <c r="M96" s="152" t="s">
        <v>446</v>
      </c>
      <c r="N96" s="152" t="s">
        <v>75</v>
      </c>
      <c r="O96" s="152" t="s">
        <v>327</v>
      </c>
      <c r="P96" s="152">
        <v>800</v>
      </c>
      <c r="Q96" s="158">
        <v>345.95</v>
      </c>
      <c r="R96" s="131">
        <v>276760</v>
      </c>
    </row>
    <row r="97" spans="1:18" ht="15" x14ac:dyDescent="0.25">
      <c r="A97" s="123" t="s">
        <v>104</v>
      </c>
      <c r="B97" s="123">
        <v>12</v>
      </c>
      <c r="C97" s="125">
        <v>192</v>
      </c>
      <c r="D97" s="125">
        <v>3657528</v>
      </c>
      <c r="E97" s="125">
        <v>109</v>
      </c>
      <c r="F97" s="125">
        <v>1809081</v>
      </c>
      <c r="G97" s="125">
        <v>0</v>
      </c>
      <c r="H97" s="125">
        <f t="shared" si="2"/>
        <v>0</v>
      </c>
      <c r="I97" s="125">
        <v>301</v>
      </c>
      <c r="J97" s="125">
        <v>5466609</v>
      </c>
      <c r="K97" s="150">
        <f t="shared" si="3"/>
        <v>18161.49169435216</v>
      </c>
      <c r="L97" s="151">
        <v>95</v>
      </c>
      <c r="M97" s="152" t="s">
        <v>447</v>
      </c>
      <c r="N97" s="152" t="s">
        <v>448</v>
      </c>
      <c r="O97" s="152" t="s">
        <v>393</v>
      </c>
      <c r="P97" s="152">
        <v>26074</v>
      </c>
      <c r="Q97" s="158">
        <v>5194.8599999999997</v>
      </c>
      <c r="R97" s="131">
        <v>135450779.63999999</v>
      </c>
    </row>
    <row r="98" spans="1:18" ht="15" x14ac:dyDescent="0.25">
      <c r="A98" s="123" t="s">
        <v>105</v>
      </c>
      <c r="B98" s="123">
        <v>12</v>
      </c>
      <c r="C98" s="125">
        <v>258</v>
      </c>
      <c r="D98" s="125">
        <v>13370216</v>
      </c>
      <c r="E98" s="125">
        <v>174</v>
      </c>
      <c r="F98" s="125">
        <v>9263934</v>
      </c>
      <c r="G98" s="125">
        <v>400</v>
      </c>
      <c r="H98" s="125">
        <f t="shared" si="2"/>
        <v>21062334</v>
      </c>
      <c r="I98" s="125">
        <v>32</v>
      </c>
      <c r="J98" s="125">
        <v>1571816</v>
      </c>
      <c r="K98" s="150">
        <f t="shared" si="3"/>
        <v>49119.25</v>
      </c>
      <c r="L98" s="151">
        <v>96</v>
      </c>
      <c r="M98" s="152" t="s">
        <v>449</v>
      </c>
      <c r="N98" s="152" t="s">
        <v>80</v>
      </c>
      <c r="O98" s="152" t="s">
        <v>393</v>
      </c>
      <c r="P98" s="152">
        <v>252</v>
      </c>
      <c r="Q98" s="158">
        <v>13852.02</v>
      </c>
      <c r="R98" s="131">
        <v>3490709.04</v>
      </c>
    </row>
    <row r="99" spans="1:18" ht="15" x14ac:dyDescent="0.25">
      <c r="A99" s="123" t="s">
        <v>106</v>
      </c>
      <c r="B99" s="123">
        <v>12</v>
      </c>
      <c r="C99" s="125">
        <v>1512</v>
      </c>
      <c r="D99" s="125">
        <v>14292784</v>
      </c>
      <c r="E99" s="125">
        <v>192</v>
      </c>
      <c r="F99" s="125">
        <v>1866624</v>
      </c>
      <c r="G99" s="125">
        <v>923</v>
      </c>
      <c r="H99" s="125">
        <f t="shared" si="2"/>
        <v>9056476</v>
      </c>
      <c r="I99" s="125">
        <v>781</v>
      </c>
      <c r="J99" s="125">
        <v>7102932</v>
      </c>
      <c r="K99" s="150">
        <f t="shared" si="3"/>
        <v>9094.6632522407162</v>
      </c>
      <c r="L99" s="151">
        <v>97</v>
      </c>
      <c r="M99" s="152" t="s">
        <v>450</v>
      </c>
      <c r="N99" s="152" t="s">
        <v>81</v>
      </c>
      <c r="O99" s="152" t="s">
        <v>451</v>
      </c>
      <c r="P99" s="152">
        <v>516</v>
      </c>
      <c r="Q99" s="158">
        <v>14717.84</v>
      </c>
      <c r="R99" s="131">
        <v>7594405.4400000004</v>
      </c>
    </row>
    <row r="100" spans="1:18" ht="15" x14ac:dyDescent="0.25">
      <c r="A100" s="123" t="s">
        <v>107</v>
      </c>
      <c r="B100" s="123">
        <v>12</v>
      </c>
      <c r="C100" s="125">
        <v>1190</v>
      </c>
      <c r="D100" s="125">
        <v>4560276</v>
      </c>
      <c r="E100" s="125">
        <v>3832.1647058823528</v>
      </c>
      <c r="F100" s="125">
        <v>0</v>
      </c>
      <c r="G100" s="125">
        <v>532</v>
      </c>
      <c r="H100" s="125">
        <f t="shared" si="2"/>
        <v>0</v>
      </c>
      <c r="I100" s="125">
        <v>658</v>
      </c>
      <c r="J100" s="125">
        <v>4560276</v>
      </c>
      <c r="K100" s="150">
        <f t="shared" si="3"/>
        <v>6930.510638297872</v>
      </c>
      <c r="L100" s="151">
        <v>98</v>
      </c>
      <c r="M100" s="152" t="s">
        <v>452</v>
      </c>
      <c r="N100" s="152" t="s">
        <v>453</v>
      </c>
      <c r="O100" s="152" t="s">
        <v>367</v>
      </c>
      <c r="P100" s="152"/>
      <c r="Q100" s="158"/>
      <c r="R100" s="131">
        <v>0</v>
      </c>
    </row>
    <row r="101" spans="1:18" ht="15" x14ac:dyDescent="0.25">
      <c r="A101" s="123" t="s">
        <v>108</v>
      </c>
      <c r="B101" s="123">
        <v>12</v>
      </c>
      <c r="C101" s="125">
        <v>46476</v>
      </c>
      <c r="D101" s="125">
        <v>335124139</v>
      </c>
      <c r="E101" s="125">
        <v>977</v>
      </c>
      <c r="F101" s="125">
        <v>44416164.711274512</v>
      </c>
      <c r="G101" s="125">
        <v>45413</v>
      </c>
      <c r="H101" s="125">
        <f t="shared" si="2"/>
        <v>286798260.7112745</v>
      </c>
      <c r="I101" s="125">
        <v>2040</v>
      </c>
      <c r="J101" s="125">
        <v>92742043</v>
      </c>
      <c r="K101" s="150">
        <f t="shared" si="3"/>
        <v>45461.785784313724</v>
      </c>
      <c r="L101" s="151">
        <v>99</v>
      </c>
      <c r="M101" s="152" t="s">
        <v>454</v>
      </c>
      <c r="N101" s="152" t="s">
        <v>455</v>
      </c>
      <c r="O101" s="152" t="s">
        <v>367</v>
      </c>
      <c r="P101" s="152"/>
      <c r="Q101" s="158"/>
      <c r="R101" s="131">
        <v>0</v>
      </c>
    </row>
    <row r="102" spans="1:18" ht="15" x14ac:dyDescent="0.25">
      <c r="A102" s="123" t="s">
        <v>109</v>
      </c>
      <c r="B102" s="123">
        <v>12</v>
      </c>
      <c r="C102" s="125">
        <v>48</v>
      </c>
      <c r="D102" s="125">
        <v>2333328</v>
      </c>
      <c r="E102" s="125">
        <v>202</v>
      </c>
      <c r="F102" s="125">
        <v>1458330</v>
      </c>
      <c r="G102" s="125"/>
      <c r="H102" s="125">
        <f t="shared" si="2"/>
        <v>0</v>
      </c>
      <c r="I102" s="125">
        <v>250</v>
      </c>
      <c r="J102" s="125">
        <v>3791658</v>
      </c>
      <c r="K102" s="150">
        <f t="shared" si="3"/>
        <v>15166.632</v>
      </c>
      <c r="L102" s="151">
        <v>100</v>
      </c>
      <c r="M102" s="152" t="s">
        <v>456</v>
      </c>
      <c r="N102" s="152" t="s">
        <v>457</v>
      </c>
      <c r="O102" s="152" t="s">
        <v>458</v>
      </c>
      <c r="P102" s="152"/>
      <c r="Q102" s="158"/>
      <c r="R102" s="131">
        <v>0</v>
      </c>
    </row>
    <row r="103" spans="1:18" ht="15" x14ac:dyDescent="0.25">
      <c r="A103" s="123" t="s">
        <v>110</v>
      </c>
      <c r="B103" s="123">
        <v>12</v>
      </c>
      <c r="C103" s="125">
        <v>864</v>
      </c>
      <c r="D103" s="125">
        <v>15351650</v>
      </c>
      <c r="E103" s="125">
        <v>684</v>
      </c>
      <c r="F103" s="125">
        <v>12350304</v>
      </c>
      <c r="G103" s="125">
        <v>1103</v>
      </c>
      <c r="H103" s="125">
        <f t="shared" si="2"/>
        <v>20185920</v>
      </c>
      <c r="I103" s="125">
        <v>445</v>
      </c>
      <c r="J103" s="125">
        <v>7516034</v>
      </c>
      <c r="K103" s="150">
        <f t="shared" si="3"/>
        <v>16889.964044943819</v>
      </c>
      <c r="L103" s="151">
        <v>101</v>
      </c>
      <c r="M103" s="152" t="s">
        <v>459</v>
      </c>
      <c r="N103" s="152" t="s">
        <v>82</v>
      </c>
      <c r="O103" s="152" t="s">
        <v>451</v>
      </c>
      <c r="P103" s="152">
        <v>2024</v>
      </c>
      <c r="Q103" s="158">
        <v>6925.54</v>
      </c>
      <c r="R103" s="131">
        <v>14017292.959999999</v>
      </c>
    </row>
    <row r="104" spans="1:18" ht="15" x14ac:dyDescent="0.25">
      <c r="A104" s="123" t="s">
        <v>111</v>
      </c>
      <c r="B104" s="123">
        <v>12</v>
      </c>
      <c r="C104" s="125">
        <v>7094</v>
      </c>
      <c r="D104" s="125">
        <v>57800393</v>
      </c>
      <c r="E104" s="125">
        <v>7800</v>
      </c>
      <c r="F104" s="125">
        <v>63554400</v>
      </c>
      <c r="G104" s="125">
        <v>13333</v>
      </c>
      <c r="H104" s="125">
        <f t="shared" si="2"/>
        <v>109458862</v>
      </c>
      <c r="I104" s="125">
        <v>1561</v>
      </c>
      <c r="J104" s="125">
        <v>11895931</v>
      </c>
      <c r="K104" s="150">
        <f t="shared" si="3"/>
        <v>7620.7117232543242</v>
      </c>
      <c r="L104" s="151">
        <v>102</v>
      </c>
      <c r="M104" s="152" t="s">
        <v>460</v>
      </c>
      <c r="N104" s="152" t="s">
        <v>83</v>
      </c>
      <c r="O104" s="152" t="s">
        <v>393</v>
      </c>
      <c r="P104" s="152">
        <v>744</v>
      </c>
      <c r="Q104" s="158">
        <v>7272.43</v>
      </c>
      <c r="R104" s="131">
        <v>5410687.9199999999</v>
      </c>
    </row>
    <row r="105" spans="1:18" ht="15" x14ac:dyDescent="0.25">
      <c r="A105" s="123" t="s">
        <v>112</v>
      </c>
      <c r="B105" s="123">
        <v>12</v>
      </c>
      <c r="C105" s="125">
        <v>2500</v>
      </c>
      <c r="D105" s="125">
        <v>20355350</v>
      </c>
      <c r="E105" s="125">
        <v>1320</v>
      </c>
      <c r="F105" s="125">
        <v>10755360</v>
      </c>
      <c r="G105" s="125">
        <v>2890</v>
      </c>
      <c r="H105" s="125">
        <f t="shared" si="2"/>
        <v>24025287</v>
      </c>
      <c r="I105" s="125">
        <v>930</v>
      </c>
      <c r="J105" s="125">
        <v>7085423</v>
      </c>
      <c r="K105" s="150">
        <f t="shared" si="3"/>
        <v>7618.7344086021503</v>
      </c>
      <c r="L105" s="151">
        <v>103</v>
      </c>
      <c r="M105" s="152" t="s">
        <v>461</v>
      </c>
      <c r="N105" s="152" t="s">
        <v>84</v>
      </c>
      <c r="O105" s="152" t="s">
        <v>451</v>
      </c>
      <c r="P105" s="152">
        <v>9318</v>
      </c>
      <c r="Q105" s="158">
        <v>29434.74</v>
      </c>
      <c r="R105" s="131">
        <v>274272907.31999999</v>
      </c>
    </row>
    <row r="106" spans="1:18" ht="15" x14ac:dyDescent="0.25">
      <c r="A106" s="123" t="s">
        <v>113</v>
      </c>
      <c r="B106" s="123">
        <v>12</v>
      </c>
      <c r="C106" s="125">
        <v>240</v>
      </c>
      <c r="D106" s="125">
        <v>3935440</v>
      </c>
      <c r="E106" s="125">
        <v>90</v>
      </c>
      <c r="F106" s="125">
        <v>1200024</v>
      </c>
      <c r="G106" s="125"/>
      <c r="H106" s="125">
        <f t="shared" si="2"/>
        <v>0</v>
      </c>
      <c r="I106" s="125">
        <v>330</v>
      </c>
      <c r="J106" s="125">
        <v>5135464</v>
      </c>
      <c r="K106" s="150">
        <f t="shared" si="3"/>
        <v>15562.012121212121</v>
      </c>
      <c r="L106" s="151">
        <v>104</v>
      </c>
      <c r="M106" s="152" t="s">
        <v>462</v>
      </c>
      <c r="N106" s="152" t="s">
        <v>85</v>
      </c>
      <c r="O106" s="152" t="s">
        <v>393</v>
      </c>
      <c r="P106" s="152">
        <v>15053</v>
      </c>
      <c r="Q106" s="158">
        <v>8657.17</v>
      </c>
      <c r="R106" s="131">
        <v>130316380.01000001</v>
      </c>
    </row>
    <row r="107" spans="1:18" ht="15" x14ac:dyDescent="0.25">
      <c r="A107" s="123" t="s">
        <v>114</v>
      </c>
      <c r="B107" s="123">
        <v>12</v>
      </c>
      <c r="C107" s="125">
        <v>192</v>
      </c>
      <c r="D107" s="125">
        <v>3650221</v>
      </c>
      <c r="E107" s="125">
        <v>83</v>
      </c>
      <c r="F107" s="125">
        <v>1342579</v>
      </c>
      <c r="G107" s="125">
        <v>0</v>
      </c>
      <c r="H107" s="125">
        <f t="shared" si="2"/>
        <v>0</v>
      </c>
      <c r="I107" s="125">
        <v>275</v>
      </c>
      <c r="J107" s="125">
        <v>4992800</v>
      </c>
      <c r="K107" s="150">
        <f t="shared" si="3"/>
        <v>18155.636363636364</v>
      </c>
      <c r="L107" s="151">
        <v>105</v>
      </c>
      <c r="M107" s="152" t="s">
        <v>463</v>
      </c>
      <c r="N107" s="152" t="s">
        <v>86</v>
      </c>
      <c r="O107" s="152" t="s">
        <v>451</v>
      </c>
      <c r="P107" s="152">
        <v>14400</v>
      </c>
      <c r="Q107" s="158">
        <v>6925.54</v>
      </c>
      <c r="R107" s="131">
        <v>99727776</v>
      </c>
    </row>
    <row r="108" spans="1:18" ht="15" x14ac:dyDescent="0.25">
      <c r="A108" s="123" t="s">
        <v>115</v>
      </c>
      <c r="B108" s="123">
        <v>12</v>
      </c>
      <c r="C108" s="125">
        <v>4325</v>
      </c>
      <c r="D108" s="125">
        <v>27997920</v>
      </c>
      <c r="E108" s="125">
        <v>2412</v>
      </c>
      <c r="F108" s="125">
        <v>15554400</v>
      </c>
      <c r="G108" s="125">
        <v>4660</v>
      </c>
      <c r="H108" s="125">
        <f t="shared" si="2"/>
        <v>30965654</v>
      </c>
      <c r="I108" s="125">
        <v>2077</v>
      </c>
      <c r="J108" s="125">
        <v>12586666</v>
      </c>
      <c r="K108" s="150">
        <f t="shared" si="3"/>
        <v>6060.0221473278771</v>
      </c>
      <c r="L108" s="151">
        <v>106</v>
      </c>
      <c r="M108" s="152" t="s">
        <v>464</v>
      </c>
      <c r="N108" s="152" t="s">
        <v>465</v>
      </c>
      <c r="O108" s="152" t="s">
        <v>451</v>
      </c>
      <c r="P108" s="152">
        <v>2810</v>
      </c>
      <c r="Q108" s="158">
        <v>16882.36</v>
      </c>
      <c r="R108" s="131">
        <v>47439431.600000001</v>
      </c>
    </row>
    <row r="109" spans="1:18" ht="15" x14ac:dyDescent="0.25">
      <c r="A109" s="123" t="s">
        <v>116</v>
      </c>
      <c r="B109" s="123">
        <v>12</v>
      </c>
      <c r="C109" s="125">
        <v>4565</v>
      </c>
      <c r="D109" s="125">
        <v>92887200</v>
      </c>
      <c r="E109" s="125">
        <v>0</v>
      </c>
      <c r="F109" s="125">
        <v>0</v>
      </c>
      <c r="G109" s="125">
        <v>2461</v>
      </c>
      <c r="H109" s="125">
        <f t="shared" si="2"/>
        <v>52822600</v>
      </c>
      <c r="I109" s="125">
        <v>2104</v>
      </c>
      <c r="J109" s="125">
        <v>40064600</v>
      </c>
      <c r="K109" s="150">
        <f t="shared" si="3"/>
        <v>19042.110266159696</v>
      </c>
      <c r="L109" s="151">
        <v>107</v>
      </c>
      <c r="M109" s="152" t="s">
        <v>466</v>
      </c>
      <c r="N109" s="152" t="s">
        <v>125</v>
      </c>
      <c r="O109" s="152" t="s">
        <v>451</v>
      </c>
      <c r="P109" s="152">
        <v>644</v>
      </c>
      <c r="Q109" s="158">
        <v>41988.04</v>
      </c>
      <c r="R109" s="131">
        <v>27040297.760000002</v>
      </c>
    </row>
    <row r="110" spans="1:18" ht="15" x14ac:dyDescent="0.25">
      <c r="A110" s="123" t="s">
        <v>117</v>
      </c>
      <c r="B110" s="123">
        <v>12</v>
      </c>
      <c r="C110" s="125">
        <v>336</v>
      </c>
      <c r="D110" s="125">
        <v>5841722</v>
      </c>
      <c r="E110" s="125">
        <v>312</v>
      </c>
      <c r="F110" s="125">
        <v>5489016</v>
      </c>
      <c r="G110" s="125">
        <v>148</v>
      </c>
      <c r="H110" s="125">
        <f t="shared" si="2"/>
        <v>3112456</v>
      </c>
      <c r="I110" s="125">
        <v>500</v>
      </c>
      <c r="J110" s="125">
        <v>8218282</v>
      </c>
      <c r="K110" s="150">
        <f t="shared" si="3"/>
        <v>16436.563999999998</v>
      </c>
      <c r="L110" s="151">
        <v>108</v>
      </c>
      <c r="M110" s="152" t="s">
        <v>467</v>
      </c>
      <c r="N110" s="152" t="s">
        <v>110</v>
      </c>
      <c r="O110" s="152" t="s">
        <v>451</v>
      </c>
      <c r="P110" s="152">
        <v>420</v>
      </c>
      <c r="Q110" s="158">
        <v>16882.36</v>
      </c>
      <c r="R110" s="131">
        <v>7090591.2000000002</v>
      </c>
    </row>
    <row r="111" spans="1:18" ht="15" x14ac:dyDescent="0.25">
      <c r="A111" s="123" t="s">
        <v>118</v>
      </c>
      <c r="B111" s="123">
        <v>12</v>
      </c>
      <c r="C111" s="125">
        <v>612</v>
      </c>
      <c r="D111" s="125">
        <v>25119032</v>
      </c>
      <c r="E111" s="125">
        <v>829</v>
      </c>
      <c r="F111" s="125">
        <v>3500028</v>
      </c>
      <c r="G111" s="125">
        <v>612</v>
      </c>
      <c r="H111" s="125">
        <f t="shared" si="2"/>
        <v>16776690</v>
      </c>
      <c r="I111" s="125">
        <v>829</v>
      </c>
      <c r="J111" s="125">
        <v>11842370</v>
      </c>
      <c r="K111" s="150">
        <f t="shared" si="3"/>
        <v>14285.126658624849</v>
      </c>
      <c r="L111" s="151">
        <v>109</v>
      </c>
      <c r="M111" s="152" t="s">
        <v>468</v>
      </c>
      <c r="N111" s="152" t="s">
        <v>89</v>
      </c>
      <c r="O111" s="152" t="s">
        <v>393</v>
      </c>
      <c r="P111" s="152">
        <v>444</v>
      </c>
      <c r="Q111" s="158">
        <v>22942.1</v>
      </c>
      <c r="R111" s="131">
        <v>10186292.399999999</v>
      </c>
    </row>
    <row r="112" spans="1:18" ht="15" x14ac:dyDescent="0.25">
      <c r="A112" s="123" t="s">
        <v>119</v>
      </c>
      <c r="B112" s="123">
        <v>12</v>
      </c>
      <c r="C112" s="125">
        <v>320</v>
      </c>
      <c r="D112" s="125">
        <v>7371274</v>
      </c>
      <c r="E112" s="125">
        <v>160</v>
      </c>
      <c r="F112" s="125">
        <v>3703680</v>
      </c>
      <c r="G112" s="125">
        <v>203</v>
      </c>
      <c r="H112" s="125">
        <f t="shared" si="2"/>
        <v>5076021</v>
      </c>
      <c r="I112" s="125">
        <v>277</v>
      </c>
      <c r="J112" s="125">
        <v>5998933</v>
      </c>
      <c r="K112" s="150">
        <f t="shared" si="3"/>
        <v>21656.797833935019</v>
      </c>
      <c r="L112" s="151">
        <v>110</v>
      </c>
      <c r="M112" s="152" t="s">
        <v>469</v>
      </c>
      <c r="N112" s="152" t="s">
        <v>90</v>
      </c>
      <c r="O112" s="152" t="s">
        <v>393</v>
      </c>
      <c r="P112" s="152">
        <v>539</v>
      </c>
      <c r="Q112" s="158">
        <v>49780.34</v>
      </c>
      <c r="R112" s="131">
        <v>26831603.259999998</v>
      </c>
    </row>
    <row r="113" spans="1:18" ht="15" x14ac:dyDescent="0.25">
      <c r="A113" s="123" t="s">
        <v>120</v>
      </c>
      <c r="B113" s="123">
        <v>12</v>
      </c>
      <c r="C113" s="125">
        <v>120</v>
      </c>
      <c r="D113" s="125">
        <v>2654520</v>
      </c>
      <c r="E113" s="125">
        <v>80</v>
      </c>
      <c r="F113" s="125">
        <v>1777760</v>
      </c>
      <c r="G113" s="125">
        <v>115</v>
      </c>
      <c r="H113" s="125">
        <f t="shared" si="2"/>
        <v>2659368</v>
      </c>
      <c r="I113" s="125">
        <v>85</v>
      </c>
      <c r="J113" s="125">
        <v>1772912</v>
      </c>
      <c r="K113" s="150">
        <f t="shared" si="3"/>
        <v>20857.788235294116</v>
      </c>
      <c r="L113" s="151">
        <v>111</v>
      </c>
      <c r="M113" s="152" t="s">
        <v>470</v>
      </c>
      <c r="N113" s="152" t="s">
        <v>91</v>
      </c>
      <c r="O113" s="152" t="s">
        <v>393</v>
      </c>
      <c r="P113" s="152">
        <v>5847</v>
      </c>
      <c r="Q113" s="158">
        <v>9090.07</v>
      </c>
      <c r="R113" s="131">
        <v>53149639.289999999</v>
      </c>
    </row>
    <row r="114" spans="1:18" ht="15" x14ac:dyDescent="0.25">
      <c r="A114" s="123" t="s">
        <v>121</v>
      </c>
      <c r="B114" s="123">
        <v>12</v>
      </c>
      <c r="C114" s="125">
        <v>2652</v>
      </c>
      <c r="D114" s="125">
        <v>31770271</v>
      </c>
      <c r="E114" s="125">
        <v>3648</v>
      </c>
      <c r="F114" s="125">
        <v>43333200</v>
      </c>
      <c r="G114" s="125">
        <v>3192</v>
      </c>
      <c r="H114" s="125">
        <f t="shared" si="2"/>
        <v>40126712</v>
      </c>
      <c r="I114" s="125">
        <v>3108</v>
      </c>
      <c r="J114" s="125">
        <v>34976759</v>
      </c>
      <c r="K114" s="150">
        <f t="shared" si="3"/>
        <v>11253.783462033462</v>
      </c>
      <c r="L114" s="151">
        <v>112</v>
      </c>
      <c r="M114" s="152" t="s">
        <v>471</v>
      </c>
      <c r="N114" s="152" t="s">
        <v>92</v>
      </c>
      <c r="O114" s="152" t="s">
        <v>327</v>
      </c>
      <c r="P114" s="152">
        <v>38000</v>
      </c>
      <c r="Q114" s="158">
        <v>459.08</v>
      </c>
      <c r="R114" s="131">
        <v>17445040</v>
      </c>
    </row>
    <row r="115" spans="1:18" ht="15" x14ac:dyDescent="0.25">
      <c r="A115" s="123" t="s">
        <v>122</v>
      </c>
      <c r="B115" s="123">
        <v>12</v>
      </c>
      <c r="C115" s="125">
        <v>4685</v>
      </c>
      <c r="D115" s="125">
        <v>40734720</v>
      </c>
      <c r="E115" s="125">
        <v>2400</v>
      </c>
      <c r="F115" s="125">
        <v>20889600</v>
      </c>
      <c r="G115" s="125">
        <v>6911</v>
      </c>
      <c r="H115" s="125">
        <f t="shared" si="2"/>
        <v>60206569</v>
      </c>
      <c r="I115" s="125">
        <v>174</v>
      </c>
      <c r="J115" s="125">
        <v>1417751</v>
      </c>
      <c r="K115" s="150">
        <f t="shared" si="3"/>
        <v>8147.9942528735628</v>
      </c>
      <c r="L115" s="151">
        <v>113</v>
      </c>
      <c r="M115" s="152" t="s">
        <v>472</v>
      </c>
      <c r="N115" s="152" t="s">
        <v>94</v>
      </c>
      <c r="O115" s="152" t="s">
        <v>393</v>
      </c>
      <c r="P115" s="152">
        <v>168</v>
      </c>
      <c r="Q115" s="158">
        <v>9090.07</v>
      </c>
      <c r="R115" s="131">
        <v>1527131.76</v>
      </c>
    </row>
    <row r="116" spans="1:18" ht="15" x14ac:dyDescent="0.25">
      <c r="A116" s="123" t="s">
        <v>123</v>
      </c>
      <c r="B116" s="123">
        <v>12</v>
      </c>
      <c r="C116" s="125">
        <v>216</v>
      </c>
      <c r="D116" s="125">
        <v>3755160</v>
      </c>
      <c r="E116" s="125">
        <v>36</v>
      </c>
      <c r="F116" s="125">
        <v>666684</v>
      </c>
      <c r="G116" s="125">
        <v>120</v>
      </c>
      <c r="H116" s="125">
        <f t="shared" si="2"/>
        <v>2105640</v>
      </c>
      <c r="I116" s="125">
        <v>132</v>
      </c>
      <c r="J116" s="125">
        <v>2316204</v>
      </c>
      <c r="K116" s="150">
        <f t="shared" si="3"/>
        <v>17547</v>
      </c>
      <c r="L116" s="151">
        <v>114</v>
      </c>
      <c r="M116" s="152" t="s">
        <v>473</v>
      </c>
      <c r="N116" s="152" t="s">
        <v>93</v>
      </c>
      <c r="O116" s="152" t="s">
        <v>393</v>
      </c>
      <c r="P116" s="152">
        <v>36</v>
      </c>
      <c r="Q116" s="158">
        <v>49780.34</v>
      </c>
      <c r="R116" s="131">
        <v>1792092.2399999998</v>
      </c>
    </row>
    <row r="117" spans="1:18" ht="15" x14ac:dyDescent="0.25">
      <c r="A117" s="123" t="s">
        <v>124</v>
      </c>
      <c r="B117" s="123">
        <v>12</v>
      </c>
      <c r="C117" s="125">
        <v>72</v>
      </c>
      <c r="D117" s="125">
        <v>1333368</v>
      </c>
      <c r="E117" s="125">
        <v>36</v>
      </c>
      <c r="F117" s="125">
        <v>666684</v>
      </c>
      <c r="G117" s="125">
        <v>100</v>
      </c>
      <c r="H117" s="125">
        <f t="shared" si="2"/>
        <v>1851900</v>
      </c>
      <c r="I117" s="125">
        <v>8</v>
      </c>
      <c r="J117" s="125">
        <v>148152</v>
      </c>
      <c r="K117" s="150">
        <f t="shared" si="3"/>
        <v>18519</v>
      </c>
      <c r="L117" s="151">
        <v>115</v>
      </c>
      <c r="M117" s="152" t="s">
        <v>474</v>
      </c>
      <c r="N117" s="152" t="s">
        <v>475</v>
      </c>
      <c r="O117" s="152" t="s">
        <v>393</v>
      </c>
      <c r="P117" s="152">
        <v>48</v>
      </c>
      <c r="Q117" s="158">
        <v>22942</v>
      </c>
      <c r="R117" s="131">
        <v>1101216</v>
      </c>
    </row>
    <row r="118" spans="1:18" ht="15" x14ac:dyDescent="0.25">
      <c r="A118" s="123" t="s">
        <v>125</v>
      </c>
      <c r="B118" s="123">
        <v>12</v>
      </c>
      <c r="C118" s="125">
        <v>944</v>
      </c>
      <c r="D118" s="125">
        <v>42152428</v>
      </c>
      <c r="E118" s="125">
        <v>840</v>
      </c>
      <c r="F118" s="125">
        <v>37721880</v>
      </c>
      <c r="G118" s="125">
        <v>1097</v>
      </c>
      <c r="H118" s="125">
        <f t="shared" si="2"/>
        <v>51040757</v>
      </c>
      <c r="I118" s="125">
        <v>687</v>
      </c>
      <c r="J118" s="125">
        <v>28833551</v>
      </c>
      <c r="K118" s="150">
        <f t="shared" si="3"/>
        <v>41970.234352256186</v>
      </c>
      <c r="L118" s="154">
        <v>116</v>
      </c>
      <c r="M118" s="152" t="s">
        <v>476</v>
      </c>
      <c r="N118" s="152" t="s">
        <v>107</v>
      </c>
      <c r="O118" s="152" t="s">
        <v>393</v>
      </c>
      <c r="P118" s="152"/>
      <c r="Q118" s="158"/>
      <c r="R118" s="131">
        <v>0</v>
      </c>
    </row>
    <row r="119" spans="1:18" ht="15" x14ac:dyDescent="0.25">
      <c r="A119" s="123" t="s">
        <v>126</v>
      </c>
      <c r="B119" s="123">
        <v>12</v>
      </c>
      <c r="C119" s="125">
        <v>33073</v>
      </c>
      <c r="D119" s="125">
        <v>182697004</v>
      </c>
      <c r="E119" s="125">
        <v>44511</v>
      </c>
      <c r="F119" s="125">
        <v>248485800</v>
      </c>
      <c r="G119" s="125">
        <v>45992</v>
      </c>
      <c r="H119" s="125">
        <f t="shared" si="2"/>
        <v>258882160</v>
      </c>
      <c r="I119" s="125">
        <v>31592</v>
      </c>
      <c r="J119" s="125">
        <v>172300644</v>
      </c>
      <c r="K119" s="150">
        <f t="shared" si="3"/>
        <v>5453.9327677893134</v>
      </c>
      <c r="L119" s="151">
        <v>117</v>
      </c>
      <c r="M119" s="152" t="s">
        <v>477</v>
      </c>
      <c r="N119" s="152" t="s">
        <v>478</v>
      </c>
      <c r="O119" s="152" t="s">
        <v>393</v>
      </c>
      <c r="P119" s="152"/>
      <c r="Q119" s="158"/>
      <c r="R119" s="131">
        <v>0</v>
      </c>
    </row>
    <row r="120" spans="1:18" ht="15" x14ac:dyDescent="0.25">
      <c r="A120" s="123" t="s">
        <v>127</v>
      </c>
      <c r="B120" s="123">
        <v>12</v>
      </c>
      <c r="C120" s="125">
        <v>6123</v>
      </c>
      <c r="D120" s="125">
        <v>34229824</v>
      </c>
      <c r="E120" s="125">
        <v>2760</v>
      </c>
      <c r="F120" s="125">
        <v>16099080</v>
      </c>
      <c r="G120" s="125">
        <v>6324</v>
      </c>
      <c r="H120" s="125">
        <f t="shared" si="2"/>
        <v>36374149</v>
      </c>
      <c r="I120" s="125">
        <v>2559</v>
      </c>
      <c r="J120" s="125">
        <v>13954755</v>
      </c>
      <c r="K120" s="150">
        <f t="shared" si="3"/>
        <v>5453.20633059789</v>
      </c>
      <c r="L120" s="151">
        <v>118</v>
      </c>
      <c r="M120" s="152" t="s">
        <v>479</v>
      </c>
      <c r="N120" s="152" t="s">
        <v>108</v>
      </c>
      <c r="O120" s="152" t="s">
        <v>393</v>
      </c>
      <c r="P120" s="152">
        <v>14488</v>
      </c>
      <c r="Q120" s="158">
        <v>6925.54</v>
      </c>
      <c r="R120" s="131">
        <v>100337223.52</v>
      </c>
    </row>
    <row r="121" spans="1:18" ht="15" x14ac:dyDescent="0.25">
      <c r="A121" s="123" t="s">
        <v>128</v>
      </c>
      <c r="B121" s="123">
        <v>12</v>
      </c>
      <c r="C121" s="125">
        <v>374</v>
      </c>
      <c r="D121" s="125">
        <v>5702198</v>
      </c>
      <c r="E121" s="125">
        <v>200</v>
      </c>
      <c r="F121" s="125">
        <v>3055600</v>
      </c>
      <c r="G121" s="125">
        <v>89</v>
      </c>
      <c r="H121" s="125">
        <f t="shared" si="2"/>
        <v>1830899</v>
      </c>
      <c r="I121" s="125">
        <v>485</v>
      </c>
      <c r="J121" s="125">
        <v>6926899</v>
      </c>
      <c r="K121" s="150">
        <f t="shared" si="3"/>
        <v>14282.265979381444</v>
      </c>
      <c r="L121" s="151">
        <v>119</v>
      </c>
      <c r="M121" s="152" t="s">
        <v>480</v>
      </c>
      <c r="N121" s="152" t="s">
        <v>481</v>
      </c>
      <c r="O121" s="152" t="s">
        <v>393</v>
      </c>
      <c r="P121" s="152">
        <v>60</v>
      </c>
      <c r="Q121" s="158">
        <v>45451.28</v>
      </c>
      <c r="R121" s="131">
        <v>2727076.8</v>
      </c>
    </row>
    <row r="122" spans="1:18" ht="15" x14ac:dyDescent="0.25">
      <c r="A122" s="123" t="s">
        <v>129</v>
      </c>
      <c r="B122" s="123">
        <v>12</v>
      </c>
      <c r="C122" s="125">
        <v>20</v>
      </c>
      <c r="D122" s="125">
        <v>685180</v>
      </c>
      <c r="E122" s="125">
        <v>0</v>
      </c>
      <c r="F122" s="125">
        <v>0</v>
      </c>
      <c r="G122" s="125">
        <v>5</v>
      </c>
      <c r="H122" s="125">
        <f t="shared" si="2"/>
        <v>209836</v>
      </c>
      <c r="I122" s="136">
        <v>15</v>
      </c>
      <c r="J122" s="136">
        <f>I122*K122</f>
        <v>475344</v>
      </c>
      <c r="K122" s="160">
        <v>31689.599999999999</v>
      </c>
      <c r="L122" s="151">
        <v>120</v>
      </c>
      <c r="M122" s="152" t="s">
        <v>482</v>
      </c>
      <c r="N122" s="152" t="s">
        <v>483</v>
      </c>
      <c r="O122" s="152" t="s">
        <v>393</v>
      </c>
      <c r="P122" s="152">
        <v>78</v>
      </c>
      <c r="Q122" s="158">
        <v>15150.74</v>
      </c>
      <c r="R122" s="131">
        <v>1181757.72</v>
      </c>
    </row>
    <row r="123" spans="1:18" ht="15" x14ac:dyDescent="0.25">
      <c r="A123" s="123" t="s">
        <v>130</v>
      </c>
      <c r="B123" s="123">
        <v>12</v>
      </c>
      <c r="C123" s="125">
        <v>85</v>
      </c>
      <c r="D123" s="125">
        <v>4046541</v>
      </c>
      <c r="E123" s="125">
        <v>41</v>
      </c>
      <c r="F123" s="125">
        <v>1955085</v>
      </c>
      <c r="G123" s="125">
        <v>33</v>
      </c>
      <c r="H123" s="125">
        <f t="shared" si="2"/>
        <v>1905278</v>
      </c>
      <c r="I123" s="125">
        <v>93</v>
      </c>
      <c r="J123" s="125">
        <v>4096348</v>
      </c>
      <c r="K123" s="150">
        <f t="shared" si="3"/>
        <v>44046.752688172041</v>
      </c>
      <c r="L123" s="151">
        <v>121</v>
      </c>
      <c r="M123" s="152" t="s">
        <v>484</v>
      </c>
      <c r="N123" s="152" t="s">
        <v>95</v>
      </c>
      <c r="O123" s="152" t="s">
        <v>451</v>
      </c>
      <c r="P123" s="152">
        <v>78</v>
      </c>
      <c r="Q123" s="158">
        <v>7791.36</v>
      </c>
      <c r="R123" s="131">
        <v>607726.07999999996</v>
      </c>
    </row>
    <row r="124" spans="1:18" ht="15" x14ac:dyDescent="0.25">
      <c r="A124" s="123" t="s">
        <v>131</v>
      </c>
      <c r="B124" s="123">
        <v>12</v>
      </c>
      <c r="C124" s="125">
        <v>70</v>
      </c>
      <c r="D124" s="125">
        <v>3488402</v>
      </c>
      <c r="E124" s="125">
        <v>16</v>
      </c>
      <c r="F124" s="125">
        <v>800000</v>
      </c>
      <c r="G124" s="125">
        <v>47</v>
      </c>
      <c r="H124" s="125">
        <f t="shared" si="2"/>
        <v>2493257</v>
      </c>
      <c r="I124" s="125">
        <v>39</v>
      </c>
      <c r="J124" s="125">
        <v>1795145</v>
      </c>
      <c r="K124" s="150">
        <f t="shared" si="3"/>
        <v>46029.358974358976</v>
      </c>
      <c r="L124" s="151">
        <v>122</v>
      </c>
      <c r="M124" s="152" t="s">
        <v>485</v>
      </c>
      <c r="N124" s="152" t="s">
        <v>88</v>
      </c>
      <c r="O124" s="152" t="s">
        <v>311</v>
      </c>
      <c r="P124" s="152">
        <v>548</v>
      </c>
      <c r="Q124" s="158">
        <v>19549.919999999998</v>
      </c>
      <c r="R124" s="131">
        <v>10713356.159999998</v>
      </c>
    </row>
    <row r="125" spans="1:18" ht="15" x14ac:dyDescent="0.25">
      <c r="A125" s="123" t="s">
        <v>132</v>
      </c>
      <c r="B125" s="123">
        <v>12</v>
      </c>
      <c r="C125" s="125">
        <v>98</v>
      </c>
      <c r="D125" s="125">
        <v>4356568</v>
      </c>
      <c r="E125" s="125">
        <v>255</v>
      </c>
      <c r="F125" s="125">
        <v>11333220</v>
      </c>
      <c r="G125" s="125">
        <v>296</v>
      </c>
      <c r="H125" s="125">
        <f t="shared" si="2"/>
        <v>13333180</v>
      </c>
      <c r="I125" s="125">
        <v>57</v>
      </c>
      <c r="J125" s="125">
        <v>2356608</v>
      </c>
      <c r="K125" s="150">
        <f t="shared" si="3"/>
        <v>41344</v>
      </c>
      <c r="L125" s="151">
        <v>123</v>
      </c>
      <c r="M125" s="152" t="s">
        <v>486</v>
      </c>
      <c r="N125" s="152" t="s">
        <v>487</v>
      </c>
      <c r="O125" s="152" t="s">
        <v>311</v>
      </c>
      <c r="P125" s="152"/>
      <c r="Q125" s="158"/>
      <c r="R125" s="131">
        <v>0</v>
      </c>
    </row>
    <row r="126" spans="1:18" ht="15" x14ac:dyDescent="0.25">
      <c r="A126" s="123" t="s">
        <v>133</v>
      </c>
      <c r="B126" s="123">
        <v>12</v>
      </c>
      <c r="C126" s="125">
        <v>119</v>
      </c>
      <c r="D126" s="125">
        <v>4585298</v>
      </c>
      <c r="E126" s="125">
        <v>66</v>
      </c>
      <c r="F126" s="125">
        <v>2609254</v>
      </c>
      <c r="G126" s="125">
        <v>146</v>
      </c>
      <c r="H126" s="125">
        <f t="shared" si="2"/>
        <v>5833421</v>
      </c>
      <c r="I126" s="125">
        <v>39</v>
      </c>
      <c r="J126" s="125">
        <v>1361131</v>
      </c>
      <c r="K126" s="150">
        <f t="shared" si="3"/>
        <v>34900.794871794875</v>
      </c>
      <c r="L126" s="151">
        <v>124</v>
      </c>
      <c r="M126" s="152" t="s">
        <v>488</v>
      </c>
      <c r="N126" s="152" t="s">
        <v>96</v>
      </c>
      <c r="O126" s="152" t="s">
        <v>395</v>
      </c>
      <c r="P126" s="152">
        <v>30</v>
      </c>
      <c r="Q126" s="158">
        <v>108650.74</v>
      </c>
      <c r="R126" s="131">
        <v>3259522.2</v>
      </c>
    </row>
    <row r="127" spans="1:18" ht="15" x14ac:dyDescent="0.25">
      <c r="A127" s="123" t="s">
        <v>134</v>
      </c>
      <c r="B127" s="123">
        <v>12</v>
      </c>
      <c r="C127" s="125">
        <v>15</v>
      </c>
      <c r="D127" s="125">
        <v>431794</v>
      </c>
      <c r="E127" s="125">
        <v>0</v>
      </c>
      <c r="F127" s="125">
        <v>0</v>
      </c>
      <c r="G127" s="125">
        <v>0</v>
      </c>
      <c r="H127" s="125">
        <f t="shared" si="2"/>
        <v>0</v>
      </c>
      <c r="I127" s="125">
        <v>15</v>
      </c>
      <c r="J127" s="125">
        <v>431794</v>
      </c>
      <c r="K127" s="150">
        <f t="shared" si="3"/>
        <v>28786.266666666666</v>
      </c>
      <c r="L127" s="151">
        <v>125</v>
      </c>
      <c r="M127" s="152" t="s">
        <v>489</v>
      </c>
      <c r="N127" s="152" t="s">
        <v>490</v>
      </c>
      <c r="O127" s="152" t="s">
        <v>393</v>
      </c>
      <c r="P127" s="152"/>
      <c r="Q127" s="158"/>
      <c r="R127" s="131">
        <v>0</v>
      </c>
    </row>
    <row r="128" spans="1:18" ht="15" x14ac:dyDescent="0.25">
      <c r="A128" s="123" t="s">
        <v>135</v>
      </c>
      <c r="B128" s="123">
        <v>12</v>
      </c>
      <c r="C128" s="125">
        <v>155</v>
      </c>
      <c r="D128" s="125">
        <v>28475986</v>
      </c>
      <c r="E128" s="125">
        <v>770</v>
      </c>
      <c r="F128" s="125">
        <v>137740260</v>
      </c>
      <c r="G128" s="125">
        <v>15</v>
      </c>
      <c r="H128" s="125">
        <f t="shared" si="2"/>
        <v>2695399</v>
      </c>
      <c r="I128" s="125">
        <v>910</v>
      </c>
      <c r="J128" s="125">
        <v>163520847</v>
      </c>
      <c r="K128" s="150">
        <f t="shared" si="3"/>
        <v>179693.23846153845</v>
      </c>
      <c r="L128" s="151">
        <v>126</v>
      </c>
      <c r="M128" s="152" t="s">
        <v>491</v>
      </c>
      <c r="N128" s="152" t="s">
        <v>97</v>
      </c>
      <c r="O128" s="152" t="s">
        <v>327</v>
      </c>
      <c r="P128" s="152">
        <v>42800</v>
      </c>
      <c r="Q128" s="158">
        <v>459.08</v>
      </c>
      <c r="R128" s="131">
        <v>19648624</v>
      </c>
    </row>
    <row r="129" spans="1:18" ht="15" x14ac:dyDescent="0.25">
      <c r="A129" s="123" t="s">
        <v>136</v>
      </c>
      <c r="B129" s="123">
        <v>12</v>
      </c>
      <c r="C129" s="125">
        <v>4853</v>
      </c>
      <c r="D129" s="125">
        <v>73565457</v>
      </c>
      <c r="E129" s="125">
        <v>5768</v>
      </c>
      <c r="F129" s="125">
        <v>86167920</v>
      </c>
      <c r="G129" s="125">
        <v>5227</v>
      </c>
      <c r="H129" s="125">
        <f t="shared" si="2"/>
        <v>82686574</v>
      </c>
      <c r="I129" s="125">
        <v>5394</v>
      </c>
      <c r="J129" s="125">
        <v>77046803</v>
      </c>
      <c r="K129" s="150">
        <f t="shared" si="3"/>
        <v>14283.79736744531</v>
      </c>
      <c r="L129" s="151">
        <v>127</v>
      </c>
      <c r="M129" s="152" t="s">
        <v>492</v>
      </c>
      <c r="N129" s="152" t="s">
        <v>98</v>
      </c>
      <c r="O129" s="152" t="s">
        <v>393</v>
      </c>
      <c r="P129" s="152">
        <v>738</v>
      </c>
      <c r="Q129" s="158">
        <v>9869.86</v>
      </c>
      <c r="R129" s="131">
        <v>7283956.6800000006</v>
      </c>
    </row>
    <row r="130" spans="1:18" ht="15" x14ac:dyDescent="0.25">
      <c r="A130" s="123" t="s">
        <v>137</v>
      </c>
      <c r="B130" s="123">
        <v>12</v>
      </c>
      <c r="C130" s="125">
        <v>144</v>
      </c>
      <c r="D130" s="125">
        <v>22621104</v>
      </c>
      <c r="E130" s="125">
        <v>0</v>
      </c>
      <c r="F130" s="125">
        <v>0</v>
      </c>
      <c r="G130" s="125">
        <v>0</v>
      </c>
      <c r="H130" s="125">
        <f t="shared" si="2"/>
        <v>0</v>
      </c>
      <c r="I130" s="125">
        <v>144</v>
      </c>
      <c r="J130" s="125">
        <v>22621104</v>
      </c>
      <c r="K130" s="150">
        <f t="shared" si="3"/>
        <v>157091</v>
      </c>
      <c r="L130" s="151">
        <v>128</v>
      </c>
      <c r="M130" s="152" t="s">
        <v>493</v>
      </c>
      <c r="N130" s="152" t="s">
        <v>99</v>
      </c>
      <c r="O130" s="152" t="s">
        <v>393</v>
      </c>
      <c r="P130" s="152">
        <v>172</v>
      </c>
      <c r="Q130" s="158">
        <v>5800.74</v>
      </c>
      <c r="R130" s="131">
        <v>997727.27999999991</v>
      </c>
    </row>
    <row r="131" spans="1:18" ht="15" x14ac:dyDescent="0.25">
      <c r="A131" s="123" t="s">
        <v>138</v>
      </c>
      <c r="B131" s="123">
        <v>12</v>
      </c>
      <c r="C131" s="125">
        <v>149</v>
      </c>
      <c r="D131" s="125">
        <v>22621104</v>
      </c>
      <c r="E131" s="125">
        <v>0</v>
      </c>
      <c r="F131" s="125">
        <v>0</v>
      </c>
      <c r="G131" s="125">
        <v>0</v>
      </c>
      <c r="H131" s="125">
        <f t="shared" si="2"/>
        <v>0</v>
      </c>
      <c r="I131" s="125">
        <v>149</v>
      </c>
      <c r="J131" s="125">
        <v>22621104</v>
      </c>
      <c r="K131" s="150">
        <f t="shared" si="3"/>
        <v>151819.48993288592</v>
      </c>
      <c r="L131" s="151">
        <v>129</v>
      </c>
      <c r="M131" s="152" t="s">
        <v>494</v>
      </c>
      <c r="N131" s="152" t="s">
        <v>100</v>
      </c>
      <c r="O131" s="152" t="s">
        <v>393</v>
      </c>
      <c r="P131" s="152">
        <v>1923</v>
      </c>
      <c r="Q131" s="158">
        <v>49780.34</v>
      </c>
      <c r="R131" s="131">
        <v>95727593.819999993</v>
      </c>
    </row>
    <row r="132" spans="1:18" ht="15" x14ac:dyDescent="0.25">
      <c r="A132" s="123" t="s">
        <v>139</v>
      </c>
      <c r="B132" s="123">
        <v>12</v>
      </c>
      <c r="C132" s="125">
        <v>188</v>
      </c>
      <c r="D132" s="125">
        <v>34137846</v>
      </c>
      <c r="E132" s="125">
        <v>0</v>
      </c>
      <c r="F132" s="125">
        <v>0</v>
      </c>
      <c r="G132" s="125">
        <v>0</v>
      </c>
      <c r="H132" s="125">
        <f t="shared" si="2"/>
        <v>0</v>
      </c>
      <c r="I132" s="125">
        <v>188</v>
      </c>
      <c r="J132" s="125">
        <v>34137846</v>
      </c>
      <c r="K132" s="150">
        <f t="shared" si="3"/>
        <v>181584.28723404257</v>
      </c>
      <c r="L132" s="151">
        <v>130</v>
      </c>
      <c r="M132" s="152" t="s">
        <v>495</v>
      </c>
      <c r="N132" s="152" t="s">
        <v>496</v>
      </c>
      <c r="O132" s="152" t="s">
        <v>393</v>
      </c>
      <c r="P132" s="152">
        <v>144</v>
      </c>
      <c r="Q132" s="158">
        <v>6925.54</v>
      </c>
      <c r="R132" s="131">
        <v>997277.76</v>
      </c>
    </row>
    <row r="133" spans="1:18" ht="15" x14ac:dyDescent="0.25">
      <c r="A133" s="123" t="s">
        <v>140</v>
      </c>
      <c r="B133" s="123">
        <v>12</v>
      </c>
      <c r="C133" s="125">
        <v>1326</v>
      </c>
      <c r="D133" s="125">
        <v>245672490</v>
      </c>
      <c r="E133" s="125">
        <v>1500</v>
      </c>
      <c r="F133" s="125">
        <v>279622500</v>
      </c>
      <c r="G133" s="125">
        <v>1498</v>
      </c>
      <c r="H133" s="125">
        <f t="shared" ref="H133:H196" si="4">D133+F133-J133</f>
        <v>278447238</v>
      </c>
      <c r="I133" s="125">
        <v>1328</v>
      </c>
      <c r="J133" s="125">
        <v>246847752</v>
      </c>
      <c r="K133" s="150">
        <f t="shared" si="3"/>
        <v>185879.3313253012</v>
      </c>
      <c r="L133" s="151">
        <v>131</v>
      </c>
      <c r="M133" s="152" t="s">
        <v>497</v>
      </c>
      <c r="N133" s="152" t="s">
        <v>101</v>
      </c>
      <c r="O133" s="152" t="s">
        <v>393</v>
      </c>
      <c r="P133" s="152">
        <v>4800</v>
      </c>
      <c r="Q133" s="158">
        <v>9090.07</v>
      </c>
      <c r="R133" s="131">
        <v>43632336</v>
      </c>
    </row>
    <row r="134" spans="1:18" ht="15" x14ac:dyDescent="0.25">
      <c r="A134" s="123" t="s">
        <v>141</v>
      </c>
      <c r="B134" s="123">
        <v>12</v>
      </c>
      <c r="C134" s="125">
        <v>2712</v>
      </c>
      <c r="D134" s="125">
        <v>404819278</v>
      </c>
      <c r="E134" s="125">
        <v>2350</v>
      </c>
      <c r="F134" s="125">
        <v>438075250</v>
      </c>
      <c r="G134" s="125">
        <v>3044</v>
      </c>
      <c r="H134" s="125">
        <f t="shared" si="4"/>
        <v>466755000</v>
      </c>
      <c r="I134" s="125">
        <v>2018</v>
      </c>
      <c r="J134" s="125">
        <v>376139528</v>
      </c>
      <c r="K134" s="150">
        <f t="shared" ref="K134:K197" si="5">J134/I134</f>
        <v>186392.2338949455</v>
      </c>
      <c r="L134" s="151">
        <v>132</v>
      </c>
      <c r="M134" s="152" t="s">
        <v>498</v>
      </c>
      <c r="N134" s="152" t="s">
        <v>102</v>
      </c>
      <c r="O134" s="152" t="s">
        <v>393</v>
      </c>
      <c r="P134" s="152">
        <v>489</v>
      </c>
      <c r="Q134" s="158">
        <v>22942.1</v>
      </c>
      <c r="R134" s="131">
        <v>11218686.899999999</v>
      </c>
    </row>
    <row r="135" spans="1:18" ht="15" x14ac:dyDescent="0.25">
      <c r="A135" s="123" t="s">
        <v>142</v>
      </c>
      <c r="B135" s="123">
        <v>12</v>
      </c>
      <c r="C135" s="125">
        <v>1150</v>
      </c>
      <c r="D135" s="125">
        <v>211217050</v>
      </c>
      <c r="E135" s="125">
        <v>0</v>
      </c>
      <c r="F135" s="125">
        <v>0</v>
      </c>
      <c r="G135" s="125">
        <v>0</v>
      </c>
      <c r="H135" s="125">
        <f t="shared" si="4"/>
        <v>0</v>
      </c>
      <c r="I135" s="125">
        <v>1150</v>
      </c>
      <c r="J135" s="125">
        <v>211217050</v>
      </c>
      <c r="K135" s="150">
        <f t="shared" si="5"/>
        <v>183667</v>
      </c>
      <c r="L135" s="151">
        <v>133</v>
      </c>
      <c r="M135" s="152" t="s">
        <v>499</v>
      </c>
      <c r="N135" s="152" t="s">
        <v>103</v>
      </c>
      <c r="O135" s="152" t="s">
        <v>393</v>
      </c>
      <c r="P135" s="152">
        <v>1236</v>
      </c>
      <c r="Q135" s="158">
        <v>12986.22</v>
      </c>
      <c r="R135" s="131">
        <v>16050967.92</v>
      </c>
    </row>
    <row r="136" spans="1:18" ht="15" x14ac:dyDescent="0.25">
      <c r="A136" s="123" t="s">
        <v>143</v>
      </c>
      <c r="B136" s="123">
        <v>12</v>
      </c>
      <c r="C136" s="125">
        <v>0</v>
      </c>
      <c r="D136" s="125">
        <v>0</v>
      </c>
      <c r="E136" s="125">
        <v>0</v>
      </c>
      <c r="F136" s="125">
        <v>0</v>
      </c>
      <c r="G136" s="125">
        <v>0</v>
      </c>
      <c r="H136" s="125">
        <f t="shared" si="4"/>
        <v>0</v>
      </c>
      <c r="I136" s="125">
        <v>0</v>
      </c>
      <c r="J136" s="125">
        <v>0</v>
      </c>
      <c r="K136" s="150"/>
      <c r="L136" s="151">
        <v>134</v>
      </c>
      <c r="M136" s="152" t="s">
        <v>500</v>
      </c>
      <c r="N136" s="152" t="s">
        <v>104</v>
      </c>
      <c r="O136" s="152" t="s">
        <v>393</v>
      </c>
      <c r="P136" s="152">
        <v>285</v>
      </c>
      <c r="Q136" s="158">
        <v>18180.14</v>
      </c>
      <c r="R136" s="131">
        <v>5181339.8999999994</v>
      </c>
    </row>
    <row r="137" spans="1:18" ht="15" x14ac:dyDescent="0.25">
      <c r="A137" s="123" t="s">
        <v>144</v>
      </c>
      <c r="B137" s="123">
        <v>12</v>
      </c>
      <c r="C137" s="125">
        <v>898</v>
      </c>
      <c r="D137" s="125">
        <v>164227145</v>
      </c>
      <c r="E137" s="125">
        <v>455</v>
      </c>
      <c r="F137" s="125">
        <v>83865600</v>
      </c>
      <c r="G137" s="125">
        <v>770</v>
      </c>
      <c r="H137" s="125">
        <f t="shared" si="4"/>
        <v>141190993</v>
      </c>
      <c r="I137" s="125">
        <v>583</v>
      </c>
      <c r="J137" s="125">
        <v>106901752</v>
      </c>
      <c r="K137" s="150">
        <f t="shared" si="5"/>
        <v>183364.92624356775</v>
      </c>
      <c r="L137" s="151">
        <v>135</v>
      </c>
      <c r="M137" s="152" t="s">
        <v>501</v>
      </c>
      <c r="N137" s="152" t="s">
        <v>105</v>
      </c>
      <c r="O137" s="152" t="s">
        <v>393</v>
      </c>
      <c r="P137" s="152">
        <v>30</v>
      </c>
      <c r="Q137" s="158">
        <v>49780.34</v>
      </c>
      <c r="R137" s="131">
        <v>1493410.2</v>
      </c>
    </row>
    <row r="138" spans="1:18" ht="15" x14ac:dyDescent="0.25">
      <c r="A138" s="123" t="s">
        <v>145</v>
      </c>
      <c r="B138" s="123">
        <v>12</v>
      </c>
      <c r="C138" s="125">
        <v>13</v>
      </c>
      <c r="D138" s="125">
        <v>2323520</v>
      </c>
      <c r="E138" s="125">
        <v>67</v>
      </c>
      <c r="F138" s="125">
        <v>11975065</v>
      </c>
      <c r="G138" s="125">
        <v>80</v>
      </c>
      <c r="H138" s="125">
        <f t="shared" si="4"/>
        <v>14298585</v>
      </c>
      <c r="I138" s="125">
        <v>0</v>
      </c>
      <c r="J138" s="125">
        <v>0</v>
      </c>
      <c r="K138" s="150"/>
      <c r="L138" s="151">
        <v>136</v>
      </c>
      <c r="M138" s="152" t="s">
        <v>502</v>
      </c>
      <c r="N138" s="152" t="s">
        <v>106</v>
      </c>
      <c r="O138" s="152" t="s">
        <v>393</v>
      </c>
      <c r="P138" s="152">
        <v>749</v>
      </c>
      <c r="Q138" s="158">
        <v>9090.07</v>
      </c>
      <c r="R138" s="131">
        <v>6808462.4299999997</v>
      </c>
    </row>
    <row r="139" spans="1:18" ht="15" x14ac:dyDescent="0.25">
      <c r="A139" s="123" t="s">
        <v>146</v>
      </c>
      <c r="B139" s="123">
        <v>12</v>
      </c>
      <c r="C139" s="125">
        <v>427</v>
      </c>
      <c r="D139" s="125">
        <v>83128984</v>
      </c>
      <c r="E139" s="125">
        <v>690</v>
      </c>
      <c r="F139" s="125">
        <v>132239190</v>
      </c>
      <c r="G139" s="125">
        <v>991</v>
      </c>
      <c r="H139" s="125">
        <f t="shared" si="4"/>
        <v>191147067</v>
      </c>
      <c r="I139" s="125">
        <v>126</v>
      </c>
      <c r="J139" s="125">
        <v>24221107</v>
      </c>
      <c r="K139" s="150">
        <f t="shared" si="5"/>
        <v>192231.00793650793</v>
      </c>
      <c r="L139" s="151">
        <v>137</v>
      </c>
      <c r="M139" s="152" t="s">
        <v>503</v>
      </c>
      <c r="N139" s="152" t="s">
        <v>112</v>
      </c>
      <c r="O139" s="152" t="s">
        <v>327</v>
      </c>
      <c r="P139" s="152">
        <v>870</v>
      </c>
      <c r="Q139" s="158">
        <v>7618.38</v>
      </c>
      <c r="R139" s="131">
        <v>6627990.6000000006</v>
      </c>
    </row>
    <row r="140" spans="1:18" ht="15" x14ac:dyDescent="0.25">
      <c r="A140" s="123" t="s">
        <v>147</v>
      </c>
      <c r="B140" s="123">
        <v>12</v>
      </c>
      <c r="C140" s="125">
        <v>888</v>
      </c>
      <c r="D140" s="125">
        <v>82354219</v>
      </c>
      <c r="E140" s="125">
        <v>7974</v>
      </c>
      <c r="F140" s="125">
        <v>36748469.644907288</v>
      </c>
      <c r="G140" s="125">
        <v>988</v>
      </c>
      <c r="H140" s="125">
        <f t="shared" si="4"/>
        <v>82815072.644907296</v>
      </c>
      <c r="I140" s="125">
        <v>7874</v>
      </c>
      <c r="J140" s="125">
        <v>36287616</v>
      </c>
      <c r="K140" s="150">
        <f t="shared" si="5"/>
        <v>4608.536449072898</v>
      </c>
      <c r="L140" s="151">
        <v>138</v>
      </c>
      <c r="M140" s="152" t="s">
        <v>504</v>
      </c>
      <c r="N140" s="152" t="s">
        <v>111</v>
      </c>
      <c r="O140" s="152" t="s">
        <v>327</v>
      </c>
      <c r="P140" s="152">
        <v>1460</v>
      </c>
      <c r="Q140" s="158">
        <v>7618.38</v>
      </c>
      <c r="R140" s="131">
        <v>11122834.800000001</v>
      </c>
    </row>
    <row r="141" spans="1:18" ht="15" x14ac:dyDescent="0.25">
      <c r="A141" s="123" t="s">
        <v>148</v>
      </c>
      <c r="B141" s="123">
        <v>12</v>
      </c>
      <c r="C141" s="125">
        <v>0</v>
      </c>
      <c r="D141" s="125">
        <v>190478.48955722639</v>
      </c>
      <c r="E141" s="125"/>
      <c r="F141" s="125">
        <v>7004.2614210403481</v>
      </c>
      <c r="G141" s="125">
        <v>0</v>
      </c>
      <c r="H141" s="125">
        <f t="shared" si="4"/>
        <v>197482.75097826673</v>
      </c>
      <c r="I141" s="125">
        <v>0</v>
      </c>
      <c r="J141" s="125">
        <v>0</v>
      </c>
      <c r="K141" s="150"/>
      <c r="L141" s="151">
        <v>139</v>
      </c>
      <c r="M141" s="152" t="s">
        <v>505</v>
      </c>
      <c r="N141" s="152" t="s">
        <v>114</v>
      </c>
      <c r="O141" s="152" t="s">
        <v>393</v>
      </c>
      <c r="P141" s="152">
        <v>261</v>
      </c>
      <c r="Q141" s="158">
        <v>18180.14</v>
      </c>
      <c r="R141" s="131">
        <v>4745016.54</v>
      </c>
    </row>
    <row r="142" spans="1:18" ht="15" x14ac:dyDescent="0.25">
      <c r="A142" s="123" t="s">
        <v>149</v>
      </c>
      <c r="B142" s="123">
        <v>12</v>
      </c>
      <c r="C142" s="125">
        <v>1197</v>
      </c>
      <c r="D142" s="125">
        <v>228002752</v>
      </c>
      <c r="E142" s="125">
        <v>13544.218197656777</v>
      </c>
      <c r="F142" s="125">
        <v>94867245</v>
      </c>
      <c r="G142" s="125">
        <v>0.21819765677719261</v>
      </c>
      <c r="H142" s="125">
        <f t="shared" si="4"/>
        <v>87014609</v>
      </c>
      <c r="I142" s="125">
        <v>14741</v>
      </c>
      <c r="J142" s="125">
        <v>235855388</v>
      </c>
      <c r="K142" s="150">
        <f t="shared" si="5"/>
        <v>15999.958483142256</v>
      </c>
      <c r="L142" s="151">
        <v>140</v>
      </c>
      <c r="M142" s="152" t="s">
        <v>506</v>
      </c>
      <c r="N142" s="152" t="s">
        <v>113</v>
      </c>
      <c r="O142" s="152" t="s">
        <v>393</v>
      </c>
      <c r="P142" s="152">
        <v>312</v>
      </c>
      <c r="Q142" s="158">
        <v>15583.64</v>
      </c>
      <c r="R142" s="131">
        <v>4862095.68</v>
      </c>
    </row>
    <row r="143" spans="1:18" ht="15" x14ac:dyDescent="0.25">
      <c r="A143" s="123" t="s">
        <v>150</v>
      </c>
      <c r="B143" s="123">
        <v>12</v>
      </c>
      <c r="C143" s="125">
        <v>0</v>
      </c>
      <c r="D143" s="125">
        <v>0</v>
      </c>
      <c r="E143" s="125">
        <v>0</v>
      </c>
      <c r="F143" s="125">
        <v>0</v>
      </c>
      <c r="G143" s="125">
        <v>0</v>
      </c>
      <c r="H143" s="125">
        <f t="shared" si="4"/>
        <v>0</v>
      </c>
      <c r="I143" s="125">
        <v>0</v>
      </c>
      <c r="J143" s="125">
        <v>0</v>
      </c>
      <c r="K143" s="150"/>
      <c r="L143" s="151">
        <v>141</v>
      </c>
      <c r="M143" s="152" t="s">
        <v>507</v>
      </c>
      <c r="N143" s="152" t="s">
        <v>115</v>
      </c>
      <c r="O143" s="152" t="s">
        <v>327</v>
      </c>
      <c r="P143" s="152">
        <v>1947</v>
      </c>
      <c r="Q143" s="158">
        <v>6059.74</v>
      </c>
      <c r="R143" s="131">
        <v>11798313.779999999</v>
      </c>
    </row>
    <row r="144" spans="1:18" ht="15" x14ac:dyDescent="0.25">
      <c r="A144" s="123" t="s">
        <v>151</v>
      </c>
      <c r="B144" s="123">
        <v>12</v>
      </c>
      <c r="C144" s="125">
        <v>319</v>
      </c>
      <c r="D144" s="125">
        <v>60576489</v>
      </c>
      <c r="E144" s="125">
        <v>0</v>
      </c>
      <c r="F144" s="125">
        <v>0</v>
      </c>
      <c r="G144" s="125">
        <v>0</v>
      </c>
      <c r="H144" s="125">
        <f t="shared" si="4"/>
        <v>0</v>
      </c>
      <c r="I144" s="125">
        <v>319</v>
      </c>
      <c r="J144" s="125">
        <v>60576489</v>
      </c>
      <c r="K144" s="150">
        <f t="shared" si="5"/>
        <v>189894.9498432602</v>
      </c>
      <c r="L144" s="151">
        <v>142</v>
      </c>
      <c r="M144" s="152" t="s">
        <v>508</v>
      </c>
      <c r="N144" s="152" t="s">
        <v>116</v>
      </c>
      <c r="O144" s="152" t="s">
        <v>393</v>
      </c>
      <c r="P144" s="152">
        <v>1969</v>
      </c>
      <c r="Q144" s="158">
        <v>19045.95</v>
      </c>
      <c r="R144" s="131">
        <v>37501475.550000004</v>
      </c>
    </row>
    <row r="145" spans="1:18" ht="15" x14ac:dyDescent="0.25">
      <c r="A145" s="123" t="s">
        <v>152</v>
      </c>
      <c r="B145" s="123">
        <v>12</v>
      </c>
      <c r="C145" s="125">
        <v>0</v>
      </c>
      <c r="D145" s="125">
        <v>0</v>
      </c>
      <c r="E145" s="125">
        <v>0</v>
      </c>
      <c r="F145" s="125">
        <v>0</v>
      </c>
      <c r="G145" s="125">
        <v>0</v>
      </c>
      <c r="H145" s="125">
        <f t="shared" si="4"/>
        <v>0</v>
      </c>
      <c r="I145" s="125">
        <v>0</v>
      </c>
      <c r="J145" s="125">
        <v>0</v>
      </c>
      <c r="K145" s="150"/>
      <c r="L145" s="151">
        <v>143</v>
      </c>
      <c r="M145" s="152" t="s">
        <v>509</v>
      </c>
      <c r="N145" s="152" t="s">
        <v>117</v>
      </c>
      <c r="O145" s="152" t="s">
        <v>393</v>
      </c>
      <c r="P145" s="152">
        <v>470</v>
      </c>
      <c r="Q145" s="158">
        <v>16449.46</v>
      </c>
      <c r="R145" s="131">
        <v>7731246.1999999993</v>
      </c>
    </row>
    <row r="146" spans="1:18" ht="15" x14ac:dyDescent="0.25">
      <c r="A146" s="123" t="s">
        <v>153</v>
      </c>
      <c r="B146" s="123">
        <v>12</v>
      </c>
      <c r="C146" s="125">
        <v>0</v>
      </c>
      <c r="D146" s="125">
        <v>0</v>
      </c>
      <c r="E146" s="125">
        <v>0</v>
      </c>
      <c r="F146" s="125">
        <v>0</v>
      </c>
      <c r="G146" s="125">
        <v>0</v>
      </c>
      <c r="H146" s="125">
        <f t="shared" si="4"/>
        <v>0</v>
      </c>
      <c r="I146" s="125">
        <v>0</v>
      </c>
      <c r="J146" s="125">
        <v>0</v>
      </c>
      <c r="K146" s="150"/>
      <c r="L146" s="151">
        <v>144</v>
      </c>
      <c r="M146" s="152" t="s">
        <v>510</v>
      </c>
      <c r="N146" s="152" t="s">
        <v>118</v>
      </c>
      <c r="O146" s="152" t="s">
        <v>395</v>
      </c>
      <c r="P146" s="152">
        <v>288</v>
      </c>
      <c r="Q146" s="158">
        <v>14284.93</v>
      </c>
      <c r="R146" s="131">
        <v>4114059.84</v>
      </c>
    </row>
    <row r="147" spans="1:18" ht="15" x14ac:dyDescent="0.25">
      <c r="A147" s="123" t="s">
        <v>154</v>
      </c>
      <c r="B147" s="123">
        <v>12</v>
      </c>
      <c r="C147" s="125">
        <v>50</v>
      </c>
      <c r="D147" s="125">
        <v>11656130</v>
      </c>
      <c r="E147" s="125">
        <v>45</v>
      </c>
      <c r="F147" s="125">
        <v>10556505</v>
      </c>
      <c r="G147" s="125">
        <v>25</v>
      </c>
      <c r="H147" s="125">
        <f t="shared" si="4"/>
        <v>5845430</v>
      </c>
      <c r="I147" s="125">
        <v>70</v>
      </c>
      <c r="J147" s="125">
        <v>16367205</v>
      </c>
      <c r="K147" s="150">
        <f t="shared" si="5"/>
        <v>233817.21428571429</v>
      </c>
      <c r="L147" s="151">
        <v>145</v>
      </c>
      <c r="M147" s="152" t="s">
        <v>511</v>
      </c>
      <c r="N147" s="152" t="s">
        <v>119</v>
      </c>
      <c r="O147" s="152" t="s">
        <v>327</v>
      </c>
      <c r="P147" s="152">
        <v>260</v>
      </c>
      <c r="Q147" s="158">
        <v>21643.38</v>
      </c>
      <c r="R147" s="131">
        <v>5627278.7999999998</v>
      </c>
    </row>
    <row r="148" spans="1:18" ht="15" x14ac:dyDescent="0.25">
      <c r="A148" s="123" t="s">
        <v>155</v>
      </c>
      <c r="B148" s="123">
        <v>12</v>
      </c>
      <c r="C148" s="125">
        <v>0</v>
      </c>
      <c r="D148" s="125">
        <v>0</v>
      </c>
      <c r="E148" s="125">
        <v>24</v>
      </c>
      <c r="F148" s="125">
        <v>6959131</v>
      </c>
      <c r="G148" s="125">
        <v>24</v>
      </c>
      <c r="H148" s="125">
        <f t="shared" si="4"/>
        <v>6959131</v>
      </c>
      <c r="I148" s="125">
        <v>0</v>
      </c>
      <c r="J148" s="125">
        <v>0</v>
      </c>
      <c r="K148" s="150"/>
      <c r="L148" s="151">
        <v>146</v>
      </c>
      <c r="M148" s="152" t="s">
        <v>512</v>
      </c>
      <c r="N148" s="152" t="s">
        <v>120</v>
      </c>
      <c r="O148" s="152" t="s">
        <v>327</v>
      </c>
      <c r="P148" s="152">
        <v>80</v>
      </c>
      <c r="Q148" s="158">
        <v>20777.57</v>
      </c>
      <c r="R148" s="131">
        <v>1662205.6</v>
      </c>
    </row>
    <row r="149" spans="1:18" ht="15" x14ac:dyDescent="0.25">
      <c r="A149" s="123" t="s">
        <v>156</v>
      </c>
      <c r="B149" s="123">
        <v>12</v>
      </c>
      <c r="C149" s="125">
        <v>265</v>
      </c>
      <c r="D149" s="125">
        <v>51536190</v>
      </c>
      <c r="E149" s="125">
        <v>20</v>
      </c>
      <c r="F149" s="125">
        <v>4691780</v>
      </c>
      <c r="G149" s="125">
        <v>170</v>
      </c>
      <c r="H149" s="125">
        <f t="shared" si="4"/>
        <v>29199086</v>
      </c>
      <c r="I149" s="125">
        <v>115</v>
      </c>
      <c r="J149" s="125">
        <v>27028884</v>
      </c>
      <c r="K149" s="150">
        <f t="shared" si="5"/>
        <v>235033.77391304346</v>
      </c>
      <c r="L149" s="151">
        <v>147</v>
      </c>
      <c r="M149" s="152" t="s">
        <v>513</v>
      </c>
      <c r="N149" s="152" t="s">
        <v>121</v>
      </c>
      <c r="O149" s="152" t="s">
        <v>393</v>
      </c>
      <c r="P149" s="152">
        <v>2934</v>
      </c>
      <c r="Q149" s="158">
        <v>11254.6</v>
      </c>
      <c r="R149" s="131">
        <v>33020996.400000002</v>
      </c>
    </row>
    <row r="150" spans="1:18" ht="15" x14ac:dyDescent="0.25">
      <c r="A150" s="123" t="s">
        <v>157</v>
      </c>
      <c r="B150" s="123">
        <v>12</v>
      </c>
      <c r="C150" s="125">
        <v>100</v>
      </c>
      <c r="D150" s="125">
        <v>23336700</v>
      </c>
      <c r="E150" s="125">
        <v>45</v>
      </c>
      <c r="F150" s="125">
        <v>10556505</v>
      </c>
      <c r="G150" s="125">
        <v>45</v>
      </c>
      <c r="H150" s="125">
        <f t="shared" si="4"/>
        <v>10518581</v>
      </c>
      <c r="I150" s="125">
        <v>100</v>
      </c>
      <c r="J150" s="125">
        <v>23374624</v>
      </c>
      <c r="K150" s="150">
        <f t="shared" si="5"/>
        <v>233746.24</v>
      </c>
      <c r="L150" s="151">
        <v>148</v>
      </c>
      <c r="M150" s="152" t="s">
        <v>514</v>
      </c>
      <c r="N150" s="152" t="s">
        <v>122</v>
      </c>
      <c r="O150" s="152" t="s">
        <v>327</v>
      </c>
      <c r="P150" s="152">
        <v>163</v>
      </c>
      <c r="Q150" s="158">
        <v>8138.24</v>
      </c>
      <c r="R150" s="131">
        <v>1326533.1199999999</v>
      </c>
    </row>
    <row r="151" spans="1:18" ht="15" x14ac:dyDescent="0.25">
      <c r="A151" s="123" t="s">
        <v>158</v>
      </c>
      <c r="B151" s="123">
        <v>12</v>
      </c>
      <c r="C151" s="125">
        <v>0</v>
      </c>
      <c r="D151" s="125">
        <v>0</v>
      </c>
      <c r="E151" s="125">
        <v>0</v>
      </c>
      <c r="F151" s="125">
        <v>0</v>
      </c>
      <c r="G151" s="125">
        <v>0</v>
      </c>
      <c r="H151" s="125">
        <f t="shared" si="4"/>
        <v>0</v>
      </c>
      <c r="I151" s="125">
        <v>0</v>
      </c>
      <c r="J151" s="125">
        <v>0</v>
      </c>
      <c r="K151" s="150"/>
      <c r="L151" s="151">
        <v>149</v>
      </c>
      <c r="M151" s="152" t="s">
        <v>515</v>
      </c>
      <c r="N151" s="152" t="s">
        <v>516</v>
      </c>
      <c r="O151" s="152" t="s">
        <v>451</v>
      </c>
      <c r="P151" s="152">
        <v>72</v>
      </c>
      <c r="Q151" s="158">
        <v>22509.19</v>
      </c>
      <c r="R151" s="131">
        <v>1620661.68</v>
      </c>
    </row>
    <row r="152" spans="1:18" ht="15" x14ac:dyDescent="0.25">
      <c r="A152" s="123" t="s">
        <v>159</v>
      </c>
      <c r="B152" s="123">
        <v>12</v>
      </c>
      <c r="C152" s="125">
        <v>81</v>
      </c>
      <c r="D152" s="125">
        <v>17829621</v>
      </c>
      <c r="E152" s="125">
        <v>0</v>
      </c>
      <c r="F152" s="125">
        <v>0</v>
      </c>
      <c r="G152" s="125">
        <v>32</v>
      </c>
      <c r="H152" s="125">
        <f t="shared" si="4"/>
        <v>4842658</v>
      </c>
      <c r="I152" s="125">
        <v>49</v>
      </c>
      <c r="J152" s="125">
        <v>12986963</v>
      </c>
      <c r="K152" s="150">
        <f t="shared" si="5"/>
        <v>265040.06122448982</v>
      </c>
      <c r="L152" s="151">
        <v>150</v>
      </c>
      <c r="M152" s="152" t="s">
        <v>517</v>
      </c>
      <c r="N152" s="152" t="s">
        <v>123</v>
      </c>
      <c r="O152" s="152" t="s">
        <v>393</v>
      </c>
      <c r="P152" s="152">
        <v>132</v>
      </c>
      <c r="Q152" s="158">
        <v>17315.259999999998</v>
      </c>
      <c r="R152" s="131">
        <v>2285614.3199999998</v>
      </c>
    </row>
    <row r="153" spans="1:18" ht="15" x14ac:dyDescent="0.25">
      <c r="A153" s="123" t="s">
        <v>160</v>
      </c>
      <c r="B153" s="123">
        <v>12</v>
      </c>
      <c r="C153" s="125">
        <v>46</v>
      </c>
      <c r="D153" s="125">
        <v>12161583</v>
      </c>
      <c r="E153" s="125">
        <v>0</v>
      </c>
      <c r="F153" s="125">
        <v>0</v>
      </c>
      <c r="G153" s="125">
        <v>42</v>
      </c>
      <c r="H153" s="125">
        <f t="shared" si="4"/>
        <v>11093015</v>
      </c>
      <c r="I153" s="125">
        <v>4</v>
      </c>
      <c r="J153" s="125">
        <v>1068568</v>
      </c>
      <c r="K153" s="150">
        <f t="shared" si="5"/>
        <v>267142</v>
      </c>
      <c r="L153" s="151">
        <v>151</v>
      </c>
      <c r="M153" s="152" t="s">
        <v>518</v>
      </c>
      <c r="N153" s="152" t="s">
        <v>519</v>
      </c>
      <c r="O153" s="152" t="s">
        <v>327</v>
      </c>
      <c r="P153" s="152"/>
      <c r="Q153" s="158"/>
      <c r="R153" s="131">
        <v>0</v>
      </c>
    </row>
    <row r="154" spans="1:18" ht="15" x14ac:dyDescent="0.25">
      <c r="A154" s="123" t="s">
        <v>161</v>
      </c>
      <c r="B154" s="123">
        <v>12</v>
      </c>
      <c r="C154" s="125">
        <v>110</v>
      </c>
      <c r="D154" s="125">
        <v>25633710</v>
      </c>
      <c r="E154" s="125">
        <v>50</v>
      </c>
      <c r="F154" s="125">
        <v>11729450</v>
      </c>
      <c r="G154" s="125">
        <v>49</v>
      </c>
      <c r="H154" s="125">
        <f t="shared" si="4"/>
        <v>11432029</v>
      </c>
      <c r="I154" s="125">
        <v>111</v>
      </c>
      <c r="J154" s="125">
        <v>25931131</v>
      </c>
      <c r="K154" s="150">
        <f t="shared" si="5"/>
        <v>233613.79279279278</v>
      </c>
      <c r="L154" s="151">
        <v>152</v>
      </c>
      <c r="M154" s="152" t="s">
        <v>520</v>
      </c>
      <c r="N154" s="152" t="s">
        <v>124</v>
      </c>
      <c r="O154" s="152" t="s">
        <v>393</v>
      </c>
      <c r="P154" s="152">
        <v>8</v>
      </c>
      <c r="Q154" s="158">
        <v>17315.259999999998</v>
      </c>
      <c r="R154" s="131">
        <v>138522.07999999999</v>
      </c>
    </row>
    <row r="155" spans="1:18" ht="15" x14ac:dyDescent="0.25">
      <c r="A155" s="123" t="s">
        <v>162</v>
      </c>
      <c r="B155" s="123">
        <v>12</v>
      </c>
      <c r="C155" s="125">
        <v>0</v>
      </c>
      <c r="D155" s="125">
        <v>0</v>
      </c>
      <c r="E155" s="125">
        <v>4</v>
      </c>
      <c r="F155" s="125">
        <v>1264364</v>
      </c>
      <c r="G155" s="125">
        <v>4</v>
      </c>
      <c r="H155" s="125">
        <f t="shared" si="4"/>
        <v>1264364</v>
      </c>
      <c r="I155" s="125">
        <v>0</v>
      </c>
      <c r="J155" s="125">
        <v>0</v>
      </c>
      <c r="K155" s="150"/>
      <c r="L155" s="151">
        <v>153</v>
      </c>
      <c r="M155" s="152" t="s">
        <v>521</v>
      </c>
      <c r="N155" s="152" t="s">
        <v>522</v>
      </c>
      <c r="O155" s="152" t="s">
        <v>327</v>
      </c>
      <c r="P155" s="152">
        <v>5934</v>
      </c>
      <c r="Q155" s="158">
        <v>8224.26</v>
      </c>
      <c r="R155" s="131">
        <v>48802758.840000004</v>
      </c>
    </row>
    <row r="156" spans="1:18" ht="15" x14ac:dyDescent="0.25">
      <c r="A156" s="123" t="s">
        <v>163</v>
      </c>
      <c r="B156" s="123">
        <v>12</v>
      </c>
      <c r="C156" s="125">
        <v>986</v>
      </c>
      <c r="D156" s="125">
        <v>312560997</v>
      </c>
      <c r="E156" s="125">
        <v>300</v>
      </c>
      <c r="F156" s="125">
        <v>95825400</v>
      </c>
      <c r="G156" s="125">
        <v>0</v>
      </c>
      <c r="H156" s="125">
        <f t="shared" si="4"/>
        <v>0</v>
      </c>
      <c r="I156" s="125">
        <v>1286</v>
      </c>
      <c r="J156" s="125">
        <v>408386397</v>
      </c>
      <c r="K156" s="150">
        <f t="shared" si="5"/>
        <v>317563.29471228615</v>
      </c>
      <c r="L156" s="151">
        <v>154</v>
      </c>
      <c r="M156" s="152" t="s">
        <v>523</v>
      </c>
      <c r="N156" s="152" t="s">
        <v>126</v>
      </c>
      <c r="O156" s="152" t="s">
        <v>327</v>
      </c>
      <c r="P156" s="152">
        <v>34074</v>
      </c>
      <c r="Q156" s="158">
        <v>5453.86</v>
      </c>
      <c r="R156" s="131">
        <v>185834825.63999999</v>
      </c>
    </row>
    <row r="157" spans="1:18" ht="15" x14ac:dyDescent="0.25">
      <c r="A157" s="123" t="s">
        <v>164</v>
      </c>
      <c r="B157" s="123">
        <v>12</v>
      </c>
      <c r="C157" s="125">
        <v>0</v>
      </c>
      <c r="D157" s="125">
        <v>0</v>
      </c>
      <c r="E157" s="125">
        <v>92</v>
      </c>
      <c r="F157" s="125">
        <v>13264312</v>
      </c>
      <c r="G157" s="125">
        <v>92</v>
      </c>
      <c r="H157" s="125">
        <f t="shared" si="4"/>
        <v>13264312</v>
      </c>
      <c r="I157" s="125">
        <v>0</v>
      </c>
      <c r="J157" s="125">
        <v>0</v>
      </c>
      <c r="K157" s="150"/>
      <c r="L157" s="151">
        <v>155</v>
      </c>
      <c r="M157" s="152" t="s">
        <v>524</v>
      </c>
      <c r="N157" s="152" t="s">
        <v>127</v>
      </c>
      <c r="O157" s="152" t="s">
        <v>327</v>
      </c>
      <c r="P157" s="152">
        <v>2463</v>
      </c>
      <c r="Q157" s="158">
        <v>5453.86</v>
      </c>
      <c r="R157" s="131">
        <v>13432857.18</v>
      </c>
    </row>
    <row r="158" spans="1:18" ht="15" x14ac:dyDescent="0.25">
      <c r="A158" s="123" t="s">
        <v>165</v>
      </c>
      <c r="B158" s="123">
        <v>12</v>
      </c>
      <c r="C158" s="125">
        <v>100</v>
      </c>
      <c r="D158" s="125">
        <v>15396441</v>
      </c>
      <c r="E158" s="125">
        <v>0</v>
      </c>
      <c r="F158" s="125">
        <v>0</v>
      </c>
      <c r="G158" s="125">
        <v>6</v>
      </c>
      <c r="H158" s="125">
        <f t="shared" si="4"/>
        <v>923786</v>
      </c>
      <c r="I158" s="125">
        <v>94</v>
      </c>
      <c r="J158" s="125">
        <v>14472655</v>
      </c>
      <c r="K158" s="150">
        <f t="shared" si="5"/>
        <v>153964.41489361701</v>
      </c>
      <c r="L158" s="151">
        <v>156</v>
      </c>
      <c r="M158" s="152" t="s">
        <v>525</v>
      </c>
      <c r="N158" s="152" t="s">
        <v>128</v>
      </c>
      <c r="O158" s="152" t="s">
        <v>327</v>
      </c>
      <c r="P158" s="152">
        <v>454</v>
      </c>
      <c r="Q158" s="158">
        <v>14284.93</v>
      </c>
      <c r="R158" s="131">
        <v>6485358.2199999997</v>
      </c>
    </row>
    <row r="159" spans="1:18" ht="15" x14ac:dyDescent="0.25">
      <c r="A159" s="123" t="s">
        <v>166</v>
      </c>
      <c r="B159" s="123">
        <v>12</v>
      </c>
      <c r="C159" s="125">
        <v>0</v>
      </c>
      <c r="D159" s="125">
        <v>0</v>
      </c>
      <c r="E159" s="125">
        <v>0</v>
      </c>
      <c r="F159" s="125">
        <v>0</v>
      </c>
      <c r="G159" s="125">
        <v>0</v>
      </c>
      <c r="H159" s="125">
        <f t="shared" si="4"/>
        <v>0</v>
      </c>
      <c r="I159" s="125">
        <v>0</v>
      </c>
      <c r="J159" s="125">
        <v>0</v>
      </c>
      <c r="K159" s="150"/>
      <c r="L159" s="151">
        <v>157</v>
      </c>
      <c r="M159" s="152" t="s">
        <v>526</v>
      </c>
      <c r="N159" s="152" t="s">
        <v>527</v>
      </c>
      <c r="O159" s="152" t="s">
        <v>528</v>
      </c>
      <c r="P159" s="152"/>
      <c r="Q159" s="158"/>
      <c r="R159" s="131">
        <v>0</v>
      </c>
    </row>
    <row r="160" spans="1:18" ht="15" x14ac:dyDescent="0.25">
      <c r="A160" s="123" t="s">
        <v>167</v>
      </c>
      <c r="B160" s="123">
        <v>12</v>
      </c>
      <c r="C160" s="125">
        <v>0</v>
      </c>
      <c r="D160" s="125">
        <v>0</v>
      </c>
      <c r="E160" s="125">
        <v>0</v>
      </c>
      <c r="F160" s="125">
        <v>184320</v>
      </c>
      <c r="G160" s="125">
        <v>0</v>
      </c>
      <c r="H160" s="125">
        <f t="shared" si="4"/>
        <v>184320</v>
      </c>
      <c r="I160" s="125">
        <v>0</v>
      </c>
      <c r="J160" s="125">
        <v>0</v>
      </c>
      <c r="K160" s="150"/>
      <c r="L160" s="151">
        <v>158</v>
      </c>
      <c r="M160" s="152" t="s">
        <v>529</v>
      </c>
      <c r="N160" s="152" t="s">
        <v>168</v>
      </c>
      <c r="O160" s="152" t="s">
        <v>303</v>
      </c>
      <c r="P160" s="152">
        <v>83</v>
      </c>
      <c r="Q160" s="158">
        <v>30500</v>
      </c>
      <c r="R160" s="131">
        <v>2531500</v>
      </c>
    </row>
    <row r="161" spans="1:18" ht="15" x14ac:dyDescent="0.25">
      <c r="A161" s="123" t="s">
        <v>168</v>
      </c>
      <c r="B161" s="123">
        <v>12</v>
      </c>
      <c r="C161" s="125">
        <v>436</v>
      </c>
      <c r="D161" s="125">
        <v>79778379</v>
      </c>
      <c r="E161" s="125">
        <v>150</v>
      </c>
      <c r="F161" s="125">
        <v>27648000</v>
      </c>
      <c r="G161" s="125">
        <v>87</v>
      </c>
      <c r="H161" s="125">
        <f t="shared" si="4"/>
        <v>92210697</v>
      </c>
      <c r="I161" s="125">
        <v>499</v>
      </c>
      <c r="J161" s="125">
        <v>15215682</v>
      </c>
      <c r="K161" s="150">
        <f t="shared" si="5"/>
        <v>30492.348697394791</v>
      </c>
      <c r="L161" s="151">
        <v>159</v>
      </c>
      <c r="M161" s="152" t="s">
        <v>530</v>
      </c>
      <c r="N161" s="152" t="s">
        <v>147</v>
      </c>
      <c r="O161" s="152" t="s">
        <v>327</v>
      </c>
      <c r="P161" s="152">
        <v>344</v>
      </c>
      <c r="Q161" s="158">
        <v>4608.33</v>
      </c>
      <c r="R161" s="131">
        <v>1585265.52</v>
      </c>
    </row>
    <row r="162" spans="1:18" ht="15" x14ac:dyDescent="0.25">
      <c r="A162" s="123" t="s">
        <v>169</v>
      </c>
      <c r="B162" s="123">
        <v>12</v>
      </c>
      <c r="C162" s="125">
        <v>856</v>
      </c>
      <c r="D162" s="125">
        <v>151588068</v>
      </c>
      <c r="E162" s="125">
        <v>0</v>
      </c>
      <c r="F162" s="125">
        <v>0</v>
      </c>
      <c r="G162" s="125">
        <v>204</v>
      </c>
      <c r="H162" s="125">
        <f t="shared" si="4"/>
        <v>32938529</v>
      </c>
      <c r="I162" s="125">
        <v>652</v>
      </c>
      <c r="J162" s="125">
        <v>118649539</v>
      </c>
      <c r="K162" s="150">
        <f t="shared" si="5"/>
        <v>181977.82055214723</v>
      </c>
      <c r="L162" s="151">
        <v>160</v>
      </c>
      <c r="M162" s="152" t="s">
        <v>531</v>
      </c>
      <c r="N162" s="152" t="s">
        <v>532</v>
      </c>
      <c r="O162" s="152" t="s">
        <v>528</v>
      </c>
      <c r="P162" s="152"/>
      <c r="Q162" s="158"/>
      <c r="R162" s="131">
        <v>0</v>
      </c>
    </row>
    <row r="163" spans="1:18" ht="15" x14ac:dyDescent="0.25">
      <c r="A163" s="123" t="s">
        <v>170</v>
      </c>
      <c r="B163" s="123">
        <v>12</v>
      </c>
      <c r="C163" s="125">
        <v>164</v>
      </c>
      <c r="D163" s="125">
        <v>44675744</v>
      </c>
      <c r="E163" s="125">
        <v>175</v>
      </c>
      <c r="F163" s="125">
        <v>49157166</v>
      </c>
      <c r="G163" s="125">
        <v>339</v>
      </c>
      <c r="H163" s="125">
        <f t="shared" si="4"/>
        <v>93832910</v>
      </c>
      <c r="I163" s="125">
        <v>0</v>
      </c>
      <c r="J163" s="125">
        <v>0</v>
      </c>
      <c r="K163" s="150"/>
      <c r="L163" s="151">
        <v>161</v>
      </c>
      <c r="M163" s="152" t="s">
        <v>533</v>
      </c>
      <c r="N163" s="152" t="s">
        <v>140</v>
      </c>
      <c r="O163" s="152" t="s">
        <v>528</v>
      </c>
      <c r="P163" s="152">
        <v>1328</v>
      </c>
      <c r="Q163" s="158">
        <v>186415</v>
      </c>
      <c r="R163" s="131">
        <v>247559120</v>
      </c>
    </row>
    <row r="164" spans="1:18" ht="15" x14ac:dyDescent="0.25">
      <c r="A164" s="123" t="s">
        <v>171</v>
      </c>
      <c r="B164" s="123">
        <v>12</v>
      </c>
      <c r="C164" s="125">
        <v>0</v>
      </c>
      <c r="D164" s="125">
        <v>0</v>
      </c>
      <c r="E164" s="125">
        <v>30</v>
      </c>
      <c r="F164" s="125">
        <v>8280000</v>
      </c>
      <c r="G164" s="125">
        <v>30</v>
      </c>
      <c r="H164" s="125">
        <f t="shared" si="4"/>
        <v>8280000</v>
      </c>
      <c r="I164" s="125">
        <v>0</v>
      </c>
      <c r="J164" s="125">
        <v>0</v>
      </c>
      <c r="K164" s="150"/>
      <c r="L164" s="151">
        <v>162</v>
      </c>
      <c r="M164" s="152" t="s">
        <v>534</v>
      </c>
      <c r="N164" s="152" t="s">
        <v>142</v>
      </c>
      <c r="O164" s="152" t="s">
        <v>528</v>
      </c>
      <c r="P164" s="152">
        <v>1150</v>
      </c>
      <c r="Q164" s="158">
        <v>183667</v>
      </c>
      <c r="R164" s="131">
        <v>211217050</v>
      </c>
    </row>
    <row r="165" spans="1:18" ht="15" x14ac:dyDescent="0.25">
      <c r="A165" s="123" t="s">
        <v>172</v>
      </c>
      <c r="B165" s="123">
        <v>12</v>
      </c>
      <c r="C165" s="125">
        <v>459</v>
      </c>
      <c r="D165" s="125">
        <v>85500524</v>
      </c>
      <c r="E165" s="125">
        <v>30</v>
      </c>
      <c r="F165" s="125">
        <v>5655270</v>
      </c>
      <c r="G165" s="125">
        <v>0</v>
      </c>
      <c r="H165" s="125">
        <f t="shared" si="4"/>
        <v>0</v>
      </c>
      <c r="I165" s="125">
        <v>489</v>
      </c>
      <c r="J165" s="125">
        <v>91155794</v>
      </c>
      <c r="K165" s="150">
        <f t="shared" si="5"/>
        <v>186412.66666666666</v>
      </c>
      <c r="L165" s="151">
        <v>163</v>
      </c>
      <c r="M165" s="152" t="s">
        <v>535</v>
      </c>
      <c r="N165" s="152" t="s">
        <v>141</v>
      </c>
      <c r="O165" s="152" t="s">
        <v>528</v>
      </c>
      <c r="P165" s="152">
        <v>1000</v>
      </c>
      <c r="Q165" s="158">
        <v>186415</v>
      </c>
      <c r="R165" s="131">
        <v>186415000</v>
      </c>
    </row>
    <row r="166" spans="1:18" ht="15" x14ac:dyDescent="0.25">
      <c r="A166" s="123" t="s">
        <v>173</v>
      </c>
      <c r="B166" s="123">
        <v>12</v>
      </c>
      <c r="C166" s="125">
        <v>484</v>
      </c>
      <c r="D166" s="125">
        <v>88893600</v>
      </c>
      <c r="E166" s="125">
        <v>13</v>
      </c>
      <c r="F166" s="125">
        <v>4712725</v>
      </c>
      <c r="G166" s="125">
        <v>0</v>
      </c>
      <c r="H166" s="125">
        <f t="shared" si="4"/>
        <v>0</v>
      </c>
      <c r="I166" s="125">
        <v>497</v>
      </c>
      <c r="J166" s="125">
        <v>93606325</v>
      </c>
      <c r="K166" s="150">
        <f t="shared" si="5"/>
        <v>188342.70623742454</v>
      </c>
      <c r="L166" s="151">
        <v>164</v>
      </c>
      <c r="M166" s="152" t="s">
        <v>536</v>
      </c>
      <c r="N166" s="152" t="s">
        <v>149</v>
      </c>
      <c r="O166" s="152" t="s">
        <v>528</v>
      </c>
      <c r="P166" s="152"/>
      <c r="Q166" s="158"/>
      <c r="R166" s="131">
        <v>0</v>
      </c>
    </row>
    <row r="167" spans="1:18" ht="15" x14ac:dyDescent="0.25">
      <c r="A167" s="123" t="s">
        <v>174</v>
      </c>
      <c r="B167" s="123">
        <v>12</v>
      </c>
      <c r="C167" s="125">
        <v>5</v>
      </c>
      <c r="D167" s="125">
        <v>1372892</v>
      </c>
      <c r="E167" s="125">
        <v>0</v>
      </c>
      <c r="F167" s="125">
        <v>0</v>
      </c>
      <c r="G167" s="125">
        <v>0</v>
      </c>
      <c r="H167" s="125">
        <f t="shared" si="4"/>
        <v>0</v>
      </c>
      <c r="I167" s="125">
        <v>5</v>
      </c>
      <c r="J167" s="125">
        <v>1372892</v>
      </c>
      <c r="K167" s="150">
        <f t="shared" si="5"/>
        <v>274578.40000000002</v>
      </c>
      <c r="L167" s="151">
        <v>165</v>
      </c>
      <c r="M167" s="152" t="s">
        <v>537</v>
      </c>
      <c r="N167" s="152" t="s">
        <v>143</v>
      </c>
      <c r="O167" s="152" t="s">
        <v>528</v>
      </c>
      <c r="P167" s="152"/>
      <c r="Q167" s="158"/>
      <c r="R167" s="131">
        <v>0</v>
      </c>
    </row>
    <row r="168" spans="1:18" ht="15" x14ac:dyDescent="0.25">
      <c r="A168" s="123" t="s">
        <v>175</v>
      </c>
      <c r="B168" s="123">
        <v>12</v>
      </c>
      <c r="C168" s="125">
        <v>0</v>
      </c>
      <c r="D168" s="125">
        <v>0</v>
      </c>
      <c r="E168" s="125">
        <v>0</v>
      </c>
      <c r="F168" s="125">
        <v>0</v>
      </c>
      <c r="G168" s="125">
        <v>0</v>
      </c>
      <c r="H168" s="125">
        <f t="shared" si="4"/>
        <v>0</v>
      </c>
      <c r="I168" s="125">
        <v>0</v>
      </c>
      <c r="J168" s="125">
        <v>0</v>
      </c>
      <c r="K168" s="150"/>
      <c r="L168" s="151">
        <v>166</v>
      </c>
      <c r="M168" s="152" t="s">
        <v>538</v>
      </c>
      <c r="N168" s="152" t="s">
        <v>144</v>
      </c>
      <c r="O168" s="152" t="s">
        <v>528</v>
      </c>
      <c r="P168" s="152">
        <v>583</v>
      </c>
      <c r="Q168" s="158">
        <v>184320</v>
      </c>
      <c r="R168" s="131">
        <v>107458560</v>
      </c>
    </row>
    <row r="169" spans="1:18" ht="15" x14ac:dyDescent="0.25">
      <c r="A169" s="123" t="s">
        <v>176</v>
      </c>
      <c r="B169" s="123">
        <v>12</v>
      </c>
      <c r="C169" s="125">
        <v>0</v>
      </c>
      <c r="D169" s="125">
        <v>0</v>
      </c>
      <c r="E169" s="125">
        <v>0</v>
      </c>
      <c r="F169" s="125">
        <v>0</v>
      </c>
      <c r="G169" s="125">
        <v>0</v>
      </c>
      <c r="H169" s="125">
        <f t="shared" si="4"/>
        <v>0</v>
      </c>
      <c r="I169" s="125">
        <v>0</v>
      </c>
      <c r="J169" s="125">
        <v>0</v>
      </c>
      <c r="K169" s="150"/>
      <c r="L169" s="151">
        <v>167</v>
      </c>
      <c r="M169" s="152" t="s">
        <v>539</v>
      </c>
      <c r="N169" s="152" t="s">
        <v>146</v>
      </c>
      <c r="O169" s="152" t="s">
        <v>528</v>
      </c>
      <c r="P169" s="152">
        <v>115</v>
      </c>
      <c r="Q169" s="158">
        <v>191651</v>
      </c>
      <c r="R169" s="131">
        <v>22039865</v>
      </c>
    </row>
    <row r="170" spans="1:18" ht="15" x14ac:dyDescent="0.25">
      <c r="A170" s="123" t="s">
        <v>177</v>
      </c>
      <c r="B170" s="123">
        <v>12</v>
      </c>
      <c r="C170" s="125">
        <v>1</v>
      </c>
      <c r="D170" s="125">
        <v>537037</v>
      </c>
      <c r="E170" s="125">
        <v>0</v>
      </c>
      <c r="F170" s="125">
        <v>0</v>
      </c>
      <c r="G170" s="125">
        <v>0</v>
      </c>
      <c r="H170" s="125">
        <f t="shared" si="4"/>
        <v>0</v>
      </c>
      <c r="I170" s="125">
        <v>1</v>
      </c>
      <c r="J170" s="125">
        <v>537037</v>
      </c>
      <c r="K170" s="150">
        <f t="shared" si="5"/>
        <v>537037</v>
      </c>
      <c r="L170" s="151">
        <v>168</v>
      </c>
      <c r="M170" s="152" t="s">
        <v>540</v>
      </c>
      <c r="N170" s="152" t="s">
        <v>149</v>
      </c>
      <c r="O170" s="152" t="s">
        <v>327</v>
      </c>
      <c r="P170" s="152">
        <v>1236</v>
      </c>
      <c r="Q170" s="158">
        <v>16000</v>
      </c>
      <c r="R170" s="131">
        <v>19776000</v>
      </c>
    </row>
    <row r="171" spans="1:18" ht="15" x14ac:dyDescent="0.25">
      <c r="A171" s="123" t="s">
        <v>178</v>
      </c>
      <c r="B171" s="123">
        <v>12</v>
      </c>
      <c r="C171" s="125">
        <v>144</v>
      </c>
      <c r="D171" s="125">
        <v>8408880</v>
      </c>
      <c r="E171" s="125">
        <v>874</v>
      </c>
      <c r="F171" s="125">
        <v>31937917.485265225</v>
      </c>
      <c r="G171" s="125">
        <v>0</v>
      </c>
      <c r="H171" s="125">
        <f t="shared" si="4"/>
        <v>3146797.4852652252</v>
      </c>
      <c r="I171" s="125">
        <v>1018</v>
      </c>
      <c r="J171" s="125">
        <v>37200000</v>
      </c>
      <c r="K171" s="150">
        <f t="shared" si="5"/>
        <v>36542.239685658154</v>
      </c>
      <c r="L171" s="151">
        <v>169</v>
      </c>
      <c r="M171" s="152" t="s">
        <v>541</v>
      </c>
      <c r="N171" s="152" t="s">
        <v>542</v>
      </c>
      <c r="O171" s="152" t="s">
        <v>528</v>
      </c>
      <c r="P171" s="152"/>
      <c r="Q171" s="158"/>
      <c r="R171" s="131">
        <v>0</v>
      </c>
    </row>
    <row r="172" spans="1:18" ht="15" x14ac:dyDescent="0.25">
      <c r="A172" s="123" t="s">
        <v>179</v>
      </c>
      <c r="B172" s="123">
        <v>12</v>
      </c>
      <c r="C172" s="125">
        <v>24797</v>
      </c>
      <c r="D172" s="125">
        <v>127113973</v>
      </c>
      <c r="E172" s="125">
        <v>15719</v>
      </c>
      <c r="F172" s="125">
        <v>82006560</v>
      </c>
      <c r="G172" s="125">
        <v>14610</v>
      </c>
      <c r="H172" s="125">
        <f t="shared" si="4"/>
        <v>74541385</v>
      </c>
      <c r="I172" s="125">
        <v>25906</v>
      </c>
      <c r="J172" s="125">
        <v>134579148</v>
      </c>
      <c r="K172" s="150">
        <f t="shared" si="5"/>
        <v>5194.902648035204</v>
      </c>
      <c r="L172" s="151">
        <v>170</v>
      </c>
      <c r="M172" s="152" t="s">
        <v>543</v>
      </c>
      <c r="N172" s="152" t="s">
        <v>148</v>
      </c>
      <c r="O172" s="152" t="s">
        <v>303</v>
      </c>
      <c r="P172" s="152"/>
      <c r="Q172" s="158"/>
      <c r="R172" s="131">
        <v>0</v>
      </c>
    </row>
    <row r="173" spans="1:18" ht="15" x14ac:dyDescent="0.25">
      <c r="A173" s="123" t="s">
        <v>180</v>
      </c>
      <c r="B173" s="123">
        <v>12</v>
      </c>
      <c r="C173" s="125">
        <v>1056</v>
      </c>
      <c r="D173" s="125">
        <v>82980480</v>
      </c>
      <c r="E173" s="125">
        <v>360</v>
      </c>
      <c r="F173" s="125">
        <v>27106680</v>
      </c>
      <c r="G173" s="125">
        <v>1416</v>
      </c>
      <c r="H173" s="125">
        <f t="shared" si="4"/>
        <v>110087160</v>
      </c>
      <c r="I173" s="125">
        <v>0</v>
      </c>
      <c r="J173" s="125">
        <v>0</v>
      </c>
      <c r="K173" s="150"/>
      <c r="L173" s="151">
        <v>171</v>
      </c>
      <c r="M173" s="152" t="s">
        <v>544</v>
      </c>
      <c r="N173" s="152" t="s">
        <v>146</v>
      </c>
      <c r="O173" s="152" t="s">
        <v>327</v>
      </c>
      <c r="P173" s="152"/>
      <c r="Q173" s="158"/>
      <c r="R173" s="131">
        <v>0</v>
      </c>
    </row>
    <row r="174" spans="1:18" ht="15" x14ac:dyDescent="0.25">
      <c r="A174" s="123" t="s">
        <v>181</v>
      </c>
      <c r="B174" s="123">
        <v>12</v>
      </c>
      <c r="C174" s="125">
        <v>432</v>
      </c>
      <c r="D174" s="125">
        <v>22188108</v>
      </c>
      <c r="E174" s="125">
        <v>375</v>
      </c>
      <c r="F174" s="125">
        <v>19270875</v>
      </c>
      <c r="G174" s="125">
        <v>501</v>
      </c>
      <c r="H174" s="125">
        <f t="shared" si="4"/>
        <v>25738476</v>
      </c>
      <c r="I174" s="125">
        <v>306</v>
      </c>
      <c r="J174" s="125">
        <v>15720507</v>
      </c>
      <c r="K174" s="150">
        <f t="shared" si="5"/>
        <v>51374.205882352944</v>
      </c>
      <c r="L174" s="151">
        <v>172</v>
      </c>
      <c r="M174" s="152" t="s">
        <v>545</v>
      </c>
      <c r="N174" s="152" t="s">
        <v>546</v>
      </c>
      <c r="O174" s="152" t="s">
        <v>528</v>
      </c>
      <c r="P174" s="152"/>
      <c r="Q174" s="158"/>
      <c r="R174" s="131">
        <v>0</v>
      </c>
    </row>
    <row r="175" spans="1:18" ht="15" x14ac:dyDescent="0.25">
      <c r="A175" s="123" t="s">
        <v>182</v>
      </c>
      <c r="B175" s="123">
        <v>12</v>
      </c>
      <c r="C175" s="125">
        <v>0</v>
      </c>
      <c r="D175" s="125">
        <v>0</v>
      </c>
      <c r="E175" s="125">
        <v>180</v>
      </c>
      <c r="F175" s="125">
        <v>11127420</v>
      </c>
      <c r="G175" s="125">
        <v>180</v>
      </c>
      <c r="H175" s="125">
        <f t="shared" si="4"/>
        <v>11127420</v>
      </c>
      <c r="I175" s="125">
        <v>0</v>
      </c>
      <c r="J175" s="125">
        <v>0</v>
      </c>
      <c r="K175" s="150"/>
      <c r="L175" s="151">
        <v>173</v>
      </c>
      <c r="M175" s="152" t="s">
        <v>547</v>
      </c>
      <c r="N175" s="152" t="s">
        <v>548</v>
      </c>
      <c r="O175" s="152" t="s">
        <v>528</v>
      </c>
      <c r="P175" s="152">
        <v>810</v>
      </c>
      <c r="Q175" s="158">
        <v>115200</v>
      </c>
      <c r="R175" s="131">
        <v>93312000</v>
      </c>
    </row>
    <row r="176" spans="1:18" ht="15" x14ac:dyDescent="0.25">
      <c r="A176" s="123" t="s">
        <v>183</v>
      </c>
      <c r="B176" s="123">
        <v>12</v>
      </c>
      <c r="C176" s="125">
        <v>2751</v>
      </c>
      <c r="D176" s="125">
        <v>148297433</v>
      </c>
      <c r="E176" s="125">
        <v>306</v>
      </c>
      <c r="F176" s="125">
        <v>16321556</v>
      </c>
      <c r="G176" s="125">
        <v>284</v>
      </c>
      <c r="H176" s="125">
        <f t="shared" si="4"/>
        <v>13731712</v>
      </c>
      <c r="I176" s="125">
        <v>2773</v>
      </c>
      <c r="J176" s="125">
        <v>150887277</v>
      </c>
      <c r="K176" s="150">
        <f t="shared" si="5"/>
        <v>54413.010097367471</v>
      </c>
      <c r="L176" s="151">
        <v>174</v>
      </c>
      <c r="M176" s="152" t="s">
        <v>549</v>
      </c>
      <c r="N176" s="152" t="s">
        <v>550</v>
      </c>
      <c r="O176" s="152" t="s">
        <v>528</v>
      </c>
      <c r="P176" s="152">
        <v>280</v>
      </c>
      <c r="Q176" s="158">
        <v>267055</v>
      </c>
      <c r="R176" s="131">
        <v>74775400</v>
      </c>
    </row>
    <row r="177" spans="1:18" ht="15" x14ac:dyDescent="0.25">
      <c r="A177" s="123" t="s">
        <v>184</v>
      </c>
      <c r="B177" s="123">
        <v>12</v>
      </c>
      <c r="C177" s="125">
        <v>2074</v>
      </c>
      <c r="D177" s="125">
        <v>111994520</v>
      </c>
      <c r="E177" s="125">
        <v>408</v>
      </c>
      <c r="F177" s="125">
        <v>21762074</v>
      </c>
      <c r="G177" s="125">
        <v>900</v>
      </c>
      <c r="H177" s="125">
        <f t="shared" si="4"/>
        <v>47693225</v>
      </c>
      <c r="I177" s="125">
        <v>1582</v>
      </c>
      <c r="J177" s="125">
        <v>86063369</v>
      </c>
      <c r="K177" s="150">
        <f t="shared" si="5"/>
        <v>54401.623893805307</v>
      </c>
      <c r="L177" s="151">
        <v>175</v>
      </c>
      <c r="M177" s="152" t="s">
        <v>551</v>
      </c>
      <c r="N177" s="152" t="s">
        <v>139</v>
      </c>
      <c r="O177" s="152" t="s">
        <v>528</v>
      </c>
      <c r="P177" s="152">
        <v>188</v>
      </c>
      <c r="Q177" s="158">
        <v>183667</v>
      </c>
      <c r="R177" s="131">
        <v>34529396</v>
      </c>
    </row>
    <row r="178" spans="1:18" ht="15" x14ac:dyDescent="0.25">
      <c r="A178" s="123" t="s">
        <v>185</v>
      </c>
      <c r="B178" s="123">
        <v>12</v>
      </c>
      <c r="C178" s="125">
        <v>770</v>
      </c>
      <c r="D178" s="125">
        <v>141860096</v>
      </c>
      <c r="E178" s="125">
        <v>400</v>
      </c>
      <c r="F178" s="125">
        <v>72675000</v>
      </c>
      <c r="G178" s="125">
        <v>229</v>
      </c>
      <c r="H178" s="125">
        <f t="shared" si="4"/>
        <v>44862468</v>
      </c>
      <c r="I178" s="125">
        <v>941</v>
      </c>
      <c r="J178" s="125">
        <v>169672628</v>
      </c>
      <c r="K178" s="150">
        <f t="shared" si="5"/>
        <v>180310.97555791712</v>
      </c>
      <c r="L178" s="151">
        <v>176</v>
      </c>
      <c r="M178" s="152" t="s">
        <v>552</v>
      </c>
      <c r="N178" s="152" t="s">
        <v>553</v>
      </c>
      <c r="O178" s="152" t="s">
        <v>528</v>
      </c>
      <c r="P178" s="152"/>
      <c r="Q178" s="158"/>
      <c r="R178" s="131">
        <v>0</v>
      </c>
    </row>
    <row r="179" spans="1:18" ht="15" x14ac:dyDescent="0.25">
      <c r="A179" s="123" t="s">
        <v>186</v>
      </c>
      <c r="B179" s="123">
        <v>12</v>
      </c>
      <c r="C179" s="125">
        <v>1555</v>
      </c>
      <c r="D179" s="125">
        <v>69495853</v>
      </c>
      <c r="E179" s="125">
        <v>7668</v>
      </c>
      <c r="F179" s="125">
        <v>332611379.81490999</v>
      </c>
      <c r="G179" s="125">
        <v>4555</v>
      </c>
      <c r="H179" s="125">
        <f t="shared" si="4"/>
        <v>199625500.81490999</v>
      </c>
      <c r="I179" s="125">
        <v>4668</v>
      </c>
      <c r="J179" s="125">
        <v>202481732</v>
      </c>
      <c r="K179" s="150">
        <f t="shared" si="5"/>
        <v>43376.549271636672</v>
      </c>
      <c r="L179" s="151">
        <v>177</v>
      </c>
      <c r="M179" s="152" t="s">
        <v>554</v>
      </c>
      <c r="N179" s="152" t="s">
        <v>553</v>
      </c>
      <c r="O179" s="152" t="s">
        <v>303</v>
      </c>
      <c r="P179" s="152"/>
      <c r="Q179" s="158"/>
      <c r="R179" s="131">
        <v>0</v>
      </c>
    </row>
    <row r="180" spans="1:18" ht="15" x14ac:dyDescent="0.25">
      <c r="A180" s="123" t="s">
        <v>187</v>
      </c>
      <c r="B180" s="123">
        <v>12</v>
      </c>
      <c r="C180" s="125">
        <v>973</v>
      </c>
      <c r="D180" s="125">
        <v>34563746</v>
      </c>
      <c r="E180" s="125">
        <v>0</v>
      </c>
      <c r="F180" s="125">
        <v>43376.549271636672</v>
      </c>
      <c r="G180" s="125">
        <v>130</v>
      </c>
      <c r="H180" s="125">
        <f t="shared" si="4"/>
        <v>4733268.5492716357</v>
      </c>
      <c r="I180" s="125">
        <v>843</v>
      </c>
      <c r="J180" s="125">
        <v>29873854</v>
      </c>
      <c r="K180" s="150">
        <f t="shared" si="5"/>
        <v>35437.549228944248</v>
      </c>
      <c r="L180" s="151">
        <v>178</v>
      </c>
      <c r="M180" s="152" t="s">
        <v>555</v>
      </c>
      <c r="N180" s="152" t="s">
        <v>556</v>
      </c>
      <c r="O180" s="152" t="s">
        <v>528</v>
      </c>
      <c r="P180" s="152">
        <v>2</v>
      </c>
      <c r="Q180" s="158">
        <v>184473</v>
      </c>
      <c r="R180" s="131">
        <v>368946</v>
      </c>
    </row>
    <row r="181" spans="1:18" ht="15" x14ac:dyDescent="0.25">
      <c r="A181" s="123" t="s">
        <v>188</v>
      </c>
      <c r="B181" s="123">
        <v>12</v>
      </c>
      <c r="C181" s="125">
        <v>7616</v>
      </c>
      <c r="D181" s="125">
        <v>1284172909</v>
      </c>
      <c r="E181" s="125">
        <v>4500</v>
      </c>
      <c r="F181" s="125">
        <v>816216250</v>
      </c>
      <c r="G181" s="125">
        <v>4573</v>
      </c>
      <c r="H181" s="125">
        <f t="shared" si="4"/>
        <v>754127000</v>
      </c>
      <c r="I181" s="125">
        <v>7543</v>
      </c>
      <c r="J181" s="125">
        <v>1346262159</v>
      </c>
      <c r="K181" s="150">
        <f t="shared" si="5"/>
        <v>178478.3453533077</v>
      </c>
      <c r="L181" s="151">
        <v>179</v>
      </c>
      <c r="M181" s="152" t="s">
        <v>557</v>
      </c>
      <c r="N181" s="152" t="s">
        <v>151</v>
      </c>
      <c r="O181" s="152" t="s">
        <v>528</v>
      </c>
      <c r="P181" s="152">
        <v>319</v>
      </c>
      <c r="Q181" s="158">
        <v>189655</v>
      </c>
      <c r="R181" s="131">
        <v>60499945</v>
      </c>
    </row>
    <row r="182" spans="1:18" ht="15" x14ac:dyDescent="0.25">
      <c r="A182" s="123" t="s">
        <v>189</v>
      </c>
      <c r="B182" s="123">
        <v>12</v>
      </c>
      <c r="C182" s="125">
        <v>690</v>
      </c>
      <c r="D182" s="125">
        <v>30148907</v>
      </c>
      <c r="E182" s="125">
        <v>0</v>
      </c>
      <c r="F182" s="125">
        <v>0</v>
      </c>
      <c r="G182" s="125">
        <v>144</v>
      </c>
      <c r="H182" s="125">
        <f t="shared" si="4"/>
        <v>5958168</v>
      </c>
      <c r="I182" s="125">
        <v>546</v>
      </c>
      <c r="J182" s="125">
        <v>24190739</v>
      </c>
      <c r="K182" s="150">
        <f t="shared" si="5"/>
        <v>44305.382783882786</v>
      </c>
      <c r="L182" s="151">
        <v>180</v>
      </c>
      <c r="M182" s="152" t="s">
        <v>558</v>
      </c>
      <c r="N182" s="152" t="s">
        <v>559</v>
      </c>
      <c r="O182" s="152" t="s">
        <v>528</v>
      </c>
      <c r="P182" s="152">
        <v>50</v>
      </c>
      <c r="Q182" s="158">
        <v>170182</v>
      </c>
      <c r="R182" s="131">
        <v>8509100</v>
      </c>
    </row>
    <row r="183" spans="1:18" ht="15" x14ac:dyDescent="0.25">
      <c r="A183" s="123" t="s">
        <v>190</v>
      </c>
      <c r="B183" s="123">
        <v>12</v>
      </c>
      <c r="C183" s="125">
        <v>11502</v>
      </c>
      <c r="D183" s="125">
        <v>332240556</v>
      </c>
      <c r="E183" s="125">
        <v>3150</v>
      </c>
      <c r="F183" s="125">
        <v>90972000</v>
      </c>
      <c r="G183" s="125">
        <v>9809</v>
      </c>
      <c r="H183" s="125">
        <f t="shared" si="4"/>
        <v>286291540</v>
      </c>
      <c r="I183" s="125">
        <v>4843</v>
      </c>
      <c r="J183" s="125">
        <v>136921016</v>
      </c>
      <c r="K183" s="150">
        <f t="shared" si="5"/>
        <v>28271.942184596326</v>
      </c>
      <c r="L183" s="151">
        <v>181</v>
      </c>
      <c r="M183" s="152" t="s">
        <v>560</v>
      </c>
      <c r="N183" s="152" t="s">
        <v>561</v>
      </c>
      <c r="O183" s="152" t="s">
        <v>528</v>
      </c>
      <c r="P183" s="152"/>
      <c r="Q183" s="158"/>
      <c r="R183" s="131">
        <v>0</v>
      </c>
    </row>
    <row r="184" spans="1:18" ht="15" x14ac:dyDescent="0.25">
      <c r="A184" s="123" t="s">
        <v>191</v>
      </c>
      <c r="B184" s="123">
        <v>12</v>
      </c>
      <c r="C184" s="125">
        <v>15969</v>
      </c>
      <c r="D184" s="125">
        <v>459112502</v>
      </c>
      <c r="E184" s="125">
        <v>65615</v>
      </c>
      <c r="F184" s="125">
        <v>1833319500</v>
      </c>
      <c r="G184" s="125">
        <v>40229</v>
      </c>
      <c r="H184" s="125">
        <f t="shared" si="4"/>
        <v>1123236500</v>
      </c>
      <c r="I184" s="125">
        <v>41355</v>
      </c>
      <c r="J184" s="125">
        <v>1169195502</v>
      </c>
      <c r="K184" s="150">
        <f t="shared" si="5"/>
        <v>28272.167863619878</v>
      </c>
      <c r="L184" s="151">
        <v>182</v>
      </c>
      <c r="M184" s="152" t="s">
        <v>562</v>
      </c>
      <c r="N184" s="152" t="s">
        <v>563</v>
      </c>
      <c r="O184" s="152" t="s">
        <v>327</v>
      </c>
      <c r="P184" s="152"/>
      <c r="Q184" s="158"/>
      <c r="R184" s="131">
        <v>0</v>
      </c>
    </row>
    <row r="185" spans="1:18" ht="15" x14ac:dyDescent="0.25">
      <c r="A185" s="123" t="s">
        <v>192</v>
      </c>
      <c r="B185" s="123">
        <v>12</v>
      </c>
      <c r="C185" s="125">
        <v>10975</v>
      </c>
      <c r="D185" s="125">
        <v>79007874</v>
      </c>
      <c r="E185" s="125">
        <v>0</v>
      </c>
      <c r="F185" s="125">
        <v>0</v>
      </c>
      <c r="G185" s="125">
        <v>4660</v>
      </c>
      <c r="H185" s="125">
        <f t="shared" si="4"/>
        <v>33402873</v>
      </c>
      <c r="I185" s="125">
        <v>6315</v>
      </c>
      <c r="J185" s="125">
        <v>45605001</v>
      </c>
      <c r="K185" s="150">
        <f t="shared" si="5"/>
        <v>7221.6945368171018</v>
      </c>
      <c r="L185" s="151">
        <v>183</v>
      </c>
      <c r="M185" s="152" t="s">
        <v>564</v>
      </c>
      <c r="N185" s="152" t="s">
        <v>40</v>
      </c>
      <c r="O185" s="152" t="s">
        <v>327</v>
      </c>
      <c r="P185" s="152">
        <v>2430</v>
      </c>
      <c r="Q185" s="158">
        <v>40050</v>
      </c>
      <c r="R185" s="131">
        <v>97321500</v>
      </c>
    </row>
    <row r="186" spans="1:18" ht="15" x14ac:dyDescent="0.25">
      <c r="A186" s="123" t="s">
        <v>193</v>
      </c>
      <c r="B186" s="123">
        <v>12</v>
      </c>
      <c r="C186" s="125">
        <v>0</v>
      </c>
      <c r="D186" s="125">
        <v>0</v>
      </c>
      <c r="E186" s="125">
        <v>250</v>
      </c>
      <c r="F186" s="125">
        <v>53642625</v>
      </c>
      <c r="G186" s="125">
        <v>0</v>
      </c>
      <c r="H186" s="125">
        <f t="shared" si="4"/>
        <v>0</v>
      </c>
      <c r="I186" s="125">
        <v>250</v>
      </c>
      <c r="J186" s="125">
        <v>53642625</v>
      </c>
      <c r="K186" s="150">
        <f t="shared" si="5"/>
        <v>214570.5</v>
      </c>
      <c r="L186" s="155">
        <v>184</v>
      </c>
      <c r="M186" s="152" t="s">
        <v>565</v>
      </c>
      <c r="N186" s="152" t="s">
        <v>43</v>
      </c>
      <c r="O186" s="152" t="s">
        <v>303</v>
      </c>
      <c r="P186" s="152"/>
      <c r="Q186" s="158"/>
      <c r="R186" s="131">
        <v>0</v>
      </c>
    </row>
    <row r="187" spans="1:18" ht="15" x14ac:dyDescent="0.25">
      <c r="A187" s="123" t="s">
        <v>194</v>
      </c>
      <c r="B187" s="123">
        <v>12</v>
      </c>
      <c r="C187" s="125">
        <v>131535</v>
      </c>
      <c r="D187" s="125">
        <v>626836099</v>
      </c>
      <c r="E187" s="125">
        <v>273861</v>
      </c>
      <c r="F187" s="125">
        <v>1931160000</v>
      </c>
      <c r="G187" s="125">
        <v>227875</v>
      </c>
      <c r="H187" s="125">
        <f t="shared" si="4"/>
        <v>1303281000</v>
      </c>
      <c r="I187" s="125">
        <v>177521</v>
      </c>
      <c r="J187" s="125">
        <v>1254715099</v>
      </c>
      <c r="K187" s="150">
        <f t="shared" si="5"/>
        <v>7067.9812472890535</v>
      </c>
      <c r="L187" s="151">
        <v>185</v>
      </c>
      <c r="M187" s="152" t="s">
        <v>566</v>
      </c>
      <c r="N187" s="152" t="s">
        <v>44</v>
      </c>
      <c r="O187" s="152" t="s">
        <v>327</v>
      </c>
      <c r="P187" s="152">
        <v>300</v>
      </c>
      <c r="Q187" s="158">
        <v>36184</v>
      </c>
      <c r="R187" s="131">
        <v>10855200</v>
      </c>
    </row>
    <row r="188" spans="1:18" ht="15" x14ac:dyDescent="0.25">
      <c r="A188" s="123" t="s">
        <v>195</v>
      </c>
      <c r="B188" s="123">
        <v>12</v>
      </c>
      <c r="C188" s="125">
        <v>0</v>
      </c>
      <c r="D188" s="125">
        <v>0</v>
      </c>
      <c r="E188" s="125">
        <v>11200</v>
      </c>
      <c r="F188" s="125">
        <v>2411276207</v>
      </c>
      <c r="G188" s="125">
        <v>1333</v>
      </c>
      <c r="H188" s="125">
        <f t="shared" si="4"/>
        <v>303268263</v>
      </c>
      <c r="I188" s="125">
        <v>9867</v>
      </c>
      <c r="J188" s="125">
        <v>2108007944</v>
      </c>
      <c r="K188" s="150">
        <f t="shared" si="5"/>
        <v>213642.23614067092</v>
      </c>
      <c r="L188" s="151">
        <v>186</v>
      </c>
      <c r="M188" s="152" t="s">
        <v>567</v>
      </c>
      <c r="N188" s="152" t="s">
        <v>45</v>
      </c>
      <c r="O188" s="152" t="s">
        <v>327</v>
      </c>
      <c r="P188" s="152">
        <v>150</v>
      </c>
      <c r="Q188" s="158">
        <v>36184</v>
      </c>
      <c r="R188" s="131">
        <v>5427600</v>
      </c>
    </row>
    <row r="189" spans="1:18" ht="15" x14ac:dyDescent="0.25">
      <c r="A189" s="123" t="s">
        <v>196</v>
      </c>
      <c r="B189" s="123">
        <v>12</v>
      </c>
      <c r="C189" s="125">
        <v>0</v>
      </c>
      <c r="D189" s="125">
        <v>0</v>
      </c>
      <c r="E189" s="125">
        <v>0</v>
      </c>
      <c r="F189" s="125">
        <v>0</v>
      </c>
      <c r="G189" s="125">
        <v>0</v>
      </c>
      <c r="H189" s="125">
        <f t="shared" si="4"/>
        <v>0</v>
      </c>
      <c r="I189" s="125">
        <v>0</v>
      </c>
      <c r="J189" s="125">
        <v>0</v>
      </c>
      <c r="K189" s="150"/>
      <c r="L189" s="151">
        <v>187</v>
      </c>
      <c r="M189" s="152" t="s">
        <v>568</v>
      </c>
      <c r="N189" s="152" t="s">
        <v>46</v>
      </c>
      <c r="O189" s="152" t="s">
        <v>327</v>
      </c>
      <c r="P189" s="152">
        <v>65</v>
      </c>
      <c r="Q189" s="158">
        <v>36184</v>
      </c>
      <c r="R189" s="131">
        <v>2351960</v>
      </c>
    </row>
    <row r="190" spans="1:18" ht="15" x14ac:dyDescent="0.25">
      <c r="A190" s="123" t="s">
        <v>197</v>
      </c>
      <c r="B190" s="123">
        <v>12</v>
      </c>
      <c r="C190" s="125">
        <v>1170</v>
      </c>
      <c r="D190" s="125">
        <v>8433374</v>
      </c>
      <c r="E190" s="125">
        <v>0</v>
      </c>
      <c r="F190" s="125">
        <v>0</v>
      </c>
      <c r="G190" s="125">
        <v>20</v>
      </c>
      <c r="H190" s="125">
        <f t="shared" si="4"/>
        <v>144160</v>
      </c>
      <c r="I190" s="125">
        <v>1150</v>
      </c>
      <c r="J190" s="125">
        <v>8289214</v>
      </c>
      <c r="K190" s="150">
        <f t="shared" si="5"/>
        <v>7208.0121739130436</v>
      </c>
      <c r="L190" s="151">
        <v>188</v>
      </c>
      <c r="M190" s="152" t="s">
        <v>569</v>
      </c>
      <c r="N190" s="152" t="s">
        <v>570</v>
      </c>
      <c r="O190" s="152" t="s">
        <v>327</v>
      </c>
      <c r="P190" s="152"/>
      <c r="Q190" s="158"/>
      <c r="R190" s="131">
        <v>0</v>
      </c>
    </row>
    <row r="191" spans="1:18" ht="15" x14ac:dyDescent="0.25">
      <c r="A191" s="123" t="s">
        <v>198</v>
      </c>
      <c r="B191" s="123">
        <v>12</v>
      </c>
      <c r="C191" s="125">
        <v>0</v>
      </c>
      <c r="D191" s="125">
        <v>0</v>
      </c>
      <c r="E191" s="125">
        <v>0</v>
      </c>
      <c r="F191" s="125">
        <v>0</v>
      </c>
      <c r="G191" s="125">
        <v>0</v>
      </c>
      <c r="H191" s="125">
        <f t="shared" si="4"/>
        <v>0</v>
      </c>
      <c r="I191" s="125">
        <v>0</v>
      </c>
      <c r="J191" s="125">
        <v>0</v>
      </c>
      <c r="K191" s="150"/>
      <c r="L191" s="151">
        <v>189</v>
      </c>
      <c r="M191" s="152" t="s">
        <v>571</v>
      </c>
      <c r="N191" s="152" t="s">
        <v>572</v>
      </c>
      <c r="O191" s="152" t="s">
        <v>528</v>
      </c>
      <c r="P191" s="152">
        <v>123</v>
      </c>
      <c r="Q191" s="158">
        <v>234589</v>
      </c>
      <c r="R191" s="131">
        <v>28854447</v>
      </c>
    </row>
    <row r="192" spans="1:18" ht="15" x14ac:dyDescent="0.25">
      <c r="A192" s="123" t="s">
        <v>199</v>
      </c>
      <c r="B192" s="123">
        <v>12</v>
      </c>
      <c r="C192" s="125">
        <v>77684</v>
      </c>
      <c r="D192" s="125">
        <v>588888</v>
      </c>
      <c r="E192" s="125">
        <v>24</v>
      </c>
      <c r="F192" s="125">
        <v>588888</v>
      </c>
      <c r="G192" s="125">
        <v>0</v>
      </c>
      <c r="H192" s="125">
        <f t="shared" si="4"/>
        <v>0</v>
      </c>
      <c r="I192" s="125">
        <v>77708</v>
      </c>
      <c r="J192" s="125">
        <v>1177776</v>
      </c>
      <c r="K192" s="150">
        <f t="shared" si="5"/>
        <v>15.15643177021671</v>
      </c>
      <c r="L192" s="151">
        <v>190</v>
      </c>
      <c r="M192" s="152" t="s">
        <v>573</v>
      </c>
      <c r="N192" s="152" t="s">
        <v>574</v>
      </c>
      <c r="O192" s="152" t="s">
        <v>528</v>
      </c>
      <c r="P192" s="152">
        <v>117</v>
      </c>
      <c r="Q192" s="158">
        <v>167564</v>
      </c>
      <c r="R192" s="131">
        <v>19604988</v>
      </c>
    </row>
    <row r="193" spans="1:18" ht="15" x14ac:dyDescent="0.25">
      <c r="A193" s="123" t="s">
        <v>200</v>
      </c>
      <c r="B193" s="123">
        <v>12</v>
      </c>
      <c r="C193" s="125">
        <v>144</v>
      </c>
      <c r="D193" s="125">
        <v>1037304</v>
      </c>
      <c r="E193" s="125">
        <v>0</v>
      </c>
      <c r="F193" s="125">
        <v>0</v>
      </c>
      <c r="G193" s="125">
        <v>0</v>
      </c>
      <c r="H193" s="125">
        <f t="shared" si="4"/>
        <v>0</v>
      </c>
      <c r="I193" s="125">
        <v>144</v>
      </c>
      <c r="J193" s="125">
        <v>1037304</v>
      </c>
      <c r="K193" s="150">
        <f t="shared" si="5"/>
        <v>7203.5</v>
      </c>
      <c r="L193" s="151">
        <v>191</v>
      </c>
      <c r="M193" s="152" t="s">
        <v>575</v>
      </c>
      <c r="N193" s="152" t="s">
        <v>155</v>
      </c>
      <c r="O193" s="152" t="s">
        <v>528</v>
      </c>
      <c r="P193" s="152"/>
      <c r="Q193" s="158"/>
      <c r="R193" s="131">
        <v>0</v>
      </c>
    </row>
    <row r="194" spans="1:18" ht="15" x14ac:dyDescent="0.25">
      <c r="A194" s="123" t="s">
        <v>201</v>
      </c>
      <c r="B194" s="123">
        <v>12</v>
      </c>
      <c r="C194" s="125">
        <v>1032</v>
      </c>
      <c r="D194" s="125">
        <v>16267839</v>
      </c>
      <c r="E194" s="125">
        <v>180</v>
      </c>
      <c r="F194" s="125">
        <v>2916720</v>
      </c>
      <c r="G194" s="125">
        <v>720</v>
      </c>
      <c r="H194" s="125">
        <f t="shared" si="4"/>
        <v>11396768</v>
      </c>
      <c r="I194" s="125">
        <v>492</v>
      </c>
      <c r="J194" s="125">
        <v>7787791</v>
      </c>
      <c r="K194" s="150">
        <f t="shared" si="5"/>
        <v>15828.84349593496</v>
      </c>
      <c r="L194" s="151">
        <v>192</v>
      </c>
      <c r="M194" s="152" t="s">
        <v>576</v>
      </c>
      <c r="N194" s="152" t="s">
        <v>577</v>
      </c>
      <c r="O194" s="152" t="s">
        <v>528</v>
      </c>
      <c r="P194" s="152">
        <v>70</v>
      </c>
      <c r="Q194" s="158">
        <v>234589</v>
      </c>
      <c r="R194" s="131">
        <v>16421230</v>
      </c>
    </row>
    <row r="195" spans="1:18" ht="15" x14ac:dyDescent="0.25">
      <c r="A195" s="123" t="s">
        <v>202</v>
      </c>
      <c r="B195" s="123">
        <v>12</v>
      </c>
      <c r="C195" s="125">
        <v>0</v>
      </c>
      <c r="D195" s="125">
        <v>0</v>
      </c>
      <c r="E195" s="125">
        <v>72</v>
      </c>
      <c r="F195" s="125">
        <v>1857744</v>
      </c>
      <c r="G195" s="125">
        <v>0</v>
      </c>
      <c r="H195" s="125">
        <f t="shared" si="4"/>
        <v>0</v>
      </c>
      <c r="I195" s="125">
        <v>72</v>
      </c>
      <c r="J195" s="125">
        <v>1857744</v>
      </c>
      <c r="K195" s="150">
        <f t="shared" si="5"/>
        <v>25802</v>
      </c>
      <c r="L195" s="151">
        <v>193</v>
      </c>
      <c r="M195" s="152" t="s">
        <v>578</v>
      </c>
      <c r="N195" s="152" t="s">
        <v>161</v>
      </c>
      <c r="O195" s="152" t="s">
        <v>528</v>
      </c>
      <c r="P195" s="152">
        <v>92</v>
      </c>
      <c r="Q195" s="158">
        <v>234589</v>
      </c>
      <c r="R195" s="131">
        <v>21582188</v>
      </c>
    </row>
    <row r="196" spans="1:18" ht="15" x14ac:dyDescent="0.25">
      <c r="A196" s="123" t="s">
        <v>203</v>
      </c>
      <c r="B196" s="123">
        <v>12</v>
      </c>
      <c r="C196" s="125">
        <v>5208</v>
      </c>
      <c r="D196" s="125">
        <v>58948499</v>
      </c>
      <c r="E196" s="125">
        <v>360</v>
      </c>
      <c r="F196" s="125">
        <v>4225320</v>
      </c>
      <c r="G196" s="125">
        <v>4681</v>
      </c>
      <c r="H196" s="125">
        <f t="shared" si="4"/>
        <v>52758308</v>
      </c>
      <c r="I196" s="125">
        <v>887</v>
      </c>
      <c r="J196" s="125">
        <v>10415511</v>
      </c>
      <c r="K196" s="150">
        <f t="shared" si="5"/>
        <v>11742.402480270575</v>
      </c>
      <c r="L196" s="151">
        <v>194</v>
      </c>
      <c r="M196" s="152" t="s">
        <v>579</v>
      </c>
      <c r="N196" s="152" t="s">
        <v>580</v>
      </c>
      <c r="O196" s="152" t="s">
        <v>528</v>
      </c>
      <c r="P196" s="152"/>
      <c r="Q196" s="158"/>
      <c r="R196" s="131">
        <v>0</v>
      </c>
    </row>
    <row r="197" spans="1:18" ht="15" x14ac:dyDescent="0.25">
      <c r="A197" s="123" t="s">
        <v>204</v>
      </c>
      <c r="B197" s="123">
        <v>12</v>
      </c>
      <c r="C197" s="125">
        <v>12491</v>
      </c>
      <c r="D197" s="125">
        <v>384147850</v>
      </c>
      <c r="E197" s="125"/>
      <c r="F197" s="125">
        <v>0</v>
      </c>
      <c r="G197" s="125">
        <v>5514</v>
      </c>
      <c r="H197" s="125">
        <f t="shared" ref="H197:H260" si="6">D197+F197-J197</f>
        <v>160810000</v>
      </c>
      <c r="I197" s="125">
        <v>6977</v>
      </c>
      <c r="J197" s="125">
        <v>223337850</v>
      </c>
      <c r="K197" s="150">
        <f t="shared" si="5"/>
        <v>32010.584778558121</v>
      </c>
      <c r="L197" s="151">
        <v>195</v>
      </c>
      <c r="M197" s="152" t="s">
        <v>581</v>
      </c>
      <c r="N197" s="152" t="s">
        <v>582</v>
      </c>
      <c r="O197" s="152" t="s">
        <v>528</v>
      </c>
      <c r="P197" s="152">
        <v>84</v>
      </c>
      <c r="Q197" s="158">
        <v>234589</v>
      </c>
      <c r="R197" s="131">
        <v>19705476</v>
      </c>
    </row>
    <row r="198" spans="1:18" ht="15" x14ac:dyDescent="0.25">
      <c r="A198" s="123" t="s">
        <v>205</v>
      </c>
      <c r="B198" s="123">
        <v>12</v>
      </c>
      <c r="C198" s="125">
        <v>820</v>
      </c>
      <c r="D198" s="125">
        <v>49022428</v>
      </c>
      <c r="E198" s="125">
        <v>0</v>
      </c>
      <c r="F198" s="125">
        <v>0</v>
      </c>
      <c r="G198" s="125">
        <v>651</v>
      </c>
      <c r="H198" s="125">
        <f t="shared" si="6"/>
        <v>37663574</v>
      </c>
      <c r="I198" s="125">
        <v>169</v>
      </c>
      <c r="J198" s="125">
        <v>11358854</v>
      </c>
      <c r="K198" s="150">
        <f t="shared" ref="K198:K260" si="7">J198/I198</f>
        <v>67212.153846153844</v>
      </c>
      <c r="L198" s="151">
        <v>196</v>
      </c>
      <c r="M198" s="152" t="s">
        <v>583</v>
      </c>
      <c r="N198" s="152" t="s">
        <v>156</v>
      </c>
      <c r="O198" s="152" t="s">
        <v>528</v>
      </c>
      <c r="P198" s="152">
        <v>137</v>
      </c>
      <c r="Q198" s="158">
        <v>234589</v>
      </c>
      <c r="R198" s="131">
        <v>32138693</v>
      </c>
    </row>
    <row r="199" spans="1:18" ht="15" x14ac:dyDescent="0.25">
      <c r="A199" s="123" t="s">
        <v>206</v>
      </c>
      <c r="B199" s="123">
        <v>12</v>
      </c>
      <c r="C199" s="125">
        <v>814</v>
      </c>
      <c r="D199" s="125">
        <v>26110276</v>
      </c>
      <c r="E199" s="125">
        <v>192</v>
      </c>
      <c r="F199" s="125">
        <v>6309812</v>
      </c>
      <c r="G199" s="125">
        <v>646</v>
      </c>
      <c r="H199" s="125">
        <f t="shared" si="6"/>
        <v>20818466</v>
      </c>
      <c r="I199" s="125">
        <v>360</v>
      </c>
      <c r="J199" s="125">
        <v>11601622</v>
      </c>
      <c r="K199" s="150">
        <f t="shared" si="7"/>
        <v>32226.727777777778</v>
      </c>
      <c r="L199" s="151">
        <v>197</v>
      </c>
      <c r="M199" s="152" t="s">
        <v>584</v>
      </c>
      <c r="N199" s="152" t="s">
        <v>157</v>
      </c>
      <c r="O199" s="152" t="s">
        <v>528</v>
      </c>
      <c r="P199" s="152">
        <v>100</v>
      </c>
      <c r="Q199" s="158">
        <v>234589</v>
      </c>
      <c r="R199" s="131">
        <v>23458900</v>
      </c>
    </row>
    <row r="200" spans="1:18" ht="15" x14ac:dyDescent="0.25">
      <c r="A200" s="123" t="s">
        <v>207</v>
      </c>
      <c r="B200" s="123">
        <v>12</v>
      </c>
      <c r="C200" s="125">
        <v>1728</v>
      </c>
      <c r="D200" s="125">
        <v>3454644</v>
      </c>
      <c r="E200" s="125"/>
      <c r="F200" s="125">
        <v>0</v>
      </c>
      <c r="G200" s="125">
        <v>1461</v>
      </c>
      <c r="H200" s="125">
        <f t="shared" si="6"/>
        <v>38904</v>
      </c>
      <c r="I200" s="125">
        <v>267</v>
      </c>
      <c r="J200" s="125">
        <v>3415740</v>
      </c>
      <c r="K200" s="150">
        <f t="shared" si="7"/>
        <v>12793.033707865168</v>
      </c>
      <c r="L200" s="151">
        <v>198</v>
      </c>
      <c r="M200" s="152" t="s">
        <v>585</v>
      </c>
      <c r="N200" s="152" t="s">
        <v>586</v>
      </c>
      <c r="O200" s="152" t="s">
        <v>528</v>
      </c>
      <c r="P200" s="152">
        <v>351</v>
      </c>
      <c r="Q200" s="158">
        <v>115200</v>
      </c>
      <c r="R200" s="131">
        <v>40435200</v>
      </c>
    </row>
    <row r="201" spans="1:18" ht="15" x14ac:dyDescent="0.25">
      <c r="A201" s="123" t="s">
        <v>208</v>
      </c>
      <c r="B201" s="123">
        <v>12</v>
      </c>
      <c r="C201" s="125">
        <v>13</v>
      </c>
      <c r="D201" s="125">
        <v>107765</v>
      </c>
      <c r="E201" s="125">
        <v>432</v>
      </c>
      <c r="F201" s="125">
        <v>4525632</v>
      </c>
      <c r="G201" s="125">
        <v>240</v>
      </c>
      <c r="H201" s="125">
        <f t="shared" si="6"/>
        <v>2498911</v>
      </c>
      <c r="I201" s="125">
        <v>205</v>
      </c>
      <c r="J201" s="125">
        <v>2134486</v>
      </c>
      <c r="K201" s="150">
        <f t="shared" si="7"/>
        <v>10412.126829268293</v>
      </c>
      <c r="L201" s="151">
        <v>199</v>
      </c>
      <c r="M201" s="152" t="s">
        <v>587</v>
      </c>
      <c r="N201" s="152" t="s">
        <v>163</v>
      </c>
      <c r="O201" s="152" t="s">
        <v>528</v>
      </c>
      <c r="P201" s="152">
        <v>700</v>
      </c>
      <c r="Q201" s="158">
        <v>319418</v>
      </c>
      <c r="R201" s="131">
        <v>223592600</v>
      </c>
    </row>
    <row r="202" spans="1:18" ht="15" x14ac:dyDescent="0.25">
      <c r="A202" s="123" t="s">
        <v>209</v>
      </c>
      <c r="B202" s="123">
        <v>12</v>
      </c>
      <c r="C202" s="125">
        <v>60</v>
      </c>
      <c r="D202" s="125">
        <v>3504600</v>
      </c>
      <c r="E202" s="125">
        <v>36</v>
      </c>
      <c r="F202" s="125">
        <v>2102760</v>
      </c>
      <c r="G202" s="125">
        <v>20</v>
      </c>
      <c r="H202" s="125">
        <f t="shared" si="6"/>
        <v>1168200</v>
      </c>
      <c r="I202" s="125">
        <v>76</v>
      </c>
      <c r="J202" s="125">
        <v>4439160</v>
      </c>
      <c r="K202" s="150">
        <f t="shared" si="7"/>
        <v>58410</v>
      </c>
      <c r="L202" s="151">
        <v>200</v>
      </c>
      <c r="M202" s="152" t="s">
        <v>588</v>
      </c>
      <c r="N202" s="152" t="s">
        <v>167</v>
      </c>
      <c r="O202" s="152" t="s">
        <v>528</v>
      </c>
      <c r="P202" s="152"/>
      <c r="Q202" s="158"/>
      <c r="R202" s="131">
        <v>0</v>
      </c>
    </row>
    <row r="203" spans="1:18" ht="15" x14ac:dyDescent="0.25">
      <c r="A203" s="123" t="s">
        <v>210</v>
      </c>
      <c r="B203" s="123">
        <v>12</v>
      </c>
      <c r="C203" s="125">
        <v>625</v>
      </c>
      <c r="D203" s="125">
        <v>6930861</v>
      </c>
      <c r="E203" s="125">
        <v>0</v>
      </c>
      <c r="F203" s="125">
        <v>0</v>
      </c>
      <c r="G203" s="125">
        <v>0</v>
      </c>
      <c r="H203" s="125">
        <f t="shared" si="6"/>
        <v>0</v>
      </c>
      <c r="I203" s="125">
        <v>625</v>
      </c>
      <c r="J203" s="125">
        <v>6930861</v>
      </c>
      <c r="K203" s="150">
        <f t="shared" si="7"/>
        <v>11089.3776</v>
      </c>
      <c r="L203" s="151">
        <v>201</v>
      </c>
      <c r="M203" s="152" t="s">
        <v>589</v>
      </c>
      <c r="N203" s="152" t="s">
        <v>168</v>
      </c>
      <c r="O203" s="152" t="s">
        <v>528</v>
      </c>
      <c r="P203" s="152"/>
      <c r="Q203" s="158"/>
      <c r="R203" s="131">
        <v>0</v>
      </c>
    </row>
    <row r="204" spans="1:18" ht="15" x14ac:dyDescent="0.25">
      <c r="A204" s="123" t="s">
        <v>211</v>
      </c>
      <c r="B204" s="123">
        <v>12</v>
      </c>
      <c r="C204" s="125">
        <v>0</v>
      </c>
      <c r="D204" s="125">
        <v>0</v>
      </c>
      <c r="E204" s="125">
        <v>115</v>
      </c>
      <c r="F204" s="125">
        <v>2133360</v>
      </c>
      <c r="G204" s="125">
        <v>0</v>
      </c>
      <c r="H204" s="125">
        <f t="shared" si="6"/>
        <v>0</v>
      </c>
      <c r="I204" s="125">
        <v>115</v>
      </c>
      <c r="J204" s="125">
        <v>2133360</v>
      </c>
      <c r="K204" s="150">
        <f t="shared" si="7"/>
        <v>18550.956521739132</v>
      </c>
      <c r="L204" s="151">
        <v>202</v>
      </c>
      <c r="M204" s="152" t="s">
        <v>590</v>
      </c>
      <c r="N204" s="152" t="s">
        <v>164</v>
      </c>
      <c r="O204" s="152" t="s">
        <v>528</v>
      </c>
      <c r="P204" s="152"/>
      <c r="Q204" s="158"/>
      <c r="R204" s="131">
        <v>0</v>
      </c>
    </row>
    <row r="205" spans="1:18" ht="15" x14ac:dyDescent="0.25">
      <c r="A205" s="123" t="s">
        <v>212</v>
      </c>
      <c r="B205" s="123">
        <v>12</v>
      </c>
      <c r="C205" s="125">
        <v>33249</v>
      </c>
      <c r="D205" s="125">
        <v>411726334</v>
      </c>
      <c r="E205" s="125">
        <v>6084</v>
      </c>
      <c r="F205" s="125">
        <v>40227840</v>
      </c>
      <c r="G205" s="125">
        <v>21793</v>
      </c>
      <c r="H205" s="125">
        <f t="shared" si="6"/>
        <v>234183600</v>
      </c>
      <c r="I205" s="125">
        <v>17540</v>
      </c>
      <c r="J205" s="125">
        <v>217770574</v>
      </c>
      <c r="K205" s="150">
        <f t="shared" si="7"/>
        <v>12415.654161915621</v>
      </c>
      <c r="L205" s="151">
        <v>203</v>
      </c>
      <c r="M205" s="152" t="s">
        <v>591</v>
      </c>
      <c r="N205" s="152" t="s">
        <v>165</v>
      </c>
      <c r="O205" s="152" t="s">
        <v>528</v>
      </c>
      <c r="P205" s="152"/>
      <c r="Q205" s="158">
        <v>0</v>
      </c>
      <c r="R205" s="131">
        <v>0</v>
      </c>
    </row>
    <row r="206" spans="1:18" ht="15" x14ac:dyDescent="0.25">
      <c r="A206" s="123" t="s">
        <v>213</v>
      </c>
      <c r="B206" s="123">
        <v>12</v>
      </c>
      <c r="C206" s="125">
        <v>3820</v>
      </c>
      <c r="D206" s="125">
        <v>76529330</v>
      </c>
      <c r="E206" s="125">
        <v>0</v>
      </c>
      <c r="F206" s="125">
        <v>0</v>
      </c>
      <c r="G206" s="125">
        <v>2430</v>
      </c>
      <c r="H206" s="125">
        <f t="shared" si="6"/>
        <v>46999426</v>
      </c>
      <c r="I206" s="125">
        <v>1390</v>
      </c>
      <c r="J206" s="125">
        <v>29529904</v>
      </c>
      <c r="K206" s="150">
        <f t="shared" si="7"/>
        <v>21244.535251798563</v>
      </c>
      <c r="L206" s="151">
        <v>204</v>
      </c>
      <c r="M206" s="152" t="s">
        <v>592</v>
      </c>
      <c r="N206" s="152" t="s">
        <v>166</v>
      </c>
      <c r="O206" s="152" t="s">
        <v>528</v>
      </c>
      <c r="P206" s="152"/>
      <c r="Q206" s="158"/>
      <c r="R206" s="131">
        <v>0</v>
      </c>
    </row>
    <row r="207" spans="1:18" ht="15" x14ac:dyDescent="0.25">
      <c r="A207" s="123" t="s">
        <v>214</v>
      </c>
      <c r="B207" s="123">
        <v>12</v>
      </c>
      <c r="C207" s="125">
        <v>9946</v>
      </c>
      <c r="D207" s="125">
        <v>217056384</v>
      </c>
      <c r="E207" s="125">
        <v>11664</v>
      </c>
      <c r="F207" s="125">
        <v>287377632</v>
      </c>
      <c r="G207" s="125">
        <v>11949</v>
      </c>
      <c r="H207" s="125">
        <f t="shared" si="6"/>
        <v>266401600</v>
      </c>
      <c r="I207" s="125">
        <v>9661</v>
      </c>
      <c r="J207" s="125">
        <v>238032416</v>
      </c>
      <c r="K207" s="150">
        <f t="shared" si="7"/>
        <v>24638.486285063656</v>
      </c>
      <c r="L207" s="151">
        <v>205</v>
      </c>
      <c r="M207" s="152" t="s">
        <v>593</v>
      </c>
      <c r="N207" s="152" t="s">
        <v>171</v>
      </c>
      <c r="O207" s="152" t="s">
        <v>528</v>
      </c>
      <c r="P207" s="152"/>
      <c r="Q207" s="158"/>
      <c r="R207" s="131">
        <v>0</v>
      </c>
    </row>
    <row r="208" spans="1:18" ht="15" x14ac:dyDescent="0.25">
      <c r="A208" s="123" t="s">
        <v>215</v>
      </c>
      <c r="B208" s="123">
        <v>12</v>
      </c>
      <c r="C208" s="125">
        <v>2800</v>
      </c>
      <c r="D208" s="125">
        <v>111956379</v>
      </c>
      <c r="E208" s="125">
        <v>0</v>
      </c>
      <c r="F208" s="125">
        <v>0</v>
      </c>
      <c r="G208" s="125">
        <v>2241</v>
      </c>
      <c r="H208" s="125">
        <f t="shared" si="6"/>
        <v>88085680</v>
      </c>
      <c r="I208" s="125">
        <v>559</v>
      </c>
      <c r="J208" s="125">
        <v>23870699</v>
      </c>
      <c r="K208" s="150">
        <f t="shared" si="7"/>
        <v>42702.502683363149</v>
      </c>
      <c r="L208" s="151">
        <v>206</v>
      </c>
      <c r="M208" s="152" t="s">
        <v>594</v>
      </c>
      <c r="N208" s="152" t="s">
        <v>172</v>
      </c>
      <c r="O208" s="152" t="s">
        <v>528</v>
      </c>
      <c r="P208" s="152">
        <v>489</v>
      </c>
      <c r="Q208" s="158">
        <v>188509</v>
      </c>
      <c r="R208" s="131">
        <v>92180901</v>
      </c>
    </row>
    <row r="209" spans="1:18" ht="15" x14ac:dyDescent="0.25">
      <c r="A209" s="123" t="s">
        <v>216</v>
      </c>
      <c r="B209" s="123">
        <v>12</v>
      </c>
      <c r="C209" s="125">
        <v>0</v>
      </c>
      <c r="D209" s="125">
        <v>0</v>
      </c>
      <c r="E209" s="125">
        <v>160</v>
      </c>
      <c r="F209" s="125">
        <v>2778080</v>
      </c>
      <c r="G209" s="125">
        <v>160</v>
      </c>
      <c r="H209" s="125">
        <f t="shared" si="6"/>
        <v>2778080</v>
      </c>
      <c r="I209" s="125">
        <v>0</v>
      </c>
      <c r="J209" s="125">
        <v>0</v>
      </c>
      <c r="K209" s="150"/>
      <c r="L209" s="151">
        <v>207</v>
      </c>
      <c r="M209" s="152" t="s">
        <v>595</v>
      </c>
      <c r="N209" s="152" t="s">
        <v>173</v>
      </c>
      <c r="O209" s="152" t="s">
        <v>528</v>
      </c>
      <c r="P209" s="152">
        <v>509</v>
      </c>
      <c r="Q209" s="158">
        <v>188509</v>
      </c>
      <c r="R209" s="131">
        <v>95951081</v>
      </c>
    </row>
    <row r="210" spans="1:18" ht="15" x14ac:dyDescent="0.25">
      <c r="A210" s="123" t="s">
        <v>217</v>
      </c>
      <c r="B210" s="123">
        <v>12</v>
      </c>
      <c r="C210" s="125">
        <v>10</v>
      </c>
      <c r="D210" s="125">
        <v>1775003</v>
      </c>
      <c r="E210" s="125">
        <v>80</v>
      </c>
      <c r="F210" s="125">
        <v>14456000</v>
      </c>
      <c r="G210" s="125">
        <v>0</v>
      </c>
      <c r="H210" s="125">
        <f t="shared" si="6"/>
        <v>0</v>
      </c>
      <c r="I210" s="125">
        <v>90</v>
      </c>
      <c r="J210" s="125">
        <v>16231003</v>
      </c>
      <c r="K210" s="150">
        <f t="shared" si="7"/>
        <v>180344.47777777776</v>
      </c>
      <c r="L210" s="151">
        <v>208</v>
      </c>
      <c r="M210" s="152" t="s">
        <v>596</v>
      </c>
      <c r="N210" s="152" t="s">
        <v>145</v>
      </c>
      <c r="O210" s="152" t="s">
        <v>528</v>
      </c>
      <c r="P210" s="152"/>
      <c r="Q210" s="158"/>
      <c r="R210" s="131">
        <v>0</v>
      </c>
    </row>
    <row r="211" spans="1:18" ht="15" x14ac:dyDescent="0.25">
      <c r="A211" s="123" t="s">
        <v>218</v>
      </c>
      <c r="B211" s="123">
        <v>12</v>
      </c>
      <c r="C211" s="125">
        <v>0</v>
      </c>
      <c r="D211" s="125">
        <v>0</v>
      </c>
      <c r="E211" s="125">
        <v>50</v>
      </c>
      <c r="F211" s="125">
        <v>11800000</v>
      </c>
      <c r="G211" s="125">
        <v>0</v>
      </c>
      <c r="H211" s="125">
        <f t="shared" si="6"/>
        <v>0</v>
      </c>
      <c r="I211" s="125">
        <v>50</v>
      </c>
      <c r="J211" s="125">
        <v>11800000</v>
      </c>
      <c r="K211" s="150">
        <f t="shared" si="7"/>
        <v>236000</v>
      </c>
      <c r="L211" s="151">
        <v>209</v>
      </c>
      <c r="M211" s="152" t="s">
        <v>597</v>
      </c>
      <c r="N211" s="152" t="s">
        <v>598</v>
      </c>
      <c r="O211" s="152" t="s">
        <v>528</v>
      </c>
      <c r="P211" s="152"/>
      <c r="Q211" s="158"/>
      <c r="R211" s="131">
        <v>0</v>
      </c>
    </row>
    <row r="212" spans="1:18" ht="15" x14ac:dyDescent="0.25">
      <c r="A212" s="123" t="s">
        <v>219</v>
      </c>
      <c r="B212" s="123">
        <v>12</v>
      </c>
      <c r="C212" s="125">
        <v>0</v>
      </c>
      <c r="D212" s="125">
        <v>0</v>
      </c>
      <c r="E212" s="125">
        <v>30</v>
      </c>
      <c r="F212" s="125">
        <v>7080000</v>
      </c>
      <c r="G212" s="125">
        <v>0</v>
      </c>
      <c r="H212" s="125">
        <f t="shared" si="6"/>
        <v>0</v>
      </c>
      <c r="I212" s="125">
        <v>30</v>
      </c>
      <c r="J212" s="125">
        <v>7080000</v>
      </c>
      <c r="K212" s="150">
        <f t="shared" si="7"/>
        <v>236000</v>
      </c>
      <c r="L212" s="151">
        <v>210</v>
      </c>
      <c r="M212" s="152" t="s">
        <v>599</v>
      </c>
      <c r="N212" s="152" t="s">
        <v>600</v>
      </c>
      <c r="O212" s="152" t="s">
        <v>528</v>
      </c>
      <c r="P212" s="152">
        <v>144</v>
      </c>
      <c r="Q212" s="158">
        <v>157091</v>
      </c>
      <c r="R212" s="131">
        <v>22621104</v>
      </c>
    </row>
    <row r="213" spans="1:18" ht="15" x14ac:dyDescent="0.25">
      <c r="A213" s="123" t="s">
        <v>220</v>
      </c>
      <c r="B213" s="123">
        <v>12</v>
      </c>
      <c r="C213" s="125">
        <v>0</v>
      </c>
      <c r="D213" s="125">
        <v>0</v>
      </c>
      <c r="E213" s="125">
        <v>72</v>
      </c>
      <c r="F213" s="125">
        <v>1847966</v>
      </c>
      <c r="G213" s="125">
        <v>0</v>
      </c>
      <c r="H213" s="125">
        <f t="shared" si="6"/>
        <v>0</v>
      </c>
      <c r="I213" s="125">
        <v>72</v>
      </c>
      <c r="J213" s="125">
        <v>1847966</v>
      </c>
      <c r="K213" s="150">
        <f t="shared" si="7"/>
        <v>25666.194444444445</v>
      </c>
      <c r="L213" s="151">
        <v>211</v>
      </c>
      <c r="M213" s="152" t="s">
        <v>601</v>
      </c>
      <c r="N213" s="152" t="s">
        <v>602</v>
      </c>
      <c r="O213" s="152" t="s">
        <v>528</v>
      </c>
      <c r="P213" s="152">
        <v>149</v>
      </c>
      <c r="Q213" s="158">
        <v>157091</v>
      </c>
      <c r="R213" s="131">
        <v>23406559</v>
      </c>
    </row>
    <row r="214" spans="1:18" ht="15" x14ac:dyDescent="0.25">
      <c r="A214" s="123" t="s">
        <v>221</v>
      </c>
      <c r="B214" s="123">
        <v>12</v>
      </c>
      <c r="C214" s="125">
        <v>4178</v>
      </c>
      <c r="D214" s="125">
        <v>81823781</v>
      </c>
      <c r="E214" s="125">
        <v>1656</v>
      </c>
      <c r="F214" s="125">
        <v>32608296</v>
      </c>
      <c r="G214" s="125">
        <v>1904</v>
      </c>
      <c r="H214" s="125">
        <f t="shared" si="6"/>
        <v>37346362</v>
      </c>
      <c r="I214" s="125">
        <v>3930</v>
      </c>
      <c r="J214" s="125">
        <v>77085715</v>
      </c>
      <c r="K214" s="150">
        <f t="shared" si="7"/>
        <v>19614.685750636134</v>
      </c>
      <c r="L214" s="151">
        <v>212</v>
      </c>
      <c r="M214" s="152" t="s">
        <v>603</v>
      </c>
      <c r="N214" s="152" t="s">
        <v>604</v>
      </c>
      <c r="O214" s="152" t="s">
        <v>528</v>
      </c>
      <c r="P214" s="152"/>
      <c r="Q214" s="158"/>
      <c r="R214" s="131">
        <v>0</v>
      </c>
    </row>
    <row r="215" spans="1:18" ht="15" x14ac:dyDescent="0.25">
      <c r="A215" s="123" t="s">
        <v>222</v>
      </c>
      <c r="B215" s="123">
        <v>12</v>
      </c>
      <c r="C215" s="125">
        <v>1066</v>
      </c>
      <c r="D215" s="125">
        <v>22876165</v>
      </c>
      <c r="E215" s="125">
        <v>0</v>
      </c>
      <c r="F215" s="125">
        <v>0</v>
      </c>
      <c r="G215" s="125">
        <v>304</v>
      </c>
      <c r="H215" s="125">
        <f t="shared" si="6"/>
        <v>3734008</v>
      </c>
      <c r="I215" s="125">
        <v>762</v>
      </c>
      <c r="J215" s="125">
        <v>19142157</v>
      </c>
      <c r="K215" s="150">
        <f t="shared" si="7"/>
        <v>25120.940944881891</v>
      </c>
      <c r="L215" s="151">
        <v>213</v>
      </c>
      <c r="M215" s="152" t="s">
        <v>605</v>
      </c>
      <c r="N215" s="152" t="s">
        <v>606</v>
      </c>
      <c r="O215" s="152" t="s">
        <v>528</v>
      </c>
      <c r="P215" s="152"/>
      <c r="Q215" s="158"/>
      <c r="R215" s="131">
        <v>0</v>
      </c>
    </row>
    <row r="216" spans="1:18" ht="15" x14ac:dyDescent="0.25">
      <c r="A216" s="123" t="s">
        <v>223</v>
      </c>
      <c r="B216" s="123">
        <v>12</v>
      </c>
      <c r="C216" s="125">
        <v>337</v>
      </c>
      <c r="D216" s="125">
        <v>14575142</v>
      </c>
      <c r="E216" s="125">
        <v>0</v>
      </c>
      <c r="F216" s="125">
        <v>0</v>
      </c>
      <c r="G216" s="125">
        <v>90</v>
      </c>
      <c r="H216" s="125">
        <f t="shared" si="6"/>
        <v>3892471</v>
      </c>
      <c r="I216" s="125">
        <v>247</v>
      </c>
      <c r="J216" s="125">
        <v>10682671</v>
      </c>
      <c r="K216" s="150">
        <f t="shared" si="7"/>
        <v>43249.680161943317</v>
      </c>
      <c r="L216" s="151">
        <v>214</v>
      </c>
      <c r="M216" s="152" t="s">
        <v>607</v>
      </c>
      <c r="N216" s="152" t="s">
        <v>608</v>
      </c>
      <c r="O216" s="152" t="s">
        <v>528</v>
      </c>
      <c r="P216" s="152"/>
      <c r="Q216" s="158"/>
      <c r="R216" s="131">
        <v>0</v>
      </c>
    </row>
    <row r="217" spans="1:18" ht="15" x14ac:dyDescent="0.25">
      <c r="A217" s="123" t="s">
        <v>224</v>
      </c>
      <c r="B217" s="123">
        <v>12</v>
      </c>
      <c r="C217" s="125">
        <v>0</v>
      </c>
      <c r="D217" s="125">
        <v>0</v>
      </c>
      <c r="E217" s="125">
        <v>0</v>
      </c>
      <c r="F217" s="125">
        <v>0</v>
      </c>
      <c r="G217" s="125">
        <v>0</v>
      </c>
      <c r="H217" s="125">
        <f t="shared" si="6"/>
        <v>0</v>
      </c>
      <c r="I217" s="125">
        <v>0</v>
      </c>
      <c r="J217" s="125">
        <v>0</v>
      </c>
      <c r="K217" s="150"/>
      <c r="L217" s="151">
        <v>215</v>
      </c>
      <c r="M217" s="152" t="s">
        <v>609</v>
      </c>
      <c r="N217" s="152" t="s">
        <v>610</v>
      </c>
      <c r="O217" s="152" t="s">
        <v>528</v>
      </c>
      <c r="P217" s="152"/>
      <c r="Q217" s="158"/>
      <c r="R217" s="131">
        <v>0</v>
      </c>
    </row>
    <row r="218" spans="1:18" ht="15" x14ac:dyDescent="0.25">
      <c r="A218" s="123" t="s">
        <v>225</v>
      </c>
      <c r="B218" s="123">
        <v>12</v>
      </c>
      <c r="C218" s="125">
        <v>268</v>
      </c>
      <c r="D218" s="125">
        <v>5622934</v>
      </c>
      <c r="E218" s="125">
        <v>144</v>
      </c>
      <c r="F218" s="125">
        <v>3021278</v>
      </c>
      <c r="G218" s="125">
        <v>180</v>
      </c>
      <c r="H218" s="125">
        <f t="shared" si="6"/>
        <v>3776597</v>
      </c>
      <c r="I218" s="125">
        <v>232</v>
      </c>
      <c r="J218" s="125">
        <v>4867615</v>
      </c>
      <c r="K218" s="150">
        <f t="shared" si="7"/>
        <v>20981.099137931036</v>
      </c>
      <c r="L218" s="151">
        <v>216</v>
      </c>
      <c r="M218" s="152" t="s">
        <v>611</v>
      </c>
      <c r="N218" s="152" t="s">
        <v>147</v>
      </c>
      <c r="O218" s="152" t="s">
        <v>528</v>
      </c>
      <c r="P218" s="152"/>
      <c r="Q218" s="158"/>
      <c r="R218" s="131">
        <v>0</v>
      </c>
    </row>
    <row r="219" spans="1:18" ht="15" x14ac:dyDescent="0.25">
      <c r="A219" s="123" t="s">
        <v>226</v>
      </c>
      <c r="B219" s="123">
        <v>12</v>
      </c>
      <c r="C219" s="125">
        <v>0</v>
      </c>
      <c r="D219" s="125">
        <v>0</v>
      </c>
      <c r="E219" s="125">
        <v>0</v>
      </c>
      <c r="F219" s="125">
        <v>0</v>
      </c>
      <c r="G219" s="125">
        <v>0</v>
      </c>
      <c r="H219" s="125">
        <f t="shared" si="6"/>
        <v>0</v>
      </c>
      <c r="I219" s="125">
        <v>0</v>
      </c>
      <c r="J219" s="125">
        <v>0</v>
      </c>
      <c r="K219" s="150"/>
      <c r="L219" s="151">
        <v>217</v>
      </c>
      <c r="M219" s="152" t="s">
        <v>612</v>
      </c>
      <c r="N219" s="152" t="s">
        <v>613</v>
      </c>
      <c r="O219" s="152" t="s">
        <v>528</v>
      </c>
      <c r="P219" s="152"/>
      <c r="Q219" s="158"/>
      <c r="R219" s="131">
        <v>0</v>
      </c>
    </row>
    <row r="220" spans="1:18" ht="15" x14ac:dyDescent="0.25">
      <c r="A220" s="123" t="s">
        <v>227</v>
      </c>
      <c r="B220" s="123">
        <v>12</v>
      </c>
      <c r="C220" s="125">
        <v>470</v>
      </c>
      <c r="D220" s="125">
        <v>0</v>
      </c>
      <c r="E220" s="125"/>
      <c r="F220" s="125">
        <v>0</v>
      </c>
      <c r="G220" s="125">
        <v>0</v>
      </c>
      <c r="H220" s="125">
        <f t="shared" si="6"/>
        <v>0</v>
      </c>
      <c r="I220" s="125"/>
      <c r="J220" s="125">
        <v>0</v>
      </c>
      <c r="K220" s="150"/>
      <c r="L220" s="151">
        <v>218</v>
      </c>
      <c r="M220" s="152" t="s">
        <v>614</v>
      </c>
      <c r="N220" s="152" t="s">
        <v>148</v>
      </c>
      <c r="O220" s="152" t="s">
        <v>528</v>
      </c>
      <c r="P220" s="152"/>
      <c r="Q220" s="158"/>
      <c r="R220" s="131">
        <v>0</v>
      </c>
    </row>
    <row r="221" spans="1:18" ht="15" x14ac:dyDescent="0.25">
      <c r="A221" s="123" t="s">
        <v>228</v>
      </c>
      <c r="B221" s="123">
        <v>12</v>
      </c>
      <c r="C221" s="125">
        <v>67</v>
      </c>
      <c r="D221" s="125">
        <v>5925955</v>
      </c>
      <c r="E221" s="125">
        <v>56</v>
      </c>
      <c r="F221" s="125">
        <v>4917248</v>
      </c>
      <c r="G221" s="125">
        <v>0</v>
      </c>
      <c r="H221" s="125">
        <f t="shared" si="6"/>
        <v>0</v>
      </c>
      <c r="I221" s="125">
        <v>123</v>
      </c>
      <c r="J221" s="125">
        <v>10843203</v>
      </c>
      <c r="K221" s="150">
        <f t="shared" si="7"/>
        <v>88156.121951219509</v>
      </c>
      <c r="L221" s="151">
        <v>219</v>
      </c>
      <c r="M221" s="152" t="s">
        <v>615</v>
      </c>
      <c r="N221" s="152" t="s">
        <v>616</v>
      </c>
      <c r="O221" s="152" t="s">
        <v>528</v>
      </c>
      <c r="P221" s="152"/>
      <c r="Q221" s="158"/>
      <c r="R221" s="131">
        <v>0</v>
      </c>
    </row>
    <row r="222" spans="1:18" ht="15" x14ac:dyDescent="0.25">
      <c r="A222" s="123" t="s">
        <v>229</v>
      </c>
      <c r="B222" s="123">
        <v>12</v>
      </c>
      <c r="C222" s="125">
        <v>2747</v>
      </c>
      <c r="D222" s="125">
        <v>247783362</v>
      </c>
      <c r="E222" s="125">
        <v>412</v>
      </c>
      <c r="F222" s="125">
        <v>36610448</v>
      </c>
      <c r="G222" s="125">
        <v>2933</v>
      </c>
      <c r="H222" s="125">
        <f t="shared" si="6"/>
        <v>263286766</v>
      </c>
      <c r="I222" s="125">
        <v>226</v>
      </c>
      <c r="J222" s="125">
        <v>21107044</v>
      </c>
      <c r="K222" s="150">
        <f t="shared" si="7"/>
        <v>93394</v>
      </c>
      <c r="L222" s="151">
        <v>220</v>
      </c>
      <c r="M222" s="152" t="s">
        <v>617</v>
      </c>
      <c r="N222" s="152" t="s">
        <v>618</v>
      </c>
      <c r="O222" s="152" t="s">
        <v>528</v>
      </c>
      <c r="P222" s="152"/>
      <c r="Q222" s="158"/>
      <c r="R222" s="131">
        <v>0</v>
      </c>
    </row>
    <row r="223" spans="1:18" ht="15" x14ac:dyDescent="0.25">
      <c r="A223" s="123" t="s">
        <v>230</v>
      </c>
      <c r="B223" s="123">
        <v>12</v>
      </c>
      <c r="C223" s="125">
        <v>1429</v>
      </c>
      <c r="D223" s="125">
        <v>91033464</v>
      </c>
      <c r="E223" s="125">
        <v>924</v>
      </c>
      <c r="F223" s="125">
        <v>52136000</v>
      </c>
      <c r="G223" s="125">
        <v>2107</v>
      </c>
      <c r="H223" s="125">
        <f t="shared" si="6"/>
        <v>127167097</v>
      </c>
      <c r="I223" s="125">
        <v>246</v>
      </c>
      <c r="J223" s="125">
        <v>16002367</v>
      </c>
      <c r="K223" s="150">
        <f t="shared" si="7"/>
        <v>65050.272357723574</v>
      </c>
      <c r="L223" s="151">
        <v>221</v>
      </c>
      <c r="M223" s="152" t="s">
        <v>619</v>
      </c>
      <c r="N223" s="152" t="s">
        <v>150</v>
      </c>
      <c r="O223" s="152" t="s">
        <v>528</v>
      </c>
      <c r="P223" s="152"/>
      <c r="Q223" s="158"/>
      <c r="R223" s="131">
        <v>0</v>
      </c>
    </row>
    <row r="224" spans="1:18" ht="15" x14ac:dyDescent="0.25">
      <c r="A224" s="123" t="s">
        <v>231</v>
      </c>
      <c r="B224" s="123">
        <v>12</v>
      </c>
      <c r="C224" s="125">
        <v>0</v>
      </c>
      <c r="D224" s="125">
        <v>0</v>
      </c>
      <c r="E224" s="125">
        <v>0</v>
      </c>
      <c r="F224" s="125">
        <v>0</v>
      </c>
      <c r="G224" s="125">
        <v>0</v>
      </c>
      <c r="H224" s="125">
        <f t="shared" si="6"/>
        <v>0</v>
      </c>
      <c r="I224" s="125">
        <v>0</v>
      </c>
      <c r="J224" s="125">
        <v>0</v>
      </c>
      <c r="K224" s="150" t="e">
        <f t="shared" si="7"/>
        <v>#DIV/0!</v>
      </c>
      <c r="L224" s="151">
        <v>222</v>
      </c>
      <c r="M224" s="152" t="s">
        <v>620</v>
      </c>
      <c r="N224" s="152" t="s">
        <v>153</v>
      </c>
      <c r="O224" s="152" t="s">
        <v>528</v>
      </c>
      <c r="P224" s="152"/>
      <c r="Q224" s="158"/>
      <c r="R224" s="131">
        <v>0</v>
      </c>
    </row>
    <row r="225" spans="1:18" ht="15" x14ac:dyDescent="0.25">
      <c r="A225" s="123" t="s">
        <v>232</v>
      </c>
      <c r="B225" s="123">
        <v>12</v>
      </c>
      <c r="C225" s="125">
        <v>897</v>
      </c>
      <c r="D225" s="125">
        <v>54866918</v>
      </c>
      <c r="E225" s="125">
        <v>389</v>
      </c>
      <c r="F225" s="125">
        <v>22866732</v>
      </c>
      <c r="G225" s="125">
        <v>665</v>
      </c>
      <c r="H225" s="125">
        <f t="shared" si="6"/>
        <v>40196639</v>
      </c>
      <c r="I225" s="125">
        <v>621</v>
      </c>
      <c r="J225" s="125">
        <v>37537011</v>
      </c>
      <c r="K225" s="150">
        <f t="shared" si="7"/>
        <v>60446.072463768112</v>
      </c>
      <c r="L225" s="151">
        <v>223</v>
      </c>
      <c r="M225" s="152" t="s">
        <v>621</v>
      </c>
      <c r="N225" s="152" t="s">
        <v>159</v>
      </c>
      <c r="O225" s="152" t="s">
        <v>528</v>
      </c>
      <c r="P225" s="152">
        <v>59</v>
      </c>
      <c r="Q225" s="158">
        <v>264273</v>
      </c>
      <c r="R225" s="131">
        <v>15592107</v>
      </c>
    </row>
    <row r="226" spans="1:18" ht="15" x14ac:dyDescent="0.25">
      <c r="A226" s="123" t="s">
        <v>233</v>
      </c>
      <c r="B226" s="123">
        <v>12</v>
      </c>
      <c r="C226" s="125">
        <v>5775</v>
      </c>
      <c r="D226" s="125">
        <v>348275500</v>
      </c>
      <c r="E226" s="125">
        <v>2032</v>
      </c>
      <c r="F226" s="125">
        <v>100352000</v>
      </c>
      <c r="G226" s="125">
        <v>5082</v>
      </c>
      <c r="H226" s="125">
        <f t="shared" si="6"/>
        <v>277727259</v>
      </c>
      <c r="I226" s="125">
        <v>2725</v>
      </c>
      <c r="J226" s="125">
        <v>170900241</v>
      </c>
      <c r="K226" s="150">
        <f t="shared" si="7"/>
        <v>62715.684770642205</v>
      </c>
      <c r="L226" s="151">
        <v>224</v>
      </c>
      <c r="M226" s="152" t="s">
        <v>622</v>
      </c>
      <c r="N226" s="152" t="s">
        <v>160</v>
      </c>
      <c r="O226" s="152" t="s">
        <v>528</v>
      </c>
      <c r="P226" s="152">
        <v>4</v>
      </c>
      <c r="Q226" s="158">
        <v>264273</v>
      </c>
      <c r="R226" s="131">
        <v>1057092</v>
      </c>
    </row>
    <row r="227" spans="1:18" ht="15" x14ac:dyDescent="0.25">
      <c r="A227" s="123" t="s">
        <v>234</v>
      </c>
      <c r="B227" s="123">
        <v>12</v>
      </c>
      <c r="C227" s="125">
        <v>22923</v>
      </c>
      <c r="D227" s="125">
        <v>1293167657</v>
      </c>
      <c r="E227" s="125">
        <v>17433</v>
      </c>
      <c r="F227" s="125">
        <v>905972760</v>
      </c>
      <c r="G227" s="125">
        <v>25056</v>
      </c>
      <c r="H227" s="125">
        <f t="shared" si="6"/>
        <v>1286033703</v>
      </c>
      <c r="I227" s="125">
        <v>15300</v>
      </c>
      <c r="J227" s="125">
        <v>913106714</v>
      </c>
      <c r="K227" s="150">
        <f t="shared" si="7"/>
        <v>59680.177385620918</v>
      </c>
      <c r="L227" s="151">
        <v>225</v>
      </c>
      <c r="M227" s="152" t="s">
        <v>623</v>
      </c>
      <c r="N227" s="152" t="s">
        <v>158</v>
      </c>
      <c r="O227" s="152" t="s">
        <v>528</v>
      </c>
      <c r="P227" s="152"/>
      <c r="Q227" s="158"/>
      <c r="R227" s="131">
        <v>0</v>
      </c>
    </row>
    <row r="228" spans="1:18" ht="15" x14ac:dyDescent="0.25">
      <c r="A228" s="123" t="s">
        <v>235</v>
      </c>
      <c r="B228" s="123">
        <v>12</v>
      </c>
      <c r="C228" s="125">
        <v>322</v>
      </c>
      <c r="D228" s="125">
        <v>22632087</v>
      </c>
      <c r="E228" s="125">
        <v>120</v>
      </c>
      <c r="F228" s="125">
        <v>8467200</v>
      </c>
      <c r="G228" s="125">
        <v>298</v>
      </c>
      <c r="H228" s="125">
        <f t="shared" si="6"/>
        <v>20967393</v>
      </c>
      <c r="I228" s="125">
        <v>144</v>
      </c>
      <c r="J228" s="125">
        <v>10131894</v>
      </c>
      <c r="K228" s="150">
        <f t="shared" si="7"/>
        <v>70360.375</v>
      </c>
      <c r="L228" s="151">
        <v>226</v>
      </c>
      <c r="M228" s="152" t="s">
        <v>624</v>
      </c>
      <c r="N228" s="152" t="s">
        <v>625</v>
      </c>
      <c r="O228" s="152" t="s">
        <v>528</v>
      </c>
      <c r="P228" s="152"/>
      <c r="Q228" s="158"/>
      <c r="R228" s="131">
        <v>0</v>
      </c>
    </row>
    <row r="229" spans="1:18" ht="15" x14ac:dyDescent="0.25">
      <c r="A229" s="123" t="s">
        <v>236</v>
      </c>
      <c r="B229" s="123">
        <v>12</v>
      </c>
      <c r="C229" s="125">
        <v>252</v>
      </c>
      <c r="D229" s="125">
        <v>16163532</v>
      </c>
      <c r="E229" s="125">
        <v>612</v>
      </c>
      <c r="F229" s="125">
        <v>37714908</v>
      </c>
      <c r="G229" s="125">
        <v>463</v>
      </c>
      <c r="H229" s="125">
        <f t="shared" si="6"/>
        <v>28186406</v>
      </c>
      <c r="I229" s="125">
        <v>401</v>
      </c>
      <c r="J229" s="125">
        <v>25692034</v>
      </c>
      <c r="K229" s="150">
        <f t="shared" si="7"/>
        <v>64069.9102244389</v>
      </c>
      <c r="L229" s="151">
        <v>227</v>
      </c>
      <c r="M229" s="152" t="s">
        <v>626</v>
      </c>
      <c r="N229" s="152" t="s">
        <v>627</v>
      </c>
      <c r="O229" s="152" t="s">
        <v>528</v>
      </c>
      <c r="P229" s="152"/>
      <c r="Q229" s="158"/>
      <c r="R229" s="131">
        <v>0</v>
      </c>
    </row>
    <row r="230" spans="1:18" ht="15" x14ac:dyDescent="0.25">
      <c r="A230" s="123" t="s">
        <v>237</v>
      </c>
      <c r="B230" s="123">
        <v>12</v>
      </c>
      <c r="C230" s="125">
        <v>235</v>
      </c>
      <c r="D230" s="125">
        <v>1918332</v>
      </c>
      <c r="E230" s="125">
        <v>235</v>
      </c>
      <c r="F230" s="125">
        <v>13933150</v>
      </c>
      <c r="G230" s="125">
        <v>235</v>
      </c>
      <c r="H230" s="125">
        <f t="shared" si="6"/>
        <v>1918332</v>
      </c>
      <c r="I230" s="125">
        <v>235</v>
      </c>
      <c r="J230" s="125">
        <v>13933150</v>
      </c>
      <c r="K230" s="150">
        <f t="shared" si="7"/>
        <v>59290</v>
      </c>
      <c r="L230" s="151">
        <v>228</v>
      </c>
      <c r="M230" s="152" t="s">
        <v>628</v>
      </c>
      <c r="N230" s="152" t="s">
        <v>629</v>
      </c>
      <c r="O230" s="152" t="s">
        <v>528</v>
      </c>
      <c r="P230" s="152"/>
      <c r="Q230" s="158"/>
      <c r="R230" s="131">
        <v>0</v>
      </c>
    </row>
    <row r="231" spans="1:18" ht="15" x14ac:dyDescent="0.25">
      <c r="A231" s="123" t="s">
        <v>238</v>
      </c>
      <c r="B231" s="123">
        <v>12</v>
      </c>
      <c r="C231" s="125">
        <v>942</v>
      </c>
      <c r="D231" s="125">
        <v>53507694</v>
      </c>
      <c r="E231" s="125">
        <v>0</v>
      </c>
      <c r="F231" s="125">
        <v>0</v>
      </c>
      <c r="G231" s="125">
        <v>543</v>
      </c>
      <c r="H231" s="125">
        <f t="shared" si="6"/>
        <v>7497893</v>
      </c>
      <c r="I231" s="125">
        <v>399</v>
      </c>
      <c r="J231" s="125">
        <v>46009801</v>
      </c>
      <c r="K231" s="150">
        <f t="shared" si="7"/>
        <v>115312.78446115289</v>
      </c>
      <c r="L231" s="151">
        <v>229</v>
      </c>
      <c r="M231" s="152" t="s">
        <v>630</v>
      </c>
      <c r="N231" s="152" t="s">
        <v>631</v>
      </c>
      <c r="O231" s="152" t="s">
        <v>528</v>
      </c>
      <c r="P231" s="152"/>
      <c r="Q231" s="158"/>
      <c r="R231" s="131">
        <v>0</v>
      </c>
    </row>
    <row r="232" spans="1:18" ht="15" x14ac:dyDescent="0.25">
      <c r="A232" s="123" t="s">
        <v>239</v>
      </c>
      <c r="B232" s="123">
        <v>12</v>
      </c>
      <c r="C232" s="125">
        <v>0</v>
      </c>
      <c r="D232" s="125">
        <v>0</v>
      </c>
      <c r="E232" s="125">
        <v>0</v>
      </c>
      <c r="F232" s="125">
        <v>0</v>
      </c>
      <c r="G232" s="125">
        <v>0</v>
      </c>
      <c r="H232" s="125">
        <f t="shared" si="6"/>
        <v>0</v>
      </c>
      <c r="I232" s="125">
        <v>0</v>
      </c>
      <c r="J232" s="125">
        <v>0</v>
      </c>
      <c r="K232" s="150"/>
      <c r="L232" s="151">
        <v>230</v>
      </c>
      <c r="M232" s="152" t="s">
        <v>632</v>
      </c>
      <c r="N232" s="152" t="s">
        <v>633</v>
      </c>
      <c r="O232" s="152" t="s">
        <v>528</v>
      </c>
      <c r="P232" s="152"/>
      <c r="Q232" s="158"/>
      <c r="R232" s="131">
        <v>0</v>
      </c>
    </row>
    <row r="233" spans="1:18" ht="15" x14ac:dyDescent="0.25">
      <c r="A233" s="123" t="s">
        <v>240</v>
      </c>
      <c r="B233" s="123">
        <v>12</v>
      </c>
      <c r="C233" s="125">
        <v>25</v>
      </c>
      <c r="D233" s="125">
        <v>2337348</v>
      </c>
      <c r="E233" s="125">
        <v>2030</v>
      </c>
      <c r="F233" s="125">
        <v>189788760</v>
      </c>
      <c r="G233" s="125">
        <v>1506</v>
      </c>
      <c r="H233" s="125">
        <f t="shared" si="6"/>
        <v>140798987</v>
      </c>
      <c r="I233" s="125">
        <v>549</v>
      </c>
      <c r="J233" s="125">
        <v>51327121</v>
      </c>
      <c r="K233" s="150">
        <f t="shared" si="7"/>
        <v>93492.023679417121</v>
      </c>
      <c r="L233" s="151">
        <v>231</v>
      </c>
      <c r="M233" s="152" t="s">
        <v>634</v>
      </c>
      <c r="N233" s="152" t="s">
        <v>174</v>
      </c>
      <c r="O233" s="152" t="s">
        <v>528</v>
      </c>
      <c r="P233" s="152">
        <v>5</v>
      </c>
      <c r="Q233" s="158">
        <v>274636</v>
      </c>
      <c r="R233" s="131">
        <v>1373180</v>
      </c>
    </row>
    <row r="234" spans="1:18" ht="15" x14ac:dyDescent="0.25">
      <c r="A234" s="123" t="s">
        <v>241</v>
      </c>
      <c r="B234" s="123">
        <v>12</v>
      </c>
      <c r="C234" s="125">
        <v>1186</v>
      </c>
      <c r="D234" s="125">
        <v>91489935</v>
      </c>
      <c r="E234" s="125">
        <v>464</v>
      </c>
      <c r="F234" s="125">
        <v>32792760</v>
      </c>
      <c r="G234" s="125">
        <v>769</v>
      </c>
      <c r="H234" s="125">
        <f t="shared" si="6"/>
        <v>51294858</v>
      </c>
      <c r="I234" s="125">
        <v>881</v>
      </c>
      <c r="J234" s="125">
        <v>72987837</v>
      </c>
      <c r="K234" s="150">
        <f t="shared" si="7"/>
        <v>82846.58002270147</v>
      </c>
      <c r="L234" s="151">
        <v>232</v>
      </c>
      <c r="M234" s="152" t="s">
        <v>635</v>
      </c>
      <c r="N234" s="152" t="s">
        <v>162</v>
      </c>
      <c r="O234" s="152" t="s">
        <v>528</v>
      </c>
      <c r="P234" s="152"/>
      <c r="Q234" s="158"/>
      <c r="R234" s="131">
        <v>0</v>
      </c>
    </row>
    <row r="235" spans="1:18" ht="15" x14ac:dyDescent="0.25">
      <c r="A235" s="123" t="s">
        <v>242</v>
      </c>
      <c r="B235" s="123">
        <v>12</v>
      </c>
      <c r="C235" s="125">
        <v>137</v>
      </c>
      <c r="D235" s="125">
        <v>9584186</v>
      </c>
      <c r="E235" s="125">
        <v>54</v>
      </c>
      <c r="F235" s="125">
        <v>3797010</v>
      </c>
      <c r="G235" s="125">
        <v>38</v>
      </c>
      <c r="H235" s="125">
        <f t="shared" si="6"/>
        <v>2311934</v>
      </c>
      <c r="I235" s="125">
        <v>153</v>
      </c>
      <c r="J235" s="125">
        <v>11069262</v>
      </c>
      <c r="K235" s="150">
        <f t="shared" si="7"/>
        <v>72348.117647058825</v>
      </c>
      <c r="L235" s="151">
        <v>233</v>
      </c>
      <c r="M235" s="152" t="s">
        <v>636</v>
      </c>
      <c r="N235" s="152" t="s">
        <v>637</v>
      </c>
      <c r="O235" s="152" t="s">
        <v>528</v>
      </c>
      <c r="P235" s="152"/>
      <c r="Q235" s="158"/>
      <c r="R235" s="131">
        <v>0</v>
      </c>
    </row>
    <row r="236" spans="1:18" ht="15" x14ac:dyDescent="0.25">
      <c r="A236" s="123" t="s">
        <v>243</v>
      </c>
      <c r="B236" s="123">
        <v>12</v>
      </c>
      <c r="C236" s="125">
        <v>1575</v>
      </c>
      <c r="D236" s="125">
        <v>144885570</v>
      </c>
      <c r="E236" s="125">
        <v>171</v>
      </c>
      <c r="F236" s="125">
        <v>15690192</v>
      </c>
      <c r="G236" s="125">
        <v>1617</v>
      </c>
      <c r="H236" s="125">
        <f t="shared" si="6"/>
        <v>148711917</v>
      </c>
      <c r="I236" s="125">
        <v>129</v>
      </c>
      <c r="J236" s="125">
        <v>11863845</v>
      </c>
      <c r="K236" s="150">
        <f t="shared" si="7"/>
        <v>91967.790697674413</v>
      </c>
      <c r="L236" s="151">
        <v>234</v>
      </c>
      <c r="M236" s="152" t="s">
        <v>638</v>
      </c>
      <c r="N236" s="152" t="s">
        <v>169</v>
      </c>
      <c r="O236" s="152" t="s">
        <v>528</v>
      </c>
      <c r="P236" s="152">
        <v>670</v>
      </c>
      <c r="Q236" s="158">
        <v>182083</v>
      </c>
      <c r="R236" s="131">
        <v>121995610</v>
      </c>
    </row>
    <row r="237" spans="1:18" ht="15" x14ac:dyDescent="0.25">
      <c r="A237" s="123" t="s">
        <v>244</v>
      </c>
      <c r="B237" s="123">
        <v>12</v>
      </c>
      <c r="C237" s="125">
        <v>4</v>
      </c>
      <c r="D237" s="125">
        <v>351232</v>
      </c>
      <c r="E237" s="125">
        <v>48</v>
      </c>
      <c r="F237" s="125">
        <v>4214784</v>
      </c>
      <c r="G237" s="125">
        <v>52</v>
      </c>
      <c r="H237" s="125">
        <f t="shared" si="6"/>
        <v>4566016</v>
      </c>
      <c r="I237" s="125">
        <v>0</v>
      </c>
      <c r="J237" s="125">
        <v>0</v>
      </c>
      <c r="K237" s="150"/>
      <c r="L237" s="151">
        <v>235</v>
      </c>
      <c r="M237" s="152" t="s">
        <v>639</v>
      </c>
      <c r="N237" s="152" t="s">
        <v>152</v>
      </c>
      <c r="O237" s="152" t="s">
        <v>528</v>
      </c>
      <c r="P237" s="152"/>
      <c r="Q237" s="158"/>
      <c r="R237" s="131">
        <v>0</v>
      </c>
    </row>
    <row r="238" spans="1:18" ht="15" x14ac:dyDescent="0.25">
      <c r="A238" s="123" t="s">
        <v>245</v>
      </c>
      <c r="B238" s="123">
        <v>12</v>
      </c>
      <c r="C238" s="125">
        <v>0</v>
      </c>
      <c r="D238" s="125">
        <v>0</v>
      </c>
      <c r="E238" s="125">
        <v>0</v>
      </c>
      <c r="F238" s="125">
        <v>0</v>
      </c>
      <c r="G238" s="125">
        <v>0</v>
      </c>
      <c r="H238" s="125">
        <f t="shared" si="6"/>
        <v>0</v>
      </c>
      <c r="I238" s="125">
        <v>0</v>
      </c>
      <c r="J238" s="125">
        <v>0</v>
      </c>
      <c r="K238" s="150"/>
      <c r="L238" s="151">
        <v>236</v>
      </c>
      <c r="M238" s="152" t="s">
        <v>640</v>
      </c>
      <c r="N238" s="152" t="s">
        <v>641</v>
      </c>
      <c r="O238" s="152" t="s">
        <v>311</v>
      </c>
      <c r="P238" s="152"/>
      <c r="Q238" s="158"/>
      <c r="R238" s="131">
        <v>0</v>
      </c>
    </row>
    <row r="239" spans="1:18" ht="15" x14ac:dyDescent="0.25">
      <c r="A239" s="123" t="s">
        <v>246</v>
      </c>
      <c r="B239" s="123">
        <v>12</v>
      </c>
      <c r="C239" s="125">
        <v>8756</v>
      </c>
      <c r="D239" s="125">
        <v>62408741</v>
      </c>
      <c r="E239" s="125">
        <v>1920</v>
      </c>
      <c r="F239" s="125">
        <v>13684878</v>
      </c>
      <c r="G239" s="125">
        <v>135</v>
      </c>
      <c r="H239" s="125">
        <f t="shared" si="6"/>
        <v>962218</v>
      </c>
      <c r="I239" s="125">
        <v>10541</v>
      </c>
      <c r="J239" s="125">
        <v>75131401</v>
      </c>
      <c r="K239" s="150">
        <f t="shared" si="7"/>
        <v>7127.5401764538465</v>
      </c>
      <c r="L239" s="151">
        <v>237</v>
      </c>
      <c r="M239" s="152" t="s">
        <v>642</v>
      </c>
      <c r="N239" s="152" t="s">
        <v>643</v>
      </c>
      <c r="O239" s="152" t="s">
        <v>303</v>
      </c>
      <c r="P239" s="152"/>
      <c r="Q239" s="158"/>
      <c r="R239" s="131">
        <v>0</v>
      </c>
    </row>
    <row r="240" spans="1:18" ht="15" x14ac:dyDescent="0.25">
      <c r="A240" s="123" t="s">
        <v>247</v>
      </c>
      <c r="B240" s="123">
        <v>12</v>
      </c>
      <c r="C240" s="125">
        <v>43404</v>
      </c>
      <c r="D240" s="125">
        <v>288267066</v>
      </c>
      <c r="E240" s="125">
        <v>2880</v>
      </c>
      <c r="F240" s="125">
        <v>20527315</v>
      </c>
      <c r="G240" s="125">
        <v>3104</v>
      </c>
      <c r="H240" s="125">
        <f t="shared" si="6"/>
        <v>1027447</v>
      </c>
      <c r="I240" s="125">
        <v>43180</v>
      </c>
      <c r="J240" s="125">
        <v>307766934</v>
      </c>
      <c r="K240" s="150">
        <f t="shared" si="7"/>
        <v>7127.5343677628534</v>
      </c>
      <c r="L240" s="151">
        <v>238</v>
      </c>
      <c r="M240" s="152" t="s">
        <v>644</v>
      </c>
      <c r="N240" s="152" t="s">
        <v>645</v>
      </c>
      <c r="O240" s="152" t="s">
        <v>303</v>
      </c>
      <c r="P240" s="152"/>
      <c r="Q240" s="158"/>
      <c r="R240" s="131">
        <v>0</v>
      </c>
    </row>
    <row r="241" spans="1:18" ht="15" x14ac:dyDescent="0.25">
      <c r="A241" s="123" t="s">
        <v>248</v>
      </c>
      <c r="B241" s="123">
        <v>12</v>
      </c>
      <c r="C241" s="125">
        <v>384</v>
      </c>
      <c r="D241" s="125">
        <v>1852721</v>
      </c>
      <c r="E241" s="125">
        <v>0</v>
      </c>
      <c r="F241" s="125">
        <v>0</v>
      </c>
      <c r="G241" s="125">
        <v>0</v>
      </c>
      <c r="H241" s="125">
        <f t="shared" si="6"/>
        <v>0</v>
      </c>
      <c r="I241" s="125">
        <v>384</v>
      </c>
      <c r="J241" s="125">
        <v>1852721</v>
      </c>
      <c r="K241" s="150">
        <f t="shared" si="7"/>
        <v>4824.794270833333</v>
      </c>
      <c r="L241" s="151">
        <v>239</v>
      </c>
      <c r="M241" s="152" t="s">
        <v>646</v>
      </c>
      <c r="N241" s="152" t="s">
        <v>193</v>
      </c>
      <c r="O241" s="152" t="s">
        <v>528</v>
      </c>
      <c r="P241" s="152">
        <v>250</v>
      </c>
      <c r="Q241" s="158">
        <v>213651.57</v>
      </c>
      <c r="R241" s="131">
        <v>53412892.5</v>
      </c>
    </row>
    <row r="242" spans="1:18" ht="15" x14ac:dyDescent="0.25">
      <c r="A242" s="123" t="s">
        <v>249</v>
      </c>
      <c r="B242" s="123">
        <v>12</v>
      </c>
      <c r="C242" s="125">
        <v>420</v>
      </c>
      <c r="D242" s="125">
        <v>1974630</v>
      </c>
      <c r="E242" s="125">
        <v>271</v>
      </c>
      <c r="F242" s="125">
        <v>0</v>
      </c>
      <c r="G242" s="125">
        <v>0</v>
      </c>
      <c r="H242" s="125">
        <f t="shared" si="6"/>
        <v>0</v>
      </c>
      <c r="I242" s="125">
        <v>691</v>
      </c>
      <c r="J242" s="125">
        <v>1974630</v>
      </c>
      <c r="K242" s="150">
        <f t="shared" si="7"/>
        <v>2857.6410998552824</v>
      </c>
      <c r="L242" s="151">
        <v>240</v>
      </c>
      <c r="M242" s="152" t="s">
        <v>647</v>
      </c>
      <c r="N242" s="152" t="s">
        <v>195</v>
      </c>
      <c r="O242" s="152" t="s">
        <v>528</v>
      </c>
      <c r="P242" s="152">
        <v>9805</v>
      </c>
      <c r="Q242" s="158">
        <v>213651.57</v>
      </c>
      <c r="R242" s="131">
        <v>2094853643.8500001</v>
      </c>
    </row>
    <row r="243" spans="1:18" ht="15" x14ac:dyDescent="0.25">
      <c r="A243" s="123" t="s">
        <v>250</v>
      </c>
      <c r="B243" s="123">
        <v>12</v>
      </c>
      <c r="C243" s="125">
        <v>16561</v>
      </c>
      <c r="D243" s="125">
        <v>169801355</v>
      </c>
      <c r="E243" s="125">
        <v>20781</v>
      </c>
      <c r="F243" s="125">
        <v>199603082</v>
      </c>
      <c r="G243" s="125">
        <v>11497</v>
      </c>
      <c r="H243" s="125">
        <f t="shared" si="6"/>
        <v>185196842</v>
      </c>
      <c r="I243" s="125">
        <v>25845</v>
      </c>
      <c r="J243" s="125">
        <v>184207595</v>
      </c>
      <c r="K243" s="150">
        <f t="shared" si="7"/>
        <v>7127.3977558521956</v>
      </c>
      <c r="L243" s="151">
        <v>241</v>
      </c>
      <c r="M243" s="152" t="s">
        <v>648</v>
      </c>
      <c r="N243" s="152" t="s">
        <v>649</v>
      </c>
      <c r="O243" s="152" t="s">
        <v>303</v>
      </c>
      <c r="P243" s="152"/>
      <c r="Q243" s="158"/>
      <c r="R243" s="131">
        <v>0</v>
      </c>
    </row>
    <row r="244" spans="1:18" ht="15" x14ac:dyDescent="0.25">
      <c r="A244" s="123" t="s">
        <v>251</v>
      </c>
      <c r="B244" s="123">
        <v>12</v>
      </c>
      <c r="C244" s="125">
        <v>0</v>
      </c>
      <c r="D244" s="125"/>
      <c r="E244" s="125"/>
      <c r="F244" s="125"/>
      <c r="G244" s="125"/>
      <c r="H244" s="125">
        <f t="shared" si="6"/>
        <v>0</v>
      </c>
      <c r="I244" s="125"/>
      <c r="J244" s="125"/>
      <c r="K244" s="150"/>
      <c r="L244" s="151">
        <v>242</v>
      </c>
      <c r="M244" s="152" t="s">
        <v>650</v>
      </c>
      <c r="N244" s="152" t="s">
        <v>651</v>
      </c>
      <c r="O244" s="152" t="s">
        <v>303</v>
      </c>
      <c r="P244" s="152"/>
      <c r="Q244" s="158"/>
      <c r="R244" s="131">
        <v>0</v>
      </c>
    </row>
    <row r="245" spans="1:18" ht="15" x14ac:dyDescent="0.25">
      <c r="A245" s="123" t="s">
        <v>252</v>
      </c>
      <c r="B245" s="123">
        <v>12</v>
      </c>
      <c r="C245" s="125">
        <v>0</v>
      </c>
      <c r="D245" s="125">
        <v>0</v>
      </c>
      <c r="E245" s="125">
        <v>0</v>
      </c>
      <c r="F245" s="125">
        <v>0</v>
      </c>
      <c r="G245" s="125">
        <v>0</v>
      </c>
      <c r="H245" s="125">
        <f t="shared" si="6"/>
        <v>0</v>
      </c>
      <c r="I245" s="125">
        <v>0</v>
      </c>
      <c r="J245" s="125">
        <v>0</v>
      </c>
      <c r="K245" s="150"/>
      <c r="L245" s="151">
        <v>243</v>
      </c>
      <c r="M245" s="152" t="s">
        <v>652</v>
      </c>
      <c r="N245" s="152" t="s">
        <v>653</v>
      </c>
      <c r="O245" s="152" t="s">
        <v>654</v>
      </c>
      <c r="P245" s="152"/>
      <c r="Q245" s="158"/>
      <c r="R245" s="131">
        <v>0</v>
      </c>
    </row>
    <row r="246" spans="1:18" ht="15" x14ac:dyDescent="0.25">
      <c r="A246" s="123" t="s">
        <v>253</v>
      </c>
      <c r="B246" s="123">
        <v>12</v>
      </c>
      <c r="C246" s="125">
        <v>0</v>
      </c>
      <c r="D246" s="125">
        <v>0</v>
      </c>
      <c r="E246" s="125">
        <v>0</v>
      </c>
      <c r="F246" s="125">
        <v>0</v>
      </c>
      <c r="G246" s="125">
        <v>0</v>
      </c>
      <c r="H246" s="125">
        <f t="shared" si="6"/>
        <v>0</v>
      </c>
      <c r="I246" s="125">
        <v>0</v>
      </c>
      <c r="J246" s="125">
        <v>0</v>
      </c>
      <c r="K246" s="150"/>
      <c r="L246" s="151">
        <v>244</v>
      </c>
      <c r="M246" s="152" t="s">
        <v>655</v>
      </c>
      <c r="N246" s="152" t="s">
        <v>251</v>
      </c>
      <c r="O246" s="152" t="s">
        <v>327</v>
      </c>
      <c r="P246" s="152"/>
      <c r="Q246" s="158"/>
      <c r="R246" s="131">
        <v>0</v>
      </c>
    </row>
    <row r="247" spans="1:18" ht="15" x14ac:dyDescent="0.25">
      <c r="A247" s="123" t="s">
        <v>254</v>
      </c>
      <c r="B247" s="123">
        <v>12</v>
      </c>
      <c r="C247" s="125">
        <v>178</v>
      </c>
      <c r="D247" s="125">
        <v>6117278</v>
      </c>
      <c r="E247" s="125">
        <v>62</v>
      </c>
      <c r="F247" s="125">
        <v>2130804</v>
      </c>
      <c r="G247" s="125">
        <v>240</v>
      </c>
      <c r="H247" s="125">
        <f t="shared" si="6"/>
        <v>8248082</v>
      </c>
      <c r="I247" s="125">
        <v>0</v>
      </c>
      <c r="J247" s="125">
        <v>0</v>
      </c>
      <c r="K247" s="150"/>
      <c r="L247" s="151">
        <v>245</v>
      </c>
      <c r="M247" s="152" t="s">
        <v>656</v>
      </c>
      <c r="N247" s="152" t="s">
        <v>252</v>
      </c>
      <c r="O247" s="152" t="s">
        <v>327</v>
      </c>
      <c r="P247" s="152"/>
      <c r="Q247" s="158"/>
      <c r="R247" s="131">
        <v>0</v>
      </c>
    </row>
    <row r="248" spans="1:18" ht="15" x14ac:dyDescent="0.25">
      <c r="A248" s="123" t="s">
        <v>255</v>
      </c>
      <c r="B248" s="123">
        <v>12</v>
      </c>
      <c r="C248" s="125">
        <v>0</v>
      </c>
      <c r="D248" s="125">
        <v>884858</v>
      </c>
      <c r="E248" s="125">
        <v>40</v>
      </c>
      <c r="F248" s="125">
        <v>3487564</v>
      </c>
      <c r="G248" s="125">
        <v>40</v>
      </c>
      <c r="H248" s="125">
        <f t="shared" si="6"/>
        <v>4372422</v>
      </c>
      <c r="I248" s="125">
        <v>0</v>
      </c>
      <c r="J248" s="125">
        <v>0</v>
      </c>
      <c r="K248" s="150"/>
      <c r="L248" s="151">
        <v>246</v>
      </c>
      <c r="M248" s="152" t="s">
        <v>657</v>
      </c>
      <c r="N248" s="152" t="s">
        <v>253</v>
      </c>
      <c r="O248" s="152" t="s">
        <v>327</v>
      </c>
      <c r="P248" s="152"/>
      <c r="Q248" s="158"/>
      <c r="R248" s="131">
        <v>0</v>
      </c>
    </row>
    <row r="249" spans="1:18" ht="15" x14ac:dyDescent="0.25">
      <c r="A249" s="123" t="s">
        <v>256</v>
      </c>
      <c r="B249" s="123">
        <v>12</v>
      </c>
      <c r="C249" s="125">
        <v>0</v>
      </c>
      <c r="D249" s="125">
        <v>0</v>
      </c>
      <c r="E249" s="125">
        <v>110</v>
      </c>
      <c r="F249" s="125">
        <v>4786700</v>
      </c>
      <c r="G249" s="125">
        <v>110</v>
      </c>
      <c r="H249" s="125">
        <f t="shared" si="6"/>
        <v>4786700</v>
      </c>
      <c r="I249" s="125">
        <v>0</v>
      </c>
      <c r="J249" s="125">
        <v>0</v>
      </c>
      <c r="K249" s="150"/>
      <c r="L249" s="151">
        <v>247</v>
      </c>
      <c r="M249" s="152" t="s">
        <v>658</v>
      </c>
      <c r="N249" s="152" t="s">
        <v>659</v>
      </c>
      <c r="O249" s="152" t="s">
        <v>327</v>
      </c>
      <c r="P249" s="152"/>
      <c r="Q249" s="158"/>
      <c r="R249" s="131">
        <v>0</v>
      </c>
    </row>
    <row r="250" spans="1:18" ht="15" x14ac:dyDescent="0.25">
      <c r="A250" s="123" t="s">
        <v>257</v>
      </c>
      <c r="B250" s="123">
        <v>12</v>
      </c>
      <c r="C250" s="125">
        <v>26</v>
      </c>
      <c r="D250" s="125">
        <v>1423200</v>
      </c>
      <c r="E250" s="125">
        <v>24</v>
      </c>
      <c r="F250" s="125">
        <v>1313723</v>
      </c>
      <c r="G250" s="125">
        <v>50</v>
      </c>
      <c r="H250" s="125">
        <f t="shared" si="6"/>
        <v>2736923</v>
      </c>
      <c r="I250" s="125">
        <v>0</v>
      </c>
      <c r="J250" s="125">
        <v>0</v>
      </c>
      <c r="K250" s="150"/>
      <c r="L250" s="151">
        <v>248</v>
      </c>
      <c r="M250" s="152" t="s">
        <v>660</v>
      </c>
      <c r="N250" s="152" t="s">
        <v>254</v>
      </c>
      <c r="O250" s="152" t="s">
        <v>327</v>
      </c>
      <c r="P250" s="152"/>
      <c r="Q250" s="158"/>
      <c r="R250" s="131">
        <v>0</v>
      </c>
    </row>
    <row r="251" spans="1:18" ht="15" x14ac:dyDescent="0.25">
      <c r="A251" s="123" t="s">
        <v>258</v>
      </c>
      <c r="B251" s="123">
        <v>12</v>
      </c>
      <c r="C251" s="125">
        <v>1315</v>
      </c>
      <c r="D251" s="125">
        <v>5870462</v>
      </c>
      <c r="E251" s="125">
        <v>150</v>
      </c>
      <c r="F251" s="125">
        <v>2298240</v>
      </c>
      <c r="G251" s="125">
        <v>1126</v>
      </c>
      <c r="H251" s="125">
        <f t="shared" si="6"/>
        <v>3829633</v>
      </c>
      <c r="I251" s="125">
        <v>339</v>
      </c>
      <c r="J251" s="125">
        <v>4339069</v>
      </c>
      <c r="K251" s="150">
        <f t="shared" si="7"/>
        <v>12799.613569321535</v>
      </c>
      <c r="L251" s="151">
        <v>249</v>
      </c>
      <c r="M251" s="152" t="s">
        <v>661</v>
      </c>
      <c r="N251" s="152" t="s">
        <v>662</v>
      </c>
      <c r="O251" s="152" t="s">
        <v>303</v>
      </c>
      <c r="P251" s="152"/>
      <c r="Q251" s="158"/>
      <c r="R251" s="131">
        <v>0</v>
      </c>
    </row>
    <row r="252" spans="1:18" ht="15" x14ac:dyDescent="0.25">
      <c r="A252" s="123" t="s">
        <v>259</v>
      </c>
      <c r="B252" s="123">
        <v>12</v>
      </c>
      <c r="C252" s="125">
        <v>90</v>
      </c>
      <c r="D252" s="125">
        <v>1980663</v>
      </c>
      <c r="E252" s="125">
        <v>0</v>
      </c>
      <c r="F252" s="125">
        <v>0</v>
      </c>
      <c r="G252" s="125">
        <v>0</v>
      </c>
      <c r="H252" s="125">
        <f t="shared" si="6"/>
        <v>0</v>
      </c>
      <c r="I252" s="125">
        <v>90</v>
      </c>
      <c r="J252" s="125">
        <v>1980663</v>
      </c>
      <c r="K252" s="150">
        <f t="shared" si="7"/>
        <v>22007.366666666665</v>
      </c>
      <c r="L252" s="151">
        <v>250</v>
      </c>
      <c r="M252" s="152" t="s">
        <v>663</v>
      </c>
      <c r="N252" s="152" t="s">
        <v>260</v>
      </c>
      <c r="O252" s="152" t="s">
        <v>327</v>
      </c>
      <c r="P252" s="152">
        <v>7</v>
      </c>
      <c r="Q252" s="158">
        <v>35040</v>
      </c>
      <c r="R252" s="131">
        <v>245280</v>
      </c>
    </row>
    <row r="253" spans="1:18" ht="15" x14ac:dyDescent="0.25">
      <c r="A253" s="123" t="s">
        <v>260</v>
      </c>
      <c r="B253" s="123">
        <v>12</v>
      </c>
      <c r="C253" s="125">
        <v>7</v>
      </c>
      <c r="D253" s="125">
        <v>460192</v>
      </c>
      <c r="E253" s="125">
        <v>0</v>
      </c>
      <c r="F253" s="125">
        <v>0</v>
      </c>
      <c r="G253" s="125">
        <v>0</v>
      </c>
      <c r="H253" s="125">
        <f t="shared" si="6"/>
        <v>0</v>
      </c>
      <c r="I253" s="125">
        <v>7</v>
      </c>
      <c r="J253" s="125">
        <v>460192</v>
      </c>
      <c r="K253" s="150">
        <f t="shared" si="7"/>
        <v>65741.71428571429</v>
      </c>
      <c r="L253" s="151">
        <v>251</v>
      </c>
      <c r="M253" s="152" t="s">
        <v>664</v>
      </c>
      <c r="N253" s="152" t="s">
        <v>261</v>
      </c>
      <c r="O253" s="152" t="s">
        <v>327</v>
      </c>
      <c r="P253" s="152"/>
      <c r="Q253" s="158"/>
      <c r="R253" s="131">
        <v>0</v>
      </c>
    </row>
    <row r="254" spans="1:18" ht="15" x14ac:dyDescent="0.25">
      <c r="A254" s="123" t="s">
        <v>261</v>
      </c>
      <c r="B254" s="123">
        <v>12</v>
      </c>
      <c r="C254" s="125">
        <v>0</v>
      </c>
      <c r="D254" s="125">
        <v>0</v>
      </c>
      <c r="E254" s="125">
        <v>0</v>
      </c>
      <c r="F254" s="125">
        <v>0</v>
      </c>
      <c r="G254" s="125">
        <v>0</v>
      </c>
      <c r="H254" s="125">
        <f t="shared" si="6"/>
        <v>0</v>
      </c>
      <c r="I254" s="125">
        <v>0</v>
      </c>
      <c r="J254" s="125">
        <v>0</v>
      </c>
      <c r="K254" s="150"/>
      <c r="L254" s="151">
        <v>252</v>
      </c>
      <c r="M254" s="152" t="s">
        <v>665</v>
      </c>
      <c r="N254" s="152" t="s">
        <v>262</v>
      </c>
      <c r="O254" s="152" t="s">
        <v>327</v>
      </c>
      <c r="P254" s="152">
        <v>4</v>
      </c>
      <c r="Q254" s="158">
        <v>33060.370000000003</v>
      </c>
      <c r="R254" s="131">
        <v>132241.48000000001</v>
      </c>
    </row>
    <row r="255" spans="1:18" ht="15" x14ac:dyDescent="0.25">
      <c r="A255" s="123" t="s">
        <v>262</v>
      </c>
      <c r="B255" s="123">
        <v>12</v>
      </c>
      <c r="C255" s="125">
        <v>4</v>
      </c>
      <c r="D255" s="125">
        <v>330624</v>
      </c>
      <c r="E255" s="125">
        <v>0</v>
      </c>
      <c r="F255" s="125">
        <v>0</v>
      </c>
      <c r="G255" s="125">
        <v>0</v>
      </c>
      <c r="H255" s="125">
        <f t="shared" si="6"/>
        <v>0</v>
      </c>
      <c r="I255" s="125">
        <v>4</v>
      </c>
      <c r="J255" s="125">
        <v>330624</v>
      </c>
      <c r="K255" s="150">
        <f t="shared" si="7"/>
        <v>82656</v>
      </c>
      <c r="L255" s="151">
        <v>253</v>
      </c>
      <c r="M255" s="152" t="s">
        <v>666</v>
      </c>
      <c r="N255" s="152" t="s">
        <v>263</v>
      </c>
      <c r="O255" s="152" t="s">
        <v>327</v>
      </c>
      <c r="P255" s="152"/>
      <c r="Q255" s="158"/>
      <c r="R255" s="131">
        <v>0</v>
      </c>
    </row>
    <row r="256" spans="1:18" ht="15" x14ac:dyDescent="0.25">
      <c r="A256" s="123" t="s">
        <v>263</v>
      </c>
      <c r="B256" s="123">
        <v>12</v>
      </c>
      <c r="C256" s="125">
        <v>0</v>
      </c>
      <c r="D256" s="125">
        <v>0</v>
      </c>
      <c r="E256" s="125">
        <v>0</v>
      </c>
      <c r="F256" s="125">
        <v>0</v>
      </c>
      <c r="G256" s="125">
        <v>0</v>
      </c>
      <c r="H256" s="125">
        <f t="shared" si="6"/>
        <v>0</v>
      </c>
      <c r="I256" s="125">
        <v>0</v>
      </c>
      <c r="J256" s="125">
        <v>0</v>
      </c>
      <c r="K256" s="150"/>
      <c r="L256" s="151">
        <v>254</v>
      </c>
      <c r="M256" s="152" t="s">
        <v>667</v>
      </c>
      <c r="N256" s="152" t="s">
        <v>668</v>
      </c>
      <c r="O256" s="152" t="s">
        <v>327</v>
      </c>
      <c r="P256" s="152"/>
      <c r="Q256" s="158"/>
      <c r="R256" s="131">
        <v>0</v>
      </c>
    </row>
    <row r="257" spans="1:18" ht="15" x14ac:dyDescent="0.25">
      <c r="A257" s="123" t="s">
        <v>264</v>
      </c>
      <c r="B257" s="123">
        <v>12</v>
      </c>
      <c r="C257" s="125">
        <v>0</v>
      </c>
      <c r="D257" s="125">
        <v>0</v>
      </c>
      <c r="E257" s="125">
        <v>0</v>
      </c>
      <c r="F257" s="125">
        <v>0</v>
      </c>
      <c r="G257" s="125">
        <v>0</v>
      </c>
      <c r="H257" s="125">
        <f t="shared" si="6"/>
        <v>0</v>
      </c>
      <c r="I257" s="125">
        <v>0</v>
      </c>
      <c r="J257" s="125">
        <v>0</v>
      </c>
      <c r="K257" s="150"/>
      <c r="L257" s="151">
        <v>255</v>
      </c>
      <c r="M257" s="152" t="s">
        <v>669</v>
      </c>
      <c r="N257" s="152" t="s">
        <v>670</v>
      </c>
      <c r="O257" s="152" t="s">
        <v>327</v>
      </c>
      <c r="P257" s="152"/>
      <c r="Q257" s="158"/>
      <c r="R257" s="131">
        <v>0</v>
      </c>
    </row>
    <row r="258" spans="1:18" ht="15" x14ac:dyDescent="0.25">
      <c r="A258" s="123" t="s">
        <v>265</v>
      </c>
      <c r="B258" s="123">
        <v>12</v>
      </c>
      <c r="C258" s="125">
        <v>5</v>
      </c>
      <c r="D258" s="125">
        <v>412800</v>
      </c>
      <c r="E258" s="125">
        <v>0</v>
      </c>
      <c r="F258" s="125">
        <v>0</v>
      </c>
      <c r="G258" s="125">
        <v>0</v>
      </c>
      <c r="H258" s="125">
        <f t="shared" si="6"/>
        <v>0</v>
      </c>
      <c r="I258" s="125">
        <v>5</v>
      </c>
      <c r="J258" s="125">
        <v>412800</v>
      </c>
      <c r="K258" s="150">
        <f t="shared" si="7"/>
        <v>82560</v>
      </c>
      <c r="L258" s="151">
        <v>256</v>
      </c>
      <c r="M258" s="152" t="s">
        <v>671</v>
      </c>
      <c r="N258" s="152" t="s">
        <v>672</v>
      </c>
      <c r="O258" s="152" t="s">
        <v>327</v>
      </c>
      <c r="P258" s="152"/>
      <c r="Q258" s="158"/>
      <c r="R258" s="131">
        <v>0</v>
      </c>
    </row>
    <row r="259" spans="1:18" ht="15" x14ac:dyDescent="0.25">
      <c r="A259" s="123" t="s">
        <v>266</v>
      </c>
      <c r="B259" s="123">
        <v>12</v>
      </c>
      <c r="C259" s="125">
        <v>5</v>
      </c>
      <c r="D259" s="125">
        <v>441600</v>
      </c>
      <c r="E259" s="125">
        <v>0</v>
      </c>
      <c r="F259" s="125">
        <v>0</v>
      </c>
      <c r="G259" s="125">
        <v>0</v>
      </c>
      <c r="H259" s="125">
        <f t="shared" si="6"/>
        <v>0</v>
      </c>
      <c r="I259" s="125">
        <v>5</v>
      </c>
      <c r="J259" s="125">
        <v>441600</v>
      </c>
      <c r="K259" s="150">
        <f t="shared" si="7"/>
        <v>88320</v>
      </c>
      <c r="L259" s="151">
        <v>257</v>
      </c>
      <c r="M259" s="152" t="s">
        <v>673</v>
      </c>
      <c r="N259" s="152" t="s">
        <v>264</v>
      </c>
      <c r="O259" s="152" t="s">
        <v>327</v>
      </c>
      <c r="P259" s="152"/>
      <c r="Q259" s="158"/>
      <c r="R259" s="131">
        <v>0</v>
      </c>
    </row>
    <row r="260" spans="1:18" ht="15" x14ac:dyDescent="0.25">
      <c r="A260" s="123" t="s">
        <v>267</v>
      </c>
      <c r="B260" s="123">
        <v>12</v>
      </c>
      <c r="C260" s="125">
        <v>6</v>
      </c>
      <c r="D260" s="125">
        <v>447000</v>
      </c>
      <c r="E260" s="125"/>
      <c r="F260" s="125">
        <v>0</v>
      </c>
      <c r="G260" s="125"/>
      <c r="H260" s="125">
        <f t="shared" si="6"/>
        <v>0</v>
      </c>
      <c r="I260" s="125">
        <v>6</v>
      </c>
      <c r="J260" s="125">
        <v>447000</v>
      </c>
      <c r="K260" s="150">
        <f t="shared" si="7"/>
        <v>74500</v>
      </c>
      <c r="L260" s="151">
        <v>258</v>
      </c>
      <c r="M260" s="152" t="s">
        <v>674</v>
      </c>
      <c r="N260" s="152" t="s">
        <v>675</v>
      </c>
      <c r="O260" s="152" t="s">
        <v>327</v>
      </c>
      <c r="P260" s="152"/>
      <c r="Q260" s="158"/>
      <c r="R260" s="131">
        <v>0</v>
      </c>
    </row>
    <row r="261" spans="1:18" ht="15" x14ac:dyDescent="0.25">
      <c r="A261" s="123" t="s">
        <v>268</v>
      </c>
      <c r="B261" s="123">
        <v>12</v>
      </c>
      <c r="C261" s="125">
        <v>0</v>
      </c>
      <c r="D261" s="125">
        <v>0</v>
      </c>
      <c r="E261" s="125">
        <v>0</v>
      </c>
      <c r="F261" s="125">
        <v>0</v>
      </c>
      <c r="G261" s="125">
        <v>0</v>
      </c>
      <c r="H261" s="125">
        <f t="shared" ref="H261:H285" si="8">D261+F261-J261</f>
        <v>0</v>
      </c>
      <c r="I261" s="125">
        <v>0</v>
      </c>
      <c r="J261" s="125">
        <v>0</v>
      </c>
      <c r="K261" s="150"/>
      <c r="L261" s="151">
        <v>259</v>
      </c>
      <c r="M261" s="152" t="s">
        <v>676</v>
      </c>
      <c r="N261" s="152" t="s">
        <v>266</v>
      </c>
      <c r="O261" s="152" t="s">
        <v>327</v>
      </c>
      <c r="P261" s="152">
        <v>5</v>
      </c>
      <c r="Q261" s="158">
        <v>44160</v>
      </c>
      <c r="R261" s="131">
        <v>220800</v>
      </c>
    </row>
    <row r="262" spans="1:18" ht="15" x14ac:dyDescent="0.25">
      <c r="A262" s="123" t="s">
        <v>269</v>
      </c>
      <c r="B262" s="123">
        <v>12</v>
      </c>
      <c r="C262" s="125">
        <v>0</v>
      </c>
      <c r="D262" s="125">
        <v>0</v>
      </c>
      <c r="E262" s="125">
        <v>0</v>
      </c>
      <c r="F262" s="125">
        <v>0</v>
      </c>
      <c r="G262" s="125">
        <v>0</v>
      </c>
      <c r="H262" s="125">
        <f t="shared" si="8"/>
        <v>0</v>
      </c>
      <c r="I262" s="125">
        <v>0</v>
      </c>
      <c r="J262" s="125">
        <v>0</v>
      </c>
      <c r="K262" s="150"/>
      <c r="L262" s="151">
        <v>260</v>
      </c>
      <c r="M262" s="152" t="s">
        <v>677</v>
      </c>
      <c r="N262" s="152" t="s">
        <v>265</v>
      </c>
      <c r="O262" s="152" t="s">
        <v>327</v>
      </c>
      <c r="P262" s="152">
        <v>5</v>
      </c>
      <c r="Q262" s="158">
        <v>41280</v>
      </c>
      <c r="R262" s="131">
        <v>206400</v>
      </c>
    </row>
    <row r="263" spans="1:18" ht="15" x14ac:dyDescent="0.25">
      <c r="A263" s="123" t="s">
        <v>270</v>
      </c>
      <c r="B263" s="123">
        <v>12</v>
      </c>
      <c r="C263" s="125">
        <v>0</v>
      </c>
      <c r="D263" s="125">
        <v>0</v>
      </c>
      <c r="E263" s="125">
        <v>0</v>
      </c>
      <c r="F263" s="125">
        <v>0</v>
      </c>
      <c r="G263" s="125">
        <v>0</v>
      </c>
      <c r="H263" s="125">
        <f t="shared" si="8"/>
        <v>0</v>
      </c>
      <c r="I263" s="125">
        <v>0</v>
      </c>
      <c r="J263" s="125">
        <v>0</v>
      </c>
      <c r="K263" s="150"/>
      <c r="L263" s="151">
        <v>261</v>
      </c>
      <c r="M263" s="152" t="s">
        <v>678</v>
      </c>
      <c r="N263" s="152" t="s">
        <v>267</v>
      </c>
      <c r="O263" s="152" t="s">
        <v>327</v>
      </c>
      <c r="P263" s="152">
        <v>6</v>
      </c>
      <c r="Q263" s="158">
        <v>40800</v>
      </c>
      <c r="R263" s="131">
        <v>244800</v>
      </c>
    </row>
    <row r="264" spans="1:18" ht="15" x14ac:dyDescent="0.25">
      <c r="A264" s="123" t="s">
        <v>271</v>
      </c>
      <c r="B264" s="123">
        <v>12</v>
      </c>
      <c r="C264" s="125">
        <v>0</v>
      </c>
      <c r="D264" s="125">
        <v>0</v>
      </c>
      <c r="E264" s="125">
        <v>0</v>
      </c>
      <c r="F264" s="125">
        <v>0</v>
      </c>
      <c r="G264" s="125">
        <v>0</v>
      </c>
      <c r="H264" s="125">
        <f t="shared" si="8"/>
        <v>0</v>
      </c>
      <c r="I264" s="125">
        <v>0</v>
      </c>
      <c r="J264" s="125">
        <v>0</v>
      </c>
      <c r="K264" s="150"/>
      <c r="L264" s="151">
        <v>262</v>
      </c>
      <c r="M264" s="152" t="s">
        <v>679</v>
      </c>
      <c r="N264" s="152" t="s">
        <v>680</v>
      </c>
      <c r="O264" s="152" t="s">
        <v>327</v>
      </c>
      <c r="P264" s="152"/>
      <c r="Q264" s="158"/>
      <c r="R264" s="131">
        <v>0</v>
      </c>
    </row>
    <row r="265" spans="1:18" ht="15" x14ac:dyDescent="0.25">
      <c r="A265" s="123" t="s">
        <v>272</v>
      </c>
      <c r="B265" s="123">
        <v>12</v>
      </c>
      <c r="C265" s="125">
        <v>0</v>
      </c>
      <c r="D265" s="125">
        <v>0</v>
      </c>
      <c r="E265" s="125">
        <v>0</v>
      </c>
      <c r="F265" s="125">
        <v>0</v>
      </c>
      <c r="G265" s="125">
        <v>0</v>
      </c>
      <c r="H265" s="125">
        <f t="shared" si="8"/>
        <v>0</v>
      </c>
      <c r="I265" s="125">
        <v>0</v>
      </c>
      <c r="J265" s="125">
        <v>0</v>
      </c>
      <c r="K265" s="150"/>
      <c r="L265" s="151">
        <v>263</v>
      </c>
      <c r="M265" s="152" t="s">
        <v>681</v>
      </c>
      <c r="N265" s="152" t="s">
        <v>682</v>
      </c>
      <c r="O265" s="152" t="s">
        <v>327</v>
      </c>
      <c r="P265" s="152"/>
      <c r="Q265" s="158"/>
      <c r="R265" s="131">
        <v>0</v>
      </c>
    </row>
    <row r="266" spans="1:18" ht="15" x14ac:dyDescent="0.25">
      <c r="A266" s="123" t="s">
        <v>273</v>
      </c>
      <c r="B266" s="123">
        <v>12</v>
      </c>
      <c r="C266" s="125">
        <v>0</v>
      </c>
      <c r="D266" s="125">
        <v>0</v>
      </c>
      <c r="E266" s="125">
        <v>0</v>
      </c>
      <c r="F266" s="125">
        <v>0</v>
      </c>
      <c r="G266" s="125">
        <v>0</v>
      </c>
      <c r="H266" s="125">
        <f t="shared" si="8"/>
        <v>0</v>
      </c>
      <c r="I266" s="125">
        <v>0</v>
      </c>
      <c r="J266" s="125">
        <v>0</v>
      </c>
      <c r="K266" s="150"/>
      <c r="L266" s="151">
        <v>264</v>
      </c>
      <c r="M266" s="152" t="s">
        <v>683</v>
      </c>
      <c r="N266" s="152" t="s">
        <v>684</v>
      </c>
      <c r="O266" s="152" t="s">
        <v>327</v>
      </c>
      <c r="P266" s="152"/>
      <c r="Q266" s="158"/>
      <c r="R266" s="131">
        <v>0</v>
      </c>
    </row>
    <row r="267" spans="1:18" ht="15" x14ac:dyDescent="0.25">
      <c r="A267" s="123" t="s">
        <v>274</v>
      </c>
      <c r="B267" s="123">
        <v>12</v>
      </c>
      <c r="C267" s="125">
        <v>14</v>
      </c>
      <c r="D267" s="125">
        <v>473144</v>
      </c>
      <c r="E267" s="125">
        <v>0</v>
      </c>
      <c r="F267" s="125">
        <v>0</v>
      </c>
      <c r="G267" s="125">
        <v>0</v>
      </c>
      <c r="H267" s="125">
        <f t="shared" si="8"/>
        <v>0</v>
      </c>
      <c r="I267" s="125">
        <v>14</v>
      </c>
      <c r="J267" s="125">
        <v>473144</v>
      </c>
      <c r="K267" s="150">
        <f t="shared" ref="K267:K284" si="9">J267/I267</f>
        <v>33796</v>
      </c>
      <c r="L267" s="151">
        <v>265</v>
      </c>
      <c r="M267" s="152" t="s">
        <v>685</v>
      </c>
      <c r="N267" s="152" t="s">
        <v>686</v>
      </c>
      <c r="O267" s="152" t="s">
        <v>654</v>
      </c>
      <c r="P267" s="152"/>
      <c r="Q267" s="158"/>
      <c r="R267" s="131">
        <v>0</v>
      </c>
    </row>
    <row r="268" spans="1:18" ht="15" x14ac:dyDescent="0.25">
      <c r="A268" s="123" t="s">
        <v>275</v>
      </c>
      <c r="B268" s="123">
        <v>12</v>
      </c>
      <c r="C268" s="125">
        <v>0</v>
      </c>
      <c r="D268" s="125">
        <v>0</v>
      </c>
      <c r="E268" s="125">
        <v>0</v>
      </c>
      <c r="F268" s="125">
        <v>0</v>
      </c>
      <c r="G268" s="125">
        <v>0</v>
      </c>
      <c r="H268" s="125">
        <f t="shared" si="8"/>
        <v>0</v>
      </c>
      <c r="I268" s="125">
        <v>0</v>
      </c>
      <c r="J268" s="125">
        <v>0</v>
      </c>
      <c r="K268" s="150"/>
      <c r="L268" s="151">
        <v>266</v>
      </c>
      <c r="M268" s="152" t="s">
        <v>687</v>
      </c>
      <c r="N268" s="152" t="s">
        <v>688</v>
      </c>
      <c r="O268" s="152" t="s">
        <v>327</v>
      </c>
      <c r="P268" s="152"/>
      <c r="Q268" s="158"/>
      <c r="R268" s="131">
        <v>0</v>
      </c>
    </row>
    <row r="269" spans="1:18" ht="15" x14ac:dyDescent="0.25">
      <c r="A269" s="123" t="s">
        <v>276</v>
      </c>
      <c r="B269" s="123">
        <v>12</v>
      </c>
      <c r="C269" s="125">
        <v>0</v>
      </c>
      <c r="D269" s="125">
        <v>0</v>
      </c>
      <c r="E269" s="125">
        <v>0</v>
      </c>
      <c r="F269" s="125">
        <v>0</v>
      </c>
      <c r="G269" s="125">
        <v>0</v>
      </c>
      <c r="H269" s="125">
        <f t="shared" si="8"/>
        <v>0</v>
      </c>
      <c r="I269" s="125">
        <v>0</v>
      </c>
      <c r="J269" s="125">
        <v>0</v>
      </c>
      <c r="K269" s="150"/>
      <c r="L269" s="151">
        <v>267</v>
      </c>
      <c r="M269" s="152" t="s">
        <v>689</v>
      </c>
      <c r="N269" s="152" t="s">
        <v>268</v>
      </c>
      <c r="O269" s="152" t="s">
        <v>327</v>
      </c>
      <c r="P269" s="152"/>
      <c r="Q269" s="158"/>
      <c r="R269" s="131">
        <v>0</v>
      </c>
    </row>
    <row r="270" spans="1:18" ht="15" x14ac:dyDescent="0.25">
      <c r="A270" s="123" t="s">
        <v>277</v>
      </c>
      <c r="B270" s="123">
        <v>12</v>
      </c>
      <c r="C270" s="125">
        <v>0</v>
      </c>
      <c r="D270" s="125">
        <v>0</v>
      </c>
      <c r="E270" s="125">
        <v>0</v>
      </c>
      <c r="F270" s="125">
        <v>0</v>
      </c>
      <c r="G270" s="125">
        <v>0</v>
      </c>
      <c r="H270" s="125">
        <f t="shared" si="8"/>
        <v>0</v>
      </c>
      <c r="I270" s="125">
        <v>0</v>
      </c>
      <c r="J270" s="125">
        <v>0</v>
      </c>
      <c r="K270" s="150"/>
      <c r="L270" s="151">
        <v>268</v>
      </c>
      <c r="M270" s="152" t="s">
        <v>690</v>
      </c>
      <c r="N270" s="152" t="s">
        <v>269</v>
      </c>
      <c r="O270" s="152" t="s">
        <v>327</v>
      </c>
      <c r="P270" s="152"/>
      <c r="Q270" s="158"/>
      <c r="R270" s="131">
        <v>0</v>
      </c>
    </row>
    <row r="271" spans="1:18" ht="15" x14ac:dyDescent="0.25">
      <c r="A271" s="123" t="s">
        <v>278</v>
      </c>
      <c r="B271" s="123">
        <v>12</v>
      </c>
      <c r="C271" s="125">
        <v>0</v>
      </c>
      <c r="D271" s="125">
        <v>0</v>
      </c>
      <c r="E271" s="125">
        <v>0</v>
      </c>
      <c r="F271" s="125">
        <v>0</v>
      </c>
      <c r="G271" s="125">
        <v>0</v>
      </c>
      <c r="H271" s="125">
        <f t="shared" si="8"/>
        <v>0</v>
      </c>
      <c r="I271" s="125">
        <v>0</v>
      </c>
      <c r="J271" s="125">
        <v>0</v>
      </c>
      <c r="K271" s="150"/>
      <c r="L271" s="151">
        <v>269</v>
      </c>
      <c r="M271" s="152" t="s">
        <v>691</v>
      </c>
      <c r="N271" s="152" t="s">
        <v>692</v>
      </c>
      <c r="O271" s="152" t="s">
        <v>327</v>
      </c>
      <c r="P271" s="152"/>
      <c r="Q271" s="158"/>
      <c r="R271" s="131">
        <v>0</v>
      </c>
    </row>
    <row r="272" spans="1:18" ht="15" x14ac:dyDescent="0.25">
      <c r="A272" s="123" t="s">
        <v>279</v>
      </c>
      <c r="B272" s="123">
        <v>12</v>
      </c>
      <c r="C272" s="125">
        <v>0</v>
      </c>
      <c r="D272" s="125">
        <v>0</v>
      </c>
      <c r="E272" s="125">
        <v>0</v>
      </c>
      <c r="F272" s="125">
        <v>0</v>
      </c>
      <c r="G272" s="125">
        <v>0</v>
      </c>
      <c r="H272" s="125">
        <f t="shared" si="8"/>
        <v>0</v>
      </c>
      <c r="I272" s="125">
        <v>0</v>
      </c>
      <c r="J272" s="125">
        <v>0</v>
      </c>
      <c r="K272" s="150"/>
      <c r="L272" s="151">
        <v>270</v>
      </c>
      <c r="M272" s="152" t="s">
        <v>693</v>
      </c>
      <c r="N272" s="152" t="s">
        <v>270</v>
      </c>
      <c r="O272" s="152" t="s">
        <v>327</v>
      </c>
      <c r="P272" s="152"/>
      <c r="Q272" s="158"/>
      <c r="R272" s="131">
        <v>0</v>
      </c>
    </row>
    <row r="273" spans="1:18" ht="15" x14ac:dyDescent="0.25">
      <c r="A273" s="123" t="s">
        <v>280</v>
      </c>
      <c r="B273" s="123">
        <v>12</v>
      </c>
      <c r="C273" s="125">
        <v>0</v>
      </c>
      <c r="D273" s="125">
        <v>0</v>
      </c>
      <c r="E273" s="125">
        <v>0</v>
      </c>
      <c r="F273" s="125">
        <v>0</v>
      </c>
      <c r="G273" s="125">
        <v>0</v>
      </c>
      <c r="H273" s="125">
        <f t="shared" si="8"/>
        <v>0</v>
      </c>
      <c r="I273" s="125">
        <v>0</v>
      </c>
      <c r="J273" s="125">
        <v>0</v>
      </c>
      <c r="K273" s="150"/>
      <c r="L273" s="151">
        <v>271</v>
      </c>
      <c r="M273" s="152" t="s">
        <v>694</v>
      </c>
      <c r="N273" s="152" t="s">
        <v>257</v>
      </c>
      <c r="O273" s="152" t="s">
        <v>327</v>
      </c>
      <c r="P273" s="152"/>
      <c r="Q273" s="158"/>
      <c r="R273" s="131">
        <v>0</v>
      </c>
    </row>
    <row r="274" spans="1:18" ht="15" x14ac:dyDescent="0.25">
      <c r="A274" s="123" t="s">
        <v>281</v>
      </c>
      <c r="B274" s="123">
        <v>12</v>
      </c>
      <c r="C274" s="125">
        <v>115</v>
      </c>
      <c r="D274" s="125">
        <v>1984968</v>
      </c>
      <c r="E274" s="125">
        <v>52</v>
      </c>
      <c r="F274" s="125">
        <v>882000</v>
      </c>
      <c r="G274" s="125">
        <v>0</v>
      </c>
      <c r="H274" s="125">
        <f t="shared" si="8"/>
        <v>0</v>
      </c>
      <c r="I274" s="125">
        <v>167</v>
      </c>
      <c r="J274" s="125">
        <v>2866968</v>
      </c>
      <c r="K274" s="150">
        <f t="shared" si="9"/>
        <v>17167.473053892216</v>
      </c>
      <c r="L274" s="151">
        <v>272</v>
      </c>
      <c r="M274" s="152" t="s">
        <v>695</v>
      </c>
      <c r="N274" s="152" t="s">
        <v>696</v>
      </c>
      <c r="O274" s="152" t="s">
        <v>327</v>
      </c>
      <c r="P274" s="152">
        <v>226</v>
      </c>
      <c r="Q274" s="158">
        <v>27744</v>
      </c>
      <c r="R274" s="131">
        <v>6270144</v>
      </c>
    </row>
    <row r="275" spans="1:18" ht="15" x14ac:dyDescent="0.25">
      <c r="A275" s="123" t="s">
        <v>282</v>
      </c>
      <c r="B275" s="123">
        <v>12</v>
      </c>
      <c r="C275" s="125">
        <v>0</v>
      </c>
      <c r="D275" s="125">
        <v>0</v>
      </c>
      <c r="E275" s="125">
        <v>28</v>
      </c>
      <c r="F275" s="125">
        <v>1940400</v>
      </c>
      <c r="G275" s="125">
        <v>3</v>
      </c>
      <c r="H275" s="125">
        <f t="shared" si="8"/>
        <v>1044761</v>
      </c>
      <c r="I275" s="125">
        <v>25</v>
      </c>
      <c r="J275" s="125">
        <v>895639</v>
      </c>
      <c r="K275" s="150">
        <f t="shared" si="9"/>
        <v>35825.56</v>
      </c>
      <c r="L275" s="151">
        <v>273</v>
      </c>
      <c r="M275" s="152" t="s">
        <v>697</v>
      </c>
      <c r="N275" s="152" t="s">
        <v>698</v>
      </c>
      <c r="O275" s="152" t="s">
        <v>699</v>
      </c>
      <c r="P275" s="152"/>
      <c r="Q275" s="158"/>
      <c r="R275" s="131">
        <v>0</v>
      </c>
    </row>
    <row r="276" spans="1:18" ht="15" x14ac:dyDescent="0.25">
      <c r="A276" s="123" t="s">
        <v>283</v>
      </c>
      <c r="B276" s="123">
        <v>12</v>
      </c>
      <c r="C276" s="125">
        <v>2650</v>
      </c>
      <c r="D276" s="125">
        <v>60362629</v>
      </c>
      <c r="E276" s="125">
        <v>1138</v>
      </c>
      <c r="F276" s="125">
        <v>39547200</v>
      </c>
      <c r="G276" s="125">
        <v>3132</v>
      </c>
      <c r="H276" s="125">
        <f t="shared" si="8"/>
        <v>76338900</v>
      </c>
      <c r="I276" s="125">
        <v>656</v>
      </c>
      <c r="J276" s="125">
        <v>23570929</v>
      </c>
      <c r="K276" s="150">
        <f t="shared" si="9"/>
        <v>35931.294207317071</v>
      </c>
      <c r="L276" s="151">
        <v>274</v>
      </c>
      <c r="M276" s="152" t="s">
        <v>700</v>
      </c>
      <c r="N276" s="152" t="s">
        <v>211</v>
      </c>
      <c r="O276" s="152" t="s">
        <v>303</v>
      </c>
      <c r="P276" s="152">
        <v>144</v>
      </c>
      <c r="Q276" s="158">
        <v>18630</v>
      </c>
      <c r="R276" s="131">
        <v>2682720</v>
      </c>
    </row>
    <row r="277" spans="1:18" ht="15" x14ac:dyDescent="0.25">
      <c r="A277" s="123" t="s">
        <v>284</v>
      </c>
      <c r="B277" s="123">
        <v>12</v>
      </c>
      <c r="C277" s="125">
        <v>170</v>
      </c>
      <c r="D277" s="125">
        <v>7787064</v>
      </c>
      <c r="E277" s="125">
        <v>14</v>
      </c>
      <c r="F277" s="125">
        <v>598416</v>
      </c>
      <c r="G277" s="125">
        <v>0</v>
      </c>
      <c r="H277" s="125">
        <f t="shared" si="8"/>
        <v>0</v>
      </c>
      <c r="I277" s="125">
        <v>184</v>
      </c>
      <c r="J277" s="125">
        <v>8385480</v>
      </c>
      <c r="K277" s="150">
        <f t="shared" si="9"/>
        <v>45573.260869565216</v>
      </c>
      <c r="L277" s="151">
        <v>275</v>
      </c>
      <c r="M277" s="152" t="s">
        <v>701</v>
      </c>
      <c r="N277" s="152" t="s">
        <v>273</v>
      </c>
      <c r="O277" s="152" t="s">
        <v>327</v>
      </c>
      <c r="P277" s="152"/>
      <c r="Q277" s="158"/>
      <c r="R277" s="131">
        <v>0</v>
      </c>
    </row>
    <row r="278" spans="1:18" ht="15" x14ac:dyDescent="0.25">
      <c r="A278" s="123" t="s">
        <v>285</v>
      </c>
      <c r="B278" s="123">
        <v>12</v>
      </c>
      <c r="C278" s="125">
        <v>0</v>
      </c>
      <c r="D278" s="125">
        <v>0</v>
      </c>
      <c r="E278" s="125">
        <v>0</v>
      </c>
      <c r="F278" s="125">
        <v>0</v>
      </c>
      <c r="G278" s="125">
        <v>0</v>
      </c>
      <c r="H278" s="125">
        <f t="shared" si="8"/>
        <v>0</v>
      </c>
      <c r="I278" s="125">
        <v>0</v>
      </c>
      <c r="J278" s="125">
        <v>0</v>
      </c>
      <c r="K278" s="150"/>
      <c r="L278" s="151">
        <v>276</v>
      </c>
      <c r="M278" s="152" t="s">
        <v>702</v>
      </c>
      <c r="N278" s="152" t="s">
        <v>275</v>
      </c>
      <c r="O278" s="152" t="s">
        <v>327</v>
      </c>
      <c r="P278" s="152"/>
      <c r="Q278" s="158"/>
      <c r="R278" s="131">
        <v>0</v>
      </c>
    </row>
    <row r="279" spans="1:18" ht="15" x14ac:dyDescent="0.25">
      <c r="A279" s="123" t="s">
        <v>286</v>
      </c>
      <c r="B279" s="123">
        <v>12</v>
      </c>
      <c r="C279" s="125">
        <v>0</v>
      </c>
      <c r="D279" s="125">
        <v>0</v>
      </c>
      <c r="E279" s="125">
        <v>0</v>
      </c>
      <c r="F279" s="125">
        <v>0</v>
      </c>
      <c r="G279" s="125">
        <v>0</v>
      </c>
      <c r="H279" s="125">
        <f t="shared" si="8"/>
        <v>0</v>
      </c>
      <c r="I279" s="125">
        <v>0</v>
      </c>
      <c r="J279" s="125">
        <v>0</v>
      </c>
      <c r="K279" s="150"/>
      <c r="L279" s="151">
        <v>277</v>
      </c>
      <c r="M279" s="152" t="s">
        <v>703</v>
      </c>
      <c r="N279" s="152" t="s">
        <v>276</v>
      </c>
      <c r="O279" s="152" t="s">
        <v>327</v>
      </c>
      <c r="P279" s="152"/>
      <c r="Q279" s="158"/>
      <c r="R279" s="131">
        <v>0</v>
      </c>
    </row>
    <row r="280" spans="1:18" ht="15" x14ac:dyDescent="0.25">
      <c r="A280" s="123" t="s">
        <v>287</v>
      </c>
      <c r="B280" s="123">
        <v>12</v>
      </c>
      <c r="C280" s="125">
        <v>8</v>
      </c>
      <c r="D280" s="125">
        <v>888480</v>
      </c>
      <c r="E280" s="125">
        <v>0</v>
      </c>
      <c r="F280" s="125">
        <v>0</v>
      </c>
      <c r="G280" s="125">
        <v>0</v>
      </c>
      <c r="H280" s="125">
        <f t="shared" si="8"/>
        <v>0</v>
      </c>
      <c r="I280" s="125">
        <v>8</v>
      </c>
      <c r="J280" s="125">
        <v>888480</v>
      </c>
      <c r="K280" s="150">
        <f t="shared" si="9"/>
        <v>111060</v>
      </c>
      <c r="L280" s="151">
        <v>278</v>
      </c>
      <c r="M280" s="152" t="s">
        <v>704</v>
      </c>
      <c r="N280" s="152" t="s">
        <v>274</v>
      </c>
      <c r="O280" s="152" t="s">
        <v>327</v>
      </c>
      <c r="P280" s="152">
        <v>14</v>
      </c>
      <c r="Q280" s="158">
        <v>31950</v>
      </c>
      <c r="R280" s="131">
        <v>447300</v>
      </c>
    </row>
    <row r="281" spans="1:18" ht="15" x14ac:dyDescent="0.25">
      <c r="A281" s="123" t="s">
        <v>288</v>
      </c>
      <c r="B281" s="123">
        <v>12</v>
      </c>
      <c r="C281" s="125">
        <v>72</v>
      </c>
      <c r="D281" s="125">
        <v>1717560</v>
      </c>
      <c r="E281" s="125">
        <v>2768</v>
      </c>
      <c r="F281" s="125"/>
      <c r="G281" s="125">
        <v>0</v>
      </c>
      <c r="H281" s="125">
        <f t="shared" si="8"/>
        <v>0</v>
      </c>
      <c r="I281" s="125">
        <v>72</v>
      </c>
      <c r="J281" s="125">
        <v>1717560</v>
      </c>
      <c r="K281" s="150">
        <f t="shared" si="9"/>
        <v>23855</v>
      </c>
      <c r="L281" s="151">
        <v>279</v>
      </c>
      <c r="M281" s="152" t="s">
        <v>705</v>
      </c>
      <c r="N281" s="152" t="s">
        <v>214</v>
      </c>
      <c r="O281" s="152" t="s">
        <v>303</v>
      </c>
      <c r="P281" s="152">
        <v>10868</v>
      </c>
      <c r="Q281" s="158">
        <v>24638</v>
      </c>
      <c r="R281" s="131">
        <v>267765784</v>
      </c>
    </row>
    <row r="282" spans="1:18" ht="15" x14ac:dyDescent="0.25">
      <c r="A282" s="123" t="s">
        <v>289</v>
      </c>
      <c r="B282" s="123">
        <v>12</v>
      </c>
      <c r="C282" s="125">
        <v>5453</v>
      </c>
      <c r="D282" s="125">
        <v>18544800</v>
      </c>
      <c r="E282" s="125">
        <v>3249</v>
      </c>
      <c r="F282" s="125">
        <v>26723118.901734103</v>
      </c>
      <c r="G282" s="125">
        <v>5934</v>
      </c>
      <c r="H282" s="125">
        <f t="shared" si="8"/>
        <v>22501038.901734099</v>
      </c>
      <c r="I282" s="125">
        <v>2768</v>
      </c>
      <c r="J282" s="125">
        <v>22766880</v>
      </c>
      <c r="K282" s="150">
        <f t="shared" si="9"/>
        <v>8225.0289017341038</v>
      </c>
      <c r="L282" s="151">
        <v>280</v>
      </c>
      <c r="M282" s="152" t="s">
        <v>706</v>
      </c>
      <c r="N282" s="152" t="s">
        <v>277</v>
      </c>
      <c r="O282" s="152" t="s">
        <v>327</v>
      </c>
      <c r="P282" s="152"/>
      <c r="Q282" s="158"/>
      <c r="R282" s="131">
        <v>0</v>
      </c>
    </row>
    <row r="283" spans="1:18" ht="15" x14ac:dyDescent="0.25">
      <c r="A283" s="123" t="s">
        <v>290</v>
      </c>
      <c r="B283" s="123">
        <v>12</v>
      </c>
      <c r="C283" s="125">
        <v>294</v>
      </c>
      <c r="D283" s="125">
        <v>26161598</v>
      </c>
      <c r="E283" s="125">
        <v>612</v>
      </c>
      <c r="F283" s="125">
        <v>54458208</v>
      </c>
      <c r="G283" s="125">
        <v>462</v>
      </c>
      <c r="H283" s="125">
        <f t="shared" si="8"/>
        <v>41110762</v>
      </c>
      <c r="I283" s="125">
        <v>444</v>
      </c>
      <c r="J283" s="125">
        <v>39509044</v>
      </c>
      <c r="K283" s="150">
        <f t="shared" si="9"/>
        <v>88984.333333333328</v>
      </c>
      <c r="L283" s="151">
        <v>281</v>
      </c>
      <c r="M283" s="152" t="s">
        <v>707</v>
      </c>
      <c r="N283" s="152" t="s">
        <v>708</v>
      </c>
      <c r="O283" s="152" t="s">
        <v>327</v>
      </c>
      <c r="P283" s="152"/>
      <c r="Q283" s="158"/>
      <c r="R283" s="131">
        <v>0</v>
      </c>
    </row>
    <row r="284" spans="1:18" ht="15" x14ac:dyDescent="0.25">
      <c r="A284" s="123" t="s">
        <v>291</v>
      </c>
      <c r="B284" s="123">
        <v>12</v>
      </c>
      <c r="C284" s="125">
        <v>580</v>
      </c>
      <c r="D284" s="125">
        <v>54183265</v>
      </c>
      <c r="E284" s="125">
        <v>1120</v>
      </c>
      <c r="F284" s="125">
        <v>104711040</v>
      </c>
      <c r="G284" s="125">
        <v>821</v>
      </c>
      <c r="H284" s="125">
        <f t="shared" si="8"/>
        <v>76736603</v>
      </c>
      <c r="I284" s="125">
        <v>879</v>
      </c>
      <c r="J284" s="125">
        <v>82157702</v>
      </c>
      <c r="K284" s="150">
        <f t="shared" si="9"/>
        <v>93467.237770193402</v>
      </c>
      <c r="L284" s="151">
        <v>282</v>
      </c>
      <c r="M284" s="152" t="s">
        <v>709</v>
      </c>
      <c r="N284" s="152" t="s">
        <v>278</v>
      </c>
      <c r="O284" s="152" t="s">
        <v>303</v>
      </c>
      <c r="P284" s="152"/>
      <c r="Q284" s="158"/>
      <c r="R284" s="131">
        <v>0</v>
      </c>
    </row>
    <row r="285" spans="1:18" ht="15" x14ac:dyDescent="0.25">
      <c r="A285" s="123" t="s">
        <v>292</v>
      </c>
      <c r="B285" s="123">
        <v>12</v>
      </c>
      <c r="C285" s="125">
        <v>0</v>
      </c>
      <c r="D285" s="125">
        <v>0</v>
      </c>
      <c r="E285" s="125">
        <v>394</v>
      </c>
      <c r="F285" s="125">
        <v>34234181</v>
      </c>
      <c r="G285" s="125">
        <v>394</v>
      </c>
      <c r="H285" s="125">
        <f t="shared" si="8"/>
        <v>34234181</v>
      </c>
      <c r="I285" s="125">
        <v>0</v>
      </c>
      <c r="J285" s="125">
        <v>0</v>
      </c>
      <c r="K285" s="150"/>
      <c r="L285" s="151">
        <v>283</v>
      </c>
      <c r="M285" s="152" t="s">
        <v>710</v>
      </c>
      <c r="N285" s="152" t="s">
        <v>711</v>
      </c>
      <c r="O285" s="152" t="s">
        <v>327</v>
      </c>
      <c r="P285" s="152"/>
      <c r="Q285" s="158"/>
      <c r="R285" s="131">
        <v>0</v>
      </c>
    </row>
    <row r="286" spans="1:18" s="128" customFormat="1" ht="15" x14ac:dyDescent="0.25">
      <c r="A286" s="126"/>
      <c r="B286" s="126"/>
      <c r="C286" s="127"/>
      <c r="D286" s="127">
        <f>SUM(D4:D285)</f>
        <v>15757074952.489557</v>
      </c>
      <c r="E286" s="127"/>
      <c r="F286" s="127">
        <f t="shared" ref="F286:J286" si="10">SUM(F4:F285)</f>
        <v>24085377822.295795</v>
      </c>
      <c r="G286" s="127"/>
      <c r="H286" s="127">
        <f t="shared" si="10"/>
        <v>23906846021.58535</v>
      </c>
      <c r="I286" s="127"/>
      <c r="J286" s="127">
        <f t="shared" si="10"/>
        <v>15935606753.200001</v>
      </c>
      <c r="K286" s="149"/>
      <c r="L286" s="151">
        <v>284</v>
      </c>
      <c r="M286" s="156" t="s">
        <v>712</v>
      </c>
      <c r="N286" s="156" t="s">
        <v>713</v>
      </c>
      <c r="O286" s="156" t="s">
        <v>303</v>
      </c>
      <c r="P286" s="156"/>
      <c r="Q286" s="159"/>
      <c r="R286" s="132">
        <v>0</v>
      </c>
    </row>
    <row r="287" spans="1:18" ht="15" x14ac:dyDescent="0.25">
      <c r="J287" s="129">
        <f>D286+F286-H286</f>
        <v>15935606753.200005</v>
      </c>
      <c r="L287" s="151">
        <v>285</v>
      </c>
      <c r="M287" s="152" t="s">
        <v>714</v>
      </c>
      <c r="N287" s="152" t="s">
        <v>715</v>
      </c>
      <c r="O287" s="152" t="s">
        <v>303</v>
      </c>
      <c r="P287" s="152"/>
      <c r="Q287" s="158"/>
      <c r="R287" s="131">
        <v>0</v>
      </c>
    </row>
    <row r="288" spans="1:18" ht="15" x14ac:dyDescent="0.25">
      <c r="J288" s="124">
        <f>'ĐC Chính'!J286</f>
        <v>15761231523</v>
      </c>
      <c r="L288" s="151">
        <v>286</v>
      </c>
      <c r="M288" s="152" t="s">
        <v>716</v>
      </c>
      <c r="N288" s="152" t="s">
        <v>279</v>
      </c>
      <c r="O288" s="152" t="s">
        <v>327</v>
      </c>
      <c r="P288" s="152"/>
      <c r="Q288" s="158"/>
      <c r="R288" s="131">
        <v>0</v>
      </c>
    </row>
    <row r="289" spans="10:18" ht="15" x14ac:dyDescent="0.25">
      <c r="J289" s="129">
        <f>J287-J288</f>
        <v>174375230.20000458</v>
      </c>
      <c r="L289" s="151">
        <v>287</v>
      </c>
      <c r="M289" s="152" t="s">
        <v>717</v>
      </c>
      <c r="N289" s="152" t="s">
        <v>280</v>
      </c>
      <c r="O289" s="152" t="s">
        <v>327</v>
      </c>
      <c r="P289" s="152"/>
      <c r="Q289" s="158"/>
      <c r="R289" s="131">
        <v>0</v>
      </c>
    </row>
    <row r="290" spans="10:18" ht="15" x14ac:dyDescent="0.25">
      <c r="L290" s="151">
        <v>288</v>
      </c>
      <c r="M290" s="152" t="s">
        <v>718</v>
      </c>
      <c r="N290" s="152" t="s">
        <v>719</v>
      </c>
      <c r="O290" s="152" t="s">
        <v>327</v>
      </c>
      <c r="P290" s="152">
        <v>167</v>
      </c>
      <c r="Q290" s="158">
        <v>17640</v>
      </c>
      <c r="R290" s="131">
        <v>2945880</v>
      </c>
    </row>
    <row r="291" spans="10:18" ht="15" x14ac:dyDescent="0.25">
      <c r="L291" s="151">
        <v>289</v>
      </c>
      <c r="M291" s="152" t="s">
        <v>720</v>
      </c>
      <c r="N291" s="152" t="s">
        <v>282</v>
      </c>
      <c r="O291" s="152" t="s">
        <v>327</v>
      </c>
      <c r="P291" s="152">
        <v>13</v>
      </c>
      <c r="Q291" s="158">
        <v>35280</v>
      </c>
      <c r="R291" s="131">
        <v>458640</v>
      </c>
    </row>
    <row r="292" spans="10:18" ht="15" x14ac:dyDescent="0.25">
      <c r="L292" s="151">
        <v>290</v>
      </c>
      <c r="M292" s="152" t="s">
        <v>721</v>
      </c>
      <c r="N292" s="152" t="s">
        <v>233</v>
      </c>
      <c r="O292" s="152" t="s">
        <v>654</v>
      </c>
      <c r="P292" s="152">
        <v>2974</v>
      </c>
      <c r="Q292" s="158">
        <v>62720</v>
      </c>
      <c r="R292" s="131">
        <v>186529280</v>
      </c>
    </row>
    <row r="293" spans="10:18" ht="15" x14ac:dyDescent="0.25">
      <c r="L293" s="151">
        <v>291</v>
      </c>
      <c r="M293" s="152" t="s">
        <v>722</v>
      </c>
      <c r="N293" s="152" t="s">
        <v>245</v>
      </c>
      <c r="O293" s="152" t="s">
        <v>303</v>
      </c>
      <c r="P293" s="152"/>
      <c r="Q293" s="158"/>
      <c r="R293" s="131">
        <v>0</v>
      </c>
    </row>
    <row r="294" spans="10:18" ht="15" x14ac:dyDescent="0.25">
      <c r="L294" s="151">
        <v>292</v>
      </c>
      <c r="M294" s="152" t="s">
        <v>723</v>
      </c>
      <c r="N294" s="152" t="s">
        <v>724</v>
      </c>
      <c r="O294" s="152" t="s">
        <v>654</v>
      </c>
      <c r="P294" s="152"/>
      <c r="Q294" s="158"/>
      <c r="R294" s="131">
        <v>0</v>
      </c>
    </row>
    <row r="295" spans="10:18" ht="15" x14ac:dyDescent="0.25">
      <c r="L295" s="151">
        <v>293</v>
      </c>
      <c r="M295" s="152" t="s">
        <v>725</v>
      </c>
      <c r="N295" s="152" t="s">
        <v>726</v>
      </c>
      <c r="O295" s="152" t="s">
        <v>528</v>
      </c>
      <c r="P295" s="152"/>
      <c r="Q295" s="158"/>
      <c r="R295" s="131">
        <v>0</v>
      </c>
    </row>
    <row r="296" spans="10:18" ht="15" x14ac:dyDescent="0.25">
      <c r="L296" s="151">
        <v>294</v>
      </c>
      <c r="M296" s="152" t="s">
        <v>727</v>
      </c>
      <c r="N296" s="152" t="s">
        <v>728</v>
      </c>
      <c r="O296" s="152" t="s">
        <v>327</v>
      </c>
      <c r="P296" s="152"/>
      <c r="Q296" s="158"/>
      <c r="R296" s="131">
        <v>0</v>
      </c>
    </row>
    <row r="297" spans="10:18" ht="15" x14ac:dyDescent="0.25">
      <c r="L297" s="151">
        <v>295</v>
      </c>
      <c r="M297" s="152" t="s">
        <v>729</v>
      </c>
      <c r="N297" s="152" t="s">
        <v>730</v>
      </c>
      <c r="O297" s="152" t="s">
        <v>327</v>
      </c>
      <c r="P297" s="152"/>
      <c r="Q297" s="158"/>
      <c r="R297" s="131">
        <v>0</v>
      </c>
    </row>
    <row r="298" spans="10:18" ht="15" x14ac:dyDescent="0.25">
      <c r="L298" s="151">
        <v>296</v>
      </c>
      <c r="M298" s="152" t="s">
        <v>731</v>
      </c>
      <c r="N298" s="152" t="s">
        <v>287</v>
      </c>
      <c r="O298" s="152" t="s">
        <v>327</v>
      </c>
      <c r="P298" s="152">
        <v>8</v>
      </c>
      <c r="Q298" s="158">
        <v>29616</v>
      </c>
      <c r="R298" s="131">
        <v>236928</v>
      </c>
    </row>
    <row r="299" spans="10:18" ht="15" x14ac:dyDescent="0.25">
      <c r="L299" s="151">
        <v>297</v>
      </c>
      <c r="M299" s="152" t="s">
        <v>732</v>
      </c>
      <c r="N299" s="152" t="s">
        <v>618</v>
      </c>
      <c r="O299" s="152" t="s">
        <v>327</v>
      </c>
      <c r="P299" s="152"/>
      <c r="Q299" s="158"/>
      <c r="R299" s="131">
        <v>0</v>
      </c>
    </row>
    <row r="300" spans="10:18" ht="15" x14ac:dyDescent="0.25">
      <c r="L300" s="151">
        <v>298</v>
      </c>
      <c r="M300" s="152" t="s">
        <v>733</v>
      </c>
      <c r="N300" s="152" t="s">
        <v>210</v>
      </c>
      <c r="O300" s="152" t="s">
        <v>327</v>
      </c>
      <c r="P300" s="152">
        <v>625</v>
      </c>
      <c r="Q300" s="158">
        <v>13152</v>
      </c>
      <c r="R300" s="131">
        <v>8220000</v>
      </c>
    </row>
    <row r="301" spans="10:18" ht="15" x14ac:dyDescent="0.25">
      <c r="L301" s="151">
        <v>299</v>
      </c>
      <c r="M301" s="152" t="s">
        <v>734</v>
      </c>
      <c r="N301" s="152" t="s">
        <v>735</v>
      </c>
      <c r="O301" s="152" t="s">
        <v>736</v>
      </c>
      <c r="P301" s="152"/>
      <c r="Q301" s="158"/>
      <c r="R301" s="131">
        <v>0</v>
      </c>
    </row>
    <row r="302" spans="10:18" ht="15" x14ac:dyDescent="0.25">
      <c r="L302" s="151">
        <v>300</v>
      </c>
      <c r="M302" s="152" t="s">
        <v>737</v>
      </c>
      <c r="N302" s="152" t="s">
        <v>182</v>
      </c>
      <c r="O302" s="152" t="s">
        <v>528</v>
      </c>
      <c r="P302" s="152"/>
      <c r="Q302" s="158"/>
      <c r="R302" s="131">
        <v>0</v>
      </c>
    </row>
    <row r="303" spans="10:18" ht="15" x14ac:dyDescent="0.25">
      <c r="L303" s="151">
        <v>301</v>
      </c>
      <c r="M303" s="152" t="s">
        <v>738</v>
      </c>
      <c r="N303" s="152" t="s">
        <v>183</v>
      </c>
      <c r="O303" s="152" t="s">
        <v>528</v>
      </c>
      <c r="P303" s="152">
        <v>750</v>
      </c>
      <c r="Q303" s="158">
        <v>54405.18</v>
      </c>
      <c r="R303" s="131">
        <v>40803885</v>
      </c>
    </row>
    <row r="304" spans="10:18" ht="15" x14ac:dyDescent="0.25">
      <c r="L304" s="151">
        <v>302</v>
      </c>
      <c r="M304" s="152" t="s">
        <v>739</v>
      </c>
      <c r="N304" s="152" t="s">
        <v>184</v>
      </c>
      <c r="O304" s="152" t="s">
        <v>528</v>
      </c>
      <c r="P304" s="152">
        <v>678</v>
      </c>
      <c r="Q304" s="158">
        <v>54405.18</v>
      </c>
      <c r="R304" s="131">
        <v>36886712.039999999</v>
      </c>
    </row>
    <row r="305" spans="12:18" ht="15" x14ac:dyDescent="0.25">
      <c r="L305" s="151">
        <v>303</v>
      </c>
      <c r="M305" s="152" t="s">
        <v>740</v>
      </c>
      <c r="N305" s="152" t="s">
        <v>189</v>
      </c>
      <c r="O305" s="152" t="s">
        <v>303</v>
      </c>
      <c r="P305" s="152">
        <v>555</v>
      </c>
      <c r="Q305" s="158">
        <v>44306.06</v>
      </c>
      <c r="R305" s="131">
        <v>24589863.299999997</v>
      </c>
    </row>
    <row r="306" spans="12:18" ht="15" x14ac:dyDescent="0.25">
      <c r="L306" s="151">
        <v>304</v>
      </c>
      <c r="M306" s="152" t="s">
        <v>741</v>
      </c>
      <c r="N306" s="152" t="s">
        <v>742</v>
      </c>
      <c r="O306" s="152" t="s">
        <v>303</v>
      </c>
      <c r="P306" s="152"/>
      <c r="Q306" s="158"/>
      <c r="R306" s="131">
        <v>0</v>
      </c>
    </row>
    <row r="307" spans="12:18" ht="15" x14ac:dyDescent="0.25">
      <c r="L307" s="151">
        <v>305</v>
      </c>
      <c r="M307" s="152" t="s">
        <v>743</v>
      </c>
      <c r="N307" s="152" t="s">
        <v>186</v>
      </c>
      <c r="O307" s="152" t="s">
        <v>303</v>
      </c>
      <c r="P307" s="152">
        <v>4395</v>
      </c>
      <c r="Q307" s="158">
        <v>43373.31</v>
      </c>
      <c r="R307" s="131">
        <v>190625697.44999999</v>
      </c>
    </row>
    <row r="308" spans="12:18" ht="15" x14ac:dyDescent="0.25">
      <c r="L308" s="151">
        <v>306</v>
      </c>
      <c r="M308" s="152" t="s">
        <v>744</v>
      </c>
      <c r="N308" s="152" t="s">
        <v>745</v>
      </c>
      <c r="O308" s="152" t="s">
        <v>303</v>
      </c>
      <c r="P308" s="152"/>
      <c r="Q308" s="158"/>
      <c r="R308" s="131">
        <v>0</v>
      </c>
    </row>
    <row r="309" spans="12:18" ht="15" x14ac:dyDescent="0.25">
      <c r="L309" s="151">
        <v>307</v>
      </c>
      <c r="M309" s="152" t="s">
        <v>746</v>
      </c>
      <c r="N309" s="152" t="s">
        <v>185</v>
      </c>
      <c r="O309" s="152" t="s">
        <v>303</v>
      </c>
      <c r="P309" s="152">
        <v>925</v>
      </c>
      <c r="Q309" s="158">
        <v>180233.73</v>
      </c>
      <c r="R309" s="131">
        <v>166716200.25</v>
      </c>
    </row>
    <row r="310" spans="12:18" ht="15" x14ac:dyDescent="0.25">
      <c r="L310" s="151">
        <v>308</v>
      </c>
      <c r="M310" s="152" t="s">
        <v>747</v>
      </c>
      <c r="N310" s="152" t="s">
        <v>748</v>
      </c>
      <c r="O310" s="152" t="s">
        <v>303</v>
      </c>
      <c r="P310" s="152">
        <v>8407</v>
      </c>
      <c r="Q310" s="158">
        <v>178467</v>
      </c>
      <c r="R310" s="131">
        <v>1500372069</v>
      </c>
    </row>
    <row r="311" spans="12:18" ht="15" x14ac:dyDescent="0.25">
      <c r="L311" s="151">
        <v>309</v>
      </c>
      <c r="M311" s="152" t="s">
        <v>749</v>
      </c>
      <c r="N311" s="152" t="s">
        <v>750</v>
      </c>
      <c r="O311" s="152" t="s">
        <v>303</v>
      </c>
      <c r="P311" s="152"/>
      <c r="Q311" s="158">
        <v>43373</v>
      </c>
      <c r="R311" s="131">
        <v>0</v>
      </c>
    </row>
    <row r="312" spans="12:18" ht="15" x14ac:dyDescent="0.25">
      <c r="L312" s="151">
        <v>310</v>
      </c>
      <c r="M312" s="152" t="s">
        <v>751</v>
      </c>
      <c r="N312" s="152" t="s">
        <v>192</v>
      </c>
      <c r="O312" s="152" t="s">
        <v>311</v>
      </c>
      <c r="P312" s="152">
        <v>6335</v>
      </c>
      <c r="Q312" s="158">
        <v>7220</v>
      </c>
      <c r="R312" s="131">
        <v>45738700</v>
      </c>
    </row>
    <row r="313" spans="12:18" ht="15" x14ac:dyDescent="0.25">
      <c r="L313" s="151">
        <v>311</v>
      </c>
      <c r="M313" s="152" t="s">
        <v>752</v>
      </c>
      <c r="N313" s="152" t="s">
        <v>190</v>
      </c>
      <c r="O313" s="152" t="s">
        <v>753</v>
      </c>
      <c r="P313" s="152">
        <v>4737</v>
      </c>
      <c r="Q313" s="158">
        <v>28272</v>
      </c>
      <c r="R313" s="131">
        <v>133924464</v>
      </c>
    </row>
    <row r="314" spans="12:18" ht="15" x14ac:dyDescent="0.25">
      <c r="L314" s="151">
        <v>312</v>
      </c>
      <c r="M314" s="152" t="s">
        <v>754</v>
      </c>
      <c r="N314" s="152" t="s">
        <v>755</v>
      </c>
      <c r="O314" s="152" t="s">
        <v>753</v>
      </c>
      <c r="P314" s="152">
        <v>843</v>
      </c>
      <c r="Q314" s="158">
        <v>35340</v>
      </c>
      <c r="R314" s="131">
        <v>29791620</v>
      </c>
    </row>
    <row r="315" spans="12:18" ht="15" x14ac:dyDescent="0.25">
      <c r="L315" s="151">
        <v>313</v>
      </c>
      <c r="M315" s="152" t="s">
        <v>756</v>
      </c>
      <c r="N315" s="152" t="s">
        <v>194</v>
      </c>
      <c r="O315" s="152" t="s">
        <v>311</v>
      </c>
      <c r="P315" s="152">
        <v>243366</v>
      </c>
      <c r="Q315" s="158">
        <v>7068</v>
      </c>
      <c r="R315" s="131">
        <v>1720110888</v>
      </c>
    </row>
    <row r="316" spans="12:18" ht="15" x14ac:dyDescent="0.25">
      <c r="L316" s="151">
        <v>314</v>
      </c>
      <c r="M316" s="152" t="s">
        <v>757</v>
      </c>
      <c r="N316" s="152" t="s">
        <v>191</v>
      </c>
      <c r="O316" s="152" t="s">
        <v>753</v>
      </c>
      <c r="P316" s="152">
        <v>46715</v>
      </c>
      <c r="Q316" s="158">
        <v>28272</v>
      </c>
      <c r="R316" s="131">
        <v>1320726480</v>
      </c>
    </row>
    <row r="317" spans="12:18" ht="15" x14ac:dyDescent="0.25">
      <c r="L317" s="151">
        <v>315</v>
      </c>
      <c r="M317" s="152" t="s">
        <v>758</v>
      </c>
      <c r="N317" s="152" t="s">
        <v>759</v>
      </c>
      <c r="O317" s="152" t="s">
        <v>753</v>
      </c>
      <c r="P317" s="152"/>
      <c r="Q317" s="158"/>
      <c r="R317" s="131">
        <v>0</v>
      </c>
    </row>
    <row r="318" spans="12:18" ht="15" x14ac:dyDescent="0.25">
      <c r="L318" s="151">
        <v>316</v>
      </c>
      <c r="M318" s="152" t="s">
        <v>760</v>
      </c>
      <c r="N318" s="152" t="s">
        <v>198</v>
      </c>
      <c r="O318" s="152" t="s">
        <v>753</v>
      </c>
      <c r="P318" s="152"/>
      <c r="Q318" s="158"/>
      <c r="R318" s="131">
        <v>0</v>
      </c>
    </row>
    <row r="319" spans="12:18" ht="15" x14ac:dyDescent="0.25">
      <c r="L319" s="151">
        <v>317</v>
      </c>
      <c r="M319" s="152" t="s">
        <v>761</v>
      </c>
      <c r="N319" s="152" t="s">
        <v>762</v>
      </c>
      <c r="O319" s="152" t="s">
        <v>753</v>
      </c>
      <c r="P319" s="152">
        <v>18683</v>
      </c>
      <c r="Q319" s="158">
        <v>27388.5</v>
      </c>
      <c r="R319" s="131">
        <v>511699345.5</v>
      </c>
    </row>
    <row r="320" spans="12:18" ht="15" x14ac:dyDescent="0.25">
      <c r="L320" s="151">
        <v>318</v>
      </c>
      <c r="M320" s="152" t="s">
        <v>763</v>
      </c>
      <c r="N320" s="152" t="s">
        <v>196</v>
      </c>
      <c r="O320" s="152" t="s">
        <v>303</v>
      </c>
      <c r="P320" s="152"/>
      <c r="Q320" s="158"/>
      <c r="R320" s="131">
        <v>0</v>
      </c>
    </row>
    <row r="321" spans="12:18" ht="15" x14ac:dyDescent="0.25">
      <c r="L321" s="151">
        <v>319</v>
      </c>
      <c r="M321" s="152" t="s">
        <v>764</v>
      </c>
      <c r="N321" s="152" t="s">
        <v>765</v>
      </c>
      <c r="O321" s="152" t="s">
        <v>311</v>
      </c>
      <c r="P321" s="152">
        <v>1150</v>
      </c>
      <c r="Q321" s="158">
        <v>7220</v>
      </c>
      <c r="R321" s="131">
        <v>8303000</v>
      </c>
    </row>
    <row r="322" spans="12:18" ht="15" x14ac:dyDescent="0.25">
      <c r="L322" s="151">
        <v>320</v>
      </c>
      <c r="M322" s="152" t="s">
        <v>766</v>
      </c>
      <c r="N322" s="152" t="s">
        <v>767</v>
      </c>
      <c r="O322" s="152" t="s">
        <v>753</v>
      </c>
      <c r="P322" s="152"/>
      <c r="Q322" s="158"/>
      <c r="R322" s="131">
        <v>0</v>
      </c>
    </row>
    <row r="323" spans="12:18" ht="15" x14ac:dyDescent="0.25">
      <c r="L323" s="151">
        <v>321</v>
      </c>
      <c r="M323" s="152" t="s">
        <v>768</v>
      </c>
      <c r="N323" s="152" t="s">
        <v>769</v>
      </c>
      <c r="O323" s="152" t="s">
        <v>303</v>
      </c>
      <c r="P323" s="152"/>
      <c r="Q323" s="158"/>
      <c r="R323" s="131">
        <v>0</v>
      </c>
    </row>
    <row r="324" spans="12:18" ht="15" x14ac:dyDescent="0.25">
      <c r="L324" s="151">
        <v>322</v>
      </c>
      <c r="M324" s="152" t="s">
        <v>770</v>
      </c>
      <c r="N324" s="152" t="s">
        <v>771</v>
      </c>
      <c r="O324" s="152" t="s">
        <v>303</v>
      </c>
      <c r="P324" s="152"/>
      <c r="Q324" s="158"/>
      <c r="R324" s="131">
        <v>0</v>
      </c>
    </row>
    <row r="325" spans="12:18" ht="15" x14ac:dyDescent="0.25">
      <c r="L325" s="151">
        <v>323</v>
      </c>
      <c r="M325" s="152" t="s">
        <v>772</v>
      </c>
      <c r="N325" s="152" t="s">
        <v>773</v>
      </c>
      <c r="O325" s="152" t="s">
        <v>303</v>
      </c>
      <c r="P325" s="152"/>
      <c r="Q325" s="158"/>
      <c r="R325" s="131">
        <v>0</v>
      </c>
    </row>
    <row r="326" spans="12:18" ht="15" x14ac:dyDescent="0.25">
      <c r="L326" s="151">
        <v>324</v>
      </c>
      <c r="M326" s="152" t="s">
        <v>774</v>
      </c>
      <c r="N326" s="152" t="s">
        <v>775</v>
      </c>
      <c r="O326" s="152" t="s">
        <v>303</v>
      </c>
      <c r="P326" s="152"/>
      <c r="Q326" s="158"/>
      <c r="R326" s="131">
        <v>0</v>
      </c>
    </row>
    <row r="327" spans="12:18" ht="15" x14ac:dyDescent="0.25">
      <c r="L327" s="151">
        <v>325</v>
      </c>
      <c r="M327" s="152" t="s">
        <v>776</v>
      </c>
      <c r="N327" s="152" t="s">
        <v>777</v>
      </c>
      <c r="O327" s="152" t="s">
        <v>303</v>
      </c>
      <c r="P327" s="152"/>
      <c r="Q327" s="158"/>
      <c r="R327" s="131">
        <v>0</v>
      </c>
    </row>
    <row r="328" spans="12:18" ht="15" x14ac:dyDescent="0.25">
      <c r="L328" s="151">
        <v>326</v>
      </c>
      <c r="M328" s="152" t="s">
        <v>778</v>
      </c>
      <c r="N328" s="152" t="s">
        <v>779</v>
      </c>
      <c r="O328" s="152" t="s">
        <v>303</v>
      </c>
      <c r="P328" s="152"/>
      <c r="Q328" s="158"/>
      <c r="R328" s="131">
        <v>0</v>
      </c>
    </row>
    <row r="329" spans="12:18" ht="15" x14ac:dyDescent="0.25">
      <c r="L329" s="151">
        <v>327</v>
      </c>
      <c r="M329" s="152" t="s">
        <v>780</v>
      </c>
      <c r="N329" s="152" t="s">
        <v>781</v>
      </c>
      <c r="O329" s="152" t="s">
        <v>303</v>
      </c>
      <c r="P329" s="152"/>
      <c r="Q329" s="158"/>
      <c r="R329" s="131">
        <v>0</v>
      </c>
    </row>
    <row r="330" spans="12:18" ht="15" x14ac:dyDescent="0.25">
      <c r="L330" s="151">
        <v>328</v>
      </c>
      <c r="M330" s="152" t="s">
        <v>782</v>
      </c>
      <c r="N330" s="152" t="s">
        <v>203</v>
      </c>
      <c r="O330" s="152" t="s">
        <v>303</v>
      </c>
      <c r="P330" s="152">
        <v>918</v>
      </c>
      <c r="Q330" s="158">
        <v>11737</v>
      </c>
      <c r="R330" s="131">
        <v>10774566</v>
      </c>
    </row>
    <row r="331" spans="12:18" ht="15" x14ac:dyDescent="0.25">
      <c r="L331" s="151">
        <v>329</v>
      </c>
      <c r="M331" s="152" t="s">
        <v>783</v>
      </c>
      <c r="N331" s="152" t="s">
        <v>202</v>
      </c>
      <c r="O331" s="152" t="s">
        <v>303</v>
      </c>
      <c r="P331" s="152">
        <v>72</v>
      </c>
      <c r="Q331" s="158">
        <v>25802</v>
      </c>
      <c r="R331" s="131">
        <v>1857744</v>
      </c>
    </row>
    <row r="332" spans="12:18" ht="15" x14ac:dyDescent="0.25">
      <c r="L332" s="151">
        <v>330</v>
      </c>
      <c r="M332" s="152" t="s">
        <v>784</v>
      </c>
      <c r="N332" s="152" t="s">
        <v>204</v>
      </c>
      <c r="O332" s="152" t="s">
        <v>303</v>
      </c>
      <c r="P332" s="152">
        <v>8457</v>
      </c>
      <c r="Q332" s="158">
        <v>32010</v>
      </c>
      <c r="R332" s="131">
        <v>270708570</v>
      </c>
    </row>
    <row r="333" spans="12:18" ht="15" x14ac:dyDescent="0.25">
      <c r="L333" s="151">
        <v>331</v>
      </c>
      <c r="M333" s="152" t="s">
        <v>785</v>
      </c>
      <c r="N333" s="152" t="s">
        <v>205</v>
      </c>
      <c r="O333" s="152" t="s">
        <v>303</v>
      </c>
      <c r="P333" s="152">
        <v>190</v>
      </c>
      <c r="Q333" s="158">
        <v>67124</v>
      </c>
      <c r="R333" s="131">
        <v>12753560</v>
      </c>
    </row>
    <row r="334" spans="12:18" ht="15" x14ac:dyDescent="0.25">
      <c r="L334" s="151">
        <v>332</v>
      </c>
      <c r="M334" s="152" t="s">
        <v>786</v>
      </c>
      <c r="N334" s="152" t="s">
        <v>787</v>
      </c>
      <c r="O334" s="152" t="s">
        <v>327</v>
      </c>
      <c r="P334" s="152"/>
      <c r="Q334" s="158"/>
      <c r="R334" s="131">
        <v>0</v>
      </c>
    </row>
    <row r="335" spans="12:18" ht="15" x14ac:dyDescent="0.25">
      <c r="L335" s="151">
        <v>333</v>
      </c>
      <c r="M335" s="152" t="s">
        <v>788</v>
      </c>
      <c r="N335" s="152" t="s">
        <v>255</v>
      </c>
      <c r="O335" s="152" t="s">
        <v>327</v>
      </c>
      <c r="P335" s="152"/>
      <c r="Q335" s="158"/>
      <c r="R335" s="131">
        <v>0</v>
      </c>
    </row>
    <row r="336" spans="12:18" ht="15" x14ac:dyDescent="0.25">
      <c r="L336" s="151">
        <v>334</v>
      </c>
      <c r="M336" s="152" t="s">
        <v>789</v>
      </c>
      <c r="N336" s="152" t="s">
        <v>209</v>
      </c>
      <c r="O336" s="152" t="s">
        <v>451</v>
      </c>
      <c r="P336" s="152">
        <v>76</v>
      </c>
      <c r="Q336" s="158">
        <v>58410</v>
      </c>
      <c r="R336" s="131">
        <v>4439160</v>
      </c>
    </row>
    <row r="337" spans="12:18" ht="15" x14ac:dyDescent="0.25">
      <c r="L337" s="151">
        <v>335</v>
      </c>
      <c r="M337" s="152" t="s">
        <v>790</v>
      </c>
      <c r="N337" s="152" t="s">
        <v>791</v>
      </c>
      <c r="O337" s="152" t="s">
        <v>654</v>
      </c>
      <c r="P337" s="152"/>
      <c r="Q337" s="158"/>
      <c r="R337" s="131">
        <v>0</v>
      </c>
    </row>
    <row r="338" spans="12:18" ht="15" x14ac:dyDescent="0.25">
      <c r="L338" s="151">
        <v>336</v>
      </c>
      <c r="M338" s="152" t="s">
        <v>792</v>
      </c>
      <c r="N338" s="152" t="s">
        <v>206</v>
      </c>
      <c r="O338" s="152" t="s">
        <v>303</v>
      </c>
      <c r="P338" s="152">
        <v>360</v>
      </c>
      <c r="Q338" s="158">
        <v>32864</v>
      </c>
      <c r="R338" s="131">
        <v>11831040</v>
      </c>
    </row>
    <row r="339" spans="12:18" ht="15" x14ac:dyDescent="0.25">
      <c r="L339" s="151">
        <v>337</v>
      </c>
      <c r="M339" s="152" t="s">
        <v>793</v>
      </c>
      <c r="N339" s="152" t="s">
        <v>207</v>
      </c>
      <c r="O339" s="152" t="s">
        <v>303</v>
      </c>
      <c r="P339" s="152">
        <v>2634</v>
      </c>
      <c r="Q339" s="158">
        <v>12804</v>
      </c>
      <c r="R339" s="131">
        <v>33725736</v>
      </c>
    </row>
    <row r="340" spans="12:18" ht="15" x14ac:dyDescent="0.25">
      <c r="L340" s="151">
        <v>338</v>
      </c>
      <c r="M340" s="152" t="s">
        <v>794</v>
      </c>
      <c r="N340" s="152" t="s">
        <v>258</v>
      </c>
      <c r="O340" s="152" t="s">
        <v>327</v>
      </c>
      <c r="P340" s="152">
        <v>1215</v>
      </c>
      <c r="Q340" s="158">
        <v>15322</v>
      </c>
      <c r="R340" s="131">
        <v>18616230</v>
      </c>
    </row>
    <row r="341" spans="12:18" ht="15" x14ac:dyDescent="0.25">
      <c r="L341" s="151">
        <v>339</v>
      </c>
      <c r="M341" s="152" t="s">
        <v>795</v>
      </c>
      <c r="N341" s="152" t="s">
        <v>208</v>
      </c>
      <c r="O341" s="152" t="s">
        <v>303</v>
      </c>
      <c r="P341" s="152">
        <v>205</v>
      </c>
      <c r="Q341" s="158">
        <v>10476</v>
      </c>
      <c r="R341" s="131">
        <v>2147580</v>
      </c>
    </row>
    <row r="342" spans="12:18" ht="15" x14ac:dyDescent="0.25">
      <c r="L342" s="151">
        <v>340</v>
      </c>
      <c r="M342" s="152" t="s">
        <v>796</v>
      </c>
      <c r="N342" s="152" t="s">
        <v>797</v>
      </c>
      <c r="O342" s="152" t="s">
        <v>327</v>
      </c>
      <c r="P342" s="152">
        <v>90</v>
      </c>
      <c r="Q342" s="158">
        <v>21363.9</v>
      </c>
      <c r="R342" s="131">
        <v>1922751.0000000002</v>
      </c>
    </row>
    <row r="343" spans="12:18" ht="15" x14ac:dyDescent="0.25">
      <c r="L343" s="151">
        <v>341</v>
      </c>
      <c r="M343" s="152" t="s">
        <v>798</v>
      </c>
      <c r="N343" s="152" t="s">
        <v>799</v>
      </c>
      <c r="O343" s="152" t="s">
        <v>327</v>
      </c>
      <c r="P343" s="152"/>
      <c r="Q343" s="158"/>
      <c r="R343" s="131">
        <v>0</v>
      </c>
    </row>
    <row r="344" spans="12:18" ht="15" x14ac:dyDescent="0.25">
      <c r="L344" s="151">
        <v>342</v>
      </c>
      <c r="M344" s="152" t="s">
        <v>800</v>
      </c>
      <c r="N344" s="152" t="s">
        <v>801</v>
      </c>
      <c r="O344" s="152" t="s">
        <v>327</v>
      </c>
      <c r="P344" s="152"/>
      <c r="Q344" s="158"/>
      <c r="R344" s="131">
        <v>0</v>
      </c>
    </row>
    <row r="345" spans="12:18" ht="15" x14ac:dyDescent="0.25">
      <c r="L345" s="151">
        <v>343</v>
      </c>
      <c r="M345" s="152" t="s">
        <v>802</v>
      </c>
      <c r="N345" s="152" t="s">
        <v>803</v>
      </c>
      <c r="O345" s="152" t="s">
        <v>327</v>
      </c>
      <c r="P345" s="152"/>
      <c r="Q345" s="158"/>
      <c r="R345" s="131">
        <v>0</v>
      </c>
    </row>
    <row r="346" spans="12:18" ht="15" x14ac:dyDescent="0.25">
      <c r="L346" s="151">
        <v>344</v>
      </c>
      <c r="M346" s="152" t="s">
        <v>804</v>
      </c>
      <c r="N346" s="152" t="s">
        <v>805</v>
      </c>
      <c r="O346" s="152" t="s">
        <v>699</v>
      </c>
      <c r="P346" s="152"/>
      <c r="Q346" s="158"/>
      <c r="R346" s="131">
        <v>0</v>
      </c>
    </row>
    <row r="347" spans="12:18" ht="15" x14ac:dyDescent="0.25">
      <c r="L347" s="151">
        <v>345</v>
      </c>
      <c r="M347" s="152" t="s">
        <v>806</v>
      </c>
      <c r="N347" s="152" t="s">
        <v>256</v>
      </c>
      <c r="O347" s="152" t="s">
        <v>327</v>
      </c>
      <c r="P347" s="152"/>
      <c r="Q347" s="158"/>
      <c r="R347" s="131">
        <v>0</v>
      </c>
    </row>
    <row r="348" spans="12:18" ht="15" x14ac:dyDescent="0.25">
      <c r="L348" s="151">
        <v>346</v>
      </c>
      <c r="M348" s="152" t="s">
        <v>807</v>
      </c>
      <c r="N348" s="152" t="s">
        <v>286</v>
      </c>
      <c r="O348" s="152" t="s">
        <v>327</v>
      </c>
      <c r="P348" s="152"/>
      <c r="Q348" s="158"/>
      <c r="R348" s="131">
        <v>0</v>
      </c>
    </row>
    <row r="349" spans="12:18" ht="15" x14ac:dyDescent="0.25">
      <c r="L349" s="151">
        <v>347</v>
      </c>
      <c r="M349" s="152" t="s">
        <v>808</v>
      </c>
      <c r="N349" s="152" t="s">
        <v>213</v>
      </c>
      <c r="O349" s="152" t="s">
        <v>303</v>
      </c>
      <c r="P349" s="152">
        <v>1474</v>
      </c>
      <c r="Q349" s="158">
        <v>21243</v>
      </c>
      <c r="R349" s="131">
        <v>31312182</v>
      </c>
    </row>
    <row r="350" spans="12:18" ht="15" x14ac:dyDescent="0.25">
      <c r="L350" s="151">
        <v>348</v>
      </c>
      <c r="M350" s="152" t="s">
        <v>809</v>
      </c>
      <c r="N350" s="152" t="s">
        <v>212</v>
      </c>
      <c r="O350" s="152" t="s">
        <v>303</v>
      </c>
      <c r="P350" s="152">
        <v>20747</v>
      </c>
      <c r="Q350" s="158">
        <v>12416</v>
      </c>
      <c r="R350" s="131">
        <v>257594752</v>
      </c>
    </row>
    <row r="351" spans="12:18" ht="15" x14ac:dyDescent="0.25">
      <c r="L351" s="151">
        <v>349</v>
      </c>
      <c r="M351" s="152" t="s">
        <v>810</v>
      </c>
      <c r="N351" s="152" t="s">
        <v>811</v>
      </c>
      <c r="O351" s="152" t="s">
        <v>303</v>
      </c>
      <c r="P351" s="152"/>
      <c r="Q351" s="158"/>
      <c r="R351" s="131">
        <v>0</v>
      </c>
    </row>
    <row r="352" spans="12:18" ht="15" x14ac:dyDescent="0.25">
      <c r="L352" s="151">
        <v>350</v>
      </c>
      <c r="M352" s="152" t="s">
        <v>812</v>
      </c>
      <c r="N352" s="152" t="s">
        <v>215</v>
      </c>
      <c r="O352" s="152" t="s">
        <v>303</v>
      </c>
      <c r="P352" s="152">
        <v>597</v>
      </c>
      <c r="Q352" s="158">
        <v>42680</v>
      </c>
      <c r="R352" s="131">
        <v>25479960</v>
      </c>
    </row>
    <row r="353" spans="12:18" ht="15" x14ac:dyDescent="0.25">
      <c r="L353" s="151">
        <v>351</v>
      </c>
      <c r="M353" s="152" t="s">
        <v>813</v>
      </c>
      <c r="N353" s="152" t="s">
        <v>216</v>
      </c>
      <c r="O353" s="152" t="s">
        <v>303</v>
      </c>
      <c r="P353" s="152"/>
      <c r="Q353" s="158"/>
      <c r="R353" s="131">
        <v>0</v>
      </c>
    </row>
    <row r="354" spans="12:18" ht="15" x14ac:dyDescent="0.25">
      <c r="L354" s="151">
        <v>352</v>
      </c>
      <c r="M354" s="152" t="s">
        <v>814</v>
      </c>
      <c r="N354" s="152" t="s">
        <v>815</v>
      </c>
      <c r="O354" s="152" t="s">
        <v>327</v>
      </c>
      <c r="P354" s="152"/>
      <c r="Q354" s="158"/>
      <c r="R354" s="131">
        <v>0</v>
      </c>
    </row>
    <row r="355" spans="12:18" ht="15" x14ac:dyDescent="0.25">
      <c r="L355" s="151">
        <v>353</v>
      </c>
      <c r="M355" s="152" t="s">
        <v>816</v>
      </c>
      <c r="N355" s="152" t="s">
        <v>815</v>
      </c>
      <c r="O355" s="152" t="s">
        <v>528</v>
      </c>
      <c r="P355" s="152"/>
      <c r="Q355" s="158"/>
      <c r="R355" s="131">
        <v>0</v>
      </c>
    </row>
    <row r="356" spans="12:18" ht="15" x14ac:dyDescent="0.25">
      <c r="L356" s="151">
        <v>354</v>
      </c>
      <c r="M356" s="152" t="s">
        <v>817</v>
      </c>
      <c r="N356" s="152" t="s">
        <v>818</v>
      </c>
      <c r="O356" s="152" t="s">
        <v>528</v>
      </c>
      <c r="P356" s="152"/>
      <c r="Q356" s="158"/>
      <c r="R356" s="131">
        <v>0</v>
      </c>
    </row>
    <row r="357" spans="12:18" ht="15" x14ac:dyDescent="0.25">
      <c r="L357" s="151">
        <v>355</v>
      </c>
      <c r="M357" s="152" t="s">
        <v>819</v>
      </c>
      <c r="N357" s="152" t="s">
        <v>239</v>
      </c>
      <c r="O357" s="152" t="s">
        <v>451</v>
      </c>
      <c r="P357" s="152"/>
      <c r="Q357" s="158"/>
      <c r="R357" s="131">
        <v>0</v>
      </c>
    </row>
    <row r="358" spans="12:18" ht="15" x14ac:dyDescent="0.25">
      <c r="L358" s="151">
        <v>356</v>
      </c>
      <c r="M358" s="152" t="s">
        <v>820</v>
      </c>
      <c r="N358" s="152" t="s">
        <v>821</v>
      </c>
      <c r="O358" s="152" t="s">
        <v>654</v>
      </c>
      <c r="P358" s="152"/>
      <c r="Q358" s="158"/>
      <c r="R358" s="131">
        <v>0</v>
      </c>
    </row>
    <row r="359" spans="12:18" ht="15" x14ac:dyDescent="0.25">
      <c r="L359" s="151">
        <v>357</v>
      </c>
      <c r="M359" s="152" t="s">
        <v>822</v>
      </c>
      <c r="N359" s="152" t="s">
        <v>217</v>
      </c>
      <c r="O359" s="152" t="s">
        <v>654</v>
      </c>
      <c r="P359" s="152">
        <v>90</v>
      </c>
      <c r="Q359" s="158">
        <v>180700</v>
      </c>
      <c r="R359" s="131">
        <v>16263000</v>
      </c>
    </row>
    <row r="360" spans="12:18" ht="15" x14ac:dyDescent="0.25">
      <c r="L360" s="151">
        <v>358</v>
      </c>
      <c r="M360" s="152" t="s">
        <v>823</v>
      </c>
      <c r="N360" s="152" t="s">
        <v>218</v>
      </c>
      <c r="O360" s="152" t="s">
        <v>654</v>
      </c>
      <c r="P360" s="152">
        <v>50</v>
      </c>
      <c r="Q360" s="158">
        <v>239590</v>
      </c>
      <c r="R360" s="131">
        <v>11979500</v>
      </c>
    </row>
    <row r="361" spans="12:18" ht="15" x14ac:dyDescent="0.25">
      <c r="L361" s="151">
        <v>359</v>
      </c>
      <c r="M361" s="152" t="s">
        <v>824</v>
      </c>
      <c r="N361" s="152" t="s">
        <v>219</v>
      </c>
      <c r="O361" s="152" t="s">
        <v>654</v>
      </c>
      <c r="P361" s="152">
        <v>30</v>
      </c>
      <c r="Q361" s="158">
        <v>236000</v>
      </c>
      <c r="R361" s="131">
        <v>7080000</v>
      </c>
    </row>
    <row r="362" spans="12:18" ht="15" x14ac:dyDescent="0.25">
      <c r="L362" s="151">
        <v>360</v>
      </c>
      <c r="M362" s="152" t="s">
        <v>825</v>
      </c>
      <c r="N362" s="152" t="s">
        <v>220</v>
      </c>
      <c r="O362" s="152" t="s">
        <v>303</v>
      </c>
      <c r="P362" s="152">
        <v>72</v>
      </c>
      <c r="Q362" s="158">
        <v>24444</v>
      </c>
      <c r="R362" s="131">
        <v>1759968</v>
      </c>
    </row>
    <row r="363" spans="12:18" ht="15" x14ac:dyDescent="0.25">
      <c r="L363" s="151">
        <v>361</v>
      </c>
      <c r="M363" s="152" t="s">
        <v>826</v>
      </c>
      <c r="N363" s="152" t="s">
        <v>827</v>
      </c>
      <c r="O363" s="152" t="s">
        <v>303</v>
      </c>
      <c r="P363" s="152"/>
      <c r="Q363" s="158"/>
      <c r="R363" s="131">
        <v>0</v>
      </c>
    </row>
    <row r="364" spans="12:18" ht="15" x14ac:dyDescent="0.25">
      <c r="L364" s="151">
        <v>362</v>
      </c>
      <c r="M364" s="152" t="s">
        <v>828</v>
      </c>
      <c r="N364" s="152" t="s">
        <v>829</v>
      </c>
      <c r="O364" s="152" t="s">
        <v>654</v>
      </c>
      <c r="P364" s="152"/>
      <c r="Q364" s="158"/>
      <c r="R364" s="131">
        <v>0</v>
      </c>
    </row>
    <row r="365" spans="12:18" ht="15" x14ac:dyDescent="0.25">
      <c r="L365" s="151">
        <v>363</v>
      </c>
      <c r="M365" s="152" t="s">
        <v>830</v>
      </c>
      <c r="N365" s="152" t="s">
        <v>221</v>
      </c>
      <c r="O365" s="152" t="s">
        <v>303</v>
      </c>
      <c r="P365" s="152">
        <v>3930</v>
      </c>
      <c r="Q365" s="158">
        <v>19691</v>
      </c>
      <c r="R365" s="131">
        <v>77385630</v>
      </c>
    </row>
    <row r="366" spans="12:18" ht="15" x14ac:dyDescent="0.25">
      <c r="L366" s="151">
        <v>364</v>
      </c>
      <c r="M366" s="152" t="s">
        <v>831</v>
      </c>
      <c r="N366" s="152" t="s">
        <v>222</v>
      </c>
      <c r="O366" s="152" t="s">
        <v>303</v>
      </c>
      <c r="P366" s="152">
        <v>892</v>
      </c>
      <c r="Q366" s="158">
        <v>25123</v>
      </c>
      <c r="R366" s="131">
        <v>22409716</v>
      </c>
    </row>
    <row r="367" spans="12:18" ht="15" x14ac:dyDescent="0.25">
      <c r="L367" s="151">
        <v>365</v>
      </c>
      <c r="M367" s="152" t="s">
        <v>832</v>
      </c>
      <c r="N367" s="152" t="s">
        <v>223</v>
      </c>
      <c r="O367" s="152" t="s">
        <v>303</v>
      </c>
      <c r="P367" s="152">
        <v>247</v>
      </c>
      <c r="Q367" s="158">
        <v>43262</v>
      </c>
      <c r="R367" s="131">
        <v>10685714</v>
      </c>
    </row>
    <row r="368" spans="12:18" ht="15" x14ac:dyDescent="0.25">
      <c r="L368" s="151">
        <v>366</v>
      </c>
      <c r="M368" s="152" t="s">
        <v>833</v>
      </c>
      <c r="N368" s="152" t="s">
        <v>224</v>
      </c>
      <c r="O368" s="152" t="s">
        <v>303</v>
      </c>
      <c r="P368" s="152"/>
      <c r="Q368" s="158"/>
      <c r="R368" s="131">
        <v>0</v>
      </c>
    </row>
    <row r="369" spans="12:18" ht="15" x14ac:dyDescent="0.25">
      <c r="L369" s="151">
        <v>367</v>
      </c>
      <c r="M369" s="152" t="s">
        <v>834</v>
      </c>
      <c r="N369" s="152" t="s">
        <v>225</v>
      </c>
      <c r="O369" s="152" t="s">
        <v>303</v>
      </c>
      <c r="P369" s="152">
        <v>232</v>
      </c>
      <c r="Q369" s="158">
        <v>20981</v>
      </c>
      <c r="R369" s="131">
        <v>4867592</v>
      </c>
    </row>
    <row r="370" spans="12:18" ht="15" x14ac:dyDescent="0.25">
      <c r="L370" s="151">
        <v>368</v>
      </c>
      <c r="M370" s="152" t="s">
        <v>835</v>
      </c>
      <c r="N370" s="152" t="s">
        <v>226</v>
      </c>
      <c r="O370" s="152" t="s">
        <v>303</v>
      </c>
      <c r="P370" s="152"/>
      <c r="Q370" s="158"/>
      <c r="R370" s="131">
        <v>0</v>
      </c>
    </row>
    <row r="371" spans="12:18" ht="15" x14ac:dyDescent="0.25">
      <c r="L371" s="151">
        <v>369</v>
      </c>
      <c r="M371" s="152" t="s">
        <v>836</v>
      </c>
      <c r="N371" s="152" t="s">
        <v>837</v>
      </c>
      <c r="O371" s="152" t="s">
        <v>654</v>
      </c>
      <c r="P371" s="152">
        <v>444</v>
      </c>
      <c r="Q371" s="158">
        <v>88984</v>
      </c>
      <c r="R371" s="131">
        <v>39508896</v>
      </c>
    </row>
    <row r="372" spans="12:18" ht="15" x14ac:dyDescent="0.25">
      <c r="L372" s="151">
        <v>370</v>
      </c>
      <c r="M372" s="152" t="s">
        <v>838</v>
      </c>
      <c r="N372" s="152" t="s">
        <v>839</v>
      </c>
      <c r="O372" s="152" t="s">
        <v>654</v>
      </c>
      <c r="P372" s="152">
        <v>123</v>
      </c>
      <c r="Q372" s="158">
        <v>87808</v>
      </c>
      <c r="R372" s="131">
        <v>10800384</v>
      </c>
    </row>
    <row r="373" spans="12:18" ht="15" x14ac:dyDescent="0.25">
      <c r="L373" s="151">
        <v>371</v>
      </c>
      <c r="M373" s="152" t="s">
        <v>840</v>
      </c>
      <c r="N373" s="152" t="s">
        <v>234</v>
      </c>
      <c r="O373" s="152" t="s">
        <v>654</v>
      </c>
      <c r="P373" s="152">
        <v>18807</v>
      </c>
      <c r="Q373" s="158">
        <v>59682</v>
      </c>
      <c r="R373" s="131">
        <v>1122439374</v>
      </c>
    </row>
    <row r="374" spans="12:18" ht="15" x14ac:dyDescent="0.25">
      <c r="L374" s="151">
        <v>372</v>
      </c>
      <c r="M374" s="152" t="s">
        <v>841</v>
      </c>
      <c r="N374" s="152" t="s">
        <v>235</v>
      </c>
      <c r="O374" s="152" t="s">
        <v>451</v>
      </c>
      <c r="P374" s="152">
        <v>144</v>
      </c>
      <c r="Q374" s="158">
        <v>70560</v>
      </c>
      <c r="R374" s="131">
        <v>10160640</v>
      </c>
    </row>
    <row r="375" spans="12:18" ht="15" x14ac:dyDescent="0.25">
      <c r="L375" s="151">
        <v>373</v>
      </c>
      <c r="M375" s="152" t="s">
        <v>842</v>
      </c>
      <c r="N375" s="152" t="s">
        <v>843</v>
      </c>
      <c r="O375" s="152" t="s">
        <v>844</v>
      </c>
      <c r="P375" s="152">
        <v>263</v>
      </c>
      <c r="Q375" s="158">
        <v>65170</v>
      </c>
      <c r="R375" s="131">
        <v>17139710</v>
      </c>
    </row>
    <row r="376" spans="12:18" ht="15" x14ac:dyDescent="0.25">
      <c r="L376" s="151">
        <v>374</v>
      </c>
      <c r="M376" s="152" t="s">
        <v>845</v>
      </c>
      <c r="N376" s="152" t="s">
        <v>231</v>
      </c>
      <c r="O376" s="152" t="s">
        <v>451</v>
      </c>
      <c r="P376" s="152">
        <v>0</v>
      </c>
      <c r="Q376" s="158"/>
      <c r="R376" s="131">
        <v>0</v>
      </c>
    </row>
    <row r="377" spans="12:18" ht="15" x14ac:dyDescent="0.25">
      <c r="L377" s="151">
        <v>375</v>
      </c>
      <c r="M377" s="152" t="s">
        <v>846</v>
      </c>
      <c r="N377" s="152" t="s">
        <v>232</v>
      </c>
      <c r="O377" s="152" t="s">
        <v>451</v>
      </c>
      <c r="P377" s="152"/>
      <c r="Q377" s="158"/>
      <c r="R377" s="131">
        <v>0</v>
      </c>
    </row>
    <row r="378" spans="12:18" ht="15" x14ac:dyDescent="0.25">
      <c r="L378" s="151">
        <v>376</v>
      </c>
      <c r="M378" s="152" t="s">
        <v>847</v>
      </c>
      <c r="N378" s="152" t="s">
        <v>237</v>
      </c>
      <c r="O378" s="152" t="s">
        <v>654</v>
      </c>
      <c r="P378" s="152">
        <v>235</v>
      </c>
      <c r="Q378" s="158">
        <v>59290</v>
      </c>
      <c r="R378" s="131">
        <v>13933150</v>
      </c>
    </row>
    <row r="379" spans="12:18" ht="15" x14ac:dyDescent="0.25">
      <c r="L379" s="151">
        <v>377</v>
      </c>
      <c r="M379" s="152" t="s">
        <v>848</v>
      </c>
      <c r="N379" s="152" t="s">
        <v>238</v>
      </c>
      <c r="O379" s="152" t="s">
        <v>654</v>
      </c>
      <c r="P379" s="152">
        <v>810</v>
      </c>
      <c r="Q379" s="158">
        <v>59100.86</v>
      </c>
      <c r="R379" s="131">
        <v>47871696.600000001</v>
      </c>
    </row>
    <row r="380" spans="12:18" ht="15" x14ac:dyDescent="0.25">
      <c r="L380" s="151">
        <v>378</v>
      </c>
      <c r="M380" s="152" t="s">
        <v>849</v>
      </c>
      <c r="N380" s="152" t="s">
        <v>236</v>
      </c>
      <c r="O380" s="152" t="s">
        <v>654</v>
      </c>
      <c r="P380" s="152">
        <v>412</v>
      </c>
      <c r="Q380" s="158">
        <v>64141</v>
      </c>
      <c r="R380" s="131">
        <v>26426092</v>
      </c>
    </row>
    <row r="381" spans="12:18" ht="15" x14ac:dyDescent="0.25">
      <c r="L381" s="151">
        <v>379</v>
      </c>
      <c r="M381" s="152" t="s">
        <v>850</v>
      </c>
      <c r="N381" s="152" t="s">
        <v>851</v>
      </c>
      <c r="O381" s="152" t="s">
        <v>451</v>
      </c>
      <c r="P381" s="152"/>
      <c r="Q381" s="158"/>
      <c r="R381" s="131">
        <v>0</v>
      </c>
    </row>
    <row r="382" spans="12:18" ht="15" x14ac:dyDescent="0.25">
      <c r="L382" s="151">
        <v>380</v>
      </c>
      <c r="M382" s="152" t="s">
        <v>852</v>
      </c>
      <c r="N382" s="152" t="s">
        <v>229</v>
      </c>
      <c r="O382" s="152" t="s">
        <v>654</v>
      </c>
      <c r="P382" s="152">
        <v>226</v>
      </c>
      <c r="Q382" s="158">
        <v>93394</v>
      </c>
      <c r="R382" s="131">
        <v>21107044</v>
      </c>
    </row>
    <row r="383" spans="12:18" ht="15" x14ac:dyDescent="0.25">
      <c r="L383" s="151">
        <v>381</v>
      </c>
      <c r="M383" s="152" t="s">
        <v>853</v>
      </c>
      <c r="N383" s="152" t="s">
        <v>240</v>
      </c>
      <c r="O383" s="152" t="s">
        <v>654</v>
      </c>
      <c r="P383" s="152">
        <v>549</v>
      </c>
      <c r="Q383" s="158">
        <v>93492</v>
      </c>
      <c r="R383" s="131">
        <v>51327108</v>
      </c>
    </row>
    <row r="384" spans="12:18" ht="15" x14ac:dyDescent="0.25">
      <c r="L384" s="151">
        <v>382</v>
      </c>
      <c r="M384" s="152" t="s">
        <v>854</v>
      </c>
      <c r="N384" s="152" t="s">
        <v>241</v>
      </c>
      <c r="O384" s="152" t="s">
        <v>654</v>
      </c>
      <c r="P384" s="152">
        <v>969</v>
      </c>
      <c r="Q384" s="158">
        <v>82810</v>
      </c>
      <c r="R384" s="131">
        <v>80242890</v>
      </c>
    </row>
    <row r="385" spans="12:18" ht="15" x14ac:dyDescent="0.25">
      <c r="L385" s="151">
        <v>383</v>
      </c>
      <c r="M385" s="152" t="s">
        <v>855</v>
      </c>
      <c r="N385" s="152" t="s">
        <v>242</v>
      </c>
      <c r="O385" s="152" t="s">
        <v>654</v>
      </c>
      <c r="P385" s="152">
        <v>158</v>
      </c>
      <c r="Q385" s="158">
        <v>72324</v>
      </c>
      <c r="R385" s="131">
        <v>11427192</v>
      </c>
    </row>
    <row r="386" spans="12:18" ht="15" x14ac:dyDescent="0.25">
      <c r="L386" s="151">
        <v>384</v>
      </c>
      <c r="M386" s="152" t="s">
        <v>856</v>
      </c>
      <c r="N386" s="152" t="s">
        <v>857</v>
      </c>
      <c r="O386" s="152" t="s">
        <v>654</v>
      </c>
      <c r="P386" s="152">
        <v>879</v>
      </c>
      <c r="Q386" s="158">
        <v>93492</v>
      </c>
      <c r="R386" s="131">
        <v>82179468</v>
      </c>
    </row>
    <row r="387" spans="12:18" ht="15" x14ac:dyDescent="0.25">
      <c r="L387" s="151">
        <v>385</v>
      </c>
      <c r="M387" s="152" t="s">
        <v>858</v>
      </c>
      <c r="N387" s="152" t="s">
        <v>859</v>
      </c>
      <c r="O387" s="152" t="s">
        <v>654</v>
      </c>
      <c r="P387" s="152"/>
      <c r="Q387" s="158"/>
      <c r="R387" s="131">
        <v>0</v>
      </c>
    </row>
    <row r="388" spans="12:18" ht="15" x14ac:dyDescent="0.25">
      <c r="L388" s="151">
        <v>386</v>
      </c>
      <c r="M388" s="152" t="s">
        <v>860</v>
      </c>
      <c r="N388" s="152" t="s">
        <v>244</v>
      </c>
      <c r="O388" s="152" t="s">
        <v>654</v>
      </c>
      <c r="P388" s="152"/>
      <c r="Q388" s="158"/>
      <c r="R388" s="131">
        <v>0</v>
      </c>
    </row>
    <row r="389" spans="12:18" ht="15" x14ac:dyDescent="0.25">
      <c r="L389" s="151">
        <v>387</v>
      </c>
      <c r="M389" s="152" t="s">
        <v>861</v>
      </c>
      <c r="N389" s="152" t="s">
        <v>243</v>
      </c>
      <c r="O389" s="152" t="s">
        <v>654</v>
      </c>
      <c r="P389" s="152">
        <v>129</v>
      </c>
      <c r="Q389" s="158">
        <v>93394</v>
      </c>
      <c r="R389" s="131">
        <v>12047826</v>
      </c>
    </row>
    <row r="390" spans="12:18" ht="15" x14ac:dyDescent="0.25">
      <c r="L390" s="151">
        <v>388</v>
      </c>
      <c r="M390" s="152" t="s">
        <v>862</v>
      </c>
      <c r="N390" s="152" t="s">
        <v>863</v>
      </c>
      <c r="O390" s="152" t="s">
        <v>864</v>
      </c>
      <c r="P390" s="152"/>
      <c r="Q390" s="158"/>
      <c r="R390" s="131">
        <v>0</v>
      </c>
    </row>
    <row r="391" spans="12:18" ht="15" x14ac:dyDescent="0.25">
      <c r="L391" s="151">
        <v>389</v>
      </c>
      <c r="M391" s="152" t="s">
        <v>865</v>
      </c>
      <c r="N391" s="152" t="s">
        <v>866</v>
      </c>
      <c r="O391" s="152" t="s">
        <v>528</v>
      </c>
      <c r="P391" s="152"/>
      <c r="Q391" s="158"/>
      <c r="R391" s="131">
        <v>0</v>
      </c>
    </row>
    <row r="392" spans="12:18" ht="15" x14ac:dyDescent="0.25">
      <c r="L392" s="151">
        <v>390</v>
      </c>
      <c r="M392" s="152" t="s">
        <v>867</v>
      </c>
      <c r="N392" s="152" t="s">
        <v>866</v>
      </c>
      <c r="O392" s="152" t="s">
        <v>864</v>
      </c>
      <c r="P392" s="152">
        <v>5280</v>
      </c>
      <c r="Q392" s="158">
        <v>7127.54</v>
      </c>
      <c r="R392" s="131">
        <v>37633411.200000003</v>
      </c>
    </row>
    <row r="393" spans="12:18" ht="15" x14ac:dyDescent="0.25">
      <c r="L393" s="151">
        <v>391</v>
      </c>
      <c r="M393" s="152" t="s">
        <v>868</v>
      </c>
      <c r="N393" s="152" t="s">
        <v>869</v>
      </c>
      <c r="O393" s="152" t="s">
        <v>528</v>
      </c>
      <c r="P393" s="152"/>
      <c r="Q393" s="158"/>
      <c r="R393" s="131">
        <v>0</v>
      </c>
    </row>
    <row r="394" spans="12:18" ht="15" x14ac:dyDescent="0.25">
      <c r="L394" s="151">
        <v>392</v>
      </c>
      <c r="M394" s="152" t="s">
        <v>870</v>
      </c>
      <c r="N394" s="152" t="s">
        <v>247</v>
      </c>
      <c r="O394" s="152" t="s">
        <v>528</v>
      </c>
      <c r="P394" s="152"/>
      <c r="Q394" s="158"/>
      <c r="R394" s="131">
        <v>0</v>
      </c>
    </row>
    <row r="395" spans="12:18" ht="15" x14ac:dyDescent="0.25">
      <c r="L395" s="151">
        <v>393</v>
      </c>
      <c r="M395" s="152" t="s">
        <v>871</v>
      </c>
      <c r="N395" s="152" t="s">
        <v>247</v>
      </c>
      <c r="O395" s="152" t="s">
        <v>864</v>
      </c>
      <c r="P395" s="152">
        <v>8640</v>
      </c>
      <c r="Q395" s="158">
        <v>7127.54</v>
      </c>
      <c r="R395" s="131">
        <v>61581945.600000001</v>
      </c>
    </row>
    <row r="396" spans="12:18" ht="15" x14ac:dyDescent="0.25">
      <c r="L396" s="151">
        <v>394</v>
      </c>
      <c r="M396" s="152" t="s">
        <v>872</v>
      </c>
      <c r="N396" s="152" t="s">
        <v>248</v>
      </c>
      <c r="O396" s="152" t="s">
        <v>528</v>
      </c>
      <c r="P396" s="152"/>
      <c r="Q396" s="158"/>
      <c r="R396" s="131">
        <v>0</v>
      </c>
    </row>
    <row r="397" spans="12:18" ht="15" x14ac:dyDescent="0.25">
      <c r="L397" s="151">
        <v>395</v>
      </c>
      <c r="M397" s="152" t="s">
        <v>873</v>
      </c>
      <c r="N397" s="152" t="s">
        <v>874</v>
      </c>
      <c r="O397" s="152" t="s">
        <v>528</v>
      </c>
      <c r="P397" s="152"/>
      <c r="Q397" s="158"/>
      <c r="R397" s="131">
        <v>0</v>
      </c>
    </row>
    <row r="398" spans="12:18" ht="15" x14ac:dyDescent="0.25">
      <c r="L398" s="151">
        <v>396</v>
      </c>
      <c r="M398" s="152" t="s">
        <v>875</v>
      </c>
      <c r="N398" s="152" t="s">
        <v>248</v>
      </c>
      <c r="O398" s="152" t="s">
        <v>864</v>
      </c>
      <c r="P398" s="152">
        <v>384</v>
      </c>
      <c r="Q398" s="158">
        <v>7127.541666666667</v>
      </c>
      <c r="R398" s="131">
        <v>2736976</v>
      </c>
    </row>
    <row r="399" spans="12:18" ht="15" x14ac:dyDescent="0.25">
      <c r="L399" s="151">
        <v>397</v>
      </c>
      <c r="M399" s="152" t="s">
        <v>876</v>
      </c>
      <c r="N399" s="152" t="s">
        <v>249</v>
      </c>
      <c r="O399" s="152" t="s">
        <v>528</v>
      </c>
      <c r="P399" s="152"/>
      <c r="Q399" s="158"/>
      <c r="R399" s="131">
        <v>0</v>
      </c>
    </row>
    <row r="400" spans="12:18" ht="15" x14ac:dyDescent="0.25">
      <c r="L400" s="151">
        <v>398</v>
      </c>
      <c r="M400" s="152" t="s">
        <v>877</v>
      </c>
      <c r="N400" s="152" t="s">
        <v>878</v>
      </c>
      <c r="O400" s="152" t="s">
        <v>528</v>
      </c>
      <c r="P400" s="152"/>
      <c r="Q400" s="158"/>
      <c r="R400" s="131">
        <v>0</v>
      </c>
    </row>
    <row r="401" spans="12:18" ht="15" x14ac:dyDescent="0.25">
      <c r="L401" s="151">
        <v>399</v>
      </c>
      <c r="M401" s="152" t="s">
        <v>879</v>
      </c>
      <c r="N401" s="152" t="s">
        <v>249</v>
      </c>
      <c r="O401" s="152" t="s">
        <v>864</v>
      </c>
      <c r="P401" s="152">
        <v>691</v>
      </c>
      <c r="Q401" s="158">
        <v>7127.541666666667</v>
      </c>
      <c r="R401" s="131">
        <v>4925131.291666667</v>
      </c>
    </row>
    <row r="402" spans="12:18" ht="15" x14ac:dyDescent="0.25">
      <c r="L402" s="151">
        <v>400</v>
      </c>
      <c r="M402" s="152" t="s">
        <v>880</v>
      </c>
      <c r="N402" s="152" t="s">
        <v>881</v>
      </c>
      <c r="O402" s="152" t="s">
        <v>528</v>
      </c>
      <c r="P402" s="152"/>
      <c r="Q402" s="158"/>
      <c r="R402" s="131">
        <v>0</v>
      </c>
    </row>
    <row r="403" spans="12:18" ht="15" x14ac:dyDescent="0.25">
      <c r="L403" s="151">
        <v>401</v>
      </c>
      <c r="M403" s="152" t="s">
        <v>882</v>
      </c>
      <c r="N403" s="152" t="s">
        <v>881</v>
      </c>
      <c r="O403" s="152" t="s">
        <v>864</v>
      </c>
      <c r="P403" s="152">
        <v>7200</v>
      </c>
      <c r="Q403" s="158">
        <v>7127.541666666667</v>
      </c>
      <c r="R403" s="131">
        <v>51318300</v>
      </c>
    </row>
    <row r="404" spans="12:18" ht="15" x14ac:dyDescent="0.25">
      <c r="L404" s="151">
        <v>402</v>
      </c>
      <c r="M404" s="152" t="s">
        <v>883</v>
      </c>
      <c r="N404" s="152" t="s">
        <v>227</v>
      </c>
      <c r="O404" s="152" t="s">
        <v>528</v>
      </c>
      <c r="P404" s="152"/>
      <c r="Q404" s="158"/>
      <c r="R404" s="131">
        <v>0</v>
      </c>
    </row>
    <row r="405" spans="12:18" ht="15" x14ac:dyDescent="0.25">
      <c r="L405" s="151">
        <v>403</v>
      </c>
      <c r="M405" s="152" t="s">
        <v>884</v>
      </c>
      <c r="N405" s="152" t="s">
        <v>283</v>
      </c>
      <c r="O405" s="152" t="s">
        <v>327</v>
      </c>
      <c r="P405" s="152">
        <v>500</v>
      </c>
      <c r="Q405" s="158">
        <v>35952</v>
      </c>
      <c r="R405" s="131">
        <v>17976000</v>
      </c>
    </row>
    <row r="406" spans="12:18" ht="15" x14ac:dyDescent="0.25">
      <c r="L406" s="151">
        <v>404</v>
      </c>
      <c r="M406" s="152" t="s">
        <v>885</v>
      </c>
      <c r="N406" s="152" t="s">
        <v>284</v>
      </c>
      <c r="O406" s="152" t="s">
        <v>327</v>
      </c>
      <c r="P406" s="152">
        <v>184</v>
      </c>
      <c r="Q406" s="158">
        <v>46032</v>
      </c>
      <c r="R406" s="131">
        <v>8469888</v>
      </c>
    </row>
    <row r="407" spans="12:18" ht="15" x14ac:dyDescent="0.25">
      <c r="L407" s="151">
        <v>405</v>
      </c>
      <c r="M407" s="152" t="s">
        <v>886</v>
      </c>
      <c r="N407" s="152" t="s">
        <v>285</v>
      </c>
      <c r="O407" s="152" t="s">
        <v>327</v>
      </c>
      <c r="P407" s="152"/>
      <c r="Q407" s="158"/>
      <c r="R407" s="131">
        <v>0</v>
      </c>
    </row>
    <row r="408" spans="12:18" ht="15" x14ac:dyDescent="0.25">
      <c r="L408" s="151"/>
      <c r="M408" s="152"/>
      <c r="N408" s="152"/>
      <c r="O408" s="152"/>
      <c r="P408" s="152"/>
      <c r="Q408" s="158"/>
      <c r="R408" s="131">
        <v>15918452664.241667</v>
      </c>
    </row>
    <row r="409" spans="12:18" x14ac:dyDescent="0.2">
      <c r="L409" s="152"/>
      <c r="M409" s="152"/>
      <c r="N409" s="152"/>
      <c r="O409" s="152"/>
      <c r="P409" s="152"/>
      <c r="Q409" s="158"/>
      <c r="R409" s="131">
        <v>15761231523</v>
      </c>
    </row>
    <row r="410" spans="12:18" x14ac:dyDescent="0.2">
      <c r="L410" s="152"/>
      <c r="M410" s="152"/>
      <c r="N410" s="152"/>
      <c r="O410" s="152"/>
      <c r="P410" s="152"/>
      <c r="Q410" s="158"/>
      <c r="R410" s="131">
        <v>157221141.24166679</v>
      </c>
    </row>
  </sheetData>
  <mergeCells count="1">
    <mergeCell ref="A1:J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B4941-E6DB-41EF-9259-6D14F50233C6}">
  <dimension ref="A1:L408"/>
  <sheetViews>
    <sheetView topLeftCell="A281" workbookViewId="0">
      <selection activeCell="C40" sqref="C40:H40"/>
    </sheetView>
  </sheetViews>
  <sheetFormatPr defaultRowHeight="12.75" x14ac:dyDescent="0.2"/>
  <cols>
    <col min="1" max="1" width="39.7109375" style="124" customWidth="1"/>
    <col min="2" max="2" width="9.28515625" style="124" bestFit="1" customWidth="1"/>
    <col min="3" max="3" width="12.7109375" style="124" bestFit="1" customWidth="1"/>
    <col min="4" max="4" width="19.85546875" style="124" bestFit="1" customWidth="1"/>
    <col min="5" max="5" width="12.7109375" style="124" bestFit="1" customWidth="1"/>
    <col min="6" max="6" width="19.85546875" style="124" bestFit="1" customWidth="1"/>
    <col min="7" max="7" width="14.5703125" style="124" bestFit="1" customWidth="1"/>
    <col min="8" max="8" width="21" style="124" bestFit="1" customWidth="1"/>
    <col min="9" max="9" width="12.7109375" style="124" bestFit="1" customWidth="1"/>
    <col min="10" max="10" width="19.85546875" style="124" bestFit="1" customWidth="1"/>
    <col min="11" max="11" width="9.85546875" style="130" bestFit="1" customWidth="1"/>
    <col min="12" max="16384" width="9.140625" style="124"/>
  </cols>
  <sheetData>
    <row r="1" spans="1:12" ht="18.75" x14ac:dyDescent="0.25">
      <c r="A1" s="216" t="s">
        <v>947</v>
      </c>
      <c r="B1" s="216"/>
      <c r="C1" s="216"/>
      <c r="D1" s="216"/>
      <c r="E1" s="216"/>
      <c r="F1" s="216"/>
      <c r="G1" s="216"/>
      <c r="H1" s="216"/>
      <c r="I1" s="216"/>
      <c r="J1" s="216"/>
      <c r="L1" s="26"/>
    </row>
    <row r="2" spans="1:12" ht="15" x14ac:dyDescent="0.25">
      <c r="A2" s="126"/>
      <c r="B2" s="126"/>
      <c r="C2" s="126" t="s">
        <v>0</v>
      </c>
      <c r="D2" s="126"/>
      <c r="E2" s="126" t="s">
        <v>1</v>
      </c>
      <c r="F2" s="126"/>
      <c r="G2" s="126" t="s">
        <v>2</v>
      </c>
      <c r="H2" s="126"/>
      <c r="I2" s="126" t="s">
        <v>3</v>
      </c>
      <c r="J2" s="126"/>
      <c r="K2" s="132"/>
      <c r="L2" s="26"/>
    </row>
    <row r="3" spans="1:12" ht="15" x14ac:dyDescent="0.25">
      <c r="A3" s="126" t="s">
        <v>4</v>
      </c>
      <c r="B3" s="126" t="s">
        <v>5</v>
      </c>
      <c r="C3" s="126" t="s">
        <v>6</v>
      </c>
      <c r="D3" s="126" t="s">
        <v>7</v>
      </c>
      <c r="E3" s="126" t="s">
        <v>8</v>
      </c>
      <c r="F3" s="126" t="s">
        <v>9</v>
      </c>
      <c r="G3" s="126" t="s">
        <v>6</v>
      </c>
      <c r="H3" s="126" t="s">
        <v>10</v>
      </c>
      <c r="I3" s="126" t="s">
        <v>6</v>
      </c>
      <c r="J3" s="126" t="s">
        <v>9</v>
      </c>
      <c r="K3" s="132" t="s">
        <v>948</v>
      </c>
      <c r="L3" s="26"/>
    </row>
    <row r="4" spans="1:12" ht="15" x14ac:dyDescent="0.25">
      <c r="A4" s="123" t="s">
        <v>11</v>
      </c>
      <c r="B4" s="123">
        <v>12</v>
      </c>
      <c r="C4" s="125">
        <v>226</v>
      </c>
      <c r="D4" s="125">
        <v>6255676</v>
      </c>
      <c r="E4" s="125">
        <v>100</v>
      </c>
      <c r="F4" s="125">
        <v>2774400</v>
      </c>
      <c r="G4" s="125">
        <v>100</v>
      </c>
      <c r="H4" s="125">
        <f>D4+F4-J4</f>
        <v>2769962</v>
      </c>
      <c r="I4" s="125">
        <v>226</v>
      </c>
      <c r="J4" s="125">
        <v>6260114</v>
      </c>
      <c r="K4" s="131">
        <f>J4/I4</f>
        <v>27699.619469026547</v>
      </c>
      <c r="L4" s="26"/>
    </row>
    <row r="5" spans="1:12" ht="15" x14ac:dyDescent="0.25">
      <c r="A5" s="123" t="s">
        <v>12</v>
      </c>
      <c r="B5" s="123">
        <v>12</v>
      </c>
      <c r="C5" s="125">
        <v>0</v>
      </c>
      <c r="D5" s="125">
        <v>0</v>
      </c>
      <c r="E5" s="125">
        <v>60</v>
      </c>
      <c r="F5" s="125">
        <v>1188660</v>
      </c>
      <c r="G5" s="125">
        <v>60</v>
      </c>
      <c r="H5" s="125">
        <f t="shared" ref="H5:H68" si="0">D5+F5-J5</f>
        <v>1188660</v>
      </c>
      <c r="I5" s="125">
        <v>0</v>
      </c>
      <c r="J5" s="125">
        <v>0</v>
      </c>
      <c r="K5" s="131"/>
      <c r="L5" s="26"/>
    </row>
    <row r="6" spans="1:12" ht="15" x14ac:dyDescent="0.25">
      <c r="A6" s="123" t="s">
        <v>13</v>
      </c>
      <c r="B6" s="123">
        <v>12</v>
      </c>
      <c r="C6" s="125">
        <v>587</v>
      </c>
      <c r="D6" s="125">
        <v>19248466</v>
      </c>
      <c r="E6" s="125">
        <v>0</v>
      </c>
      <c r="F6" s="125">
        <v>0</v>
      </c>
      <c r="G6" s="125">
        <v>338</v>
      </c>
      <c r="H6" s="125">
        <f t="shared" si="0"/>
        <v>14931342</v>
      </c>
      <c r="I6" s="125">
        <v>249</v>
      </c>
      <c r="J6" s="125">
        <v>4317124</v>
      </c>
      <c r="K6" s="131">
        <f t="shared" ref="K6:K68" si="1">J6/I6</f>
        <v>17337.847389558232</v>
      </c>
      <c r="L6" s="26"/>
    </row>
    <row r="7" spans="1:12" ht="15" x14ac:dyDescent="0.25">
      <c r="A7" s="123" t="s">
        <v>14</v>
      </c>
      <c r="B7" s="123">
        <v>12</v>
      </c>
      <c r="C7" s="125">
        <v>120</v>
      </c>
      <c r="D7" s="125">
        <v>35752144</v>
      </c>
      <c r="E7" s="125">
        <v>0</v>
      </c>
      <c r="F7" s="125">
        <v>0</v>
      </c>
      <c r="G7" s="125">
        <v>120</v>
      </c>
      <c r="H7" s="125">
        <f t="shared" si="0"/>
        <v>35752144</v>
      </c>
      <c r="I7" s="125">
        <v>0</v>
      </c>
      <c r="J7" s="125">
        <v>0</v>
      </c>
      <c r="K7" s="131"/>
      <c r="L7" s="26"/>
    </row>
    <row r="8" spans="1:12" ht="15" x14ac:dyDescent="0.25">
      <c r="A8" s="123" t="s">
        <v>15</v>
      </c>
      <c r="B8" s="123">
        <v>12</v>
      </c>
      <c r="C8" s="125">
        <v>504</v>
      </c>
      <c r="D8" s="125">
        <v>68557545</v>
      </c>
      <c r="E8" s="125">
        <v>0</v>
      </c>
      <c r="F8" s="125">
        <v>0</v>
      </c>
      <c r="G8" s="125">
        <v>134</v>
      </c>
      <c r="H8" s="125">
        <f t="shared" si="0"/>
        <v>37679444</v>
      </c>
      <c r="I8" s="125">
        <v>370</v>
      </c>
      <c r="J8" s="125">
        <v>30878101</v>
      </c>
      <c r="K8" s="131">
        <f t="shared" si="1"/>
        <v>83454.32702702703</v>
      </c>
      <c r="L8" s="26"/>
    </row>
    <row r="9" spans="1:12" ht="15" x14ac:dyDescent="0.25">
      <c r="A9" s="123" t="s">
        <v>16</v>
      </c>
      <c r="B9" s="123">
        <v>12</v>
      </c>
      <c r="C9" s="125">
        <v>344</v>
      </c>
      <c r="D9" s="125">
        <v>53839916</v>
      </c>
      <c r="E9" s="125">
        <v>0</v>
      </c>
      <c r="F9" s="125">
        <v>0</v>
      </c>
      <c r="G9" s="125">
        <v>34</v>
      </c>
      <c r="H9" s="125">
        <f t="shared" si="0"/>
        <v>30363208</v>
      </c>
      <c r="I9" s="125">
        <v>310</v>
      </c>
      <c r="J9" s="125">
        <v>23476708</v>
      </c>
      <c r="K9" s="131">
        <f t="shared" si="1"/>
        <v>75731.316129032261</v>
      </c>
      <c r="L9" s="26"/>
    </row>
    <row r="10" spans="1:12" ht="15" x14ac:dyDescent="0.25">
      <c r="A10" s="123" t="s">
        <v>17</v>
      </c>
      <c r="B10" s="123">
        <v>12</v>
      </c>
      <c r="C10" s="125">
        <v>153</v>
      </c>
      <c r="D10" s="125">
        <v>36613751</v>
      </c>
      <c r="E10" s="125">
        <v>0</v>
      </c>
      <c r="F10" s="125">
        <v>0</v>
      </c>
      <c r="G10" s="125">
        <v>153</v>
      </c>
      <c r="H10" s="125">
        <f t="shared" si="0"/>
        <v>36613751</v>
      </c>
      <c r="I10" s="125">
        <v>0</v>
      </c>
      <c r="J10" s="125">
        <v>0</v>
      </c>
      <c r="K10" s="131"/>
      <c r="L10" s="26"/>
    </row>
    <row r="11" spans="1:12" ht="15" x14ac:dyDescent="0.25">
      <c r="A11" s="123" t="s">
        <v>18</v>
      </c>
      <c r="B11" s="123">
        <v>12</v>
      </c>
      <c r="C11" s="125">
        <v>554</v>
      </c>
      <c r="D11" s="125">
        <v>12063982</v>
      </c>
      <c r="E11" s="125">
        <v>0</v>
      </c>
      <c r="F11" s="125">
        <v>0</v>
      </c>
      <c r="G11" s="125">
        <v>344</v>
      </c>
      <c r="H11" s="125">
        <f t="shared" si="0"/>
        <v>9537950</v>
      </c>
      <c r="I11" s="125">
        <v>210</v>
      </c>
      <c r="J11" s="125">
        <v>2526032</v>
      </c>
      <c r="K11" s="131">
        <f t="shared" si="1"/>
        <v>12028.72380952381</v>
      </c>
      <c r="L11" s="26"/>
    </row>
    <row r="12" spans="1:12" ht="15" x14ac:dyDescent="0.25">
      <c r="A12" s="123" t="s">
        <v>19</v>
      </c>
      <c r="B12" s="123">
        <v>12</v>
      </c>
      <c r="C12" s="125">
        <v>180</v>
      </c>
      <c r="D12" s="125">
        <v>3904035</v>
      </c>
      <c r="E12" s="125">
        <v>0</v>
      </c>
      <c r="F12" s="125">
        <v>0</v>
      </c>
      <c r="G12" s="125">
        <v>40</v>
      </c>
      <c r="H12" s="125">
        <f t="shared" si="0"/>
        <v>2212287</v>
      </c>
      <c r="I12" s="125">
        <v>140</v>
      </c>
      <c r="J12" s="125">
        <v>1691748</v>
      </c>
      <c r="K12" s="131">
        <f t="shared" si="1"/>
        <v>12083.914285714285</v>
      </c>
      <c r="L12" s="26"/>
    </row>
    <row r="13" spans="1:12" ht="15" x14ac:dyDescent="0.25">
      <c r="A13" s="123" t="s">
        <v>20</v>
      </c>
      <c r="B13" s="123">
        <v>12</v>
      </c>
      <c r="C13" s="125">
        <v>295</v>
      </c>
      <c r="D13" s="125">
        <v>31404753</v>
      </c>
      <c r="E13" s="125">
        <v>0</v>
      </c>
      <c r="F13" s="125">
        <v>0</v>
      </c>
      <c r="G13" s="125">
        <v>277</v>
      </c>
      <c r="H13" s="125">
        <f t="shared" si="0"/>
        <v>29488531</v>
      </c>
      <c r="I13" s="125">
        <v>18</v>
      </c>
      <c r="J13" s="125">
        <v>1916222</v>
      </c>
      <c r="K13" s="131">
        <f t="shared" si="1"/>
        <v>106456.77777777778</v>
      </c>
      <c r="L13" s="26"/>
    </row>
    <row r="14" spans="1:12" ht="15" x14ac:dyDescent="0.25">
      <c r="A14" s="123" t="s">
        <v>21</v>
      </c>
      <c r="B14" s="123">
        <v>12</v>
      </c>
      <c r="C14" s="125">
        <v>170</v>
      </c>
      <c r="D14" s="125">
        <v>40681945</v>
      </c>
      <c r="E14" s="125">
        <v>0</v>
      </c>
      <c r="F14" s="125">
        <v>0</v>
      </c>
      <c r="G14" s="125">
        <v>88</v>
      </c>
      <c r="H14" s="125">
        <f t="shared" si="0"/>
        <v>29195278</v>
      </c>
      <c r="I14" s="125">
        <v>82</v>
      </c>
      <c r="J14" s="125">
        <v>11486667</v>
      </c>
      <c r="K14" s="131">
        <f t="shared" si="1"/>
        <v>140081.30487804877</v>
      </c>
      <c r="L14" s="26"/>
    </row>
    <row r="15" spans="1:12" ht="15" x14ac:dyDescent="0.25">
      <c r="A15" s="123" t="s">
        <v>22</v>
      </c>
      <c r="B15" s="123">
        <v>12</v>
      </c>
      <c r="C15" s="125">
        <v>18</v>
      </c>
      <c r="D15" s="125">
        <v>407934</v>
      </c>
      <c r="E15" s="125">
        <v>0</v>
      </c>
      <c r="F15" s="125">
        <v>0</v>
      </c>
      <c r="G15" s="125">
        <v>18</v>
      </c>
      <c r="H15" s="125">
        <f t="shared" si="0"/>
        <v>407934</v>
      </c>
      <c r="I15" s="125">
        <v>0</v>
      </c>
      <c r="J15" s="125">
        <v>0</v>
      </c>
      <c r="K15" s="131"/>
      <c r="L15" s="26"/>
    </row>
    <row r="16" spans="1:12" ht="15" x14ac:dyDescent="0.25">
      <c r="A16" s="123" t="s">
        <v>23</v>
      </c>
      <c r="B16" s="123">
        <v>12</v>
      </c>
      <c r="C16" s="125">
        <v>0</v>
      </c>
      <c r="D16" s="125">
        <v>0</v>
      </c>
      <c r="E16" s="125">
        <v>3</v>
      </c>
      <c r="F16" s="125">
        <v>57891</v>
      </c>
      <c r="G16" s="125">
        <v>3</v>
      </c>
      <c r="H16" s="125">
        <f t="shared" si="0"/>
        <v>57891</v>
      </c>
      <c r="I16" s="125">
        <v>0</v>
      </c>
      <c r="J16" s="125">
        <v>0</v>
      </c>
      <c r="K16" s="131"/>
      <c r="L16" s="26"/>
    </row>
    <row r="17" spans="1:12" ht="15" x14ac:dyDescent="0.25">
      <c r="A17" s="123" t="s">
        <v>24</v>
      </c>
      <c r="B17" s="123">
        <v>12</v>
      </c>
      <c r="C17" s="125">
        <v>0</v>
      </c>
      <c r="D17" s="125">
        <v>0</v>
      </c>
      <c r="E17" s="125">
        <v>12</v>
      </c>
      <c r="F17" s="125">
        <v>231564</v>
      </c>
      <c r="G17" s="125">
        <v>12</v>
      </c>
      <c r="H17" s="125">
        <f t="shared" si="0"/>
        <v>231564</v>
      </c>
      <c r="I17" s="125">
        <v>0</v>
      </c>
      <c r="J17" s="125">
        <v>0</v>
      </c>
      <c r="K17" s="131"/>
      <c r="L17" s="26"/>
    </row>
    <row r="18" spans="1:12" ht="15" x14ac:dyDescent="0.25">
      <c r="A18" s="123" t="s">
        <v>25</v>
      </c>
      <c r="B18" s="123">
        <v>12</v>
      </c>
      <c r="C18" s="125">
        <v>72</v>
      </c>
      <c r="D18" s="125">
        <v>1533524</v>
      </c>
      <c r="E18" s="125">
        <v>35</v>
      </c>
      <c r="F18" s="125">
        <v>745360</v>
      </c>
      <c r="G18" s="125">
        <v>67</v>
      </c>
      <c r="H18" s="125">
        <f t="shared" si="0"/>
        <v>1490606</v>
      </c>
      <c r="I18" s="125">
        <v>40</v>
      </c>
      <c r="J18" s="125">
        <v>788278</v>
      </c>
      <c r="K18" s="131">
        <f t="shared" si="1"/>
        <v>19706.95</v>
      </c>
      <c r="L18" s="26"/>
    </row>
    <row r="19" spans="1:12" ht="15" x14ac:dyDescent="0.25">
      <c r="A19" s="123" t="s">
        <v>26</v>
      </c>
      <c r="B19" s="123">
        <v>12</v>
      </c>
      <c r="C19" s="125">
        <v>96</v>
      </c>
      <c r="D19" s="125">
        <v>2486575</v>
      </c>
      <c r="E19" s="125">
        <v>51</v>
      </c>
      <c r="F19" s="125">
        <v>1322226</v>
      </c>
      <c r="G19" s="125">
        <v>4</v>
      </c>
      <c r="H19" s="125">
        <f t="shared" si="0"/>
        <v>388653</v>
      </c>
      <c r="I19" s="125">
        <v>143</v>
      </c>
      <c r="J19" s="125">
        <v>3420148</v>
      </c>
      <c r="K19" s="131">
        <f t="shared" si="1"/>
        <v>23917.11888111888</v>
      </c>
      <c r="L19" s="26"/>
    </row>
    <row r="20" spans="1:12" ht="15" x14ac:dyDescent="0.25">
      <c r="A20" s="123" t="s">
        <v>27</v>
      </c>
      <c r="B20" s="123">
        <v>12</v>
      </c>
      <c r="C20" s="125">
        <v>67</v>
      </c>
      <c r="D20" s="125">
        <v>2083589</v>
      </c>
      <c r="E20" s="125">
        <v>0</v>
      </c>
      <c r="F20" s="125">
        <v>0</v>
      </c>
      <c r="G20" s="125">
        <v>1</v>
      </c>
      <c r="H20" s="125">
        <f t="shared" si="0"/>
        <v>155492</v>
      </c>
      <c r="I20" s="125">
        <v>66</v>
      </c>
      <c r="J20" s="125">
        <v>1928097</v>
      </c>
      <c r="K20" s="131">
        <f t="shared" si="1"/>
        <v>29213.590909090908</v>
      </c>
      <c r="L20" s="26"/>
    </row>
    <row r="21" spans="1:12" ht="15" x14ac:dyDescent="0.25">
      <c r="A21" s="123" t="s">
        <v>28</v>
      </c>
      <c r="B21" s="123">
        <v>12</v>
      </c>
      <c r="C21" s="125">
        <v>650</v>
      </c>
      <c r="D21" s="125">
        <v>74700000</v>
      </c>
      <c r="E21" s="125">
        <v>160</v>
      </c>
      <c r="F21" s="125">
        <v>18432000</v>
      </c>
      <c r="G21" s="125">
        <v>0</v>
      </c>
      <c r="H21" s="125">
        <f t="shared" si="0"/>
        <v>0</v>
      </c>
      <c r="I21" s="125">
        <v>810</v>
      </c>
      <c r="J21" s="125">
        <v>93132000</v>
      </c>
      <c r="K21" s="131">
        <f t="shared" si="1"/>
        <v>114977.77777777778</v>
      </c>
      <c r="L21" s="26"/>
    </row>
    <row r="22" spans="1:12" ht="15" x14ac:dyDescent="0.25">
      <c r="A22" s="123" t="s">
        <v>29</v>
      </c>
      <c r="B22" s="123">
        <v>12</v>
      </c>
      <c r="C22" s="125">
        <v>280</v>
      </c>
      <c r="D22" s="125">
        <v>74052080</v>
      </c>
      <c r="E22" s="125">
        <v>0</v>
      </c>
      <c r="F22" s="125">
        <v>0</v>
      </c>
      <c r="G22" s="125">
        <v>0</v>
      </c>
      <c r="H22" s="125">
        <f t="shared" si="0"/>
        <v>0</v>
      </c>
      <c r="I22" s="125">
        <v>280</v>
      </c>
      <c r="J22" s="125">
        <v>74052080</v>
      </c>
      <c r="K22" s="131">
        <f t="shared" si="1"/>
        <v>264471.71428571426</v>
      </c>
      <c r="L22" s="26"/>
    </row>
    <row r="23" spans="1:12" ht="15" x14ac:dyDescent="0.25">
      <c r="A23" s="123" t="s">
        <v>30</v>
      </c>
      <c r="B23" s="123">
        <v>12</v>
      </c>
      <c r="C23" s="125">
        <v>102</v>
      </c>
      <c r="D23" s="125">
        <v>19779439</v>
      </c>
      <c r="E23" s="125">
        <v>0</v>
      </c>
      <c r="F23" s="125">
        <v>0</v>
      </c>
      <c r="G23" s="125">
        <v>100</v>
      </c>
      <c r="H23" s="125">
        <f t="shared" si="0"/>
        <v>19391607</v>
      </c>
      <c r="I23" s="125">
        <v>2</v>
      </c>
      <c r="J23" s="125">
        <v>387832</v>
      </c>
      <c r="K23" s="131">
        <f t="shared" si="1"/>
        <v>193916</v>
      </c>
      <c r="L23" s="26"/>
    </row>
    <row r="24" spans="1:12" ht="15" x14ac:dyDescent="0.25">
      <c r="A24" s="123" t="s">
        <v>31</v>
      </c>
      <c r="B24" s="123">
        <v>12</v>
      </c>
      <c r="C24" s="125">
        <v>0</v>
      </c>
      <c r="D24" s="125">
        <v>0</v>
      </c>
      <c r="E24" s="125">
        <v>50</v>
      </c>
      <c r="F24" s="125">
        <v>8509100</v>
      </c>
      <c r="G24" s="125">
        <v>0</v>
      </c>
      <c r="H24" s="125">
        <f t="shared" si="0"/>
        <v>0</v>
      </c>
      <c r="I24" s="125">
        <v>50</v>
      </c>
      <c r="J24" s="125">
        <v>8509100</v>
      </c>
      <c r="K24" s="131">
        <f t="shared" si="1"/>
        <v>170182</v>
      </c>
      <c r="L24" s="26"/>
    </row>
    <row r="25" spans="1:12" ht="15" x14ac:dyDescent="0.25">
      <c r="A25" s="123" t="s">
        <v>32</v>
      </c>
      <c r="B25" s="123">
        <v>12</v>
      </c>
      <c r="C25" s="125">
        <v>137</v>
      </c>
      <c r="D25" s="125">
        <v>22821826</v>
      </c>
      <c r="E25" s="125">
        <v>0</v>
      </c>
      <c r="F25" s="125">
        <v>0</v>
      </c>
      <c r="G25" s="125">
        <v>20</v>
      </c>
      <c r="H25" s="125">
        <f t="shared" si="0"/>
        <v>3331653</v>
      </c>
      <c r="I25" s="125">
        <v>117</v>
      </c>
      <c r="J25" s="125">
        <v>19490173</v>
      </c>
      <c r="K25" s="131">
        <f t="shared" si="1"/>
        <v>166582.67521367522</v>
      </c>
      <c r="L25" s="26"/>
    </row>
    <row r="26" spans="1:12" ht="15" x14ac:dyDescent="0.25">
      <c r="A26" s="123" t="s">
        <v>33</v>
      </c>
      <c r="B26" s="123">
        <v>12</v>
      </c>
      <c r="C26" s="125">
        <v>106</v>
      </c>
      <c r="D26" s="125">
        <v>16323470</v>
      </c>
      <c r="E26" s="125">
        <v>45</v>
      </c>
      <c r="F26" s="125">
        <v>10556505</v>
      </c>
      <c r="G26" s="125">
        <v>58</v>
      </c>
      <c r="H26" s="125">
        <f t="shared" si="0"/>
        <v>4984366</v>
      </c>
      <c r="I26" s="125">
        <v>93</v>
      </c>
      <c r="J26" s="125">
        <v>21895609</v>
      </c>
      <c r="K26" s="131">
        <f t="shared" si="1"/>
        <v>235436.65591397849</v>
      </c>
      <c r="L26" s="26"/>
    </row>
    <row r="27" spans="1:12" ht="15" x14ac:dyDescent="0.25">
      <c r="A27" s="123" t="s">
        <v>34</v>
      </c>
      <c r="B27" s="123">
        <v>12</v>
      </c>
      <c r="C27" s="125">
        <v>94</v>
      </c>
      <c r="D27" s="125">
        <v>17372116</v>
      </c>
      <c r="E27" s="125">
        <v>40</v>
      </c>
      <c r="F27" s="125">
        <v>9383560</v>
      </c>
      <c r="G27" s="125">
        <v>63</v>
      </c>
      <c r="H27" s="125">
        <f t="shared" si="0"/>
        <v>9983461</v>
      </c>
      <c r="I27" s="125">
        <v>71</v>
      </c>
      <c r="J27" s="125">
        <v>16772215</v>
      </c>
      <c r="K27" s="131">
        <f t="shared" si="1"/>
        <v>236228.38028169013</v>
      </c>
      <c r="L27" s="26"/>
    </row>
    <row r="28" spans="1:12" ht="15" x14ac:dyDescent="0.25">
      <c r="A28" s="123" t="s">
        <v>35</v>
      </c>
      <c r="B28" s="123">
        <v>12</v>
      </c>
      <c r="C28" s="125">
        <v>351</v>
      </c>
      <c r="D28" s="125">
        <v>40194000</v>
      </c>
      <c r="E28" s="125">
        <v>0</v>
      </c>
      <c r="F28" s="125">
        <v>0</v>
      </c>
      <c r="G28" s="125">
        <v>0</v>
      </c>
      <c r="H28" s="125">
        <f t="shared" si="0"/>
        <v>0</v>
      </c>
      <c r="I28" s="125">
        <v>351</v>
      </c>
      <c r="J28" s="125">
        <v>40194000</v>
      </c>
      <c r="K28" s="131">
        <f t="shared" si="1"/>
        <v>114512.82051282052</v>
      </c>
      <c r="L28" s="26"/>
    </row>
    <row r="29" spans="1:12" ht="15" x14ac:dyDescent="0.25">
      <c r="A29" s="123" t="s">
        <v>36</v>
      </c>
      <c r="B29" s="123">
        <v>12</v>
      </c>
      <c r="C29" s="125">
        <v>40</v>
      </c>
      <c r="D29" s="125">
        <v>1818200</v>
      </c>
      <c r="E29" s="125">
        <v>0</v>
      </c>
      <c r="F29" s="125">
        <v>0</v>
      </c>
      <c r="G29" s="125">
        <v>0</v>
      </c>
      <c r="H29" s="125">
        <f t="shared" si="0"/>
        <v>0</v>
      </c>
      <c r="I29" s="125">
        <v>40</v>
      </c>
      <c r="J29" s="125">
        <v>1818200</v>
      </c>
      <c r="K29" s="131">
        <f t="shared" si="1"/>
        <v>45455</v>
      </c>
      <c r="L29" s="26"/>
    </row>
    <row r="30" spans="1:12" ht="15" x14ac:dyDescent="0.25">
      <c r="A30" s="123" t="s">
        <v>37</v>
      </c>
      <c r="B30" s="123">
        <v>12</v>
      </c>
      <c r="C30" s="125">
        <v>833</v>
      </c>
      <c r="D30" s="125">
        <v>46378988</v>
      </c>
      <c r="E30" s="125">
        <v>4571</v>
      </c>
      <c r="F30" s="125">
        <v>254508576</v>
      </c>
      <c r="G30" s="125">
        <v>5404</v>
      </c>
      <c r="H30" s="125">
        <f t="shared" si="0"/>
        <v>300887564</v>
      </c>
      <c r="I30" s="125">
        <v>0</v>
      </c>
      <c r="J30" s="125">
        <v>0</v>
      </c>
      <c r="K30" s="131"/>
      <c r="L30" s="26"/>
    </row>
    <row r="31" spans="1:12" ht="15" x14ac:dyDescent="0.25">
      <c r="A31" s="123" t="s">
        <v>38</v>
      </c>
      <c r="B31" s="123">
        <v>12</v>
      </c>
      <c r="C31" s="125">
        <v>273867</v>
      </c>
      <c r="D31" s="125">
        <v>255643095</v>
      </c>
      <c r="E31" s="125">
        <v>8568</v>
      </c>
      <c r="F31" s="125">
        <v>267390144</v>
      </c>
      <c r="G31" s="125">
        <v>274625</v>
      </c>
      <c r="H31" s="125">
        <f t="shared" si="0"/>
        <v>279311599</v>
      </c>
      <c r="I31" s="125">
        <v>7810</v>
      </c>
      <c r="J31" s="125">
        <v>243721640</v>
      </c>
      <c r="K31" s="131">
        <f t="shared" si="1"/>
        <v>31206.355953905251</v>
      </c>
      <c r="L31" s="26"/>
    </row>
    <row r="32" spans="1:12" ht="15" x14ac:dyDescent="0.25">
      <c r="A32" s="123" t="s">
        <v>39</v>
      </c>
      <c r="B32" s="123">
        <v>12</v>
      </c>
      <c r="C32" s="125">
        <v>25915</v>
      </c>
      <c r="D32" s="125">
        <v>50321430</v>
      </c>
      <c r="E32" s="125">
        <v>1500</v>
      </c>
      <c r="F32" s="125">
        <v>54276000</v>
      </c>
      <c r="G32" s="125">
        <v>26863</v>
      </c>
      <c r="H32" s="125">
        <f t="shared" si="0"/>
        <v>84634375</v>
      </c>
      <c r="I32" s="125">
        <v>552</v>
      </c>
      <c r="J32" s="125">
        <v>19963055</v>
      </c>
      <c r="K32" s="131">
        <f t="shared" si="1"/>
        <v>36164.954710144928</v>
      </c>
      <c r="L32" s="26"/>
    </row>
    <row r="33" spans="1:12" ht="15" x14ac:dyDescent="0.25">
      <c r="A33" s="123" t="s">
        <v>40</v>
      </c>
      <c r="B33" s="123">
        <v>12</v>
      </c>
      <c r="C33" s="125">
        <v>2430</v>
      </c>
      <c r="D33" s="125">
        <v>87927120</v>
      </c>
      <c r="E33" s="125">
        <v>0</v>
      </c>
      <c r="F33" s="125">
        <v>0</v>
      </c>
      <c r="G33" s="125">
        <v>0</v>
      </c>
      <c r="H33" s="125">
        <f t="shared" si="0"/>
        <v>0</v>
      </c>
      <c r="I33" s="125">
        <v>2430</v>
      </c>
      <c r="J33" s="125">
        <v>87927120</v>
      </c>
      <c r="K33" s="131">
        <f t="shared" si="1"/>
        <v>36184</v>
      </c>
      <c r="L33" s="26"/>
    </row>
    <row r="34" spans="1:12" ht="15" x14ac:dyDescent="0.25">
      <c r="A34" s="123" t="s">
        <v>41</v>
      </c>
      <c r="B34" s="123">
        <v>12</v>
      </c>
      <c r="C34" s="125">
        <v>0</v>
      </c>
      <c r="D34" s="125">
        <v>189538</v>
      </c>
      <c r="E34" s="125">
        <v>0</v>
      </c>
      <c r="F34" s="125">
        <v>0</v>
      </c>
      <c r="G34" s="125">
        <v>0</v>
      </c>
      <c r="H34" s="125">
        <f t="shared" si="0"/>
        <v>0</v>
      </c>
      <c r="I34" s="125">
        <v>0</v>
      </c>
      <c r="J34" s="125">
        <v>189538</v>
      </c>
      <c r="K34" s="131"/>
      <c r="L34" s="26"/>
    </row>
    <row r="35" spans="1:12" ht="15" x14ac:dyDescent="0.25">
      <c r="A35" s="123" t="s">
        <v>42</v>
      </c>
      <c r="B35" s="123">
        <v>12</v>
      </c>
      <c r="C35" s="125">
        <v>160</v>
      </c>
      <c r="D35" s="125">
        <v>8538638</v>
      </c>
      <c r="E35" s="125">
        <v>0</v>
      </c>
      <c r="F35" s="125">
        <v>0</v>
      </c>
      <c r="G35" s="125">
        <v>26</v>
      </c>
      <c r="H35" s="125">
        <f t="shared" si="0"/>
        <v>1526583</v>
      </c>
      <c r="I35" s="125">
        <v>134</v>
      </c>
      <c r="J35" s="125">
        <v>7012055</v>
      </c>
      <c r="K35" s="131">
        <f t="shared" si="1"/>
        <v>52328.76865671642</v>
      </c>
      <c r="L35" s="26"/>
    </row>
    <row r="36" spans="1:12" ht="15" x14ac:dyDescent="0.25">
      <c r="A36" s="123" t="s">
        <v>43</v>
      </c>
      <c r="B36" s="123">
        <v>12</v>
      </c>
      <c r="C36" s="125">
        <v>0</v>
      </c>
      <c r="D36" s="125">
        <v>0</v>
      </c>
      <c r="E36" s="125">
        <v>0</v>
      </c>
      <c r="F36" s="125">
        <v>0</v>
      </c>
      <c r="G36" s="125">
        <v>0</v>
      </c>
      <c r="H36" s="125">
        <f t="shared" si="0"/>
        <v>0</v>
      </c>
      <c r="I36" s="125">
        <v>0</v>
      </c>
      <c r="J36" s="125">
        <v>0</v>
      </c>
      <c r="K36" s="131"/>
      <c r="L36" s="26"/>
    </row>
    <row r="37" spans="1:12" ht="15" x14ac:dyDescent="0.25">
      <c r="A37" s="123" t="s">
        <v>44</v>
      </c>
      <c r="B37" s="123">
        <v>12</v>
      </c>
      <c r="C37" s="125">
        <v>9485</v>
      </c>
      <c r="D37" s="125">
        <v>33640650</v>
      </c>
      <c r="E37" s="125">
        <v>1050</v>
      </c>
      <c r="F37" s="125">
        <v>37993200</v>
      </c>
      <c r="G37" s="125">
        <v>9635</v>
      </c>
      <c r="H37" s="125">
        <f t="shared" si="0"/>
        <v>39077621</v>
      </c>
      <c r="I37" s="125">
        <v>900</v>
      </c>
      <c r="J37" s="125">
        <v>32556229</v>
      </c>
      <c r="K37" s="131">
        <f t="shared" si="1"/>
        <v>36173.587777777779</v>
      </c>
      <c r="L37" s="26"/>
    </row>
    <row r="38" spans="1:12" ht="15" x14ac:dyDescent="0.25">
      <c r="A38" s="123" t="s">
        <v>45</v>
      </c>
      <c r="B38" s="123">
        <v>12</v>
      </c>
      <c r="C38" s="125">
        <v>320</v>
      </c>
      <c r="D38" s="125">
        <v>11571799</v>
      </c>
      <c r="E38" s="125">
        <v>405</v>
      </c>
      <c r="F38" s="125">
        <v>14654520</v>
      </c>
      <c r="G38" s="125">
        <v>630</v>
      </c>
      <c r="H38" s="125">
        <f t="shared" si="0"/>
        <v>22789767</v>
      </c>
      <c r="I38" s="125">
        <v>95</v>
      </c>
      <c r="J38" s="125">
        <v>3436552</v>
      </c>
      <c r="K38" s="131">
        <f t="shared" si="1"/>
        <v>36174.231578947365</v>
      </c>
      <c r="L38" s="26"/>
    </row>
    <row r="39" spans="1:12" ht="15" x14ac:dyDescent="0.25">
      <c r="A39" s="123" t="s">
        <v>46</v>
      </c>
      <c r="B39" s="123">
        <v>12</v>
      </c>
      <c r="C39" s="125">
        <v>270</v>
      </c>
      <c r="D39" s="125">
        <v>9896208</v>
      </c>
      <c r="E39" s="125">
        <v>120</v>
      </c>
      <c r="F39" s="125">
        <v>4342080</v>
      </c>
      <c r="G39" s="125">
        <v>319</v>
      </c>
      <c r="H39" s="125">
        <f t="shared" si="0"/>
        <v>11669303</v>
      </c>
      <c r="I39" s="125">
        <v>71</v>
      </c>
      <c r="J39" s="125">
        <v>2568985</v>
      </c>
      <c r="K39" s="131">
        <f t="shared" si="1"/>
        <v>36182.887323943665</v>
      </c>
      <c r="L39" s="26"/>
    </row>
    <row r="40" spans="1:12" ht="15" x14ac:dyDescent="0.25">
      <c r="A40" s="123" t="s">
        <v>47</v>
      </c>
      <c r="B40" s="123">
        <v>12</v>
      </c>
      <c r="C40" s="125">
        <v>1500</v>
      </c>
      <c r="D40" s="125">
        <v>7597338</v>
      </c>
      <c r="E40" s="125">
        <v>250</v>
      </c>
      <c r="F40" s="125">
        <v>1273250</v>
      </c>
      <c r="G40" s="125">
        <v>691</v>
      </c>
      <c r="H40" s="125">
        <f t="shared" si="0"/>
        <v>3827026</v>
      </c>
      <c r="I40" s="125">
        <v>1059</v>
      </c>
      <c r="J40" s="125">
        <v>5043562</v>
      </c>
      <c r="K40" s="131">
        <f t="shared" si="1"/>
        <v>4762.5703493862138</v>
      </c>
      <c r="L40" s="26"/>
    </row>
    <row r="41" spans="1:12" ht="15" x14ac:dyDescent="0.25">
      <c r="A41" s="123" t="s">
        <v>48</v>
      </c>
      <c r="B41" s="123">
        <v>12</v>
      </c>
      <c r="C41" s="125">
        <v>192</v>
      </c>
      <c r="D41" s="125">
        <v>4111968</v>
      </c>
      <c r="E41" s="125">
        <v>48</v>
      </c>
      <c r="F41" s="125">
        <v>933312</v>
      </c>
      <c r="G41" s="125">
        <v>0</v>
      </c>
      <c r="H41" s="125">
        <f t="shared" si="0"/>
        <v>0</v>
      </c>
      <c r="I41" s="125">
        <v>240</v>
      </c>
      <c r="J41" s="125">
        <v>5045280</v>
      </c>
      <c r="K41" s="131">
        <f t="shared" si="1"/>
        <v>21022</v>
      </c>
      <c r="L41" s="26"/>
    </row>
    <row r="42" spans="1:12" ht="15" x14ac:dyDescent="0.25">
      <c r="A42" s="123" t="s">
        <v>49</v>
      </c>
      <c r="B42" s="123">
        <v>12</v>
      </c>
      <c r="C42" s="125">
        <v>4020</v>
      </c>
      <c r="D42" s="125">
        <v>19708744</v>
      </c>
      <c r="E42" s="125">
        <v>3360</v>
      </c>
      <c r="F42" s="125">
        <v>16487520</v>
      </c>
      <c r="G42" s="125">
        <v>5702</v>
      </c>
      <c r="H42" s="125">
        <f t="shared" si="0"/>
        <v>28495976</v>
      </c>
      <c r="I42" s="125">
        <v>1678</v>
      </c>
      <c r="J42" s="125">
        <v>7700288</v>
      </c>
      <c r="K42" s="131">
        <f t="shared" si="1"/>
        <v>4588.9678188319431</v>
      </c>
      <c r="L42" s="26"/>
    </row>
    <row r="43" spans="1:12" ht="15" x14ac:dyDescent="0.25">
      <c r="A43" s="123" t="s">
        <v>50</v>
      </c>
      <c r="B43" s="123">
        <v>12</v>
      </c>
      <c r="C43" s="125">
        <v>750</v>
      </c>
      <c r="D43" s="125">
        <v>2517000</v>
      </c>
      <c r="E43" s="125">
        <v>0</v>
      </c>
      <c r="F43" s="125">
        <v>0</v>
      </c>
      <c r="G43" s="125">
        <v>23</v>
      </c>
      <c r="H43" s="125">
        <f t="shared" si="0"/>
        <v>0</v>
      </c>
      <c r="I43" s="125">
        <v>727</v>
      </c>
      <c r="J43" s="125">
        <v>2517000</v>
      </c>
      <c r="K43" s="131">
        <f t="shared" si="1"/>
        <v>3462.1733149931224</v>
      </c>
      <c r="L43" s="26"/>
    </row>
    <row r="44" spans="1:12" ht="15" x14ac:dyDescent="0.25">
      <c r="A44" s="123" t="s">
        <v>51</v>
      </c>
      <c r="B44" s="123">
        <v>12</v>
      </c>
      <c r="C44" s="125">
        <v>1350</v>
      </c>
      <c r="D44" s="125">
        <v>5561964</v>
      </c>
      <c r="E44" s="125">
        <v>200</v>
      </c>
      <c r="F44" s="125">
        <v>833400</v>
      </c>
      <c r="G44" s="125">
        <v>780</v>
      </c>
      <c r="H44" s="125">
        <f t="shared" si="0"/>
        <v>3218313</v>
      </c>
      <c r="I44" s="125">
        <v>770</v>
      </c>
      <c r="J44" s="125">
        <v>3177051</v>
      </c>
      <c r="K44" s="131">
        <f t="shared" si="1"/>
        <v>4126.0402597402599</v>
      </c>
      <c r="L44" s="26"/>
    </row>
    <row r="45" spans="1:12" ht="15" x14ac:dyDescent="0.25">
      <c r="A45" s="123" t="s">
        <v>52</v>
      </c>
      <c r="B45" s="123">
        <v>12</v>
      </c>
      <c r="C45" s="125">
        <v>1676</v>
      </c>
      <c r="D45" s="125">
        <v>38641471</v>
      </c>
      <c r="E45" s="125">
        <v>288</v>
      </c>
      <c r="F45" s="125">
        <v>6666624</v>
      </c>
      <c r="G45" s="125">
        <v>143</v>
      </c>
      <c r="H45" s="125">
        <f t="shared" si="0"/>
        <v>5905739</v>
      </c>
      <c r="I45" s="125">
        <v>1821</v>
      </c>
      <c r="J45" s="125">
        <v>39402356</v>
      </c>
      <c r="K45" s="131">
        <f t="shared" si="1"/>
        <v>21637.757276221855</v>
      </c>
      <c r="L45" s="26"/>
    </row>
    <row r="46" spans="1:12" ht="15" x14ac:dyDescent="0.25">
      <c r="A46" s="123" t="s">
        <v>888</v>
      </c>
      <c r="B46" s="123">
        <v>12</v>
      </c>
      <c r="C46" s="125">
        <v>0</v>
      </c>
      <c r="D46" s="125">
        <v>0</v>
      </c>
      <c r="E46" s="125">
        <v>3600</v>
      </c>
      <c r="F46" s="125">
        <v>38332800</v>
      </c>
      <c r="G46" s="125">
        <v>10</v>
      </c>
      <c r="H46" s="125">
        <f t="shared" si="0"/>
        <v>106480</v>
      </c>
      <c r="I46" s="125">
        <v>3590</v>
      </c>
      <c r="J46" s="125">
        <v>38226320</v>
      </c>
      <c r="K46" s="131">
        <f t="shared" si="1"/>
        <v>10648</v>
      </c>
      <c r="L46" s="26"/>
    </row>
    <row r="47" spans="1:12" ht="15" x14ac:dyDescent="0.25">
      <c r="A47" s="123" t="s">
        <v>54</v>
      </c>
      <c r="B47" s="123">
        <v>12</v>
      </c>
      <c r="C47" s="125">
        <v>4478</v>
      </c>
      <c r="D47" s="125">
        <v>65694476</v>
      </c>
      <c r="E47" s="125">
        <v>9176</v>
      </c>
      <c r="F47" s="125">
        <v>133335000</v>
      </c>
      <c r="G47" s="125">
        <v>7664</v>
      </c>
      <c r="H47" s="125">
        <f t="shared" si="0"/>
        <v>116059227</v>
      </c>
      <c r="I47" s="125">
        <v>5990</v>
      </c>
      <c r="J47" s="125">
        <v>82970249</v>
      </c>
      <c r="K47" s="131">
        <f t="shared" si="1"/>
        <v>13851.460601001669</v>
      </c>
      <c r="L47" s="26"/>
    </row>
    <row r="48" spans="1:12" ht="15" x14ac:dyDescent="0.25">
      <c r="A48" s="123" t="s">
        <v>55</v>
      </c>
      <c r="B48" s="123">
        <v>12</v>
      </c>
      <c r="C48" s="125">
        <v>162</v>
      </c>
      <c r="D48" s="125">
        <v>14271796</v>
      </c>
      <c r="E48" s="125">
        <v>119</v>
      </c>
      <c r="F48" s="125">
        <v>9838718.8900000006</v>
      </c>
      <c r="G48" s="125">
        <v>6</v>
      </c>
      <c r="H48" s="125">
        <f t="shared" si="0"/>
        <v>1348613.8900000006</v>
      </c>
      <c r="I48" s="125">
        <v>275</v>
      </c>
      <c r="J48" s="125">
        <v>22761901</v>
      </c>
      <c r="K48" s="131">
        <f t="shared" si="1"/>
        <v>82770.549090909088</v>
      </c>
      <c r="L48" s="26"/>
    </row>
    <row r="49" spans="1:12" ht="15" x14ac:dyDescent="0.25">
      <c r="A49" s="123" t="s">
        <v>56</v>
      </c>
      <c r="B49" s="123">
        <v>12</v>
      </c>
      <c r="C49" s="125">
        <v>864</v>
      </c>
      <c r="D49" s="125">
        <v>8294400</v>
      </c>
      <c r="E49" s="125">
        <v>263</v>
      </c>
      <c r="F49" s="125">
        <v>9207921359.289999</v>
      </c>
      <c r="G49" s="125">
        <v>0</v>
      </c>
      <c r="H49" s="125">
        <f t="shared" si="0"/>
        <v>9206072399.289999</v>
      </c>
      <c r="I49" s="125">
        <v>1127</v>
      </c>
      <c r="J49" s="125">
        <v>10143360</v>
      </c>
      <c r="K49" s="131">
        <f t="shared" si="1"/>
        <v>9000.3194321206738</v>
      </c>
      <c r="L49" s="26"/>
    </row>
    <row r="50" spans="1:12" ht="15" x14ac:dyDescent="0.25">
      <c r="A50" s="123" t="s">
        <v>57</v>
      </c>
      <c r="B50" s="123">
        <v>12</v>
      </c>
      <c r="C50" s="125">
        <v>758</v>
      </c>
      <c r="D50" s="125">
        <v>13116517</v>
      </c>
      <c r="E50" s="125">
        <v>168</v>
      </c>
      <c r="F50" s="125">
        <v>2955624</v>
      </c>
      <c r="G50" s="125">
        <v>118</v>
      </c>
      <c r="H50" s="125">
        <f t="shared" si="0"/>
        <v>2777044</v>
      </c>
      <c r="I50" s="125">
        <v>808</v>
      </c>
      <c r="J50" s="125">
        <v>13295097</v>
      </c>
      <c r="K50" s="131">
        <f t="shared" si="1"/>
        <v>16454.327970297029</v>
      </c>
      <c r="L50" s="26"/>
    </row>
    <row r="51" spans="1:12" ht="15" x14ac:dyDescent="0.25">
      <c r="A51" s="123" t="s">
        <v>58</v>
      </c>
      <c r="B51" s="123">
        <v>12</v>
      </c>
      <c r="C51" s="125">
        <v>3660</v>
      </c>
      <c r="D51" s="125">
        <v>31105758</v>
      </c>
      <c r="E51" s="125">
        <v>816</v>
      </c>
      <c r="F51" s="125">
        <v>7026576</v>
      </c>
      <c r="G51" s="125">
        <v>1416</v>
      </c>
      <c r="H51" s="125">
        <f t="shared" si="0"/>
        <v>13494553</v>
      </c>
      <c r="I51" s="125">
        <v>3060</v>
      </c>
      <c r="J51" s="125">
        <v>24637781</v>
      </c>
      <c r="K51" s="131">
        <f t="shared" si="1"/>
        <v>8051.5624183006539</v>
      </c>
      <c r="L51" s="26"/>
    </row>
    <row r="52" spans="1:12" ht="15" x14ac:dyDescent="0.25">
      <c r="A52" s="123" t="s">
        <v>59</v>
      </c>
      <c r="B52" s="123">
        <v>12</v>
      </c>
      <c r="C52" s="125">
        <v>4076</v>
      </c>
      <c r="D52" s="125">
        <v>66900098</v>
      </c>
      <c r="E52" s="125">
        <v>2466</v>
      </c>
      <c r="F52" s="125">
        <v>30000600</v>
      </c>
      <c r="G52" s="125">
        <v>3835</v>
      </c>
      <c r="H52" s="125">
        <f t="shared" si="0"/>
        <v>54715863</v>
      </c>
      <c r="I52" s="125">
        <v>2707</v>
      </c>
      <c r="J52" s="125">
        <v>42184835</v>
      </c>
      <c r="K52" s="131">
        <f t="shared" si="1"/>
        <v>15583.611008496491</v>
      </c>
      <c r="L52" s="26"/>
    </row>
    <row r="53" spans="1:12" ht="15" x14ac:dyDescent="0.25">
      <c r="A53" s="123" t="s">
        <v>60</v>
      </c>
      <c r="B53" s="123">
        <v>12</v>
      </c>
      <c r="C53" s="125">
        <v>3051</v>
      </c>
      <c r="D53" s="125">
        <v>99561656</v>
      </c>
      <c r="E53" s="125">
        <v>1476</v>
      </c>
      <c r="F53" s="125">
        <v>51966396</v>
      </c>
      <c r="G53" s="125">
        <v>2861</v>
      </c>
      <c r="H53" s="125">
        <f t="shared" si="0"/>
        <v>96734277</v>
      </c>
      <c r="I53" s="125">
        <v>1666</v>
      </c>
      <c r="J53" s="125">
        <v>54793775</v>
      </c>
      <c r="K53" s="131">
        <f t="shared" si="1"/>
        <v>32889.420768307325</v>
      </c>
      <c r="L53" s="26"/>
    </row>
    <row r="54" spans="1:12" ht="15" x14ac:dyDescent="0.25">
      <c r="A54" s="123" t="s">
        <v>61</v>
      </c>
      <c r="B54" s="123">
        <v>12</v>
      </c>
      <c r="C54" s="125">
        <v>0</v>
      </c>
      <c r="D54" s="125">
        <v>0</v>
      </c>
      <c r="E54" s="125">
        <v>0</v>
      </c>
      <c r="F54" s="125">
        <v>0</v>
      </c>
      <c r="G54" s="125">
        <v>0</v>
      </c>
      <c r="H54" s="125">
        <f t="shared" si="0"/>
        <v>0</v>
      </c>
      <c r="I54" s="125">
        <v>0</v>
      </c>
      <c r="J54" s="125">
        <v>0</v>
      </c>
      <c r="K54" s="131"/>
      <c r="L54" s="26"/>
    </row>
    <row r="55" spans="1:12" ht="15" x14ac:dyDescent="0.25">
      <c r="A55" s="123" t="s">
        <v>62</v>
      </c>
      <c r="B55" s="123">
        <v>12</v>
      </c>
      <c r="C55" s="125">
        <v>4034</v>
      </c>
      <c r="D55" s="125">
        <v>19765883</v>
      </c>
      <c r="E55" s="125">
        <v>4080</v>
      </c>
      <c r="F55" s="125">
        <v>20020560</v>
      </c>
      <c r="G55" s="125">
        <v>6143</v>
      </c>
      <c r="H55" s="125">
        <f t="shared" si="0"/>
        <v>30744515</v>
      </c>
      <c r="I55" s="125">
        <v>1971</v>
      </c>
      <c r="J55" s="125">
        <v>9041928</v>
      </c>
      <c r="K55" s="131">
        <f t="shared" si="1"/>
        <v>4587.4824961948252</v>
      </c>
      <c r="L55" s="26"/>
    </row>
    <row r="56" spans="1:12" ht="15" x14ac:dyDescent="0.25">
      <c r="A56" s="123" t="s">
        <v>63</v>
      </c>
      <c r="B56" s="123">
        <v>12</v>
      </c>
      <c r="C56" s="125">
        <v>0</v>
      </c>
      <c r="D56" s="125">
        <v>0</v>
      </c>
      <c r="E56" s="125">
        <v>0</v>
      </c>
      <c r="F56" s="125">
        <v>0</v>
      </c>
      <c r="G56" s="125">
        <v>0</v>
      </c>
      <c r="H56" s="125">
        <f t="shared" si="0"/>
        <v>0</v>
      </c>
      <c r="I56" s="125">
        <v>0</v>
      </c>
      <c r="J56" s="125">
        <v>0</v>
      </c>
      <c r="K56" s="131"/>
      <c r="L56" s="26"/>
    </row>
    <row r="57" spans="1:12" ht="15" x14ac:dyDescent="0.25">
      <c r="A57" s="123" t="s">
        <v>64</v>
      </c>
      <c r="B57" s="123">
        <v>12</v>
      </c>
      <c r="C57" s="125">
        <v>25</v>
      </c>
      <c r="D57" s="125">
        <v>4861100</v>
      </c>
      <c r="E57" s="125">
        <v>0</v>
      </c>
      <c r="F57" s="125">
        <v>0</v>
      </c>
      <c r="G57" s="125">
        <v>0</v>
      </c>
      <c r="H57" s="125">
        <f t="shared" si="0"/>
        <v>0</v>
      </c>
      <c r="I57" s="125">
        <v>25</v>
      </c>
      <c r="J57" s="125">
        <v>4861100</v>
      </c>
      <c r="K57" s="131">
        <f t="shared" si="1"/>
        <v>194444</v>
      </c>
      <c r="L57" s="26"/>
    </row>
    <row r="58" spans="1:12" ht="15" x14ac:dyDescent="0.25">
      <c r="A58" s="123" t="s">
        <v>65</v>
      </c>
      <c r="B58" s="123">
        <v>12</v>
      </c>
      <c r="C58" s="125">
        <v>7</v>
      </c>
      <c r="D58" s="125">
        <v>1328705</v>
      </c>
      <c r="E58" s="125">
        <v>0</v>
      </c>
      <c r="F58" s="125">
        <v>0</v>
      </c>
      <c r="G58" s="125">
        <v>0</v>
      </c>
      <c r="H58" s="125">
        <f t="shared" si="0"/>
        <v>0</v>
      </c>
      <c r="I58" s="125">
        <v>7</v>
      </c>
      <c r="J58" s="125">
        <v>1328705</v>
      </c>
      <c r="K58" s="131">
        <f t="shared" si="1"/>
        <v>189815</v>
      </c>
      <c r="L58" s="26"/>
    </row>
    <row r="59" spans="1:12" ht="15" x14ac:dyDescent="0.25">
      <c r="A59" s="123" t="s">
        <v>66</v>
      </c>
      <c r="B59" s="123">
        <v>12</v>
      </c>
      <c r="C59" s="125">
        <v>3640</v>
      </c>
      <c r="D59" s="125">
        <v>56770482</v>
      </c>
      <c r="E59" s="125">
        <v>4421</v>
      </c>
      <c r="F59" s="125">
        <v>68567796</v>
      </c>
      <c r="G59" s="125">
        <v>6562</v>
      </c>
      <c r="H59" s="125">
        <f t="shared" si="0"/>
        <v>103274636</v>
      </c>
      <c r="I59" s="125">
        <v>1499</v>
      </c>
      <c r="J59" s="125">
        <v>22063642</v>
      </c>
      <c r="K59" s="131">
        <f t="shared" si="1"/>
        <v>14718.907271514343</v>
      </c>
      <c r="L59" s="26"/>
    </row>
    <row r="60" spans="1:12" ht="15" x14ac:dyDescent="0.25">
      <c r="A60" s="123" t="s">
        <v>67</v>
      </c>
      <c r="B60" s="123">
        <v>12</v>
      </c>
      <c r="C60" s="125">
        <v>170</v>
      </c>
      <c r="D60" s="125">
        <v>1385264</v>
      </c>
      <c r="E60" s="125">
        <v>24</v>
      </c>
      <c r="F60" s="125">
        <v>400008</v>
      </c>
      <c r="G60" s="125">
        <v>81</v>
      </c>
      <c r="H60" s="125">
        <f t="shared" si="0"/>
        <v>27607</v>
      </c>
      <c r="I60" s="125">
        <v>113</v>
      </c>
      <c r="J60" s="125">
        <v>1757665</v>
      </c>
      <c r="K60" s="131">
        <f t="shared" si="1"/>
        <v>15554.557522123894</v>
      </c>
      <c r="L60" s="26"/>
    </row>
    <row r="61" spans="1:12" ht="15" x14ac:dyDescent="0.25">
      <c r="A61" s="123" t="s">
        <v>68</v>
      </c>
      <c r="B61" s="123">
        <v>12</v>
      </c>
      <c r="C61" s="125">
        <v>384</v>
      </c>
      <c r="D61" s="125">
        <v>17725913</v>
      </c>
      <c r="E61" s="125">
        <v>0</v>
      </c>
      <c r="F61" s="125">
        <v>0</v>
      </c>
      <c r="G61" s="125"/>
      <c r="H61" s="125">
        <f t="shared" si="0"/>
        <v>923225</v>
      </c>
      <c r="I61" s="125">
        <v>384</v>
      </c>
      <c r="J61" s="125">
        <v>16802688</v>
      </c>
      <c r="K61" s="131">
        <f t="shared" si="1"/>
        <v>43757</v>
      </c>
      <c r="L61" s="26"/>
    </row>
    <row r="62" spans="1:12" ht="15" x14ac:dyDescent="0.25">
      <c r="A62" s="123" t="s">
        <v>69</v>
      </c>
      <c r="B62" s="123">
        <v>12</v>
      </c>
      <c r="C62" s="125">
        <v>156</v>
      </c>
      <c r="D62" s="125">
        <v>16177824</v>
      </c>
      <c r="E62" s="125">
        <v>0</v>
      </c>
      <c r="F62" s="125">
        <v>0</v>
      </c>
      <c r="G62" s="125"/>
      <c r="H62" s="125">
        <f t="shared" si="0"/>
        <v>622224</v>
      </c>
      <c r="I62" s="125">
        <v>156</v>
      </c>
      <c r="J62" s="125">
        <v>15555600</v>
      </c>
      <c r="K62" s="131">
        <f t="shared" si="1"/>
        <v>99715.38461538461</v>
      </c>
      <c r="L62" s="26"/>
    </row>
    <row r="63" spans="1:12" ht="15" x14ac:dyDescent="0.25">
      <c r="A63" s="123" t="s">
        <v>70</v>
      </c>
      <c r="B63" s="123">
        <v>12</v>
      </c>
      <c r="C63" s="125">
        <v>84</v>
      </c>
      <c r="D63" s="125">
        <v>12133296</v>
      </c>
      <c r="E63" s="125"/>
      <c r="F63" s="125">
        <v>0</v>
      </c>
      <c r="G63" s="125"/>
      <c r="H63" s="125">
        <f t="shared" si="0"/>
        <v>0</v>
      </c>
      <c r="I63" s="125">
        <v>84</v>
      </c>
      <c r="J63" s="125">
        <v>12133296</v>
      </c>
      <c r="K63" s="131">
        <f t="shared" si="1"/>
        <v>144444</v>
      </c>
      <c r="L63" s="26"/>
    </row>
    <row r="64" spans="1:12" ht="15" x14ac:dyDescent="0.25">
      <c r="A64" s="123" t="s">
        <v>71</v>
      </c>
      <c r="B64" s="123">
        <v>12</v>
      </c>
      <c r="C64" s="125">
        <v>1608</v>
      </c>
      <c r="D64" s="125">
        <v>25016122</v>
      </c>
      <c r="E64" s="125">
        <v>552</v>
      </c>
      <c r="F64" s="125">
        <v>8689032</v>
      </c>
      <c r="G64" s="125">
        <v>1294</v>
      </c>
      <c r="H64" s="125">
        <f t="shared" si="0"/>
        <v>20956492</v>
      </c>
      <c r="I64" s="125">
        <v>866</v>
      </c>
      <c r="J64" s="125">
        <v>12748662</v>
      </c>
      <c r="K64" s="131">
        <f t="shared" si="1"/>
        <v>14721.318706697459</v>
      </c>
      <c r="L64" s="26"/>
    </row>
    <row r="65" spans="1:12" ht="15" x14ac:dyDescent="0.25">
      <c r="A65" s="123" t="s">
        <v>72</v>
      </c>
      <c r="B65" s="123">
        <v>12</v>
      </c>
      <c r="C65" s="125">
        <v>3852</v>
      </c>
      <c r="D65" s="125">
        <v>90280472</v>
      </c>
      <c r="E65" s="125">
        <v>648</v>
      </c>
      <c r="F65" s="125">
        <v>15599952</v>
      </c>
      <c r="G65" s="125">
        <v>2687</v>
      </c>
      <c r="H65" s="125">
        <f t="shared" si="0"/>
        <v>65081167</v>
      </c>
      <c r="I65" s="125">
        <v>1813</v>
      </c>
      <c r="J65" s="125">
        <v>40799257</v>
      </c>
      <c r="K65" s="131">
        <f t="shared" si="1"/>
        <v>22503.72697186983</v>
      </c>
      <c r="L65" s="26"/>
    </row>
    <row r="66" spans="1:12" ht="15" x14ac:dyDescent="0.25">
      <c r="A66" s="123" t="s">
        <v>73</v>
      </c>
      <c r="B66" s="123">
        <v>12</v>
      </c>
      <c r="C66" s="125">
        <v>4218</v>
      </c>
      <c r="D66" s="125">
        <v>143970514</v>
      </c>
      <c r="E66" s="125">
        <v>1800</v>
      </c>
      <c r="F66" s="125">
        <v>61666200</v>
      </c>
      <c r="G66" s="125">
        <v>4874</v>
      </c>
      <c r="H66" s="125">
        <f t="shared" si="0"/>
        <v>169006179</v>
      </c>
      <c r="I66" s="125">
        <v>1144</v>
      </c>
      <c r="J66" s="125">
        <v>36630535</v>
      </c>
      <c r="K66" s="131">
        <f t="shared" si="1"/>
        <v>32019.698426573428</v>
      </c>
      <c r="L66" s="26"/>
    </row>
    <row r="67" spans="1:12" ht="15" x14ac:dyDescent="0.25">
      <c r="A67" s="123" t="s">
        <v>74</v>
      </c>
      <c r="B67" s="123">
        <v>12</v>
      </c>
      <c r="C67" s="125">
        <v>5136</v>
      </c>
      <c r="D67" s="125">
        <v>75745997</v>
      </c>
      <c r="E67" s="125">
        <v>1752</v>
      </c>
      <c r="F67" s="125">
        <v>25955880</v>
      </c>
      <c r="G67" s="125">
        <v>6059</v>
      </c>
      <c r="H67" s="125">
        <f t="shared" si="0"/>
        <v>90214644</v>
      </c>
      <c r="I67" s="125">
        <v>829</v>
      </c>
      <c r="J67" s="125">
        <v>11487233</v>
      </c>
      <c r="K67" s="131">
        <f t="shared" si="1"/>
        <v>13856.734620024126</v>
      </c>
      <c r="L67" s="26"/>
    </row>
    <row r="68" spans="1:12" ht="15" x14ac:dyDescent="0.25">
      <c r="A68" s="123" t="s">
        <v>75</v>
      </c>
      <c r="B68" s="123">
        <v>12</v>
      </c>
      <c r="C68" s="125">
        <v>10400</v>
      </c>
      <c r="D68" s="125">
        <v>3813333</v>
      </c>
      <c r="E68" s="125">
        <v>0</v>
      </c>
      <c r="F68" s="125">
        <v>0</v>
      </c>
      <c r="G68" s="125">
        <v>9600</v>
      </c>
      <c r="H68" s="125">
        <f t="shared" si="0"/>
        <v>3520000</v>
      </c>
      <c r="I68" s="125">
        <v>800</v>
      </c>
      <c r="J68" s="125">
        <v>293333</v>
      </c>
      <c r="K68" s="131">
        <f t="shared" si="1"/>
        <v>366.66624999999999</v>
      </c>
      <c r="L68" s="26"/>
    </row>
    <row r="69" spans="1:12" ht="15" x14ac:dyDescent="0.25">
      <c r="A69" s="123" t="s">
        <v>76</v>
      </c>
      <c r="B69" s="123">
        <v>12</v>
      </c>
      <c r="C69" s="125">
        <v>168</v>
      </c>
      <c r="D69" s="125">
        <v>9544198</v>
      </c>
      <c r="E69" s="125">
        <v>279</v>
      </c>
      <c r="F69" s="125">
        <v>4275018</v>
      </c>
      <c r="G69" s="125">
        <v>171</v>
      </c>
      <c r="H69" s="125">
        <f t="shared" ref="H69:H132" si="2">D69+F69-J69</f>
        <v>221995</v>
      </c>
      <c r="I69" s="125">
        <v>276</v>
      </c>
      <c r="J69" s="125">
        <v>13597221</v>
      </c>
      <c r="K69" s="131">
        <f t="shared" ref="K69:K132" si="3">J69/I69</f>
        <v>49265.293478260872</v>
      </c>
      <c r="L69" s="26"/>
    </row>
    <row r="70" spans="1:12" ht="15" x14ac:dyDescent="0.25">
      <c r="A70" s="123" t="s">
        <v>77</v>
      </c>
      <c r="B70" s="123">
        <v>12</v>
      </c>
      <c r="C70" s="125">
        <v>1092</v>
      </c>
      <c r="D70" s="125">
        <v>6735333</v>
      </c>
      <c r="E70" s="125">
        <v>0</v>
      </c>
      <c r="F70" s="125">
        <v>0</v>
      </c>
      <c r="G70" s="125">
        <v>206</v>
      </c>
      <c r="H70" s="125">
        <f t="shared" si="2"/>
        <v>1517300</v>
      </c>
      <c r="I70" s="125">
        <v>886</v>
      </c>
      <c r="J70" s="125">
        <v>5218033</v>
      </c>
      <c r="K70" s="131">
        <f t="shared" si="3"/>
        <v>5889.4277652370201</v>
      </c>
      <c r="L70" s="26"/>
    </row>
    <row r="71" spans="1:12" ht="15" x14ac:dyDescent="0.25">
      <c r="A71" s="123" t="s">
        <v>78</v>
      </c>
      <c r="B71" s="123">
        <v>12</v>
      </c>
      <c r="C71" s="125">
        <v>7371</v>
      </c>
      <c r="D71" s="125">
        <v>66190155</v>
      </c>
      <c r="E71" s="125">
        <v>1920</v>
      </c>
      <c r="F71" s="125">
        <v>21333120</v>
      </c>
      <c r="G71" s="125">
        <v>4938</v>
      </c>
      <c r="H71" s="125">
        <f t="shared" si="2"/>
        <v>42296793</v>
      </c>
      <c r="I71" s="125">
        <v>4353</v>
      </c>
      <c r="J71" s="125">
        <v>45226482</v>
      </c>
      <c r="K71" s="131">
        <f t="shared" si="3"/>
        <v>10389.727084769125</v>
      </c>
      <c r="L71" s="26"/>
    </row>
    <row r="72" spans="1:12" ht="15" x14ac:dyDescent="0.25">
      <c r="A72" s="123" t="s">
        <v>79</v>
      </c>
      <c r="B72" s="123">
        <v>12</v>
      </c>
      <c r="C72" s="125">
        <v>1912</v>
      </c>
      <c r="D72" s="125">
        <v>38449684</v>
      </c>
      <c r="E72" s="125">
        <v>1560</v>
      </c>
      <c r="F72" s="125">
        <v>33221760</v>
      </c>
      <c r="G72" s="125">
        <v>3121</v>
      </c>
      <c r="H72" s="125">
        <f t="shared" si="2"/>
        <v>64673570</v>
      </c>
      <c r="I72" s="125">
        <v>351</v>
      </c>
      <c r="J72" s="125">
        <v>6997874</v>
      </c>
      <c r="K72" s="131">
        <f t="shared" si="3"/>
        <v>19936.962962962964</v>
      </c>
      <c r="L72" s="26"/>
    </row>
    <row r="73" spans="1:12" ht="15" x14ac:dyDescent="0.25">
      <c r="A73" s="123" t="s">
        <v>80</v>
      </c>
      <c r="B73" s="123">
        <v>12</v>
      </c>
      <c r="C73" s="125">
        <v>180</v>
      </c>
      <c r="D73" s="125">
        <v>2602954</v>
      </c>
      <c r="E73" s="125">
        <v>85</v>
      </c>
      <c r="F73" s="125">
        <v>1177052.4150943398</v>
      </c>
      <c r="G73" s="125">
        <v>0</v>
      </c>
      <c r="H73" s="125">
        <f t="shared" si="2"/>
        <v>110372.41509433975</v>
      </c>
      <c r="I73" s="125">
        <v>265</v>
      </c>
      <c r="J73" s="125">
        <v>3669634</v>
      </c>
      <c r="K73" s="131">
        <f t="shared" si="3"/>
        <v>13847.675471698114</v>
      </c>
      <c r="L73" s="26"/>
    </row>
    <row r="74" spans="1:12" ht="15" x14ac:dyDescent="0.25">
      <c r="A74" s="123" t="s">
        <v>81</v>
      </c>
      <c r="B74" s="123">
        <v>12</v>
      </c>
      <c r="C74" s="125">
        <v>2052</v>
      </c>
      <c r="D74" s="125">
        <v>31426776</v>
      </c>
      <c r="E74" s="125">
        <v>504</v>
      </c>
      <c r="F74" s="125">
        <v>7933464</v>
      </c>
      <c r="G74" s="125">
        <v>2016</v>
      </c>
      <c r="H74" s="125">
        <f t="shared" si="2"/>
        <v>31414276</v>
      </c>
      <c r="I74" s="125">
        <v>540</v>
      </c>
      <c r="J74" s="125">
        <v>7945964</v>
      </c>
      <c r="K74" s="131">
        <f t="shared" si="3"/>
        <v>14714.748148148148</v>
      </c>
      <c r="L74" s="26"/>
    </row>
    <row r="75" spans="1:12" ht="15" x14ac:dyDescent="0.25">
      <c r="A75" s="123" t="s">
        <v>82</v>
      </c>
      <c r="B75" s="123">
        <v>12</v>
      </c>
      <c r="C75" s="125">
        <v>5760</v>
      </c>
      <c r="D75" s="125">
        <v>42106565</v>
      </c>
      <c r="E75" s="125">
        <v>1368</v>
      </c>
      <c r="F75" s="125">
        <v>10132776</v>
      </c>
      <c r="G75" s="125">
        <v>4986</v>
      </c>
      <c r="H75" s="125">
        <f t="shared" si="2"/>
        <v>37405948</v>
      </c>
      <c r="I75" s="125">
        <v>2142</v>
      </c>
      <c r="J75" s="125">
        <v>14833393</v>
      </c>
      <c r="K75" s="131">
        <f t="shared" si="3"/>
        <v>6925.0200746965456</v>
      </c>
      <c r="L75" s="26"/>
    </row>
    <row r="76" spans="1:12" ht="15" x14ac:dyDescent="0.25">
      <c r="A76" s="123" t="s">
        <v>83</v>
      </c>
      <c r="B76" s="123">
        <v>12</v>
      </c>
      <c r="C76" s="125">
        <v>2646</v>
      </c>
      <c r="D76" s="125">
        <v>20061031</v>
      </c>
      <c r="E76" s="125">
        <v>720</v>
      </c>
      <c r="F76" s="125">
        <v>5235684.923076923</v>
      </c>
      <c r="G76" s="125">
        <v>2586</v>
      </c>
      <c r="H76" s="125">
        <f t="shared" si="2"/>
        <v>19624723.923076924</v>
      </c>
      <c r="I76" s="125">
        <v>780</v>
      </c>
      <c r="J76" s="125">
        <v>5671992</v>
      </c>
      <c r="K76" s="131">
        <f t="shared" si="3"/>
        <v>7271.7846153846158</v>
      </c>
      <c r="L76" s="26"/>
    </row>
    <row r="77" spans="1:12" ht="15" x14ac:dyDescent="0.25">
      <c r="A77" s="123" t="s">
        <v>84</v>
      </c>
      <c r="B77" s="123">
        <v>12</v>
      </c>
      <c r="C77" s="125">
        <v>21344</v>
      </c>
      <c r="D77" s="125">
        <v>656441651</v>
      </c>
      <c r="E77" s="125">
        <v>13870</v>
      </c>
      <c r="F77" s="125">
        <v>423104640</v>
      </c>
      <c r="G77" s="125">
        <v>25509</v>
      </c>
      <c r="H77" s="125">
        <f t="shared" si="2"/>
        <v>793886828</v>
      </c>
      <c r="I77" s="125">
        <v>9705</v>
      </c>
      <c r="J77" s="125">
        <v>285659463</v>
      </c>
      <c r="K77" s="131">
        <f t="shared" si="3"/>
        <v>29434.256877897991</v>
      </c>
      <c r="L77" s="26"/>
    </row>
    <row r="78" spans="1:12" ht="15" x14ac:dyDescent="0.25">
      <c r="A78" s="123" t="s">
        <v>85</v>
      </c>
      <c r="B78" s="123">
        <v>12</v>
      </c>
      <c r="C78" s="125">
        <v>22711</v>
      </c>
      <c r="D78" s="125">
        <v>206800382</v>
      </c>
      <c r="E78" s="125">
        <v>8744</v>
      </c>
      <c r="F78" s="125">
        <v>79997760</v>
      </c>
      <c r="G78" s="125">
        <v>15601</v>
      </c>
      <c r="H78" s="125">
        <f t="shared" si="2"/>
        <v>149548979</v>
      </c>
      <c r="I78" s="125">
        <v>15854</v>
      </c>
      <c r="J78" s="125">
        <v>137249163</v>
      </c>
      <c r="K78" s="131">
        <f t="shared" si="3"/>
        <v>8657.0684369875107</v>
      </c>
      <c r="L78" s="26"/>
    </row>
    <row r="79" spans="1:12" ht="15" x14ac:dyDescent="0.25">
      <c r="A79" s="123" t="s">
        <v>86</v>
      </c>
      <c r="B79" s="123">
        <v>12</v>
      </c>
      <c r="C79" s="125">
        <v>51521</v>
      </c>
      <c r="D79" s="125">
        <v>363655744</v>
      </c>
      <c r="E79" s="125">
        <v>37214</v>
      </c>
      <c r="F79" s="125">
        <v>266652000</v>
      </c>
      <c r="G79" s="125">
        <v>41008</v>
      </c>
      <c r="H79" s="125">
        <f t="shared" si="2"/>
        <v>295371958</v>
      </c>
      <c r="I79" s="125">
        <v>48362</v>
      </c>
      <c r="J79" s="125">
        <v>334935786</v>
      </c>
      <c r="K79" s="131">
        <f t="shared" si="3"/>
        <v>6925.5983209958231</v>
      </c>
      <c r="L79" s="26"/>
    </row>
    <row r="80" spans="1:12" ht="15" x14ac:dyDescent="0.25">
      <c r="A80" s="123" t="s">
        <v>87</v>
      </c>
      <c r="B80" s="123">
        <v>12</v>
      </c>
      <c r="C80" s="125">
        <v>3195</v>
      </c>
      <c r="D80" s="125">
        <v>57619421</v>
      </c>
      <c r="E80" s="125">
        <v>7471</v>
      </c>
      <c r="F80" s="125">
        <v>133253280</v>
      </c>
      <c r="G80" s="125">
        <v>7687</v>
      </c>
      <c r="H80" s="125">
        <f t="shared" si="2"/>
        <v>140586531</v>
      </c>
      <c r="I80" s="125">
        <v>2979</v>
      </c>
      <c r="J80" s="125">
        <v>50286170</v>
      </c>
      <c r="K80" s="131">
        <f t="shared" si="3"/>
        <v>16880.218194024841</v>
      </c>
      <c r="L80" s="26"/>
    </row>
    <row r="81" spans="1:12" ht="15" x14ac:dyDescent="0.25">
      <c r="A81" s="123" t="s">
        <v>88</v>
      </c>
      <c r="B81" s="123">
        <v>12</v>
      </c>
      <c r="C81" s="125">
        <v>618</v>
      </c>
      <c r="D81" s="125">
        <v>12921762</v>
      </c>
      <c r="E81" s="125">
        <v>0</v>
      </c>
      <c r="F81" s="125">
        <v>0</v>
      </c>
      <c r="G81" s="125">
        <v>32</v>
      </c>
      <c r="H81" s="125">
        <f t="shared" si="2"/>
        <v>1463630</v>
      </c>
      <c r="I81" s="125">
        <v>586</v>
      </c>
      <c r="J81" s="125">
        <v>11458132</v>
      </c>
      <c r="K81" s="131">
        <f t="shared" si="3"/>
        <v>19553.126279863482</v>
      </c>
      <c r="L81" s="26"/>
    </row>
    <row r="82" spans="1:12" ht="15" x14ac:dyDescent="0.25">
      <c r="A82" s="123" t="s">
        <v>89</v>
      </c>
      <c r="B82" s="123">
        <v>12</v>
      </c>
      <c r="C82" s="125">
        <v>564</v>
      </c>
      <c r="D82" s="125">
        <v>13801691</v>
      </c>
      <c r="E82" s="125">
        <v>216</v>
      </c>
      <c r="F82" s="125">
        <v>5299992</v>
      </c>
      <c r="G82" s="125">
        <v>306</v>
      </c>
      <c r="H82" s="125">
        <f t="shared" si="2"/>
        <v>8228417</v>
      </c>
      <c r="I82" s="125">
        <v>474</v>
      </c>
      <c r="J82" s="125">
        <v>10873266</v>
      </c>
      <c r="K82" s="131">
        <f t="shared" si="3"/>
        <v>22939.379746835442</v>
      </c>
      <c r="L82" s="26"/>
    </row>
    <row r="83" spans="1:12" ht="15" x14ac:dyDescent="0.25">
      <c r="A83" s="123" t="s">
        <v>90</v>
      </c>
      <c r="B83" s="123">
        <v>12</v>
      </c>
      <c r="C83" s="125">
        <v>1045</v>
      </c>
      <c r="D83" s="125">
        <v>55627273</v>
      </c>
      <c r="E83" s="125">
        <v>2820</v>
      </c>
      <c r="F83" s="125">
        <v>150139620</v>
      </c>
      <c r="G83" s="125">
        <v>3289</v>
      </c>
      <c r="H83" s="125">
        <f t="shared" si="2"/>
        <v>177071330</v>
      </c>
      <c r="I83" s="125">
        <v>576</v>
      </c>
      <c r="J83" s="125">
        <v>28695563</v>
      </c>
      <c r="K83" s="131">
        <f t="shared" si="3"/>
        <v>49818.685763888891</v>
      </c>
      <c r="L83" s="26"/>
    </row>
    <row r="84" spans="1:12" ht="15" x14ac:dyDescent="0.25">
      <c r="A84" s="123" t="s">
        <v>91</v>
      </c>
      <c r="B84" s="123">
        <v>12</v>
      </c>
      <c r="C84" s="125">
        <v>6789</v>
      </c>
      <c r="D84" s="125">
        <v>63245985</v>
      </c>
      <c r="E84" s="125">
        <v>4920</v>
      </c>
      <c r="F84" s="125">
        <v>44332320</v>
      </c>
      <c r="G84" s="125">
        <v>5799</v>
      </c>
      <c r="H84" s="125">
        <f t="shared" si="2"/>
        <v>53858060</v>
      </c>
      <c r="I84" s="125">
        <v>5910</v>
      </c>
      <c r="J84" s="125">
        <v>53720245</v>
      </c>
      <c r="K84" s="131">
        <f t="shared" si="3"/>
        <v>9089.719966159053</v>
      </c>
      <c r="L84" s="26"/>
    </row>
    <row r="85" spans="1:12" ht="15" x14ac:dyDescent="0.25">
      <c r="A85" s="123" t="s">
        <v>92</v>
      </c>
      <c r="B85" s="123">
        <v>12</v>
      </c>
      <c r="C85" s="125">
        <v>50800</v>
      </c>
      <c r="D85" s="125">
        <v>24895116</v>
      </c>
      <c r="E85" s="125">
        <v>23200</v>
      </c>
      <c r="F85" s="125">
        <v>11391200</v>
      </c>
      <c r="G85" s="125">
        <v>33411</v>
      </c>
      <c r="H85" s="125">
        <f t="shared" si="2"/>
        <v>17652802</v>
      </c>
      <c r="I85" s="125">
        <v>40589</v>
      </c>
      <c r="J85" s="125">
        <v>18633514</v>
      </c>
      <c r="K85" s="131">
        <f t="shared" si="3"/>
        <v>459.07792751730767</v>
      </c>
      <c r="L85" s="26"/>
    </row>
    <row r="86" spans="1:12" ht="15" x14ac:dyDescent="0.25">
      <c r="A86" s="123" t="s">
        <v>93</v>
      </c>
      <c r="B86" s="123">
        <v>12</v>
      </c>
      <c r="C86" s="125">
        <v>444</v>
      </c>
      <c r="D86" s="125">
        <v>23449263</v>
      </c>
      <c r="E86" s="125">
        <v>96</v>
      </c>
      <c r="F86" s="125">
        <v>5111136</v>
      </c>
      <c r="G86" s="125">
        <v>502</v>
      </c>
      <c r="H86" s="125">
        <f t="shared" si="2"/>
        <v>26656372</v>
      </c>
      <c r="I86" s="125">
        <v>38</v>
      </c>
      <c r="J86" s="125">
        <v>1904027</v>
      </c>
      <c r="K86" s="131">
        <f t="shared" si="3"/>
        <v>50105.973684210527</v>
      </c>
      <c r="L86" s="26"/>
    </row>
    <row r="87" spans="1:12" ht="15" x14ac:dyDescent="0.25">
      <c r="A87" s="123" t="s">
        <v>94</v>
      </c>
      <c r="B87" s="123">
        <v>12</v>
      </c>
      <c r="C87" s="125">
        <v>408</v>
      </c>
      <c r="D87" s="125">
        <v>3857098</v>
      </c>
      <c r="E87" s="125">
        <v>0</v>
      </c>
      <c r="F87" s="125">
        <v>0</v>
      </c>
      <c r="G87" s="125">
        <v>233</v>
      </c>
      <c r="H87" s="125">
        <f t="shared" si="2"/>
        <v>2268881</v>
      </c>
      <c r="I87" s="125">
        <v>175</v>
      </c>
      <c r="J87" s="125">
        <v>1588217</v>
      </c>
      <c r="K87" s="131">
        <f t="shared" si="3"/>
        <v>9075.5257142857135</v>
      </c>
      <c r="L87" s="26"/>
    </row>
    <row r="88" spans="1:12" ht="15" x14ac:dyDescent="0.25">
      <c r="A88" s="123" t="s">
        <v>95</v>
      </c>
      <c r="B88" s="123">
        <v>12</v>
      </c>
      <c r="C88" s="125">
        <v>900</v>
      </c>
      <c r="D88" s="125">
        <v>7404657</v>
      </c>
      <c r="E88" s="125">
        <v>468</v>
      </c>
      <c r="F88" s="125">
        <v>3899844</v>
      </c>
      <c r="G88" s="125">
        <v>1325</v>
      </c>
      <c r="H88" s="125">
        <f t="shared" si="2"/>
        <v>10653008</v>
      </c>
      <c r="I88" s="125">
        <v>43</v>
      </c>
      <c r="J88" s="125">
        <v>651493</v>
      </c>
      <c r="K88" s="131">
        <f t="shared" si="3"/>
        <v>15151</v>
      </c>
      <c r="L88" s="58"/>
    </row>
    <row r="89" spans="1:12" ht="15" x14ac:dyDescent="0.25">
      <c r="A89" s="123" t="s">
        <v>96</v>
      </c>
      <c r="B89" s="123">
        <v>12</v>
      </c>
      <c r="C89" s="125">
        <v>225</v>
      </c>
      <c r="D89" s="125">
        <v>25942946</v>
      </c>
      <c r="E89" s="125">
        <v>147</v>
      </c>
      <c r="F89" s="125">
        <v>15968530.408839779</v>
      </c>
      <c r="G89" s="125">
        <v>10</v>
      </c>
      <c r="H89" s="125">
        <f t="shared" si="2"/>
        <v>2587612.4088397771</v>
      </c>
      <c r="I89" s="125">
        <v>362</v>
      </c>
      <c r="J89" s="125">
        <v>39323864</v>
      </c>
      <c r="K89" s="131">
        <f t="shared" si="3"/>
        <v>108629.45856353591</v>
      </c>
      <c r="L89" s="26"/>
    </row>
    <row r="90" spans="1:12" ht="15" x14ac:dyDescent="0.25">
      <c r="A90" s="123" t="s">
        <v>97</v>
      </c>
      <c r="B90" s="123">
        <v>12</v>
      </c>
      <c r="C90" s="125">
        <v>57200</v>
      </c>
      <c r="D90" s="125">
        <v>28035599</v>
      </c>
      <c r="E90" s="125">
        <v>24800</v>
      </c>
      <c r="F90" s="125">
        <v>12176800</v>
      </c>
      <c r="G90" s="125">
        <v>36280</v>
      </c>
      <c r="H90" s="125">
        <f t="shared" si="2"/>
        <v>19223488</v>
      </c>
      <c r="I90" s="125">
        <v>45720</v>
      </c>
      <c r="J90" s="125">
        <v>20988911</v>
      </c>
      <c r="K90" s="131">
        <f t="shared" si="3"/>
        <v>459.07504374453191</v>
      </c>
      <c r="L90" s="26"/>
    </row>
    <row r="91" spans="1:12" ht="15" x14ac:dyDescent="0.25">
      <c r="A91" s="123" t="s">
        <v>98</v>
      </c>
      <c r="B91" s="123">
        <v>12</v>
      </c>
      <c r="C91" s="125">
        <v>1920</v>
      </c>
      <c r="D91" s="125">
        <v>19627720</v>
      </c>
      <c r="E91" s="125">
        <v>192</v>
      </c>
      <c r="F91" s="125">
        <v>2026752</v>
      </c>
      <c r="G91" s="125">
        <v>1345</v>
      </c>
      <c r="H91" s="125">
        <f t="shared" si="2"/>
        <v>14087710</v>
      </c>
      <c r="I91" s="125">
        <v>767</v>
      </c>
      <c r="J91" s="125">
        <v>7566762</v>
      </c>
      <c r="K91" s="131">
        <f t="shared" si="3"/>
        <v>9865.4002607561924</v>
      </c>
      <c r="L91" s="26"/>
    </row>
    <row r="92" spans="1:12" ht="15" x14ac:dyDescent="0.25">
      <c r="A92" s="123" t="s">
        <v>99</v>
      </c>
      <c r="B92" s="123">
        <v>12</v>
      </c>
      <c r="C92" s="125">
        <v>96</v>
      </c>
      <c r="D92" s="125">
        <v>595584</v>
      </c>
      <c r="E92" s="125">
        <v>96</v>
      </c>
      <c r="F92" s="125">
        <v>595584</v>
      </c>
      <c r="G92" s="125">
        <v>8</v>
      </c>
      <c r="H92" s="125">
        <f t="shared" si="2"/>
        <v>124080</v>
      </c>
      <c r="I92" s="125">
        <v>184</v>
      </c>
      <c r="J92" s="125">
        <v>1067088</v>
      </c>
      <c r="K92" s="131">
        <f t="shared" si="3"/>
        <v>5799.391304347826</v>
      </c>
      <c r="L92" s="26"/>
    </row>
    <row r="93" spans="1:12" ht="15" x14ac:dyDescent="0.25">
      <c r="A93" s="123" t="s">
        <v>100</v>
      </c>
      <c r="B93" s="123">
        <v>12</v>
      </c>
      <c r="C93" s="125">
        <v>2105</v>
      </c>
      <c r="D93" s="125">
        <v>108155379</v>
      </c>
      <c r="E93" s="125">
        <v>3340</v>
      </c>
      <c r="F93" s="125">
        <v>162917460</v>
      </c>
      <c r="G93" s="125">
        <v>3522</v>
      </c>
      <c r="H93" s="125">
        <f t="shared" si="2"/>
        <v>175338575</v>
      </c>
      <c r="I93" s="125">
        <v>1923</v>
      </c>
      <c r="J93" s="125">
        <v>95734264</v>
      </c>
      <c r="K93" s="131">
        <f t="shared" si="3"/>
        <v>49783.808632345295</v>
      </c>
      <c r="L93" s="26"/>
    </row>
    <row r="94" spans="1:12" ht="15" x14ac:dyDescent="0.25">
      <c r="A94" s="123" t="s">
        <v>101</v>
      </c>
      <c r="B94" s="123">
        <v>12</v>
      </c>
      <c r="C94" s="125">
        <v>21454</v>
      </c>
      <c r="D94" s="125">
        <v>153225770</v>
      </c>
      <c r="E94" s="125">
        <v>9132</v>
      </c>
      <c r="F94" s="125">
        <v>39665760</v>
      </c>
      <c r="G94" s="125">
        <v>12151</v>
      </c>
      <c r="H94" s="125">
        <f t="shared" si="2"/>
        <v>25314412</v>
      </c>
      <c r="I94" s="125">
        <v>18435</v>
      </c>
      <c r="J94" s="125">
        <v>167577118</v>
      </c>
      <c r="K94" s="131">
        <f t="shared" si="3"/>
        <v>9090.1609981014371</v>
      </c>
      <c r="L94" s="26"/>
    </row>
    <row r="95" spans="1:12" ht="15" x14ac:dyDescent="0.25">
      <c r="A95" s="123" t="s">
        <v>102</v>
      </c>
      <c r="B95" s="123">
        <v>12</v>
      </c>
      <c r="C95" s="125">
        <v>540</v>
      </c>
      <c r="D95" s="125">
        <v>13238841</v>
      </c>
      <c r="E95" s="125">
        <v>588</v>
      </c>
      <c r="F95" s="125">
        <v>14427756</v>
      </c>
      <c r="G95" s="125">
        <v>605</v>
      </c>
      <c r="H95" s="125">
        <f t="shared" si="2"/>
        <v>15672834</v>
      </c>
      <c r="I95" s="125">
        <v>523</v>
      </c>
      <c r="J95" s="125">
        <v>11993763</v>
      </c>
      <c r="K95" s="131">
        <f t="shared" si="3"/>
        <v>22932.625239005734</v>
      </c>
      <c r="L95" s="26"/>
    </row>
    <row r="96" spans="1:12" ht="15" x14ac:dyDescent="0.25">
      <c r="A96" s="123" t="s">
        <v>103</v>
      </c>
      <c r="B96" s="123">
        <v>12</v>
      </c>
      <c r="C96" s="125">
        <v>2454</v>
      </c>
      <c r="D96" s="125">
        <v>27075398</v>
      </c>
      <c r="E96" s="125">
        <v>342</v>
      </c>
      <c r="F96" s="125">
        <v>1333344</v>
      </c>
      <c r="G96" s="125">
        <v>1829</v>
      </c>
      <c r="H96" s="125">
        <f t="shared" si="2"/>
        <v>15850371</v>
      </c>
      <c r="I96" s="125">
        <v>967</v>
      </c>
      <c r="J96" s="125">
        <v>12558371</v>
      </c>
      <c r="K96" s="131">
        <f t="shared" si="3"/>
        <v>12986.940020682523</v>
      </c>
      <c r="L96" s="26"/>
    </row>
    <row r="97" spans="1:12" ht="15" x14ac:dyDescent="0.25">
      <c r="A97" s="123" t="s">
        <v>104</v>
      </c>
      <c r="B97" s="123">
        <v>12</v>
      </c>
      <c r="C97" s="125">
        <v>192</v>
      </c>
      <c r="D97" s="125">
        <v>3657528</v>
      </c>
      <c r="E97" s="125">
        <v>109</v>
      </c>
      <c r="F97" s="125">
        <v>1809081</v>
      </c>
      <c r="G97" s="125">
        <v>0</v>
      </c>
      <c r="H97" s="125">
        <f t="shared" si="2"/>
        <v>0</v>
      </c>
      <c r="I97" s="125">
        <v>301</v>
      </c>
      <c r="J97" s="125">
        <v>5466609</v>
      </c>
      <c r="K97" s="131">
        <f t="shared" si="3"/>
        <v>18161.49169435216</v>
      </c>
      <c r="L97" s="26"/>
    </row>
    <row r="98" spans="1:12" ht="15" x14ac:dyDescent="0.25">
      <c r="A98" s="123" t="s">
        <v>105</v>
      </c>
      <c r="B98" s="123">
        <v>12</v>
      </c>
      <c r="C98" s="125">
        <v>258</v>
      </c>
      <c r="D98" s="125">
        <v>13370216</v>
      </c>
      <c r="E98" s="125">
        <v>174</v>
      </c>
      <c r="F98" s="125">
        <v>9263934</v>
      </c>
      <c r="G98" s="125">
        <v>400</v>
      </c>
      <c r="H98" s="125">
        <f t="shared" si="2"/>
        <v>21062334</v>
      </c>
      <c r="I98" s="125">
        <v>32</v>
      </c>
      <c r="J98" s="125">
        <v>1571816</v>
      </c>
      <c r="K98" s="131">
        <f t="shared" si="3"/>
        <v>49119.25</v>
      </c>
      <c r="L98" s="26"/>
    </row>
    <row r="99" spans="1:12" ht="15" x14ac:dyDescent="0.25">
      <c r="A99" s="123" t="s">
        <v>106</v>
      </c>
      <c r="B99" s="123">
        <v>12</v>
      </c>
      <c r="C99" s="125">
        <v>1512</v>
      </c>
      <c r="D99" s="125">
        <v>14292784</v>
      </c>
      <c r="E99" s="125">
        <v>192</v>
      </c>
      <c r="F99" s="125">
        <v>1866624</v>
      </c>
      <c r="G99" s="125">
        <v>923</v>
      </c>
      <c r="H99" s="125">
        <f t="shared" si="2"/>
        <v>9056476</v>
      </c>
      <c r="I99" s="125">
        <v>781</v>
      </c>
      <c r="J99" s="125">
        <v>7102932</v>
      </c>
      <c r="K99" s="131">
        <f t="shared" si="3"/>
        <v>9094.6632522407162</v>
      </c>
      <c r="L99" s="26"/>
    </row>
    <row r="100" spans="1:12" ht="15" x14ac:dyDescent="0.25">
      <c r="A100" s="123" t="s">
        <v>107</v>
      </c>
      <c r="B100" s="123">
        <v>12</v>
      </c>
      <c r="C100" s="125">
        <v>1190</v>
      </c>
      <c r="D100" s="125">
        <v>4560276</v>
      </c>
      <c r="E100" s="125">
        <v>3832.1647058823528</v>
      </c>
      <c r="F100" s="125">
        <v>0</v>
      </c>
      <c r="G100" s="125">
        <v>532</v>
      </c>
      <c r="H100" s="125">
        <f t="shared" si="2"/>
        <v>0</v>
      </c>
      <c r="I100" s="125">
        <v>658</v>
      </c>
      <c r="J100" s="125">
        <v>4560276</v>
      </c>
      <c r="K100" s="131">
        <f t="shared" si="3"/>
        <v>6930.510638297872</v>
      </c>
      <c r="L100" s="26"/>
    </row>
    <row r="101" spans="1:12" ht="15" x14ac:dyDescent="0.25">
      <c r="A101" s="123" t="s">
        <v>108</v>
      </c>
      <c r="B101" s="123">
        <v>12</v>
      </c>
      <c r="C101" s="125">
        <v>46476</v>
      </c>
      <c r="D101" s="125">
        <v>335124139</v>
      </c>
      <c r="E101" s="125">
        <v>977</v>
      </c>
      <c r="F101" s="125">
        <v>44416164.711274512</v>
      </c>
      <c r="G101" s="125">
        <v>45413</v>
      </c>
      <c r="H101" s="125">
        <f t="shared" si="2"/>
        <v>286798260.7112745</v>
      </c>
      <c r="I101" s="125">
        <v>2040</v>
      </c>
      <c r="J101" s="125">
        <v>92742043</v>
      </c>
      <c r="K101" s="131">
        <f t="shared" si="3"/>
        <v>45461.785784313724</v>
      </c>
      <c r="L101" s="26"/>
    </row>
    <row r="102" spans="1:12" ht="15" x14ac:dyDescent="0.25">
      <c r="A102" s="123" t="s">
        <v>109</v>
      </c>
      <c r="B102" s="123">
        <v>12</v>
      </c>
      <c r="C102" s="125">
        <v>48</v>
      </c>
      <c r="D102" s="125">
        <v>2333328</v>
      </c>
      <c r="E102" s="125">
        <v>202</v>
      </c>
      <c r="F102" s="125">
        <v>1458330</v>
      </c>
      <c r="G102" s="125"/>
      <c r="H102" s="125">
        <f t="shared" si="2"/>
        <v>0</v>
      </c>
      <c r="I102" s="125">
        <v>250</v>
      </c>
      <c r="J102" s="125">
        <v>3791658</v>
      </c>
      <c r="K102" s="131">
        <f t="shared" si="3"/>
        <v>15166.632</v>
      </c>
      <c r="L102" s="26"/>
    </row>
    <row r="103" spans="1:12" ht="15" x14ac:dyDescent="0.25">
      <c r="A103" s="123" t="s">
        <v>110</v>
      </c>
      <c r="B103" s="123">
        <v>12</v>
      </c>
      <c r="C103" s="125">
        <v>864</v>
      </c>
      <c r="D103" s="125">
        <v>15351650</v>
      </c>
      <c r="E103" s="125">
        <v>684</v>
      </c>
      <c r="F103" s="125">
        <v>12350304</v>
      </c>
      <c r="G103" s="125">
        <v>1103</v>
      </c>
      <c r="H103" s="125">
        <f t="shared" si="2"/>
        <v>20185920</v>
      </c>
      <c r="I103" s="125">
        <v>445</v>
      </c>
      <c r="J103" s="125">
        <v>7516034</v>
      </c>
      <c r="K103" s="131">
        <f t="shared" si="3"/>
        <v>16889.964044943819</v>
      </c>
      <c r="L103" s="26"/>
    </row>
    <row r="104" spans="1:12" ht="15" x14ac:dyDescent="0.25">
      <c r="A104" s="123" t="s">
        <v>111</v>
      </c>
      <c r="B104" s="123">
        <v>12</v>
      </c>
      <c r="C104" s="125">
        <v>7094</v>
      </c>
      <c r="D104" s="125">
        <v>57800393</v>
      </c>
      <c r="E104" s="125">
        <v>7800</v>
      </c>
      <c r="F104" s="125">
        <v>63554400</v>
      </c>
      <c r="G104" s="125">
        <v>13333</v>
      </c>
      <c r="H104" s="125">
        <f t="shared" si="2"/>
        <v>109458862</v>
      </c>
      <c r="I104" s="125">
        <v>1561</v>
      </c>
      <c r="J104" s="125">
        <v>11895931</v>
      </c>
      <c r="K104" s="131">
        <f t="shared" si="3"/>
        <v>7620.7117232543242</v>
      </c>
      <c r="L104" s="26"/>
    </row>
    <row r="105" spans="1:12" ht="15" x14ac:dyDescent="0.25">
      <c r="A105" s="123" t="s">
        <v>112</v>
      </c>
      <c r="B105" s="123">
        <v>12</v>
      </c>
      <c r="C105" s="125">
        <v>2500</v>
      </c>
      <c r="D105" s="125">
        <v>20355350</v>
      </c>
      <c r="E105" s="125">
        <v>1320</v>
      </c>
      <c r="F105" s="125">
        <v>10755360</v>
      </c>
      <c r="G105" s="125">
        <v>2890</v>
      </c>
      <c r="H105" s="125">
        <f t="shared" si="2"/>
        <v>24025287</v>
      </c>
      <c r="I105" s="125">
        <v>930</v>
      </c>
      <c r="J105" s="125">
        <v>7085423</v>
      </c>
      <c r="K105" s="131">
        <f t="shared" si="3"/>
        <v>7618.7344086021503</v>
      </c>
      <c r="L105" s="26"/>
    </row>
    <row r="106" spans="1:12" ht="15" x14ac:dyDescent="0.25">
      <c r="A106" s="123" t="s">
        <v>113</v>
      </c>
      <c r="B106" s="123">
        <v>12</v>
      </c>
      <c r="C106" s="125">
        <v>240</v>
      </c>
      <c r="D106" s="125">
        <v>3935440</v>
      </c>
      <c r="E106" s="125">
        <v>90</v>
      </c>
      <c r="F106" s="125">
        <v>1200024</v>
      </c>
      <c r="G106" s="125"/>
      <c r="H106" s="125">
        <f t="shared" si="2"/>
        <v>0</v>
      </c>
      <c r="I106" s="125">
        <v>330</v>
      </c>
      <c r="J106" s="125">
        <v>5135464</v>
      </c>
      <c r="K106" s="131">
        <f t="shared" si="3"/>
        <v>15562.012121212121</v>
      </c>
      <c r="L106" s="26"/>
    </row>
    <row r="107" spans="1:12" ht="15" x14ac:dyDescent="0.25">
      <c r="A107" s="123" t="s">
        <v>114</v>
      </c>
      <c r="B107" s="123">
        <v>12</v>
      </c>
      <c r="C107" s="125">
        <v>192</v>
      </c>
      <c r="D107" s="125">
        <v>3650221</v>
      </c>
      <c r="E107" s="125">
        <v>83</v>
      </c>
      <c r="F107" s="125">
        <v>1342579</v>
      </c>
      <c r="G107" s="125">
        <v>0</v>
      </c>
      <c r="H107" s="125">
        <f t="shared" si="2"/>
        <v>0</v>
      </c>
      <c r="I107" s="125">
        <v>275</v>
      </c>
      <c r="J107" s="125">
        <v>4992800</v>
      </c>
      <c r="K107" s="131">
        <f t="shared" si="3"/>
        <v>18155.636363636364</v>
      </c>
      <c r="L107" s="26"/>
    </row>
    <row r="108" spans="1:12" ht="15" x14ac:dyDescent="0.25">
      <c r="A108" s="123" t="s">
        <v>115</v>
      </c>
      <c r="B108" s="123">
        <v>12</v>
      </c>
      <c r="C108" s="125">
        <v>4325</v>
      </c>
      <c r="D108" s="125">
        <v>27997920</v>
      </c>
      <c r="E108" s="125">
        <v>2412</v>
      </c>
      <c r="F108" s="125">
        <v>15554400</v>
      </c>
      <c r="G108" s="125">
        <v>4660</v>
      </c>
      <c r="H108" s="125">
        <f t="shared" si="2"/>
        <v>30965654</v>
      </c>
      <c r="I108" s="125">
        <v>2077</v>
      </c>
      <c r="J108" s="125">
        <v>12586666</v>
      </c>
      <c r="K108" s="131">
        <f t="shared" si="3"/>
        <v>6060.0221473278771</v>
      </c>
      <c r="L108" s="26"/>
    </row>
    <row r="109" spans="1:12" ht="15" x14ac:dyDescent="0.25">
      <c r="A109" s="123" t="s">
        <v>116</v>
      </c>
      <c r="B109" s="123">
        <v>12</v>
      </c>
      <c r="C109" s="125">
        <v>4565</v>
      </c>
      <c r="D109" s="125">
        <v>92887200</v>
      </c>
      <c r="E109" s="125">
        <v>0</v>
      </c>
      <c r="F109" s="125">
        <v>0</v>
      </c>
      <c r="G109" s="125">
        <v>2461</v>
      </c>
      <c r="H109" s="125">
        <f t="shared" si="2"/>
        <v>52822600</v>
      </c>
      <c r="I109" s="125">
        <v>2104</v>
      </c>
      <c r="J109" s="125">
        <v>40064600</v>
      </c>
      <c r="K109" s="131">
        <f t="shared" si="3"/>
        <v>19042.110266159696</v>
      </c>
      <c r="L109" s="26"/>
    </row>
    <row r="110" spans="1:12" ht="15" x14ac:dyDescent="0.25">
      <c r="A110" s="123" t="s">
        <v>117</v>
      </c>
      <c r="B110" s="123">
        <v>12</v>
      </c>
      <c r="C110" s="125">
        <v>336</v>
      </c>
      <c r="D110" s="125">
        <v>5841722</v>
      </c>
      <c r="E110" s="125">
        <v>312</v>
      </c>
      <c r="F110" s="125">
        <v>5489016</v>
      </c>
      <c r="G110" s="125">
        <v>148</v>
      </c>
      <c r="H110" s="125">
        <f t="shared" si="2"/>
        <v>3112456</v>
      </c>
      <c r="I110" s="125">
        <v>500</v>
      </c>
      <c r="J110" s="125">
        <v>8218282</v>
      </c>
      <c r="K110" s="131">
        <f t="shared" si="3"/>
        <v>16436.563999999998</v>
      </c>
      <c r="L110" s="26"/>
    </row>
    <row r="111" spans="1:12" ht="15" x14ac:dyDescent="0.25">
      <c r="A111" s="123" t="s">
        <v>118</v>
      </c>
      <c r="B111" s="123">
        <v>12</v>
      </c>
      <c r="C111" s="125">
        <v>612</v>
      </c>
      <c r="D111" s="125">
        <v>25119032</v>
      </c>
      <c r="E111" s="125">
        <v>829</v>
      </c>
      <c r="F111" s="125">
        <v>3500028</v>
      </c>
      <c r="G111" s="125">
        <v>612</v>
      </c>
      <c r="H111" s="125">
        <f t="shared" si="2"/>
        <v>16776690</v>
      </c>
      <c r="I111" s="125">
        <v>829</v>
      </c>
      <c r="J111" s="125">
        <v>11842370</v>
      </c>
      <c r="K111" s="131">
        <f t="shared" si="3"/>
        <v>14285.126658624849</v>
      </c>
      <c r="L111" s="26"/>
    </row>
    <row r="112" spans="1:12" ht="15" x14ac:dyDescent="0.25">
      <c r="A112" s="123" t="s">
        <v>119</v>
      </c>
      <c r="B112" s="123">
        <v>12</v>
      </c>
      <c r="C112" s="125">
        <v>320</v>
      </c>
      <c r="D112" s="125">
        <v>7371274</v>
      </c>
      <c r="E112" s="125">
        <v>160</v>
      </c>
      <c r="F112" s="125">
        <v>3703680</v>
      </c>
      <c r="G112" s="125">
        <v>203</v>
      </c>
      <c r="H112" s="125">
        <f t="shared" si="2"/>
        <v>5076021</v>
      </c>
      <c r="I112" s="125">
        <v>277</v>
      </c>
      <c r="J112" s="125">
        <v>5998933</v>
      </c>
      <c r="K112" s="131">
        <f t="shared" si="3"/>
        <v>21656.797833935019</v>
      </c>
      <c r="L112" s="26"/>
    </row>
    <row r="113" spans="1:12" ht="15" x14ac:dyDescent="0.25">
      <c r="A113" s="123" t="s">
        <v>120</v>
      </c>
      <c r="B113" s="123">
        <v>12</v>
      </c>
      <c r="C113" s="125">
        <v>120</v>
      </c>
      <c r="D113" s="125">
        <v>2654520</v>
      </c>
      <c r="E113" s="125">
        <v>80</v>
      </c>
      <c r="F113" s="125">
        <v>1777760</v>
      </c>
      <c r="G113" s="125">
        <v>115</v>
      </c>
      <c r="H113" s="125">
        <f t="shared" si="2"/>
        <v>2659368</v>
      </c>
      <c r="I113" s="125">
        <v>85</v>
      </c>
      <c r="J113" s="125">
        <v>1772912</v>
      </c>
      <c r="K113" s="131">
        <f t="shared" si="3"/>
        <v>20857.788235294116</v>
      </c>
      <c r="L113" s="26"/>
    </row>
    <row r="114" spans="1:12" ht="15" x14ac:dyDescent="0.25">
      <c r="A114" s="123" t="s">
        <v>121</v>
      </c>
      <c r="B114" s="123">
        <v>12</v>
      </c>
      <c r="C114" s="125">
        <v>2652</v>
      </c>
      <c r="D114" s="125">
        <v>31770271</v>
      </c>
      <c r="E114" s="125">
        <v>3648</v>
      </c>
      <c r="F114" s="125">
        <v>43333200</v>
      </c>
      <c r="G114" s="125">
        <v>3192</v>
      </c>
      <c r="H114" s="125">
        <f t="shared" si="2"/>
        <v>40126712</v>
      </c>
      <c r="I114" s="125">
        <v>3108</v>
      </c>
      <c r="J114" s="125">
        <v>34976759</v>
      </c>
      <c r="K114" s="131">
        <f t="shared" si="3"/>
        <v>11253.783462033462</v>
      </c>
      <c r="L114" s="26"/>
    </row>
    <row r="115" spans="1:12" ht="15" x14ac:dyDescent="0.25">
      <c r="A115" s="123" t="s">
        <v>122</v>
      </c>
      <c r="B115" s="123">
        <v>12</v>
      </c>
      <c r="C115" s="125">
        <v>4685</v>
      </c>
      <c r="D115" s="125">
        <v>40734720</v>
      </c>
      <c r="E115" s="125">
        <v>2400</v>
      </c>
      <c r="F115" s="125">
        <v>20889600</v>
      </c>
      <c r="G115" s="125">
        <v>6911</v>
      </c>
      <c r="H115" s="125">
        <f t="shared" si="2"/>
        <v>60206569</v>
      </c>
      <c r="I115" s="125">
        <v>174</v>
      </c>
      <c r="J115" s="125">
        <v>1417751</v>
      </c>
      <c r="K115" s="131">
        <f t="shared" si="3"/>
        <v>8147.9942528735628</v>
      </c>
      <c r="L115" s="26"/>
    </row>
    <row r="116" spans="1:12" ht="15" x14ac:dyDescent="0.25">
      <c r="A116" s="123" t="s">
        <v>123</v>
      </c>
      <c r="B116" s="123">
        <v>12</v>
      </c>
      <c r="C116" s="125">
        <v>216</v>
      </c>
      <c r="D116" s="125">
        <v>3755160</v>
      </c>
      <c r="E116" s="125">
        <v>36</v>
      </c>
      <c r="F116" s="125">
        <v>666684</v>
      </c>
      <c r="G116" s="125">
        <v>120</v>
      </c>
      <c r="H116" s="125">
        <f t="shared" si="2"/>
        <v>2105640</v>
      </c>
      <c r="I116" s="125">
        <v>132</v>
      </c>
      <c r="J116" s="125">
        <v>2316204</v>
      </c>
      <c r="K116" s="131">
        <f t="shared" si="3"/>
        <v>17547</v>
      </c>
      <c r="L116" s="26"/>
    </row>
    <row r="117" spans="1:12" ht="15" x14ac:dyDescent="0.25">
      <c r="A117" s="123" t="s">
        <v>124</v>
      </c>
      <c r="B117" s="123">
        <v>12</v>
      </c>
      <c r="C117" s="125">
        <v>72</v>
      </c>
      <c r="D117" s="125">
        <v>1333368</v>
      </c>
      <c r="E117" s="125">
        <v>36</v>
      </c>
      <c r="F117" s="125">
        <v>666684</v>
      </c>
      <c r="G117" s="125">
        <v>100</v>
      </c>
      <c r="H117" s="125">
        <f t="shared" si="2"/>
        <v>1851900</v>
      </c>
      <c r="I117" s="125">
        <v>8</v>
      </c>
      <c r="J117" s="125">
        <v>148152</v>
      </c>
      <c r="K117" s="131">
        <f t="shared" si="3"/>
        <v>18519</v>
      </c>
      <c r="L117" s="26"/>
    </row>
    <row r="118" spans="1:12" ht="15" x14ac:dyDescent="0.25">
      <c r="A118" s="123" t="s">
        <v>125</v>
      </c>
      <c r="B118" s="123">
        <v>12</v>
      </c>
      <c r="C118" s="125">
        <v>944</v>
      </c>
      <c r="D118" s="125">
        <v>42152428</v>
      </c>
      <c r="E118" s="125">
        <v>840</v>
      </c>
      <c r="F118" s="125">
        <v>37721880</v>
      </c>
      <c r="G118" s="125">
        <v>1097</v>
      </c>
      <c r="H118" s="125">
        <f t="shared" si="2"/>
        <v>51040757</v>
      </c>
      <c r="I118" s="125">
        <v>687</v>
      </c>
      <c r="J118" s="125">
        <v>28833551</v>
      </c>
      <c r="K118" s="131">
        <f t="shared" si="3"/>
        <v>41970.234352256186</v>
      </c>
      <c r="L118" s="148"/>
    </row>
    <row r="119" spans="1:12" ht="15" x14ac:dyDescent="0.25">
      <c r="A119" s="123" t="s">
        <v>126</v>
      </c>
      <c r="B119" s="123">
        <v>12</v>
      </c>
      <c r="C119" s="125">
        <v>33073</v>
      </c>
      <c r="D119" s="125">
        <v>182697004</v>
      </c>
      <c r="E119" s="125">
        <v>44511</v>
      </c>
      <c r="F119" s="125">
        <v>248485800</v>
      </c>
      <c r="G119" s="125">
        <v>45992</v>
      </c>
      <c r="H119" s="125">
        <f t="shared" si="2"/>
        <v>258882160</v>
      </c>
      <c r="I119" s="125">
        <v>31592</v>
      </c>
      <c r="J119" s="125">
        <v>172300644</v>
      </c>
      <c r="K119" s="131">
        <f t="shared" si="3"/>
        <v>5453.9327677893134</v>
      </c>
      <c r="L119" s="26"/>
    </row>
    <row r="120" spans="1:12" ht="15" x14ac:dyDescent="0.25">
      <c r="A120" s="123" t="s">
        <v>127</v>
      </c>
      <c r="B120" s="123">
        <v>12</v>
      </c>
      <c r="C120" s="125">
        <v>6123</v>
      </c>
      <c r="D120" s="125">
        <v>34229824</v>
      </c>
      <c r="E120" s="125">
        <v>2760</v>
      </c>
      <c r="F120" s="125">
        <v>16099080</v>
      </c>
      <c r="G120" s="125">
        <v>6324</v>
      </c>
      <c r="H120" s="125">
        <f t="shared" si="2"/>
        <v>36374149</v>
      </c>
      <c r="I120" s="125">
        <v>2559</v>
      </c>
      <c r="J120" s="125">
        <v>13954755</v>
      </c>
      <c r="K120" s="131">
        <f t="shared" si="3"/>
        <v>5453.20633059789</v>
      </c>
      <c r="L120" s="26"/>
    </row>
    <row r="121" spans="1:12" ht="15" x14ac:dyDescent="0.25">
      <c r="A121" s="123" t="s">
        <v>128</v>
      </c>
      <c r="B121" s="123">
        <v>12</v>
      </c>
      <c r="C121" s="125">
        <v>374</v>
      </c>
      <c r="D121" s="125">
        <v>5702198</v>
      </c>
      <c r="E121" s="125">
        <v>200</v>
      </c>
      <c r="F121" s="125">
        <v>3055600</v>
      </c>
      <c r="G121" s="125">
        <v>89</v>
      </c>
      <c r="H121" s="125">
        <f t="shared" si="2"/>
        <v>1830899</v>
      </c>
      <c r="I121" s="125">
        <v>485</v>
      </c>
      <c r="J121" s="125">
        <v>6926899</v>
      </c>
      <c r="K121" s="131">
        <f t="shared" si="3"/>
        <v>14282.265979381444</v>
      </c>
      <c r="L121" s="26"/>
    </row>
    <row r="122" spans="1:12" ht="15" x14ac:dyDescent="0.25">
      <c r="A122" s="123" t="s">
        <v>129</v>
      </c>
      <c r="B122" s="123">
        <v>12</v>
      </c>
      <c r="C122" s="125">
        <v>20</v>
      </c>
      <c r="D122" s="125">
        <v>685180</v>
      </c>
      <c r="E122" s="125">
        <v>0</v>
      </c>
      <c r="F122" s="125">
        <v>0</v>
      </c>
      <c r="G122" s="125">
        <v>5</v>
      </c>
      <c r="H122" s="125">
        <f t="shared" si="2"/>
        <v>171295</v>
      </c>
      <c r="I122" s="125">
        <v>15</v>
      </c>
      <c r="J122" s="125">
        <v>513885</v>
      </c>
      <c r="K122" s="131">
        <f t="shared" si="3"/>
        <v>34259</v>
      </c>
      <c r="L122" s="26"/>
    </row>
    <row r="123" spans="1:12" ht="15" x14ac:dyDescent="0.25">
      <c r="A123" s="123" t="s">
        <v>130</v>
      </c>
      <c r="B123" s="123">
        <v>12</v>
      </c>
      <c r="C123" s="125">
        <v>85</v>
      </c>
      <c r="D123" s="125">
        <v>4046541</v>
      </c>
      <c r="E123" s="125">
        <v>41</v>
      </c>
      <c r="F123" s="125">
        <v>1955085</v>
      </c>
      <c r="G123" s="125">
        <v>33</v>
      </c>
      <c r="H123" s="125">
        <f t="shared" si="2"/>
        <v>1905278</v>
      </c>
      <c r="I123" s="125">
        <v>93</v>
      </c>
      <c r="J123" s="125">
        <v>4096348</v>
      </c>
      <c r="K123" s="131">
        <f t="shared" si="3"/>
        <v>44046.752688172041</v>
      </c>
      <c r="L123" s="26"/>
    </row>
    <row r="124" spans="1:12" ht="15" x14ac:dyDescent="0.25">
      <c r="A124" s="123" t="s">
        <v>131</v>
      </c>
      <c r="B124" s="123">
        <v>12</v>
      </c>
      <c r="C124" s="125">
        <v>70</v>
      </c>
      <c r="D124" s="125">
        <v>3488402</v>
      </c>
      <c r="E124" s="125">
        <v>16</v>
      </c>
      <c r="F124" s="125">
        <v>800000</v>
      </c>
      <c r="G124" s="125">
        <v>47</v>
      </c>
      <c r="H124" s="125">
        <f t="shared" si="2"/>
        <v>2493257</v>
      </c>
      <c r="I124" s="125">
        <v>39</v>
      </c>
      <c r="J124" s="125">
        <v>1795145</v>
      </c>
      <c r="K124" s="131">
        <f t="shared" si="3"/>
        <v>46029.358974358976</v>
      </c>
      <c r="L124" s="26"/>
    </row>
    <row r="125" spans="1:12" ht="15" x14ac:dyDescent="0.25">
      <c r="A125" s="123" t="s">
        <v>132</v>
      </c>
      <c r="B125" s="123">
        <v>12</v>
      </c>
      <c r="C125" s="125">
        <v>98</v>
      </c>
      <c r="D125" s="125">
        <v>4356568</v>
      </c>
      <c r="E125" s="125">
        <v>255</v>
      </c>
      <c r="F125" s="125">
        <v>11333220</v>
      </c>
      <c r="G125" s="125">
        <v>296</v>
      </c>
      <c r="H125" s="125">
        <f t="shared" si="2"/>
        <v>13333180</v>
      </c>
      <c r="I125" s="125">
        <v>57</v>
      </c>
      <c r="J125" s="125">
        <v>2356608</v>
      </c>
      <c r="K125" s="131">
        <f t="shared" si="3"/>
        <v>41344</v>
      </c>
      <c r="L125" s="26"/>
    </row>
    <row r="126" spans="1:12" ht="15" x14ac:dyDescent="0.25">
      <c r="A126" s="123" t="s">
        <v>133</v>
      </c>
      <c r="B126" s="123">
        <v>12</v>
      </c>
      <c r="C126" s="125">
        <v>119</v>
      </c>
      <c r="D126" s="125">
        <v>4585298</v>
      </c>
      <c r="E126" s="125">
        <v>66</v>
      </c>
      <c r="F126" s="125">
        <v>2609254</v>
      </c>
      <c r="G126" s="125">
        <v>146</v>
      </c>
      <c r="H126" s="125">
        <f t="shared" si="2"/>
        <v>5833421</v>
      </c>
      <c r="I126" s="125">
        <v>39</v>
      </c>
      <c r="J126" s="125">
        <v>1361131</v>
      </c>
      <c r="K126" s="131">
        <f t="shared" si="3"/>
        <v>34900.794871794875</v>
      </c>
      <c r="L126" s="26"/>
    </row>
    <row r="127" spans="1:12" ht="15" x14ac:dyDescent="0.25">
      <c r="A127" s="123" t="s">
        <v>134</v>
      </c>
      <c r="B127" s="123">
        <v>12</v>
      </c>
      <c r="C127" s="125">
        <v>15</v>
      </c>
      <c r="D127" s="125">
        <v>431794</v>
      </c>
      <c r="E127" s="125">
        <v>0</v>
      </c>
      <c r="F127" s="125">
        <v>0</v>
      </c>
      <c r="G127" s="125">
        <v>0</v>
      </c>
      <c r="H127" s="125">
        <f t="shared" si="2"/>
        <v>0</v>
      </c>
      <c r="I127" s="125">
        <v>15</v>
      </c>
      <c r="J127" s="125">
        <v>431794</v>
      </c>
      <c r="K127" s="131">
        <f t="shared" si="3"/>
        <v>28786.266666666666</v>
      </c>
      <c r="L127" s="26"/>
    </row>
    <row r="128" spans="1:12" ht="15" x14ac:dyDescent="0.25">
      <c r="A128" s="123" t="s">
        <v>135</v>
      </c>
      <c r="B128" s="123">
        <v>12</v>
      </c>
      <c r="C128" s="125">
        <v>155</v>
      </c>
      <c r="D128" s="125">
        <v>28475986</v>
      </c>
      <c r="E128" s="125">
        <v>770</v>
      </c>
      <c r="F128" s="125">
        <v>137740260</v>
      </c>
      <c r="G128" s="125">
        <v>15</v>
      </c>
      <c r="H128" s="125">
        <f t="shared" si="2"/>
        <v>2695399</v>
      </c>
      <c r="I128" s="125">
        <v>910</v>
      </c>
      <c r="J128" s="125">
        <v>163520847</v>
      </c>
      <c r="K128" s="131">
        <f t="shared" si="3"/>
        <v>179693.23846153845</v>
      </c>
      <c r="L128" s="26"/>
    </row>
    <row r="129" spans="1:12" ht="15" x14ac:dyDescent="0.25">
      <c r="A129" s="123" t="s">
        <v>136</v>
      </c>
      <c r="B129" s="123">
        <v>12</v>
      </c>
      <c r="C129" s="125">
        <v>4853</v>
      </c>
      <c r="D129" s="125">
        <v>73565457</v>
      </c>
      <c r="E129" s="125">
        <v>5768</v>
      </c>
      <c r="F129" s="125">
        <v>86167920</v>
      </c>
      <c r="G129" s="125">
        <v>5227</v>
      </c>
      <c r="H129" s="125">
        <f t="shared" si="2"/>
        <v>82686574</v>
      </c>
      <c r="I129" s="125">
        <v>5394</v>
      </c>
      <c r="J129" s="125">
        <v>77046803</v>
      </c>
      <c r="K129" s="131">
        <f t="shared" si="3"/>
        <v>14283.79736744531</v>
      </c>
      <c r="L129" s="26"/>
    </row>
    <row r="130" spans="1:12" ht="15" x14ac:dyDescent="0.25">
      <c r="A130" s="123" t="s">
        <v>137</v>
      </c>
      <c r="B130" s="123">
        <v>12</v>
      </c>
      <c r="C130" s="125">
        <v>144</v>
      </c>
      <c r="D130" s="125">
        <v>22621104</v>
      </c>
      <c r="E130" s="125">
        <v>0</v>
      </c>
      <c r="F130" s="125">
        <v>0</v>
      </c>
      <c r="G130" s="125">
        <v>0</v>
      </c>
      <c r="H130" s="125">
        <f t="shared" si="2"/>
        <v>0</v>
      </c>
      <c r="I130" s="125">
        <v>144</v>
      </c>
      <c r="J130" s="125">
        <v>22621104</v>
      </c>
      <c r="K130" s="131">
        <f t="shared" si="3"/>
        <v>157091</v>
      </c>
      <c r="L130" s="26"/>
    </row>
    <row r="131" spans="1:12" ht="15" x14ac:dyDescent="0.25">
      <c r="A131" s="123" t="s">
        <v>138</v>
      </c>
      <c r="B131" s="123">
        <v>12</v>
      </c>
      <c r="C131" s="125">
        <v>149</v>
      </c>
      <c r="D131" s="125">
        <v>22621104</v>
      </c>
      <c r="E131" s="125">
        <v>0</v>
      </c>
      <c r="F131" s="125">
        <v>0</v>
      </c>
      <c r="G131" s="125">
        <v>0</v>
      </c>
      <c r="H131" s="125">
        <f t="shared" si="2"/>
        <v>0</v>
      </c>
      <c r="I131" s="125">
        <v>149</v>
      </c>
      <c r="J131" s="125">
        <v>22621104</v>
      </c>
      <c r="K131" s="131">
        <f t="shared" si="3"/>
        <v>151819.48993288592</v>
      </c>
      <c r="L131" s="26"/>
    </row>
    <row r="132" spans="1:12" ht="15" x14ac:dyDescent="0.25">
      <c r="A132" s="123" t="s">
        <v>139</v>
      </c>
      <c r="B132" s="123">
        <v>12</v>
      </c>
      <c r="C132" s="125">
        <v>188</v>
      </c>
      <c r="D132" s="125">
        <v>34137846</v>
      </c>
      <c r="E132" s="125">
        <v>0</v>
      </c>
      <c r="F132" s="125">
        <v>0</v>
      </c>
      <c r="G132" s="125">
        <v>0</v>
      </c>
      <c r="H132" s="125">
        <f t="shared" si="2"/>
        <v>0</v>
      </c>
      <c r="I132" s="125">
        <v>188</v>
      </c>
      <c r="J132" s="125">
        <v>34137846</v>
      </c>
      <c r="K132" s="131">
        <f t="shared" si="3"/>
        <v>181584.28723404257</v>
      </c>
      <c r="L132" s="26"/>
    </row>
    <row r="133" spans="1:12" ht="15" x14ac:dyDescent="0.25">
      <c r="A133" s="123" t="s">
        <v>140</v>
      </c>
      <c r="B133" s="123">
        <v>12</v>
      </c>
      <c r="C133" s="125">
        <v>1326</v>
      </c>
      <c r="D133" s="125">
        <v>245672490</v>
      </c>
      <c r="E133" s="125">
        <v>1500</v>
      </c>
      <c r="F133" s="125">
        <v>279622500</v>
      </c>
      <c r="G133" s="125">
        <v>1498</v>
      </c>
      <c r="H133" s="125">
        <f t="shared" ref="H133:H196" si="4">D133+F133-J133</f>
        <v>278447238</v>
      </c>
      <c r="I133" s="125">
        <v>1328</v>
      </c>
      <c r="J133" s="125">
        <v>246847752</v>
      </c>
      <c r="K133" s="131">
        <f t="shared" ref="K133:K196" si="5">J133/I133</f>
        <v>185879.3313253012</v>
      </c>
      <c r="L133" s="26"/>
    </row>
    <row r="134" spans="1:12" ht="15" x14ac:dyDescent="0.25">
      <c r="A134" s="123" t="s">
        <v>141</v>
      </c>
      <c r="B134" s="123">
        <v>12</v>
      </c>
      <c r="C134" s="125">
        <v>2712</v>
      </c>
      <c r="D134" s="125">
        <v>404819278</v>
      </c>
      <c r="E134" s="125">
        <v>2350</v>
      </c>
      <c r="F134" s="125">
        <v>438075250</v>
      </c>
      <c r="G134" s="125">
        <v>3044</v>
      </c>
      <c r="H134" s="125">
        <f t="shared" si="4"/>
        <v>466755000</v>
      </c>
      <c r="I134" s="125">
        <v>2018</v>
      </c>
      <c r="J134" s="125">
        <v>376139528</v>
      </c>
      <c r="K134" s="131">
        <f t="shared" si="5"/>
        <v>186392.2338949455</v>
      </c>
      <c r="L134" s="26"/>
    </row>
    <row r="135" spans="1:12" ht="15" x14ac:dyDescent="0.25">
      <c r="A135" s="123" t="s">
        <v>142</v>
      </c>
      <c r="B135" s="123">
        <v>12</v>
      </c>
      <c r="C135" s="125">
        <v>1150</v>
      </c>
      <c r="D135" s="125">
        <v>211217050</v>
      </c>
      <c r="E135" s="125">
        <v>0</v>
      </c>
      <c r="F135" s="125">
        <v>0</v>
      </c>
      <c r="G135" s="125">
        <v>0</v>
      </c>
      <c r="H135" s="125">
        <f t="shared" si="4"/>
        <v>0</v>
      </c>
      <c r="I135" s="125">
        <v>1150</v>
      </c>
      <c r="J135" s="125">
        <v>211217050</v>
      </c>
      <c r="K135" s="131">
        <f t="shared" si="5"/>
        <v>183667</v>
      </c>
      <c r="L135" s="26"/>
    </row>
    <row r="136" spans="1:12" ht="15" x14ac:dyDescent="0.25">
      <c r="A136" s="123" t="s">
        <v>143</v>
      </c>
      <c r="B136" s="123">
        <v>12</v>
      </c>
      <c r="C136" s="125">
        <v>0</v>
      </c>
      <c r="D136" s="125">
        <v>0</v>
      </c>
      <c r="E136" s="125">
        <v>0</v>
      </c>
      <c r="F136" s="125">
        <v>0</v>
      </c>
      <c r="G136" s="125">
        <v>0</v>
      </c>
      <c r="H136" s="125">
        <f t="shared" si="4"/>
        <v>0</v>
      </c>
      <c r="I136" s="125">
        <v>0</v>
      </c>
      <c r="J136" s="125">
        <v>0</v>
      </c>
      <c r="K136" s="131"/>
      <c r="L136" s="26"/>
    </row>
    <row r="137" spans="1:12" ht="15" x14ac:dyDescent="0.25">
      <c r="A137" s="123" t="s">
        <v>144</v>
      </c>
      <c r="B137" s="123">
        <v>12</v>
      </c>
      <c r="C137" s="125">
        <v>898</v>
      </c>
      <c r="D137" s="125">
        <v>164227145</v>
      </c>
      <c r="E137" s="125">
        <v>455</v>
      </c>
      <c r="F137" s="125">
        <v>83865600</v>
      </c>
      <c r="G137" s="125">
        <v>770</v>
      </c>
      <c r="H137" s="125">
        <f t="shared" si="4"/>
        <v>141190993</v>
      </c>
      <c r="I137" s="125">
        <v>583</v>
      </c>
      <c r="J137" s="125">
        <v>106901752</v>
      </c>
      <c r="K137" s="131">
        <f t="shared" si="5"/>
        <v>183364.92624356775</v>
      </c>
      <c r="L137" s="26"/>
    </row>
    <row r="138" spans="1:12" ht="15" x14ac:dyDescent="0.25">
      <c r="A138" s="123" t="s">
        <v>145</v>
      </c>
      <c r="B138" s="123">
        <v>12</v>
      </c>
      <c r="C138" s="125">
        <v>13</v>
      </c>
      <c r="D138" s="125">
        <v>2323520</v>
      </c>
      <c r="E138" s="125">
        <v>67</v>
      </c>
      <c r="F138" s="125">
        <v>11975065</v>
      </c>
      <c r="G138" s="125">
        <v>80</v>
      </c>
      <c r="H138" s="125">
        <f t="shared" si="4"/>
        <v>14298585</v>
      </c>
      <c r="I138" s="125">
        <v>0</v>
      </c>
      <c r="J138" s="125">
        <v>0</v>
      </c>
      <c r="K138" s="131"/>
      <c r="L138" s="26"/>
    </row>
    <row r="139" spans="1:12" ht="15" x14ac:dyDescent="0.25">
      <c r="A139" s="123" t="s">
        <v>146</v>
      </c>
      <c r="B139" s="123">
        <v>12</v>
      </c>
      <c r="C139" s="125">
        <v>427</v>
      </c>
      <c r="D139" s="125">
        <v>83128984</v>
      </c>
      <c r="E139" s="125">
        <v>690</v>
      </c>
      <c r="F139" s="125">
        <v>132239190</v>
      </c>
      <c r="G139" s="125">
        <v>991</v>
      </c>
      <c r="H139" s="125">
        <f t="shared" si="4"/>
        <v>191147067</v>
      </c>
      <c r="I139" s="125">
        <v>126</v>
      </c>
      <c r="J139" s="125">
        <v>24221107</v>
      </c>
      <c r="K139" s="131">
        <f t="shared" si="5"/>
        <v>192231.00793650793</v>
      </c>
      <c r="L139" s="26"/>
    </row>
    <row r="140" spans="1:12" ht="15" x14ac:dyDescent="0.25">
      <c r="A140" s="123" t="s">
        <v>147</v>
      </c>
      <c r="B140" s="123">
        <v>12</v>
      </c>
      <c r="C140" s="125">
        <v>888</v>
      </c>
      <c r="D140" s="125">
        <v>82354219</v>
      </c>
      <c r="E140" s="125">
        <v>7974</v>
      </c>
      <c r="F140" s="125">
        <v>36748469.644907288</v>
      </c>
      <c r="G140" s="125">
        <v>988</v>
      </c>
      <c r="H140" s="125">
        <f t="shared" si="4"/>
        <v>82815072.644907296</v>
      </c>
      <c r="I140" s="125">
        <v>7874</v>
      </c>
      <c r="J140" s="125">
        <v>36287616</v>
      </c>
      <c r="K140" s="131">
        <f t="shared" si="5"/>
        <v>4608.536449072898</v>
      </c>
      <c r="L140" s="26"/>
    </row>
    <row r="141" spans="1:12" ht="15" x14ac:dyDescent="0.25">
      <c r="A141" s="123" t="s">
        <v>148</v>
      </c>
      <c r="B141" s="123">
        <v>12</v>
      </c>
      <c r="C141" s="125">
        <v>0</v>
      </c>
      <c r="D141" s="125">
        <v>190478.48955722639</v>
      </c>
      <c r="E141" s="125"/>
      <c r="F141" s="125">
        <v>7004.2614210403481</v>
      </c>
      <c r="G141" s="125">
        <v>0</v>
      </c>
      <c r="H141" s="125">
        <f t="shared" si="4"/>
        <v>197482.75097826673</v>
      </c>
      <c r="I141" s="125">
        <v>0</v>
      </c>
      <c r="J141" s="125">
        <v>0</v>
      </c>
      <c r="K141" s="131"/>
      <c r="L141" s="26"/>
    </row>
    <row r="142" spans="1:12" ht="15" x14ac:dyDescent="0.25">
      <c r="A142" s="123" t="s">
        <v>149</v>
      </c>
      <c r="B142" s="123">
        <v>12</v>
      </c>
      <c r="C142" s="125">
        <v>1197</v>
      </c>
      <c r="D142" s="125">
        <v>228002752</v>
      </c>
      <c r="E142" s="125">
        <v>13544.218197656777</v>
      </c>
      <c r="F142" s="125">
        <v>94867245</v>
      </c>
      <c r="G142" s="125">
        <v>0.21819765677719261</v>
      </c>
      <c r="H142" s="125">
        <f t="shared" si="4"/>
        <v>87014609</v>
      </c>
      <c r="I142" s="125">
        <v>14741</v>
      </c>
      <c r="J142" s="125">
        <v>235855388</v>
      </c>
      <c r="K142" s="131">
        <f t="shared" si="5"/>
        <v>15999.958483142256</v>
      </c>
      <c r="L142" s="26"/>
    </row>
    <row r="143" spans="1:12" ht="15" x14ac:dyDescent="0.25">
      <c r="A143" s="123" t="s">
        <v>150</v>
      </c>
      <c r="B143" s="123">
        <v>12</v>
      </c>
      <c r="C143" s="125">
        <v>0</v>
      </c>
      <c r="D143" s="125">
        <v>0</v>
      </c>
      <c r="E143" s="125">
        <v>0</v>
      </c>
      <c r="F143" s="125">
        <v>0</v>
      </c>
      <c r="G143" s="125">
        <v>0</v>
      </c>
      <c r="H143" s="125">
        <f t="shared" si="4"/>
        <v>0</v>
      </c>
      <c r="I143" s="125">
        <v>0</v>
      </c>
      <c r="J143" s="125">
        <v>0</v>
      </c>
      <c r="K143" s="131"/>
      <c r="L143" s="26"/>
    </row>
    <row r="144" spans="1:12" ht="15" x14ac:dyDescent="0.25">
      <c r="A144" s="123" t="s">
        <v>151</v>
      </c>
      <c r="B144" s="123">
        <v>12</v>
      </c>
      <c r="C144" s="125">
        <v>319</v>
      </c>
      <c r="D144" s="125">
        <v>60576489</v>
      </c>
      <c r="E144" s="125">
        <v>0</v>
      </c>
      <c r="F144" s="125">
        <v>0</v>
      </c>
      <c r="G144" s="125">
        <v>0</v>
      </c>
      <c r="H144" s="125">
        <f t="shared" si="4"/>
        <v>0</v>
      </c>
      <c r="I144" s="125">
        <v>319</v>
      </c>
      <c r="J144" s="125">
        <v>60576489</v>
      </c>
      <c r="K144" s="131">
        <f t="shared" si="5"/>
        <v>189894.9498432602</v>
      </c>
      <c r="L144" s="26"/>
    </row>
    <row r="145" spans="1:12" ht="15" x14ac:dyDescent="0.25">
      <c r="A145" s="123" t="s">
        <v>152</v>
      </c>
      <c r="B145" s="123">
        <v>12</v>
      </c>
      <c r="C145" s="125">
        <v>0</v>
      </c>
      <c r="D145" s="125">
        <v>0</v>
      </c>
      <c r="E145" s="125">
        <v>0</v>
      </c>
      <c r="F145" s="125">
        <v>0</v>
      </c>
      <c r="G145" s="125">
        <v>0</v>
      </c>
      <c r="H145" s="125">
        <f t="shared" si="4"/>
        <v>0</v>
      </c>
      <c r="I145" s="125">
        <v>0</v>
      </c>
      <c r="J145" s="125">
        <v>0</v>
      </c>
      <c r="K145" s="131"/>
      <c r="L145" s="26"/>
    </row>
    <row r="146" spans="1:12" ht="15" x14ac:dyDescent="0.25">
      <c r="A146" s="123" t="s">
        <v>153</v>
      </c>
      <c r="B146" s="123">
        <v>12</v>
      </c>
      <c r="C146" s="125">
        <v>0</v>
      </c>
      <c r="D146" s="125">
        <v>0</v>
      </c>
      <c r="E146" s="125">
        <v>0</v>
      </c>
      <c r="F146" s="125">
        <v>0</v>
      </c>
      <c r="G146" s="125">
        <v>0</v>
      </c>
      <c r="H146" s="125">
        <f t="shared" si="4"/>
        <v>0</v>
      </c>
      <c r="I146" s="125">
        <v>0</v>
      </c>
      <c r="J146" s="125">
        <v>0</v>
      </c>
      <c r="K146" s="131"/>
      <c r="L146" s="26"/>
    </row>
    <row r="147" spans="1:12" ht="15" x14ac:dyDescent="0.25">
      <c r="A147" s="123" t="s">
        <v>154</v>
      </c>
      <c r="B147" s="123">
        <v>12</v>
      </c>
      <c r="C147" s="125">
        <v>50</v>
      </c>
      <c r="D147" s="125">
        <v>11656130</v>
      </c>
      <c r="E147" s="125">
        <v>45</v>
      </c>
      <c r="F147" s="125">
        <v>10556505</v>
      </c>
      <c r="G147" s="125">
        <v>25</v>
      </c>
      <c r="H147" s="125">
        <f t="shared" si="4"/>
        <v>5845430</v>
      </c>
      <c r="I147" s="125">
        <v>70</v>
      </c>
      <c r="J147" s="125">
        <v>16367205</v>
      </c>
      <c r="K147" s="131">
        <f t="shared" si="5"/>
        <v>233817.21428571429</v>
      </c>
      <c r="L147" s="26"/>
    </row>
    <row r="148" spans="1:12" ht="15" x14ac:dyDescent="0.25">
      <c r="A148" s="123" t="s">
        <v>155</v>
      </c>
      <c r="B148" s="123">
        <v>12</v>
      </c>
      <c r="C148" s="125">
        <v>0</v>
      </c>
      <c r="D148" s="125">
        <v>0</v>
      </c>
      <c r="E148" s="125">
        <v>24</v>
      </c>
      <c r="F148" s="125">
        <v>6959131</v>
      </c>
      <c r="G148" s="125">
        <v>24</v>
      </c>
      <c r="H148" s="125">
        <f t="shared" si="4"/>
        <v>6959131</v>
      </c>
      <c r="I148" s="125">
        <v>0</v>
      </c>
      <c r="J148" s="125">
        <v>0</v>
      </c>
      <c r="K148" s="131"/>
      <c r="L148" s="26"/>
    </row>
    <row r="149" spans="1:12" ht="15" x14ac:dyDescent="0.25">
      <c r="A149" s="123" t="s">
        <v>156</v>
      </c>
      <c r="B149" s="123">
        <v>12</v>
      </c>
      <c r="C149" s="125">
        <v>265</v>
      </c>
      <c r="D149" s="125">
        <v>51536190</v>
      </c>
      <c r="E149" s="125">
        <v>20</v>
      </c>
      <c r="F149" s="125">
        <v>4691780</v>
      </c>
      <c r="G149" s="125">
        <v>170</v>
      </c>
      <c r="H149" s="125">
        <f t="shared" si="4"/>
        <v>29199086</v>
      </c>
      <c r="I149" s="125">
        <v>115</v>
      </c>
      <c r="J149" s="125">
        <v>27028884</v>
      </c>
      <c r="K149" s="131">
        <f t="shared" si="5"/>
        <v>235033.77391304346</v>
      </c>
      <c r="L149" s="26"/>
    </row>
    <row r="150" spans="1:12" ht="15" x14ac:dyDescent="0.25">
      <c r="A150" s="123" t="s">
        <v>157</v>
      </c>
      <c r="B150" s="123">
        <v>12</v>
      </c>
      <c r="C150" s="125">
        <v>100</v>
      </c>
      <c r="D150" s="125">
        <v>23336700</v>
      </c>
      <c r="E150" s="125">
        <v>45</v>
      </c>
      <c r="F150" s="125">
        <v>10556505</v>
      </c>
      <c r="G150" s="125">
        <v>45</v>
      </c>
      <c r="H150" s="125">
        <f t="shared" si="4"/>
        <v>10518581</v>
      </c>
      <c r="I150" s="125">
        <v>100</v>
      </c>
      <c r="J150" s="125">
        <v>23374624</v>
      </c>
      <c r="K150" s="131">
        <f t="shared" si="5"/>
        <v>233746.24</v>
      </c>
      <c r="L150" s="26"/>
    </row>
    <row r="151" spans="1:12" ht="15" x14ac:dyDescent="0.25">
      <c r="A151" s="123" t="s">
        <v>158</v>
      </c>
      <c r="B151" s="123">
        <v>12</v>
      </c>
      <c r="C151" s="125">
        <v>0</v>
      </c>
      <c r="D151" s="125">
        <v>0</v>
      </c>
      <c r="E151" s="125">
        <v>0</v>
      </c>
      <c r="F151" s="125">
        <v>0</v>
      </c>
      <c r="G151" s="125">
        <v>0</v>
      </c>
      <c r="H151" s="125">
        <f t="shared" si="4"/>
        <v>0</v>
      </c>
      <c r="I151" s="125">
        <v>0</v>
      </c>
      <c r="J151" s="125">
        <v>0</v>
      </c>
      <c r="K151" s="131"/>
      <c r="L151" s="26"/>
    </row>
    <row r="152" spans="1:12" ht="15" x14ac:dyDescent="0.25">
      <c r="A152" s="123" t="s">
        <v>159</v>
      </c>
      <c r="B152" s="123">
        <v>12</v>
      </c>
      <c r="C152" s="125">
        <v>81</v>
      </c>
      <c r="D152" s="125">
        <v>17829621</v>
      </c>
      <c r="E152" s="125">
        <v>0</v>
      </c>
      <c r="F152" s="125">
        <v>0</v>
      </c>
      <c r="G152" s="125">
        <v>32</v>
      </c>
      <c r="H152" s="125">
        <f t="shared" si="4"/>
        <v>4842658</v>
      </c>
      <c r="I152" s="125">
        <v>49</v>
      </c>
      <c r="J152" s="125">
        <v>12986963</v>
      </c>
      <c r="K152" s="131">
        <f t="shared" si="5"/>
        <v>265040.06122448982</v>
      </c>
      <c r="L152" s="26"/>
    </row>
    <row r="153" spans="1:12" ht="15" x14ac:dyDescent="0.25">
      <c r="A153" s="123" t="s">
        <v>160</v>
      </c>
      <c r="B153" s="123">
        <v>12</v>
      </c>
      <c r="C153" s="125">
        <v>46</v>
      </c>
      <c r="D153" s="125">
        <v>12161583</v>
      </c>
      <c r="E153" s="125">
        <v>0</v>
      </c>
      <c r="F153" s="125">
        <v>0</v>
      </c>
      <c r="G153" s="125">
        <v>42</v>
      </c>
      <c r="H153" s="125">
        <f t="shared" si="4"/>
        <v>11093015</v>
      </c>
      <c r="I153" s="125">
        <v>4</v>
      </c>
      <c r="J153" s="125">
        <v>1068568</v>
      </c>
      <c r="K153" s="131">
        <f t="shared" si="5"/>
        <v>267142</v>
      </c>
      <c r="L153" s="26"/>
    </row>
    <row r="154" spans="1:12" ht="15" x14ac:dyDescent="0.25">
      <c r="A154" s="123" t="s">
        <v>161</v>
      </c>
      <c r="B154" s="123">
        <v>12</v>
      </c>
      <c r="C154" s="125">
        <v>110</v>
      </c>
      <c r="D154" s="125">
        <v>25633710</v>
      </c>
      <c r="E154" s="125">
        <v>50</v>
      </c>
      <c r="F154" s="125">
        <v>11729450</v>
      </c>
      <c r="G154" s="125">
        <v>49</v>
      </c>
      <c r="H154" s="125">
        <f t="shared" si="4"/>
        <v>11432029</v>
      </c>
      <c r="I154" s="125">
        <v>111</v>
      </c>
      <c r="J154" s="125">
        <v>25931131</v>
      </c>
      <c r="K154" s="131">
        <f t="shared" si="5"/>
        <v>233613.79279279278</v>
      </c>
      <c r="L154" s="26"/>
    </row>
    <row r="155" spans="1:12" ht="15" x14ac:dyDescent="0.25">
      <c r="A155" s="123" t="s">
        <v>162</v>
      </c>
      <c r="B155" s="123">
        <v>12</v>
      </c>
      <c r="C155" s="125">
        <v>0</v>
      </c>
      <c r="D155" s="125">
        <v>0</v>
      </c>
      <c r="E155" s="125">
        <v>4</v>
      </c>
      <c r="F155" s="125">
        <v>1264364</v>
      </c>
      <c r="G155" s="125">
        <v>4</v>
      </c>
      <c r="H155" s="125">
        <f t="shared" si="4"/>
        <v>1264364</v>
      </c>
      <c r="I155" s="125">
        <v>0</v>
      </c>
      <c r="J155" s="125">
        <v>0</v>
      </c>
      <c r="K155" s="131"/>
      <c r="L155" s="26"/>
    </row>
    <row r="156" spans="1:12" ht="15" x14ac:dyDescent="0.25">
      <c r="A156" s="123" t="s">
        <v>163</v>
      </c>
      <c r="B156" s="123">
        <v>12</v>
      </c>
      <c r="C156" s="125">
        <v>986</v>
      </c>
      <c r="D156" s="125">
        <v>312560997</v>
      </c>
      <c r="E156" s="125">
        <v>300</v>
      </c>
      <c r="F156" s="125">
        <v>95825400</v>
      </c>
      <c r="G156" s="125">
        <v>0</v>
      </c>
      <c r="H156" s="125">
        <f t="shared" si="4"/>
        <v>0</v>
      </c>
      <c r="I156" s="125">
        <v>1286</v>
      </c>
      <c r="J156" s="125">
        <v>408386397</v>
      </c>
      <c r="K156" s="131">
        <f t="shared" si="5"/>
        <v>317563.29471228615</v>
      </c>
      <c r="L156" s="26"/>
    </row>
    <row r="157" spans="1:12" ht="15" x14ac:dyDescent="0.25">
      <c r="A157" s="123" t="s">
        <v>164</v>
      </c>
      <c r="B157" s="123">
        <v>12</v>
      </c>
      <c r="C157" s="125">
        <v>0</v>
      </c>
      <c r="D157" s="125">
        <v>0</v>
      </c>
      <c r="E157" s="125">
        <v>92</v>
      </c>
      <c r="F157" s="125">
        <v>13264312</v>
      </c>
      <c r="G157" s="125">
        <v>92</v>
      </c>
      <c r="H157" s="125">
        <f t="shared" si="4"/>
        <v>13264312</v>
      </c>
      <c r="I157" s="125">
        <v>0</v>
      </c>
      <c r="J157" s="125">
        <v>0</v>
      </c>
      <c r="K157" s="131"/>
      <c r="L157" s="26"/>
    </row>
    <row r="158" spans="1:12" ht="15" x14ac:dyDescent="0.25">
      <c r="A158" s="123" t="s">
        <v>165</v>
      </c>
      <c r="B158" s="123">
        <v>12</v>
      </c>
      <c r="C158" s="125">
        <v>100</v>
      </c>
      <c r="D158" s="125">
        <v>15396441</v>
      </c>
      <c r="E158" s="125">
        <v>0</v>
      </c>
      <c r="F158" s="125">
        <v>0</v>
      </c>
      <c r="G158" s="125">
        <v>6</v>
      </c>
      <c r="H158" s="125">
        <f t="shared" si="4"/>
        <v>923786</v>
      </c>
      <c r="I158" s="125">
        <v>94</v>
      </c>
      <c r="J158" s="125">
        <v>14472655</v>
      </c>
      <c r="K158" s="131">
        <f t="shared" si="5"/>
        <v>153964.41489361701</v>
      </c>
      <c r="L158" s="26"/>
    </row>
    <row r="159" spans="1:12" ht="15" x14ac:dyDescent="0.25">
      <c r="A159" s="123" t="s">
        <v>166</v>
      </c>
      <c r="B159" s="123">
        <v>12</v>
      </c>
      <c r="C159" s="125">
        <v>0</v>
      </c>
      <c r="D159" s="125">
        <v>0</v>
      </c>
      <c r="E159" s="125">
        <v>0</v>
      </c>
      <c r="F159" s="125">
        <v>0</v>
      </c>
      <c r="G159" s="125">
        <v>0</v>
      </c>
      <c r="H159" s="125">
        <f t="shared" si="4"/>
        <v>0</v>
      </c>
      <c r="I159" s="125">
        <v>0</v>
      </c>
      <c r="J159" s="125">
        <v>0</v>
      </c>
      <c r="K159" s="131"/>
      <c r="L159" s="26"/>
    </row>
    <row r="160" spans="1:12" ht="15" x14ac:dyDescent="0.25">
      <c r="A160" s="123" t="s">
        <v>167</v>
      </c>
      <c r="B160" s="123">
        <v>12</v>
      </c>
      <c r="C160" s="125">
        <v>0</v>
      </c>
      <c r="D160" s="125">
        <v>0</v>
      </c>
      <c r="E160" s="125">
        <v>0</v>
      </c>
      <c r="F160" s="125">
        <v>184320</v>
      </c>
      <c r="G160" s="125">
        <v>0</v>
      </c>
      <c r="H160" s="125">
        <f t="shared" si="4"/>
        <v>184320</v>
      </c>
      <c r="I160" s="125">
        <v>0</v>
      </c>
      <c r="J160" s="125">
        <v>0</v>
      </c>
      <c r="K160" s="131"/>
      <c r="L160" s="26"/>
    </row>
    <row r="161" spans="1:12" ht="15" x14ac:dyDescent="0.25">
      <c r="A161" s="123" t="s">
        <v>168</v>
      </c>
      <c r="B161" s="123">
        <v>12</v>
      </c>
      <c r="C161" s="125">
        <v>436</v>
      </c>
      <c r="D161" s="125">
        <v>79778379</v>
      </c>
      <c r="E161" s="125">
        <v>150</v>
      </c>
      <c r="F161" s="125">
        <v>27648000</v>
      </c>
      <c r="G161" s="125">
        <v>87</v>
      </c>
      <c r="H161" s="125">
        <f t="shared" si="4"/>
        <v>92210697</v>
      </c>
      <c r="I161" s="125">
        <v>499</v>
      </c>
      <c r="J161" s="125">
        <v>15215682</v>
      </c>
      <c r="K161" s="131">
        <f t="shared" si="5"/>
        <v>30492.348697394791</v>
      </c>
      <c r="L161" s="26"/>
    </row>
    <row r="162" spans="1:12" ht="15" x14ac:dyDescent="0.25">
      <c r="A162" s="123" t="s">
        <v>169</v>
      </c>
      <c r="B162" s="123">
        <v>12</v>
      </c>
      <c r="C162" s="125">
        <v>856</v>
      </c>
      <c r="D162" s="125">
        <v>151588068</v>
      </c>
      <c r="E162" s="125">
        <v>0</v>
      </c>
      <c r="F162" s="125">
        <v>0</v>
      </c>
      <c r="G162" s="125">
        <v>204</v>
      </c>
      <c r="H162" s="125">
        <f t="shared" si="4"/>
        <v>32938529</v>
      </c>
      <c r="I162" s="125">
        <v>652</v>
      </c>
      <c r="J162" s="125">
        <v>118649539</v>
      </c>
      <c r="K162" s="131">
        <f t="shared" si="5"/>
        <v>181977.82055214723</v>
      </c>
      <c r="L162" s="26"/>
    </row>
    <row r="163" spans="1:12" ht="15" x14ac:dyDescent="0.25">
      <c r="A163" s="123" t="s">
        <v>170</v>
      </c>
      <c r="B163" s="123">
        <v>12</v>
      </c>
      <c r="C163" s="125">
        <v>164</v>
      </c>
      <c r="D163" s="125">
        <v>44675744</v>
      </c>
      <c r="E163" s="125">
        <v>175</v>
      </c>
      <c r="F163" s="125">
        <v>49157166</v>
      </c>
      <c r="G163" s="125">
        <v>339</v>
      </c>
      <c r="H163" s="125">
        <f t="shared" si="4"/>
        <v>93832910</v>
      </c>
      <c r="I163" s="125">
        <v>0</v>
      </c>
      <c r="J163" s="125">
        <v>0</v>
      </c>
      <c r="K163" s="131"/>
      <c r="L163" s="26"/>
    </row>
    <row r="164" spans="1:12" ht="15" x14ac:dyDescent="0.25">
      <c r="A164" s="123" t="s">
        <v>171</v>
      </c>
      <c r="B164" s="123">
        <v>12</v>
      </c>
      <c r="C164" s="125">
        <v>0</v>
      </c>
      <c r="D164" s="125">
        <v>0</v>
      </c>
      <c r="E164" s="125">
        <v>30</v>
      </c>
      <c r="F164" s="125">
        <v>8280000</v>
      </c>
      <c r="G164" s="125">
        <v>30</v>
      </c>
      <c r="H164" s="125">
        <f t="shared" si="4"/>
        <v>8280000</v>
      </c>
      <c r="I164" s="125">
        <v>0</v>
      </c>
      <c r="J164" s="125">
        <v>0</v>
      </c>
      <c r="K164" s="131"/>
      <c r="L164" s="26"/>
    </row>
    <row r="165" spans="1:12" ht="15" x14ac:dyDescent="0.25">
      <c r="A165" s="123" t="s">
        <v>172</v>
      </c>
      <c r="B165" s="123">
        <v>12</v>
      </c>
      <c r="C165" s="125">
        <v>459</v>
      </c>
      <c r="D165" s="125">
        <v>85500524</v>
      </c>
      <c r="E165" s="125">
        <v>30</v>
      </c>
      <c r="F165" s="125">
        <v>5655270</v>
      </c>
      <c r="G165" s="125">
        <v>0</v>
      </c>
      <c r="H165" s="125">
        <f t="shared" si="4"/>
        <v>0</v>
      </c>
      <c r="I165" s="125">
        <v>489</v>
      </c>
      <c r="J165" s="125">
        <v>91155794</v>
      </c>
      <c r="K165" s="131">
        <f t="shared" si="5"/>
        <v>186412.66666666666</v>
      </c>
      <c r="L165" s="26"/>
    </row>
    <row r="166" spans="1:12" ht="15" x14ac:dyDescent="0.25">
      <c r="A166" s="123" t="s">
        <v>173</v>
      </c>
      <c r="B166" s="123">
        <v>12</v>
      </c>
      <c r="C166" s="125">
        <v>484</v>
      </c>
      <c r="D166" s="125">
        <v>88893600</v>
      </c>
      <c r="E166" s="125">
        <v>13</v>
      </c>
      <c r="F166" s="125">
        <v>4712725</v>
      </c>
      <c r="G166" s="125">
        <v>0</v>
      </c>
      <c r="H166" s="125">
        <f t="shared" si="4"/>
        <v>0</v>
      </c>
      <c r="I166" s="125">
        <v>497</v>
      </c>
      <c r="J166" s="125">
        <v>93606325</v>
      </c>
      <c r="K166" s="131">
        <f t="shared" si="5"/>
        <v>188342.70623742454</v>
      </c>
      <c r="L166" s="26"/>
    </row>
    <row r="167" spans="1:12" ht="15" x14ac:dyDescent="0.25">
      <c r="A167" s="123" t="s">
        <v>174</v>
      </c>
      <c r="B167" s="123">
        <v>12</v>
      </c>
      <c r="C167" s="125">
        <v>5</v>
      </c>
      <c r="D167" s="125">
        <v>1372892</v>
      </c>
      <c r="E167" s="125">
        <v>0</v>
      </c>
      <c r="F167" s="125">
        <v>0</v>
      </c>
      <c r="G167" s="125">
        <v>0</v>
      </c>
      <c r="H167" s="125">
        <f t="shared" si="4"/>
        <v>0</v>
      </c>
      <c r="I167" s="125">
        <v>5</v>
      </c>
      <c r="J167" s="125">
        <v>1372892</v>
      </c>
      <c r="K167" s="131">
        <f t="shared" si="5"/>
        <v>274578.40000000002</v>
      </c>
      <c r="L167" s="26"/>
    </row>
    <row r="168" spans="1:12" ht="15" x14ac:dyDescent="0.25">
      <c r="A168" s="123" t="s">
        <v>175</v>
      </c>
      <c r="B168" s="123">
        <v>12</v>
      </c>
      <c r="C168" s="125">
        <v>0</v>
      </c>
      <c r="D168" s="125">
        <v>0</v>
      </c>
      <c r="E168" s="125">
        <v>0</v>
      </c>
      <c r="F168" s="125">
        <v>0</v>
      </c>
      <c r="G168" s="125">
        <v>0</v>
      </c>
      <c r="H168" s="125">
        <f t="shared" si="4"/>
        <v>0</v>
      </c>
      <c r="I168" s="125">
        <v>0</v>
      </c>
      <c r="J168" s="125">
        <v>0</v>
      </c>
      <c r="K168" s="131"/>
      <c r="L168" s="26"/>
    </row>
    <row r="169" spans="1:12" ht="15" x14ac:dyDescent="0.25">
      <c r="A169" s="123" t="s">
        <v>176</v>
      </c>
      <c r="B169" s="123">
        <v>12</v>
      </c>
      <c r="C169" s="125">
        <v>0</v>
      </c>
      <c r="D169" s="125">
        <v>0</v>
      </c>
      <c r="E169" s="125">
        <v>0</v>
      </c>
      <c r="F169" s="125">
        <v>0</v>
      </c>
      <c r="G169" s="125">
        <v>0</v>
      </c>
      <c r="H169" s="125">
        <f t="shared" si="4"/>
        <v>0</v>
      </c>
      <c r="I169" s="125">
        <v>0</v>
      </c>
      <c r="J169" s="125">
        <v>0</v>
      </c>
      <c r="K169" s="131"/>
      <c r="L169" s="26"/>
    </row>
    <row r="170" spans="1:12" ht="15" x14ac:dyDescent="0.25">
      <c r="A170" s="123" t="s">
        <v>177</v>
      </c>
      <c r="B170" s="123">
        <v>12</v>
      </c>
      <c r="C170" s="125">
        <v>1</v>
      </c>
      <c r="D170" s="125">
        <v>537037</v>
      </c>
      <c r="E170" s="125">
        <v>0</v>
      </c>
      <c r="F170" s="125">
        <v>0</v>
      </c>
      <c r="G170" s="125">
        <v>0</v>
      </c>
      <c r="H170" s="125">
        <f t="shared" si="4"/>
        <v>0</v>
      </c>
      <c r="I170" s="125">
        <v>1</v>
      </c>
      <c r="J170" s="125">
        <v>537037</v>
      </c>
      <c r="K170" s="131">
        <f t="shared" si="5"/>
        <v>537037</v>
      </c>
      <c r="L170" s="26"/>
    </row>
    <row r="171" spans="1:12" ht="15" x14ac:dyDescent="0.25">
      <c r="A171" s="123" t="s">
        <v>178</v>
      </c>
      <c r="B171" s="123">
        <v>12</v>
      </c>
      <c r="C171" s="125">
        <v>144</v>
      </c>
      <c r="D171" s="125">
        <v>8408880</v>
      </c>
      <c r="E171" s="125">
        <v>874</v>
      </c>
      <c r="F171" s="125">
        <v>31937917.485265225</v>
      </c>
      <c r="G171" s="125">
        <v>0</v>
      </c>
      <c r="H171" s="125">
        <f t="shared" si="4"/>
        <v>3146797.4852652252</v>
      </c>
      <c r="I171" s="125">
        <v>1018</v>
      </c>
      <c r="J171" s="125">
        <v>37200000</v>
      </c>
      <c r="K171" s="131">
        <f t="shared" si="5"/>
        <v>36542.239685658154</v>
      </c>
      <c r="L171" s="26"/>
    </row>
    <row r="172" spans="1:12" ht="15" x14ac:dyDescent="0.25">
      <c r="A172" s="123" t="s">
        <v>179</v>
      </c>
      <c r="B172" s="123">
        <v>12</v>
      </c>
      <c r="C172" s="125">
        <v>24797</v>
      </c>
      <c r="D172" s="125">
        <v>127113973</v>
      </c>
      <c r="E172" s="125">
        <v>15719</v>
      </c>
      <c r="F172" s="125">
        <v>82006560</v>
      </c>
      <c r="G172" s="125">
        <v>14610</v>
      </c>
      <c r="H172" s="125">
        <f t="shared" si="4"/>
        <v>74541385</v>
      </c>
      <c r="I172" s="125">
        <v>25906</v>
      </c>
      <c r="J172" s="125">
        <v>134579148</v>
      </c>
      <c r="K172" s="131">
        <f t="shared" si="5"/>
        <v>5194.902648035204</v>
      </c>
      <c r="L172" s="26"/>
    </row>
    <row r="173" spans="1:12" ht="15" x14ac:dyDescent="0.25">
      <c r="A173" s="123" t="s">
        <v>180</v>
      </c>
      <c r="B173" s="123">
        <v>12</v>
      </c>
      <c r="C173" s="125">
        <v>1056</v>
      </c>
      <c r="D173" s="125">
        <v>82980480</v>
      </c>
      <c r="E173" s="125">
        <v>360</v>
      </c>
      <c r="F173" s="125">
        <v>27106680</v>
      </c>
      <c r="G173" s="125">
        <v>1416</v>
      </c>
      <c r="H173" s="125">
        <f t="shared" si="4"/>
        <v>110087160</v>
      </c>
      <c r="I173" s="125">
        <v>0</v>
      </c>
      <c r="J173" s="125">
        <v>0</v>
      </c>
      <c r="K173" s="131"/>
      <c r="L173" s="26"/>
    </row>
    <row r="174" spans="1:12" ht="15" x14ac:dyDescent="0.25">
      <c r="A174" s="123" t="s">
        <v>181</v>
      </c>
      <c r="B174" s="123">
        <v>12</v>
      </c>
      <c r="C174" s="125">
        <v>432</v>
      </c>
      <c r="D174" s="125">
        <v>22188108</v>
      </c>
      <c r="E174" s="125">
        <v>375</v>
      </c>
      <c r="F174" s="125">
        <v>19270875</v>
      </c>
      <c r="G174" s="125">
        <v>501</v>
      </c>
      <c r="H174" s="125">
        <f t="shared" si="4"/>
        <v>25738476</v>
      </c>
      <c r="I174" s="125">
        <v>306</v>
      </c>
      <c r="J174" s="125">
        <v>15720507</v>
      </c>
      <c r="K174" s="131">
        <f t="shared" si="5"/>
        <v>51374.205882352944</v>
      </c>
      <c r="L174" s="26"/>
    </row>
    <row r="175" spans="1:12" ht="15" x14ac:dyDescent="0.25">
      <c r="A175" s="123" t="s">
        <v>182</v>
      </c>
      <c r="B175" s="123">
        <v>12</v>
      </c>
      <c r="C175" s="125">
        <v>0</v>
      </c>
      <c r="D175" s="125">
        <v>0</v>
      </c>
      <c r="E175" s="125">
        <v>180</v>
      </c>
      <c r="F175" s="125">
        <v>11127420</v>
      </c>
      <c r="G175" s="125">
        <v>180</v>
      </c>
      <c r="H175" s="125">
        <f t="shared" si="4"/>
        <v>11127420</v>
      </c>
      <c r="I175" s="125">
        <v>0</v>
      </c>
      <c r="J175" s="125">
        <v>0</v>
      </c>
      <c r="K175" s="131"/>
      <c r="L175" s="26"/>
    </row>
    <row r="176" spans="1:12" ht="15" x14ac:dyDescent="0.25">
      <c r="A176" s="123" t="s">
        <v>183</v>
      </c>
      <c r="B176" s="123">
        <v>12</v>
      </c>
      <c r="C176" s="125">
        <v>2751</v>
      </c>
      <c r="D176" s="125">
        <v>148297433</v>
      </c>
      <c r="E176" s="125">
        <v>306</v>
      </c>
      <c r="F176" s="125">
        <v>16321556</v>
      </c>
      <c r="G176" s="125">
        <v>284</v>
      </c>
      <c r="H176" s="125">
        <f t="shared" si="4"/>
        <v>13731712</v>
      </c>
      <c r="I176" s="125">
        <v>2773</v>
      </c>
      <c r="J176" s="125">
        <v>150887277</v>
      </c>
      <c r="K176" s="131">
        <f t="shared" si="5"/>
        <v>54413.010097367471</v>
      </c>
      <c r="L176" s="26"/>
    </row>
    <row r="177" spans="1:12" ht="15" x14ac:dyDescent="0.25">
      <c r="A177" s="123" t="s">
        <v>184</v>
      </c>
      <c r="B177" s="123">
        <v>12</v>
      </c>
      <c r="C177" s="125">
        <v>2074</v>
      </c>
      <c r="D177" s="125">
        <v>111994520</v>
      </c>
      <c r="E177" s="125">
        <v>408</v>
      </c>
      <c r="F177" s="125">
        <v>21762074</v>
      </c>
      <c r="G177" s="125">
        <v>900</v>
      </c>
      <c r="H177" s="125">
        <f t="shared" si="4"/>
        <v>47693225</v>
      </c>
      <c r="I177" s="125">
        <v>1582</v>
      </c>
      <c r="J177" s="125">
        <v>86063369</v>
      </c>
      <c r="K177" s="131">
        <f t="shared" si="5"/>
        <v>54401.623893805307</v>
      </c>
      <c r="L177" s="26"/>
    </row>
    <row r="178" spans="1:12" ht="15" x14ac:dyDescent="0.25">
      <c r="A178" s="123" t="s">
        <v>185</v>
      </c>
      <c r="B178" s="123">
        <v>12</v>
      </c>
      <c r="C178" s="125">
        <v>770</v>
      </c>
      <c r="D178" s="125">
        <v>141860096</v>
      </c>
      <c r="E178" s="125">
        <v>400</v>
      </c>
      <c r="F178" s="125">
        <v>72675000</v>
      </c>
      <c r="G178" s="125">
        <v>229</v>
      </c>
      <c r="H178" s="125">
        <f t="shared" si="4"/>
        <v>44862468</v>
      </c>
      <c r="I178" s="125">
        <v>941</v>
      </c>
      <c r="J178" s="125">
        <v>169672628</v>
      </c>
      <c r="K178" s="131">
        <f t="shared" si="5"/>
        <v>180310.97555791712</v>
      </c>
      <c r="L178" s="26"/>
    </row>
    <row r="179" spans="1:12" ht="15" x14ac:dyDescent="0.25">
      <c r="A179" s="123" t="s">
        <v>186</v>
      </c>
      <c r="B179" s="123">
        <v>12</v>
      </c>
      <c r="C179" s="125">
        <v>1555</v>
      </c>
      <c r="D179" s="125">
        <v>69495853</v>
      </c>
      <c r="E179" s="125">
        <v>7668</v>
      </c>
      <c r="F179" s="125">
        <v>332611379.81490999</v>
      </c>
      <c r="G179" s="125">
        <v>4555</v>
      </c>
      <c r="H179" s="125">
        <f t="shared" si="4"/>
        <v>199625500.81490999</v>
      </c>
      <c r="I179" s="125">
        <v>4668</v>
      </c>
      <c r="J179" s="125">
        <v>202481732</v>
      </c>
      <c r="K179" s="131">
        <f t="shared" si="5"/>
        <v>43376.549271636672</v>
      </c>
      <c r="L179" s="26"/>
    </row>
    <row r="180" spans="1:12" ht="15" x14ac:dyDescent="0.25">
      <c r="A180" s="123" t="s">
        <v>187</v>
      </c>
      <c r="B180" s="123">
        <v>12</v>
      </c>
      <c r="C180" s="125">
        <v>973</v>
      </c>
      <c r="D180" s="125">
        <v>34563746</v>
      </c>
      <c r="E180" s="125">
        <v>0</v>
      </c>
      <c r="F180" s="125">
        <v>43376.549271636672</v>
      </c>
      <c r="G180" s="125">
        <v>130</v>
      </c>
      <c r="H180" s="125">
        <f t="shared" si="4"/>
        <v>4733268.5492716357</v>
      </c>
      <c r="I180" s="125">
        <v>843</v>
      </c>
      <c r="J180" s="125">
        <v>29873854</v>
      </c>
      <c r="K180" s="131">
        <f t="shared" si="5"/>
        <v>35437.549228944248</v>
      </c>
      <c r="L180" s="26"/>
    </row>
    <row r="181" spans="1:12" ht="15" x14ac:dyDescent="0.25">
      <c r="A181" s="123" t="s">
        <v>188</v>
      </c>
      <c r="B181" s="123">
        <v>12</v>
      </c>
      <c r="C181" s="125">
        <v>7616</v>
      </c>
      <c r="D181" s="125">
        <v>1284172909</v>
      </c>
      <c r="E181" s="125">
        <v>4500</v>
      </c>
      <c r="F181" s="125">
        <v>816216250</v>
      </c>
      <c r="G181" s="125">
        <v>4573</v>
      </c>
      <c r="H181" s="125">
        <f t="shared" si="4"/>
        <v>754127000</v>
      </c>
      <c r="I181" s="125">
        <v>7543</v>
      </c>
      <c r="J181" s="125">
        <v>1346262159</v>
      </c>
      <c r="K181" s="131">
        <f t="shared" si="5"/>
        <v>178478.3453533077</v>
      </c>
      <c r="L181" s="26"/>
    </row>
    <row r="182" spans="1:12" ht="15" x14ac:dyDescent="0.25">
      <c r="A182" s="123" t="s">
        <v>189</v>
      </c>
      <c r="B182" s="123">
        <v>12</v>
      </c>
      <c r="C182" s="125">
        <v>690</v>
      </c>
      <c r="D182" s="125">
        <v>30148907</v>
      </c>
      <c r="E182" s="125">
        <v>0</v>
      </c>
      <c r="F182" s="125">
        <v>0</v>
      </c>
      <c r="G182" s="125">
        <v>144</v>
      </c>
      <c r="H182" s="125">
        <f t="shared" si="4"/>
        <v>5958168</v>
      </c>
      <c r="I182" s="125">
        <v>546</v>
      </c>
      <c r="J182" s="125">
        <v>24190739</v>
      </c>
      <c r="K182" s="131">
        <f t="shared" si="5"/>
        <v>44305.382783882786</v>
      </c>
      <c r="L182" s="26"/>
    </row>
    <row r="183" spans="1:12" ht="15" x14ac:dyDescent="0.25">
      <c r="A183" s="123" t="s">
        <v>190</v>
      </c>
      <c r="B183" s="123">
        <v>12</v>
      </c>
      <c r="C183" s="125">
        <v>11502</v>
      </c>
      <c r="D183" s="125">
        <v>332240556</v>
      </c>
      <c r="E183" s="125">
        <v>3150</v>
      </c>
      <c r="F183" s="125">
        <v>90972000</v>
      </c>
      <c r="G183" s="125">
        <v>9809</v>
      </c>
      <c r="H183" s="125">
        <f t="shared" si="4"/>
        <v>286291540</v>
      </c>
      <c r="I183" s="125">
        <v>4843</v>
      </c>
      <c r="J183" s="125">
        <v>136921016</v>
      </c>
      <c r="K183" s="131">
        <f t="shared" si="5"/>
        <v>28271.942184596326</v>
      </c>
      <c r="L183" s="26"/>
    </row>
    <row r="184" spans="1:12" ht="15" x14ac:dyDescent="0.25">
      <c r="A184" s="123" t="s">
        <v>191</v>
      </c>
      <c r="B184" s="123">
        <v>12</v>
      </c>
      <c r="C184" s="125">
        <v>15969</v>
      </c>
      <c r="D184" s="125">
        <v>459112502</v>
      </c>
      <c r="E184" s="125">
        <v>65615</v>
      </c>
      <c r="F184" s="125">
        <v>1833319500</v>
      </c>
      <c r="G184" s="125">
        <v>40229</v>
      </c>
      <c r="H184" s="125">
        <f t="shared" si="4"/>
        <v>1123236500</v>
      </c>
      <c r="I184" s="125">
        <v>41355</v>
      </c>
      <c r="J184" s="125">
        <v>1169195502</v>
      </c>
      <c r="K184" s="131">
        <f t="shared" si="5"/>
        <v>28272.167863619878</v>
      </c>
      <c r="L184" s="26"/>
    </row>
    <row r="185" spans="1:12" ht="15" x14ac:dyDescent="0.25">
      <c r="A185" s="123" t="s">
        <v>192</v>
      </c>
      <c r="B185" s="123">
        <v>12</v>
      </c>
      <c r="C185" s="125">
        <v>10975</v>
      </c>
      <c r="D185" s="125">
        <v>79007874</v>
      </c>
      <c r="E185" s="125">
        <v>0</v>
      </c>
      <c r="F185" s="125">
        <v>0</v>
      </c>
      <c r="G185" s="125">
        <v>4660</v>
      </c>
      <c r="H185" s="125">
        <f t="shared" si="4"/>
        <v>33402873</v>
      </c>
      <c r="I185" s="125">
        <v>6315</v>
      </c>
      <c r="J185" s="125">
        <v>45605001</v>
      </c>
      <c r="K185" s="131">
        <f t="shared" si="5"/>
        <v>7221.6945368171018</v>
      </c>
      <c r="L185" s="26"/>
    </row>
    <row r="186" spans="1:12" ht="15" x14ac:dyDescent="0.25">
      <c r="A186" s="123" t="s">
        <v>193</v>
      </c>
      <c r="B186" s="123">
        <v>12</v>
      </c>
      <c r="C186" s="125">
        <v>0</v>
      </c>
      <c r="D186" s="125">
        <v>0</v>
      </c>
      <c r="E186" s="125">
        <v>250</v>
      </c>
      <c r="F186" s="125">
        <v>53642625</v>
      </c>
      <c r="G186" s="125">
        <v>0</v>
      </c>
      <c r="H186" s="125">
        <f t="shared" si="4"/>
        <v>0</v>
      </c>
      <c r="I186" s="125">
        <v>250</v>
      </c>
      <c r="J186" s="125">
        <v>53642625</v>
      </c>
      <c r="K186" s="131">
        <f t="shared" si="5"/>
        <v>214570.5</v>
      </c>
      <c r="L186" s="43"/>
    </row>
    <row r="187" spans="1:12" ht="15" x14ac:dyDescent="0.25">
      <c r="A187" s="123" t="s">
        <v>194</v>
      </c>
      <c r="B187" s="123">
        <v>12</v>
      </c>
      <c r="C187" s="125">
        <v>131535</v>
      </c>
      <c r="D187" s="125">
        <v>626836099</v>
      </c>
      <c r="E187" s="125">
        <v>273861</v>
      </c>
      <c r="F187" s="125">
        <v>1931160000</v>
      </c>
      <c r="G187" s="125">
        <v>227875</v>
      </c>
      <c r="H187" s="125">
        <f t="shared" si="4"/>
        <v>1303281000</v>
      </c>
      <c r="I187" s="125">
        <v>177521</v>
      </c>
      <c r="J187" s="125">
        <v>1254715099</v>
      </c>
      <c r="K187" s="131">
        <f t="shared" si="5"/>
        <v>7067.9812472890535</v>
      </c>
      <c r="L187" s="26"/>
    </row>
    <row r="188" spans="1:12" ht="15" x14ac:dyDescent="0.25">
      <c r="A188" s="123" t="s">
        <v>195</v>
      </c>
      <c r="B188" s="123">
        <v>12</v>
      </c>
      <c r="C188" s="125">
        <v>0</v>
      </c>
      <c r="D188" s="125">
        <v>0</v>
      </c>
      <c r="E188" s="125">
        <v>11200</v>
      </c>
      <c r="F188" s="125">
        <v>2411276207</v>
      </c>
      <c r="G188" s="125">
        <v>1333</v>
      </c>
      <c r="H188" s="125">
        <f t="shared" si="4"/>
        <v>303268263</v>
      </c>
      <c r="I188" s="125">
        <v>9867</v>
      </c>
      <c r="J188" s="125">
        <v>2108007944</v>
      </c>
      <c r="K188" s="131">
        <f t="shared" si="5"/>
        <v>213642.23614067092</v>
      </c>
      <c r="L188" s="26"/>
    </row>
    <row r="189" spans="1:12" ht="15" x14ac:dyDescent="0.25">
      <c r="A189" s="123" t="s">
        <v>196</v>
      </c>
      <c r="B189" s="123">
        <v>12</v>
      </c>
      <c r="C189" s="125">
        <v>0</v>
      </c>
      <c r="D189" s="125">
        <v>0</v>
      </c>
      <c r="E189" s="125">
        <v>0</v>
      </c>
      <c r="F189" s="125">
        <v>0</v>
      </c>
      <c r="G189" s="125">
        <v>0</v>
      </c>
      <c r="H189" s="125">
        <f t="shared" si="4"/>
        <v>0</v>
      </c>
      <c r="I189" s="125">
        <v>0</v>
      </c>
      <c r="J189" s="125">
        <v>0</v>
      </c>
      <c r="K189" s="131"/>
      <c r="L189" s="26"/>
    </row>
    <row r="190" spans="1:12" ht="15" x14ac:dyDescent="0.25">
      <c r="A190" s="123" t="s">
        <v>197</v>
      </c>
      <c r="B190" s="123">
        <v>12</v>
      </c>
      <c r="C190" s="125">
        <v>1170</v>
      </c>
      <c r="D190" s="125">
        <v>8433374</v>
      </c>
      <c r="E190" s="125">
        <v>0</v>
      </c>
      <c r="F190" s="125">
        <v>0</v>
      </c>
      <c r="G190" s="125">
        <v>20</v>
      </c>
      <c r="H190" s="125">
        <f t="shared" si="4"/>
        <v>144160</v>
      </c>
      <c r="I190" s="125">
        <v>1150</v>
      </c>
      <c r="J190" s="125">
        <v>8289214</v>
      </c>
      <c r="K190" s="131">
        <f t="shared" si="5"/>
        <v>7208.0121739130436</v>
      </c>
      <c r="L190" s="26"/>
    </row>
    <row r="191" spans="1:12" ht="15" x14ac:dyDescent="0.25">
      <c r="A191" s="123" t="s">
        <v>198</v>
      </c>
      <c r="B191" s="123">
        <v>12</v>
      </c>
      <c r="C191" s="125">
        <v>0</v>
      </c>
      <c r="D191" s="125">
        <v>0</v>
      </c>
      <c r="E191" s="125">
        <v>0</v>
      </c>
      <c r="F191" s="125">
        <v>0</v>
      </c>
      <c r="G191" s="125">
        <v>0</v>
      </c>
      <c r="H191" s="125">
        <f t="shared" si="4"/>
        <v>0</v>
      </c>
      <c r="I191" s="125">
        <v>0</v>
      </c>
      <c r="J191" s="125">
        <v>0</v>
      </c>
      <c r="K191" s="131"/>
      <c r="L191" s="26"/>
    </row>
    <row r="192" spans="1:12" ht="15" x14ac:dyDescent="0.25">
      <c r="A192" s="123" t="s">
        <v>199</v>
      </c>
      <c r="B192" s="123">
        <v>12</v>
      </c>
      <c r="C192" s="125">
        <v>77684</v>
      </c>
      <c r="D192" s="125">
        <v>588888</v>
      </c>
      <c r="E192" s="125">
        <v>24</v>
      </c>
      <c r="F192" s="125">
        <v>588888</v>
      </c>
      <c r="G192" s="125">
        <v>0</v>
      </c>
      <c r="H192" s="125">
        <f t="shared" si="4"/>
        <v>0</v>
      </c>
      <c r="I192" s="125">
        <v>77708</v>
      </c>
      <c r="J192" s="125">
        <v>1177776</v>
      </c>
      <c r="K192" s="131">
        <f t="shared" si="5"/>
        <v>15.15643177021671</v>
      </c>
      <c r="L192" s="26"/>
    </row>
    <row r="193" spans="1:12" ht="15" x14ac:dyDescent="0.25">
      <c r="A193" s="123" t="s">
        <v>200</v>
      </c>
      <c r="B193" s="123">
        <v>12</v>
      </c>
      <c r="C193" s="125">
        <v>144</v>
      </c>
      <c r="D193" s="125">
        <v>1037304</v>
      </c>
      <c r="E193" s="125">
        <v>0</v>
      </c>
      <c r="F193" s="125">
        <v>0</v>
      </c>
      <c r="G193" s="125">
        <v>0</v>
      </c>
      <c r="H193" s="125">
        <f t="shared" si="4"/>
        <v>0</v>
      </c>
      <c r="I193" s="125">
        <v>144</v>
      </c>
      <c r="J193" s="125">
        <v>1037304</v>
      </c>
      <c r="K193" s="131">
        <f t="shared" si="5"/>
        <v>7203.5</v>
      </c>
      <c r="L193" s="26"/>
    </row>
    <row r="194" spans="1:12" ht="15" x14ac:dyDescent="0.25">
      <c r="A194" s="123" t="s">
        <v>201</v>
      </c>
      <c r="B194" s="123">
        <v>12</v>
      </c>
      <c r="C194" s="125">
        <v>1032</v>
      </c>
      <c r="D194" s="125">
        <v>16267839</v>
      </c>
      <c r="E194" s="125">
        <v>180</v>
      </c>
      <c r="F194" s="125">
        <v>2916720</v>
      </c>
      <c r="G194" s="125">
        <v>720</v>
      </c>
      <c r="H194" s="125">
        <f t="shared" si="4"/>
        <v>11396768</v>
      </c>
      <c r="I194" s="125">
        <v>492</v>
      </c>
      <c r="J194" s="125">
        <v>7787791</v>
      </c>
      <c r="K194" s="131">
        <f t="shared" si="5"/>
        <v>15828.84349593496</v>
      </c>
      <c r="L194" s="26"/>
    </row>
    <row r="195" spans="1:12" ht="15" x14ac:dyDescent="0.25">
      <c r="A195" s="123" t="s">
        <v>202</v>
      </c>
      <c r="B195" s="123">
        <v>12</v>
      </c>
      <c r="C195" s="125">
        <v>0</v>
      </c>
      <c r="D195" s="125">
        <v>0</v>
      </c>
      <c r="E195" s="125">
        <v>72</v>
      </c>
      <c r="F195" s="125">
        <v>1857744</v>
      </c>
      <c r="G195" s="125">
        <v>0</v>
      </c>
      <c r="H195" s="125">
        <f t="shared" si="4"/>
        <v>0</v>
      </c>
      <c r="I195" s="125">
        <v>72</v>
      </c>
      <c r="J195" s="125">
        <v>1857744</v>
      </c>
      <c r="K195" s="131">
        <f t="shared" si="5"/>
        <v>25802</v>
      </c>
      <c r="L195" s="26"/>
    </row>
    <row r="196" spans="1:12" ht="15" x14ac:dyDescent="0.25">
      <c r="A196" s="123" t="s">
        <v>203</v>
      </c>
      <c r="B196" s="123">
        <v>12</v>
      </c>
      <c r="C196" s="125">
        <v>5208</v>
      </c>
      <c r="D196" s="125">
        <v>58948499</v>
      </c>
      <c r="E196" s="125">
        <v>360</v>
      </c>
      <c r="F196" s="125">
        <v>4225320</v>
      </c>
      <c r="G196" s="125">
        <v>4681</v>
      </c>
      <c r="H196" s="125">
        <f t="shared" si="4"/>
        <v>52758308</v>
      </c>
      <c r="I196" s="125">
        <v>887</v>
      </c>
      <c r="J196" s="125">
        <v>10415511</v>
      </c>
      <c r="K196" s="131">
        <f t="shared" si="5"/>
        <v>11742.402480270575</v>
      </c>
      <c r="L196" s="26"/>
    </row>
    <row r="197" spans="1:12" ht="15" x14ac:dyDescent="0.25">
      <c r="A197" s="123" t="s">
        <v>204</v>
      </c>
      <c r="B197" s="123">
        <v>12</v>
      </c>
      <c r="C197" s="125">
        <v>12491</v>
      </c>
      <c r="D197" s="125">
        <v>384147850</v>
      </c>
      <c r="E197" s="125"/>
      <c r="F197" s="125">
        <v>0</v>
      </c>
      <c r="G197" s="125">
        <v>5514</v>
      </c>
      <c r="H197" s="125">
        <f t="shared" ref="H197:H260" si="6">D197+F197-J197</f>
        <v>160810000</v>
      </c>
      <c r="I197" s="125">
        <v>6977</v>
      </c>
      <c r="J197" s="125">
        <v>223337850</v>
      </c>
      <c r="K197" s="131">
        <f t="shared" ref="K197:K260" si="7">J197/I197</f>
        <v>32010.584778558121</v>
      </c>
      <c r="L197" s="26"/>
    </row>
    <row r="198" spans="1:12" ht="15" x14ac:dyDescent="0.25">
      <c r="A198" s="123" t="s">
        <v>205</v>
      </c>
      <c r="B198" s="123">
        <v>12</v>
      </c>
      <c r="C198" s="125">
        <v>820</v>
      </c>
      <c r="D198" s="125">
        <v>49022428</v>
      </c>
      <c r="E198" s="125">
        <v>0</v>
      </c>
      <c r="F198" s="125">
        <v>0</v>
      </c>
      <c r="G198" s="125">
        <v>651</v>
      </c>
      <c r="H198" s="125">
        <f t="shared" si="6"/>
        <v>37663574</v>
      </c>
      <c r="I198" s="125">
        <v>169</v>
      </c>
      <c r="J198" s="125">
        <v>11358854</v>
      </c>
      <c r="K198" s="131">
        <f t="shared" si="7"/>
        <v>67212.153846153844</v>
      </c>
      <c r="L198" s="26"/>
    </row>
    <row r="199" spans="1:12" ht="15" x14ac:dyDescent="0.25">
      <c r="A199" s="123" t="s">
        <v>206</v>
      </c>
      <c r="B199" s="123">
        <v>12</v>
      </c>
      <c r="C199" s="125">
        <v>814</v>
      </c>
      <c r="D199" s="125">
        <v>26110276</v>
      </c>
      <c r="E199" s="125">
        <v>192</v>
      </c>
      <c r="F199" s="125">
        <v>6309812</v>
      </c>
      <c r="G199" s="125">
        <v>646</v>
      </c>
      <c r="H199" s="125">
        <f t="shared" si="6"/>
        <v>20818466</v>
      </c>
      <c r="I199" s="125">
        <v>360</v>
      </c>
      <c r="J199" s="125">
        <v>11601622</v>
      </c>
      <c r="K199" s="131">
        <f t="shared" si="7"/>
        <v>32226.727777777778</v>
      </c>
      <c r="L199" s="26"/>
    </row>
    <row r="200" spans="1:12" ht="15" x14ac:dyDescent="0.25">
      <c r="A200" s="123" t="s">
        <v>207</v>
      </c>
      <c r="B200" s="123">
        <v>12</v>
      </c>
      <c r="C200" s="125">
        <v>1728</v>
      </c>
      <c r="D200" s="125">
        <v>3454644</v>
      </c>
      <c r="E200" s="125"/>
      <c r="F200" s="125">
        <v>0</v>
      </c>
      <c r="G200" s="125">
        <v>1461</v>
      </c>
      <c r="H200" s="125">
        <f t="shared" si="6"/>
        <v>38904</v>
      </c>
      <c r="I200" s="125">
        <v>267</v>
      </c>
      <c r="J200" s="125">
        <v>3415740</v>
      </c>
      <c r="K200" s="131">
        <f t="shared" si="7"/>
        <v>12793.033707865168</v>
      </c>
      <c r="L200" s="26"/>
    </row>
    <row r="201" spans="1:12" ht="15" x14ac:dyDescent="0.25">
      <c r="A201" s="123" t="s">
        <v>208</v>
      </c>
      <c r="B201" s="123">
        <v>12</v>
      </c>
      <c r="C201" s="125">
        <v>13</v>
      </c>
      <c r="D201" s="125">
        <v>107765</v>
      </c>
      <c r="E201" s="125">
        <v>432</v>
      </c>
      <c r="F201" s="125">
        <v>4525632</v>
      </c>
      <c r="G201" s="125">
        <v>240</v>
      </c>
      <c r="H201" s="125">
        <f t="shared" si="6"/>
        <v>2498911</v>
      </c>
      <c r="I201" s="125">
        <v>205</v>
      </c>
      <c r="J201" s="125">
        <v>2134486</v>
      </c>
      <c r="K201" s="131">
        <f t="shared" si="7"/>
        <v>10412.126829268293</v>
      </c>
      <c r="L201" s="26"/>
    </row>
    <row r="202" spans="1:12" ht="15" x14ac:dyDescent="0.25">
      <c r="A202" s="123" t="s">
        <v>209</v>
      </c>
      <c r="B202" s="123">
        <v>12</v>
      </c>
      <c r="C202" s="125">
        <v>60</v>
      </c>
      <c r="D202" s="125">
        <v>3504600</v>
      </c>
      <c r="E202" s="125">
        <v>36</v>
      </c>
      <c r="F202" s="125">
        <v>2102760</v>
      </c>
      <c r="G202" s="125">
        <v>20</v>
      </c>
      <c r="H202" s="125">
        <f t="shared" si="6"/>
        <v>1168200</v>
      </c>
      <c r="I202" s="125">
        <v>76</v>
      </c>
      <c r="J202" s="125">
        <v>4439160</v>
      </c>
      <c r="K202" s="131">
        <f t="shared" si="7"/>
        <v>58410</v>
      </c>
      <c r="L202" s="26"/>
    </row>
    <row r="203" spans="1:12" ht="15" x14ac:dyDescent="0.25">
      <c r="A203" s="123" t="s">
        <v>210</v>
      </c>
      <c r="B203" s="123">
        <v>12</v>
      </c>
      <c r="C203" s="125">
        <v>625</v>
      </c>
      <c r="D203" s="125">
        <v>6930861</v>
      </c>
      <c r="E203" s="125">
        <v>0</v>
      </c>
      <c r="F203" s="125">
        <v>0</v>
      </c>
      <c r="G203" s="125">
        <v>0</v>
      </c>
      <c r="H203" s="125">
        <f t="shared" si="6"/>
        <v>0</v>
      </c>
      <c r="I203" s="125">
        <v>625</v>
      </c>
      <c r="J203" s="125">
        <v>6930861</v>
      </c>
      <c r="K203" s="131">
        <f t="shared" si="7"/>
        <v>11089.3776</v>
      </c>
      <c r="L203" s="26"/>
    </row>
    <row r="204" spans="1:12" ht="15" x14ac:dyDescent="0.25">
      <c r="A204" s="123" t="s">
        <v>211</v>
      </c>
      <c r="B204" s="123">
        <v>12</v>
      </c>
      <c r="C204" s="125">
        <v>0</v>
      </c>
      <c r="D204" s="125">
        <v>0</v>
      </c>
      <c r="E204" s="125">
        <v>115</v>
      </c>
      <c r="F204" s="125">
        <v>2133360</v>
      </c>
      <c r="G204" s="125">
        <v>0</v>
      </c>
      <c r="H204" s="125">
        <f t="shared" si="6"/>
        <v>0</v>
      </c>
      <c r="I204" s="125">
        <v>115</v>
      </c>
      <c r="J204" s="125">
        <v>2133360</v>
      </c>
      <c r="K204" s="131">
        <f t="shared" si="7"/>
        <v>18550.956521739132</v>
      </c>
      <c r="L204" s="26"/>
    </row>
    <row r="205" spans="1:12" ht="15" x14ac:dyDescent="0.25">
      <c r="A205" s="123" t="s">
        <v>212</v>
      </c>
      <c r="B205" s="123">
        <v>12</v>
      </c>
      <c r="C205" s="125">
        <v>33249</v>
      </c>
      <c r="D205" s="125">
        <v>411726334</v>
      </c>
      <c r="E205" s="125">
        <v>6084</v>
      </c>
      <c r="F205" s="125">
        <v>40227840</v>
      </c>
      <c r="G205" s="125">
        <v>21793</v>
      </c>
      <c r="H205" s="125">
        <f t="shared" si="6"/>
        <v>234183600</v>
      </c>
      <c r="I205" s="125">
        <v>17540</v>
      </c>
      <c r="J205" s="125">
        <v>217770574</v>
      </c>
      <c r="K205" s="131">
        <f t="shared" si="7"/>
        <v>12415.654161915621</v>
      </c>
      <c r="L205" s="26"/>
    </row>
    <row r="206" spans="1:12" ht="15" x14ac:dyDescent="0.25">
      <c r="A206" s="123" t="s">
        <v>213</v>
      </c>
      <c r="B206" s="123">
        <v>12</v>
      </c>
      <c r="C206" s="125">
        <v>3820</v>
      </c>
      <c r="D206" s="125">
        <v>76529330</v>
      </c>
      <c r="E206" s="125">
        <v>0</v>
      </c>
      <c r="F206" s="125">
        <v>0</v>
      </c>
      <c r="G206" s="125">
        <v>2430</v>
      </c>
      <c r="H206" s="125">
        <f t="shared" si="6"/>
        <v>46999426</v>
      </c>
      <c r="I206" s="125">
        <v>1390</v>
      </c>
      <c r="J206" s="125">
        <v>29529904</v>
      </c>
      <c r="K206" s="131">
        <f t="shared" si="7"/>
        <v>21244.535251798563</v>
      </c>
      <c r="L206" s="26"/>
    </row>
    <row r="207" spans="1:12" ht="15" x14ac:dyDescent="0.25">
      <c r="A207" s="123" t="s">
        <v>214</v>
      </c>
      <c r="B207" s="123">
        <v>12</v>
      </c>
      <c r="C207" s="125">
        <v>9946</v>
      </c>
      <c r="D207" s="125">
        <v>217056384</v>
      </c>
      <c r="E207" s="125">
        <v>11664</v>
      </c>
      <c r="F207" s="125">
        <v>287377632</v>
      </c>
      <c r="G207" s="125">
        <v>11949</v>
      </c>
      <c r="H207" s="125">
        <f t="shared" si="6"/>
        <v>266401600</v>
      </c>
      <c r="I207" s="125">
        <v>9661</v>
      </c>
      <c r="J207" s="125">
        <v>238032416</v>
      </c>
      <c r="K207" s="131">
        <f t="shared" si="7"/>
        <v>24638.486285063656</v>
      </c>
      <c r="L207" s="26"/>
    </row>
    <row r="208" spans="1:12" ht="15" x14ac:dyDescent="0.25">
      <c r="A208" s="123" t="s">
        <v>215</v>
      </c>
      <c r="B208" s="123">
        <v>12</v>
      </c>
      <c r="C208" s="125">
        <v>2800</v>
      </c>
      <c r="D208" s="125">
        <v>111956379</v>
      </c>
      <c r="E208" s="125">
        <v>0</v>
      </c>
      <c r="F208" s="125">
        <v>0</v>
      </c>
      <c r="G208" s="125">
        <v>2241</v>
      </c>
      <c r="H208" s="125">
        <f t="shared" si="6"/>
        <v>88085680</v>
      </c>
      <c r="I208" s="125">
        <v>559</v>
      </c>
      <c r="J208" s="125">
        <v>23870699</v>
      </c>
      <c r="K208" s="131">
        <f t="shared" si="7"/>
        <v>42702.502683363149</v>
      </c>
      <c r="L208" s="26"/>
    </row>
    <row r="209" spans="1:12" ht="15" x14ac:dyDescent="0.25">
      <c r="A209" s="123" t="s">
        <v>216</v>
      </c>
      <c r="B209" s="123">
        <v>12</v>
      </c>
      <c r="C209" s="125">
        <v>0</v>
      </c>
      <c r="D209" s="125">
        <v>0</v>
      </c>
      <c r="E209" s="125">
        <v>160</v>
      </c>
      <c r="F209" s="125">
        <v>2778080</v>
      </c>
      <c r="G209" s="125">
        <v>160</v>
      </c>
      <c r="H209" s="125">
        <f t="shared" si="6"/>
        <v>2778080</v>
      </c>
      <c r="I209" s="125">
        <v>0</v>
      </c>
      <c r="J209" s="125">
        <v>0</v>
      </c>
      <c r="K209" s="131"/>
      <c r="L209" s="26"/>
    </row>
    <row r="210" spans="1:12" ht="15" x14ac:dyDescent="0.25">
      <c r="A210" s="123" t="s">
        <v>217</v>
      </c>
      <c r="B210" s="123">
        <v>12</v>
      </c>
      <c r="C210" s="125">
        <v>10</v>
      </c>
      <c r="D210" s="125">
        <v>1775003</v>
      </c>
      <c r="E210" s="125">
        <v>80</v>
      </c>
      <c r="F210" s="125">
        <v>14456000</v>
      </c>
      <c r="G210" s="125">
        <v>0</v>
      </c>
      <c r="H210" s="125">
        <f t="shared" si="6"/>
        <v>0</v>
      </c>
      <c r="I210" s="125">
        <v>90</v>
      </c>
      <c r="J210" s="125">
        <v>16231003</v>
      </c>
      <c r="K210" s="131">
        <f t="shared" si="7"/>
        <v>180344.47777777776</v>
      </c>
      <c r="L210" s="26"/>
    </row>
    <row r="211" spans="1:12" ht="15" x14ac:dyDescent="0.25">
      <c r="A211" s="123" t="s">
        <v>218</v>
      </c>
      <c r="B211" s="123">
        <v>12</v>
      </c>
      <c r="C211" s="125">
        <v>0</v>
      </c>
      <c r="D211" s="125">
        <v>0</v>
      </c>
      <c r="E211" s="125">
        <v>50</v>
      </c>
      <c r="F211" s="125">
        <v>11800000</v>
      </c>
      <c r="G211" s="125">
        <v>0</v>
      </c>
      <c r="H211" s="125">
        <f t="shared" si="6"/>
        <v>0</v>
      </c>
      <c r="I211" s="125">
        <v>50</v>
      </c>
      <c r="J211" s="125">
        <v>11800000</v>
      </c>
      <c r="K211" s="131">
        <f t="shared" si="7"/>
        <v>236000</v>
      </c>
      <c r="L211" s="26"/>
    </row>
    <row r="212" spans="1:12" ht="15" x14ac:dyDescent="0.25">
      <c r="A212" s="123" t="s">
        <v>219</v>
      </c>
      <c r="B212" s="123">
        <v>12</v>
      </c>
      <c r="C212" s="125">
        <v>0</v>
      </c>
      <c r="D212" s="125">
        <v>0</v>
      </c>
      <c r="E212" s="125">
        <v>30</v>
      </c>
      <c r="F212" s="125">
        <v>7080000</v>
      </c>
      <c r="G212" s="125">
        <v>0</v>
      </c>
      <c r="H212" s="125">
        <f t="shared" si="6"/>
        <v>0</v>
      </c>
      <c r="I212" s="125">
        <v>30</v>
      </c>
      <c r="J212" s="125">
        <v>7080000</v>
      </c>
      <c r="K212" s="131">
        <f t="shared" si="7"/>
        <v>236000</v>
      </c>
      <c r="L212" s="26"/>
    </row>
    <row r="213" spans="1:12" ht="15" x14ac:dyDescent="0.25">
      <c r="A213" s="123" t="s">
        <v>220</v>
      </c>
      <c r="B213" s="123">
        <v>12</v>
      </c>
      <c r="C213" s="125">
        <v>0</v>
      </c>
      <c r="D213" s="125">
        <v>0</v>
      </c>
      <c r="E213" s="125">
        <v>72</v>
      </c>
      <c r="F213" s="125">
        <v>1847966</v>
      </c>
      <c r="G213" s="125">
        <v>0</v>
      </c>
      <c r="H213" s="125">
        <f t="shared" si="6"/>
        <v>0</v>
      </c>
      <c r="I213" s="125">
        <v>72</v>
      </c>
      <c r="J213" s="125">
        <v>1847966</v>
      </c>
      <c r="K213" s="131">
        <f t="shared" si="7"/>
        <v>25666.194444444445</v>
      </c>
      <c r="L213" s="26"/>
    </row>
    <row r="214" spans="1:12" ht="15" x14ac:dyDescent="0.25">
      <c r="A214" s="123" t="s">
        <v>221</v>
      </c>
      <c r="B214" s="123">
        <v>12</v>
      </c>
      <c r="C214" s="125">
        <v>4178</v>
      </c>
      <c r="D214" s="125">
        <v>81823781</v>
      </c>
      <c r="E214" s="125">
        <v>1656</v>
      </c>
      <c r="F214" s="125">
        <v>32608296</v>
      </c>
      <c r="G214" s="125">
        <v>1904</v>
      </c>
      <c r="H214" s="125">
        <f t="shared" si="6"/>
        <v>37346362</v>
      </c>
      <c r="I214" s="125">
        <v>3930</v>
      </c>
      <c r="J214" s="125">
        <v>77085715</v>
      </c>
      <c r="K214" s="131">
        <f t="shared" si="7"/>
        <v>19614.685750636134</v>
      </c>
      <c r="L214" s="26"/>
    </row>
    <row r="215" spans="1:12" ht="15" x14ac:dyDescent="0.25">
      <c r="A215" s="123" t="s">
        <v>222</v>
      </c>
      <c r="B215" s="123">
        <v>12</v>
      </c>
      <c r="C215" s="125">
        <v>1066</v>
      </c>
      <c r="D215" s="125">
        <v>22876165</v>
      </c>
      <c r="E215" s="125">
        <v>0</v>
      </c>
      <c r="F215" s="125">
        <v>0</v>
      </c>
      <c r="G215" s="125">
        <v>304</v>
      </c>
      <c r="H215" s="125">
        <f t="shared" si="6"/>
        <v>3734008</v>
      </c>
      <c r="I215" s="125">
        <v>762</v>
      </c>
      <c r="J215" s="125">
        <v>19142157</v>
      </c>
      <c r="K215" s="131">
        <f t="shared" si="7"/>
        <v>25120.940944881891</v>
      </c>
      <c r="L215" s="26"/>
    </row>
    <row r="216" spans="1:12" ht="15" x14ac:dyDescent="0.25">
      <c r="A216" s="123" t="s">
        <v>223</v>
      </c>
      <c r="B216" s="123">
        <v>12</v>
      </c>
      <c r="C216" s="125">
        <v>337</v>
      </c>
      <c r="D216" s="125">
        <v>14575142</v>
      </c>
      <c r="E216" s="125">
        <v>0</v>
      </c>
      <c r="F216" s="125">
        <v>0</v>
      </c>
      <c r="G216" s="125">
        <v>90</v>
      </c>
      <c r="H216" s="125">
        <f t="shared" si="6"/>
        <v>3892471</v>
      </c>
      <c r="I216" s="125">
        <v>247</v>
      </c>
      <c r="J216" s="125">
        <v>10682671</v>
      </c>
      <c r="K216" s="131">
        <f t="shared" si="7"/>
        <v>43249.680161943317</v>
      </c>
      <c r="L216" s="26"/>
    </row>
    <row r="217" spans="1:12" ht="15" x14ac:dyDescent="0.25">
      <c r="A217" s="123" t="s">
        <v>224</v>
      </c>
      <c r="B217" s="123">
        <v>12</v>
      </c>
      <c r="C217" s="125">
        <v>0</v>
      </c>
      <c r="D217" s="125">
        <v>0</v>
      </c>
      <c r="E217" s="125">
        <v>0</v>
      </c>
      <c r="F217" s="125">
        <v>0</v>
      </c>
      <c r="G217" s="125">
        <v>0</v>
      </c>
      <c r="H217" s="125">
        <f t="shared" si="6"/>
        <v>0</v>
      </c>
      <c r="I217" s="125">
        <v>0</v>
      </c>
      <c r="J217" s="125">
        <v>0</v>
      </c>
      <c r="K217" s="131"/>
      <c r="L217" s="26"/>
    </row>
    <row r="218" spans="1:12" ht="15" x14ac:dyDescent="0.25">
      <c r="A218" s="123" t="s">
        <v>225</v>
      </c>
      <c r="B218" s="123">
        <v>12</v>
      </c>
      <c r="C218" s="125">
        <v>268</v>
      </c>
      <c r="D218" s="125">
        <v>5622934</v>
      </c>
      <c r="E218" s="125">
        <v>144</v>
      </c>
      <c r="F218" s="125">
        <v>3021278</v>
      </c>
      <c r="G218" s="125">
        <v>180</v>
      </c>
      <c r="H218" s="125">
        <f t="shared" si="6"/>
        <v>3776597</v>
      </c>
      <c r="I218" s="125">
        <v>232</v>
      </c>
      <c r="J218" s="125">
        <v>4867615</v>
      </c>
      <c r="K218" s="131">
        <f t="shared" si="7"/>
        <v>20981.099137931036</v>
      </c>
      <c r="L218" s="26"/>
    </row>
    <row r="219" spans="1:12" ht="15" x14ac:dyDescent="0.25">
      <c r="A219" s="123" t="s">
        <v>226</v>
      </c>
      <c r="B219" s="123">
        <v>12</v>
      </c>
      <c r="C219" s="125">
        <v>0</v>
      </c>
      <c r="D219" s="125">
        <v>0</v>
      </c>
      <c r="E219" s="125">
        <v>0</v>
      </c>
      <c r="F219" s="125">
        <v>0</v>
      </c>
      <c r="G219" s="125">
        <v>0</v>
      </c>
      <c r="H219" s="125">
        <f t="shared" si="6"/>
        <v>0</v>
      </c>
      <c r="I219" s="125">
        <v>0</v>
      </c>
      <c r="J219" s="125">
        <v>0</v>
      </c>
      <c r="K219" s="131"/>
      <c r="L219" s="26"/>
    </row>
    <row r="220" spans="1:12" ht="15" x14ac:dyDescent="0.25">
      <c r="A220" s="123" t="s">
        <v>227</v>
      </c>
      <c r="B220" s="123">
        <v>12</v>
      </c>
      <c r="C220" s="125">
        <v>470</v>
      </c>
      <c r="D220" s="125">
        <v>0</v>
      </c>
      <c r="E220" s="125"/>
      <c r="F220" s="125">
        <v>0</v>
      </c>
      <c r="G220" s="125">
        <v>0</v>
      </c>
      <c r="H220" s="125">
        <f t="shared" si="6"/>
        <v>0</v>
      </c>
      <c r="I220" s="125"/>
      <c r="J220" s="125">
        <v>0</v>
      </c>
      <c r="K220" s="131"/>
      <c r="L220" s="26"/>
    </row>
    <row r="221" spans="1:12" ht="15" x14ac:dyDescent="0.25">
      <c r="A221" s="123" t="s">
        <v>228</v>
      </c>
      <c r="B221" s="123">
        <v>12</v>
      </c>
      <c r="C221" s="125">
        <v>67</v>
      </c>
      <c r="D221" s="125">
        <v>5925955</v>
      </c>
      <c r="E221" s="125">
        <v>56</v>
      </c>
      <c r="F221" s="125">
        <v>4917248</v>
      </c>
      <c r="G221" s="125">
        <v>0</v>
      </c>
      <c r="H221" s="125">
        <f t="shared" si="6"/>
        <v>0</v>
      </c>
      <c r="I221" s="125">
        <v>123</v>
      </c>
      <c r="J221" s="125">
        <v>10843203</v>
      </c>
      <c r="K221" s="131">
        <f t="shared" si="7"/>
        <v>88156.121951219509</v>
      </c>
      <c r="L221" s="26"/>
    </row>
    <row r="222" spans="1:12" ht="15" x14ac:dyDescent="0.25">
      <c r="A222" s="123" t="s">
        <v>229</v>
      </c>
      <c r="B222" s="123">
        <v>12</v>
      </c>
      <c r="C222" s="125">
        <v>2747</v>
      </c>
      <c r="D222" s="125">
        <v>247783362</v>
      </c>
      <c r="E222" s="125">
        <v>412</v>
      </c>
      <c r="F222" s="125">
        <v>36610448</v>
      </c>
      <c r="G222" s="125">
        <v>2933</v>
      </c>
      <c r="H222" s="125">
        <f t="shared" si="6"/>
        <v>263286766</v>
      </c>
      <c r="I222" s="125">
        <v>226</v>
      </c>
      <c r="J222" s="125">
        <v>21107044</v>
      </c>
      <c r="K222" s="131">
        <f t="shared" si="7"/>
        <v>93394</v>
      </c>
      <c r="L222" s="26"/>
    </row>
    <row r="223" spans="1:12" ht="15" x14ac:dyDescent="0.25">
      <c r="A223" s="123" t="s">
        <v>230</v>
      </c>
      <c r="B223" s="123">
        <v>12</v>
      </c>
      <c r="C223" s="125">
        <v>1429</v>
      </c>
      <c r="D223" s="125">
        <v>91033464</v>
      </c>
      <c r="E223" s="125">
        <v>924</v>
      </c>
      <c r="F223" s="125">
        <v>52136000</v>
      </c>
      <c r="G223" s="125">
        <v>2107</v>
      </c>
      <c r="H223" s="125">
        <f t="shared" si="6"/>
        <v>127167097</v>
      </c>
      <c r="I223" s="125">
        <v>246</v>
      </c>
      <c r="J223" s="125">
        <v>16002367</v>
      </c>
      <c r="K223" s="131">
        <f t="shared" si="7"/>
        <v>65050.272357723574</v>
      </c>
      <c r="L223" s="26"/>
    </row>
    <row r="224" spans="1:12" ht="15" x14ac:dyDescent="0.25">
      <c r="A224" s="123" t="s">
        <v>231</v>
      </c>
      <c r="B224" s="123">
        <v>12</v>
      </c>
      <c r="C224" s="125">
        <v>0</v>
      </c>
      <c r="D224" s="125">
        <v>0</v>
      </c>
      <c r="E224" s="125">
        <v>0</v>
      </c>
      <c r="F224" s="125">
        <v>0</v>
      </c>
      <c r="G224" s="125">
        <v>0</v>
      </c>
      <c r="H224" s="125">
        <f t="shared" si="6"/>
        <v>0</v>
      </c>
      <c r="I224" s="125">
        <v>0</v>
      </c>
      <c r="J224" s="125">
        <v>0</v>
      </c>
      <c r="K224" s="131" t="e">
        <f t="shared" si="7"/>
        <v>#DIV/0!</v>
      </c>
      <c r="L224" s="26"/>
    </row>
    <row r="225" spans="1:12" ht="15" x14ac:dyDescent="0.25">
      <c r="A225" s="123" t="s">
        <v>232</v>
      </c>
      <c r="B225" s="123">
        <v>12</v>
      </c>
      <c r="C225" s="125">
        <v>897</v>
      </c>
      <c r="D225" s="125">
        <v>54866918</v>
      </c>
      <c r="E225" s="125">
        <v>389</v>
      </c>
      <c r="F225" s="125">
        <v>22866732</v>
      </c>
      <c r="G225" s="125">
        <v>665</v>
      </c>
      <c r="H225" s="125">
        <f t="shared" si="6"/>
        <v>40196639</v>
      </c>
      <c r="I225" s="125">
        <v>621</v>
      </c>
      <c r="J225" s="125">
        <v>37537011</v>
      </c>
      <c r="K225" s="131">
        <f t="shared" si="7"/>
        <v>60446.072463768112</v>
      </c>
      <c r="L225" s="26"/>
    </row>
    <row r="226" spans="1:12" ht="15" x14ac:dyDescent="0.25">
      <c r="A226" s="123" t="s">
        <v>233</v>
      </c>
      <c r="B226" s="123">
        <v>12</v>
      </c>
      <c r="C226" s="125">
        <v>5775</v>
      </c>
      <c r="D226" s="125">
        <v>348275500</v>
      </c>
      <c r="E226" s="125">
        <v>2032</v>
      </c>
      <c r="F226" s="125">
        <v>100352000</v>
      </c>
      <c r="G226" s="125">
        <v>5082</v>
      </c>
      <c r="H226" s="125">
        <f t="shared" si="6"/>
        <v>277727259</v>
      </c>
      <c r="I226" s="125">
        <v>2725</v>
      </c>
      <c r="J226" s="125">
        <v>170900241</v>
      </c>
      <c r="K226" s="131">
        <f t="shared" si="7"/>
        <v>62715.684770642205</v>
      </c>
      <c r="L226" s="26"/>
    </row>
    <row r="227" spans="1:12" ht="15" x14ac:dyDescent="0.25">
      <c r="A227" s="123" t="s">
        <v>234</v>
      </c>
      <c r="B227" s="123">
        <v>12</v>
      </c>
      <c r="C227" s="125">
        <v>22923</v>
      </c>
      <c r="D227" s="125">
        <v>1293167657</v>
      </c>
      <c r="E227" s="125">
        <v>17433</v>
      </c>
      <c r="F227" s="125">
        <v>905972760</v>
      </c>
      <c r="G227" s="125">
        <v>25056</v>
      </c>
      <c r="H227" s="125">
        <f t="shared" si="6"/>
        <v>1286033703</v>
      </c>
      <c r="I227" s="125">
        <v>15300</v>
      </c>
      <c r="J227" s="125">
        <v>913106714</v>
      </c>
      <c r="K227" s="131">
        <f t="shared" si="7"/>
        <v>59680.177385620918</v>
      </c>
      <c r="L227" s="26"/>
    </row>
    <row r="228" spans="1:12" ht="15" x14ac:dyDescent="0.25">
      <c r="A228" s="123" t="s">
        <v>235</v>
      </c>
      <c r="B228" s="123">
        <v>12</v>
      </c>
      <c r="C228" s="125">
        <v>322</v>
      </c>
      <c r="D228" s="125">
        <v>22632087</v>
      </c>
      <c r="E228" s="125">
        <v>120</v>
      </c>
      <c r="F228" s="125">
        <v>8467200</v>
      </c>
      <c r="G228" s="125">
        <v>298</v>
      </c>
      <c r="H228" s="125">
        <f t="shared" si="6"/>
        <v>20967393</v>
      </c>
      <c r="I228" s="125">
        <v>144</v>
      </c>
      <c r="J228" s="125">
        <v>10131894</v>
      </c>
      <c r="K228" s="131">
        <f t="shared" si="7"/>
        <v>70360.375</v>
      </c>
      <c r="L228" s="26"/>
    </row>
    <row r="229" spans="1:12" ht="15" x14ac:dyDescent="0.25">
      <c r="A229" s="123" t="s">
        <v>236</v>
      </c>
      <c r="B229" s="123">
        <v>12</v>
      </c>
      <c r="C229" s="125">
        <v>252</v>
      </c>
      <c r="D229" s="125">
        <v>16163532</v>
      </c>
      <c r="E229" s="125">
        <v>612</v>
      </c>
      <c r="F229" s="125">
        <v>37714908</v>
      </c>
      <c r="G229" s="125">
        <v>463</v>
      </c>
      <c r="H229" s="125">
        <f t="shared" si="6"/>
        <v>28186406</v>
      </c>
      <c r="I229" s="125">
        <v>401</v>
      </c>
      <c r="J229" s="125">
        <v>25692034</v>
      </c>
      <c r="K229" s="131">
        <f t="shared" si="7"/>
        <v>64069.9102244389</v>
      </c>
      <c r="L229" s="26"/>
    </row>
    <row r="230" spans="1:12" ht="15" x14ac:dyDescent="0.25">
      <c r="A230" s="123" t="s">
        <v>237</v>
      </c>
      <c r="B230" s="123">
        <v>12</v>
      </c>
      <c r="C230" s="125">
        <v>235</v>
      </c>
      <c r="D230" s="125">
        <v>1918332</v>
      </c>
      <c r="E230" s="125">
        <v>235</v>
      </c>
      <c r="F230" s="125">
        <v>13933150</v>
      </c>
      <c r="G230" s="125">
        <v>235</v>
      </c>
      <c r="H230" s="125">
        <f t="shared" si="6"/>
        <v>1918332</v>
      </c>
      <c r="I230" s="125">
        <v>235</v>
      </c>
      <c r="J230" s="125">
        <v>13933150</v>
      </c>
      <c r="K230" s="131">
        <f t="shared" si="7"/>
        <v>59290</v>
      </c>
      <c r="L230" s="26"/>
    </row>
    <row r="231" spans="1:12" ht="15" x14ac:dyDescent="0.25">
      <c r="A231" s="123" t="s">
        <v>238</v>
      </c>
      <c r="B231" s="123">
        <v>12</v>
      </c>
      <c r="C231" s="125">
        <v>942</v>
      </c>
      <c r="D231" s="125">
        <v>53507694</v>
      </c>
      <c r="E231" s="125">
        <v>0</v>
      </c>
      <c r="F231" s="125">
        <v>0</v>
      </c>
      <c r="G231" s="125">
        <v>543</v>
      </c>
      <c r="H231" s="125">
        <f t="shared" si="6"/>
        <v>7497893</v>
      </c>
      <c r="I231" s="125">
        <v>399</v>
      </c>
      <c r="J231" s="125">
        <v>46009801</v>
      </c>
      <c r="K231" s="131">
        <f t="shared" si="7"/>
        <v>115312.78446115289</v>
      </c>
      <c r="L231" s="26"/>
    </row>
    <row r="232" spans="1:12" ht="15" x14ac:dyDescent="0.25">
      <c r="A232" s="123" t="s">
        <v>239</v>
      </c>
      <c r="B232" s="123">
        <v>12</v>
      </c>
      <c r="C232" s="125">
        <v>0</v>
      </c>
      <c r="D232" s="125">
        <v>0</v>
      </c>
      <c r="E232" s="125">
        <v>0</v>
      </c>
      <c r="F232" s="125">
        <v>0</v>
      </c>
      <c r="G232" s="125">
        <v>0</v>
      </c>
      <c r="H232" s="125">
        <f t="shared" si="6"/>
        <v>0</v>
      </c>
      <c r="I232" s="125">
        <v>0</v>
      </c>
      <c r="J232" s="125">
        <v>0</v>
      </c>
      <c r="K232" s="131"/>
      <c r="L232" s="26"/>
    </row>
    <row r="233" spans="1:12" ht="15" x14ac:dyDescent="0.25">
      <c r="A233" s="123" t="s">
        <v>240</v>
      </c>
      <c r="B233" s="123">
        <v>12</v>
      </c>
      <c r="C233" s="125">
        <v>25</v>
      </c>
      <c r="D233" s="125">
        <v>2337348</v>
      </c>
      <c r="E233" s="125">
        <v>2030</v>
      </c>
      <c r="F233" s="125">
        <v>189788760</v>
      </c>
      <c r="G233" s="125">
        <v>1506</v>
      </c>
      <c r="H233" s="125">
        <f t="shared" si="6"/>
        <v>140798987</v>
      </c>
      <c r="I233" s="125">
        <v>549</v>
      </c>
      <c r="J233" s="125">
        <v>51327121</v>
      </c>
      <c r="K233" s="131">
        <f t="shared" si="7"/>
        <v>93492.023679417121</v>
      </c>
      <c r="L233" s="26"/>
    </row>
    <row r="234" spans="1:12" ht="15" x14ac:dyDescent="0.25">
      <c r="A234" s="123" t="s">
        <v>241</v>
      </c>
      <c r="B234" s="123">
        <v>12</v>
      </c>
      <c r="C234" s="125">
        <v>1186</v>
      </c>
      <c r="D234" s="125">
        <v>91489935</v>
      </c>
      <c r="E234" s="125">
        <v>464</v>
      </c>
      <c r="F234" s="125">
        <v>32792760</v>
      </c>
      <c r="G234" s="125">
        <v>769</v>
      </c>
      <c r="H234" s="125">
        <f t="shared" si="6"/>
        <v>51294858</v>
      </c>
      <c r="I234" s="125">
        <v>881</v>
      </c>
      <c r="J234" s="125">
        <v>72987837</v>
      </c>
      <c r="K234" s="131">
        <f t="shared" si="7"/>
        <v>82846.58002270147</v>
      </c>
      <c r="L234" s="26"/>
    </row>
    <row r="235" spans="1:12" ht="15" x14ac:dyDescent="0.25">
      <c r="A235" s="123" t="s">
        <v>242</v>
      </c>
      <c r="B235" s="123">
        <v>12</v>
      </c>
      <c r="C235" s="125">
        <v>137</v>
      </c>
      <c r="D235" s="125">
        <v>9584186</v>
      </c>
      <c r="E235" s="125">
        <v>54</v>
      </c>
      <c r="F235" s="125">
        <v>3797010</v>
      </c>
      <c r="G235" s="125">
        <v>38</v>
      </c>
      <c r="H235" s="125">
        <f t="shared" si="6"/>
        <v>2311934</v>
      </c>
      <c r="I235" s="125">
        <v>153</v>
      </c>
      <c r="J235" s="125">
        <v>11069262</v>
      </c>
      <c r="K235" s="131">
        <f t="shared" si="7"/>
        <v>72348.117647058825</v>
      </c>
      <c r="L235" s="26"/>
    </row>
    <row r="236" spans="1:12" ht="15" x14ac:dyDescent="0.25">
      <c r="A236" s="123" t="s">
        <v>243</v>
      </c>
      <c r="B236" s="123">
        <v>12</v>
      </c>
      <c r="C236" s="125">
        <v>1575</v>
      </c>
      <c r="D236" s="125">
        <v>144885570</v>
      </c>
      <c r="E236" s="125">
        <v>171</v>
      </c>
      <c r="F236" s="125">
        <v>15690192</v>
      </c>
      <c r="G236" s="125">
        <v>1617</v>
      </c>
      <c r="H236" s="125">
        <f t="shared" si="6"/>
        <v>148711917</v>
      </c>
      <c r="I236" s="125">
        <v>129</v>
      </c>
      <c r="J236" s="125">
        <v>11863845</v>
      </c>
      <c r="K236" s="131">
        <f t="shared" si="7"/>
        <v>91967.790697674413</v>
      </c>
      <c r="L236" s="26"/>
    </row>
    <row r="237" spans="1:12" ht="15" x14ac:dyDescent="0.25">
      <c r="A237" s="123" t="s">
        <v>244</v>
      </c>
      <c r="B237" s="123">
        <v>12</v>
      </c>
      <c r="C237" s="125">
        <v>4</v>
      </c>
      <c r="D237" s="125">
        <v>351232</v>
      </c>
      <c r="E237" s="125">
        <v>48</v>
      </c>
      <c r="F237" s="125">
        <v>4214784</v>
      </c>
      <c r="G237" s="125">
        <v>52</v>
      </c>
      <c r="H237" s="125">
        <f t="shared" si="6"/>
        <v>4566016</v>
      </c>
      <c r="I237" s="125">
        <v>0</v>
      </c>
      <c r="J237" s="125">
        <v>0</v>
      </c>
      <c r="K237" s="131"/>
      <c r="L237" s="26"/>
    </row>
    <row r="238" spans="1:12" ht="15" x14ac:dyDescent="0.25">
      <c r="A238" s="123" t="s">
        <v>245</v>
      </c>
      <c r="B238" s="123">
        <v>12</v>
      </c>
      <c r="C238" s="125">
        <v>0</v>
      </c>
      <c r="D238" s="125">
        <v>0</v>
      </c>
      <c r="E238" s="125">
        <v>0</v>
      </c>
      <c r="F238" s="125">
        <v>0</v>
      </c>
      <c r="G238" s="125">
        <v>0</v>
      </c>
      <c r="H238" s="125">
        <f t="shared" si="6"/>
        <v>0</v>
      </c>
      <c r="I238" s="125">
        <v>0</v>
      </c>
      <c r="J238" s="125">
        <v>0</v>
      </c>
      <c r="K238" s="131"/>
      <c r="L238" s="26"/>
    </row>
    <row r="239" spans="1:12" ht="15" x14ac:dyDescent="0.25">
      <c r="A239" s="123" t="s">
        <v>246</v>
      </c>
      <c r="B239" s="123">
        <v>12</v>
      </c>
      <c r="C239" s="125">
        <v>8756</v>
      </c>
      <c r="D239" s="125">
        <v>62408741</v>
      </c>
      <c r="E239" s="125">
        <v>1920</v>
      </c>
      <c r="F239" s="125">
        <v>13684878</v>
      </c>
      <c r="G239" s="125">
        <v>135</v>
      </c>
      <c r="H239" s="125">
        <f t="shared" si="6"/>
        <v>962218</v>
      </c>
      <c r="I239" s="125">
        <v>10541</v>
      </c>
      <c r="J239" s="125">
        <v>75131401</v>
      </c>
      <c r="K239" s="131">
        <f t="shared" si="7"/>
        <v>7127.5401764538465</v>
      </c>
      <c r="L239" s="26"/>
    </row>
    <row r="240" spans="1:12" ht="15" x14ac:dyDescent="0.25">
      <c r="A240" s="123" t="s">
        <v>247</v>
      </c>
      <c r="B240" s="123">
        <v>12</v>
      </c>
      <c r="C240" s="125">
        <v>43404</v>
      </c>
      <c r="D240" s="125">
        <v>288267066</v>
      </c>
      <c r="E240" s="125">
        <v>2880</v>
      </c>
      <c r="F240" s="125">
        <v>20527315</v>
      </c>
      <c r="G240" s="125">
        <v>3104</v>
      </c>
      <c r="H240" s="125">
        <f t="shared" si="6"/>
        <v>1027447</v>
      </c>
      <c r="I240" s="125">
        <v>43180</v>
      </c>
      <c r="J240" s="125">
        <v>307766934</v>
      </c>
      <c r="K240" s="131">
        <f t="shared" si="7"/>
        <v>7127.5343677628534</v>
      </c>
      <c r="L240" s="26"/>
    </row>
    <row r="241" spans="1:12" ht="15" x14ac:dyDescent="0.25">
      <c r="A241" s="123" t="s">
        <v>248</v>
      </c>
      <c r="B241" s="123">
        <v>12</v>
      </c>
      <c r="C241" s="125">
        <v>384</v>
      </c>
      <c r="D241" s="125">
        <v>1852721</v>
      </c>
      <c r="E241" s="125">
        <v>0</v>
      </c>
      <c r="F241" s="125">
        <v>0</v>
      </c>
      <c r="G241" s="125">
        <v>0</v>
      </c>
      <c r="H241" s="125">
        <f t="shared" si="6"/>
        <v>0</v>
      </c>
      <c r="I241" s="125">
        <v>384</v>
      </c>
      <c r="J241" s="125">
        <v>1852721</v>
      </c>
      <c r="K241" s="131">
        <f t="shared" si="7"/>
        <v>4824.794270833333</v>
      </c>
      <c r="L241" s="26"/>
    </row>
    <row r="242" spans="1:12" ht="15" x14ac:dyDescent="0.25">
      <c r="A242" s="123" t="s">
        <v>249</v>
      </c>
      <c r="B242" s="123">
        <v>12</v>
      </c>
      <c r="C242" s="125">
        <v>420</v>
      </c>
      <c r="D242" s="125">
        <v>1974630</v>
      </c>
      <c r="E242" s="125">
        <v>271</v>
      </c>
      <c r="F242" s="125">
        <v>0</v>
      </c>
      <c r="G242" s="125">
        <v>0</v>
      </c>
      <c r="H242" s="125">
        <f t="shared" si="6"/>
        <v>0</v>
      </c>
      <c r="I242" s="125">
        <v>691</v>
      </c>
      <c r="J242" s="125">
        <v>1974630</v>
      </c>
      <c r="K242" s="131">
        <f t="shared" si="7"/>
        <v>2857.6410998552824</v>
      </c>
      <c r="L242" s="26"/>
    </row>
    <row r="243" spans="1:12" ht="15" x14ac:dyDescent="0.25">
      <c r="A243" s="123" t="s">
        <v>250</v>
      </c>
      <c r="B243" s="123">
        <v>12</v>
      </c>
      <c r="C243" s="125">
        <v>16561</v>
      </c>
      <c r="D243" s="125">
        <v>169801355</v>
      </c>
      <c r="E243" s="125">
        <v>20781</v>
      </c>
      <c r="F243" s="125">
        <v>199603082</v>
      </c>
      <c r="G243" s="125">
        <v>11497</v>
      </c>
      <c r="H243" s="125">
        <f t="shared" si="6"/>
        <v>185196842</v>
      </c>
      <c r="I243" s="125">
        <v>25845</v>
      </c>
      <c r="J243" s="125">
        <v>184207595</v>
      </c>
      <c r="K243" s="131">
        <f t="shared" si="7"/>
        <v>7127.3977558521956</v>
      </c>
      <c r="L243" s="26"/>
    </row>
    <row r="244" spans="1:12" ht="15" x14ac:dyDescent="0.25">
      <c r="A244" s="123" t="s">
        <v>251</v>
      </c>
      <c r="B244" s="123">
        <v>12</v>
      </c>
      <c r="C244" s="125">
        <v>0</v>
      </c>
      <c r="D244" s="125"/>
      <c r="E244" s="125"/>
      <c r="F244" s="125"/>
      <c r="G244" s="125"/>
      <c r="H244" s="125">
        <f t="shared" si="6"/>
        <v>0</v>
      </c>
      <c r="I244" s="125"/>
      <c r="J244" s="125"/>
      <c r="K244" s="131"/>
      <c r="L244" s="26"/>
    </row>
    <row r="245" spans="1:12" ht="15" x14ac:dyDescent="0.25">
      <c r="A245" s="123" t="s">
        <v>252</v>
      </c>
      <c r="B245" s="123">
        <v>12</v>
      </c>
      <c r="C245" s="125">
        <v>0</v>
      </c>
      <c r="D245" s="125">
        <v>0</v>
      </c>
      <c r="E245" s="125">
        <v>0</v>
      </c>
      <c r="F245" s="125">
        <v>0</v>
      </c>
      <c r="G245" s="125">
        <v>0</v>
      </c>
      <c r="H245" s="125">
        <f t="shared" si="6"/>
        <v>0</v>
      </c>
      <c r="I245" s="125">
        <v>0</v>
      </c>
      <c r="J245" s="125">
        <v>0</v>
      </c>
      <c r="K245" s="131"/>
      <c r="L245" s="26"/>
    </row>
    <row r="246" spans="1:12" ht="15" x14ac:dyDescent="0.25">
      <c r="A246" s="123" t="s">
        <v>253</v>
      </c>
      <c r="B246" s="123">
        <v>12</v>
      </c>
      <c r="C246" s="125">
        <v>0</v>
      </c>
      <c r="D246" s="125">
        <v>0</v>
      </c>
      <c r="E246" s="125">
        <v>0</v>
      </c>
      <c r="F246" s="125">
        <v>0</v>
      </c>
      <c r="G246" s="125">
        <v>0</v>
      </c>
      <c r="H246" s="125">
        <f t="shared" si="6"/>
        <v>0</v>
      </c>
      <c r="I246" s="125">
        <v>0</v>
      </c>
      <c r="J246" s="125">
        <v>0</v>
      </c>
      <c r="K246" s="131"/>
      <c r="L246" s="26"/>
    </row>
    <row r="247" spans="1:12" ht="15" x14ac:dyDescent="0.25">
      <c r="A247" s="123" t="s">
        <v>254</v>
      </c>
      <c r="B247" s="123">
        <v>12</v>
      </c>
      <c r="C247" s="125">
        <v>178</v>
      </c>
      <c r="D247" s="125">
        <v>6117278</v>
      </c>
      <c r="E247" s="125">
        <v>62</v>
      </c>
      <c r="F247" s="125">
        <v>2130804</v>
      </c>
      <c r="G247" s="125">
        <v>240</v>
      </c>
      <c r="H247" s="125">
        <f t="shared" si="6"/>
        <v>8248082</v>
      </c>
      <c r="I247" s="125">
        <v>0</v>
      </c>
      <c r="J247" s="125">
        <v>0</v>
      </c>
      <c r="K247" s="131"/>
      <c r="L247" s="26"/>
    </row>
    <row r="248" spans="1:12" ht="15" x14ac:dyDescent="0.25">
      <c r="A248" s="123" t="s">
        <v>255</v>
      </c>
      <c r="B248" s="123">
        <v>12</v>
      </c>
      <c r="C248" s="125">
        <v>0</v>
      </c>
      <c r="D248" s="125">
        <v>884858</v>
      </c>
      <c r="E248" s="125">
        <v>40</v>
      </c>
      <c r="F248" s="125">
        <v>3487564</v>
      </c>
      <c r="G248" s="125">
        <v>40</v>
      </c>
      <c r="H248" s="125">
        <f t="shared" si="6"/>
        <v>4372422</v>
      </c>
      <c r="I248" s="125">
        <v>0</v>
      </c>
      <c r="J248" s="125">
        <v>0</v>
      </c>
      <c r="K248" s="131"/>
      <c r="L248" s="26"/>
    </row>
    <row r="249" spans="1:12" ht="15" x14ac:dyDescent="0.25">
      <c r="A249" s="123" t="s">
        <v>256</v>
      </c>
      <c r="B249" s="123">
        <v>12</v>
      </c>
      <c r="C249" s="125">
        <v>0</v>
      </c>
      <c r="D249" s="125">
        <v>0</v>
      </c>
      <c r="E249" s="125">
        <v>110</v>
      </c>
      <c r="F249" s="125">
        <v>4786700</v>
      </c>
      <c r="G249" s="125">
        <v>110</v>
      </c>
      <c r="H249" s="125">
        <f t="shared" si="6"/>
        <v>4786700</v>
      </c>
      <c r="I249" s="125">
        <v>0</v>
      </c>
      <c r="J249" s="125">
        <v>0</v>
      </c>
      <c r="K249" s="131"/>
      <c r="L249" s="26"/>
    </row>
    <row r="250" spans="1:12" ht="15" x14ac:dyDescent="0.25">
      <c r="A250" s="123" t="s">
        <v>257</v>
      </c>
      <c r="B250" s="123">
        <v>12</v>
      </c>
      <c r="C250" s="125">
        <v>26</v>
      </c>
      <c r="D250" s="125">
        <v>1423200</v>
      </c>
      <c r="E250" s="125">
        <v>24</v>
      </c>
      <c r="F250" s="125">
        <v>1313723</v>
      </c>
      <c r="G250" s="125">
        <v>50</v>
      </c>
      <c r="H250" s="125">
        <f t="shared" si="6"/>
        <v>2736923</v>
      </c>
      <c r="I250" s="125">
        <v>0</v>
      </c>
      <c r="J250" s="125">
        <v>0</v>
      </c>
      <c r="K250" s="131"/>
      <c r="L250" s="26"/>
    </row>
    <row r="251" spans="1:12" ht="15" x14ac:dyDescent="0.25">
      <c r="A251" s="123" t="s">
        <v>258</v>
      </c>
      <c r="B251" s="123">
        <v>12</v>
      </c>
      <c r="C251" s="125">
        <v>1315</v>
      </c>
      <c r="D251" s="125">
        <v>5870462</v>
      </c>
      <c r="E251" s="125">
        <v>150</v>
      </c>
      <c r="F251" s="125">
        <v>2298240</v>
      </c>
      <c r="G251" s="125">
        <v>1126</v>
      </c>
      <c r="H251" s="125">
        <f t="shared" si="6"/>
        <v>3829633</v>
      </c>
      <c r="I251" s="125">
        <v>339</v>
      </c>
      <c r="J251" s="125">
        <v>4339069</v>
      </c>
      <c r="K251" s="131">
        <f t="shared" si="7"/>
        <v>12799.613569321535</v>
      </c>
      <c r="L251" s="26"/>
    </row>
    <row r="252" spans="1:12" ht="15" x14ac:dyDescent="0.25">
      <c r="A252" s="123" t="s">
        <v>259</v>
      </c>
      <c r="B252" s="123">
        <v>12</v>
      </c>
      <c r="C252" s="125">
        <v>90</v>
      </c>
      <c r="D252" s="125">
        <v>1980663</v>
      </c>
      <c r="E252" s="125">
        <v>0</v>
      </c>
      <c r="F252" s="125">
        <v>0</v>
      </c>
      <c r="G252" s="125">
        <v>0</v>
      </c>
      <c r="H252" s="125">
        <f t="shared" si="6"/>
        <v>0</v>
      </c>
      <c r="I252" s="125">
        <v>90</v>
      </c>
      <c r="J252" s="125">
        <v>1980663</v>
      </c>
      <c r="K252" s="131">
        <f t="shared" si="7"/>
        <v>22007.366666666665</v>
      </c>
      <c r="L252" s="26"/>
    </row>
    <row r="253" spans="1:12" ht="15" x14ac:dyDescent="0.25">
      <c r="A253" s="123" t="s">
        <v>260</v>
      </c>
      <c r="B253" s="123">
        <v>12</v>
      </c>
      <c r="C253" s="125">
        <v>7</v>
      </c>
      <c r="D253" s="125">
        <v>460192</v>
      </c>
      <c r="E253" s="125">
        <v>0</v>
      </c>
      <c r="F253" s="125">
        <v>0</v>
      </c>
      <c r="G253" s="125">
        <v>0</v>
      </c>
      <c r="H253" s="125">
        <f t="shared" si="6"/>
        <v>0</v>
      </c>
      <c r="I253" s="125">
        <v>7</v>
      </c>
      <c r="J253" s="125">
        <v>460192</v>
      </c>
      <c r="K253" s="131">
        <f t="shared" si="7"/>
        <v>65741.71428571429</v>
      </c>
      <c r="L253" s="26"/>
    </row>
    <row r="254" spans="1:12" ht="15" x14ac:dyDescent="0.25">
      <c r="A254" s="123" t="s">
        <v>261</v>
      </c>
      <c r="B254" s="123">
        <v>12</v>
      </c>
      <c r="C254" s="125">
        <v>0</v>
      </c>
      <c r="D254" s="125">
        <v>0</v>
      </c>
      <c r="E254" s="125">
        <v>0</v>
      </c>
      <c r="F254" s="125">
        <v>0</v>
      </c>
      <c r="G254" s="125">
        <v>0</v>
      </c>
      <c r="H254" s="125">
        <f t="shared" si="6"/>
        <v>0</v>
      </c>
      <c r="I254" s="125">
        <v>0</v>
      </c>
      <c r="J254" s="125">
        <v>0</v>
      </c>
      <c r="K254" s="131"/>
      <c r="L254" s="26"/>
    </row>
    <row r="255" spans="1:12" ht="15" x14ac:dyDescent="0.25">
      <c r="A255" s="123" t="s">
        <v>262</v>
      </c>
      <c r="B255" s="123">
        <v>12</v>
      </c>
      <c r="C255" s="125">
        <v>4</v>
      </c>
      <c r="D255" s="125">
        <v>330624</v>
      </c>
      <c r="E255" s="125">
        <v>0</v>
      </c>
      <c r="F255" s="125">
        <v>0</v>
      </c>
      <c r="G255" s="125">
        <v>0</v>
      </c>
      <c r="H255" s="125">
        <f t="shared" si="6"/>
        <v>0</v>
      </c>
      <c r="I255" s="125">
        <v>4</v>
      </c>
      <c r="J255" s="125">
        <v>330624</v>
      </c>
      <c r="K255" s="131">
        <f t="shared" si="7"/>
        <v>82656</v>
      </c>
      <c r="L255" s="26"/>
    </row>
    <row r="256" spans="1:12" ht="15" x14ac:dyDescent="0.25">
      <c r="A256" s="123" t="s">
        <v>263</v>
      </c>
      <c r="B256" s="123">
        <v>12</v>
      </c>
      <c r="C256" s="125">
        <v>0</v>
      </c>
      <c r="D256" s="125">
        <v>0</v>
      </c>
      <c r="E256" s="125">
        <v>0</v>
      </c>
      <c r="F256" s="125">
        <v>0</v>
      </c>
      <c r="G256" s="125">
        <v>0</v>
      </c>
      <c r="H256" s="125">
        <f t="shared" si="6"/>
        <v>0</v>
      </c>
      <c r="I256" s="125">
        <v>0</v>
      </c>
      <c r="J256" s="125">
        <v>0</v>
      </c>
      <c r="K256" s="131"/>
      <c r="L256" s="26"/>
    </row>
    <row r="257" spans="1:12" ht="15" x14ac:dyDescent="0.25">
      <c r="A257" s="123" t="s">
        <v>264</v>
      </c>
      <c r="B257" s="123">
        <v>12</v>
      </c>
      <c r="C257" s="125">
        <v>0</v>
      </c>
      <c r="D257" s="125">
        <v>0</v>
      </c>
      <c r="E257" s="125">
        <v>0</v>
      </c>
      <c r="F257" s="125">
        <v>0</v>
      </c>
      <c r="G257" s="125">
        <v>0</v>
      </c>
      <c r="H257" s="125">
        <f t="shared" si="6"/>
        <v>0</v>
      </c>
      <c r="I257" s="125">
        <v>0</v>
      </c>
      <c r="J257" s="125">
        <v>0</v>
      </c>
      <c r="K257" s="131"/>
      <c r="L257" s="26"/>
    </row>
    <row r="258" spans="1:12" ht="15" x14ac:dyDescent="0.25">
      <c r="A258" s="123" t="s">
        <v>265</v>
      </c>
      <c r="B258" s="123">
        <v>12</v>
      </c>
      <c r="C258" s="125">
        <v>5</v>
      </c>
      <c r="D258" s="125">
        <v>412800</v>
      </c>
      <c r="E258" s="125">
        <v>0</v>
      </c>
      <c r="F258" s="125">
        <v>0</v>
      </c>
      <c r="G258" s="125">
        <v>0</v>
      </c>
      <c r="H258" s="125">
        <f t="shared" si="6"/>
        <v>0</v>
      </c>
      <c r="I258" s="125">
        <v>5</v>
      </c>
      <c r="J258" s="125">
        <v>412800</v>
      </c>
      <c r="K258" s="131">
        <f t="shared" si="7"/>
        <v>82560</v>
      </c>
      <c r="L258" s="26"/>
    </row>
    <row r="259" spans="1:12" ht="15" x14ac:dyDescent="0.25">
      <c r="A259" s="123" t="s">
        <v>266</v>
      </c>
      <c r="B259" s="123">
        <v>12</v>
      </c>
      <c r="C259" s="125">
        <v>5</v>
      </c>
      <c r="D259" s="125">
        <v>441600</v>
      </c>
      <c r="E259" s="125">
        <v>0</v>
      </c>
      <c r="F259" s="125">
        <v>0</v>
      </c>
      <c r="G259" s="125">
        <v>0</v>
      </c>
      <c r="H259" s="125">
        <f t="shared" si="6"/>
        <v>0</v>
      </c>
      <c r="I259" s="125">
        <v>5</v>
      </c>
      <c r="J259" s="125">
        <v>441600</v>
      </c>
      <c r="K259" s="131">
        <f t="shared" si="7"/>
        <v>88320</v>
      </c>
      <c r="L259" s="26"/>
    </row>
    <row r="260" spans="1:12" ht="15" x14ac:dyDescent="0.25">
      <c r="A260" s="123" t="s">
        <v>267</v>
      </c>
      <c r="B260" s="123">
        <v>12</v>
      </c>
      <c r="C260" s="125">
        <v>6</v>
      </c>
      <c r="D260" s="125">
        <v>447000</v>
      </c>
      <c r="E260" s="125"/>
      <c r="F260" s="125">
        <v>0</v>
      </c>
      <c r="G260" s="125"/>
      <c r="H260" s="125">
        <f t="shared" si="6"/>
        <v>0</v>
      </c>
      <c r="I260" s="125">
        <v>6</v>
      </c>
      <c r="J260" s="125">
        <v>447000</v>
      </c>
      <c r="K260" s="131">
        <f t="shared" si="7"/>
        <v>74500</v>
      </c>
      <c r="L260" s="26"/>
    </row>
    <row r="261" spans="1:12" ht="15" x14ac:dyDescent="0.25">
      <c r="A261" s="123" t="s">
        <v>268</v>
      </c>
      <c r="B261" s="123">
        <v>12</v>
      </c>
      <c r="C261" s="125">
        <v>0</v>
      </c>
      <c r="D261" s="125">
        <v>0</v>
      </c>
      <c r="E261" s="125">
        <v>0</v>
      </c>
      <c r="F261" s="125">
        <v>0</v>
      </c>
      <c r="G261" s="125">
        <v>0</v>
      </c>
      <c r="H261" s="125">
        <f t="shared" ref="H261:H285" si="8">D261+F261-J261</f>
        <v>0</v>
      </c>
      <c r="I261" s="125">
        <v>0</v>
      </c>
      <c r="J261" s="125">
        <v>0</v>
      </c>
      <c r="K261" s="131"/>
      <c r="L261" s="26"/>
    </row>
    <row r="262" spans="1:12" ht="15" x14ac:dyDescent="0.25">
      <c r="A262" s="123" t="s">
        <v>269</v>
      </c>
      <c r="B262" s="123">
        <v>12</v>
      </c>
      <c r="C262" s="125">
        <v>0</v>
      </c>
      <c r="D262" s="125">
        <v>0</v>
      </c>
      <c r="E262" s="125">
        <v>0</v>
      </c>
      <c r="F262" s="125">
        <v>0</v>
      </c>
      <c r="G262" s="125">
        <v>0</v>
      </c>
      <c r="H262" s="125">
        <f t="shared" si="8"/>
        <v>0</v>
      </c>
      <c r="I262" s="125">
        <v>0</v>
      </c>
      <c r="J262" s="125">
        <v>0</v>
      </c>
      <c r="K262" s="131"/>
      <c r="L262" s="26"/>
    </row>
    <row r="263" spans="1:12" ht="15" x14ac:dyDescent="0.25">
      <c r="A263" s="123" t="s">
        <v>270</v>
      </c>
      <c r="B263" s="123">
        <v>12</v>
      </c>
      <c r="C263" s="125">
        <v>0</v>
      </c>
      <c r="D263" s="125">
        <v>0</v>
      </c>
      <c r="E263" s="125">
        <v>0</v>
      </c>
      <c r="F263" s="125">
        <v>0</v>
      </c>
      <c r="G263" s="125">
        <v>0</v>
      </c>
      <c r="H263" s="125">
        <f t="shared" si="8"/>
        <v>0</v>
      </c>
      <c r="I263" s="125">
        <v>0</v>
      </c>
      <c r="J263" s="125">
        <v>0</v>
      </c>
      <c r="K263" s="131"/>
      <c r="L263" s="26"/>
    </row>
    <row r="264" spans="1:12" ht="15" x14ac:dyDescent="0.25">
      <c r="A264" s="123" t="s">
        <v>271</v>
      </c>
      <c r="B264" s="123">
        <v>12</v>
      </c>
      <c r="C264" s="125">
        <v>0</v>
      </c>
      <c r="D264" s="125">
        <v>0</v>
      </c>
      <c r="E264" s="125">
        <v>0</v>
      </c>
      <c r="F264" s="125">
        <v>0</v>
      </c>
      <c r="G264" s="125">
        <v>0</v>
      </c>
      <c r="H264" s="125">
        <f t="shared" si="8"/>
        <v>0</v>
      </c>
      <c r="I264" s="125">
        <v>0</v>
      </c>
      <c r="J264" s="125">
        <v>0</v>
      </c>
      <c r="K264" s="131"/>
      <c r="L264" s="26"/>
    </row>
    <row r="265" spans="1:12" ht="15" x14ac:dyDescent="0.25">
      <c r="A265" s="123" t="s">
        <v>272</v>
      </c>
      <c r="B265" s="123">
        <v>12</v>
      </c>
      <c r="C265" s="125">
        <v>0</v>
      </c>
      <c r="D265" s="125">
        <v>0</v>
      </c>
      <c r="E265" s="125">
        <v>0</v>
      </c>
      <c r="F265" s="125">
        <v>0</v>
      </c>
      <c r="G265" s="125">
        <v>0</v>
      </c>
      <c r="H265" s="125">
        <f t="shared" si="8"/>
        <v>0</v>
      </c>
      <c r="I265" s="125">
        <v>0</v>
      </c>
      <c r="J265" s="125">
        <v>0</v>
      </c>
      <c r="K265" s="131"/>
      <c r="L265" s="26"/>
    </row>
    <row r="266" spans="1:12" ht="15" x14ac:dyDescent="0.25">
      <c r="A266" s="123" t="s">
        <v>273</v>
      </c>
      <c r="B266" s="123">
        <v>12</v>
      </c>
      <c r="C266" s="125">
        <v>0</v>
      </c>
      <c r="D266" s="125">
        <v>0</v>
      </c>
      <c r="E266" s="125">
        <v>0</v>
      </c>
      <c r="F266" s="125">
        <v>0</v>
      </c>
      <c r="G266" s="125">
        <v>0</v>
      </c>
      <c r="H266" s="125">
        <f t="shared" si="8"/>
        <v>0</v>
      </c>
      <c r="I266" s="125">
        <v>0</v>
      </c>
      <c r="J266" s="125">
        <v>0</v>
      </c>
      <c r="K266" s="131"/>
      <c r="L266" s="26"/>
    </row>
    <row r="267" spans="1:12" ht="15" x14ac:dyDescent="0.25">
      <c r="A267" s="123" t="s">
        <v>274</v>
      </c>
      <c r="B267" s="123">
        <v>12</v>
      </c>
      <c r="C267" s="125">
        <v>14</v>
      </c>
      <c r="D267" s="125">
        <v>473144</v>
      </c>
      <c r="E267" s="125">
        <v>0</v>
      </c>
      <c r="F267" s="125">
        <v>0</v>
      </c>
      <c r="G267" s="125">
        <v>0</v>
      </c>
      <c r="H267" s="125">
        <f t="shared" si="8"/>
        <v>0</v>
      </c>
      <c r="I267" s="125">
        <v>14</v>
      </c>
      <c r="J267" s="125">
        <v>473144</v>
      </c>
      <c r="K267" s="131">
        <f t="shared" ref="K267:K284" si="9">J267/I267</f>
        <v>33796</v>
      </c>
      <c r="L267" s="26"/>
    </row>
    <row r="268" spans="1:12" ht="15" x14ac:dyDescent="0.25">
      <c r="A268" s="123" t="s">
        <v>275</v>
      </c>
      <c r="B268" s="123">
        <v>12</v>
      </c>
      <c r="C268" s="125">
        <v>0</v>
      </c>
      <c r="D268" s="125">
        <v>0</v>
      </c>
      <c r="E268" s="125">
        <v>0</v>
      </c>
      <c r="F268" s="125">
        <v>0</v>
      </c>
      <c r="G268" s="125">
        <v>0</v>
      </c>
      <c r="H268" s="125">
        <f t="shared" si="8"/>
        <v>0</v>
      </c>
      <c r="I268" s="125">
        <v>0</v>
      </c>
      <c r="J268" s="125">
        <v>0</v>
      </c>
      <c r="K268" s="131"/>
      <c r="L268" s="26"/>
    </row>
    <row r="269" spans="1:12" ht="15" x14ac:dyDescent="0.25">
      <c r="A269" s="123" t="s">
        <v>276</v>
      </c>
      <c r="B269" s="123">
        <v>12</v>
      </c>
      <c r="C269" s="125">
        <v>0</v>
      </c>
      <c r="D269" s="125">
        <v>0</v>
      </c>
      <c r="E269" s="125">
        <v>0</v>
      </c>
      <c r="F269" s="125">
        <v>0</v>
      </c>
      <c r="G269" s="125">
        <v>0</v>
      </c>
      <c r="H269" s="125">
        <f t="shared" si="8"/>
        <v>0</v>
      </c>
      <c r="I269" s="125">
        <v>0</v>
      </c>
      <c r="J269" s="125">
        <v>0</v>
      </c>
      <c r="K269" s="131"/>
      <c r="L269" s="26"/>
    </row>
    <row r="270" spans="1:12" ht="15" x14ac:dyDescent="0.25">
      <c r="A270" s="123" t="s">
        <v>277</v>
      </c>
      <c r="B270" s="123">
        <v>12</v>
      </c>
      <c r="C270" s="125">
        <v>0</v>
      </c>
      <c r="D270" s="125">
        <v>0</v>
      </c>
      <c r="E270" s="125">
        <v>0</v>
      </c>
      <c r="F270" s="125">
        <v>0</v>
      </c>
      <c r="G270" s="125">
        <v>0</v>
      </c>
      <c r="H270" s="125">
        <f t="shared" si="8"/>
        <v>0</v>
      </c>
      <c r="I270" s="125">
        <v>0</v>
      </c>
      <c r="J270" s="125">
        <v>0</v>
      </c>
      <c r="K270" s="131"/>
      <c r="L270" s="26"/>
    </row>
    <row r="271" spans="1:12" ht="15" x14ac:dyDescent="0.25">
      <c r="A271" s="123" t="s">
        <v>278</v>
      </c>
      <c r="B271" s="123">
        <v>12</v>
      </c>
      <c r="C271" s="125">
        <v>0</v>
      </c>
      <c r="D271" s="125">
        <v>0</v>
      </c>
      <c r="E271" s="125">
        <v>0</v>
      </c>
      <c r="F271" s="125">
        <v>0</v>
      </c>
      <c r="G271" s="125">
        <v>0</v>
      </c>
      <c r="H271" s="125">
        <f t="shared" si="8"/>
        <v>0</v>
      </c>
      <c r="I271" s="125">
        <v>0</v>
      </c>
      <c r="J271" s="125">
        <v>0</v>
      </c>
      <c r="K271" s="131"/>
      <c r="L271" s="26"/>
    </row>
    <row r="272" spans="1:12" ht="15" x14ac:dyDescent="0.25">
      <c r="A272" s="123" t="s">
        <v>279</v>
      </c>
      <c r="B272" s="123">
        <v>12</v>
      </c>
      <c r="C272" s="125">
        <v>0</v>
      </c>
      <c r="D272" s="125">
        <v>0</v>
      </c>
      <c r="E272" s="125">
        <v>0</v>
      </c>
      <c r="F272" s="125">
        <v>0</v>
      </c>
      <c r="G272" s="125">
        <v>0</v>
      </c>
      <c r="H272" s="125">
        <f t="shared" si="8"/>
        <v>0</v>
      </c>
      <c r="I272" s="125">
        <v>0</v>
      </c>
      <c r="J272" s="125">
        <v>0</v>
      </c>
      <c r="K272" s="131"/>
      <c r="L272" s="26"/>
    </row>
    <row r="273" spans="1:12" ht="15" x14ac:dyDescent="0.25">
      <c r="A273" s="123" t="s">
        <v>280</v>
      </c>
      <c r="B273" s="123">
        <v>12</v>
      </c>
      <c r="C273" s="125">
        <v>0</v>
      </c>
      <c r="D273" s="125">
        <v>0</v>
      </c>
      <c r="E273" s="125">
        <v>0</v>
      </c>
      <c r="F273" s="125">
        <v>0</v>
      </c>
      <c r="G273" s="125">
        <v>0</v>
      </c>
      <c r="H273" s="125">
        <f t="shared" si="8"/>
        <v>0</v>
      </c>
      <c r="I273" s="125">
        <v>0</v>
      </c>
      <c r="J273" s="125">
        <v>0</v>
      </c>
      <c r="K273" s="131"/>
      <c r="L273" s="26"/>
    </row>
    <row r="274" spans="1:12" ht="15" x14ac:dyDescent="0.25">
      <c r="A274" s="123" t="s">
        <v>281</v>
      </c>
      <c r="B274" s="123">
        <v>12</v>
      </c>
      <c r="C274" s="125">
        <v>115</v>
      </c>
      <c r="D274" s="125">
        <v>1984968</v>
      </c>
      <c r="E274" s="125">
        <v>52</v>
      </c>
      <c r="F274" s="125">
        <v>882000</v>
      </c>
      <c r="G274" s="125">
        <v>0</v>
      </c>
      <c r="H274" s="125">
        <f t="shared" si="8"/>
        <v>0</v>
      </c>
      <c r="I274" s="125">
        <v>167</v>
      </c>
      <c r="J274" s="125">
        <v>2866968</v>
      </c>
      <c r="K274" s="131">
        <f t="shared" si="9"/>
        <v>17167.473053892216</v>
      </c>
      <c r="L274" s="26"/>
    </row>
    <row r="275" spans="1:12" ht="15" x14ac:dyDescent="0.25">
      <c r="A275" s="123" t="s">
        <v>282</v>
      </c>
      <c r="B275" s="123">
        <v>12</v>
      </c>
      <c r="C275" s="125">
        <v>0</v>
      </c>
      <c r="D275" s="125">
        <v>0</v>
      </c>
      <c r="E275" s="125">
        <v>28</v>
      </c>
      <c r="F275" s="125">
        <v>1940400</v>
      </c>
      <c r="G275" s="125">
        <v>3</v>
      </c>
      <c r="H275" s="125">
        <f t="shared" si="8"/>
        <v>1044761</v>
      </c>
      <c r="I275" s="125">
        <v>25</v>
      </c>
      <c r="J275" s="125">
        <v>895639</v>
      </c>
      <c r="K275" s="131">
        <f t="shared" si="9"/>
        <v>35825.56</v>
      </c>
      <c r="L275" s="26"/>
    </row>
    <row r="276" spans="1:12" ht="15" x14ac:dyDescent="0.25">
      <c r="A276" s="123" t="s">
        <v>283</v>
      </c>
      <c r="B276" s="123">
        <v>12</v>
      </c>
      <c r="C276" s="125">
        <v>2650</v>
      </c>
      <c r="D276" s="125">
        <v>60362629</v>
      </c>
      <c r="E276" s="125">
        <v>1138</v>
      </c>
      <c r="F276" s="125">
        <v>39547200</v>
      </c>
      <c r="G276" s="125">
        <v>3132</v>
      </c>
      <c r="H276" s="125">
        <f t="shared" si="8"/>
        <v>76338900</v>
      </c>
      <c r="I276" s="125">
        <v>656</v>
      </c>
      <c r="J276" s="125">
        <v>23570929</v>
      </c>
      <c r="K276" s="131">
        <f t="shared" si="9"/>
        <v>35931.294207317071</v>
      </c>
      <c r="L276" s="26"/>
    </row>
    <row r="277" spans="1:12" ht="15" x14ac:dyDescent="0.25">
      <c r="A277" s="123" t="s">
        <v>284</v>
      </c>
      <c r="B277" s="123">
        <v>12</v>
      </c>
      <c r="C277" s="125">
        <v>170</v>
      </c>
      <c r="D277" s="125">
        <v>7787064</v>
      </c>
      <c r="E277" s="125">
        <v>14</v>
      </c>
      <c r="F277" s="125">
        <v>598416</v>
      </c>
      <c r="G277" s="125">
        <v>0</v>
      </c>
      <c r="H277" s="125">
        <f t="shared" si="8"/>
        <v>0</v>
      </c>
      <c r="I277" s="125">
        <v>184</v>
      </c>
      <c r="J277" s="125">
        <v>8385480</v>
      </c>
      <c r="K277" s="131">
        <f t="shared" si="9"/>
        <v>45573.260869565216</v>
      </c>
      <c r="L277" s="26"/>
    </row>
    <row r="278" spans="1:12" ht="15" x14ac:dyDescent="0.25">
      <c r="A278" s="123" t="s">
        <v>285</v>
      </c>
      <c r="B278" s="123">
        <v>12</v>
      </c>
      <c r="C278" s="125">
        <v>0</v>
      </c>
      <c r="D278" s="125">
        <v>0</v>
      </c>
      <c r="E278" s="125">
        <v>0</v>
      </c>
      <c r="F278" s="125">
        <v>0</v>
      </c>
      <c r="G278" s="125">
        <v>0</v>
      </c>
      <c r="H278" s="125">
        <f t="shared" si="8"/>
        <v>0</v>
      </c>
      <c r="I278" s="125">
        <v>0</v>
      </c>
      <c r="J278" s="125">
        <v>0</v>
      </c>
      <c r="K278" s="131"/>
      <c r="L278" s="26"/>
    </row>
    <row r="279" spans="1:12" ht="15" x14ac:dyDescent="0.25">
      <c r="A279" s="123" t="s">
        <v>286</v>
      </c>
      <c r="B279" s="123">
        <v>12</v>
      </c>
      <c r="C279" s="125">
        <v>0</v>
      </c>
      <c r="D279" s="125">
        <v>0</v>
      </c>
      <c r="E279" s="125">
        <v>0</v>
      </c>
      <c r="F279" s="125">
        <v>0</v>
      </c>
      <c r="G279" s="125">
        <v>0</v>
      </c>
      <c r="H279" s="125">
        <f t="shared" si="8"/>
        <v>0</v>
      </c>
      <c r="I279" s="125">
        <v>0</v>
      </c>
      <c r="J279" s="125">
        <v>0</v>
      </c>
      <c r="K279" s="131"/>
      <c r="L279" s="26"/>
    </row>
    <row r="280" spans="1:12" ht="15" x14ac:dyDescent="0.25">
      <c r="A280" s="123" t="s">
        <v>287</v>
      </c>
      <c r="B280" s="123">
        <v>12</v>
      </c>
      <c r="C280" s="125">
        <v>8</v>
      </c>
      <c r="D280" s="125">
        <v>888480</v>
      </c>
      <c r="E280" s="125">
        <v>0</v>
      </c>
      <c r="F280" s="125">
        <v>0</v>
      </c>
      <c r="G280" s="125">
        <v>0</v>
      </c>
      <c r="H280" s="125">
        <f t="shared" si="8"/>
        <v>0</v>
      </c>
      <c r="I280" s="125">
        <v>8</v>
      </c>
      <c r="J280" s="125">
        <v>888480</v>
      </c>
      <c r="K280" s="131">
        <f t="shared" si="9"/>
        <v>111060</v>
      </c>
      <c r="L280" s="26"/>
    </row>
    <row r="281" spans="1:12" ht="15" x14ac:dyDescent="0.25">
      <c r="A281" s="123" t="s">
        <v>288</v>
      </c>
      <c r="B281" s="123">
        <v>12</v>
      </c>
      <c r="C281" s="125">
        <v>72</v>
      </c>
      <c r="D281" s="125">
        <v>1717560</v>
      </c>
      <c r="E281" s="125">
        <v>2768</v>
      </c>
      <c r="F281" s="125"/>
      <c r="G281" s="125">
        <v>0</v>
      </c>
      <c r="H281" s="125">
        <f t="shared" si="8"/>
        <v>0</v>
      </c>
      <c r="I281" s="125">
        <v>72</v>
      </c>
      <c r="J281" s="125">
        <v>1717560</v>
      </c>
      <c r="K281" s="131">
        <f t="shared" si="9"/>
        <v>23855</v>
      </c>
      <c r="L281" s="26"/>
    </row>
    <row r="282" spans="1:12" ht="15" x14ac:dyDescent="0.25">
      <c r="A282" s="123" t="s">
        <v>289</v>
      </c>
      <c r="B282" s="123">
        <v>12</v>
      </c>
      <c r="C282" s="125">
        <v>5453</v>
      </c>
      <c r="D282" s="125">
        <v>18544800</v>
      </c>
      <c r="E282" s="125">
        <v>3249</v>
      </c>
      <c r="F282" s="125">
        <v>26723118.901734103</v>
      </c>
      <c r="G282" s="125">
        <v>5934</v>
      </c>
      <c r="H282" s="125">
        <f t="shared" si="8"/>
        <v>22501038.901734099</v>
      </c>
      <c r="I282" s="125">
        <v>2768</v>
      </c>
      <c r="J282" s="125">
        <v>22766880</v>
      </c>
      <c r="K282" s="131">
        <f t="shared" si="9"/>
        <v>8225.0289017341038</v>
      </c>
      <c r="L282" s="26"/>
    </row>
    <row r="283" spans="1:12" ht="15" x14ac:dyDescent="0.25">
      <c r="A283" s="123" t="s">
        <v>290</v>
      </c>
      <c r="B283" s="123">
        <v>12</v>
      </c>
      <c r="C283" s="125">
        <v>294</v>
      </c>
      <c r="D283" s="125">
        <v>26161598</v>
      </c>
      <c r="E283" s="125">
        <v>612</v>
      </c>
      <c r="F283" s="125">
        <v>54458208</v>
      </c>
      <c r="G283" s="125">
        <v>462</v>
      </c>
      <c r="H283" s="125">
        <f t="shared" si="8"/>
        <v>41110762</v>
      </c>
      <c r="I283" s="125">
        <v>444</v>
      </c>
      <c r="J283" s="125">
        <v>39509044</v>
      </c>
      <c r="K283" s="131">
        <f t="shared" si="9"/>
        <v>88984.333333333328</v>
      </c>
      <c r="L283" s="26"/>
    </row>
    <row r="284" spans="1:12" ht="15" x14ac:dyDescent="0.25">
      <c r="A284" s="123" t="s">
        <v>291</v>
      </c>
      <c r="B284" s="123">
        <v>12</v>
      </c>
      <c r="C284" s="125">
        <v>580</v>
      </c>
      <c r="D284" s="125">
        <v>54183265</v>
      </c>
      <c r="E284" s="125">
        <v>1120</v>
      </c>
      <c r="F284" s="125">
        <v>104711040</v>
      </c>
      <c r="G284" s="125">
        <v>821</v>
      </c>
      <c r="H284" s="125">
        <f t="shared" si="8"/>
        <v>76736603</v>
      </c>
      <c r="I284" s="125">
        <v>879</v>
      </c>
      <c r="J284" s="125">
        <v>82157702</v>
      </c>
      <c r="K284" s="131">
        <f t="shared" si="9"/>
        <v>93467.237770193402</v>
      </c>
      <c r="L284" s="26"/>
    </row>
    <row r="285" spans="1:12" ht="15" x14ac:dyDescent="0.25">
      <c r="A285" s="123" t="s">
        <v>292</v>
      </c>
      <c r="B285" s="123">
        <v>12</v>
      </c>
      <c r="C285" s="125">
        <v>0</v>
      </c>
      <c r="D285" s="125">
        <v>0</v>
      </c>
      <c r="E285" s="125">
        <v>394</v>
      </c>
      <c r="F285" s="125">
        <v>34234181</v>
      </c>
      <c r="G285" s="125">
        <v>394</v>
      </c>
      <c r="H285" s="125">
        <f t="shared" si="8"/>
        <v>34234181</v>
      </c>
      <c r="I285" s="125">
        <v>0</v>
      </c>
      <c r="J285" s="125">
        <v>0</v>
      </c>
      <c r="K285" s="131"/>
      <c r="L285" s="26"/>
    </row>
    <row r="286" spans="1:12" s="128" customFormat="1" ht="15" x14ac:dyDescent="0.25">
      <c r="A286" s="126"/>
      <c r="B286" s="126"/>
      <c r="C286" s="127"/>
      <c r="D286" s="127">
        <f>SUM(D4:D285)</f>
        <v>15757074952.489557</v>
      </c>
      <c r="E286" s="127"/>
      <c r="F286" s="127">
        <f t="shared" ref="F286:J286" si="10">SUM(F4:F285)</f>
        <v>24085377822.295795</v>
      </c>
      <c r="G286" s="127"/>
      <c r="H286" s="127">
        <f t="shared" si="10"/>
        <v>24081221251.785355</v>
      </c>
      <c r="I286" s="127"/>
      <c r="J286" s="127">
        <f t="shared" si="10"/>
        <v>15761231523</v>
      </c>
      <c r="K286" s="132"/>
      <c r="L286" s="26"/>
    </row>
    <row r="287" spans="1:12" ht="15" x14ac:dyDescent="0.25">
      <c r="J287" s="129">
        <f>D286+F286-H286</f>
        <v>15761231523</v>
      </c>
      <c r="L287" s="26"/>
    </row>
    <row r="288" spans="1:12" ht="15" x14ac:dyDescent="0.25">
      <c r="L288" s="26"/>
    </row>
    <row r="289" spans="12:12" ht="15" x14ac:dyDescent="0.25">
      <c r="L289" s="26"/>
    </row>
    <row r="290" spans="12:12" ht="15" x14ac:dyDescent="0.25">
      <c r="L290" s="26"/>
    </row>
    <row r="291" spans="12:12" ht="15" x14ac:dyDescent="0.25">
      <c r="L291" s="26"/>
    </row>
    <row r="292" spans="12:12" ht="15" x14ac:dyDescent="0.25">
      <c r="L292" s="26"/>
    </row>
    <row r="293" spans="12:12" ht="15" x14ac:dyDescent="0.25">
      <c r="L293" s="26"/>
    </row>
    <row r="294" spans="12:12" ht="15" x14ac:dyDescent="0.25">
      <c r="L294" s="26"/>
    </row>
    <row r="295" spans="12:12" ht="15" x14ac:dyDescent="0.25">
      <c r="L295" s="26"/>
    </row>
    <row r="296" spans="12:12" ht="15" x14ac:dyDescent="0.25">
      <c r="L296" s="26"/>
    </row>
    <row r="297" spans="12:12" ht="15" x14ac:dyDescent="0.25">
      <c r="L297" s="26"/>
    </row>
    <row r="298" spans="12:12" ht="15" x14ac:dyDescent="0.25">
      <c r="L298" s="26"/>
    </row>
    <row r="299" spans="12:12" ht="15" x14ac:dyDescent="0.25">
      <c r="L299" s="26"/>
    </row>
    <row r="300" spans="12:12" ht="15" x14ac:dyDescent="0.25">
      <c r="L300" s="26"/>
    </row>
    <row r="301" spans="12:12" ht="15" x14ac:dyDescent="0.25">
      <c r="L301" s="26"/>
    </row>
    <row r="302" spans="12:12" ht="15" x14ac:dyDescent="0.25">
      <c r="L302" s="26"/>
    </row>
    <row r="303" spans="12:12" ht="15" x14ac:dyDescent="0.25">
      <c r="L303" s="26"/>
    </row>
    <row r="304" spans="12:12" ht="15" x14ac:dyDescent="0.25">
      <c r="L304" s="26"/>
    </row>
    <row r="305" spans="12:12" ht="15" x14ac:dyDescent="0.25">
      <c r="L305" s="26"/>
    </row>
    <row r="306" spans="12:12" ht="15" x14ac:dyDescent="0.25">
      <c r="L306" s="26"/>
    </row>
    <row r="307" spans="12:12" ht="15" x14ac:dyDescent="0.25">
      <c r="L307" s="26"/>
    </row>
    <row r="308" spans="12:12" ht="15" x14ac:dyDescent="0.25">
      <c r="L308" s="26"/>
    </row>
    <row r="309" spans="12:12" ht="15" x14ac:dyDescent="0.25">
      <c r="L309" s="26"/>
    </row>
    <row r="310" spans="12:12" ht="15" x14ac:dyDescent="0.25">
      <c r="L310" s="26"/>
    </row>
    <row r="311" spans="12:12" ht="15" x14ac:dyDescent="0.25">
      <c r="L311" s="26"/>
    </row>
    <row r="312" spans="12:12" ht="15" x14ac:dyDescent="0.25">
      <c r="L312" s="26"/>
    </row>
    <row r="313" spans="12:12" ht="15" x14ac:dyDescent="0.25">
      <c r="L313" s="26"/>
    </row>
    <row r="314" spans="12:12" ht="15" x14ac:dyDescent="0.25">
      <c r="L314" s="26"/>
    </row>
    <row r="315" spans="12:12" ht="15" x14ac:dyDescent="0.25">
      <c r="L315" s="26"/>
    </row>
    <row r="316" spans="12:12" ht="15" x14ac:dyDescent="0.25">
      <c r="L316" s="26"/>
    </row>
    <row r="317" spans="12:12" ht="15" x14ac:dyDescent="0.25">
      <c r="L317" s="26"/>
    </row>
    <row r="318" spans="12:12" ht="15" x14ac:dyDescent="0.25">
      <c r="L318" s="26"/>
    </row>
    <row r="319" spans="12:12" ht="15" x14ac:dyDescent="0.25">
      <c r="L319" s="26"/>
    </row>
    <row r="320" spans="12:12" ht="15" x14ac:dyDescent="0.25">
      <c r="L320" s="26"/>
    </row>
    <row r="321" spans="12:12" ht="15" x14ac:dyDescent="0.25">
      <c r="L321" s="26"/>
    </row>
    <row r="322" spans="12:12" ht="15" x14ac:dyDescent="0.25">
      <c r="L322" s="26"/>
    </row>
    <row r="323" spans="12:12" ht="15" x14ac:dyDescent="0.25">
      <c r="L323" s="26"/>
    </row>
    <row r="324" spans="12:12" ht="15" x14ac:dyDescent="0.25">
      <c r="L324" s="26"/>
    </row>
    <row r="325" spans="12:12" ht="15" x14ac:dyDescent="0.25">
      <c r="L325" s="26"/>
    </row>
    <row r="326" spans="12:12" ht="15" x14ac:dyDescent="0.25">
      <c r="L326" s="26"/>
    </row>
    <row r="327" spans="12:12" ht="15" x14ac:dyDescent="0.25">
      <c r="L327" s="26"/>
    </row>
    <row r="328" spans="12:12" ht="15" x14ac:dyDescent="0.25">
      <c r="L328" s="26"/>
    </row>
    <row r="329" spans="12:12" ht="15" x14ac:dyDescent="0.25">
      <c r="L329" s="26"/>
    </row>
    <row r="330" spans="12:12" ht="15" x14ac:dyDescent="0.25">
      <c r="L330" s="26"/>
    </row>
    <row r="331" spans="12:12" ht="15" x14ac:dyDescent="0.25">
      <c r="L331" s="26"/>
    </row>
    <row r="332" spans="12:12" ht="15" x14ac:dyDescent="0.25">
      <c r="L332" s="26"/>
    </row>
    <row r="333" spans="12:12" ht="15" x14ac:dyDescent="0.25">
      <c r="L333" s="26"/>
    </row>
    <row r="334" spans="12:12" ht="15" x14ac:dyDescent="0.25">
      <c r="L334" s="26"/>
    </row>
    <row r="335" spans="12:12" ht="15" x14ac:dyDescent="0.25">
      <c r="L335" s="26"/>
    </row>
    <row r="336" spans="12:12" ht="15" x14ac:dyDescent="0.25">
      <c r="L336" s="26"/>
    </row>
    <row r="337" spans="12:12" ht="15" x14ac:dyDescent="0.25">
      <c r="L337" s="26"/>
    </row>
    <row r="338" spans="12:12" ht="15" x14ac:dyDescent="0.25">
      <c r="L338" s="26"/>
    </row>
    <row r="339" spans="12:12" ht="15" x14ac:dyDescent="0.25">
      <c r="L339" s="26"/>
    </row>
    <row r="340" spans="12:12" ht="15" x14ac:dyDescent="0.25">
      <c r="L340" s="26"/>
    </row>
    <row r="341" spans="12:12" ht="15" x14ac:dyDescent="0.25">
      <c r="L341" s="26"/>
    </row>
    <row r="342" spans="12:12" ht="15" x14ac:dyDescent="0.25">
      <c r="L342" s="26"/>
    </row>
    <row r="343" spans="12:12" ht="15" x14ac:dyDescent="0.25">
      <c r="L343" s="26"/>
    </row>
    <row r="344" spans="12:12" ht="15" x14ac:dyDescent="0.25">
      <c r="L344" s="26"/>
    </row>
    <row r="345" spans="12:12" ht="15" x14ac:dyDescent="0.25">
      <c r="L345" s="26"/>
    </row>
    <row r="346" spans="12:12" ht="15" x14ac:dyDescent="0.25">
      <c r="L346" s="26"/>
    </row>
    <row r="347" spans="12:12" ht="15" x14ac:dyDescent="0.25">
      <c r="L347" s="26"/>
    </row>
    <row r="348" spans="12:12" ht="15" x14ac:dyDescent="0.25">
      <c r="L348" s="26"/>
    </row>
    <row r="349" spans="12:12" ht="15" x14ac:dyDescent="0.25">
      <c r="L349" s="26"/>
    </row>
    <row r="350" spans="12:12" ht="15" x14ac:dyDescent="0.25">
      <c r="L350" s="26"/>
    </row>
    <row r="351" spans="12:12" ht="15" x14ac:dyDescent="0.25">
      <c r="L351" s="26"/>
    </row>
    <row r="352" spans="12:12" ht="15" x14ac:dyDescent="0.25">
      <c r="L352" s="26"/>
    </row>
    <row r="353" spans="12:12" ht="15" x14ac:dyDescent="0.25">
      <c r="L353" s="26"/>
    </row>
    <row r="354" spans="12:12" ht="15" x14ac:dyDescent="0.25">
      <c r="L354" s="26"/>
    </row>
    <row r="355" spans="12:12" ht="15" x14ac:dyDescent="0.25">
      <c r="L355" s="26"/>
    </row>
    <row r="356" spans="12:12" ht="15" x14ac:dyDescent="0.25">
      <c r="L356" s="26"/>
    </row>
    <row r="357" spans="12:12" ht="15" x14ac:dyDescent="0.25">
      <c r="L357" s="26"/>
    </row>
    <row r="358" spans="12:12" ht="15" x14ac:dyDescent="0.25">
      <c r="L358" s="26"/>
    </row>
    <row r="359" spans="12:12" ht="15" x14ac:dyDescent="0.25">
      <c r="L359" s="26"/>
    </row>
    <row r="360" spans="12:12" ht="15" x14ac:dyDescent="0.25">
      <c r="L360" s="26"/>
    </row>
    <row r="361" spans="12:12" ht="15" x14ac:dyDescent="0.25">
      <c r="L361" s="26"/>
    </row>
    <row r="362" spans="12:12" ht="15" x14ac:dyDescent="0.25">
      <c r="L362" s="26"/>
    </row>
    <row r="363" spans="12:12" ht="15" x14ac:dyDescent="0.25">
      <c r="L363" s="26"/>
    </row>
    <row r="364" spans="12:12" ht="15" x14ac:dyDescent="0.25">
      <c r="L364" s="26"/>
    </row>
    <row r="365" spans="12:12" ht="15" x14ac:dyDescent="0.25">
      <c r="L365" s="26"/>
    </row>
    <row r="366" spans="12:12" ht="15" x14ac:dyDescent="0.25">
      <c r="L366" s="26"/>
    </row>
    <row r="367" spans="12:12" ht="15" x14ac:dyDescent="0.25">
      <c r="L367" s="26"/>
    </row>
    <row r="368" spans="12:12" ht="15" x14ac:dyDescent="0.25">
      <c r="L368" s="26"/>
    </row>
    <row r="369" spans="12:12" ht="15" x14ac:dyDescent="0.25">
      <c r="L369" s="26"/>
    </row>
    <row r="370" spans="12:12" ht="15" x14ac:dyDescent="0.25">
      <c r="L370" s="26"/>
    </row>
    <row r="371" spans="12:12" ht="15" x14ac:dyDescent="0.25">
      <c r="L371" s="26"/>
    </row>
    <row r="372" spans="12:12" ht="15" x14ac:dyDescent="0.25">
      <c r="L372" s="26"/>
    </row>
    <row r="373" spans="12:12" ht="15" x14ac:dyDescent="0.25">
      <c r="L373" s="26"/>
    </row>
    <row r="374" spans="12:12" ht="15" x14ac:dyDescent="0.25">
      <c r="L374" s="26"/>
    </row>
    <row r="375" spans="12:12" ht="15" x14ac:dyDescent="0.25">
      <c r="L375" s="26"/>
    </row>
    <row r="376" spans="12:12" ht="15" x14ac:dyDescent="0.25">
      <c r="L376" s="26"/>
    </row>
    <row r="377" spans="12:12" ht="15" x14ac:dyDescent="0.25">
      <c r="L377" s="26"/>
    </row>
    <row r="378" spans="12:12" ht="15" x14ac:dyDescent="0.25">
      <c r="L378" s="26"/>
    </row>
    <row r="379" spans="12:12" ht="15" x14ac:dyDescent="0.25">
      <c r="L379" s="26"/>
    </row>
    <row r="380" spans="12:12" ht="15" x14ac:dyDescent="0.25">
      <c r="L380" s="26"/>
    </row>
    <row r="381" spans="12:12" ht="15" x14ac:dyDescent="0.25">
      <c r="L381" s="26"/>
    </row>
    <row r="382" spans="12:12" ht="15" x14ac:dyDescent="0.25">
      <c r="L382" s="26"/>
    </row>
    <row r="383" spans="12:12" ht="15" x14ac:dyDescent="0.25">
      <c r="L383" s="26"/>
    </row>
    <row r="384" spans="12:12" ht="15" x14ac:dyDescent="0.25">
      <c r="L384" s="26"/>
    </row>
    <row r="385" spans="12:12" ht="15" x14ac:dyDescent="0.25">
      <c r="L385" s="26"/>
    </row>
    <row r="386" spans="12:12" ht="15" x14ac:dyDescent="0.25">
      <c r="L386" s="26"/>
    </row>
    <row r="387" spans="12:12" ht="15" x14ac:dyDescent="0.25">
      <c r="L387" s="26"/>
    </row>
    <row r="388" spans="12:12" ht="15" x14ac:dyDescent="0.25">
      <c r="L388" s="26"/>
    </row>
    <row r="389" spans="12:12" ht="15" x14ac:dyDescent="0.25">
      <c r="L389" s="26"/>
    </row>
    <row r="390" spans="12:12" ht="15" x14ac:dyDescent="0.25">
      <c r="L390" s="26"/>
    </row>
    <row r="391" spans="12:12" ht="15" x14ac:dyDescent="0.25">
      <c r="L391" s="26"/>
    </row>
    <row r="392" spans="12:12" ht="15" x14ac:dyDescent="0.25">
      <c r="L392" s="26"/>
    </row>
    <row r="393" spans="12:12" ht="15" x14ac:dyDescent="0.25">
      <c r="L393" s="26"/>
    </row>
    <row r="394" spans="12:12" ht="15" x14ac:dyDescent="0.25">
      <c r="L394" s="26"/>
    </row>
    <row r="395" spans="12:12" ht="15" x14ac:dyDescent="0.25">
      <c r="L395" s="26"/>
    </row>
    <row r="396" spans="12:12" ht="15" x14ac:dyDescent="0.25">
      <c r="L396" s="26"/>
    </row>
    <row r="397" spans="12:12" ht="15" x14ac:dyDescent="0.25">
      <c r="L397" s="26"/>
    </row>
    <row r="398" spans="12:12" ht="15" x14ac:dyDescent="0.25">
      <c r="L398" s="26"/>
    </row>
    <row r="399" spans="12:12" ht="15" x14ac:dyDescent="0.25">
      <c r="L399" s="26"/>
    </row>
    <row r="400" spans="12:12" ht="15" x14ac:dyDescent="0.25">
      <c r="L400" s="26"/>
    </row>
    <row r="401" spans="12:12" ht="15" x14ac:dyDescent="0.25">
      <c r="L401" s="26"/>
    </row>
    <row r="402" spans="12:12" ht="15" x14ac:dyDescent="0.25">
      <c r="L402" s="26"/>
    </row>
    <row r="403" spans="12:12" ht="15" x14ac:dyDescent="0.25">
      <c r="L403" s="26"/>
    </row>
    <row r="404" spans="12:12" ht="15" x14ac:dyDescent="0.25">
      <c r="L404" s="26"/>
    </row>
    <row r="405" spans="12:12" ht="15" x14ac:dyDescent="0.25">
      <c r="L405" s="26"/>
    </row>
    <row r="406" spans="12:12" ht="15" x14ac:dyDescent="0.25">
      <c r="L406" s="26"/>
    </row>
    <row r="407" spans="12:12" ht="15" x14ac:dyDescent="0.25">
      <c r="L407" s="26"/>
    </row>
    <row r="408" spans="12:12" ht="15" x14ac:dyDescent="0.25">
      <c r="L408" s="26"/>
    </row>
  </sheetData>
  <mergeCells count="1">
    <mergeCell ref="A1:J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C767C-F850-48A7-8F73-CF65E8096DD1}">
  <dimension ref="A1:Z409"/>
  <sheetViews>
    <sheetView topLeftCell="A271" zoomScale="89" zoomScaleNormal="89" workbookViewId="0">
      <selection activeCell="K214" sqref="K1:K1048576"/>
    </sheetView>
  </sheetViews>
  <sheetFormatPr defaultColWidth="12.5703125" defaultRowHeight="14.25" x14ac:dyDescent="0.2"/>
  <cols>
    <col min="1" max="1" width="49.28515625" style="90" customWidth="1"/>
    <col min="2" max="2" width="6" style="90" customWidth="1"/>
    <col min="3" max="3" width="12.7109375" style="90" bestFit="1" customWidth="1"/>
    <col min="4" max="4" width="16.140625" style="90" customWidth="1"/>
    <col min="5" max="5" width="12.7109375" style="90" bestFit="1" customWidth="1"/>
    <col min="6" max="6" width="16.5703125" style="90" customWidth="1"/>
    <col min="7" max="7" width="10.7109375" style="90" bestFit="1" customWidth="1"/>
    <col min="8" max="8" width="16.28515625" style="90" customWidth="1"/>
    <col min="9" max="9" width="12.7109375" style="90" bestFit="1" customWidth="1"/>
    <col min="10" max="10" width="15.7109375" style="90" customWidth="1"/>
    <col min="11" max="11" width="19.28515625" style="90" customWidth="1"/>
    <col min="12" max="12" width="5.42578125" style="90" customWidth="1"/>
    <col min="13" max="13" width="9.7109375" style="90" customWidth="1"/>
    <col min="14" max="14" width="17.85546875" style="100" bestFit="1" customWidth="1"/>
    <col min="15" max="16" width="12.7109375" style="90" bestFit="1" customWidth="1"/>
    <col min="17" max="17" width="17.140625" style="90" customWidth="1"/>
    <col min="18" max="18" width="17.85546875" style="100" bestFit="1" customWidth="1"/>
    <col min="19" max="19" width="20.5703125" style="90" customWidth="1"/>
    <col min="20" max="20" width="18.5703125" style="100" bestFit="1" customWidth="1"/>
    <col min="21" max="23" width="12.5703125" style="90"/>
    <col min="24" max="24" width="12.7109375" style="90" bestFit="1" customWidth="1"/>
    <col min="25" max="25" width="13.7109375" style="90" bestFit="1" customWidth="1"/>
    <col min="26" max="16384" width="12.5703125" style="90"/>
  </cols>
  <sheetData>
    <row r="1" spans="1:26" ht="15" x14ac:dyDescent="0.25">
      <c r="A1" s="88"/>
      <c r="B1" s="89"/>
      <c r="C1" s="221" t="s">
        <v>0</v>
      </c>
      <c r="D1" s="222"/>
      <c r="E1" s="221" t="s">
        <v>1</v>
      </c>
      <c r="F1" s="222"/>
      <c r="G1" s="221" t="s">
        <v>2</v>
      </c>
      <c r="H1" s="222"/>
      <c r="I1" s="221" t="s">
        <v>3</v>
      </c>
      <c r="J1" s="222"/>
      <c r="N1" s="91"/>
      <c r="O1" s="88"/>
      <c r="P1" s="88"/>
      <c r="Q1" s="88"/>
      <c r="R1" s="91"/>
      <c r="S1" s="88"/>
      <c r="T1" s="91"/>
      <c r="U1" s="88"/>
      <c r="V1" s="88"/>
      <c r="W1" s="88"/>
      <c r="X1" s="88"/>
      <c r="Y1" s="88"/>
      <c r="Z1" s="88"/>
    </row>
    <row r="2" spans="1:26" ht="15" x14ac:dyDescent="0.25">
      <c r="A2" s="92" t="s">
        <v>4</v>
      </c>
      <c r="B2" s="93" t="s">
        <v>5</v>
      </c>
      <c r="C2" s="94" t="s">
        <v>6</v>
      </c>
      <c r="D2" s="94" t="s">
        <v>7</v>
      </c>
      <c r="E2" s="94" t="s">
        <v>8</v>
      </c>
      <c r="F2" s="94" t="s">
        <v>9</v>
      </c>
      <c r="G2" s="94" t="s">
        <v>6</v>
      </c>
      <c r="H2" s="94" t="s">
        <v>10</v>
      </c>
      <c r="I2" s="94" t="s">
        <v>6</v>
      </c>
      <c r="J2" s="94" t="s">
        <v>9</v>
      </c>
      <c r="K2" s="95"/>
      <c r="L2" s="95"/>
      <c r="M2" s="95"/>
      <c r="N2" s="91"/>
      <c r="O2" s="88"/>
      <c r="P2" s="88"/>
      <c r="Q2" s="88"/>
      <c r="R2" s="91"/>
      <c r="S2" s="88"/>
      <c r="T2" s="91"/>
      <c r="U2" s="88"/>
      <c r="V2" s="88"/>
      <c r="W2" s="88"/>
      <c r="X2" s="88"/>
      <c r="Y2" s="88"/>
      <c r="Z2" s="88"/>
    </row>
    <row r="3" spans="1:26" ht="15" x14ac:dyDescent="0.25">
      <c r="A3" s="96" t="s">
        <v>11</v>
      </c>
      <c r="B3" s="96">
        <v>12</v>
      </c>
      <c r="C3" s="97">
        <v>226</v>
      </c>
      <c r="D3" s="97">
        <v>6255676</v>
      </c>
      <c r="E3" s="97">
        <v>100</v>
      </c>
      <c r="F3" s="97">
        <v>2774400</v>
      </c>
      <c r="G3" s="97">
        <v>100</v>
      </c>
      <c r="H3" s="97">
        <v>2769962</v>
      </c>
      <c r="I3" s="97">
        <v>226</v>
      </c>
      <c r="J3" s="97">
        <v>6260114</v>
      </c>
      <c r="K3" s="98" t="s">
        <v>889</v>
      </c>
      <c r="L3" s="98" t="s">
        <v>327</v>
      </c>
      <c r="M3" s="98">
        <v>3</v>
      </c>
      <c r="N3" s="99">
        <v>0</v>
      </c>
      <c r="O3" s="32"/>
      <c r="P3" s="32"/>
      <c r="Q3" s="33">
        <f>O3*P3</f>
        <v>0</v>
      </c>
      <c r="R3" s="100">
        <f>J3-Q274</f>
        <v>-10030</v>
      </c>
    </row>
    <row r="4" spans="1:26" ht="15" x14ac:dyDescent="0.25">
      <c r="A4" s="101" t="s">
        <v>12</v>
      </c>
      <c r="B4" s="101">
        <v>12</v>
      </c>
      <c r="C4" s="102">
        <v>0</v>
      </c>
      <c r="D4" s="102">
        <v>0</v>
      </c>
      <c r="E4" s="102">
        <v>60</v>
      </c>
      <c r="F4" s="102">
        <v>1188660</v>
      </c>
      <c r="G4" s="102">
        <v>60</v>
      </c>
      <c r="H4" s="102">
        <v>1188660</v>
      </c>
      <c r="I4" s="102">
        <v>0</v>
      </c>
      <c r="J4" s="102">
        <v>0</v>
      </c>
      <c r="K4" s="90" t="s">
        <v>890</v>
      </c>
      <c r="L4" s="90" t="s">
        <v>327</v>
      </c>
      <c r="M4" s="90">
        <v>30</v>
      </c>
      <c r="N4" s="100">
        <v>0</v>
      </c>
      <c r="O4" s="32"/>
      <c r="P4" s="32"/>
      <c r="Q4" s="33">
        <f t="shared" ref="Q4:Q67" si="0">O4*P4</f>
        <v>0</v>
      </c>
    </row>
    <row r="5" spans="1:26" s="98" customFormat="1" ht="15" x14ac:dyDescent="0.25">
      <c r="A5" s="96" t="s">
        <v>13</v>
      </c>
      <c r="B5" s="96">
        <v>12</v>
      </c>
      <c r="C5" s="97">
        <v>587</v>
      </c>
      <c r="D5" s="97">
        <v>19248466</v>
      </c>
      <c r="E5" s="97">
        <v>0</v>
      </c>
      <c r="F5" s="97">
        <v>0</v>
      </c>
      <c r="G5" s="97">
        <f>455-117</f>
        <v>338</v>
      </c>
      <c r="H5" s="97">
        <f>G5*N5</f>
        <v>0</v>
      </c>
      <c r="I5" s="97">
        <f>C5-G5</f>
        <v>249</v>
      </c>
      <c r="J5" s="97">
        <v>4317124</v>
      </c>
      <c r="K5" s="98" t="s">
        <v>891</v>
      </c>
      <c r="L5" s="98" t="s">
        <v>327</v>
      </c>
      <c r="M5" s="98">
        <v>495</v>
      </c>
      <c r="N5" s="99">
        <v>0</v>
      </c>
      <c r="O5" s="53"/>
      <c r="P5" s="53"/>
      <c r="Q5" s="57">
        <f t="shared" si="0"/>
        <v>0</v>
      </c>
      <c r="R5" s="99">
        <f>J5-Q6</f>
        <v>2024640.4</v>
      </c>
      <c r="S5" s="103">
        <f>R5-I5</f>
        <v>2024391.4</v>
      </c>
      <c r="T5" s="99"/>
      <c r="V5" s="98" t="s">
        <v>889</v>
      </c>
      <c r="W5" s="98" t="s">
        <v>327</v>
      </c>
      <c r="X5" s="98">
        <v>3</v>
      </c>
      <c r="Y5" s="98">
        <v>0</v>
      </c>
    </row>
    <row r="6" spans="1:26" ht="15" x14ac:dyDescent="0.25">
      <c r="A6" s="101" t="s">
        <v>14</v>
      </c>
      <c r="B6" s="101">
        <v>12</v>
      </c>
      <c r="C6" s="102">
        <v>120</v>
      </c>
      <c r="D6" s="102">
        <v>35752144</v>
      </c>
      <c r="E6" s="102">
        <v>0</v>
      </c>
      <c r="F6" s="102">
        <v>0</v>
      </c>
      <c r="G6" s="102">
        <v>120</v>
      </c>
      <c r="H6" s="102">
        <v>35752144</v>
      </c>
      <c r="I6" s="102">
        <v>0</v>
      </c>
      <c r="J6" s="102">
        <v>0</v>
      </c>
      <c r="K6" s="98" t="s">
        <v>338</v>
      </c>
      <c r="L6" s="98" t="s">
        <v>303</v>
      </c>
      <c r="M6" s="98">
        <v>729</v>
      </c>
      <c r="N6" s="99">
        <v>46436382.075037226</v>
      </c>
      <c r="O6" s="59">
        <v>132</v>
      </c>
      <c r="P6" s="52">
        <v>17367.3</v>
      </c>
      <c r="Q6" s="57">
        <f t="shared" si="0"/>
        <v>2292483.6</v>
      </c>
      <c r="V6" s="90" t="s">
        <v>890</v>
      </c>
      <c r="W6" s="90" t="s">
        <v>327</v>
      </c>
      <c r="X6" s="90">
        <v>30</v>
      </c>
      <c r="Y6" s="90">
        <v>0</v>
      </c>
    </row>
    <row r="7" spans="1:26" s="98" customFormat="1" ht="15" x14ac:dyDescent="0.25">
      <c r="A7" s="96" t="s">
        <v>15</v>
      </c>
      <c r="B7" s="96">
        <v>12</v>
      </c>
      <c r="C7" s="97">
        <v>504</v>
      </c>
      <c r="D7" s="97">
        <v>68557545</v>
      </c>
      <c r="E7" s="97">
        <v>0</v>
      </c>
      <c r="F7" s="97">
        <v>0</v>
      </c>
      <c r="G7" s="97">
        <f>C7-I7</f>
        <v>134</v>
      </c>
      <c r="H7" s="97">
        <v>37679444</v>
      </c>
      <c r="I7" s="97">
        <v>370</v>
      </c>
      <c r="J7" s="97">
        <v>30878101</v>
      </c>
      <c r="K7" s="90" t="s">
        <v>342</v>
      </c>
      <c r="L7" s="90" t="s">
        <v>303</v>
      </c>
      <c r="M7" s="90">
        <v>120</v>
      </c>
      <c r="N7" s="100">
        <v>8907278</v>
      </c>
      <c r="O7" s="53"/>
      <c r="P7" s="53"/>
      <c r="Q7" s="57">
        <f t="shared" si="0"/>
        <v>0</v>
      </c>
      <c r="R7" s="99"/>
      <c r="S7" s="103">
        <f>R7-I7</f>
        <v>-370</v>
      </c>
      <c r="T7" s="99"/>
      <c r="V7" s="98" t="s">
        <v>891</v>
      </c>
      <c r="W7" s="98" t="s">
        <v>327</v>
      </c>
      <c r="X7" s="98">
        <v>495</v>
      </c>
      <c r="Y7" s="98">
        <v>0</v>
      </c>
    </row>
    <row r="8" spans="1:26" s="98" customFormat="1" ht="15" x14ac:dyDescent="0.25">
      <c r="A8" s="96" t="s">
        <v>16</v>
      </c>
      <c r="B8" s="96">
        <v>12</v>
      </c>
      <c r="C8" s="97">
        <v>344</v>
      </c>
      <c r="D8" s="97">
        <v>53839916</v>
      </c>
      <c r="E8" s="97">
        <v>0</v>
      </c>
      <c r="F8" s="97">
        <v>0</v>
      </c>
      <c r="G8" s="97">
        <f>C8-I8</f>
        <v>34</v>
      </c>
      <c r="H8" s="97">
        <f>G8*N8</f>
        <v>3869899343.1000504</v>
      </c>
      <c r="I8" s="97">
        <v>310</v>
      </c>
      <c r="J8" s="97">
        <v>23476708</v>
      </c>
      <c r="K8" s="90" t="s">
        <v>344</v>
      </c>
      <c r="L8" s="90" t="s">
        <v>303</v>
      </c>
      <c r="M8" s="90">
        <v>3377</v>
      </c>
      <c r="N8" s="100">
        <v>113820568.91470736</v>
      </c>
      <c r="O8" s="53"/>
      <c r="P8" s="53"/>
      <c r="Q8" s="57">
        <f t="shared" si="0"/>
        <v>0</v>
      </c>
      <c r="R8" s="99"/>
      <c r="S8" s="103">
        <f>R8-I8</f>
        <v>-310</v>
      </c>
      <c r="T8" s="99"/>
      <c r="V8" s="98" t="s">
        <v>338</v>
      </c>
      <c r="W8" s="98" t="s">
        <v>303</v>
      </c>
      <c r="X8" s="98">
        <v>729</v>
      </c>
      <c r="Y8" s="98">
        <v>46436382.075037226</v>
      </c>
    </row>
    <row r="9" spans="1:26" ht="15" x14ac:dyDescent="0.25">
      <c r="A9" s="101" t="s">
        <v>17</v>
      </c>
      <c r="B9" s="101">
        <v>12</v>
      </c>
      <c r="C9" s="102">
        <v>153</v>
      </c>
      <c r="D9" s="102">
        <v>36613751</v>
      </c>
      <c r="E9" s="102">
        <v>0</v>
      </c>
      <c r="F9" s="102">
        <v>0</v>
      </c>
      <c r="G9" s="102">
        <v>153</v>
      </c>
      <c r="H9" s="102">
        <v>36613751</v>
      </c>
      <c r="I9" s="102">
        <v>0</v>
      </c>
      <c r="J9" s="102">
        <v>0</v>
      </c>
      <c r="K9" s="98" t="s">
        <v>42</v>
      </c>
      <c r="L9" s="98" t="s">
        <v>327</v>
      </c>
      <c r="M9" s="98">
        <v>130</v>
      </c>
      <c r="N9" s="99">
        <v>7391638.0800000001</v>
      </c>
      <c r="O9" s="60">
        <v>227</v>
      </c>
      <c r="P9" s="52">
        <v>83500.2</v>
      </c>
      <c r="Q9" s="57">
        <f t="shared" si="0"/>
        <v>18954545.399999999</v>
      </c>
      <c r="R9" s="100">
        <f>J7-Q9</f>
        <v>11923555.600000001</v>
      </c>
      <c r="V9" s="90" t="s">
        <v>342</v>
      </c>
      <c r="W9" s="90" t="s">
        <v>303</v>
      </c>
      <c r="X9" s="90">
        <v>120</v>
      </c>
      <c r="Y9" s="90">
        <v>8907278</v>
      </c>
    </row>
    <row r="10" spans="1:26" ht="15" x14ac:dyDescent="0.25">
      <c r="A10" s="96" t="s">
        <v>18</v>
      </c>
      <c r="B10" s="96">
        <v>12</v>
      </c>
      <c r="C10" s="97">
        <v>554</v>
      </c>
      <c r="D10" s="97">
        <v>12063982</v>
      </c>
      <c r="E10" s="97">
        <v>0</v>
      </c>
      <c r="F10" s="97">
        <v>0</v>
      </c>
      <c r="G10" s="97">
        <f>C10-I10</f>
        <v>344</v>
      </c>
      <c r="H10" s="97">
        <f>G10*P14</f>
        <v>4142138.4</v>
      </c>
      <c r="I10" s="97">
        <v>210</v>
      </c>
      <c r="J10" s="97">
        <v>2526032</v>
      </c>
      <c r="K10" s="90" t="s">
        <v>44</v>
      </c>
      <c r="L10" s="90" t="s">
        <v>327</v>
      </c>
      <c r="M10" s="90">
        <v>750</v>
      </c>
      <c r="N10" s="100">
        <v>32158734.958333336</v>
      </c>
      <c r="O10" s="60">
        <v>150</v>
      </c>
      <c r="P10" s="52">
        <v>75700.800000000003</v>
      </c>
      <c r="Q10" s="57">
        <f t="shared" si="0"/>
        <v>11355120</v>
      </c>
      <c r="R10" s="100">
        <f>J8-Q10</f>
        <v>12121588</v>
      </c>
      <c r="V10" s="90" t="s">
        <v>344</v>
      </c>
      <c r="W10" s="90" t="s">
        <v>303</v>
      </c>
      <c r="X10" s="90">
        <v>3377</v>
      </c>
      <c r="Y10" s="90">
        <v>113820568.91470736</v>
      </c>
    </row>
    <row r="11" spans="1:26" s="98" customFormat="1" ht="15" x14ac:dyDescent="0.25">
      <c r="A11" s="96" t="s">
        <v>19</v>
      </c>
      <c r="B11" s="96">
        <v>12</v>
      </c>
      <c r="C11" s="97">
        <v>180</v>
      </c>
      <c r="D11" s="97">
        <v>3904035</v>
      </c>
      <c r="E11" s="97">
        <v>0</v>
      </c>
      <c r="F11" s="97">
        <v>0</v>
      </c>
      <c r="G11" s="97">
        <f>C11-I11</f>
        <v>40</v>
      </c>
      <c r="H11" s="97">
        <f>G11*N11</f>
        <v>358491226.39999998</v>
      </c>
      <c r="I11" s="97">
        <v>140</v>
      </c>
      <c r="J11" s="97">
        <v>1691748</v>
      </c>
      <c r="K11" s="98" t="s">
        <v>45</v>
      </c>
      <c r="L11" s="98" t="s">
        <v>327</v>
      </c>
      <c r="M11" s="98">
        <v>245</v>
      </c>
      <c r="N11" s="99">
        <v>8962280.6600000001</v>
      </c>
      <c r="O11" s="61">
        <v>0</v>
      </c>
      <c r="P11" s="61"/>
      <c r="Q11" s="57">
        <f t="shared" si="0"/>
        <v>0</v>
      </c>
      <c r="R11" s="99"/>
      <c r="T11" s="99"/>
      <c r="V11" s="98" t="s">
        <v>42</v>
      </c>
      <c r="W11" s="98" t="s">
        <v>327</v>
      </c>
      <c r="X11" s="98">
        <v>130</v>
      </c>
      <c r="Y11" s="98">
        <v>7391638.0800000001</v>
      </c>
    </row>
    <row r="12" spans="1:26" ht="15" x14ac:dyDescent="0.25">
      <c r="A12" s="101" t="s">
        <v>20</v>
      </c>
      <c r="B12" s="101">
        <v>12</v>
      </c>
      <c r="C12" s="102">
        <v>295</v>
      </c>
      <c r="D12" s="102">
        <v>31404753</v>
      </c>
      <c r="E12" s="102">
        <v>0</v>
      </c>
      <c r="F12" s="102">
        <v>0</v>
      </c>
      <c r="G12" s="102">
        <v>277</v>
      </c>
      <c r="H12" s="102">
        <v>29488531</v>
      </c>
      <c r="I12" s="102">
        <v>18</v>
      </c>
      <c r="J12" s="102">
        <v>1916222</v>
      </c>
      <c r="K12" s="90" t="s">
        <v>46</v>
      </c>
      <c r="L12" s="90" t="s">
        <v>327</v>
      </c>
      <c r="M12" s="90">
        <v>125</v>
      </c>
      <c r="N12" s="100">
        <v>3982983.4</v>
      </c>
      <c r="O12" s="32"/>
      <c r="P12" s="32"/>
      <c r="Q12" s="33">
        <f t="shared" si="0"/>
        <v>0</v>
      </c>
      <c r="V12" s="90" t="s">
        <v>44</v>
      </c>
      <c r="W12" s="90" t="s">
        <v>327</v>
      </c>
      <c r="X12" s="90">
        <v>750</v>
      </c>
      <c r="Y12" s="90">
        <v>32158734.958333336</v>
      </c>
    </row>
    <row r="13" spans="1:26" s="98" customFormat="1" ht="15" x14ac:dyDescent="0.25">
      <c r="A13" s="96" t="s">
        <v>21</v>
      </c>
      <c r="B13" s="96">
        <v>12</v>
      </c>
      <c r="C13" s="97">
        <v>170</v>
      </c>
      <c r="D13" s="97">
        <v>40681945</v>
      </c>
      <c r="E13" s="97">
        <v>0</v>
      </c>
      <c r="F13" s="97">
        <v>0</v>
      </c>
      <c r="G13" s="97">
        <f>C13-I13</f>
        <v>88</v>
      </c>
      <c r="H13" s="97">
        <f>G13*N13</f>
        <v>1949736504.3200002</v>
      </c>
      <c r="I13" s="97">
        <v>82</v>
      </c>
      <c r="J13" s="97">
        <v>11486667</v>
      </c>
      <c r="K13" s="90" t="s">
        <v>346</v>
      </c>
      <c r="L13" s="90" t="s">
        <v>327</v>
      </c>
      <c r="M13" s="90">
        <v>399</v>
      </c>
      <c r="N13" s="100">
        <v>22156096.640000001</v>
      </c>
      <c r="O13" s="53"/>
      <c r="P13" s="53"/>
      <c r="Q13" s="57">
        <f t="shared" si="0"/>
        <v>0</v>
      </c>
      <c r="R13" s="99"/>
      <c r="T13" s="99"/>
      <c r="V13" s="98" t="s">
        <v>45</v>
      </c>
      <c r="W13" s="98" t="s">
        <v>327</v>
      </c>
      <c r="X13" s="98">
        <v>245</v>
      </c>
      <c r="Y13" s="98">
        <v>8962280.6600000001</v>
      </c>
    </row>
    <row r="14" spans="1:26" ht="15" x14ac:dyDescent="0.25">
      <c r="A14" s="101" t="s">
        <v>22</v>
      </c>
      <c r="B14" s="101">
        <v>12</v>
      </c>
      <c r="C14" s="102">
        <v>18</v>
      </c>
      <c r="D14" s="102">
        <v>407934</v>
      </c>
      <c r="E14" s="102">
        <v>0</v>
      </c>
      <c r="F14" s="102">
        <v>0</v>
      </c>
      <c r="G14" s="102">
        <v>18</v>
      </c>
      <c r="H14" s="102">
        <v>407934</v>
      </c>
      <c r="I14" s="102">
        <v>0</v>
      </c>
      <c r="J14" s="102">
        <v>0</v>
      </c>
      <c r="K14" s="90" t="s">
        <v>348</v>
      </c>
      <c r="L14" s="90" t="s">
        <v>327</v>
      </c>
      <c r="M14" s="90">
        <v>486</v>
      </c>
      <c r="N14" s="100">
        <v>18690968.440000001</v>
      </c>
      <c r="O14" s="60">
        <v>116</v>
      </c>
      <c r="P14" s="52">
        <v>12041.1</v>
      </c>
      <c r="Q14" s="57">
        <f t="shared" si="0"/>
        <v>1396767.6</v>
      </c>
      <c r="R14" s="100">
        <f>J10-Q14</f>
        <v>1129264.3999999999</v>
      </c>
      <c r="V14" s="90" t="s">
        <v>46</v>
      </c>
      <c r="W14" s="90" t="s">
        <v>327</v>
      </c>
      <c r="X14" s="90">
        <v>125</v>
      </c>
      <c r="Y14" s="90">
        <v>3982983.4</v>
      </c>
    </row>
    <row r="15" spans="1:26" ht="15" x14ac:dyDescent="0.25">
      <c r="A15" s="101" t="s">
        <v>23</v>
      </c>
      <c r="B15" s="101">
        <v>12</v>
      </c>
      <c r="C15" s="102">
        <v>0</v>
      </c>
      <c r="D15" s="102">
        <v>0</v>
      </c>
      <c r="E15" s="102">
        <v>3</v>
      </c>
      <c r="F15" s="102">
        <v>57891</v>
      </c>
      <c r="G15" s="102">
        <v>3</v>
      </c>
      <c r="H15" s="102">
        <v>57891</v>
      </c>
      <c r="I15" s="102">
        <v>0</v>
      </c>
      <c r="J15" s="102">
        <v>0</v>
      </c>
      <c r="K15" s="98" t="s">
        <v>570</v>
      </c>
      <c r="L15" s="98" t="s">
        <v>327</v>
      </c>
      <c r="M15" s="98">
        <v>558</v>
      </c>
      <c r="N15" s="99">
        <v>0</v>
      </c>
      <c r="O15" s="60">
        <v>78</v>
      </c>
      <c r="P15" s="52">
        <v>12041.1</v>
      </c>
      <c r="Q15" s="57">
        <f t="shared" si="0"/>
        <v>939205.8</v>
      </c>
      <c r="R15" s="100">
        <f>J11-Q15</f>
        <v>752542.2</v>
      </c>
      <c r="V15" s="90" t="s">
        <v>346</v>
      </c>
      <c r="W15" s="90" t="s">
        <v>327</v>
      </c>
      <c r="X15" s="90">
        <v>399</v>
      </c>
      <c r="Y15" s="90">
        <v>22156096.640000001</v>
      </c>
    </row>
    <row r="16" spans="1:26" ht="15" x14ac:dyDescent="0.25">
      <c r="A16" s="101" t="s">
        <v>24</v>
      </c>
      <c r="B16" s="101">
        <v>12</v>
      </c>
      <c r="C16" s="102">
        <v>0</v>
      </c>
      <c r="D16" s="102">
        <v>0</v>
      </c>
      <c r="E16" s="102">
        <v>12</v>
      </c>
      <c r="F16" s="102">
        <v>231564</v>
      </c>
      <c r="G16" s="102">
        <v>12</v>
      </c>
      <c r="H16" s="102">
        <v>231564</v>
      </c>
      <c r="I16" s="102">
        <v>0</v>
      </c>
      <c r="J16" s="102">
        <v>0</v>
      </c>
      <c r="K16" s="98" t="s">
        <v>49</v>
      </c>
      <c r="L16" s="98" t="s">
        <v>327</v>
      </c>
      <c r="M16" s="98">
        <v>1070</v>
      </c>
      <c r="N16" s="99">
        <v>5573167.5623566909</v>
      </c>
      <c r="O16" s="32"/>
      <c r="P16" s="32"/>
      <c r="Q16" s="33">
        <f t="shared" si="0"/>
        <v>0</v>
      </c>
      <c r="R16" s="100">
        <f>J13-Q18</f>
        <v>4802979</v>
      </c>
      <c r="V16" s="90" t="s">
        <v>348</v>
      </c>
      <c r="W16" s="90" t="s">
        <v>327</v>
      </c>
      <c r="X16" s="90">
        <v>486</v>
      </c>
      <c r="Y16" s="90">
        <v>18690968.440000001</v>
      </c>
    </row>
    <row r="17" spans="1:25" s="98" customFormat="1" ht="15" x14ac:dyDescent="0.25">
      <c r="A17" s="96" t="s">
        <v>25</v>
      </c>
      <c r="B17" s="96">
        <v>12</v>
      </c>
      <c r="C17" s="97">
        <v>72</v>
      </c>
      <c r="D17" s="97">
        <v>1533524</v>
      </c>
      <c r="E17" s="97">
        <v>35</v>
      </c>
      <c r="F17" s="97">
        <v>745360</v>
      </c>
      <c r="G17" s="97">
        <f>C17+E17-I17</f>
        <v>67</v>
      </c>
      <c r="H17" s="97">
        <f>G17*N17</f>
        <v>0</v>
      </c>
      <c r="I17" s="97">
        <v>40</v>
      </c>
      <c r="J17" s="97">
        <v>788278</v>
      </c>
      <c r="K17" s="98" t="s">
        <v>892</v>
      </c>
      <c r="L17" s="98" t="s">
        <v>393</v>
      </c>
      <c r="M17" s="98">
        <v>5</v>
      </c>
      <c r="N17" s="99">
        <v>0</v>
      </c>
      <c r="O17" s="53"/>
      <c r="P17" s="53"/>
      <c r="Q17" s="57">
        <f t="shared" si="0"/>
        <v>0</v>
      </c>
      <c r="R17" s="99">
        <f>J17-Q49</f>
        <v>59422.400000000023</v>
      </c>
      <c r="T17" s="99"/>
      <c r="V17" s="98" t="s">
        <v>570</v>
      </c>
      <c r="W17" s="98" t="s">
        <v>327</v>
      </c>
      <c r="X17" s="98">
        <v>558</v>
      </c>
      <c r="Y17" s="98">
        <v>0</v>
      </c>
    </row>
    <row r="18" spans="1:25" s="98" customFormat="1" ht="15" x14ac:dyDescent="0.25">
      <c r="A18" s="96" t="s">
        <v>26</v>
      </c>
      <c r="B18" s="96">
        <v>12</v>
      </c>
      <c r="C18" s="97">
        <v>96</v>
      </c>
      <c r="D18" s="97">
        <v>2486575</v>
      </c>
      <c r="E18" s="97">
        <v>51</v>
      </c>
      <c r="F18" s="97">
        <v>1322226</v>
      </c>
      <c r="G18" s="97">
        <f>C18+E18-I18</f>
        <v>4</v>
      </c>
      <c r="H18" s="97">
        <f>G18*N18</f>
        <v>0</v>
      </c>
      <c r="I18" s="97">
        <v>143</v>
      </c>
      <c r="J18" s="97">
        <v>3420148</v>
      </c>
      <c r="K18" s="90" t="s">
        <v>893</v>
      </c>
      <c r="L18" s="90" t="s">
        <v>393</v>
      </c>
      <c r="M18" s="90">
        <v>2</v>
      </c>
      <c r="N18" s="100">
        <v>0</v>
      </c>
      <c r="O18" s="62">
        <v>48</v>
      </c>
      <c r="P18" s="52">
        <v>139243.5</v>
      </c>
      <c r="Q18" s="57">
        <f t="shared" si="0"/>
        <v>6683688</v>
      </c>
      <c r="R18" s="99">
        <f>J18-Q50</f>
        <v>254583.39999999991</v>
      </c>
      <c r="T18" s="99"/>
      <c r="V18" s="98" t="s">
        <v>49</v>
      </c>
      <c r="W18" s="98" t="s">
        <v>327</v>
      </c>
      <c r="X18" s="98">
        <v>1070</v>
      </c>
      <c r="Y18" s="98">
        <v>5573167.5623566909</v>
      </c>
    </row>
    <row r="19" spans="1:25" s="98" customFormat="1" ht="15" x14ac:dyDescent="0.25">
      <c r="A19" s="96" t="s">
        <v>27</v>
      </c>
      <c r="B19" s="96">
        <v>12</v>
      </c>
      <c r="C19" s="97">
        <v>67</v>
      </c>
      <c r="D19" s="97">
        <v>2083589</v>
      </c>
      <c r="E19" s="97">
        <v>0</v>
      </c>
      <c r="F19" s="97">
        <v>0</v>
      </c>
      <c r="G19" s="97">
        <f>C19-I19</f>
        <v>1</v>
      </c>
      <c r="H19" s="97">
        <f>G19*N19</f>
        <v>0</v>
      </c>
      <c r="I19" s="97">
        <v>66</v>
      </c>
      <c r="J19" s="97">
        <v>1928097</v>
      </c>
      <c r="K19" s="90" t="s">
        <v>894</v>
      </c>
      <c r="L19" s="90" t="s">
        <v>393</v>
      </c>
      <c r="M19" s="90">
        <v>24</v>
      </c>
      <c r="N19" s="100">
        <v>0</v>
      </c>
      <c r="O19" s="53"/>
      <c r="P19" s="53"/>
      <c r="Q19" s="57">
        <f t="shared" si="0"/>
        <v>0</v>
      </c>
      <c r="R19" s="99">
        <f>J19-Q36</f>
        <v>122661.9600000002</v>
      </c>
      <c r="T19" s="99"/>
      <c r="V19" s="98" t="s">
        <v>892</v>
      </c>
      <c r="W19" s="98" t="s">
        <v>393</v>
      </c>
      <c r="X19" s="98">
        <v>5</v>
      </c>
      <c r="Y19" s="98">
        <v>0</v>
      </c>
    </row>
    <row r="20" spans="1:25" ht="15" x14ac:dyDescent="0.25">
      <c r="A20" s="101" t="s">
        <v>28</v>
      </c>
      <c r="B20" s="101">
        <v>12</v>
      </c>
      <c r="C20" s="102">
        <v>650</v>
      </c>
      <c r="D20" s="102">
        <v>74700000</v>
      </c>
      <c r="E20" s="102">
        <v>160</v>
      </c>
      <c r="F20" s="102">
        <v>18432000</v>
      </c>
      <c r="G20" s="102">
        <v>0</v>
      </c>
      <c r="H20" s="102">
        <v>0</v>
      </c>
      <c r="I20" s="102">
        <v>810</v>
      </c>
      <c r="J20" s="102">
        <v>93132000</v>
      </c>
      <c r="K20" s="90" t="s">
        <v>895</v>
      </c>
      <c r="L20" s="90" t="s">
        <v>393</v>
      </c>
      <c r="M20" s="90">
        <v>3</v>
      </c>
      <c r="N20" s="100">
        <v>0</v>
      </c>
      <c r="O20" s="32"/>
      <c r="P20" s="32"/>
      <c r="Q20" s="33">
        <f t="shared" si="0"/>
        <v>0</v>
      </c>
      <c r="V20" s="90" t="s">
        <v>893</v>
      </c>
      <c r="W20" s="90" t="s">
        <v>393</v>
      </c>
      <c r="X20" s="90">
        <v>2</v>
      </c>
      <c r="Y20" s="90">
        <v>0</v>
      </c>
    </row>
    <row r="21" spans="1:25" ht="15" x14ac:dyDescent="0.25">
      <c r="A21" s="101" t="s">
        <v>29</v>
      </c>
      <c r="B21" s="101">
        <v>12</v>
      </c>
      <c r="C21" s="102">
        <v>280</v>
      </c>
      <c r="D21" s="102">
        <v>74052080</v>
      </c>
      <c r="E21" s="102">
        <v>0</v>
      </c>
      <c r="F21" s="102">
        <v>0</v>
      </c>
      <c r="G21" s="102">
        <v>0</v>
      </c>
      <c r="H21" s="102">
        <v>0</v>
      </c>
      <c r="I21" s="102">
        <v>280</v>
      </c>
      <c r="J21" s="102">
        <v>74052080</v>
      </c>
      <c r="K21" s="90" t="s">
        <v>896</v>
      </c>
      <c r="L21" s="90" t="s">
        <v>393</v>
      </c>
      <c r="M21" s="90">
        <v>16</v>
      </c>
      <c r="N21" s="100">
        <v>0</v>
      </c>
      <c r="O21" s="32"/>
      <c r="P21" s="32"/>
      <c r="Q21" s="33">
        <f t="shared" si="0"/>
        <v>0</v>
      </c>
      <c r="V21" s="90" t="s">
        <v>894</v>
      </c>
      <c r="W21" s="90" t="s">
        <v>393</v>
      </c>
      <c r="X21" s="90">
        <v>24</v>
      </c>
      <c r="Y21" s="90">
        <v>0</v>
      </c>
    </row>
    <row r="22" spans="1:25" ht="15" x14ac:dyDescent="0.25">
      <c r="A22" s="101" t="s">
        <v>30</v>
      </c>
      <c r="B22" s="101">
        <v>12</v>
      </c>
      <c r="C22" s="102">
        <v>102</v>
      </c>
      <c r="D22" s="102">
        <v>19779439</v>
      </c>
      <c r="E22" s="102">
        <v>0</v>
      </c>
      <c r="F22" s="102">
        <v>0</v>
      </c>
      <c r="G22" s="102">
        <v>100</v>
      </c>
      <c r="H22" s="102">
        <v>19391607</v>
      </c>
      <c r="I22" s="102">
        <v>2</v>
      </c>
      <c r="J22" s="102">
        <v>387832</v>
      </c>
      <c r="K22" s="90" t="s">
        <v>897</v>
      </c>
      <c r="L22" s="90" t="s">
        <v>451</v>
      </c>
      <c r="M22" s="90">
        <v>30</v>
      </c>
      <c r="N22" s="100">
        <v>0</v>
      </c>
      <c r="O22" s="32"/>
      <c r="P22" s="32"/>
      <c r="Q22" s="33">
        <f t="shared" si="0"/>
        <v>0</v>
      </c>
      <c r="V22" s="90" t="s">
        <v>895</v>
      </c>
      <c r="W22" s="90" t="s">
        <v>393</v>
      </c>
      <c r="X22" s="90">
        <v>3</v>
      </c>
      <c r="Y22" s="90">
        <v>0</v>
      </c>
    </row>
    <row r="23" spans="1:25" ht="15" x14ac:dyDescent="0.25">
      <c r="A23" s="101" t="s">
        <v>31</v>
      </c>
      <c r="B23" s="101">
        <v>12</v>
      </c>
      <c r="C23" s="102">
        <v>0</v>
      </c>
      <c r="D23" s="102">
        <v>0</v>
      </c>
      <c r="E23" s="102">
        <v>50</v>
      </c>
      <c r="F23" s="102">
        <v>8509100</v>
      </c>
      <c r="G23" s="102">
        <v>0</v>
      </c>
      <c r="H23" s="102">
        <v>0</v>
      </c>
      <c r="I23" s="102">
        <v>50</v>
      </c>
      <c r="J23" s="102">
        <v>8509100</v>
      </c>
      <c r="K23" s="90" t="s">
        <v>898</v>
      </c>
      <c r="L23" s="90" t="s">
        <v>393</v>
      </c>
      <c r="M23" s="90">
        <v>8</v>
      </c>
      <c r="N23" s="100">
        <v>0</v>
      </c>
      <c r="O23" s="32"/>
      <c r="P23" s="32"/>
      <c r="Q23" s="33">
        <f t="shared" si="0"/>
        <v>0</v>
      </c>
      <c r="V23" s="90" t="s">
        <v>896</v>
      </c>
      <c r="W23" s="90" t="s">
        <v>393</v>
      </c>
      <c r="X23" s="90">
        <v>16</v>
      </c>
      <c r="Y23" s="90">
        <v>0</v>
      </c>
    </row>
    <row r="24" spans="1:25" ht="15" x14ac:dyDescent="0.25">
      <c r="A24" s="104" t="s">
        <v>32</v>
      </c>
      <c r="B24" s="104">
        <v>12</v>
      </c>
      <c r="C24" s="105">
        <v>137</v>
      </c>
      <c r="D24" s="105">
        <v>22821826</v>
      </c>
      <c r="E24" s="105">
        <v>0</v>
      </c>
      <c r="F24" s="105">
        <v>0</v>
      </c>
      <c r="G24" s="105">
        <v>20</v>
      </c>
      <c r="H24" s="105">
        <v>3331653</v>
      </c>
      <c r="I24" s="105">
        <v>117</v>
      </c>
      <c r="J24" s="105">
        <v>19490173</v>
      </c>
      <c r="K24" s="90" t="s">
        <v>899</v>
      </c>
      <c r="L24" s="90" t="s">
        <v>393</v>
      </c>
      <c r="M24" s="90">
        <v>6</v>
      </c>
      <c r="N24" s="100">
        <v>0</v>
      </c>
      <c r="O24" s="32"/>
      <c r="P24" s="32"/>
      <c r="Q24" s="33">
        <f t="shared" si="0"/>
        <v>0</v>
      </c>
      <c r="V24" s="90" t="s">
        <v>897</v>
      </c>
      <c r="W24" s="90" t="s">
        <v>451</v>
      </c>
      <c r="X24" s="90">
        <v>30</v>
      </c>
      <c r="Y24" s="90">
        <v>0</v>
      </c>
    </row>
    <row r="25" spans="1:25" ht="15" x14ac:dyDescent="0.25">
      <c r="A25" s="96" t="s">
        <v>33</v>
      </c>
      <c r="B25" s="96">
        <v>12</v>
      </c>
      <c r="C25" s="97">
        <v>106</v>
      </c>
      <c r="D25" s="97">
        <v>16323470</v>
      </c>
      <c r="E25" s="97">
        <v>45</v>
      </c>
      <c r="F25" s="97">
        <v>10556505</v>
      </c>
      <c r="G25" s="97">
        <f>C25+E25-I25</f>
        <v>58</v>
      </c>
      <c r="H25" s="97">
        <f>D25+F25-J25</f>
        <v>4984366</v>
      </c>
      <c r="I25" s="97">
        <v>93</v>
      </c>
      <c r="J25" s="97">
        <v>21895609</v>
      </c>
      <c r="K25" s="90" t="s">
        <v>900</v>
      </c>
      <c r="L25" s="90" t="s">
        <v>393</v>
      </c>
      <c r="M25" s="90">
        <v>138</v>
      </c>
      <c r="N25" s="100">
        <v>0</v>
      </c>
      <c r="O25" s="62">
        <v>273485</v>
      </c>
      <c r="P25" s="56">
        <v>31208</v>
      </c>
      <c r="Q25" s="57">
        <f t="shared" si="0"/>
        <v>8534919880</v>
      </c>
      <c r="R25" s="100">
        <f>J25-Q191</f>
        <v>-6958838</v>
      </c>
      <c r="V25" s="90" t="s">
        <v>898</v>
      </c>
      <c r="W25" s="90" t="s">
        <v>393</v>
      </c>
      <c r="X25" s="90">
        <v>8</v>
      </c>
      <c r="Y25" s="90">
        <v>0</v>
      </c>
    </row>
    <row r="26" spans="1:25" ht="15" x14ac:dyDescent="0.25">
      <c r="A26" s="96" t="s">
        <v>34</v>
      </c>
      <c r="B26" s="96">
        <v>12</v>
      </c>
      <c r="C26" s="97">
        <v>94</v>
      </c>
      <c r="D26" s="97">
        <v>17372116</v>
      </c>
      <c r="E26" s="97">
        <v>40</v>
      </c>
      <c r="F26" s="97">
        <v>9383560</v>
      </c>
      <c r="G26" s="97">
        <f>C26+E26-I26</f>
        <v>63</v>
      </c>
      <c r="H26" s="97">
        <f>D26+F26-J26</f>
        <v>9983461</v>
      </c>
      <c r="I26" s="97">
        <v>71</v>
      </c>
      <c r="J26" s="97">
        <v>16772215</v>
      </c>
      <c r="K26" s="106" t="s">
        <v>901</v>
      </c>
      <c r="L26" s="106" t="s">
        <v>393</v>
      </c>
      <c r="M26" s="106">
        <v>119</v>
      </c>
      <c r="N26" s="107">
        <v>0</v>
      </c>
      <c r="O26" s="32"/>
      <c r="P26" s="32"/>
      <c r="Q26" s="33">
        <f t="shared" si="0"/>
        <v>0</v>
      </c>
      <c r="R26" s="100">
        <f>J26-Q197</f>
        <v>-2933261</v>
      </c>
      <c r="V26" s="90" t="s">
        <v>899</v>
      </c>
      <c r="W26" s="90" t="s">
        <v>393</v>
      </c>
      <c r="X26" s="90">
        <v>6</v>
      </c>
      <c r="Y26" s="90">
        <v>0</v>
      </c>
    </row>
    <row r="27" spans="1:25" ht="15" x14ac:dyDescent="0.25">
      <c r="A27" s="104" t="s">
        <v>35</v>
      </c>
      <c r="B27" s="104">
        <v>12</v>
      </c>
      <c r="C27" s="105">
        <v>351</v>
      </c>
      <c r="D27" s="105">
        <v>40194000</v>
      </c>
      <c r="E27" s="105">
        <v>0</v>
      </c>
      <c r="F27" s="105">
        <v>0</v>
      </c>
      <c r="G27" s="105">
        <v>0</v>
      </c>
      <c r="H27" s="105">
        <v>0</v>
      </c>
      <c r="I27" s="105">
        <v>351</v>
      </c>
      <c r="J27" s="105">
        <v>40194000</v>
      </c>
      <c r="K27" s="90" t="s">
        <v>902</v>
      </c>
      <c r="L27" s="90" t="s">
        <v>393</v>
      </c>
      <c r="M27" s="90">
        <v>156</v>
      </c>
      <c r="N27" s="100">
        <v>0</v>
      </c>
      <c r="O27" s="32"/>
      <c r="P27" s="32"/>
      <c r="Q27" s="33">
        <f t="shared" si="0"/>
        <v>0</v>
      </c>
      <c r="V27" s="90" t="s">
        <v>900</v>
      </c>
      <c r="W27" s="90" t="s">
        <v>393</v>
      </c>
      <c r="X27" s="90">
        <v>138</v>
      </c>
      <c r="Y27" s="90">
        <v>0</v>
      </c>
    </row>
    <row r="28" spans="1:25" s="106" customFormat="1" ht="15" x14ac:dyDescent="0.25">
      <c r="A28" s="108" t="s">
        <v>36</v>
      </c>
      <c r="B28" s="108">
        <v>12</v>
      </c>
      <c r="C28" s="109">
        <v>40</v>
      </c>
      <c r="D28" s="109">
        <v>1818200</v>
      </c>
      <c r="E28" s="109">
        <v>0</v>
      </c>
      <c r="F28" s="109">
        <v>0</v>
      </c>
      <c r="G28" s="109">
        <v>0</v>
      </c>
      <c r="H28" s="109">
        <v>0</v>
      </c>
      <c r="I28" s="109">
        <v>40</v>
      </c>
      <c r="J28" s="109">
        <v>1818200</v>
      </c>
      <c r="K28" s="98" t="s">
        <v>903</v>
      </c>
      <c r="L28" s="98" t="s">
        <v>327</v>
      </c>
      <c r="M28" s="98">
        <v>12</v>
      </c>
      <c r="N28" s="99">
        <v>0</v>
      </c>
      <c r="O28" s="70"/>
      <c r="P28" s="70"/>
      <c r="Q28" s="65">
        <f t="shared" si="0"/>
        <v>0</v>
      </c>
      <c r="R28" s="107"/>
      <c r="T28" s="107"/>
      <c r="V28" s="106" t="s">
        <v>901</v>
      </c>
      <c r="W28" s="106" t="s">
        <v>393</v>
      </c>
      <c r="X28" s="106">
        <v>119</v>
      </c>
      <c r="Y28" s="106">
        <v>0</v>
      </c>
    </row>
    <row r="29" spans="1:25" ht="15" x14ac:dyDescent="0.25">
      <c r="A29" s="101" t="s">
        <v>37</v>
      </c>
      <c r="B29" s="101">
        <v>12</v>
      </c>
      <c r="C29" s="102">
        <v>833</v>
      </c>
      <c r="D29" s="102">
        <v>46378988</v>
      </c>
      <c r="E29" s="102">
        <v>4571</v>
      </c>
      <c r="F29" s="102">
        <v>254508576</v>
      </c>
      <c r="G29" s="102">
        <v>5404</v>
      </c>
      <c r="H29" s="102">
        <v>300887564</v>
      </c>
      <c r="I29" s="102">
        <v>0</v>
      </c>
      <c r="J29" s="102">
        <v>0</v>
      </c>
      <c r="K29" s="98" t="s">
        <v>904</v>
      </c>
      <c r="L29" s="98" t="s">
        <v>393</v>
      </c>
      <c r="M29" s="98">
        <v>6</v>
      </c>
      <c r="N29" s="99">
        <v>0</v>
      </c>
      <c r="O29" s="32"/>
      <c r="P29" s="32"/>
      <c r="Q29" s="33">
        <f t="shared" si="0"/>
        <v>0</v>
      </c>
      <c r="V29" s="90" t="s">
        <v>902</v>
      </c>
      <c r="W29" s="90" t="s">
        <v>393</v>
      </c>
      <c r="X29" s="90">
        <v>156</v>
      </c>
      <c r="Y29" s="90">
        <v>0</v>
      </c>
    </row>
    <row r="30" spans="1:25" s="98" customFormat="1" ht="15" x14ac:dyDescent="0.25">
      <c r="A30" s="96" t="s">
        <v>38</v>
      </c>
      <c r="B30" s="96">
        <v>12</v>
      </c>
      <c r="C30" s="97">
        <v>273867</v>
      </c>
      <c r="D30" s="97">
        <v>255643095</v>
      </c>
      <c r="E30" s="97">
        <v>8568</v>
      </c>
      <c r="F30" s="97">
        <v>267390144</v>
      </c>
      <c r="G30" s="97">
        <f>C30+E30-I30</f>
        <v>274625</v>
      </c>
      <c r="H30" s="97">
        <f>G30*N30</f>
        <v>0</v>
      </c>
      <c r="I30" s="97">
        <v>7810</v>
      </c>
      <c r="J30" s="97">
        <v>243721640</v>
      </c>
      <c r="K30" s="90" t="s">
        <v>905</v>
      </c>
      <c r="L30" s="90" t="s">
        <v>327</v>
      </c>
      <c r="M30" s="90">
        <v>45</v>
      </c>
      <c r="N30" s="100">
        <v>0</v>
      </c>
      <c r="O30" s="63">
        <v>306</v>
      </c>
      <c r="P30" s="64">
        <v>51389</v>
      </c>
      <c r="Q30" s="65">
        <f t="shared" si="0"/>
        <v>15725034</v>
      </c>
      <c r="R30" s="99">
        <f>J30-Q25</f>
        <v>-8291198240</v>
      </c>
      <c r="S30" s="110">
        <f>I30-R30</f>
        <v>8291206050</v>
      </c>
      <c r="T30" s="99"/>
      <c r="V30" s="98" t="s">
        <v>903</v>
      </c>
      <c r="W30" s="98" t="s">
        <v>327</v>
      </c>
      <c r="X30" s="98">
        <v>12</v>
      </c>
      <c r="Y30" s="98">
        <v>0</v>
      </c>
    </row>
    <row r="31" spans="1:25" s="98" customFormat="1" ht="15" x14ac:dyDescent="0.25">
      <c r="A31" s="96" t="s">
        <v>39</v>
      </c>
      <c r="B31" s="96">
        <v>12</v>
      </c>
      <c r="C31" s="97">
        <v>25915</v>
      </c>
      <c r="D31" s="97">
        <v>50321430</v>
      </c>
      <c r="E31" s="97">
        <v>1500</v>
      </c>
      <c r="F31" s="97">
        <v>54276000</v>
      </c>
      <c r="G31" s="97">
        <f>C31+E31-I31</f>
        <v>26863</v>
      </c>
      <c r="H31" s="97">
        <f>G31*N31</f>
        <v>0</v>
      </c>
      <c r="I31" s="97">
        <v>552</v>
      </c>
      <c r="J31" s="97">
        <v>19963055</v>
      </c>
      <c r="K31" s="90" t="s">
        <v>906</v>
      </c>
      <c r="L31" s="90" t="s">
        <v>451</v>
      </c>
      <c r="M31" s="90">
        <v>1</v>
      </c>
      <c r="N31" s="100">
        <v>0</v>
      </c>
      <c r="O31" s="60">
        <v>25076</v>
      </c>
      <c r="P31" s="56">
        <v>36184</v>
      </c>
      <c r="Q31" s="57">
        <f t="shared" si="0"/>
        <v>907349984</v>
      </c>
      <c r="R31" s="99">
        <f>J31-Q31</f>
        <v>-887386929</v>
      </c>
      <c r="S31" s="110">
        <f>I31-R31</f>
        <v>887387481</v>
      </c>
      <c r="T31" s="99"/>
      <c r="V31" s="98" t="s">
        <v>904</v>
      </c>
      <c r="W31" s="98" t="s">
        <v>393</v>
      </c>
      <c r="X31" s="98">
        <v>6</v>
      </c>
      <c r="Y31" s="98">
        <v>0</v>
      </c>
    </row>
    <row r="32" spans="1:25" ht="15" x14ac:dyDescent="0.25">
      <c r="A32" s="104" t="s">
        <v>40</v>
      </c>
      <c r="B32" s="104">
        <v>12</v>
      </c>
      <c r="C32" s="105">
        <v>2430</v>
      </c>
      <c r="D32" s="105">
        <v>87927120</v>
      </c>
      <c r="E32" s="105">
        <v>0</v>
      </c>
      <c r="F32" s="105">
        <v>0</v>
      </c>
      <c r="G32" s="105">
        <f>C32-I32</f>
        <v>0</v>
      </c>
      <c r="H32" s="105">
        <f>D32-J32</f>
        <v>0</v>
      </c>
      <c r="I32" s="105">
        <v>2430</v>
      </c>
      <c r="J32" s="105">
        <f>D32</f>
        <v>87927120</v>
      </c>
      <c r="K32" s="98" t="s">
        <v>50</v>
      </c>
      <c r="L32" s="98" t="s">
        <v>327</v>
      </c>
      <c r="M32" s="98">
        <v>750</v>
      </c>
      <c r="N32" s="99">
        <v>2579771.5</v>
      </c>
      <c r="O32" s="60">
        <v>130</v>
      </c>
      <c r="P32" s="56">
        <v>52485</v>
      </c>
      <c r="Q32" s="57">
        <f t="shared" si="0"/>
        <v>6823050</v>
      </c>
      <c r="R32" s="100">
        <f>J32-Q185</f>
        <v>-9394380</v>
      </c>
      <c r="S32" s="90" t="s">
        <v>945</v>
      </c>
      <c r="V32" s="90" t="s">
        <v>905</v>
      </c>
      <c r="W32" s="90" t="s">
        <v>327</v>
      </c>
      <c r="X32" s="90">
        <v>45</v>
      </c>
      <c r="Y32" s="90">
        <v>0</v>
      </c>
    </row>
    <row r="33" spans="1:25" ht="15" x14ac:dyDescent="0.25">
      <c r="A33" s="101" t="s">
        <v>41</v>
      </c>
      <c r="B33" s="101">
        <v>12</v>
      </c>
      <c r="C33" s="102">
        <v>0</v>
      </c>
      <c r="D33" s="102">
        <v>189538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189538</v>
      </c>
      <c r="K33" s="90" t="s">
        <v>360</v>
      </c>
      <c r="L33" s="90" t="s">
        <v>327</v>
      </c>
      <c r="M33" s="90">
        <v>995</v>
      </c>
      <c r="N33" s="100">
        <v>5095966.75</v>
      </c>
      <c r="O33" s="32"/>
      <c r="P33" s="32"/>
      <c r="Q33" s="33">
        <f t="shared" si="0"/>
        <v>0</v>
      </c>
      <c r="V33" s="90" t="s">
        <v>906</v>
      </c>
      <c r="W33" s="90" t="s">
        <v>451</v>
      </c>
      <c r="X33" s="90">
        <v>1</v>
      </c>
      <c r="Y33" s="90">
        <v>0</v>
      </c>
    </row>
    <row r="34" spans="1:25" s="98" customFormat="1" ht="15" x14ac:dyDescent="0.25">
      <c r="A34" s="96" t="s">
        <v>42</v>
      </c>
      <c r="B34" s="96">
        <v>12</v>
      </c>
      <c r="C34" s="97">
        <v>160</v>
      </c>
      <c r="D34" s="97">
        <v>8538638</v>
      </c>
      <c r="E34" s="97">
        <v>0</v>
      </c>
      <c r="F34" s="97">
        <v>0</v>
      </c>
      <c r="G34" s="97">
        <f>C34-I34</f>
        <v>26</v>
      </c>
      <c r="H34" s="97">
        <f>G34*N34</f>
        <v>84027625.5</v>
      </c>
      <c r="I34" s="97">
        <v>134</v>
      </c>
      <c r="J34" s="97">
        <v>7012055</v>
      </c>
      <c r="K34" s="90" t="s">
        <v>51</v>
      </c>
      <c r="L34" s="90" t="s">
        <v>327</v>
      </c>
      <c r="M34" s="90">
        <v>770</v>
      </c>
      <c r="N34" s="100">
        <v>3231831.75</v>
      </c>
      <c r="O34" s="53"/>
      <c r="P34" s="53"/>
      <c r="Q34" s="57">
        <f t="shared" si="0"/>
        <v>0</v>
      </c>
      <c r="R34" s="99">
        <f>J34-Q32</f>
        <v>189005</v>
      </c>
      <c r="T34" s="99"/>
      <c r="V34" s="98" t="s">
        <v>50</v>
      </c>
      <c r="W34" s="98" t="s">
        <v>327</v>
      </c>
      <c r="X34" s="98">
        <v>750</v>
      </c>
      <c r="Y34" s="98">
        <v>2579771.5</v>
      </c>
    </row>
    <row r="35" spans="1:25" ht="15" x14ac:dyDescent="0.25">
      <c r="A35" s="101" t="s">
        <v>43</v>
      </c>
      <c r="B35" s="101">
        <v>12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90" t="s">
        <v>52</v>
      </c>
      <c r="L35" s="90" t="s">
        <v>303</v>
      </c>
      <c r="M35" s="90">
        <v>1612</v>
      </c>
      <c r="N35" s="100">
        <v>37680207.193952486</v>
      </c>
      <c r="O35" s="32"/>
      <c r="P35" s="32"/>
      <c r="Q35" s="33">
        <f t="shared" si="0"/>
        <v>0</v>
      </c>
      <c r="V35" s="90" t="s">
        <v>360</v>
      </c>
      <c r="W35" s="90" t="s">
        <v>327</v>
      </c>
      <c r="X35" s="90">
        <v>995</v>
      </c>
      <c r="Y35" s="90">
        <v>5095966.75</v>
      </c>
    </row>
    <row r="36" spans="1:25" ht="15" x14ac:dyDescent="0.25">
      <c r="A36" s="96" t="s">
        <v>44</v>
      </c>
      <c r="B36" s="96">
        <v>12</v>
      </c>
      <c r="C36" s="97">
        <v>9485</v>
      </c>
      <c r="D36" s="97">
        <v>33640650</v>
      </c>
      <c r="E36" s="97">
        <v>1050</v>
      </c>
      <c r="F36" s="97">
        <v>37993200</v>
      </c>
      <c r="G36" s="97">
        <f>C36+E36-I36</f>
        <v>9635</v>
      </c>
      <c r="H36" s="97">
        <f>D36+F36-J36</f>
        <v>39077621</v>
      </c>
      <c r="I36" s="97">
        <v>900</v>
      </c>
      <c r="J36" s="97">
        <v>32556229</v>
      </c>
      <c r="K36" s="90" t="s">
        <v>364</v>
      </c>
      <c r="L36" s="90" t="s">
        <v>303</v>
      </c>
      <c r="M36" s="90">
        <v>96</v>
      </c>
      <c r="N36" s="100">
        <v>2378641</v>
      </c>
      <c r="O36" s="60">
        <v>62</v>
      </c>
      <c r="P36" s="56">
        <v>29119.919999999998</v>
      </c>
      <c r="Q36" s="57">
        <f t="shared" si="0"/>
        <v>1805435.0399999998</v>
      </c>
      <c r="R36" s="99">
        <f>J36-Q187</f>
        <v>-309563491</v>
      </c>
      <c r="V36" s="90" t="s">
        <v>51</v>
      </c>
      <c r="W36" s="90" t="s">
        <v>327</v>
      </c>
      <c r="X36" s="90">
        <v>770</v>
      </c>
      <c r="Y36" s="90">
        <v>3231831.75</v>
      </c>
    </row>
    <row r="37" spans="1:25" ht="15" x14ac:dyDescent="0.25">
      <c r="A37" s="104" t="s">
        <v>45</v>
      </c>
      <c r="B37" s="104">
        <v>12</v>
      </c>
      <c r="C37" s="105">
        <v>320</v>
      </c>
      <c r="D37" s="105">
        <v>11571799</v>
      </c>
      <c r="E37" s="105">
        <v>405</v>
      </c>
      <c r="F37" s="105">
        <v>14654520</v>
      </c>
      <c r="G37" s="105">
        <v>630</v>
      </c>
      <c r="H37" s="105">
        <v>22789767</v>
      </c>
      <c r="I37" s="105">
        <v>95</v>
      </c>
      <c r="J37" s="105">
        <v>3436552</v>
      </c>
      <c r="K37" s="98" t="s">
        <v>373</v>
      </c>
      <c r="L37" s="98" t="s">
        <v>303</v>
      </c>
      <c r="M37" s="98">
        <v>48</v>
      </c>
      <c r="N37" s="99">
        <v>897623</v>
      </c>
      <c r="O37" s="60">
        <v>750</v>
      </c>
      <c r="P37" s="56">
        <v>3463.24</v>
      </c>
      <c r="Q37" s="57">
        <f t="shared" si="0"/>
        <v>2597430</v>
      </c>
      <c r="V37" s="90" t="s">
        <v>52</v>
      </c>
      <c r="W37" s="90" t="s">
        <v>303</v>
      </c>
      <c r="X37" s="90">
        <v>1612</v>
      </c>
      <c r="Y37" s="90">
        <v>37680207.193952486</v>
      </c>
    </row>
    <row r="38" spans="1:25" ht="15" x14ac:dyDescent="0.25">
      <c r="A38" s="96" t="s">
        <v>46</v>
      </c>
      <c r="B38" s="96">
        <v>12</v>
      </c>
      <c r="C38" s="97">
        <v>270</v>
      </c>
      <c r="D38" s="97">
        <v>9896208</v>
      </c>
      <c r="E38" s="97">
        <v>120</v>
      </c>
      <c r="F38" s="97">
        <v>4342080</v>
      </c>
      <c r="G38" s="97">
        <f>C38+E38-I38</f>
        <v>319</v>
      </c>
      <c r="H38" s="97">
        <f>D38+F38-J38</f>
        <v>11669303</v>
      </c>
      <c r="I38" s="97">
        <v>71</v>
      </c>
      <c r="J38" s="97">
        <v>2568985</v>
      </c>
      <c r="K38" s="90" t="s">
        <v>375</v>
      </c>
      <c r="L38" s="90" t="s">
        <v>303</v>
      </c>
      <c r="M38" s="90">
        <v>48</v>
      </c>
      <c r="N38" s="100">
        <v>897623</v>
      </c>
      <c r="O38" s="60">
        <v>995</v>
      </c>
      <c r="P38" s="56">
        <v>4761.96</v>
      </c>
      <c r="Q38" s="57">
        <f t="shared" si="0"/>
        <v>4738150.2</v>
      </c>
      <c r="R38" s="99">
        <f>J38-Q189</f>
        <v>217025</v>
      </c>
      <c r="V38" s="90" t="s">
        <v>364</v>
      </c>
      <c r="W38" s="90" t="s">
        <v>303</v>
      </c>
      <c r="X38" s="90">
        <v>96</v>
      </c>
      <c r="Y38" s="90">
        <v>2378641</v>
      </c>
    </row>
    <row r="39" spans="1:25" s="98" customFormat="1" ht="15" x14ac:dyDescent="0.25">
      <c r="A39" s="96" t="s">
        <v>47</v>
      </c>
      <c r="B39" s="96">
        <v>12</v>
      </c>
      <c r="C39" s="97">
        <v>1500</v>
      </c>
      <c r="D39" s="97">
        <v>7597338</v>
      </c>
      <c r="E39" s="97">
        <v>250</v>
      </c>
      <c r="F39" s="97">
        <v>1273250</v>
      </c>
      <c r="G39" s="97">
        <f>C39+E39-I39</f>
        <v>691</v>
      </c>
      <c r="H39" s="97">
        <f>G39*N39</f>
        <v>651238478</v>
      </c>
      <c r="I39" s="97">
        <v>1059</v>
      </c>
      <c r="J39" s="97">
        <v>5043562</v>
      </c>
      <c r="K39" s="90" t="s">
        <v>377</v>
      </c>
      <c r="L39" s="90" t="s">
        <v>303</v>
      </c>
      <c r="M39" s="90">
        <v>48</v>
      </c>
      <c r="N39" s="100">
        <v>942458</v>
      </c>
      <c r="O39" s="60">
        <v>770</v>
      </c>
      <c r="P39" s="56">
        <v>3896.14</v>
      </c>
      <c r="Q39" s="57">
        <f t="shared" si="0"/>
        <v>3000027.8</v>
      </c>
      <c r="R39" s="99">
        <f>J39-Q38</f>
        <v>305411.79999999981</v>
      </c>
      <c r="T39" s="99"/>
      <c r="V39" s="98" t="s">
        <v>373</v>
      </c>
      <c r="W39" s="98" t="s">
        <v>303</v>
      </c>
      <c r="X39" s="98">
        <v>48</v>
      </c>
      <c r="Y39" s="98">
        <v>897623</v>
      </c>
    </row>
    <row r="40" spans="1:25" ht="15" x14ac:dyDescent="0.25">
      <c r="A40" s="101" t="s">
        <v>48</v>
      </c>
      <c r="B40" s="101">
        <v>12</v>
      </c>
      <c r="C40" s="102">
        <v>192</v>
      </c>
      <c r="D40" s="102">
        <v>4111968</v>
      </c>
      <c r="E40" s="102">
        <v>48</v>
      </c>
      <c r="F40" s="102">
        <v>933312</v>
      </c>
      <c r="G40" s="102">
        <v>0</v>
      </c>
      <c r="H40" s="102">
        <v>0</v>
      </c>
      <c r="I40" s="102">
        <v>240</v>
      </c>
      <c r="J40" s="102">
        <v>5045280</v>
      </c>
      <c r="K40" s="98" t="s">
        <v>53</v>
      </c>
      <c r="L40" s="98" t="s">
        <v>303</v>
      </c>
      <c r="M40" s="98">
        <v>3590</v>
      </c>
      <c r="N40" s="99">
        <v>38600935.5</v>
      </c>
      <c r="O40" s="60">
        <v>1708</v>
      </c>
      <c r="P40" s="56">
        <v>21643.38</v>
      </c>
      <c r="Q40" s="57">
        <f t="shared" si="0"/>
        <v>36966893.039999999</v>
      </c>
      <c r="R40" s="99">
        <f>J44-Q40</f>
        <v>2435462.9600000009</v>
      </c>
      <c r="V40" s="90" t="s">
        <v>375</v>
      </c>
      <c r="W40" s="90" t="s">
        <v>303</v>
      </c>
      <c r="X40" s="90">
        <v>48</v>
      </c>
      <c r="Y40" s="90">
        <v>897623</v>
      </c>
    </row>
    <row r="41" spans="1:25" ht="15" x14ac:dyDescent="0.25">
      <c r="A41" s="96" t="s">
        <v>49</v>
      </c>
      <c r="B41" s="96">
        <v>12</v>
      </c>
      <c r="C41" s="97">
        <v>4020</v>
      </c>
      <c r="D41" s="97">
        <v>19708744</v>
      </c>
      <c r="E41" s="97">
        <v>3360</v>
      </c>
      <c r="F41" s="97">
        <v>16487520</v>
      </c>
      <c r="G41" s="97">
        <f>C41+E41-I41</f>
        <v>5702</v>
      </c>
      <c r="H41" s="97" t="e">
        <f>G41*#REF!</f>
        <v>#REF!</v>
      </c>
      <c r="I41" s="97">
        <v>1678</v>
      </c>
      <c r="J41" s="97">
        <v>7700288</v>
      </c>
      <c r="K41" s="90" t="s">
        <v>54</v>
      </c>
      <c r="L41" s="90" t="s">
        <v>393</v>
      </c>
      <c r="M41" s="90">
        <v>2870</v>
      </c>
      <c r="N41" s="100">
        <v>43559984.119411767</v>
      </c>
      <c r="O41" s="32"/>
      <c r="P41" s="32"/>
      <c r="Q41" s="33">
        <f t="shared" si="0"/>
        <v>0</v>
      </c>
      <c r="R41" s="100">
        <f>J41-Q69</f>
        <v>497065.20000000019</v>
      </c>
      <c r="V41" s="90" t="s">
        <v>377</v>
      </c>
      <c r="W41" s="90" t="s">
        <v>303</v>
      </c>
      <c r="X41" s="90">
        <v>48</v>
      </c>
      <c r="Y41" s="90">
        <v>942458</v>
      </c>
    </row>
    <row r="42" spans="1:25" s="98" customFormat="1" ht="15" x14ac:dyDescent="0.25">
      <c r="A42" s="96" t="s">
        <v>50</v>
      </c>
      <c r="B42" s="96">
        <v>12</v>
      </c>
      <c r="C42" s="97">
        <v>750</v>
      </c>
      <c r="D42" s="97">
        <v>2517000</v>
      </c>
      <c r="E42" s="97">
        <v>0</v>
      </c>
      <c r="F42" s="97">
        <v>0</v>
      </c>
      <c r="G42" s="97">
        <f>C42-I42</f>
        <v>23</v>
      </c>
      <c r="H42" s="97">
        <f>G42*N42</f>
        <v>523700616.69000006</v>
      </c>
      <c r="I42" s="97">
        <v>727</v>
      </c>
      <c r="J42" s="97">
        <v>2517000</v>
      </c>
      <c r="K42" s="98" t="s">
        <v>55</v>
      </c>
      <c r="L42" s="98" t="s">
        <v>395</v>
      </c>
      <c r="M42" s="98">
        <v>255</v>
      </c>
      <c r="N42" s="99">
        <v>22769592.030000001</v>
      </c>
      <c r="O42" s="53"/>
      <c r="P42" s="53"/>
      <c r="Q42" s="57">
        <f t="shared" si="0"/>
        <v>0</v>
      </c>
      <c r="R42" s="99">
        <f>J42-Q37</f>
        <v>-80430</v>
      </c>
      <c r="T42" s="99"/>
      <c r="V42" s="98" t="s">
        <v>53</v>
      </c>
      <c r="W42" s="98" t="s">
        <v>303</v>
      </c>
      <c r="X42" s="98">
        <v>3590</v>
      </c>
      <c r="Y42" s="98">
        <v>38600935.5</v>
      </c>
    </row>
    <row r="43" spans="1:25" ht="15" x14ac:dyDescent="0.25">
      <c r="A43" s="101" t="s">
        <v>51</v>
      </c>
      <c r="B43" s="101">
        <v>12</v>
      </c>
      <c r="C43" s="102">
        <v>1350</v>
      </c>
      <c r="D43" s="102">
        <v>5561964</v>
      </c>
      <c r="E43" s="102">
        <v>200</v>
      </c>
      <c r="F43" s="102">
        <v>833400</v>
      </c>
      <c r="G43" s="102">
        <v>780</v>
      </c>
      <c r="H43" s="102">
        <v>3218313</v>
      </c>
      <c r="I43" s="102">
        <v>770</v>
      </c>
      <c r="J43" s="102">
        <v>3177051</v>
      </c>
      <c r="K43" s="111" t="s">
        <v>56</v>
      </c>
      <c r="L43" s="111" t="s">
        <v>393</v>
      </c>
      <c r="M43" s="111">
        <v>986</v>
      </c>
      <c r="N43" s="112">
        <v>9588240.9209090918</v>
      </c>
      <c r="O43" s="32"/>
      <c r="P43" s="32"/>
      <c r="Q43" s="33">
        <f t="shared" si="0"/>
        <v>0</v>
      </c>
      <c r="V43" s="90" t="s">
        <v>54</v>
      </c>
      <c r="W43" s="90" t="s">
        <v>393</v>
      </c>
      <c r="X43" s="90">
        <v>2870</v>
      </c>
      <c r="Y43" s="90">
        <v>43559984.119411767</v>
      </c>
    </row>
    <row r="44" spans="1:25" s="98" customFormat="1" ht="15" x14ac:dyDescent="0.25">
      <c r="A44" s="96" t="s">
        <v>52</v>
      </c>
      <c r="B44" s="96">
        <v>12</v>
      </c>
      <c r="C44" s="97">
        <v>1676</v>
      </c>
      <c r="D44" s="97">
        <v>38641471</v>
      </c>
      <c r="E44" s="97">
        <v>288</v>
      </c>
      <c r="F44" s="97">
        <v>6666624</v>
      </c>
      <c r="G44" s="97">
        <f>C44+E44-I44</f>
        <v>143</v>
      </c>
      <c r="H44" s="97">
        <f>G44*N44</f>
        <v>1927097915.5999999</v>
      </c>
      <c r="I44" s="97">
        <v>1821</v>
      </c>
      <c r="J44" s="97">
        <v>39402356</v>
      </c>
      <c r="K44" s="90" t="s">
        <v>57</v>
      </c>
      <c r="L44" s="90" t="s">
        <v>393</v>
      </c>
      <c r="M44" s="90">
        <v>766</v>
      </c>
      <c r="N44" s="100">
        <v>13476209.199999999</v>
      </c>
      <c r="O44" s="53"/>
      <c r="P44" s="53"/>
      <c r="Q44" s="57">
        <f t="shared" si="0"/>
        <v>0</v>
      </c>
      <c r="R44" s="99">
        <f>J44-Q40</f>
        <v>2435462.9600000009</v>
      </c>
      <c r="T44" s="99"/>
      <c r="V44" s="98" t="s">
        <v>55</v>
      </c>
      <c r="W44" s="98" t="s">
        <v>395</v>
      </c>
      <c r="X44" s="98">
        <v>255</v>
      </c>
      <c r="Y44" s="98">
        <v>22769592.030000001</v>
      </c>
    </row>
    <row r="45" spans="1:25" s="111" customFormat="1" ht="15" x14ac:dyDescent="0.25">
      <c r="A45" s="104" t="s">
        <v>888</v>
      </c>
      <c r="B45" s="104">
        <v>12</v>
      </c>
      <c r="C45" s="105">
        <v>0</v>
      </c>
      <c r="D45" s="105">
        <v>0</v>
      </c>
      <c r="E45" s="105">
        <v>3600</v>
      </c>
      <c r="F45" s="105">
        <v>38332800</v>
      </c>
      <c r="G45" s="105">
        <v>10</v>
      </c>
      <c r="H45" s="105">
        <v>106480</v>
      </c>
      <c r="I45" s="105">
        <v>3590</v>
      </c>
      <c r="J45" s="105">
        <v>38226320</v>
      </c>
      <c r="K45" s="90" t="s">
        <v>402</v>
      </c>
      <c r="L45" s="90" t="s">
        <v>393</v>
      </c>
      <c r="M45" s="90">
        <v>168</v>
      </c>
      <c r="N45" s="100">
        <v>6126111</v>
      </c>
      <c r="O45" s="69"/>
      <c r="P45" s="69"/>
      <c r="Q45" s="68">
        <f t="shared" si="0"/>
        <v>0</v>
      </c>
      <c r="R45" s="112"/>
      <c r="T45" s="112"/>
      <c r="V45" s="111" t="s">
        <v>56</v>
      </c>
      <c r="W45" s="111" t="s">
        <v>393</v>
      </c>
      <c r="X45" s="111">
        <v>986</v>
      </c>
      <c r="Y45" s="111">
        <v>9588240.9209090918</v>
      </c>
    </row>
    <row r="46" spans="1:25" ht="15" x14ac:dyDescent="0.25">
      <c r="A46" s="96" t="s">
        <v>54</v>
      </c>
      <c r="B46" s="96">
        <v>12</v>
      </c>
      <c r="C46" s="97">
        <v>4478</v>
      </c>
      <c r="D46" s="97">
        <v>65694476</v>
      </c>
      <c r="E46" s="97">
        <v>9176</v>
      </c>
      <c r="F46" s="97">
        <v>133335000</v>
      </c>
      <c r="G46" s="97">
        <f>C46+E46-I46</f>
        <v>7664</v>
      </c>
      <c r="H46" s="97">
        <f>G46*N46</f>
        <v>171781663272.10596</v>
      </c>
      <c r="I46" s="97">
        <v>5990</v>
      </c>
      <c r="J46" s="97">
        <v>82970249</v>
      </c>
      <c r="K46" s="90" t="s">
        <v>58</v>
      </c>
      <c r="L46" s="90" t="s">
        <v>393</v>
      </c>
      <c r="M46" s="90">
        <v>2592</v>
      </c>
      <c r="N46" s="100">
        <v>22414100.113792531</v>
      </c>
      <c r="O46" s="32"/>
      <c r="P46" s="32"/>
      <c r="Q46" s="33">
        <f t="shared" si="0"/>
        <v>0</v>
      </c>
      <c r="R46" s="99">
        <f>J46-Q58</f>
        <v>4124551.1599999964</v>
      </c>
      <c r="V46" s="90" t="s">
        <v>57</v>
      </c>
      <c r="W46" s="90" t="s">
        <v>393</v>
      </c>
      <c r="X46" s="90">
        <v>766</v>
      </c>
      <c r="Y46" s="90">
        <v>13476209.199999999</v>
      </c>
    </row>
    <row r="47" spans="1:25" ht="15" x14ac:dyDescent="0.25">
      <c r="A47" s="96" t="s">
        <v>55</v>
      </c>
      <c r="B47" s="96">
        <v>12</v>
      </c>
      <c r="C47" s="97">
        <v>162</v>
      </c>
      <c r="D47" s="97">
        <v>14271796</v>
      </c>
      <c r="E47" s="97">
        <v>119</v>
      </c>
      <c r="F47" s="97">
        <f>E47*P59</f>
        <v>9838718.8900000006</v>
      </c>
      <c r="G47" s="97">
        <v>6</v>
      </c>
      <c r="H47" s="97">
        <v>529347</v>
      </c>
      <c r="I47" s="97">
        <f>C47+E47-G47</f>
        <v>275</v>
      </c>
      <c r="J47" s="97">
        <v>22761901</v>
      </c>
      <c r="K47" s="90" t="s">
        <v>59</v>
      </c>
      <c r="L47" s="90" t="s">
        <v>393</v>
      </c>
      <c r="M47" s="90">
        <v>560</v>
      </c>
      <c r="N47" s="100">
        <v>9424959.9600000009</v>
      </c>
      <c r="O47" s="60">
        <v>240</v>
      </c>
      <c r="P47" s="56">
        <v>18180.14</v>
      </c>
      <c r="Q47" s="57">
        <f t="shared" si="0"/>
        <v>4363233.5999999996</v>
      </c>
      <c r="R47" s="100">
        <f>J47-Q59</f>
        <v>1430897.0199999996</v>
      </c>
      <c r="V47" s="90" t="s">
        <v>402</v>
      </c>
      <c r="W47" s="90" t="s">
        <v>393</v>
      </c>
      <c r="X47" s="90">
        <v>168</v>
      </c>
      <c r="Y47" s="90">
        <v>6126111</v>
      </c>
    </row>
    <row r="48" spans="1:25" ht="15" x14ac:dyDescent="0.25">
      <c r="A48" s="96" t="s">
        <v>56</v>
      </c>
      <c r="B48" s="96">
        <v>12</v>
      </c>
      <c r="C48" s="97">
        <v>864</v>
      </c>
      <c r="D48" s="97">
        <v>8294400</v>
      </c>
      <c r="E48" s="97">
        <v>263</v>
      </c>
      <c r="F48" s="97">
        <f>E48*N48</f>
        <v>9207921359.289999</v>
      </c>
      <c r="G48" s="97">
        <v>0</v>
      </c>
      <c r="H48" s="97">
        <v>0</v>
      </c>
      <c r="I48" s="97">
        <v>1127</v>
      </c>
      <c r="J48" s="97">
        <v>10143360</v>
      </c>
      <c r="K48" s="90" t="s">
        <v>60</v>
      </c>
      <c r="L48" s="90" t="s">
        <v>393</v>
      </c>
      <c r="M48" s="90">
        <v>966</v>
      </c>
      <c r="N48" s="100">
        <v>35011107.829999998</v>
      </c>
      <c r="O48" s="66">
        <v>3590</v>
      </c>
      <c r="P48" s="67">
        <v>9955.8799999999992</v>
      </c>
      <c r="Q48" s="68">
        <f t="shared" si="0"/>
        <v>35741609.199999996</v>
      </c>
      <c r="R48" s="100">
        <f>J48-Q62</f>
        <v>635083.20000000112</v>
      </c>
      <c r="V48" s="90" t="s">
        <v>58</v>
      </c>
      <c r="W48" s="90" t="s">
        <v>393</v>
      </c>
      <c r="X48" s="90">
        <v>2592</v>
      </c>
      <c r="Y48" s="90">
        <v>22414100.113792531</v>
      </c>
    </row>
    <row r="49" spans="1:25" ht="15" x14ac:dyDescent="0.25">
      <c r="A49" s="96" t="s">
        <v>57</v>
      </c>
      <c r="B49" s="96">
        <v>12</v>
      </c>
      <c r="C49" s="97">
        <v>758</v>
      </c>
      <c r="D49" s="97">
        <v>13116517</v>
      </c>
      <c r="E49" s="97">
        <v>168</v>
      </c>
      <c r="F49" s="97">
        <v>2955624</v>
      </c>
      <c r="G49" s="97">
        <f>C49+E49-I49</f>
        <v>118</v>
      </c>
      <c r="H49" s="97">
        <f>G49*N49</f>
        <v>268614384.62</v>
      </c>
      <c r="I49" s="97">
        <v>808</v>
      </c>
      <c r="J49" s="97">
        <v>13295097</v>
      </c>
      <c r="K49" s="90" t="s">
        <v>380</v>
      </c>
      <c r="L49" s="90" t="s">
        <v>327</v>
      </c>
      <c r="M49" s="90">
        <v>107</v>
      </c>
      <c r="N49" s="100">
        <v>2276393.09</v>
      </c>
      <c r="O49" s="60">
        <v>37</v>
      </c>
      <c r="P49" s="56">
        <v>19698.8</v>
      </c>
      <c r="Q49" s="57">
        <f t="shared" si="0"/>
        <v>728855.6</v>
      </c>
      <c r="R49" s="100">
        <f>J49-Q63</f>
        <v>694810.6400000006</v>
      </c>
      <c r="V49" s="90" t="s">
        <v>59</v>
      </c>
      <c r="W49" s="90" t="s">
        <v>393</v>
      </c>
      <c r="X49" s="90">
        <v>560</v>
      </c>
      <c r="Y49" s="90">
        <v>9424959.9600000009</v>
      </c>
    </row>
    <row r="50" spans="1:25" ht="15" x14ac:dyDescent="0.25">
      <c r="A50" s="96" t="s">
        <v>58</v>
      </c>
      <c r="B50" s="96">
        <v>12</v>
      </c>
      <c r="C50" s="97">
        <v>3660</v>
      </c>
      <c r="D50" s="97">
        <v>31105758</v>
      </c>
      <c r="E50" s="97">
        <v>816</v>
      </c>
      <c r="F50" s="97">
        <v>7026576</v>
      </c>
      <c r="G50" s="97">
        <f>C50+E50-I50</f>
        <v>1416</v>
      </c>
      <c r="H50" s="97">
        <f>G50*N50</f>
        <v>4841032482</v>
      </c>
      <c r="I50" s="97">
        <v>3060</v>
      </c>
      <c r="J50" s="97">
        <v>24637781</v>
      </c>
      <c r="K50" s="90" t="s">
        <v>382</v>
      </c>
      <c r="L50" s="90" t="s">
        <v>327</v>
      </c>
      <c r="M50" s="90">
        <v>132</v>
      </c>
      <c r="N50" s="100">
        <v>3418808.25</v>
      </c>
      <c r="O50" s="60">
        <v>132</v>
      </c>
      <c r="P50" s="56">
        <v>23981.55</v>
      </c>
      <c r="Q50" s="57">
        <f t="shared" si="0"/>
        <v>3165564.6</v>
      </c>
      <c r="R50" s="100">
        <f>J50-Q65</f>
        <v>1353479.2400000021</v>
      </c>
      <c r="V50" s="90" t="s">
        <v>60</v>
      </c>
      <c r="W50" s="90" t="s">
        <v>393</v>
      </c>
      <c r="X50" s="90">
        <v>966</v>
      </c>
      <c r="Y50" s="90">
        <v>35011107.829999998</v>
      </c>
    </row>
    <row r="51" spans="1:25" ht="15" x14ac:dyDescent="0.25">
      <c r="A51" s="96" t="s">
        <v>59</v>
      </c>
      <c r="B51" s="96">
        <v>12</v>
      </c>
      <c r="C51" s="97">
        <v>4076</v>
      </c>
      <c r="D51" s="97">
        <v>66900098</v>
      </c>
      <c r="E51" s="97">
        <v>2466</v>
      </c>
      <c r="F51" s="97">
        <v>30000600</v>
      </c>
      <c r="G51" s="97">
        <f>C51+E51-I51</f>
        <v>3835</v>
      </c>
      <c r="H51" s="97">
        <f>G51*N51</f>
        <v>6633498251.25</v>
      </c>
      <c r="I51" s="97">
        <v>2707</v>
      </c>
      <c r="J51" s="97">
        <v>42184835</v>
      </c>
      <c r="K51" s="90" t="s">
        <v>357</v>
      </c>
      <c r="L51" s="90" t="s">
        <v>327</v>
      </c>
      <c r="M51" s="90">
        <v>55</v>
      </c>
      <c r="N51" s="100">
        <v>1729725.75</v>
      </c>
      <c r="O51" s="71">
        <v>40</v>
      </c>
      <c r="P51" s="64">
        <v>42045.88</v>
      </c>
      <c r="Q51" s="65">
        <f t="shared" si="0"/>
        <v>1681835.2</v>
      </c>
      <c r="R51" s="100">
        <f>J51-Q66</f>
        <v>-2197371.7199999988</v>
      </c>
      <c r="V51" s="90" t="s">
        <v>380</v>
      </c>
      <c r="W51" s="90" t="s">
        <v>327</v>
      </c>
      <c r="X51" s="90">
        <v>107</v>
      </c>
      <c r="Y51" s="90">
        <v>2276393.09</v>
      </c>
    </row>
    <row r="52" spans="1:25" ht="15" x14ac:dyDescent="0.25">
      <c r="A52" s="96" t="s">
        <v>60</v>
      </c>
      <c r="B52" s="96">
        <v>12</v>
      </c>
      <c r="C52" s="97">
        <v>3051</v>
      </c>
      <c r="D52" s="97">
        <v>99561656</v>
      </c>
      <c r="E52" s="97">
        <v>1476</v>
      </c>
      <c r="F52" s="97">
        <v>51966396</v>
      </c>
      <c r="G52" s="97">
        <f>C52+E52-I52</f>
        <v>2861</v>
      </c>
      <c r="H52" s="97" t="e">
        <f>G52*#REF!</f>
        <v>#REF!</v>
      </c>
      <c r="I52" s="97">
        <v>1666</v>
      </c>
      <c r="J52" s="97">
        <v>54793775</v>
      </c>
      <c r="K52" s="90" t="s">
        <v>384</v>
      </c>
      <c r="L52" s="90" t="s">
        <v>327</v>
      </c>
      <c r="M52" s="90">
        <v>40</v>
      </c>
      <c r="N52" s="100">
        <v>1850018</v>
      </c>
      <c r="O52" s="66">
        <v>15</v>
      </c>
      <c r="P52" s="67">
        <v>31689.58</v>
      </c>
      <c r="Q52" s="68">
        <f t="shared" si="0"/>
        <v>475343.7</v>
      </c>
      <c r="R52" s="100">
        <f>J52-Q67</f>
        <v>939781.73999999464</v>
      </c>
      <c r="V52" s="90" t="s">
        <v>382</v>
      </c>
      <c r="W52" s="90" t="s">
        <v>327</v>
      </c>
      <c r="X52" s="90">
        <v>132</v>
      </c>
      <c r="Y52" s="90">
        <v>3418808.25</v>
      </c>
    </row>
    <row r="53" spans="1:25" ht="15" x14ac:dyDescent="0.25">
      <c r="A53" s="101" t="s">
        <v>61</v>
      </c>
      <c r="B53" s="101">
        <v>12</v>
      </c>
      <c r="C53" s="102">
        <v>0</v>
      </c>
      <c r="D53" s="102">
        <v>0</v>
      </c>
      <c r="E53" s="102">
        <v>0</v>
      </c>
      <c r="F53" s="102">
        <v>0</v>
      </c>
      <c r="G53" s="102">
        <v>0</v>
      </c>
      <c r="H53" s="102">
        <v>0</v>
      </c>
      <c r="I53" s="102">
        <v>0</v>
      </c>
      <c r="J53" s="102">
        <v>0</v>
      </c>
      <c r="K53" s="90" t="s">
        <v>129</v>
      </c>
      <c r="L53" s="90" t="s">
        <v>327</v>
      </c>
      <c r="M53" s="90">
        <v>15</v>
      </c>
      <c r="N53" s="100">
        <v>513370.49999999994</v>
      </c>
      <c r="O53" s="60">
        <v>86</v>
      </c>
      <c r="P53" s="56">
        <v>44108.62</v>
      </c>
      <c r="Q53" s="57">
        <f t="shared" si="0"/>
        <v>3793341.3200000003</v>
      </c>
      <c r="V53" s="90" t="s">
        <v>357</v>
      </c>
      <c r="W53" s="90" t="s">
        <v>327</v>
      </c>
      <c r="X53" s="90">
        <v>55</v>
      </c>
      <c r="Y53" s="90">
        <v>1729725.75</v>
      </c>
    </row>
    <row r="54" spans="1:25" ht="15" x14ac:dyDescent="0.25">
      <c r="A54" s="96" t="s">
        <v>62</v>
      </c>
      <c r="B54" s="96">
        <v>12</v>
      </c>
      <c r="C54" s="97">
        <v>4034</v>
      </c>
      <c r="D54" s="97">
        <v>19765883</v>
      </c>
      <c r="E54" s="97">
        <v>4080</v>
      </c>
      <c r="F54" s="97">
        <v>20020560</v>
      </c>
      <c r="G54" s="97">
        <f>C54+E54-I54</f>
        <v>6143</v>
      </c>
      <c r="H54" s="97" t="e">
        <f>G54*#REF!</f>
        <v>#REF!</v>
      </c>
      <c r="I54" s="97">
        <v>1971</v>
      </c>
      <c r="J54" s="97">
        <v>9041928</v>
      </c>
      <c r="K54" s="90" t="s">
        <v>130</v>
      </c>
      <c r="L54" s="90" t="s">
        <v>327</v>
      </c>
      <c r="M54" s="90">
        <v>86</v>
      </c>
      <c r="N54" s="100">
        <v>4096804.399999999</v>
      </c>
      <c r="O54" s="60">
        <v>36</v>
      </c>
      <c r="P54" s="56">
        <v>46250</v>
      </c>
      <c r="Q54" s="57">
        <f t="shared" si="0"/>
        <v>1665000</v>
      </c>
      <c r="R54" s="100">
        <f>J54-Q71</f>
        <v>581582.24000000022</v>
      </c>
      <c r="V54" s="90" t="s">
        <v>384</v>
      </c>
      <c r="W54" s="90" t="s">
        <v>327</v>
      </c>
      <c r="X54" s="90">
        <v>40</v>
      </c>
      <c r="Y54" s="90">
        <v>1850018</v>
      </c>
    </row>
    <row r="55" spans="1:25" ht="15" x14ac:dyDescent="0.25">
      <c r="A55" s="101" t="s">
        <v>63</v>
      </c>
      <c r="B55" s="101">
        <v>12</v>
      </c>
      <c r="C55" s="102">
        <v>0</v>
      </c>
      <c r="D55" s="102">
        <v>0</v>
      </c>
      <c r="E55" s="102">
        <v>0</v>
      </c>
      <c r="F55" s="102">
        <v>0</v>
      </c>
      <c r="G55" s="102">
        <v>0</v>
      </c>
      <c r="H55" s="102">
        <v>0</v>
      </c>
      <c r="I55" s="102">
        <v>0</v>
      </c>
      <c r="J55" s="102">
        <v>0</v>
      </c>
      <c r="K55" s="90" t="s">
        <v>131</v>
      </c>
      <c r="L55" s="90" t="s">
        <v>327</v>
      </c>
      <c r="M55" s="90">
        <v>36</v>
      </c>
      <c r="N55" s="100">
        <v>1798200.23</v>
      </c>
      <c r="O55" s="60">
        <v>53</v>
      </c>
      <c r="P55" s="56">
        <v>41110.699999999997</v>
      </c>
      <c r="Q55" s="57">
        <f t="shared" si="0"/>
        <v>2178867.0999999996</v>
      </c>
      <c r="V55" s="90" t="s">
        <v>129</v>
      </c>
      <c r="W55" s="90" t="s">
        <v>327</v>
      </c>
      <c r="X55" s="90">
        <v>15</v>
      </c>
      <c r="Y55" s="90">
        <v>513370.49999999994</v>
      </c>
    </row>
    <row r="56" spans="1:25" ht="15" x14ac:dyDescent="0.25">
      <c r="A56" s="104" t="s">
        <v>64</v>
      </c>
      <c r="B56" s="104">
        <v>12</v>
      </c>
      <c r="C56" s="105">
        <v>25</v>
      </c>
      <c r="D56" s="105">
        <v>4861100</v>
      </c>
      <c r="E56" s="105">
        <v>0</v>
      </c>
      <c r="F56" s="105">
        <v>0</v>
      </c>
      <c r="G56" s="105">
        <v>0</v>
      </c>
      <c r="H56" s="105">
        <v>0</v>
      </c>
      <c r="I56" s="105">
        <v>25</v>
      </c>
      <c r="J56" s="105">
        <v>4861100</v>
      </c>
      <c r="K56" s="90" t="s">
        <v>132</v>
      </c>
      <c r="L56" s="90" t="s">
        <v>327</v>
      </c>
      <c r="M56" s="90">
        <v>108</v>
      </c>
      <c r="N56" s="100">
        <v>4795151.63</v>
      </c>
      <c r="O56" s="32"/>
      <c r="P56" s="32"/>
      <c r="Q56" s="33">
        <f t="shared" si="0"/>
        <v>0</v>
      </c>
      <c r="V56" s="90" t="s">
        <v>130</v>
      </c>
      <c r="W56" s="90" t="s">
        <v>327</v>
      </c>
      <c r="X56" s="90">
        <v>86</v>
      </c>
      <c r="Y56" s="90">
        <v>4096804.399999999</v>
      </c>
    </row>
    <row r="57" spans="1:25" ht="15" x14ac:dyDescent="0.25">
      <c r="A57" s="104" t="s">
        <v>65</v>
      </c>
      <c r="B57" s="104">
        <v>12</v>
      </c>
      <c r="C57" s="105">
        <v>7</v>
      </c>
      <c r="D57" s="105">
        <v>1328705</v>
      </c>
      <c r="E57" s="105">
        <v>0</v>
      </c>
      <c r="F57" s="105">
        <v>0</v>
      </c>
      <c r="G57" s="105">
        <v>0</v>
      </c>
      <c r="H57" s="105">
        <v>0</v>
      </c>
      <c r="I57" s="105">
        <v>7</v>
      </c>
      <c r="J57" s="105">
        <v>1328705</v>
      </c>
      <c r="K57" s="90" t="s">
        <v>390</v>
      </c>
      <c r="L57" s="90" t="s">
        <v>327</v>
      </c>
      <c r="M57" s="90">
        <v>32</v>
      </c>
      <c r="N57" s="100">
        <v>1420786</v>
      </c>
      <c r="O57" s="60">
        <v>35</v>
      </c>
      <c r="P57" s="56">
        <v>35115.78</v>
      </c>
      <c r="Q57" s="33">
        <f t="shared" si="0"/>
        <v>1229052.3</v>
      </c>
      <c r="V57" s="90" t="s">
        <v>131</v>
      </c>
      <c r="W57" s="90" t="s">
        <v>327</v>
      </c>
      <c r="X57" s="90">
        <v>36</v>
      </c>
      <c r="Y57" s="90">
        <v>1798200.23</v>
      </c>
    </row>
    <row r="58" spans="1:25" ht="15" x14ac:dyDescent="0.25">
      <c r="A58" s="96" t="s">
        <v>66</v>
      </c>
      <c r="B58" s="96">
        <v>12</v>
      </c>
      <c r="C58" s="97">
        <v>3640</v>
      </c>
      <c r="D58" s="97">
        <v>56770482</v>
      </c>
      <c r="E58" s="97">
        <v>4421</v>
      </c>
      <c r="F58" s="97">
        <v>68567796</v>
      </c>
      <c r="G58" s="97">
        <f>C58+E58-I58</f>
        <v>6562</v>
      </c>
      <c r="H58" s="97" t="e">
        <f>G58*#REF!</f>
        <v>#REF!</v>
      </c>
      <c r="I58" s="97">
        <v>1499</v>
      </c>
      <c r="J58" s="97">
        <v>22063642</v>
      </c>
      <c r="K58" s="90" t="s">
        <v>133</v>
      </c>
      <c r="L58" s="90" t="s">
        <v>327</v>
      </c>
      <c r="M58" s="90">
        <v>19</v>
      </c>
      <c r="N58" s="100">
        <v>720574.87999999989</v>
      </c>
      <c r="O58" s="60">
        <v>5692</v>
      </c>
      <c r="P58" s="56">
        <v>13852.02</v>
      </c>
      <c r="Q58" s="57">
        <f t="shared" si="0"/>
        <v>78845697.840000004</v>
      </c>
      <c r="R58" s="100">
        <f>J58-Q75</f>
        <v>1179027.0399999991</v>
      </c>
      <c r="V58" s="90" t="s">
        <v>132</v>
      </c>
      <c r="W58" s="90" t="s">
        <v>327</v>
      </c>
      <c r="X58" s="90">
        <v>108</v>
      </c>
      <c r="Y58" s="90">
        <v>4795151.63</v>
      </c>
    </row>
    <row r="59" spans="1:25" ht="15" x14ac:dyDescent="0.25">
      <c r="A59" s="96" t="s">
        <v>67</v>
      </c>
      <c r="B59" s="96">
        <v>12</v>
      </c>
      <c r="C59" s="97">
        <v>170</v>
      </c>
      <c r="D59" s="97">
        <v>1385264</v>
      </c>
      <c r="E59" s="97">
        <v>24</v>
      </c>
      <c r="F59" s="97">
        <v>400008</v>
      </c>
      <c r="G59" s="97">
        <f>C59+E59-I59</f>
        <v>81</v>
      </c>
      <c r="H59" s="97" t="e">
        <f>G59*#REF!</f>
        <v>#REF!</v>
      </c>
      <c r="I59" s="97">
        <v>113</v>
      </c>
      <c r="J59" s="97">
        <v>1757665</v>
      </c>
      <c r="K59" s="90" t="s">
        <v>134</v>
      </c>
      <c r="L59" s="90" t="s">
        <v>327</v>
      </c>
      <c r="M59" s="90">
        <v>15</v>
      </c>
      <c r="N59" s="100">
        <v>437059.36</v>
      </c>
      <c r="O59" s="60">
        <v>258</v>
      </c>
      <c r="P59" s="56">
        <v>82678.31</v>
      </c>
      <c r="Q59" s="57">
        <f t="shared" si="0"/>
        <v>21331003.98</v>
      </c>
      <c r="R59" s="100">
        <f>J59-Q82</f>
        <v>-1218810.2399999998</v>
      </c>
      <c r="V59" s="90" t="s">
        <v>390</v>
      </c>
      <c r="W59" s="90" t="s">
        <v>327</v>
      </c>
      <c r="X59" s="90">
        <v>32</v>
      </c>
      <c r="Y59" s="90">
        <v>1420786</v>
      </c>
    </row>
    <row r="60" spans="1:25" ht="15" x14ac:dyDescent="0.25">
      <c r="A60" s="96" t="s">
        <v>68</v>
      </c>
      <c r="B60" s="96">
        <v>12</v>
      </c>
      <c r="C60" s="97">
        <v>384</v>
      </c>
      <c r="D60" s="97">
        <v>17725913</v>
      </c>
      <c r="E60" s="97">
        <v>0</v>
      </c>
      <c r="F60" s="97">
        <v>0</v>
      </c>
      <c r="G60" s="97"/>
      <c r="H60" s="97"/>
      <c r="I60" s="97">
        <v>384</v>
      </c>
      <c r="J60" s="97">
        <v>16802688</v>
      </c>
      <c r="K60" s="90" t="s">
        <v>398</v>
      </c>
      <c r="L60" s="90" t="s">
        <v>327</v>
      </c>
      <c r="M60" s="90">
        <v>28</v>
      </c>
      <c r="N60" s="100">
        <v>945348</v>
      </c>
      <c r="O60" s="66">
        <v>15</v>
      </c>
      <c r="P60" s="67">
        <v>26979.48</v>
      </c>
      <c r="Q60" s="33">
        <f t="shared" si="0"/>
        <v>404692.2</v>
      </c>
      <c r="R60" s="100">
        <f>J60-Q83</f>
        <v>920043.04000000097</v>
      </c>
      <c r="V60" s="90" t="s">
        <v>133</v>
      </c>
      <c r="W60" s="90" t="s">
        <v>327</v>
      </c>
      <c r="X60" s="90">
        <v>19</v>
      </c>
      <c r="Y60" s="90">
        <v>720574.87999999989</v>
      </c>
    </row>
    <row r="61" spans="1:25" ht="15" x14ac:dyDescent="0.25">
      <c r="A61" s="96" t="s">
        <v>69</v>
      </c>
      <c r="B61" s="96">
        <v>12</v>
      </c>
      <c r="C61" s="97">
        <v>156</v>
      </c>
      <c r="D61" s="97">
        <v>16177824</v>
      </c>
      <c r="E61" s="97">
        <v>0</v>
      </c>
      <c r="F61" s="97">
        <v>0</v>
      </c>
      <c r="G61" s="97"/>
      <c r="H61" s="97"/>
      <c r="I61" s="97">
        <f>C61</f>
        <v>156</v>
      </c>
      <c r="J61" s="97">
        <v>15555600</v>
      </c>
      <c r="K61" s="90" t="s">
        <v>407</v>
      </c>
      <c r="L61" s="90" t="s">
        <v>327</v>
      </c>
      <c r="M61" s="90">
        <v>20</v>
      </c>
      <c r="N61" s="100">
        <v>693746</v>
      </c>
      <c r="O61" s="32"/>
      <c r="P61" s="32"/>
      <c r="Q61" s="33">
        <f t="shared" si="0"/>
        <v>0</v>
      </c>
      <c r="R61" s="100">
        <f>J61-Q84</f>
        <v>1011114</v>
      </c>
      <c r="V61" s="90" t="s">
        <v>134</v>
      </c>
      <c r="W61" s="90" t="s">
        <v>327</v>
      </c>
      <c r="X61" s="90">
        <v>15</v>
      </c>
      <c r="Y61" s="90">
        <v>437059.36</v>
      </c>
    </row>
    <row r="62" spans="1:25" ht="15" x14ac:dyDescent="0.25">
      <c r="A62" s="104" t="s">
        <v>70</v>
      </c>
      <c r="B62" s="104">
        <v>12</v>
      </c>
      <c r="C62" s="105">
        <v>84</v>
      </c>
      <c r="D62" s="105">
        <v>12133296</v>
      </c>
      <c r="E62" s="105"/>
      <c r="F62" s="105">
        <v>0</v>
      </c>
      <c r="G62" s="105"/>
      <c r="H62" s="105"/>
      <c r="I62" s="105">
        <v>84</v>
      </c>
      <c r="J62" s="105">
        <f>D62</f>
        <v>12133296</v>
      </c>
      <c r="K62" s="90" t="s">
        <v>62</v>
      </c>
      <c r="L62" s="90" t="s">
        <v>327</v>
      </c>
      <c r="M62" s="90">
        <v>1830</v>
      </c>
      <c r="N62" s="100">
        <v>9066877.6549999993</v>
      </c>
      <c r="O62" s="60">
        <v>1056</v>
      </c>
      <c r="P62" s="56">
        <v>9004.0499999999993</v>
      </c>
      <c r="Q62" s="57">
        <f t="shared" si="0"/>
        <v>9508276.7999999989</v>
      </c>
      <c r="R62" s="100">
        <f>J62-Q85</f>
        <v>1463939.9399999995</v>
      </c>
      <c r="V62" s="90" t="s">
        <v>398</v>
      </c>
      <c r="W62" s="90" t="s">
        <v>327</v>
      </c>
      <c r="X62" s="90">
        <v>28</v>
      </c>
      <c r="Y62" s="90">
        <v>945348</v>
      </c>
    </row>
    <row r="63" spans="1:25" ht="15" x14ac:dyDescent="0.25">
      <c r="A63" s="96" t="s">
        <v>71</v>
      </c>
      <c r="B63" s="96">
        <v>12</v>
      </c>
      <c r="C63" s="97">
        <v>1608</v>
      </c>
      <c r="D63" s="97">
        <v>25016122</v>
      </c>
      <c r="E63" s="97">
        <v>552</v>
      </c>
      <c r="F63" s="97">
        <v>8689032</v>
      </c>
      <c r="G63" s="97">
        <f>C63+E63-I63</f>
        <v>1294</v>
      </c>
      <c r="H63" s="97" t="e">
        <f>G63*#REF!</f>
        <v>#REF!</v>
      </c>
      <c r="I63" s="97">
        <v>866</v>
      </c>
      <c r="J63" s="97">
        <v>12748662</v>
      </c>
      <c r="K63" s="90" t="s">
        <v>413</v>
      </c>
      <c r="L63" s="90" t="s">
        <v>303</v>
      </c>
      <c r="M63" s="90">
        <v>288</v>
      </c>
      <c r="N63" s="100">
        <v>4308529</v>
      </c>
      <c r="O63" s="60">
        <v>766</v>
      </c>
      <c r="P63" s="56">
        <v>16449.46</v>
      </c>
      <c r="Q63" s="57">
        <f t="shared" si="0"/>
        <v>12600286.359999999</v>
      </c>
      <c r="R63" s="100">
        <f>J63-Q86</f>
        <v>724186.72000000067</v>
      </c>
      <c r="V63" s="90" t="s">
        <v>407</v>
      </c>
      <c r="W63" s="90" t="s">
        <v>327</v>
      </c>
      <c r="X63" s="90">
        <v>20</v>
      </c>
      <c r="Y63" s="90">
        <v>693746</v>
      </c>
    </row>
    <row r="64" spans="1:25" ht="15" x14ac:dyDescent="0.25">
      <c r="A64" s="96" t="s">
        <v>72</v>
      </c>
      <c r="B64" s="96">
        <v>12</v>
      </c>
      <c r="C64" s="97">
        <v>3852</v>
      </c>
      <c r="D64" s="97">
        <v>90280472</v>
      </c>
      <c r="E64" s="97">
        <v>648</v>
      </c>
      <c r="F64" s="97">
        <v>15599952</v>
      </c>
      <c r="G64" s="97">
        <f>C64+E64-I64</f>
        <v>2687</v>
      </c>
      <c r="H64" s="97" t="e">
        <f>G64*#REF!</f>
        <v>#REF!</v>
      </c>
      <c r="I64" s="97">
        <v>1813</v>
      </c>
      <c r="J64" s="97">
        <v>40799257</v>
      </c>
      <c r="K64" s="90" t="s">
        <v>64</v>
      </c>
      <c r="L64" s="90" t="s">
        <v>303</v>
      </c>
      <c r="M64" s="90">
        <v>25</v>
      </c>
      <c r="N64" s="100">
        <v>4908737.5</v>
      </c>
      <c r="O64" s="32"/>
      <c r="P64" s="32"/>
      <c r="Q64" s="33">
        <f t="shared" si="0"/>
        <v>0</v>
      </c>
      <c r="R64" s="100">
        <f>J64-Q88</f>
        <v>1768321.5399999991</v>
      </c>
      <c r="V64" s="90" t="s">
        <v>62</v>
      </c>
      <c r="W64" s="90" t="s">
        <v>327</v>
      </c>
      <c r="X64" s="90">
        <v>1830</v>
      </c>
      <c r="Y64" s="90">
        <v>9066877.6549999993</v>
      </c>
    </row>
    <row r="65" spans="1:25" ht="15" x14ac:dyDescent="0.25">
      <c r="A65" s="96" t="s">
        <v>73</v>
      </c>
      <c r="B65" s="96">
        <v>12</v>
      </c>
      <c r="C65" s="97">
        <v>4218</v>
      </c>
      <c r="D65" s="97">
        <v>143970514</v>
      </c>
      <c r="E65" s="97">
        <v>1800</v>
      </c>
      <c r="F65" s="97">
        <v>61666200</v>
      </c>
      <c r="G65" s="97">
        <f>C65+E65-I65</f>
        <v>4874</v>
      </c>
      <c r="H65" s="97" t="e">
        <f>G65*#REF!</f>
        <v>#REF!</v>
      </c>
      <c r="I65" s="97">
        <v>1144</v>
      </c>
      <c r="J65" s="97">
        <v>36630535</v>
      </c>
      <c r="K65" s="90" t="s">
        <v>65</v>
      </c>
      <c r="L65" s="90" t="s">
        <v>303</v>
      </c>
      <c r="M65" s="90">
        <v>7</v>
      </c>
      <c r="N65" s="100">
        <v>1341726</v>
      </c>
      <c r="O65" s="60">
        <v>2892</v>
      </c>
      <c r="P65" s="56">
        <v>8051.28</v>
      </c>
      <c r="Q65" s="57">
        <f t="shared" si="0"/>
        <v>23284301.759999998</v>
      </c>
      <c r="R65" s="100">
        <f>J65-Q90</f>
        <v>2292059.4799999967</v>
      </c>
      <c r="V65" s="90" t="s">
        <v>413</v>
      </c>
      <c r="W65" s="90" t="s">
        <v>303</v>
      </c>
      <c r="X65" s="90">
        <v>288</v>
      </c>
      <c r="Y65" s="90">
        <v>4308529</v>
      </c>
    </row>
    <row r="66" spans="1:25" ht="15" x14ac:dyDescent="0.25">
      <c r="A66" s="96" t="s">
        <v>74</v>
      </c>
      <c r="B66" s="96">
        <v>12</v>
      </c>
      <c r="C66" s="97">
        <v>5136</v>
      </c>
      <c r="D66" s="97">
        <v>75745997</v>
      </c>
      <c r="E66" s="97">
        <v>1752</v>
      </c>
      <c r="F66" s="97">
        <v>25955880</v>
      </c>
      <c r="G66" s="97">
        <f>C66+E66-I66</f>
        <v>6059</v>
      </c>
      <c r="H66" s="97" t="e">
        <f>G66*#REF!</f>
        <v>#REF!</v>
      </c>
      <c r="I66" s="97">
        <v>829</v>
      </c>
      <c r="J66" s="97">
        <v>11487233</v>
      </c>
      <c r="K66" s="90" t="s">
        <v>66</v>
      </c>
      <c r="L66" s="90" t="s">
        <v>393</v>
      </c>
      <c r="M66" s="90">
        <v>882</v>
      </c>
      <c r="N66" s="100">
        <v>11162689.539999999</v>
      </c>
      <c r="O66" s="60">
        <v>2848</v>
      </c>
      <c r="P66" s="56">
        <v>15583.64</v>
      </c>
      <c r="Q66" s="33">
        <f t="shared" si="0"/>
        <v>44382206.719999999</v>
      </c>
      <c r="R66" s="100">
        <f>J66-Q95</f>
        <v>710361.43999999948</v>
      </c>
      <c r="V66" s="90" t="s">
        <v>64</v>
      </c>
      <c r="W66" s="90" t="s">
        <v>303</v>
      </c>
      <c r="X66" s="90">
        <v>25</v>
      </c>
      <c r="Y66" s="90">
        <v>4908737.5</v>
      </c>
    </row>
    <row r="67" spans="1:25" ht="15" x14ac:dyDescent="0.25">
      <c r="A67" s="96" t="s">
        <v>75</v>
      </c>
      <c r="B67" s="96">
        <v>12</v>
      </c>
      <c r="C67" s="97">
        <v>10400</v>
      </c>
      <c r="D67" s="97">
        <v>3813333</v>
      </c>
      <c r="E67" s="97">
        <v>0</v>
      </c>
      <c r="F67" s="97">
        <v>0</v>
      </c>
      <c r="G67" s="97">
        <v>9600</v>
      </c>
      <c r="H67" s="97">
        <v>3520000</v>
      </c>
      <c r="I67" s="97">
        <v>800</v>
      </c>
      <c r="J67" s="97">
        <v>293333</v>
      </c>
      <c r="K67" s="90" t="s">
        <v>418</v>
      </c>
      <c r="L67" s="90" t="s">
        <v>393</v>
      </c>
      <c r="M67" s="90">
        <v>3262</v>
      </c>
      <c r="N67" s="100">
        <v>54048835.164072685</v>
      </c>
      <c r="O67" s="60">
        <v>1637</v>
      </c>
      <c r="P67" s="56">
        <v>32897.980000000003</v>
      </c>
      <c r="Q67" s="57">
        <f t="shared" si="0"/>
        <v>53853993.260000005</v>
      </c>
      <c r="V67" s="90" t="s">
        <v>65</v>
      </c>
      <c r="W67" s="90" t="s">
        <v>303</v>
      </c>
      <c r="X67" s="90">
        <v>7</v>
      </c>
      <c r="Y67" s="90">
        <v>1341726</v>
      </c>
    </row>
    <row r="68" spans="1:25" ht="15" x14ac:dyDescent="0.25">
      <c r="A68" s="96" t="s">
        <v>76</v>
      </c>
      <c r="B68" s="96">
        <v>12</v>
      </c>
      <c r="C68" s="97">
        <v>168</v>
      </c>
      <c r="D68" s="97">
        <v>9544198</v>
      </c>
      <c r="E68" s="97">
        <f>8+271</f>
        <v>279</v>
      </c>
      <c r="F68" s="97">
        <v>4275018</v>
      </c>
      <c r="G68" s="97">
        <f t="shared" ref="G68:G75" si="1">C68+E68-I68</f>
        <v>171</v>
      </c>
      <c r="H68" s="97" t="e">
        <f>G68*#REF!</f>
        <v>#REF!</v>
      </c>
      <c r="I68" s="97">
        <v>276</v>
      </c>
      <c r="J68" s="97">
        <v>13597221</v>
      </c>
      <c r="K68" s="90" t="s">
        <v>426</v>
      </c>
      <c r="L68" s="90" t="s">
        <v>393</v>
      </c>
      <c r="M68" s="90">
        <v>240</v>
      </c>
      <c r="N68" s="100">
        <v>9469661</v>
      </c>
      <c r="O68" s="32"/>
      <c r="P68" s="32"/>
      <c r="Q68" s="33">
        <f t="shared" ref="Q68:Q131" si="2">O68*P68</f>
        <v>0</v>
      </c>
      <c r="R68" s="100">
        <f>J68-Q87</f>
        <v>1507100.6500000004</v>
      </c>
      <c r="V68" s="90" t="s">
        <v>66</v>
      </c>
      <c r="W68" s="90" t="s">
        <v>393</v>
      </c>
      <c r="X68" s="90">
        <v>882</v>
      </c>
      <c r="Y68" s="90">
        <v>11162689.539999999</v>
      </c>
    </row>
    <row r="69" spans="1:25" ht="15" x14ac:dyDescent="0.25">
      <c r="A69" s="96" t="s">
        <v>77</v>
      </c>
      <c r="B69" s="96">
        <v>12</v>
      </c>
      <c r="C69" s="97">
        <v>1092</v>
      </c>
      <c r="D69" s="97">
        <v>6735333</v>
      </c>
      <c r="E69" s="97">
        <v>0</v>
      </c>
      <c r="F69" s="97">
        <v>0</v>
      </c>
      <c r="G69" s="97">
        <f t="shared" si="1"/>
        <v>206</v>
      </c>
      <c r="H69" s="97" t="e">
        <f>G69*#REF!</f>
        <v>#REF!</v>
      </c>
      <c r="I69" s="97">
        <v>886</v>
      </c>
      <c r="J69" s="97">
        <v>5218033</v>
      </c>
      <c r="K69" s="90" t="s">
        <v>420</v>
      </c>
      <c r="L69" s="90" t="s">
        <v>393</v>
      </c>
      <c r="M69" s="90">
        <v>120</v>
      </c>
      <c r="N69" s="100">
        <v>6866679</v>
      </c>
      <c r="O69" s="60">
        <v>1570</v>
      </c>
      <c r="P69" s="56">
        <v>4588.04</v>
      </c>
      <c r="Q69" s="57">
        <f t="shared" si="2"/>
        <v>7203222.7999999998</v>
      </c>
      <c r="R69" s="100">
        <f>J69-Q91</f>
        <v>237834.04000000004</v>
      </c>
      <c r="V69" s="90" t="s">
        <v>418</v>
      </c>
      <c r="W69" s="90" t="s">
        <v>393</v>
      </c>
      <c r="X69" s="90">
        <v>3262</v>
      </c>
      <c r="Y69" s="90">
        <v>54048835.164072685</v>
      </c>
    </row>
    <row r="70" spans="1:25" ht="15" x14ac:dyDescent="0.25">
      <c r="A70" s="96" t="s">
        <v>78</v>
      </c>
      <c r="B70" s="96">
        <v>12</v>
      </c>
      <c r="C70" s="97">
        <v>7371</v>
      </c>
      <c r="D70" s="97">
        <v>66190155</v>
      </c>
      <c r="E70" s="97">
        <v>1920</v>
      </c>
      <c r="F70" s="97">
        <v>21333120</v>
      </c>
      <c r="G70" s="97">
        <f t="shared" si="1"/>
        <v>4938</v>
      </c>
      <c r="H70" s="97" t="e">
        <f>G70*#REF!</f>
        <v>#REF!</v>
      </c>
      <c r="I70" s="97">
        <v>4353</v>
      </c>
      <c r="J70" s="97">
        <v>45226482</v>
      </c>
      <c r="K70" s="90" t="s">
        <v>428</v>
      </c>
      <c r="L70" s="90" t="s">
        <v>393</v>
      </c>
      <c r="M70" s="90">
        <v>240</v>
      </c>
      <c r="N70" s="100">
        <v>12656106</v>
      </c>
      <c r="O70" s="32"/>
      <c r="P70" s="32"/>
      <c r="Q70" s="33">
        <f t="shared" si="2"/>
        <v>0</v>
      </c>
      <c r="R70" s="100">
        <f>J70-Q92</f>
        <v>-4650050.7800000012</v>
      </c>
      <c r="V70" s="90" t="s">
        <v>426</v>
      </c>
      <c r="W70" s="90" t="s">
        <v>393</v>
      </c>
      <c r="X70" s="90">
        <v>240</v>
      </c>
      <c r="Y70" s="90">
        <v>9469661</v>
      </c>
    </row>
    <row r="71" spans="1:25" ht="15" x14ac:dyDescent="0.25">
      <c r="A71" s="96" t="s">
        <v>79</v>
      </c>
      <c r="B71" s="96">
        <v>12</v>
      </c>
      <c r="C71" s="97">
        <v>1912</v>
      </c>
      <c r="D71" s="97">
        <v>38449684</v>
      </c>
      <c r="E71" s="97">
        <v>1560</v>
      </c>
      <c r="F71" s="97">
        <v>33221760</v>
      </c>
      <c r="G71" s="97">
        <f t="shared" si="1"/>
        <v>3121</v>
      </c>
      <c r="H71" s="97" t="e">
        <f>G71*#REF!</f>
        <v>#REF!</v>
      </c>
      <c r="I71" s="97">
        <v>351</v>
      </c>
      <c r="J71" s="97">
        <v>6997874</v>
      </c>
      <c r="K71" s="90" t="s">
        <v>422</v>
      </c>
      <c r="L71" s="90" t="s">
        <v>393</v>
      </c>
      <c r="M71" s="90">
        <v>120</v>
      </c>
      <c r="N71" s="100">
        <v>8572111</v>
      </c>
      <c r="O71" s="60">
        <v>1844</v>
      </c>
      <c r="P71" s="56">
        <v>4588.04</v>
      </c>
      <c r="Q71" s="57">
        <f t="shared" si="2"/>
        <v>8460345.7599999998</v>
      </c>
      <c r="R71" s="100">
        <f>J71-Q93</f>
        <v>247787.36000000034</v>
      </c>
      <c r="V71" s="90" t="s">
        <v>420</v>
      </c>
      <c r="W71" s="90" t="s">
        <v>393</v>
      </c>
      <c r="X71" s="90">
        <v>120</v>
      </c>
      <c r="Y71" s="90">
        <v>6866679</v>
      </c>
    </row>
    <row r="72" spans="1:25" ht="15" x14ac:dyDescent="0.25">
      <c r="A72" s="96" t="s">
        <v>80</v>
      </c>
      <c r="B72" s="96">
        <v>12</v>
      </c>
      <c r="C72" s="97">
        <v>180</v>
      </c>
      <c r="D72" s="97">
        <v>2602954</v>
      </c>
      <c r="E72" s="97">
        <f>72+13</f>
        <v>85</v>
      </c>
      <c r="F72" s="97" t="e">
        <f>E72*#REF!</f>
        <v>#REF!</v>
      </c>
      <c r="G72" s="97">
        <f t="shared" si="1"/>
        <v>0</v>
      </c>
      <c r="H72" s="97">
        <v>0</v>
      </c>
      <c r="I72" s="97">
        <v>265</v>
      </c>
      <c r="J72" s="97">
        <v>3669634</v>
      </c>
      <c r="K72" s="90" t="s">
        <v>67</v>
      </c>
      <c r="L72" s="90" t="s">
        <v>393</v>
      </c>
      <c r="M72" s="90">
        <v>45</v>
      </c>
      <c r="N72" s="100">
        <v>757364.84</v>
      </c>
      <c r="O72" s="32"/>
      <c r="P72" s="32"/>
      <c r="Q72" s="33">
        <f t="shared" si="2"/>
        <v>0</v>
      </c>
      <c r="R72" s="100">
        <f>J72-Q98</f>
        <v>178924.95999999996</v>
      </c>
      <c r="V72" s="90" t="s">
        <v>428</v>
      </c>
      <c r="W72" s="90" t="s">
        <v>393</v>
      </c>
      <c r="X72" s="90">
        <v>240</v>
      </c>
      <c r="Y72" s="90">
        <v>12656106</v>
      </c>
    </row>
    <row r="73" spans="1:25" ht="15" x14ac:dyDescent="0.25">
      <c r="A73" s="96" t="s">
        <v>81</v>
      </c>
      <c r="B73" s="96">
        <v>12</v>
      </c>
      <c r="C73" s="97">
        <v>2052</v>
      </c>
      <c r="D73" s="97">
        <v>31426776</v>
      </c>
      <c r="E73" s="97">
        <v>504</v>
      </c>
      <c r="F73" s="97">
        <v>7933464</v>
      </c>
      <c r="G73" s="97">
        <f t="shared" si="1"/>
        <v>2016</v>
      </c>
      <c r="H73" s="97" t="e">
        <f>G73*#REF!</f>
        <v>#REF!</v>
      </c>
      <c r="I73" s="97">
        <v>540</v>
      </c>
      <c r="J73" s="97">
        <v>7945964</v>
      </c>
      <c r="K73" s="90" t="s">
        <v>68</v>
      </c>
      <c r="L73" s="90" t="s">
        <v>393</v>
      </c>
      <c r="M73" s="90">
        <v>364</v>
      </c>
      <c r="N73" s="100">
        <v>17089776.399999999</v>
      </c>
      <c r="O73" s="66">
        <v>25</v>
      </c>
      <c r="P73" s="67">
        <v>181805.14</v>
      </c>
      <c r="Q73" s="68">
        <f t="shared" si="2"/>
        <v>4545128.5</v>
      </c>
      <c r="R73" s="100">
        <f>J73-Q99</f>
        <v>351558.55999999959</v>
      </c>
      <c r="V73" s="90" t="s">
        <v>422</v>
      </c>
      <c r="W73" s="90" t="s">
        <v>393</v>
      </c>
      <c r="X73" s="90">
        <v>120</v>
      </c>
      <c r="Y73" s="90">
        <v>8572111</v>
      </c>
    </row>
    <row r="74" spans="1:25" ht="15" x14ac:dyDescent="0.25">
      <c r="A74" s="96" t="s">
        <v>82</v>
      </c>
      <c r="B74" s="96">
        <v>12</v>
      </c>
      <c r="C74" s="97">
        <v>5760</v>
      </c>
      <c r="D74" s="97">
        <v>42106565</v>
      </c>
      <c r="E74" s="97">
        <v>1368</v>
      </c>
      <c r="F74" s="97">
        <v>10132776</v>
      </c>
      <c r="G74" s="97">
        <f t="shared" si="1"/>
        <v>4986</v>
      </c>
      <c r="H74" s="97" t="e">
        <f>G74*#REF!</f>
        <v>#REF!</v>
      </c>
      <c r="I74" s="97">
        <v>2142</v>
      </c>
      <c r="J74" s="97">
        <v>14833393</v>
      </c>
      <c r="K74" s="90" t="s">
        <v>69</v>
      </c>
      <c r="L74" s="90" t="s">
        <v>303</v>
      </c>
      <c r="M74" s="90">
        <v>150</v>
      </c>
      <c r="N74" s="100">
        <v>15708040.199999999</v>
      </c>
      <c r="O74" s="66">
        <v>7</v>
      </c>
      <c r="P74" s="67">
        <v>177477.02</v>
      </c>
      <c r="Q74" s="68">
        <f t="shared" si="2"/>
        <v>1242339.1399999999</v>
      </c>
      <c r="R74" s="100">
        <f t="shared" ref="R74:R79" si="3">J74-Q103</f>
        <v>816100.04000000097</v>
      </c>
      <c r="V74" s="90" t="s">
        <v>67</v>
      </c>
      <c r="W74" s="90" t="s">
        <v>393</v>
      </c>
      <c r="X74" s="90">
        <v>45</v>
      </c>
      <c r="Y74" s="90">
        <v>757364.84</v>
      </c>
    </row>
    <row r="75" spans="1:25" ht="15" x14ac:dyDescent="0.25">
      <c r="A75" s="96" t="s">
        <v>83</v>
      </c>
      <c r="B75" s="96">
        <v>12</v>
      </c>
      <c r="C75" s="97">
        <v>2646</v>
      </c>
      <c r="D75" s="97">
        <v>20061031</v>
      </c>
      <c r="E75" s="97">
        <v>720</v>
      </c>
      <c r="F75" s="97" t="e">
        <f>E75*#REF!</f>
        <v>#REF!</v>
      </c>
      <c r="G75" s="97">
        <f t="shared" si="1"/>
        <v>2586</v>
      </c>
      <c r="H75" s="97">
        <v>19989199</v>
      </c>
      <c r="I75" s="97">
        <v>780</v>
      </c>
      <c r="J75" s="97">
        <v>5671992</v>
      </c>
      <c r="K75" s="90" t="s">
        <v>70</v>
      </c>
      <c r="L75" s="90" t="s">
        <v>303</v>
      </c>
      <c r="M75" s="90">
        <v>79</v>
      </c>
      <c r="N75" s="100">
        <v>11522902.5</v>
      </c>
      <c r="O75" s="60">
        <v>1419</v>
      </c>
      <c r="P75" s="56">
        <v>14717.84</v>
      </c>
      <c r="Q75" s="57">
        <f t="shared" si="2"/>
        <v>20884614.960000001</v>
      </c>
      <c r="R75" s="100">
        <f t="shared" si="3"/>
        <v>261304.08000000007</v>
      </c>
      <c r="V75" s="90" t="s">
        <v>68</v>
      </c>
      <c r="W75" s="90" t="s">
        <v>393</v>
      </c>
      <c r="X75" s="90">
        <v>364</v>
      </c>
      <c r="Y75" s="90">
        <v>17089776.399999999</v>
      </c>
    </row>
    <row r="76" spans="1:25" ht="15" x14ac:dyDescent="0.25">
      <c r="A76" s="96" t="s">
        <v>84</v>
      </c>
      <c r="B76" s="96">
        <v>12</v>
      </c>
      <c r="C76" s="97">
        <v>21344</v>
      </c>
      <c r="D76" s="97">
        <v>656441651</v>
      </c>
      <c r="E76" s="97">
        <v>13870</v>
      </c>
      <c r="F76" s="97">
        <v>423104640</v>
      </c>
      <c r="G76" s="97">
        <f>C76+E76-I76</f>
        <v>25509</v>
      </c>
      <c r="H76" s="97" t="e">
        <f>G76*#REF!</f>
        <v>#REF!</v>
      </c>
      <c r="I76" s="97">
        <v>9705</v>
      </c>
      <c r="J76" s="97">
        <v>285659463</v>
      </c>
      <c r="K76" s="90" t="s">
        <v>71</v>
      </c>
      <c r="L76" s="90" t="s">
        <v>393</v>
      </c>
      <c r="M76" s="90">
        <v>817</v>
      </c>
      <c r="N76" s="100">
        <v>14224138.579999998</v>
      </c>
      <c r="O76" s="60">
        <v>5123</v>
      </c>
      <c r="P76" s="56">
        <v>14284.93</v>
      </c>
      <c r="Q76" s="57">
        <f t="shared" si="2"/>
        <v>73181696.390000001</v>
      </c>
      <c r="R76" s="100">
        <f t="shared" si="3"/>
        <v>11386555.680000007</v>
      </c>
      <c r="V76" s="90" t="s">
        <v>69</v>
      </c>
      <c r="W76" s="90" t="s">
        <v>303</v>
      </c>
      <c r="X76" s="90">
        <v>150</v>
      </c>
      <c r="Y76" s="90">
        <v>15708040.199999999</v>
      </c>
    </row>
    <row r="77" spans="1:25" ht="15" x14ac:dyDescent="0.25">
      <c r="A77" s="96" t="s">
        <v>85</v>
      </c>
      <c r="B77" s="96">
        <v>12</v>
      </c>
      <c r="C77" s="97">
        <v>22711</v>
      </c>
      <c r="D77" s="97">
        <v>206800382</v>
      </c>
      <c r="E77" s="97">
        <v>8744</v>
      </c>
      <c r="F77" s="97">
        <v>79997760</v>
      </c>
      <c r="G77" s="97">
        <f>C77+E77-I77</f>
        <v>15601</v>
      </c>
      <c r="H77" s="97" t="e">
        <f>G77*#REF!</f>
        <v>#REF!</v>
      </c>
      <c r="I77" s="97">
        <v>15854</v>
      </c>
      <c r="J77" s="97">
        <v>137249163</v>
      </c>
      <c r="K77" s="90" t="s">
        <v>435</v>
      </c>
      <c r="L77" s="90" t="s">
        <v>395</v>
      </c>
      <c r="M77" s="90">
        <v>15</v>
      </c>
      <c r="N77" s="100">
        <v>2720855</v>
      </c>
      <c r="O77" s="32"/>
      <c r="P77" s="32"/>
      <c r="Q77" s="33">
        <f t="shared" si="2"/>
        <v>0</v>
      </c>
      <c r="R77" s="100">
        <f t="shared" si="3"/>
        <v>6932782.9899999946</v>
      </c>
      <c r="V77" s="90" t="s">
        <v>70</v>
      </c>
      <c r="W77" s="90" t="s">
        <v>303</v>
      </c>
      <c r="X77" s="90">
        <v>79</v>
      </c>
      <c r="Y77" s="90">
        <v>11522902.5</v>
      </c>
    </row>
    <row r="78" spans="1:25" ht="15" x14ac:dyDescent="0.25">
      <c r="A78" s="96" t="s">
        <v>86</v>
      </c>
      <c r="B78" s="96">
        <v>12</v>
      </c>
      <c r="C78" s="97">
        <v>51521</v>
      </c>
      <c r="D78" s="97">
        <v>363655744</v>
      </c>
      <c r="E78" s="97">
        <v>37214</v>
      </c>
      <c r="F78" s="97">
        <v>266652000</v>
      </c>
      <c r="G78" s="97">
        <v>41008</v>
      </c>
      <c r="H78" s="97">
        <v>295371958</v>
      </c>
      <c r="I78" s="97">
        <v>48362</v>
      </c>
      <c r="J78" s="97">
        <v>334935786</v>
      </c>
      <c r="K78" s="90" t="s">
        <v>438</v>
      </c>
      <c r="L78" s="90" t="s">
        <v>393</v>
      </c>
      <c r="M78" s="90">
        <v>48</v>
      </c>
      <c r="N78" s="100">
        <v>1166868</v>
      </c>
      <c r="O78" s="32"/>
      <c r="P78" s="32"/>
      <c r="Q78" s="33">
        <f t="shared" si="2"/>
        <v>0</v>
      </c>
      <c r="R78" s="100">
        <f t="shared" si="3"/>
        <v>4400538.4200000167</v>
      </c>
      <c r="V78" s="90" t="s">
        <v>71</v>
      </c>
      <c r="W78" s="90" t="s">
        <v>393</v>
      </c>
      <c r="X78" s="90">
        <v>817</v>
      </c>
      <c r="Y78" s="90">
        <v>14224138.579999998</v>
      </c>
    </row>
    <row r="79" spans="1:25" ht="15" x14ac:dyDescent="0.25">
      <c r="A79" s="96" t="s">
        <v>87</v>
      </c>
      <c r="B79" s="96">
        <v>12</v>
      </c>
      <c r="C79" s="97">
        <v>3195</v>
      </c>
      <c r="D79" s="97">
        <v>57619421</v>
      </c>
      <c r="E79" s="97">
        <v>7471</v>
      </c>
      <c r="F79" s="97">
        <v>133253280</v>
      </c>
      <c r="G79" s="97">
        <f>C79+E79-I79</f>
        <v>7687</v>
      </c>
      <c r="H79" s="97" t="e">
        <f>G79*#REF!</f>
        <v>#REF!</v>
      </c>
      <c r="I79" s="97">
        <v>2979</v>
      </c>
      <c r="J79" s="97">
        <v>50286170</v>
      </c>
      <c r="K79" s="90" t="s">
        <v>72</v>
      </c>
      <c r="L79" s="90" t="s">
        <v>393</v>
      </c>
      <c r="M79" s="90">
        <v>978</v>
      </c>
      <c r="N79" s="100">
        <v>19232457.949999999</v>
      </c>
      <c r="O79" s="32"/>
      <c r="P79" s="32"/>
      <c r="Q79" s="33">
        <f t="shared" si="2"/>
        <v>0</v>
      </c>
      <c r="R79" s="100">
        <f t="shared" si="3"/>
        <v>2846738.3999999985</v>
      </c>
      <c r="V79" s="90" t="s">
        <v>435</v>
      </c>
      <c r="W79" s="90" t="s">
        <v>395</v>
      </c>
      <c r="X79" s="90">
        <v>15</v>
      </c>
      <c r="Y79" s="90">
        <v>2720855</v>
      </c>
    </row>
    <row r="80" spans="1:25" ht="15" x14ac:dyDescent="0.25">
      <c r="A80" s="96" t="s">
        <v>88</v>
      </c>
      <c r="B80" s="96">
        <v>12</v>
      </c>
      <c r="C80" s="97">
        <v>618</v>
      </c>
      <c r="D80" s="97">
        <v>12921762</v>
      </c>
      <c r="E80" s="97">
        <v>0</v>
      </c>
      <c r="F80" s="97">
        <v>0</v>
      </c>
      <c r="G80" s="97">
        <f>C80-I80</f>
        <v>32</v>
      </c>
      <c r="H80" s="97" t="e">
        <f>G80*#REF!</f>
        <v>#REF!</v>
      </c>
      <c r="I80" s="97">
        <v>586</v>
      </c>
      <c r="J80" s="97">
        <v>11458132</v>
      </c>
      <c r="K80" s="90" t="s">
        <v>73</v>
      </c>
      <c r="L80" s="90" t="s">
        <v>393</v>
      </c>
      <c r="M80" s="90">
        <v>532</v>
      </c>
      <c r="N80" s="100">
        <v>23163948.969999999</v>
      </c>
      <c r="O80" s="55">
        <v>720</v>
      </c>
      <c r="P80" s="56">
        <v>36534.19</v>
      </c>
      <c r="Q80" s="57">
        <f t="shared" si="2"/>
        <v>26304616.800000001</v>
      </c>
      <c r="R80" s="100">
        <f>J80-Q124</f>
        <v>744775.84000000171</v>
      </c>
      <c r="V80" s="90" t="s">
        <v>438</v>
      </c>
      <c r="W80" s="90" t="s">
        <v>393</v>
      </c>
      <c r="X80" s="90">
        <v>48</v>
      </c>
      <c r="Y80" s="90">
        <v>1166868</v>
      </c>
    </row>
    <row r="81" spans="1:25" ht="15" x14ac:dyDescent="0.25">
      <c r="A81" s="96" t="s">
        <v>89</v>
      </c>
      <c r="B81" s="96">
        <v>12</v>
      </c>
      <c r="C81" s="97">
        <v>564</v>
      </c>
      <c r="D81" s="97">
        <v>13801691</v>
      </c>
      <c r="E81" s="97">
        <v>216</v>
      </c>
      <c r="F81" s="97">
        <v>5299992</v>
      </c>
      <c r="G81" s="97">
        <f>C81+E81-I81</f>
        <v>306</v>
      </c>
      <c r="H81" s="97" t="e">
        <f>G81*#REF!</f>
        <v>#REF!</v>
      </c>
      <c r="I81" s="97">
        <v>474</v>
      </c>
      <c r="J81" s="97">
        <v>10873266</v>
      </c>
      <c r="K81" s="90" t="s">
        <v>77</v>
      </c>
      <c r="L81" s="90" t="s">
        <v>393</v>
      </c>
      <c r="M81" s="90">
        <v>846</v>
      </c>
      <c r="N81" s="100">
        <v>5286543.2479999997</v>
      </c>
      <c r="O81" s="32"/>
      <c r="P81" s="32"/>
      <c r="Q81" s="33">
        <f t="shared" si="2"/>
        <v>0</v>
      </c>
      <c r="R81" s="100">
        <f>J81-Q111</f>
        <v>686973.60000000149</v>
      </c>
      <c r="V81" s="90" t="s">
        <v>72</v>
      </c>
      <c r="W81" s="90" t="s">
        <v>393</v>
      </c>
      <c r="X81" s="90">
        <v>978</v>
      </c>
      <c r="Y81" s="90">
        <v>19232457.949999999</v>
      </c>
    </row>
    <row r="82" spans="1:25" ht="15" x14ac:dyDescent="0.25">
      <c r="A82" s="96" t="s">
        <v>90</v>
      </c>
      <c r="B82" s="96">
        <v>12</v>
      </c>
      <c r="C82" s="97">
        <v>1045</v>
      </c>
      <c r="D82" s="97">
        <v>55627273</v>
      </c>
      <c r="E82" s="97">
        <v>2820</v>
      </c>
      <c r="F82" s="97">
        <v>150139620</v>
      </c>
      <c r="G82" s="97">
        <f>C82+E82-I82</f>
        <v>3289</v>
      </c>
      <c r="H82" s="97" t="e">
        <f>G82*#REF!</f>
        <v>#REF!</v>
      </c>
      <c r="I82" s="97">
        <v>576</v>
      </c>
      <c r="J82" s="97">
        <v>28695563</v>
      </c>
      <c r="K82" s="90" t="s">
        <v>78</v>
      </c>
      <c r="L82" s="90" t="s">
        <v>393</v>
      </c>
      <c r="M82" s="90">
        <v>118</v>
      </c>
      <c r="N82" s="100">
        <v>1323940.58</v>
      </c>
      <c r="O82" s="60">
        <v>191</v>
      </c>
      <c r="P82" s="56">
        <v>15583.64</v>
      </c>
      <c r="Q82" s="57">
        <f t="shared" si="2"/>
        <v>2976475.2399999998</v>
      </c>
      <c r="R82" s="100">
        <f>J82-Q112</f>
        <v>1863959.7400000021</v>
      </c>
      <c r="V82" s="90" t="s">
        <v>73</v>
      </c>
      <c r="W82" s="90" t="s">
        <v>393</v>
      </c>
      <c r="X82" s="90">
        <v>532</v>
      </c>
      <c r="Y82" s="90">
        <v>23163948.969999999</v>
      </c>
    </row>
    <row r="83" spans="1:25" ht="15" x14ac:dyDescent="0.25">
      <c r="A83" s="96" t="s">
        <v>91</v>
      </c>
      <c r="B83" s="96">
        <v>12</v>
      </c>
      <c r="C83" s="97">
        <v>6789</v>
      </c>
      <c r="D83" s="97">
        <v>63245985</v>
      </c>
      <c r="E83" s="97">
        <v>4920</v>
      </c>
      <c r="F83" s="97">
        <v>44332320</v>
      </c>
      <c r="G83" s="97">
        <f>C83+E83-I83</f>
        <v>5799</v>
      </c>
      <c r="H83" s="97" t="e">
        <f>G83*#REF!</f>
        <v>#REF!</v>
      </c>
      <c r="I83" s="97">
        <v>5910</v>
      </c>
      <c r="J83" s="97">
        <v>53720245</v>
      </c>
      <c r="K83" s="90" t="s">
        <v>79</v>
      </c>
      <c r="L83" s="90" t="s">
        <v>393</v>
      </c>
      <c r="M83" s="90">
        <v>227</v>
      </c>
      <c r="N83" s="100">
        <v>5637564.71</v>
      </c>
      <c r="O83" s="60">
        <v>364</v>
      </c>
      <c r="P83" s="56">
        <v>43633.64</v>
      </c>
      <c r="Q83" s="57">
        <f t="shared" si="2"/>
        <v>15882644.959999999</v>
      </c>
      <c r="R83" s="100">
        <f>J83-Q113</f>
        <v>570605.71000000089</v>
      </c>
      <c r="V83" s="90" t="s">
        <v>77</v>
      </c>
      <c r="W83" s="90" t="s">
        <v>393</v>
      </c>
      <c r="X83" s="90">
        <v>846</v>
      </c>
      <c r="Y83" s="90">
        <v>5286543.2479999997</v>
      </c>
    </row>
    <row r="84" spans="1:25" ht="15" x14ac:dyDescent="0.25">
      <c r="A84" s="96" t="s">
        <v>92</v>
      </c>
      <c r="B84" s="96">
        <v>12</v>
      </c>
      <c r="C84" s="97">
        <v>50800</v>
      </c>
      <c r="D84" s="97">
        <v>24895116</v>
      </c>
      <c r="E84" s="97">
        <v>23200</v>
      </c>
      <c r="F84" s="97">
        <v>11391200</v>
      </c>
      <c r="G84" s="97">
        <f>C84+E84-I84</f>
        <v>33411</v>
      </c>
      <c r="H84" s="97" t="e">
        <f>G84*#REF!</f>
        <v>#REF!</v>
      </c>
      <c r="I84" s="97">
        <v>40589</v>
      </c>
      <c r="J84" s="97">
        <v>18633514</v>
      </c>
      <c r="K84" s="90" t="s">
        <v>445</v>
      </c>
      <c r="L84" s="90" t="s">
        <v>393</v>
      </c>
      <c r="M84" s="90">
        <v>538</v>
      </c>
      <c r="N84" s="100">
        <v>8840296.0399999991</v>
      </c>
      <c r="O84" s="60">
        <v>150</v>
      </c>
      <c r="P84" s="56">
        <v>96963.24</v>
      </c>
      <c r="Q84" s="57">
        <f t="shared" si="2"/>
        <v>14544486</v>
      </c>
      <c r="R84" s="100">
        <f>J84-Q114</f>
        <v>1188474</v>
      </c>
      <c r="V84" s="90" t="s">
        <v>78</v>
      </c>
      <c r="W84" s="90" t="s">
        <v>393</v>
      </c>
      <c r="X84" s="90">
        <v>118</v>
      </c>
      <c r="Y84" s="90">
        <v>1323940.58</v>
      </c>
    </row>
    <row r="85" spans="1:25" ht="15" x14ac:dyDescent="0.25">
      <c r="A85" s="96" t="s">
        <v>93</v>
      </c>
      <c r="B85" s="96">
        <v>12</v>
      </c>
      <c r="C85" s="97">
        <v>444</v>
      </c>
      <c r="D85" s="97">
        <v>23449263</v>
      </c>
      <c r="E85" s="97">
        <v>96</v>
      </c>
      <c r="F85" s="97">
        <v>5111136</v>
      </c>
      <c r="G85" s="97">
        <f>C85+E85-I85</f>
        <v>502</v>
      </c>
      <c r="H85" s="97" t="e">
        <f>G85*#REF!</f>
        <v>#REF!</v>
      </c>
      <c r="I85" s="97">
        <v>38</v>
      </c>
      <c r="J85" s="97">
        <v>1904027</v>
      </c>
      <c r="K85" s="90" t="s">
        <v>75</v>
      </c>
      <c r="L85" s="90" t="s">
        <v>327</v>
      </c>
      <c r="M85" s="90">
        <v>800</v>
      </c>
      <c r="N85" s="100">
        <v>276800</v>
      </c>
      <c r="O85" s="66">
        <v>79</v>
      </c>
      <c r="P85" s="67">
        <v>135055.14000000001</v>
      </c>
      <c r="Q85" s="68">
        <f t="shared" si="2"/>
        <v>10669356.060000001</v>
      </c>
      <c r="R85" s="100">
        <f>J85-Q116</f>
        <v>111934.76000000024</v>
      </c>
      <c r="V85" s="90" t="s">
        <v>79</v>
      </c>
      <c r="W85" s="90" t="s">
        <v>393</v>
      </c>
      <c r="X85" s="90">
        <v>227</v>
      </c>
      <c r="Y85" s="90">
        <v>5637564.71</v>
      </c>
    </row>
    <row r="86" spans="1:25" ht="15" x14ac:dyDescent="0.25">
      <c r="A86" s="96" t="s">
        <v>94</v>
      </c>
      <c r="B86" s="96">
        <v>12</v>
      </c>
      <c r="C86" s="97">
        <v>408</v>
      </c>
      <c r="D86" s="97">
        <v>3857098</v>
      </c>
      <c r="E86" s="97">
        <v>0</v>
      </c>
      <c r="F86" s="97">
        <v>0</v>
      </c>
      <c r="G86" s="97">
        <f>C86-I86</f>
        <v>233</v>
      </c>
      <c r="H86" s="97" t="e">
        <f>G86*#REF!</f>
        <v>#REF!</v>
      </c>
      <c r="I86" s="97">
        <v>175</v>
      </c>
      <c r="J86" s="97">
        <v>1588217</v>
      </c>
      <c r="K86" s="90" t="s">
        <v>76</v>
      </c>
      <c r="L86" s="90" t="s">
        <v>395</v>
      </c>
      <c r="M86" s="90">
        <v>227</v>
      </c>
      <c r="N86" s="100">
        <v>12090481.210000001</v>
      </c>
      <c r="O86" s="60">
        <v>817</v>
      </c>
      <c r="P86" s="56">
        <v>14717.84</v>
      </c>
      <c r="Q86" s="57">
        <f t="shared" si="2"/>
        <v>12024475.279999999</v>
      </c>
      <c r="R86" s="100">
        <f>J86-Q115</f>
        <v>61085.239999999991</v>
      </c>
      <c r="V86" s="90" t="s">
        <v>445</v>
      </c>
      <c r="W86" s="90" t="s">
        <v>393</v>
      </c>
      <c r="X86" s="90">
        <v>538</v>
      </c>
      <c r="Y86" s="90">
        <v>8840296.0399999991</v>
      </c>
    </row>
    <row r="87" spans="1:25" ht="15" x14ac:dyDescent="0.25">
      <c r="A87" s="96" t="s">
        <v>95</v>
      </c>
      <c r="B87" s="96">
        <v>12</v>
      </c>
      <c r="C87" s="97">
        <v>900</v>
      </c>
      <c r="D87" s="97">
        <v>7404657</v>
      </c>
      <c r="E87" s="97">
        <v>468</v>
      </c>
      <c r="F87" s="97">
        <v>3899844</v>
      </c>
      <c r="G87" s="97">
        <f>C87+E87-I87</f>
        <v>1325</v>
      </c>
      <c r="H87" s="97" t="e">
        <f>G87*#REF!</f>
        <v>#REF!</v>
      </c>
      <c r="I87" s="97">
        <v>43</v>
      </c>
      <c r="J87" s="97">
        <f>I87*15151</f>
        <v>651493</v>
      </c>
      <c r="K87" s="90" t="s">
        <v>448</v>
      </c>
      <c r="L87" s="90" t="s">
        <v>393</v>
      </c>
      <c r="M87" s="90">
        <v>5018</v>
      </c>
      <c r="N87" s="100">
        <v>28153219.462190762</v>
      </c>
      <c r="O87" s="60">
        <v>245</v>
      </c>
      <c r="P87" s="56">
        <v>49347.43</v>
      </c>
      <c r="Q87" s="57">
        <f t="shared" si="2"/>
        <v>12090120.35</v>
      </c>
      <c r="R87" s="100">
        <f>J87-Q122</f>
        <v>-530264.72</v>
      </c>
      <c r="V87" s="90" t="s">
        <v>75</v>
      </c>
      <c r="W87" s="90" t="s">
        <v>327</v>
      </c>
      <c r="X87" s="90">
        <v>800</v>
      </c>
      <c r="Y87" s="90">
        <v>276800</v>
      </c>
    </row>
    <row r="88" spans="1:25" s="98" customFormat="1" ht="15" x14ac:dyDescent="0.25">
      <c r="A88" s="96" t="s">
        <v>96</v>
      </c>
      <c r="B88" s="96">
        <v>12</v>
      </c>
      <c r="C88" s="97">
        <v>225</v>
      </c>
      <c r="D88" s="97">
        <v>25942946</v>
      </c>
      <c r="E88" s="97">
        <v>147</v>
      </c>
      <c r="F88" s="97" t="e">
        <f>E88*#REF!</f>
        <v>#REF!</v>
      </c>
      <c r="G88" s="97">
        <f>C88+E88-I88</f>
        <v>10</v>
      </c>
      <c r="H88" s="97">
        <v>3701070</v>
      </c>
      <c r="I88" s="97">
        <v>362</v>
      </c>
      <c r="J88" s="97">
        <v>39323864</v>
      </c>
      <c r="K88" s="98" t="s">
        <v>80</v>
      </c>
      <c r="L88" s="98" t="s">
        <v>393</v>
      </c>
      <c r="M88" s="98">
        <v>252</v>
      </c>
      <c r="N88" s="99">
        <v>3744289.16</v>
      </c>
      <c r="O88" s="60">
        <v>1734</v>
      </c>
      <c r="P88" s="56">
        <v>22509.19</v>
      </c>
      <c r="Q88" s="57">
        <f t="shared" si="2"/>
        <v>39030935.460000001</v>
      </c>
      <c r="R88" s="99">
        <f>J88-Q126</f>
        <v>2382612.3999999985</v>
      </c>
      <c r="T88" s="99"/>
      <c r="V88" s="98" t="s">
        <v>76</v>
      </c>
      <c r="W88" s="98" t="s">
        <v>395</v>
      </c>
      <c r="X88" s="98">
        <v>227</v>
      </c>
      <c r="Y88" s="98">
        <v>12090481.210000001</v>
      </c>
    </row>
    <row r="89" spans="1:25" ht="15" x14ac:dyDescent="0.25">
      <c r="A89" s="96" t="s">
        <v>97</v>
      </c>
      <c r="B89" s="96">
        <v>12</v>
      </c>
      <c r="C89" s="97">
        <v>57200</v>
      </c>
      <c r="D89" s="97">
        <v>28035599</v>
      </c>
      <c r="E89" s="97">
        <v>24800</v>
      </c>
      <c r="F89" s="97">
        <v>12176800</v>
      </c>
      <c r="G89" s="97">
        <f>C89+E89-I89</f>
        <v>36280</v>
      </c>
      <c r="H89" s="97" t="e">
        <f>G89*#REF!</f>
        <v>#REF!</v>
      </c>
      <c r="I89" s="97">
        <v>45720</v>
      </c>
      <c r="J89" s="97">
        <v>20988911</v>
      </c>
      <c r="K89" s="90" t="s">
        <v>81</v>
      </c>
      <c r="L89" s="90" t="s">
        <v>451</v>
      </c>
      <c r="M89" s="90">
        <v>516</v>
      </c>
      <c r="N89" s="100">
        <v>8076157.9199999999</v>
      </c>
      <c r="O89" s="32"/>
      <c r="P89" s="32"/>
      <c r="Q89" s="33">
        <f t="shared" si="2"/>
        <v>0</v>
      </c>
      <c r="R89" s="100">
        <f>J89-Q128</f>
        <v>1340287</v>
      </c>
      <c r="V89" s="90" t="s">
        <v>448</v>
      </c>
      <c r="W89" s="90" t="s">
        <v>393</v>
      </c>
      <c r="X89" s="90">
        <v>5018</v>
      </c>
      <c r="Y89" s="90">
        <v>28153219.462190762</v>
      </c>
    </row>
    <row r="90" spans="1:25" ht="15" x14ac:dyDescent="0.25">
      <c r="A90" s="96" t="s">
        <v>98</v>
      </c>
      <c r="B90" s="96">
        <v>12</v>
      </c>
      <c r="C90" s="97">
        <v>1920</v>
      </c>
      <c r="D90" s="97">
        <v>19627720</v>
      </c>
      <c r="E90" s="97">
        <v>192</v>
      </c>
      <c r="F90" s="97">
        <v>2026752</v>
      </c>
      <c r="G90" s="97">
        <f>C90+E90-I90</f>
        <v>1345</v>
      </c>
      <c r="H90" s="97" t="e">
        <f>G90*#REF!</f>
        <v>#REF!</v>
      </c>
      <c r="I90" s="97">
        <v>767</v>
      </c>
      <c r="J90" s="97">
        <v>7566762</v>
      </c>
      <c r="K90" s="90" t="s">
        <v>82</v>
      </c>
      <c r="L90" s="90" t="s">
        <v>451</v>
      </c>
      <c r="M90" s="90">
        <v>1808</v>
      </c>
      <c r="N90" s="100">
        <v>13455851.053280633</v>
      </c>
      <c r="O90" s="60">
        <v>1072</v>
      </c>
      <c r="P90" s="56">
        <v>32032.16</v>
      </c>
      <c r="Q90" s="57">
        <f t="shared" si="2"/>
        <v>34338475.520000003</v>
      </c>
      <c r="R90" s="100">
        <f>J90-Q129</f>
        <v>282805.31999999937</v>
      </c>
      <c r="V90" s="90" t="s">
        <v>80</v>
      </c>
      <c r="W90" s="90" t="s">
        <v>393</v>
      </c>
      <c r="X90" s="90">
        <v>252</v>
      </c>
      <c r="Y90" s="90">
        <v>3744289.16</v>
      </c>
    </row>
    <row r="91" spans="1:25" ht="15" x14ac:dyDescent="0.25">
      <c r="A91" s="96" t="s">
        <v>99</v>
      </c>
      <c r="B91" s="96">
        <v>12</v>
      </c>
      <c r="C91" s="97">
        <v>96</v>
      </c>
      <c r="D91" s="97">
        <v>595584</v>
      </c>
      <c r="E91" s="97">
        <v>96</v>
      </c>
      <c r="F91" s="97">
        <v>595584</v>
      </c>
      <c r="G91" s="97">
        <f>C91+E91-I91</f>
        <v>8</v>
      </c>
      <c r="H91" s="97" t="e">
        <f>G91*#REF!</f>
        <v>#REF!</v>
      </c>
      <c r="I91" s="97">
        <v>184</v>
      </c>
      <c r="J91" s="97">
        <v>1067088</v>
      </c>
      <c r="K91" s="90" t="s">
        <v>83</v>
      </c>
      <c r="L91" s="90" t="s">
        <v>393</v>
      </c>
      <c r="M91" s="90">
        <v>618</v>
      </c>
      <c r="N91" s="100">
        <v>4689971.4300000016</v>
      </c>
      <c r="O91" s="60">
        <v>846</v>
      </c>
      <c r="P91" s="56">
        <v>5886.76</v>
      </c>
      <c r="Q91" s="57">
        <f t="shared" si="2"/>
        <v>4980198.96</v>
      </c>
      <c r="R91" s="100">
        <f>J91-Q130</f>
        <v>69360.720000000088</v>
      </c>
      <c r="V91" s="90" t="s">
        <v>81</v>
      </c>
      <c r="W91" s="90" t="s">
        <v>451</v>
      </c>
      <c r="X91" s="90">
        <v>516</v>
      </c>
      <c r="Y91" s="90">
        <v>8076157.9199999999</v>
      </c>
    </row>
    <row r="92" spans="1:25" ht="15" x14ac:dyDescent="0.25">
      <c r="A92" s="104" t="s">
        <v>100</v>
      </c>
      <c r="B92" s="104">
        <v>12</v>
      </c>
      <c r="C92" s="105">
        <v>2105</v>
      </c>
      <c r="D92" s="105">
        <v>108155379</v>
      </c>
      <c r="E92" s="105">
        <v>3340</v>
      </c>
      <c r="F92" s="105">
        <v>162917460</v>
      </c>
      <c r="G92" s="105">
        <v>3522</v>
      </c>
      <c r="H92" s="105">
        <v>175338575</v>
      </c>
      <c r="I92" s="105">
        <v>1923</v>
      </c>
      <c r="J92" s="105">
        <v>95734264</v>
      </c>
      <c r="K92" s="90" t="s">
        <v>84</v>
      </c>
      <c r="L92" s="90" t="s">
        <v>451</v>
      </c>
      <c r="M92" s="90">
        <v>2074</v>
      </c>
      <c r="N92" s="100">
        <v>93176574.174040407</v>
      </c>
      <c r="O92" s="60">
        <v>4801</v>
      </c>
      <c r="P92" s="56">
        <v>10388.780000000001</v>
      </c>
      <c r="Q92" s="57">
        <f t="shared" si="2"/>
        <v>49876532.780000001</v>
      </c>
      <c r="R92" s="100">
        <f>J92-Q131</f>
        <v>6670.1800000071526</v>
      </c>
      <c r="V92" s="90" t="s">
        <v>82</v>
      </c>
      <c r="W92" s="90" t="s">
        <v>451</v>
      </c>
      <c r="X92" s="90">
        <v>1808</v>
      </c>
      <c r="Y92" s="90">
        <v>13455851.053280633</v>
      </c>
    </row>
    <row r="93" spans="1:25" ht="15" x14ac:dyDescent="0.25">
      <c r="A93" s="96" t="s">
        <v>101</v>
      </c>
      <c r="B93" s="96">
        <v>12</v>
      </c>
      <c r="C93" s="97">
        <v>21454</v>
      </c>
      <c r="D93" s="97">
        <v>153225770</v>
      </c>
      <c r="E93" s="97">
        <v>9132</v>
      </c>
      <c r="F93" s="97">
        <v>39665760</v>
      </c>
      <c r="G93" s="97">
        <f t="shared" ref="G93:G98" si="4">C93+E93-I93</f>
        <v>12151</v>
      </c>
      <c r="H93" s="97" t="e">
        <f>G93*#REF!</f>
        <v>#REF!</v>
      </c>
      <c r="I93" s="97">
        <v>18435</v>
      </c>
      <c r="J93" s="97">
        <v>167577118</v>
      </c>
      <c r="K93" s="90" t="s">
        <v>85</v>
      </c>
      <c r="L93" s="90" t="s">
        <v>393</v>
      </c>
      <c r="M93" s="90">
        <v>12424</v>
      </c>
      <c r="N93" s="100">
        <v>126894480.04329674</v>
      </c>
      <c r="O93" s="60">
        <v>339</v>
      </c>
      <c r="P93" s="56">
        <v>19911.759999999998</v>
      </c>
      <c r="Q93" s="57">
        <f t="shared" si="2"/>
        <v>6750086.6399999997</v>
      </c>
      <c r="R93" s="100">
        <f t="shared" ref="R93:R98" si="5">J93-Q133</f>
        <v>-73964222.039999992</v>
      </c>
      <c r="V93" s="90" t="s">
        <v>83</v>
      </c>
      <c r="W93" s="90" t="s">
        <v>393</v>
      </c>
      <c r="X93" s="90">
        <v>618</v>
      </c>
      <c r="Y93" s="90">
        <v>4689971.4300000016</v>
      </c>
    </row>
    <row r="94" spans="1:25" ht="15" x14ac:dyDescent="0.25">
      <c r="A94" s="96" t="s">
        <v>102</v>
      </c>
      <c r="B94" s="96">
        <v>12</v>
      </c>
      <c r="C94" s="97">
        <v>540</v>
      </c>
      <c r="D94" s="97">
        <v>13238841</v>
      </c>
      <c r="E94" s="97">
        <v>588</v>
      </c>
      <c r="F94" s="97">
        <v>14427756</v>
      </c>
      <c r="G94" s="97">
        <f t="shared" si="4"/>
        <v>605</v>
      </c>
      <c r="H94" s="97" t="e">
        <f>G94*#REF!</f>
        <v>#REF!</v>
      </c>
      <c r="I94" s="97">
        <v>523</v>
      </c>
      <c r="J94" s="97">
        <v>11993763</v>
      </c>
      <c r="K94" s="90" t="s">
        <v>86</v>
      </c>
      <c r="L94" s="90" t="s">
        <v>451</v>
      </c>
      <c r="M94" s="90">
        <v>17760</v>
      </c>
      <c r="N94" s="100">
        <v>165499947.9716599</v>
      </c>
      <c r="O94" s="32"/>
      <c r="P94" s="32"/>
      <c r="Q94" s="33">
        <f t="shared" si="2"/>
        <v>0</v>
      </c>
      <c r="R94" s="100">
        <f t="shared" si="5"/>
        <v>775076.10000000149</v>
      </c>
      <c r="V94" s="90" t="s">
        <v>84</v>
      </c>
      <c r="W94" s="90" t="s">
        <v>451</v>
      </c>
      <c r="X94" s="90">
        <v>2074</v>
      </c>
      <c r="Y94" s="90">
        <v>93176574.174040407</v>
      </c>
    </row>
    <row r="95" spans="1:25" ht="15" x14ac:dyDescent="0.25">
      <c r="A95" s="96" t="s">
        <v>103</v>
      </c>
      <c r="B95" s="96">
        <v>12</v>
      </c>
      <c r="C95" s="97">
        <v>2454</v>
      </c>
      <c r="D95" s="97">
        <v>27075398</v>
      </c>
      <c r="E95" s="97">
        <v>342</v>
      </c>
      <c r="F95" s="97">
        <v>1333344</v>
      </c>
      <c r="G95" s="97">
        <f t="shared" si="4"/>
        <v>1829</v>
      </c>
      <c r="H95" s="97" t="e">
        <f>G95*#REF!</f>
        <v>#REF!</v>
      </c>
      <c r="I95" s="97">
        <v>967</v>
      </c>
      <c r="J95" s="97">
        <v>12558371</v>
      </c>
      <c r="K95" s="90" t="s">
        <v>88</v>
      </c>
      <c r="L95" s="90" t="s">
        <v>311</v>
      </c>
      <c r="M95" s="90">
        <v>164</v>
      </c>
      <c r="N95" s="100">
        <v>3526805.8</v>
      </c>
      <c r="O95" s="60">
        <v>778</v>
      </c>
      <c r="P95" s="56">
        <v>13852.02</v>
      </c>
      <c r="Q95" s="57">
        <f t="shared" si="2"/>
        <v>10776871.560000001</v>
      </c>
      <c r="R95" s="100">
        <f t="shared" si="5"/>
        <v>-3492596.92</v>
      </c>
      <c r="V95" s="90" t="s">
        <v>85</v>
      </c>
      <c r="W95" s="90" t="s">
        <v>393</v>
      </c>
      <c r="X95" s="90">
        <v>12424</v>
      </c>
      <c r="Y95" s="90">
        <v>126894480.04329674</v>
      </c>
    </row>
    <row r="96" spans="1:25" ht="15" x14ac:dyDescent="0.25">
      <c r="A96" s="96" t="s">
        <v>104</v>
      </c>
      <c r="B96" s="96">
        <v>12</v>
      </c>
      <c r="C96" s="97">
        <v>192</v>
      </c>
      <c r="D96" s="97">
        <v>3657528</v>
      </c>
      <c r="E96" s="97">
        <f>96+13</f>
        <v>109</v>
      </c>
      <c r="F96" s="97">
        <f>1866624-57543</f>
        <v>1809081</v>
      </c>
      <c r="G96" s="97">
        <f t="shared" si="4"/>
        <v>0</v>
      </c>
      <c r="H96" s="97">
        <f>J96-D96-F96</f>
        <v>0</v>
      </c>
      <c r="I96" s="97">
        <v>301</v>
      </c>
      <c r="J96" s="97">
        <v>5466609</v>
      </c>
      <c r="K96" s="90" t="s">
        <v>487</v>
      </c>
      <c r="L96" s="90" t="s">
        <v>311</v>
      </c>
      <c r="M96" s="90">
        <v>384</v>
      </c>
      <c r="N96" s="100">
        <v>8257886</v>
      </c>
      <c r="O96" s="60">
        <v>800</v>
      </c>
      <c r="P96" s="56">
        <v>345.95</v>
      </c>
      <c r="Q96" s="57">
        <f t="shared" si="2"/>
        <v>276760</v>
      </c>
      <c r="R96" s="100">
        <f t="shared" si="5"/>
        <v>285269.10000000056</v>
      </c>
      <c r="V96" s="90" t="s">
        <v>86</v>
      </c>
      <c r="W96" s="90" t="s">
        <v>451</v>
      </c>
      <c r="X96" s="90">
        <v>17760</v>
      </c>
      <c r="Y96" s="90">
        <v>165499947.9716599</v>
      </c>
    </row>
    <row r="97" spans="1:25" s="98" customFormat="1" ht="15" x14ac:dyDescent="0.25">
      <c r="A97" s="96" t="s">
        <v>105</v>
      </c>
      <c r="B97" s="96">
        <v>12</v>
      </c>
      <c r="C97" s="97">
        <v>258</v>
      </c>
      <c r="D97" s="97">
        <v>13370216</v>
      </c>
      <c r="E97" s="97">
        <v>174</v>
      </c>
      <c r="F97" s="97">
        <v>9263934</v>
      </c>
      <c r="G97" s="97">
        <f t="shared" si="4"/>
        <v>400</v>
      </c>
      <c r="H97" s="97" t="e">
        <f>G97*#REF!</f>
        <v>#REF!</v>
      </c>
      <c r="I97" s="97">
        <v>32</v>
      </c>
      <c r="J97" s="97">
        <v>1571816</v>
      </c>
      <c r="K97" s="98" t="s">
        <v>89</v>
      </c>
      <c r="L97" s="98" t="s">
        <v>393</v>
      </c>
      <c r="M97" s="98">
        <v>444</v>
      </c>
      <c r="N97" s="99">
        <v>10992000.16</v>
      </c>
      <c r="O97" s="55">
        <v>26074</v>
      </c>
      <c r="P97" s="56">
        <v>5194.8599999999997</v>
      </c>
      <c r="Q97" s="57">
        <f t="shared" si="2"/>
        <v>135450779.63999999</v>
      </c>
      <c r="R97" s="99">
        <f t="shared" si="5"/>
        <v>78405.800000000047</v>
      </c>
      <c r="T97" s="99"/>
      <c r="V97" s="98" t="s">
        <v>88</v>
      </c>
      <c r="W97" s="98" t="s">
        <v>311</v>
      </c>
      <c r="X97" s="98">
        <v>164</v>
      </c>
      <c r="Y97" s="98">
        <v>3526805.8</v>
      </c>
    </row>
    <row r="98" spans="1:25" ht="15" x14ac:dyDescent="0.25">
      <c r="A98" s="96" t="s">
        <v>106</v>
      </c>
      <c r="B98" s="96">
        <v>12</v>
      </c>
      <c r="C98" s="97">
        <v>1512</v>
      </c>
      <c r="D98" s="97">
        <v>14292784</v>
      </c>
      <c r="E98" s="97">
        <v>192</v>
      </c>
      <c r="F98" s="97">
        <v>1866624</v>
      </c>
      <c r="G98" s="97">
        <f t="shared" si="4"/>
        <v>923</v>
      </c>
      <c r="H98" s="97" t="e">
        <f>G98*#REF!</f>
        <v>#REF!</v>
      </c>
      <c r="I98" s="97">
        <v>781</v>
      </c>
      <c r="J98" s="97">
        <v>7102932</v>
      </c>
      <c r="K98" s="90" t="s">
        <v>90</v>
      </c>
      <c r="L98" s="90" t="s">
        <v>393</v>
      </c>
      <c r="M98" s="90">
        <v>388.9</v>
      </c>
      <c r="N98" s="100">
        <v>58218125.757999994</v>
      </c>
      <c r="O98" s="60">
        <v>252</v>
      </c>
      <c r="P98" s="56">
        <v>13852.02</v>
      </c>
      <c r="Q98" s="57">
        <f t="shared" si="2"/>
        <v>3490709.04</v>
      </c>
      <c r="R98" s="100">
        <f t="shared" si="5"/>
        <v>294469.5700000003</v>
      </c>
      <c r="V98" s="90" t="s">
        <v>487</v>
      </c>
      <c r="W98" s="90" t="s">
        <v>311</v>
      </c>
      <c r="X98" s="90">
        <v>384</v>
      </c>
      <c r="Y98" s="90">
        <v>8257886</v>
      </c>
    </row>
    <row r="99" spans="1:25" ht="15" x14ac:dyDescent="0.25">
      <c r="A99" s="96" t="s">
        <v>107</v>
      </c>
      <c r="B99" s="96">
        <v>12</v>
      </c>
      <c r="C99" s="97">
        <v>1190</v>
      </c>
      <c r="D99" s="97">
        <v>4560276</v>
      </c>
      <c r="E99" s="97">
        <f>D99/C99</f>
        <v>3832.1647058823528</v>
      </c>
      <c r="F99" s="97">
        <v>0</v>
      </c>
      <c r="G99" s="97">
        <f>C99-I99</f>
        <v>532</v>
      </c>
      <c r="H99" s="97" t="e">
        <f>G99*#REF!</f>
        <v>#REF!</v>
      </c>
      <c r="I99" s="97">
        <v>658</v>
      </c>
      <c r="J99" s="97">
        <v>4560276</v>
      </c>
      <c r="K99" s="98" t="s">
        <v>91</v>
      </c>
      <c r="L99" s="98" t="s">
        <v>393</v>
      </c>
      <c r="M99" s="98">
        <v>1566</v>
      </c>
      <c r="N99" s="99">
        <v>15373846.102999998</v>
      </c>
      <c r="O99" s="60">
        <v>516</v>
      </c>
      <c r="P99" s="56">
        <v>14717.84</v>
      </c>
      <c r="Q99" s="57">
        <f t="shared" si="2"/>
        <v>7594405.4400000004</v>
      </c>
      <c r="R99" s="100">
        <f>J99-Q120</f>
        <v>-4927713.8000000007</v>
      </c>
      <c r="V99" s="90" t="s">
        <v>89</v>
      </c>
      <c r="W99" s="90" t="s">
        <v>393</v>
      </c>
      <c r="X99" s="90">
        <v>444</v>
      </c>
      <c r="Y99" s="90">
        <v>10992000.16</v>
      </c>
    </row>
    <row r="100" spans="1:25" ht="15" x14ac:dyDescent="0.25">
      <c r="A100" s="96" t="s">
        <v>108</v>
      </c>
      <c r="B100" s="96">
        <v>12</v>
      </c>
      <c r="C100" s="97">
        <v>46476</v>
      </c>
      <c r="D100" s="97">
        <v>335124139</v>
      </c>
      <c r="E100" s="97">
        <v>977</v>
      </c>
      <c r="F100" s="97" t="e">
        <f>E100*#REF!</f>
        <v>#REF!</v>
      </c>
      <c r="G100" s="97">
        <f>C100+E100-I100</f>
        <v>45413</v>
      </c>
      <c r="H100" s="97">
        <f>G100*7200</f>
        <v>326973600</v>
      </c>
      <c r="I100" s="97">
        <v>2040</v>
      </c>
      <c r="J100" s="97">
        <v>92742043</v>
      </c>
      <c r="K100" s="90" t="s">
        <v>92</v>
      </c>
      <c r="L100" s="90" t="s">
        <v>327</v>
      </c>
      <c r="M100" s="90">
        <v>34300</v>
      </c>
      <c r="N100" s="100">
        <v>13834679.269894738</v>
      </c>
      <c r="O100" s="32"/>
      <c r="P100" s="32"/>
      <c r="Q100" s="33">
        <f t="shared" si="2"/>
        <v>0</v>
      </c>
      <c r="R100" s="100">
        <f>J100-Q121</f>
        <v>-565756101.63999999</v>
      </c>
      <c r="V100" s="90" t="s">
        <v>90</v>
      </c>
      <c r="W100" s="90" t="s">
        <v>393</v>
      </c>
      <c r="X100" s="90">
        <v>388.9</v>
      </c>
      <c r="Y100" s="90">
        <v>58218125.757999994</v>
      </c>
    </row>
    <row r="101" spans="1:25" s="98" customFormat="1" ht="15" x14ac:dyDescent="0.25">
      <c r="A101" s="96" t="s">
        <v>109</v>
      </c>
      <c r="B101" s="96">
        <v>12</v>
      </c>
      <c r="C101" s="97">
        <v>48</v>
      </c>
      <c r="D101" s="97">
        <v>2333328</v>
      </c>
      <c r="E101" s="97">
        <f>I101-C101</f>
        <v>202</v>
      </c>
      <c r="F101" s="97">
        <v>1458330</v>
      </c>
      <c r="G101" s="97"/>
      <c r="H101" s="97"/>
      <c r="I101" s="97">
        <v>250</v>
      </c>
      <c r="J101" s="97">
        <v>3791658</v>
      </c>
      <c r="K101" s="90" t="s">
        <v>93</v>
      </c>
      <c r="L101" s="90" t="s">
        <v>393</v>
      </c>
      <c r="M101" s="90">
        <v>36</v>
      </c>
      <c r="N101" s="100">
        <v>1950810.72</v>
      </c>
      <c r="O101" s="32"/>
      <c r="P101" s="32"/>
      <c r="Q101" s="33">
        <f t="shared" si="2"/>
        <v>0</v>
      </c>
      <c r="R101" s="99"/>
      <c r="T101" s="99"/>
      <c r="V101" s="98" t="s">
        <v>91</v>
      </c>
      <c r="W101" s="98" t="s">
        <v>393</v>
      </c>
      <c r="X101" s="98">
        <v>1566</v>
      </c>
      <c r="Y101" s="98">
        <v>15373846.102999998</v>
      </c>
    </row>
    <row r="102" spans="1:25" ht="15" x14ac:dyDescent="0.25">
      <c r="A102" s="96" t="s">
        <v>110</v>
      </c>
      <c r="B102" s="96">
        <v>12</v>
      </c>
      <c r="C102" s="97">
        <v>864</v>
      </c>
      <c r="D102" s="97">
        <v>15351650</v>
      </c>
      <c r="E102" s="97">
        <v>684</v>
      </c>
      <c r="F102" s="97">
        <v>12350304</v>
      </c>
      <c r="G102" s="97">
        <f>C102+E102-I102</f>
        <v>1103</v>
      </c>
      <c r="H102" s="97" t="e">
        <f>G102*#REF!</f>
        <v>#REF!</v>
      </c>
      <c r="I102" s="97">
        <v>445</v>
      </c>
      <c r="J102" s="97">
        <v>7516034</v>
      </c>
      <c r="K102" s="90" t="s">
        <v>94</v>
      </c>
      <c r="L102" s="90" t="s">
        <v>393</v>
      </c>
      <c r="M102" s="90">
        <v>168</v>
      </c>
      <c r="N102" s="100">
        <v>1614283.3600000003</v>
      </c>
      <c r="O102" s="32"/>
      <c r="P102" s="32"/>
      <c r="Q102" s="33">
        <f t="shared" si="2"/>
        <v>0</v>
      </c>
      <c r="R102" s="100">
        <f>J102-Q110</f>
        <v>425442.79999999981</v>
      </c>
      <c r="V102" s="90" t="s">
        <v>92</v>
      </c>
      <c r="W102" s="90" t="s">
        <v>327</v>
      </c>
      <c r="X102" s="90">
        <v>34300</v>
      </c>
      <c r="Y102" s="90">
        <v>13834679.269894738</v>
      </c>
    </row>
    <row r="103" spans="1:25" ht="15" x14ac:dyDescent="0.25">
      <c r="A103" s="96" t="s">
        <v>111</v>
      </c>
      <c r="B103" s="96">
        <v>12</v>
      </c>
      <c r="C103" s="97">
        <v>7094</v>
      </c>
      <c r="D103" s="97">
        <v>57800393</v>
      </c>
      <c r="E103" s="97">
        <v>7800</v>
      </c>
      <c r="F103" s="97">
        <v>63554400</v>
      </c>
      <c r="G103" s="97">
        <f>C103+E103-I103</f>
        <v>13333</v>
      </c>
      <c r="H103" s="97" t="e">
        <f>G103*#REF!</f>
        <v>#REF!</v>
      </c>
      <c r="I103" s="97">
        <v>1561</v>
      </c>
      <c r="J103" s="97">
        <v>11895931</v>
      </c>
      <c r="K103" s="90" t="s">
        <v>475</v>
      </c>
      <c r="L103" s="90" t="s">
        <v>393</v>
      </c>
      <c r="M103" s="90">
        <v>48</v>
      </c>
      <c r="N103" s="100">
        <v>1189318</v>
      </c>
      <c r="O103" s="60">
        <v>2024</v>
      </c>
      <c r="P103" s="56">
        <v>6925.54</v>
      </c>
      <c r="Q103" s="57">
        <f t="shared" si="2"/>
        <v>14017292.959999999</v>
      </c>
      <c r="R103" s="100">
        <f>J103-Q140</f>
        <v>773096.19999999925</v>
      </c>
      <c r="V103" s="90" t="s">
        <v>93</v>
      </c>
      <c r="W103" s="90" t="s">
        <v>393</v>
      </c>
      <c r="X103" s="90">
        <v>36</v>
      </c>
      <c r="Y103" s="90">
        <v>1950810.72</v>
      </c>
    </row>
    <row r="104" spans="1:25" ht="15" x14ac:dyDescent="0.25">
      <c r="A104" s="96" t="s">
        <v>112</v>
      </c>
      <c r="B104" s="96">
        <v>12</v>
      </c>
      <c r="C104" s="97">
        <v>2500</v>
      </c>
      <c r="D104" s="97">
        <v>20355350</v>
      </c>
      <c r="E104" s="97">
        <v>1320</v>
      </c>
      <c r="F104" s="97">
        <v>10755360</v>
      </c>
      <c r="G104" s="97">
        <f>C104+E104-I104</f>
        <v>2890</v>
      </c>
      <c r="H104" s="97" t="e">
        <f>G104*#REF!</f>
        <v>#REF!</v>
      </c>
      <c r="I104" s="97">
        <v>930</v>
      </c>
      <c r="J104" s="97">
        <v>7085423</v>
      </c>
      <c r="K104" s="90" t="s">
        <v>478</v>
      </c>
      <c r="L104" s="90" t="s">
        <v>393</v>
      </c>
      <c r="M104" s="90">
        <v>54</v>
      </c>
      <c r="N104" s="100">
        <v>2903190.02</v>
      </c>
      <c r="O104" s="60">
        <v>744</v>
      </c>
      <c r="P104" s="56">
        <v>7272.43</v>
      </c>
      <c r="Q104" s="57">
        <f t="shared" si="2"/>
        <v>5410687.9199999999</v>
      </c>
      <c r="R104" s="100">
        <f>J104-Q139</f>
        <v>457432.39999999944</v>
      </c>
      <c r="V104" s="90" t="s">
        <v>94</v>
      </c>
      <c r="W104" s="90" t="s">
        <v>393</v>
      </c>
      <c r="X104" s="90">
        <v>168</v>
      </c>
      <c r="Y104" s="90">
        <v>1614283.3600000003</v>
      </c>
    </row>
    <row r="105" spans="1:25" ht="15" x14ac:dyDescent="0.25">
      <c r="A105" s="96" t="s">
        <v>113</v>
      </c>
      <c r="B105" s="96">
        <v>12</v>
      </c>
      <c r="C105" s="97">
        <v>240</v>
      </c>
      <c r="D105" s="97">
        <v>3935440</v>
      </c>
      <c r="E105" s="97">
        <f>72+18</f>
        <v>90</v>
      </c>
      <c r="F105" s="97">
        <v>1200024</v>
      </c>
      <c r="G105" s="97"/>
      <c r="H105" s="97"/>
      <c r="I105" s="97">
        <v>330</v>
      </c>
      <c r="J105" s="97">
        <v>5135464</v>
      </c>
      <c r="K105" s="90" t="s">
        <v>107</v>
      </c>
      <c r="L105" s="90" t="s">
        <v>393</v>
      </c>
      <c r="M105" s="90">
        <v>504</v>
      </c>
      <c r="N105" s="100">
        <v>4034563.04</v>
      </c>
      <c r="O105" s="60">
        <v>9318</v>
      </c>
      <c r="P105" s="56">
        <v>29434.74</v>
      </c>
      <c r="Q105" s="57">
        <f t="shared" si="2"/>
        <v>274272907.31999999</v>
      </c>
      <c r="V105" s="90" t="s">
        <v>475</v>
      </c>
      <c r="W105" s="90" t="s">
        <v>393</v>
      </c>
      <c r="X105" s="90">
        <v>48</v>
      </c>
      <c r="Y105" s="90">
        <v>1189318</v>
      </c>
    </row>
    <row r="106" spans="1:25" s="98" customFormat="1" ht="15" x14ac:dyDescent="0.25">
      <c r="A106" s="96" t="s">
        <v>114</v>
      </c>
      <c r="B106" s="96">
        <v>12</v>
      </c>
      <c r="C106" s="97">
        <v>192</v>
      </c>
      <c r="D106" s="97">
        <v>3650221</v>
      </c>
      <c r="E106" s="97">
        <f>72+11</f>
        <v>83</v>
      </c>
      <c r="F106" s="97">
        <v>1342579</v>
      </c>
      <c r="G106" s="97">
        <f>J106-F106-D106</f>
        <v>0</v>
      </c>
      <c r="H106" s="97">
        <f>D106+F106</f>
        <v>4992800</v>
      </c>
      <c r="I106" s="97">
        <v>275</v>
      </c>
      <c r="J106" s="97">
        <v>4992800</v>
      </c>
      <c r="K106" s="98" t="s">
        <v>481</v>
      </c>
      <c r="L106" s="98" t="s">
        <v>393</v>
      </c>
      <c r="M106" s="98">
        <v>78</v>
      </c>
      <c r="N106" s="99">
        <v>3828815</v>
      </c>
      <c r="O106" s="60">
        <v>15053</v>
      </c>
      <c r="P106" s="56">
        <v>8657.17</v>
      </c>
      <c r="Q106" s="57">
        <f t="shared" si="2"/>
        <v>130316380.01000001</v>
      </c>
      <c r="R106" s="99">
        <f>J106-Q141</f>
        <v>247783.45999999996</v>
      </c>
      <c r="T106" s="99"/>
      <c r="V106" s="98" t="s">
        <v>478</v>
      </c>
      <c r="W106" s="98" t="s">
        <v>393</v>
      </c>
      <c r="X106" s="98">
        <v>54</v>
      </c>
      <c r="Y106" s="98">
        <v>2903190.02</v>
      </c>
    </row>
    <row r="107" spans="1:25" ht="15" x14ac:dyDescent="0.25">
      <c r="A107" s="96" t="s">
        <v>115</v>
      </c>
      <c r="B107" s="96">
        <v>12</v>
      </c>
      <c r="C107" s="97">
        <v>4325</v>
      </c>
      <c r="D107" s="97">
        <v>27997920</v>
      </c>
      <c r="E107" s="97">
        <v>2412</v>
      </c>
      <c r="F107" s="97">
        <v>15554400</v>
      </c>
      <c r="G107" s="97">
        <f>C107+E107-I107</f>
        <v>4660</v>
      </c>
      <c r="H107" s="97" t="e">
        <f>G107*#REF!</f>
        <v>#REF!</v>
      </c>
      <c r="I107" s="97">
        <v>2077</v>
      </c>
      <c r="J107" s="97">
        <v>12586666</v>
      </c>
      <c r="K107" s="90" t="s">
        <v>108</v>
      </c>
      <c r="L107" s="90" t="s">
        <v>393</v>
      </c>
      <c r="M107" s="90">
        <v>5108</v>
      </c>
      <c r="N107" s="100">
        <v>37838097.556539111</v>
      </c>
      <c r="O107" s="60">
        <v>47727</v>
      </c>
      <c r="P107" s="56">
        <v>6925.54</v>
      </c>
      <c r="Q107" s="57">
        <f t="shared" si="2"/>
        <v>330535247.57999998</v>
      </c>
      <c r="R107" s="100">
        <f t="shared" ref="R107:R114" si="6">J107-Q143</f>
        <v>788352.22000000067</v>
      </c>
      <c r="V107" s="90" t="s">
        <v>107</v>
      </c>
      <c r="W107" s="90" t="s">
        <v>393</v>
      </c>
      <c r="X107" s="90">
        <v>504</v>
      </c>
      <c r="Y107" s="90">
        <v>4034563.04</v>
      </c>
    </row>
    <row r="108" spans="1:25" ht="15" x14ac:dyDescent="0.25">
      <c r="A108" s="96" t="s">
        <v>116</v>
      </c>
      <c r="B108" s="96">
        <v>12</v>
      </c>
      <c r="C108" s="97">
        <v>4565</v>
      </c>
      <c r="D108" s="97">
        <v>92887200</v>
      </c>
      <c r="E108" s="97">
        <v>0</v>
      </c>
      <c r="F108" s="97">
        <v>0</v>
      </c>
      <c r="G108" s="97">
        <f>C108-I108</f>
        <v>2461</v>
      </c>
      <c r="H108" s="97" t="e">
        <f>G108*#REF!</f>
        <v>#REF!</v>
      </c>
      <c r="I108" s="97">
        <v>2104</v>
      </c>
      <c r="J108" s="97">
        <v>40064600</v>
      </c>
      <c r="K108" s="90" t="s">
        <v>483</v>
      </c>
      <c r="L108" s="90" t="s">
        <v>393</v>
      </c>
      <c r="M108" s="90">
        <v>252</v>
      </c>
      <c r="N108" s="100">
        <v>4073762.04</v>
      </c>
      <c r="O108" s="60">
        <v>2810</v>
      </c>
      <c r="P108" s="56">
        <v>16882.36</v>
      </c>
      <c r="Q108" s="57">
        <f t="shared" si="2"/>
        <v>47439431.600000001</v>
      </c>
      <c r="R108" s="100">
        <f t="shared" si="6"/>
        <v>2563124.4499999955</v>
      </c>
      <c r="V108" s="90" t="s">
        <v>481</v>
      </c>
      <c r="W108" s="90" t="s">
        <v>393</v>
      </c>
      <c r="X108" s="90">
        <v>78</v>
      </c>
      <c r="Y108" s="90">
        <v>3828815</v>
      </c>
    </row>
    <row r="109" spans="1:25" ht="15" x14ac:dyDescent="0.25">
      <c r="A109" s="96" t="s">
        <v>117</v>
      </c>
      <c r="B109" s="96">
        <v>12</v>
      </c>
      <c r="C109" s="97">
        <v>336</v>
      </c>
      <c r="D109" s="97">
        <v>5841722</v>
      </c>
      <c r="E109" s="97">
        <v>312</v>
      </c>
      <c r="F109" s="97">
        <v>5489016</v>
      </c>
      <c r="G109" s="97">
        <f t="shared" ref="G109:G114" si="7">C109+E109-I109</f>
        <v>148</v>
      </c>
      <c r="H109" s="97" t="e">
        <f>G109*#REF!</f>
        <v>#REF!</v>
      </c>
      <c r="I109" s="97">
        <v>500</v>
      </c>
      <c r="J109" s="97">
        <v>8218282</v>
      </c>
      <c r="K109" s="90" t="s">
        <v>95</v>
      </c>
      <c r="L109" s="90" t="s">
        <v>451</v>
      </c>
      <c r="M109" s="90">
        <v>78</v>
      </c>
      <c r="N109" s="100">
        <v>654635.29800000088</v>
      </c>
      <c r="O109" s="60">
        <v>644</v>
      </c>
      <c r="P109" s="56">
        <v>41988.04</v>
      </c>
      <c r="Q109" s="57">
        <f t="shared" si="2"/>
        <v>27040297.760000002</v>
      </c>
      <c r="R109" s="100">
        <f t="shared" si="6"/>
        <v>487035.80000000075</v>
      </c>
      <c r="V109" s="90" t="s">
        <v>108</v>
      </c>
      <c r="W109" s="90" t="s">
        <v>393</v>
      </c>
      <c r="X109" s="90">
        <v>5108</v>
      </c>
      <c r="Y109" s="90">
        <v>37838097.556539111</v>
      </c>
    </row>
    <row r="110" spans="1:25" ht="15" x14ac:dyDescent="0.25">
      <c r="A110" s="96" t="s">
        <v>118</v>
      </c>
      <c r="B110" s="96">
        <v>12</v>
      </c>
      <c r="C110" s="97">
        <v>612</v>
      </c>
      <c r="D110" s="97">
        <v>25119032</v>
      </c>
      <c r="E110" s="97">
        <f>84+133+C110</f>
        <v>829</v>
      </c>
      <c r="F110" s="97">
        <v>3500028</v>
      </c>
      <c r="G110" s="97">
        <f t="shared" si="7"/>
        <v>612</v>
      </c>
      <c r="H110" s="97">
        <f>D110+F110-J110</f>
        <v>16776690</v>
      </c>
      <c r="I110" s="97">
        <v>829</v>
      </c>
      <c r="J110" s="97">
        <v>11842370</v>
      </c>
      <c r="K110" s="90" t="s">
        <v>96</v>
      </c>
      <c r="L110" s="90" t="s">
        <v>395</v>
      </c>
      <c r="M110" s="90">
        <v>340</v>
      </c>
      <c r="N110" s="100">
        <v>39870081.299999997</v>
      </c>
      <c r="O110" s="60">
        <v>420</v>
      </c>
      <c r="P110" s="56">
        <v>16882.36</v>
      </c>
      <c r="Q110" s="57">
        <f t="shared" si="2"/>
        <v>7090591.2000000002</v>
      </c>
      <c r="R110" s="100">
        <f t="shared" si="6"/>
        <v>7728310.1600000001</v>
      </c>
      <c r="V110" s="90" t="s">
        <v>483</v>
      </c>
      <c r="W110" s="90" t="s">
        <v>393</v>
      </c>
      <c r="X110" s="90">
        <v>252</v>
      </c>
      <c r="Y110" s="90">
        <v>4073762.04</v>
      </c>
    </row>
    <row r="111" spans="1:25" ht="15" x14ac:dyDescent="0.25">
      <c r="A111" s="96" t="s">
        <v>119</v>
      </c>
      <c r="B111" s="96">
        <v>12</v>
      </c>
      <c r="C111" s="97">
        <v>320</v>
      </c>
      <c r="D111" s="97">
        <v>7371274</v>
      </c>
      <c r="E111" s="97">
        <v>160</v>
      </c>
      <c r="F111" s="97">
        <v>3703680</v>
      </c>
      <c r="G111" s="97">
        <f t="shared" si="7"/>
        <v>203</v>
      </c>
      <c r="H111" s="97">
        <f>D111+F111-J111</f>
        <v>5076021</v>
      </c>
      <c r="I111" s="97">
        <v>277</v>
      </c>
      <c r="J111" s="97">
        <v>5998933</v>
      </c>
      <c r="K111" s="90" t="s">
        <v>490</v>
      </c>
      <c r="L111" s="90" t="s">
        <v>393</v>
      </c>
      <c r="M111" s="90">
        <v>24</v>
      </c>
      <c r="N111" s="100">
        <v>235608</v>
      </c>
      <c r="O111" s="60">
        <v>444</v>
      </c>
      <c r="P111" s="56">
        <v>22942.1</v>
      </c>
      <c r="Q111" s="57">
        <f t="shared" si="2"/>
        <v>10186292.399999999</v>
      </c>
      <c r="R111" s="100">
        <f t="shared" si="6"/>
        <v>371654.20000000019</v>
      </c>
      <c r="V111" s="90" t="s">
        <v>95</v>
      </c>
      <c r="W111" s="90" t="s">
        <v>451</v>
      </c>
      <c r="X111" s="90">
        <v>78</v>
      </c>
      <c r="Y111" s="90">
        <v>654635.29800000088</v>
      </c>
    </row>
    <row r="112" spans="1:25" ht="15" x14ac:dyDescent="0.25">
      <c r="A112" s="96" t="s">
        <v>120</v>
      </c>
      <c r="B112" s="96">
        <v>12</v>
      </c>
      <c r="C112" s="97">
        <v>120</v>
      </c>
      <c r="D112" s="97">
        <v>2654520</v>
      </c>
      <c r="E112" s="97">
        <v>80</v>
      </c>
      <c r="F112" s="97">
        <v>1777760</v>
      </c>
      <c r="G112" s="97">
        <f t="shared" si="7"/>
        <v>115</v>
      </c>
      <c r="H112" s="97">
        <f>D112+F112-J112</f>
        <v>2659368</v>
      </c>
      <c r="I112" s="97">
        <v>85</v>
      </c>
      <c r="J112" s="97">
        <v>1772912</v>
      </c>
      <c r="K112" s="90" t="s">
        <v>97</v>
      </c>
      <c r="L112" s="90" t="s">
        <v>327</v>
      </c>
      <c r="M112" s="90">
        <v>40300</v>
      </c>
      <c r="N112" s="100">
        <v>18497700</v>
      </c>
      <c r="O112" s="60">
        <v>539</v>
      </c>
      <c r="P112" s="56">
        <v>49780.34</v>
      </c>
      <c r="Q112" s="57">
        <f t="shared" si="2"/>
        <v>26831603.259999998</v>
      </c>
      <c r="R112" s="100">
        <f t="shared" si="6"/>
        <v>110706.39999999991</v>
      </c>
      <c r="V112" s="90" t="s">
        <v>96</v>
      </c>
      <c r="W112" s="90" t="s">
        <v>395</v>
      </c>
      <c r="X112" s="90">
        <v>340</v>
      </c>
      <c r="Y112" s="90">
        <v>39870081.299999997</v>
      </c>
    </row>
    <row r="113" spans="1:25" ht="15" x14ac:dyDescent="0.25">
      <c r="A113" s="96" t="s">
        <v>121</v>
      </c>
      <c r="B113" s="96">
        <v>12</v>
      </c>
      <c r="C113" s="97">
        <v>2652</v>
      </c>
      <c r="D113" s="97">
        <v>31770271</v>
      </c>
      <c r="E113" s="97">
        <v>3648</v>
      </c>
      <c r="F113" s="97">
        <v>43333200</v>
      </c>
      <c r="G113" s="97">
        <f t="shared" si="7"/>
        <v>3192</v>
      </c>
      <c r="H113" s="97">
        <f>D113+F113-J113</f>
        <v>40126712</v>
      </c>
      <c r="I113" s="97">
        <v>3108</v>
      </c>
      <c r="J113" s="97">
        <v>34976759</v>
      </c>
      <c r="K113" s="90" t="s">
        <v>98</v>
      </c>
      <c r="L113" s="90" t="s">
        <v>393</v>
      </c>
      <c r="M113" s="90">
        <v>738</v>
      </c>
      <c r="N113" s="100">
        <v>7704698.8399999999</v>
      </c>
      <c r="O113" s="60">
        <v>5847</v>
      </c>
      <c r="P113" s="56">
        <v>9090.07</v>
      </c>
      <c r="Q113" s="57">
        <f t="shared" si="2"/>
        <v>53149639.289999999</v>
      </c>
      <c r="R113" s="100">
        <f t="shared" si="6"/>
        <v>1955762.5999999978</v>
      </c>
      <c r="V113" s="90" t="s">
        <v>490</v>
      </c>
      <c r="W113" s="90" t="s">
        <v>393</v>
      </c>
      <c r="X113" s="90">
        <v>24</v>
      </c>
      <c r="Y113" s="90">
        <v>235608</v>
      </c>
    </row>
    <row r="114" spans="1:25" ht="15" x14ac:dyDescent="0.25">
      <c r="A114" s="96" t="s">
        <v>122</v>
      </c>
      <c r="B114" s="96">
        <v>12</v>
      </c>
      <c r="C114" s="97">
        <v>4685</v>
      </c>
      <c r="D114" s="97">
        <v>40734720</v>
      </c>
      <c r="E114" s="97">
        <v>2400</v>
      </c>
      <c r="F114" s="97">
        <v>20889600</v>
      </c>
      <c r="G114" s="97">
        <f t="shared" si="7"/>
        <v>6911</v>
      </c>
      <c r="H114" s="97">
        <f>D114+F114-J114</f>
        <v>60206569</v>
      </c>
      <c r="I114" s="97">
        <v>174</v>
      </c>
      <c r="J114" s="97">
        <v>1417751</v>
      </c>
      <c r="K114" s="90" t="s">
        <v>99</v>
      </c>
      <c r="L114" s="90" t="s">
        <v>393</v>
      </c>
      <c r="M114" s="90">
        <v>172</v>
      </c>
      <c r="N114" s="100">
        <v>1077544.2</v>
      </c>
      <c r="O114" s="60">
        <v>38000</v>
      </c>
      <c r="P114" s="56">
        <v>459.08</v>
      </c>
      <c r="Q114" s="57">
        <f t="shared" si="2"/>
        <v>17445040</v>
      </c>
      <c r="R114" s="100">
        <f t="shared" si="6"/>
        <v>91217.880000000121</v>
      </c>
      <c r="V114" s="90" t="s">
        <v>97</v>
      </c>
      <c r="W114" s="90" t="s">
        <v>327</v>
      </c>
      <c r="X114" s="90">
        <v>40300</v>
      </c>
      <c r="Y114" s="90">
        <v>18497700</v>
      </c>
    </row>
    <row r="115" spans="1:25" ht="15" x14ac:dyDescent="0.25">
      <c r="A115" s="104" t="s">
        <v>123</v>
      </c>
      <c r="B115" s="104">
        <v>12</v>
      </c>
      <c r="C115" s="105">
        <v>216</v>
      </c>
      <c r="D115" s="105">
        <v>3755160</v>
      </c>
      <c r="E115" s="105">
        <v>36</v>
      </c>
      <c r="F115" s="105">
        <v>666684</v>
      </c>
      <c r="G115" s="105">
        <v>120</v>
      </c>
      <c r="H115" s="105">
        <v>2105640</v>
      </c>
      <c r="I115" s="105">
        <v>132</v>
      </c>
      <c r="J115" s="105">
        <v>2316204</v>
      </c>
      <c r="K115" s="90" t="s">
        <v>100</v>
      </c>
      <c r="L115" s="90" t="s">
        <v>393</v>
      </c>
      <c r="M115" s="90">
        <v>465</v>
      </c>
      <c r="N115" s="100">
        <v>42995478.350000001</v>
      </c>
      <c r="O115" s="60">
        <v>168</v>
      </c>
      <c r="P115" s="56">
        <v>9090.07</v>
      </c>
      <c r="Q115" s="57">
        <f t="shared" si="2"/>
        <v>1527131.76</v>
      </c>
      <c r="V115" s="90" t="s">
        <v>98</v>
      </c>
      <c r="W115" s="90" t="s">
        <v>393</v>
      </c>
      <c r="X115" s="90">
        <v>738</v>
      </c>
      <c r="Y115" s="90">
        <v>7704698.8399999999</v>
      </c>
    </row>
    <row r="116" spans="1:25" ht="15" x14ac:dyDescent="0.25">
      <c r="A116" s="104" t="s">
        <v>124</v>
      </c>
      <c r="B116" s="104">
        <v>12</v>
      </c>
      <c r="C116" s="105">
        <v>72</v>
      </c>
      <c r="D116" s="105">
        <v>1333368</v>
      </c>
      <c r="E116" s="105">
        <v>36</v>
      </c>
      <c r="F116" s="105">
        <v>666684</v>
      </c>
      <c r="G116" s="105">
        <v>100</v>
      </c>
      <c r="H116" s="105">
        <v>1851900</v>
      </c>
      <c r="I116" s="105">
        <v>8</v>
      </c>
      <c r="J116" s="105">
        <v>148152</v>
      </c>
      <c r="K116" s="90" t="s">
        <v>101</v>
      </c>
      <c r="L116" s="90" t="s">
        <v>393</v>
      </c>
      <c r="M116" s="90">
        <v>1622</v>
      </c>
      <c r="N116" s="100">
        <v>15923619.518414298</v>
      </c>
      <c r="O116" s="60">
        <v>36</v>
      </c>
      <c r="P116" s="56">
        <v>49780.34</v>
      </c>
      <c r="Q116" s="57">
        <f t="shared" si="2"/>
        <v>1792092.2399999998</v>
      </c>
      <c r="V116" s="90" t="s">
        <v>99</v>
      </c>
      <c r="W116" s="90" t="s">
        <v>393</v>
      </c>
      <c r="X116" s="90">
        <v>172</v>
      </c>
      <c r="Y116" s="90">
        <v>1077544.2</v>
      </c>
    </row>
    <row r="117" spans="1:25" ht="15" x14ac:dyDescent="0.25">
      <c r="A117" s="96" t="s">
        <v>125</v>
      </c>
      <c r="B117" s="96">
        <v>12</v>
      </c>
      <c r="C117" s="97">
        <v>944</v>
      </c>
      <c r="D117" s="97">
        <v>42152428</v>
      </c>
      <c r="E117" s="97">
        <v>840</v>
      </c>
      <c r="F117" s="97">
        <v>37721880</v>
      </c>
      <c r="G117" s="97">
        <f>C117+E117-I117</f>
        <v>1097</v>
      </c>
      <c r="H117" s="97" t="e">
        <f>G117*#REF!</f>
        <v>#REF!</v>
      </c>
      <c r="I117" s="97">
        <v>687</v>
      </c>
      <c r="J117" s="97">
        <v>28833551</v>
      </c>
      <c r="K117" s="90" t="s">
        <v>102</v>
      </c>
      <c r="L117" s="90" t="s">
        <v>393</v>
      </c>
      <c r="M117" s="90">
        <v>465</v>
      </c>
      <c r="N117" s="100">
        <v>11521289.82</v>
      </c>
      <c r="O117" s="32"/>
      <c r="P117" s="32"/>
      <c r="Q117" s="33">
        <f t="shared" si="2"/>
        <v>0</v>
      </c>
      <c r="R117" s="100">
        <f>J117-Q109</f>
        <v>1793253.2399999984</v>
      </c>
      <c r="V117" s="90" t="s">
        <v>100</v>
      </c>
      <c r="W117" s="90" t="s">
        <v>393</v>
      </c>
      <c r="X117" s="90">
        <v>465</v>
      </c>
      <c r="Y117" s="90">
        <v>42995478.350000001</v>
      </c>
    </row>
    <row r="118" spans="1:25" ht="15" x14ac:dyDescent="0.25">
      <c r="A118" s="96" t="s">
        <v>126</v>
      </c>
      <c r="B118" s="96">
        <v>12</v>
      </c>
      <c r="C118" s="97">
        <v>33073</v>
      </c>
      <c r="D118" s="97">
        <v>182697004</v>
      </c>
      <c r="E118" s="97">
        <v>44511</v>
      </c>
      <c r="F118" s="97">
        <v>248485800</v>
      </c>
      <c r="G118" s="97">
        <f>C118+E118-I118</f>
        <v>45992</v>
      </c>
      <c r="H118" s="97">
        <f>D118+F118-J118</f>
        <v>258882160</v>
      </c>
      <c r="I118" s="97">
        <v>31592</v>
      </c>
      <c r="J118" s="97">
        <v>172300644</v>
      </c>
      <c r="K118" s="90" t="s">
        <v>496</v>
      </c>
      <c r="L118" s="90" t="s">
        <v>393</v>
      </c>
      <c r="M118" s="90">
        <v>144</v>
      </c>
      <c r="N118" s="100">
        <v>1056893</v>
      </c>
      <c r="O118" s="32"/>
      <c r="P118" s="32"/>
      <c r="Q118" s="33">
        <f t="shared" si="2"/>
        <v>0</v>
      </c>
      <c r="R118" s="100">
        <f>J118-Q156</f>
        <v>-13534181.639999986</v>
      </c>
      <c r="V118" s="90" t="s">
        <v>101</v>
      </c>
      <c r="W118" s="90" t="s">
        <v>393</v>
      </c>
      <c r="X118" s="90">
        <v>1622</v>
      </c>
      <c r="Y118" s="90">
        <v>15923619.518414298</v>
      </c>
    </row>
    <row r="119" spans="1:25" ht="15" x14ac:dyDescent="0.25">
      <c r="A119" s="96" t="s">
        <v>127</v>
      </c>
      <c r="B119" s="96">
        <v>12</v>
      </c>
      <c r="C119" s="97">
        <v>6123</v>
      </c>
      <c r="D119" s="97">
        <v>34229824</v>
      </c>
      <c r="E119" s="97">
        <v>2760</v>
      </c>
      <c r="F119" s="97">
        <v>16099080</v>
      </c>
      <c r="G119" s="97">
        <f>C119+E119-I119</f>
        <v>6324</v>
      </c>
      <c r="H119" s="97">
        <f>D119+F119-J119</f>
        <v>36374149</v>
      </c>
      <c r="I119" s="97">
        <v>2559</v>
      </c>
      <c r="J119" s="97">
        <v>13954755</v>
      </c>
      <c r="K119" s="113" t="s">
        <v>103</v>
      </c>
      <c r="L119" s="113" t="s">
        <v>393</v>
      </c>
      <c r="M119" s="113">
        <v>56</v>
      </c>
      <c r="N119" s="114">
        <v>783448.44</v>
      </c>
      <c r="O119" s="32"/>
      <c r="P119" s="32"/>
      <c r="Q119" s="33">
        <f t="shared" si="2"/>
        <v>0</v>
      </c>
      <c r="R119" s="100">
        <f>J119-Q157</f>
        <v>521897.8200000003</v>
      </c>
      <c r="V119" s="90" t="s">
        <v>102</v>
      </c>
      <c r="W119" s="90" t="s">
        <v>393</v>
      </c>
      <c r="X119" s="90">
        <v>465</v>
      </c>
      <c r="Y119" s="90">
        <v>11521289.82</v>
      </c>
    </row>
    <row r="120" spans="1:25" ht="15" x14ac:dyDescent="0.25">
      <c r="A120" s="96" t="s">
        <v>128</v>
      </c>
      <c r="B120" s="96">
        <v>12</v>
      </c>
      <c r="C120" s="97">
        <v>374</v>
      </c>
      <c r="D120" s="97">
        <v>5702198</v>
      </c>
      <c r="E120" s="97">
        <v>200</v>
      </c>
      <c r="F120" s="97">
        <v>3055600</v>
      </c>
      <c r="G120" s="97">
        <f>C120+E120-I120</f>
        <v>89</v>
      </c>
      <c r="H120" s="97">
        <f>D120+F120-J120</f>
        <v>1830899</v>
      </c>
      <c r="I120" s="97">
        <v>485</v>
      </c>
      <c r="J120" s="97">
        <v>6926899</v>
      </c>
      <c r="K120" s="90" t="s">
        <v>104</v>
      </c>
      <c r="L120" s="90" t="s">
        <v>393</v>
      </c>
      <c r="M120" s="90">
        <v>285</v>
      </c>
      <c r="N120" s="100">
        <v>5540561.4000000004</v>
      </c>
      <c r="O120" s="55">
        <v>1370</v>
      </c>
      <c r="P120" s="56">
        <v>6925.54</v>
      </c>
      <c r="Q120" s="57">
        <f t="shared" si="2"/>
        <v>9487989.8000000007</v>
      </c>
      <c r="R120" s="100">
        <f>J120-Q158</f>
        <v>441540.78000000026</v>
      </c>
      <c r="V120" s="90" t="s">
        <v>496</v>
      </c>
      <c r="W120" s="90" t="s">
        <v>393</v>
      </c>
      <c r="X120" s="90">
        <v>144</v>
      </c>
      <c r="Y120" s="90">
        <v>1056893</v>
      </c>
    </row>
    <row r="121" spans="1:25" s="113" customFormat="1" ht="15" x14ac:dyDescent="0.25">
      <c r="A121" s="104" t="s">
        <v>129</v>
      </c>
      <c r="B121" s="104">
        <v>12</v>
      </c>
      <c r="C121" s="105">
        <v>20</v>
      </c>
      <c r="D121" s="105">
        <v>685180</v>
      </c>
      <c r="E121" s="105">
        <v>0</v>
      </c>
      <c r="F121" s="105">
        <v>0</v>
      </c>
      <c r="G121" s="105">
        <v>5</v>
      </c>
      <c r="H121" s="105">
        <v>171295</v>
      </c>
      <c r="I121" s="105">
        <v>15</v>
      </c>
      <c r="J121" s="105">
        <v>513885</v>
      </c>
      <c r="K121" s="90" t="s">
        <v>105</v>
      </c>
      <c r="L121" s="90" t="s">
        <v>393</v>
      </c>
      <c r="M121" s="90">
        <v>30</v>
      </c>
      <c r="N121" s="100">
        <v>1493400</v>
      </c>
      <c r="O121" s="60">
        <v>14488</v>
      </c>
      <c r="P121" s="56">
        <v>45451.28</v>
      </c>
      <c r="Q121" s="57">
        <f t="shared" si="2"/>
        <v>658498144.63999999</v>
      </c>
      <c r="R121" s="114"/>
      <c r="T121" s="114"/>
      <c r="V121" s="113" t="s">
        <v>103</v>
      </c>
      <c r="W121" s="113" t="s">
        <v>393</v>
      </c>
      <c r="X121" s="113">
        <v>56</v>
      </c>
      <c r="Y121" s="113">
        <v>783448.44</v>
      </c>
    </row>
    <row r="122" spans="1:25" ht="15" x14ac:dyDescent="0.25">
      <c r="A122" s="96" t="s">
        <v>130</v>
      </c>
      <c r="B122" s="96">
        <v>12</v>
      </c>
      <c r="C122" s="97">
        <v>85</v>
      </c>
      <c r="D122" s="97">
        <v>4046541</v>
      </c>
      <c r="E122" s="97">
        <v>41</v>
      </c>
      <c r="F122" s="97">
        <v>1955085</v>
      </c>
      <c r="G122" s="97">
        <f>C122+E122-I122</f>
        <v>33</v>
      </c>
      <c r="H122" s="97">
        <f>G122*N122</f>
        <v>238467745.22999999</v>
      </c>
      <c r="I122" s="97">
        <v>93</v>
      </c>
      <c r="J122" s="97">
        <v>4096348</v>
      </c>
      <c r="K122" s="90" t="s">
        <v>106</v>
      </c>
      <c r="L122" s="90" t="s">
        <v>393</v>
      </c>
      <c r="M122" s="90">
        <v>749</v>
      </c>
      <c r="N122" s="100">
        <v>7226295.3099999996</v>
      </c>
      <c r="O122" s="60">
        <v>78</v>
      </c>
      <c r="P122" s="56">
        <v>15150.74</v>
      </c>
      <c r="Q122" s="57">
        <f t="shared" si="2"/>
        <v>1181757.72</v>
      </c>
      <c r="R122" s="100">
        <f>J122-Q53</f>
        <v>303006.6799999997</v>
      </c>
      <c r="V122" s="90" t="s">
        <v>104</v>
      </c>
      <c r="W122" s="90" t="s">
        <v>393</v>
      </c>
      <c r="X122" s="90">
        <v>285</v>
      </c>
      <c r="Y122" s="90">
        <v>5540561.4000000004</v>
      </c>
    </row>
    <row r="123" spans="1:25" ht="15" x14ac:dyDescent="0.25">
      <c r="A123" s="96" t="s">
        <v>131</v>
      </c>
      <c r="B123" s="96">
        <v>12</v>
      </c>
      <c r="C123" s="97">
        <v>70</v>
      </c>
      <c r="D123" s="97">
        <v>3488402</v>
      </c>
      <c r="E123" s="97">
        <v>16</v>
      </c>
      <c r="F123" s="97">
        <v>800000</v>
      </c>
      <c r="G123" s="97">
        <f>C123+E123-I123</f>
        <v>47</v>
      </c>
      <c r="H123" s="97">
        <f>G123*N123</f>
        <v>358797034.62</v>
      </c>
      <c r="I123" s="97">
        <v>39</v>
      </c>
      <c r="J123" s="97">
        <v>1795145</v>
      </c>
      <c r="K123" s="90" t="s">
        <v>110</v>
      </c>
      <c r="L123" s="90" t="s">
        <v>451</v>
      </c>
      <c r="M123" s="90">
        <v>420</v>
      </c>
      <c r="N123" s="100">
        <v>7633979.46</v>
      </c>
      <c r="O123" s="66">
        <v>78</v>
      </c>
      <c r="P123" s="67">
        <v>108650.74</v>
      </c>
      <c r="Q123" s="68">
        <f t="shared" si="2"/>
        <v>8474757.7200000007</v>
      </c>
      <c r="R123" s="100">
        <f>J123-Q54</f>
        <v>130145</v>
      </c>
      <c r="V123" s="90" t="s">
        <v>105</v>
      </c>
      <c r="W123" s="90" t="s">
        <v>393</v>
      </c>
      <c r="X123" s="90">
        <v>30</v>
      </c>
      <c r="Y123" s="90">
        <v>1493400</v>
      </c>
    </row>
    <row r="124" spans="1:25" ht="15" x14ac:dyDescent="0.25">
      <c r="A124" s="96" t="s">
        <v>132</v>
      </c>
      <c r="B124" s="96">
        <v>12</v>
      </c>
      <c r="C124" s="97">
        <v>98</v>
      </c>
      <c r="D124" s="97">
        <v>4356568</v>
      </c>
      <c r="E124" s="97">
        <v>255</v>
      </c>
      <c r="F124" s="97">
        <v>11333220</v>
      </c>
      <c r="G124" s="97">
        <f>C124+E124-I124</f>
        <v>296</v>
      </c>
      <c r="H124" s="97">
        <f>G124*N124</f>
        <v>3141352957.3600001</v>
      </c>
      <c r="I124" s="97">
        <v>57</v>
      </c>
      <c r="J124" s="97">
        <v>2356608</v>
      </c>
      <c r="K124" s="90" t="s">
        <v>111</v>
      </c>
      <c r="L124" s="90" t="s">
        <v>327</v>
      </c>
      <c r="M124" s="90">
        <v>1346</v>
      </c>
      <c r="N124" s="100">
        <v>10612678.91</v>
      </c>
      <c r="O124" s="60">
        <v>548</v>
      </c>
      <c r="P124" s="56">
        <v>19549.919999999998</v>
      </c>
      <c r="Q124" s="57">
        <f t="shared" si="2"/>
        <v>10713356.159999998</v>
      </c>
      <c r="R124" s="100">
        <f>J124-Q55</f>
        <v>177740.90000000037</v>
      </c>
      <c r="V124" s="90" t="s">
        <v>106</v>
      </c>
      <c r="W124" s="90" t="s">
        <v>393</v>
      </c>
      <c r="X124" s="90">
        <v>749</v>
      </c>
      <c r="Y124" s="90">
        <v>7226295.3099999996</v>
      </c>
    </row>
    <row r="125" spans="1:25" ht="15" x14ac:dyDescent="0.25">
      <c r="A125" s="96" t="s">
        <v>133</v>
      </c>
      <c r="B125" s="96">
        <v>12</v>
      </c>
      <c r="C125" s="97">
        <v>119</v>
      </c>
      <c r="D125" s="97">
        <v>4585298</v>
      </c>
      <c r="E125" s="97">
        <v>66</v>
      </c>
      <c r="F125" s="97">
        <v>2609254</v>
      </c>
      <c r="G125" s="97">
        <f>C125+E125-I125</f>
        <v>146</v>
      </c>
      <c r="H125" s="97">
        <f>G125*N125</f>
        <v>1097752285.4199998</v>
      </c>
      <c r="I125" s="97">
        <v>39</v>
      </c>
      <c r="J125" s="97">
        <v>1361131</v>
      </c>
      <c r="K125" s="90" t="s">
        <v>112</v>
      </c>
      <c r="L125" s="90" t="s">
        <v>327</v>
      </c>
      <c r="M125" s="90">
        <v>870</v>
      </c>
      <c r="N125" s="100">
        <v>7518851.2699999996</v>
      </c>
      <c r="O125" s="32"/>
      <c r="P125" s="32"/>
      <c r="Q125" s="33">
        <f t="shared" si="2"/>
        <v>0</v>
      </c>
      <c r="R125" s="100">
        <f>J125-Q57</f>
        <v>132078.69999999995</v>
      </c>
      <c r="V125" s="90" t="s">
        <v>110</v>
      </c>
      <c r="W125" s="90" t="s">
        <v>451</v>
      </c>
      <c r="X125" s="90">
        <v>420</v>
      </c>
      <c r="Y125" s="90">
        <v>7633979.46</v>
      </c>
    </row>
    <row r="126" spans="1:25" ht="15" x14ac:dyDescent="0.25">
      <c r="A126" s="104" t="s">
        <v>134</v>
      </c>
      <c r="B126" s="104">
        <v>12</v>
      </c>
      <c r="C126" s="105">
        <v>15</v>
      </c>
      <c r="D126" s="105">
        <v>431794</v>
      </c>
      <c r="E126" s="105">
        <v>0</v>
      </c>
      <c r="F126" s="105">
        <v>0</v>
      </c>
      <c r="G126" s="105">
        <v>0</v>
      </c>
      <c r="H126" s="105">
        <v>0</v>
      </c>
      <c r="I126" s="105">
        <v>15</v>
      </c>
      <c r="J126" s="105">
        <v>431794</v>
      </c>
      <c r="K126" s="90" t="s">
        <v>113</v>
      </c>
      <c r="L126" s="90" t="s">
        <v>393</v>
      </c>
      <c r="M126" s="90">
        <v>312</v>
      </c>
      <c r="N126" s="100">
        <v>5201203.32</v>
      </c>
      <c r="O126" s="60">
        <v>340</v>
      </c>
      <c r="P126" s="56">
        <v>108650.74</v>
      </c>
      <c r="Q126" s="57">
        <f t="shared" si="2"/>
        <v>36941251.600000001</v>
      </c>
      <c r="V126" s="90" t="s">
        <v>111</v>
      </c>
      <c r="W126" s="90" t="s">
        <v>327</v>
      </c>
      <c r="X126" s="90">
        <v>1346</v>
      </c>
      <c r="Y126" s="90">
        <v>10612678.91</v>
      </c>
    </row>
    <row r="127" spans="1:25" ht="15" x14ac:dyDescent="0.25">
      <c r="A127" s="101" t="s">
        <v>135</v>
      </c>
      <c r="B127" s="101">
        <v>12</v>
      </c>
      <c r="C127" s="102">
        <v>155</v>
      </c>
      <c r="D127" s="102">
        <v>28475986</v>
      </c>
      <c r="E127" s="102">
        <v>770</v>
      </c>
      <c r="F127" s="102">
        <v>137740260</v>
      </c>
      <c r="G127" s="102">
        <v>15</v>
      </c>
      <c r="H127" s="102">
        <v>2695399</v>
      </c>
      <c r="I127" s="102">
        <v>910</v>
      </c>
      <c r="J127" s="102">
        <v>163520847</v>
      </c>
      <c r="K127" s="90" t="s">
        <v>114</v>
      </c>
      <c r="L127" s="90" t="s">
        <v>393</v>
      </c>
      <c r="M127" s="90">
        <v>261</v>
      </c>
      <c r="N127" s="100">
        <v>5065650.03</v>
      </c>
      <c r="O127" s="32"/>
      <c r="P127" s="32"/>
      <c r="Q127" s="33">
        <f t="shared" si="2"/>
        <v>0</v>
      </c>
      <c r="V127" s="90" t="s">
        <v>112</v>
      </c>
      <c r="W127" s="90" t="s">
        <v>327</v>
      </c>
      <c r="X127" s="90">
        <v>870</v>
      </c>
      <c r="Y127" s="90">
        <v>7518851.2699999996</v>
      </c>
    </row>
    <row r="128" spans="1:25" ht="15" x14ac:dyDescent="0.25">
      <c r="A128" s="96" t="s">
        <v>136</v>
      </c>
      <c r="B128" s="96">
        <v>12</v>
      </c>
      <c r="C128" s="97">
        <v>4853</v>
      </c>
      <c r="D128" s="97">
        <v>73565457</v>
      </c>
      <c r="E128" s="97">
        <v>5768</v>
      </c>
      <c r="F128" s="97">
        <v>86167920</v>
      </c>
      <c r="G128" s="97">
        <f>C128+E128-I128</f>
        <v>5227</v>
      </c>
      <c r="H128" s="97" t="e">
        <f>G128*#REF!</f>
        <v>#REF!</v>
      </c>
      <c r="I128" s="97">
        <v>5394</v>
      </c>
      <c r="J128" s="97">
        <v>77046803</v>
      </c>
      <c r="K128" s="90" t="s">
        <v>115</v>
      </c>
      <c r="L128" s="90" t="s">
        <v>327</v>
      </c>
      <c r="M128" s="90">
        <v>1430</v>
      </c>
      <c r="N128" s="100">
        <v>9358658.9469430055</v>
      </c>
      <c r="O128" s="60">
        <v>42800</v>
      </c>
      <c r="P128" s="56">
        <v>459.08</v>
      </c>
      <c r="Q128" s="57">
        <f t="shared" si="2"/>
        <v>19648624</v>
      </c>
      <c r="R128" s="100">
        <f>J128-Q76</f>
        <v>3865106.6099999994</v>
      </c>
      <c r="V128" s="90" t="s">
        <v>113</v>
      </c>
      <c r="W128" s="90" t="s">
        <v>393</v>
      </c>
      <c r="X128" s="90">
        <v>312</v>
      </c>
      <c r="Y128" s="90">
        <v>5201203.32</v>
      </c>
    </row>
    <row r="129" spans="1:25" ht="15" x14ac:dyDescent="0.25">
      <c r="A129" s="104" t="s">
        <v>137</v>
      </c>
      <c r="B129" s="104">
        <v>12</v>
      </c>
      <c r="C129" s="105">
        <v>144</v>
      </c>
      <c r="D129" s="105">
        <v>22621104</v>
      </c>
      <c r="E129" s="105">
        <v>0</v>
      </c>
      <c r="F129" s="105">
        <v>0</v>
      </c>
      <c r="G129" s="105">
        <v>0</v>
      </c>
      <c r="H129" s="105">
        <v>0</v>
      </c>
      <c r="I129" s="105">
        <v>144</v>
      </c>
      <c r="J129" s="105">
        <v>22621104</v>
      </c>
      <c r="K129" s="90" t="s">
        <v>116</v>
      </c>
      <c r="L129" s="90" t="s">
        <v>393</v>
      </c>
      <c r="M129" s="90">
        <v>1764</v>
      </c>
      <c r="N129" s="100">
        <v>39291304.582118124</v>
      </c>
      <c r="O129" s="60">
        <v>738</v>
      </c>
      <c r="P129" s="56">
        <v>9869.86</v>
      </c>
      <c r="Q129" s="57">
        <f t="shared" si="2"/>
        <v>7283956.6800000006</v>
      </c>
      <c r="R129" s="100">
        <f>J129-Q212</f>
        <v>0</v>
      </c>
      <c r="V129" s="90" t="s">
        <v>114</v>
      </c>
      <c r="W129" s="90" t="s">
        <v>393</v>
      </c>
      <c r="X129" s="90">
        <v>261</v>
      </c>
      <c r="Y129" s="90">
        <v>5065650.03</v>
      </c>
    </row>
    <row r="130" spans="1:25" ht="15" x14ac:dyDescent="0.25">
      <c r="A130" s="104" t="s">
        <v>138</v>
      </c>
      <c r="B130" s="104">
        <v>12</v>
      </c>
      <c r="C130" s="105">
        <v>149</v>
      </c>
      <c r="D130" s="105">
        <v>22621104</v>
      </c>
      <c r="E130" s="105">
        <v>0</v>
      </c>
      <c r="F130" s="105">
        <v>0</v>
      </c>
      <c r="G130" s="105">
        <v>0</v>
      </c>
      <c r="H130" s="105">
        <v>0</v>
      </c>
      <c r="I130" s="105">
        <v>149</v>
      </c>
      <c r="J130" s="105">
        <v>22621104</v>
      </c>
      <c r="K130" s="90" t="s">
        <v>117</v>
      </c>
      <c r="L130" s="90" t="s">
        <v>393</v>
      </c>
      <c r="M130" s="90">
        <v>470</v>
      </c>
      <c r="N130" s="100">
        <v>8313396.4800000004</v>
      </c>
      <c r="O130" s="60">
        <v>172</v>
      </c>
      <c r="P130" s="56">
        <v>5800.74</v>
      </c>
      <c r="Q130" s="57">
        <f t="shared" si="2"/>
        <v>997727.27999999991</v>
      </c>
      <c r="R130" s="100">
        <f>J130-Q213</f>
        <v>-785455</v>
      </c>
      <c r="V130" s="90" t="s">
        <v>115</v>
      </c>
      <c r="W130" s="90" t="s">
        <v>327</v>
      </c>
      <c r="X130" s="90">
        <v>1430</v>
      </c>
      <c r="Y130" s="90">
        <v>9358658.9469430055</v>
      </c>
    </row>
    <row r="131" spans="1:25" ht="15" x14ac:dyDescent="0.25">
      <c r="A131" s="104" t="s">
        <v>139</v>
      </c>
      <c r="B131" s="104">
        <v>12</v>
      </c>
      <c r="C131" s="105">
        <v>188</v>
      </c>
      <c r="D131" s="105">
        <v>34137846</v>
      </c>
      <c r="E131" s="105">
        <v>0</v>
      </c>
      <c r="F131" s="105">
        <v>0</v>
      </c>
      <c r="G131" s="105">
        <v>0</v>
      </c>
      <c r="H131" s="105">
        <v>0</v>
      </c>
      <c r="I131" s="105">
        <v>188</v>
      </c>
      <c r="J131" s="105">
        <v>34137846</v>
      </c>
      <c r="K131" s="90" t="s">
        <v>118</v>
      </c>
      <c r="L131" s="90" t="s">
        <v>395</v>
      </c>
      <c r="M131" s="90">
        <v>288</v>
      </c>
      <c r="N131" s="100">
        <v>12047621.920000002</v>
      </c>
      <c r="O131" s="66">
        <v>1923</v>
      </c>
      <c r="P131" s="67">
        <v>49780.34</v>
      </c>
      <c r="Q131" s="68">
        <f t="shared" si="2"/>
        <v>95727593.819999993</v>
      </c>
      <c r="S131" s="100" t="s">
        <v>944</v>
      </c>
      <c r="V131" s="90" t="s">
        <v>116</v>
      </c>
      <c r="W131" s="90" t="s">
        <v>393</v>
      </c>
      <c r="X131" s="90">
        <v>1764</v>
      </c>
      <c r="Y131" s="90">
        <v>39291304.582118124</v>
      </c>
    </row>
    <row r="132" spans="1:25" ht="15" x14ac:dyDescent="0.25">
      <c r="A132" s="104" t="s">
        <v>140</v>
      </c>
      <c r="B132" s="104">
        <v>12</v>
      </c>
      <c r="C132" s="105">
        <v>1326</v>
      </c>
      <c r="D132" s="105">
        <v>245672490</v>
      </c>
      <c r="E132" s="105">
        <v>1500</v>
      </c>
      <c r="F132" s="105">
        <v>279622500</v>
      </c>
      <c r="G132" s="105">
        <v>1498</v>
      </c>
      <c r="H132" s="105">
        <v>278447238</v>
      </c>
      <c r="I132" s="105">
        <v>1328</v>
      </c>
      <c r="J132" s="105">
        <v>246847752</v>
      </c>
      <c r="K132" s="90" t="s">
        <v>119</v>
      </c>
      <c r="L132" s="90" t="s">
        <v>327</v>
      </c>
      <c r="M132" s="90">
        <v>260</v>
      </c>
      <c r="N132" s="100">
        <v>6077455.2000000011</v>
      </c>
      <c r="O132" s="72">
        <v>144</v>
      </c>
      <c r="P132" s="73">
        <v>6925.54</v>
      </c>
      <c r="Q132" s="74">
        <f t="shared" ref="Q132:Q195" si="8">O132*P132</f>
        <v>997277.76</v>
      </c>
      <c r="S132" s="100" t="s">
        <v>943</v>
      </c>
      <c r="V132" s="90" t="s">
        <v>117</v>
      </c>
      <c r="W132" s="90" t="s">
        <v>393</v>
      </c>
      <c r="X132" s="90">
        <v>470</v>
      </c>
      <c r="Y132" s="90">
        <v>8313396.4800000004</v>
      </c>
    </row>
    <row r="133" spans="1:25" ht="15" x14ac:dyDescent="0.25">
      <c r="A133" s="96" t="s">
        <v>141</v>
      </c>
      <c r="B133" s="96">
        <v>12</v>
      </c>
      <c r="C133" s="97">
        <v>2712</v>
      </c>
      <c r="D133" s="97">
        <v>404819278</v>
      </c>
      <c r="E133" s="97">
        <v>2350</v>
      </c>
      <c r="F133" s="97">
        <v>438075250</v>
      </c>
      <c r="G133" s="97">
        <f>C133+E133-I133</f>
        <v>3044</v>
      </c>
      <c r="H133" s="97">
        <f>D133+F133-J133</f>
        <v>466755000</v>
      </c>
      <c r="I133" s="97">
        <v>2018</v>
      </c>
      <c r="J133" s="97">
        <v>376139528</v>
      </c>
      <c r="K133" s="90" t="s">
        <v>120</v>
      </c>
      <c r="L133" s="90" t="s">
        <v>327</v>
      </c>
      <c r="M133" s="90">
        <v>80</v>
      </c>
      <c r="N133" s="100">
        <v>1795180</v>
      </c>
      <c r="O133" s="60">
        <v>26572</v>
      </c>
      <c r="P133" s="56">
        <v>9090.07</v>
      </c>
      <c r="Q133" s="57">
        <f t="shared" si="8"/>
        <v>241541340.03999999</v>
      </c>
      <c r="R133" s="100">
        <f>J133-Q165</f>
        <v>-97168157</v>
      </c>
      <c r="V133" s="90" t="s">
        <v>118</v>
      </c>
      <c r="W133" s="90" t="s">
        <v>395</v>
      </c>
      <c r="X133" s="90">
        <v>288</v>
      </c>
      <c r="Y133" s="90">
        <v>12047621.920000002</v>
      </c>
    </row>
    <row r="134" spans="1:25" ht="15" x14ac:dyDescent="0.25">
      <c r="A134" s="104" t="s">
        <v>142</v>
      </c>
      <c r="B134" s="104">
        <v>12</v>
      </c>
      <c r="C134" s="105">
        <v>1150</v>
      </c>
      <c r="D134" s="105">
        <v>211217050</v>
      </c>
      <c r="E134" s="105">
        <v>0</v>
      </c>
      <c r="F134" s="105">
        <v>0</v>
      </c>
      <c r="G134" s="105">
        <v>0</v>
      </c>
      <c r="H134" s="105">
        <v>0</v>
      </c>
      <c r="I134" s="105">
        <v>1150</v>
      </c>
      <c r="J134" s="105">
        <v>211217050</v>
      </c>
      <c r="K134" s="90" t="s">
        <v>121</v>
      </c>
      <c r="L134" s="90" t="s">
        <v>393</v>
      </c>
      <c r="M134" s="90">
        <v>2086</v>
      </c>
      <c r="N134" s="100">
        <v>25352108.033449344</v>
      </c>
      <c r="O134" s="60">
        <v>489</v>
      </c>
      <c r="P134" s="56">
        <v>22942.1</v>
      </c>
      <c r="Q134" s="57">
        <f t="shared" si="8"/>
        <v>11218686.899999999</v>
      </c>
      <c r="V134" s="90" t="s">
        <v>119</v>
      </c>
      <c r="W134" s="90" t="s">
        <v>327</v>
      </c>
      <c r="X134" s="90">
        <v>260</v>
      </c>
      <c r="Y134" s="90">
        <v>6077455.2000000011</v>
      </c>
    </row>
    <row r="135" spans="1:25" ht="15" x14ac:dyDescent="0.25">
      <c r="A135" s="101" t="s">
        <v>143</v>
      </c>
      <c r="B135" s="101">
        <v>12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90" t="s">
        <v>122</v>
      </c>
      <c r="L135" s="90" t="s">
        <v>327</v>
      </c>
      <c r="M135" s="90">
        <v>158</v>
      </c>
      <c r="N135" s="100">
        <v>1388713.9</v>
      </c>
      <c r="O135" s="60">
        <v>1236</v>
      </c>
      <c r="P135" s="56">
        <v>12986.22</v>
      </c>
      <c r="Q135" s="57">
        <f t="shared" si="8"/>
        <v>16050967.92</v>
      </c>
      <c r="V135" s="90" t="s">
        <v>120</v>
      </c>
      <c r="W135" s="90" t="s">
        <v>327</v>
      </c>
      <c r="X135" s="90">
        <v>80</v>
      </c>
      <c r="Y135" s="90">
        <v>1795180</v>
      </c>
    </row>
    <row r="136" spans="1:25" ht="15" x14ac:dyDescent="0.25">
      <c r="A136" s="104" t="s">
        <v>144</v>
      </c>
      <c r="B136" s="104">
        <v>12</v>
      </c>
      <c r="C136" s="105">
        <v>898</v>
      </c>
      <c r="D136" s="105">
        <v>164227145</v>
      </c>
      <c r="E136" s="105">
        <v>455</v>
      </c>
      <c r="F136" s="105">
        <v>83865600</v>
      </c>
      <c r="G136" s="105">
        <v>770</v>
      </c>
      <c r="H136" s="105">
        <v>141190993</v>
      </c>
      <c r="I136" s="105">
        <v>583</v>
      </c>
      <c r="J136" s="105">
        <v>106901752</v>
      </c>
      <c r="K136" s="90" t="s">
        <v>516</v>
      </c>
      <c r="L136" s="90" t="s">
        <v>451</v>
      </c>
      <c r="M136" s="90">
        <v>72</v>
      </c>
      <c r="N136" s="100">
        <v>1750302</v>
      </c>
      <c r="O136" s="60">
        <v>285</v>
      </c>
      <c r="P136" s="56">
        <v>18180.14</v>
      </c>
      <c r="Q136" s="57">
        <f t="shared" si="8"/>
        <v>5181339.8999999994</v>
      </c>
      <c r="V136" s="90" t="s">
        <v>121</v>
      </c>
      <c r="W136" s="90" t="s">
        <v>393</v>
      </c>
      <c r="X136" s="90">
        <v>2086</v>
      </c>
      <c r="Y136" s="90">
        <v>25352108.033449344</v>
      </c>
    </row>
    <row r="137" spans="1:25" ht="15" x14ac:dyDescent="0.25">
      <c r="A137" s="101" t="s">
        <v>145</v>
      </c>
      <c r="B137" s="101">
        <v>12</v>
      </c>
      <c r="C137" s="102">
        <v>13</v>
      </c>
      <c r="D137" s="102">
        <v>2323520</v>
      </c>
      <c r="E137" s="102">
        <v>67</v>
      </c>
      <c r="F137" s="102">
        <v>11975065</v>
      </c>
      <c r="G137" s="102">
        <v>80</v>
      </c>
      <c r="H137" s="102">
        <v>14298585</v>
      </c>
      <c r="I137" s="102">
        <v>0</v>
      </c>
      <c r="J137" s="102">
        <v>0</v>
      </c>
      <c r="K137" s="90" t="s">
        <v>123</v>
      </c>
      <c r="L137" s="90" t="s">
        <v>393</v>
      </c>
      <c r="M137" s="90">
        <v>132</v>
      </c>
      <c r="N137" s="100">
        <v>2362623.5999999996</v>
      </c>
      <c r="O137" s="60">
        <v>30</v>
      </c>
      <c r="P137" s="56">
        <v>49780.34</v>
      </c>
      <c r="Q137" s="57">
        <f t="shared" si="8"/>
        <v>1493410.2</v>
      </c>
      <c r="V137" s="90" t="s">
        <v>122</v>
      </c>
      <c r="W137" s="90" t="s">
        <v>327</v>
      </c>
      <c r="X137" s="90">
        <v>158</v>
      </c>
      <c r="Y137" s="90">
        <v>1388713.9</v>
      </c>
    </row>
    <row r="138" spans="1:25" ht="15" x14ac:dyDescent="0.25">
      <c r="A138" s="96" t="s">
        <v>146</v>
      </c>
      <c r="B138" s="96">
        <v>12</v>
      </c>
      <c r="C138" s="97">
        <v>427</v>
      </c>
      <c r="D138" s="97">
        <v>83128984</v>
      </c>
      <c r="E138" s="97">
        <v>690</v>
      </c>
      <c r="F138" s="97">
        <v>132239190</v>
      </c>
      <c r="G138" s="97">
        <f>C138+E138-I138</f>
        <v>991</v>
      </c>
      <c r="H138" s="97">
        <f>D138+F138-J138</f>
        <v>191147067</v>
      </c>
      <c r="I138" s="97">
        <v>126</v>
      </c>
      <c r="J138" s="97">
        <v>24221107</v>
      </c>
      <c r="K138" s="90" t="s">
        <v>519</v>
      </c>
      <c r="L138" s="90" t="s">
        <v>327</v>
      </c>
      <c r="M138" s="90">
        <v>360</v>
      </c>
      <c r="N138" s="100">
        <v>3029294.6000000006</v>
      </c>
      <c r="O138" s="60">
        <v>749</v>
      </c>
      <c r="P138" s="56">
        <v>9090.07</v>
      </c>
      <c r="Q138" s="57">
        <f t="shared" si="8"/>
        <v>6808462.4299999997</v>
      </c>
      <c r="R138" s="100">
        <f>J138-Q169</f>
        <v>2181242</v>
      </c>
      <c r="V138" s="90" t="s">
        <v>516</v>
      </c>
      <c r="W138" s="90" t="s">
        <v>451</v>
      </c>
      <c r="X138" s="90">
        <v>72</v>
      </c>
      <c r="Y138" s="90">
        <v>1750302</v>
      </c>
    </row>
    <row r="139" spans="1:25" ht="15" x14ac:dyDescent="0.25">
      <c r="A139" s="96" t="s">
        <v>147</v>
      </c>
      <c r="B139" s="96">
        <v>12</v>
      </c>
      <c r="C139" s="97">
        <v>888</v>
      </c>
      <c r="D139" s="97">
        <v>82354219</v>
      </c>
      <c r="E139" s="97">
        <f>100+7874</f>
        <v>7974</v>
      </c>
      <c r="F139" s="97" t="e">
        <f>E139*#REF!</f>
        <v>#REF!</v>
      </c>
      <c r="G139" s="97">
        <f>C139+E139-I139</f>
        <v>988</v>
      </c>
      <c r="H139" s="97" t="e">
        <f>D139+F139-J139</f>
        <v>#REF!</v>
      </c>
      <c r="I139" s="97">
        <v>7874</v>
      </c>
      <c r="J139" s="97">
        <v>36287616</v>
      </c>
      <c r="K139" s="90" t="s">
        <v>124</v>
      </c>
      <c r="L139" s="90" t="s">
        <v>393</v>
      </c>
      <c r="M139" s="90">
        <v>8</v>
      </c>
      <c r="N139" s="100">
        <v>149604</v>
      </c>
      <c r="O139" s="60">
        <v>870</v>
      </c>
      <c r="P139" s="56">
        <v>7618.38</v>
      </c>
      <c r="Q139" s="57">
        <f t="shared" si="8"/>
        <v>6627990.6000000006</v>
      </c>
      <c r="R139" s="100">
        <f>J139-Q161</f>
        <v>34702350.479999997</v>
      </c>
      <c r="V139" s="90" t="s">
        <v>123</v>
      </c>
      <c r="W139" s="90" t="s">
        <v>393</v>
      </c>
      <c r="X139" s="90">
        <v>132</v>
      </c>
      <c r="Y139" s="90">
        <v>2362623.5999999996</v>
      </c>
    </row>
    <row r="140" spans="1:25" ht="15" x14ac:dyDescent="0.25">
      <c r="A140" s="101" t="s">
        <v>148</v>
      </c>
      <c r="B140" s="101">
        <v>12</v>
      </c>
      <c r="C140" s="102">
        <v>0</v>
      </c>
      <c r="D140" s="102">
        <f>D141/C141</f>
        <v>190478.48955722639</v>
      </c>
      <c r="E140" s="102"/>
      <c r="F140" s="102" t="e">
        <f>F141/E141</f>
        <v>#REF!</v>
      </c>
      <c r="G140" s="102">
        <v>0</v>
      </c>
      <c r="H140" s="102">
        <v>0</v>
      </c>
      <c r="I140" s="102">
        <v>0</v>
      </c>
      <c r="J140" s="102">
        <v>0</v>
      </c>
      <c r="K140" s="90" t="s">
        <v>522</v>
      </c>
      <c r="L140" s="90" t="s">
        <v>327</v>
      </c>
      <c r="M140" s="90">
        <v>520</v>
      </c>
      <c r="N140" s="100">
        <v>4294614.4000000004</v>
      </c>
      <c r="O140" s="60">
        <v>1460</v>
      </c>
      <c r="P140" s="56">
        <v>7618.38</v>
      </c>
      <c r="Q140" s="57">
        <f t="shared" si="8"/>
        <v>11122834.800000001</v>
      </c>
      <c r="V140" s="90" t="s">
        <v>519</v>
      </c>
      <c r="W140" s="90" t="s">
        <v>327</v>
      </c>
      <c r="X140" s="90">
        <v>360</v>
      </c>
      <c r="Y140" s="90">
        <v>3029294.6000000006</v>
      </c>
    </row>
    <row r="141" spans="1:25" ht="15" x14ac:dyDescent="0.25">
      <c r="A141" s="96" t="s">
        <v>149</v>
      </c>
      <c r="B141" s="96">
        <v>12</v>
      </c>
      <c r="C141" s="97">
        <v>1197</v>
      </c>
      <c r="D141" s="97">
        <v>228002752</v>
      </c>
      <c r="E141" s="97" t="e">
        <f>(F141/#REF!)+7615</f>
        <v>#REF!</v>
      </c>
      <c r="F141" s="97">
        <v>94867245</v>
      </c>
      <c r="G141" s="97" t="e">
        <f>C141+E141-I141</f>
        <v>#REF!</v>
      </c>
      <c r="H141" s="97"/>
      <c r="I141" s="97">
        <v>14741</v>
      </c>
      <c r="J141" s="97">
        <v>235855388</v>
      </c>
      <c r="K141" s="90" t="s">
        <v>465</v>
      </c>
      <c r="L141" s="90" t="s">
        <v>451</v>
      </c>
      <c r="M141" s="90">
        <v>2000</v>
      </c>
      <c r="N141" s="100">
        <v>36465889.727272741</v>
      </c>
      <c r="O141" s="60">
        <v>261</v>
      </c>
      <c r="P141" s="56">
        <v>18180.14</v>
      </c>
      <c r="Q141" s="57">
        <f t="shared" si="8"/>
        <v>4745016.54</v>
      </c>
      <c r="R141" s="100">
        <f>J141-Q170</f>
        <v>216079388</v>
      </c>
      <c r="V141" s="90" t="s">
        <v>124</v>
      </c>
      <c r="W141" s="90" t="s">
        <v>393</v>
      </c>
      <c r="X141" s="90">
        <v>8</v>
      </c>
      <c r="Y141" s="90">
        <v>149604</v>
      </c>
    </row>
    <row r="142" spans="1:25" ht="15" x14ac:dyDescent="0.25">
      <c r="A142" s="101" t="s">
        <v>150</v>
      </c>
      <c r="B142" s="101">
        <v>12</v>
      </c>
      <c r="C142" s="102">
        <v>0</v>
      </c>
      <c r="D142" s="102">
        <v>0</v>
      </c>
      <c r="E142" s="102">
        <v>0</v>
      </c>
      <c r="F142" s="102">
        <v>0</v>
      </c>
      <c r="G142" s="102">
        <v>0</v>
      </c>
      <c r="H142" s="102">
        <v>0</v>
      </c>
      <c r="I142" s="102">
        <v>0</v>
      </c>
      <c r="J142" s="102">
        <v>0</v>
      </c>
      <c r="K142" s="90" t="s">
        <v>125</v>
      </c>
      <c r="L142" s="90" t="s">
        <v>451</v>
      </c>
      <c r="M142" s="90">
        <v>644</v>
      </c>
      <c r="N142" s="100">
        <v>29189226.800000004</v>
      </c>
      <c r="O142" s="60">
        <v>312</v>
      </c>
      <c r="P142" s="56">
        <v>15583.64</v>
      </c>
      <c r="Q142" s="57">
        <f t="shared" si="8"/>
        <v>4862095.68</v>
      </c>
      <c r="V142" s="90" t="s">
        <v>522</v>
      </c>
      <c r="W142" s="90" t="s">
        <v>327</v>
      </c>
      <c r="X142" s="90">
        <v>520</v>
      </c>
      <c r="Y142" s="90">
        <v>4294614.4000000004</v>
      </c>
    </row>
    <row r="143" spans="1:25" ht="15" x14ac:dyDescent="0.25">
      <c r="A143" s="104" t="s">
        <v>151</v>
      </c>
      <c r="B143" s="104">
        <v>12</v>
      </c>
      <c r="C143" s="105">
        <v>319</v>
      </c>
      <c r="D143" s="105">
        <v>60576489</v>
      </c>
      <c r="E143" s="105">
        <v>0</v>
      </c>
      <c r="F143" s="105">
        <v>0</v>
      </c>
      <c r="G143" s="105">
        <v>0</v>
      </c>
      <c r="H143" s="105">
        <v>0</v>
      </c>
      <c r="I143" s="105">
        <v>319</v>
      </c>
      <c r="J143" s="105">
        <v>60576489</v>
      </c>
      <c r="K143" s="90" t="s">
        <v>126</v>
      </c>
      <c r="L143" s="90" t="s">
        <v>327</v>
      </c>
      <c r="M143" s="90">
        <v>12490</v>
      </c>
      <c r="N143" s="100">
        <v>67705449.837750182</v>
      </c>
      <c r="O143" s="60">
        <v>1947</v>
      </c>
      <c r="P143" s="56">
        <v>6059.74</v>
      </c>
      <c r="Q143" s="57">
        <f t="shared" si="8"/>
        <v>11798313.779999999</v>
      </c>
      <c r="V143" s="90" t="s">
        <v>465</v>
      </c>
      <c r="W143" s="90" t="s">
        <v>451</v>
      </c>
      <c r="X143" s="90">
        <v>2000</v>
      </c>
      <c r="Y143" s="90">
        <v>36465889.727272741</v>
      </c>
    </row>
    <row r="144" spans="1:25" ht="15" x14ac:dyDescent="0.25">
      <c r="A144" s="101" t="s">
        <v>152</v>
      </c>
      <c r="B144" s="101">
        <v>12</v>
      </c>
      <c r="C144" s="102">
        <v>0</v>
      </c>
      <c r="D144" s="102">
        <v>0</v>
      </c>
      <c r="E144" s="102">
        <v>0</v>
      </c>
      <c r="F144" s="102">
        <v>0</v>
      </c>
      <c r="G144" s="102">
        <v>0</v>
      </c>
      <c r="H144" s="102">
        <v>0</v>
      </c>
      <c r="I144" s="102">
        <v>0</v>
      </c>
      <c r="J144" s="102">
        <v>0</v>
      </c>
      <c r="K144" s="90" t="s">
        <v>127</v>
      </c>
      <c r="L144" s="90" t="s">
        <v>327</v>
      </c>
      <c r="M144" s="90">
        <v>1860</v>
      </c>
      <c r="N144" s="100">
        <v>9048980.0399999991</v>
      </c>
      <c r="O144" s="60">
        <v>1969</v>
      </c>
      <c r="P144" s="56">
        <v>19045.95</v>
      </c>
      <c r="Q144" s="57">
        <f t="shared" si="8"/>
        <v>37501475.550000004</v>
      </c>
      <c r="V144" s="90" t="s">
        <v>125</v>
      </c>
      <c r="W144" s="90" t="s">
        <v>451</v>
      </c>
      <c r="X144" s="90">
        <v>644</v>
      </c>
      <c r="Y144" s="90">
        <v>29189226.800000004</v>
      </c>
    </row>
    <row r="145" spans="1:25" ht="15" x14ac:dyDescent="0.25">
      <c r="A145" s="101" t="s">
        <v>153</v>
      </c>
      <c r="B145" s="101">
        <v>12</v>
      </c>
      <c r="C145" s="102">
        <v>0</v>
      </c>
      <c r="D145" s="102">
        <v>0</v>
      </c>
      <c r="E145" s="102">
        <v>0</v>
      </c>
      <c r="F145" s="102">
        <v>0</v>
      </c>
      <c r="G145" s="102">
        <v>0</v>
      </c>
      <c r="H145" s="102">
        <v>0</v>
      </c>
      <c r="I145" s="102">
        <v>0</v>
      </c>
      <c r="J145" s="102">
        <v>0</v>
      </c>
      <c r="K145" s="90" t="s">
        <v>128</v>
      </c>
      <c r="L145" s="90" t="s">
        <v>327</v>
      </c>
      <c r="M145" s="90">
        <v>454</v>
      </c>
      <c r="N145" s="100">
        <v>6939274.2400000002</v>
      </c>
      <c r="O145" s="60">
        <v>470</v>
      </c>
      <c r="P145" s="56">
        <v>16449.46</v>
      </c>
      <c r="Q145" s="57">
        <f t="shared" si="8"/>
        <v>7731246.1999999993</v>
      </c>
      <c r="V145" s="90" t="s">
        <v>126</v>
      </c>
      <c r="W145" s="90" t="s">
        <v>327</v>
      </c>
      <c r="X145" s="90">
        <v>12490</v>
      </c>
      <c r="Y145" s="90">
        <v>67705449.837750182</v>
      </c>
    </row>
    <row r="146" spans="1:25" ht="15" x14ac:dyDescent="0.25">
      <c r="A146" s="104" t="s">
        <v>154</v>
      </c>
      <c r="B146" s="104">
        <v>12</v>
      </c>
      <c r="C146" s="105">
        <v>50</v>
      </c>
      <c r="D146" s="105">
        <v>11656130</v>
      </c>
      <c r="E146" s="105">
        <v>45</v>
      </c>
      <c r="F146" s="105">
        <v>10556505</v>
      </c>
      <c r="G146" s="105">
        <v>25</v>
      </c>
      <c r="H146" s="105">
        <v>5845430</v>
      </c>
      <c r="I146" s="105">
        <v>70</v>
      </c>
      <c r="J146" s="105">
        <v>16367205</v>
      </c>
      <c r="K146" s="90" t="s">
        <v>907</v>
      </c>
      <c r="L146" s="90" t="s">
        <v>303</v>
      </c>
      <c r="M146" s="90">
        <v>4</v>
      </c>
      <c r="N146" s="100">
        <v>0</v>
      </c>
      <c r="O146" s="60">
        <v>288</v>
      </c>
      <c r="P146" s="56">
        <v>14284.93</v>
      </c>
      <c r="Q146" s="57">
        <f t="shared" si="8"/>
        <v>4114059.84</v>
      </c>
      <c r="V146" s="90" t="s">
        <v>127</v>
      </c>
      <c r="W146" s="90" t="s">
        <v>327</v>
      </c>
      <c r="X146" s="90">
        <v>1860</v>
      </c>
      <c r="Y146" s="90">
        <v>9048980.0399999991</v>
      </c>
    </row>
    <row r="147" spans="1:25" ht="15" x14ac:dyDescent="0.25">
      <c r="A147" s="101" t="s">
        <v>155</v>
      </c>
      <c r="B147" s="101">
        <v>12</v>
      </c>
      <c r="C147" s="102">
        <v>0</v>
      </c>
      <c r="D147" s="102">
        <v>0</v>
      </c>
      <c r="E147" s="102">
        <v>24</v>
      </c>
      <c r="F147" s="102">
        <v>6959131</v>
      </c>
      <c r="G147" s="102">
        <v>24</v>
      </c>
      <c r="H147" s="102">
        <v>6959131</v>
      </c>
      <c r="I147" s="102">
        <v>0</v>
      </c>
      <c r="J147" s="102">
        <v>0</v>
      </c>
      <c r="K147" s="90" t="s">
        <v>908</v>
      </c>
      <c r="L147" s="90" t="s">
        <v>393</v>
      </c>
      <c r="M147" s="90">
        <v>9</v>
      </c>
      <c r="N147" s="100">
        <v>0</v>
      </c>
      <c r="O147" s="60">
        <v>260</v>
      </c>
      <c r="P147" s="56">
        <v>21643.38</v>
      </c>
      <c r="Q147" s="57">
        <f t="shared" si="8"/>
        <v>5627278.7999999998</v>
      </c>
      <c r="V147" s="90" t="s">
        <v>128</v>
      </c>
      <c r="W147" s="90" t="s">
        <v>327</v>
      </c>
      <c r="X147" s="90">
        <v>454</v>
      </c>
      <c r="Y147" s="90">
        <v>6939274.2400000002</v>
      </c>
    </row>
    <row r="148" spans="1:25" ht="15" x14ac:dyDescent="0.25">
      <c r="A148" s="96" t="s">
        <v>156</v>
      </c>
      <c r="B148" s="96">
        <v>12</v>
      </c>
      <c r="C148" s="97">
        <v>265</v>
      </c>
      <c r="D148" s="97">
        <v>51536190</v>
      </c>
      <c r="E148" s="97">
        <v>20</v>
      </c>
      <c r="F148" s="97">
        <v>4691780</v>
      </c>
      <c r="G148" s="97">
        <f>C148+E148-I148</f>
        <v>170</v>
      </c>
      <c r="H148" s="97">
        <f>D148+F148-J148</f>
        <v>29199086</v>
      </c>
      <c r="I148" s="97">
        <v>115</v>
      </c>
      <c r="J148" s="97">
        <v>27028884</v>
      </c>
      <c r="K148" s="90" t="s">
        <v>909</v>
      </c>
      <c r="L148" s="90" t="s">
        <v>528</v>
      </c>
      <c r="M148" s="90">
        <v>6</v>
      </c>
      <c r="N148" s="100">
        <v>0</v>
      </c>
      <c r="O148" s="60">
        <v>80</v>
      </c>
      <c r="P148" s="56">
        <v>20777.57</v>
      </c>
      <c r="Q148" s="57">
        <f t="shared" si="8"/>
        <v>1662205.6</v>
      </c>
      <c r="R148" s="100">
        <f>J148-Q198</f>
        <v>-5109809</v>
      </c>
      <c r="V148" s="90" t="s">
        <v>907</v>
      </c>
      <c r="W148" s="90" t="s">
        <v>303</v>
      </c>
      <c r="X148" s="90">
        <v>4</v>
      </c>
      <c r="Y148" s="90">
        <v>0</v>
      </c>
    </row>
    <row r="149" spans="1:25" ht="15" x14ac:dyDescent="0.25">
      <c r="A149" s="104" t="s">
        <v>157</v>
      </c>
      <c r="B149" s="104">
        <v>12</v>
      </c>
      <c r="C149" s="105">
        <v>100</v>
      </c>
      <c r="D149" s="105">
        <v>23336700</v>
      </c>
      <c r="E149" s="105">
        <v>45</v>
      </c>
      <c r="F149" s="105">
        <v>10556505</v>
      </c>
      <c r="G149" s="105">
        <v>45</v>
      </c>
      <c r="H149" s="105">
        <v>10518581</v>
      </c>
      <c r="I149" s="105">
        <v>100</v>
      </c>
      <c r="J149" s="105">
        <v>23374624</v>
      </c>
      <c r="K149" s="90" t="s">
        <v>910</v>
      </c>
      <c r="L149" s="90" t="s">
        <v>528</v>
      </c>
      <c r="M149" s="90">
        <v>18</v>
      </c>
      <c r="N149" s="100">
        <v>0</v>
      </c>
      <c r="O149" s="60">
        <v>2934</v>
      </c>
      <c r="P149" s="56">
        <v>11254.6</v>
      </c>
      <c r="Q149" s="57">
        <f t="shared" si="8"/>
        <v>33020996.400000002</v>
      </c>
      <c r="V149" s="90" t="s">
        <v>908</v>
      </c>
      <c r="W149" s="90" t="s">
        <v>393</v>
      </c>
      <c r="X149" s="90">
        <v>9</v>
      </c>
      <c r="Y149" s="90">
        <v>0</v>
      </c>
    </row>
    <row r="150" spans="1:25" ht="15" x14ac:dyDescent="0.25">
      <c r="A150" s="101" t="s">
        <v>158</v>
      </c>
      <c r="B150" s="101">
        <v>12</v>
      </c>
      <c r="C150" s="102">
        <v>0</v>
      </c>
      <c r="D150" s="102">
        <v>0</v>
      </c>
      <c r="E150" s="102">
        <v>0</v>
      </c>
      <c r="F150" s="102">
        <v>0</v>
      </c>
      <c r="G150" s="102">
        <v>0</v>
      </c>
      <c r="H150" s="102">
        <v>0</v>
      </c>
      <c r="I150" s="102">
        <v>0</v>
      </c>
      <c r="J150" s="102">
        <v>0</v>
      </c>
      <c r="K150" s="90" t="s">
        <v>911</v>
      </c>
      <c r="L150" s="90" t="s">
        <v>528</v>
      </c>
      <c r="M150" s="90">
        <v>84</v>
      </c>
      <c r="N150" s="100">
        <v>0</v>
      </c>
      <c r="O150" s="60">
        <v>163</v>
      </c>
      <c r="P150" s="56">
        <v>8138.24</v>
      </c>
      <c r="Q150" s="57">
        <f t="shared" si="8"/>
        <v>1326533.1199999999</v>
      </c>
      <c r="V150" s="90" t="s">
        <v>909</v>
      </c>
      <c r="W150" s="90" t="s">
        <v>528</v>
      </c>
      <c r="X150" s="90">
        <v>6</v>
      </c>
      <c r="Y150" s="90">
        <v>0</v>
      </c>
    </row>
    <row r="151" spans="1:25" ht="15" x14ac:dyDescent="0.25">
      <c r="A151" s="96" t="s">
        <v>159</v>
      </c>
      <c r="B151" s="96">
        <v>12</v>
      </c>
      <c r="C151" s="97">
        <v>81</v>
      </c>
      <c r="D151" s="97">
        <v>17829621</v>
      </c>
      <c r="E151" s="97">
        <v>0</v>
      </c>
      <c r="F151" s="97">
        <v>0</v>
      </c>
      <c r="G151" s="97">
        <f>C151-I151</f>
        <v>32</v>
      </c>
      <c r="H151" s="97">
        <f>D151-J151</f>
        <v>4842658</v>
      </c>
      <c r="I151" s="97">
        <v>49</v>
      </c>
      <c r="J151" s="97">
        <v>12986963</v>
      </c>
      <c r="K151" s="90" t="s">
        <v>912</v>
      </c>
      <c r="L151" s="90" t="s">
        <v>528</v>
      </c>
      <c r="M151" s="90">
        <v>2</v>
      </c>
      <c r="N151" s="100">
        <v>0</v>
      </c>
      <c r="O151" s="55">
        <v>72</v>
      </c>
      <c r="P151" s="56">
        <v>22509.19</v>
      </c>
      <c r="Q151" s="57">
        <f t="shared" si="8"/>
        <v>1620661.68</v>
      </c>
      <c r="R151" s="100">
        <f>J151-Q225</f>
        <v>-2605144</v>
      </c>
      <c r="V151" s="90" t="s">
        <v>910</v>
      </c>
      <c r="W151" s="90" t="s">
        <v>528</v>
      </c>
      <c r="X151" s="90">
        <v>18</v>
      </c>
      <c r="Y151" s="90">
        <v>0</v>
      </c>
    </row>
    <row r="152" spans="1:25" ht="15" x14ac:dyDescent="0.25">
      <c r="A152" s="104" t="s">
        <v>160</v>
      </c>
      <c r="B152" s="104">
        <v>12</v>
      </c>
      <c r="C152" s="105">
        <v>46</v>
      </c>
      <c r="D152" s="105">
        <v>12161583</v>
      </c>
      <c r="E152" s="105">
        <v>0</v>
      </c>
      <c r="F152" s="105">
        <v>0</v>
      </c>
      <c r="G152" s="105">
        <v>42</v>
      </c>
      <c r="H152" s="105">
        <v>11093015</v>
      </c>
      <c r="I152" s="105">
        <v>4</v>
      </c>
      <c r="J152" s="105">
        <v>1068568</v>
      </c>
      <c r="K152" s="90" t="s">
        <v>913</v>
      </c>
      <c r="L152" s="90" t="s">
        <v>528</v>
      </c>
      <c r="M152" s="90">
        <v>5</v>
      </c>
      <c r="N152" s="100">
        <v>0</v>
      </c>
      <c r="O152" s="66">
        <v>132</v>
      </c>
      <c r="P152" s="67">
        <v>17315.259999999998</v>
      </c>
      <c r="Q152" s="68">
        <f t="shared" si="8"/>
        <v>2285614.3199999998</v>
      </c>
      <c r="V152" s="90" t="s">
        <v>911</v>
      </c>
      <c r="W152" s="90" t="s">
        <v>528</v>
      </c>
      <c r="X152" s="90">
        <v>84</v>
      </c>
      <c r="Y152" s="90">
        <v>0</v>
      </c>
    </row>
    <row r="153" spans="1:25" ht="15" x14ac:dyDescent="0.25">
      <c r="A153" s="96" t="s">
        <v>161</v>
      </c>
      <c r="B153" s="96">
        <v>12</v>
      </c>
      <c r="C153" s="97">
        <v>110</v>
      </c>
      <c r="D153" s="97">
        <v>25633710</v>
      </c>
      <c r="E153" s="97">
        <v>50</v>
      </c>
      <c r="F153" s="97">
        <v>11729450</v>
      </c>
      <c r="G153" s="97">
        <f>C153+E153-I153</f>
        <v>49</v>
      </c>
      <c r="H153" s="97">
        <f>D153+F153-J153</f>
        <v>11432029</v>
      </c>
      <c r="I153" s="97">
        <v>111</v>
      </c>
      <c r="J153" s="97">
        <v>25931131</v>
      </c>
      <c r="K153" s="90" t="s">
        <v>914</v>
      </c>
      <c r="L153" s="90" t="s">
        <v>528</v>
      </c>
      <c r="M153" s="90">
        <v>9</v>
      </c>
      <c r="N153" s="100">
        <v>0</v>
      </c>
      <c r="O153" s="69"/>
      <c r="P153" s="69"/>
      <c r="Q153" s="68">
        <f t="shared" si="8"/>
        <v>0</v>
      </c>
      <c r="R153" s="100">
        <f>J153-Q195</f>
        <v>4348943</v>
      </c>
      <c r="V153" s="90" t="s">
        <v>912</v>
      </c>
      <c r="W153" s="90" t="s">
        <v>528</v>
      </c>
      <c r="X153" s="90">
        <v>2</v>
      </c>
      <c r="Y153" s="90">
        <v>0</v>
      </c>
    </row>
    <row r="154" spans="1:25" ht="15" x14ac:dyDescent="0.25">
      <c r="A154" s="101" t="s">
        <v>162</v>
      </c>
      <c r="B154" s="101">
        <v>12</v>
      </c>
      <c r="C154" s="102">
        <v>0</v>
      </c>
      <c r="D154" s="102">
        <v>0</v>
      </c>
      <c r="E154" s="102">
        <v>4</v>
      </c>
      <c r="F154" s="102">
        <v>1264364</v>
      </c>
      <c r="G154" s="102">
        <v>4</v>
      </c>
      <c r="H154" s="102">
        <v>1264364</v>
      </c>
      <c r="I154" s="102">
        <v>0</v>
      </c>
      <c r="J154" s="102">
        <v>0</v>
      </c>
      <c r="K154" s="90" t="s">
        <v>616</v>
      </c>
      <c r="L154" s="90" t="s">
        <v>528</v>
      </c>
      <c r="M154" s="90">
        <v>235</v>
      </c>
      <c r="N154" s="100">
        <v>41641762.579999998</v>
      </c>
      <c r="O154" s="66">
        <v>8</v>
      </c>
      <c r="P154" s="67">
        <v>17315.259999999998</v>
      </c>
      <c r="Q154" s="68">
        <f t="shared" si="8"/>
        <v>138522.07999999999</v>
      </c>
      <c r="V154" s="90" t="s">
        <v>913</v>
      </c>
      <c r="W154" s="90" t="s">
        <v>528</v>
      </c>
      <c r="X154" s="90">
        <v>5</v>
      </c>
      <c r="Y154" s="90">
        <v>0</v>
      </c>
    </row>
    <row r="155" spans="1:25" ht="15" x14ac:dyDescent="0.25">
      <c r="A155" s="104" t="s">
        <v>163</v>
      </c>
      <c r="B155" s="104">
        <v>12</v>
      </c>
      <c r="C155" s="105">
        <v>986</v>
      </c>
      <c r="D155" s="105">
        <v>312560997</v>
      </c>
      <c r="E155" s="105">
        <v>300</v>
      </c>
      <c r="F155" s="105">
        <v>95825400</v>
      </c>
      <c r="G155" s="105">
        <v>0</v>
      </c>
      <c r="H155" s="105">
        <v>0</v>
      </c>
      <c r="I155" s="105">
        <v>1286</v>
      </c>
      <c r="J155" s="105">
        <v>408386397</v>
      </c>
      <c r="K155" s="90" t="s">
        <v>546</v>
      </c>
      <c r="L155" s="90" t="s">
        <v>528</v>
      </c>
      <c r="M155" s="90">
        <v>776</v>
      </c>
      <c r="N155" s="100">
        <v>178790121</v>
      </c>
      <c r="O155" s="55">
        <v>5934</v>
      </c>
      <c r="P155" s="56">
        <v>8224.26</v>
      </c>
      <c r="Q155" s="33">
        <f t="shared" si="8"/>
        <v>48802758.840000004</v>
      </c>
      <c r="V155" s="90" t="s">
        <v>914</v>
      </c>
      <c r="W155" s="90" t="s">
        <v>528</v>
      </c>
      <c r="X155" s="90">
        <v>9</v>
      </c>
      <c r="Y155" s="90">
        <v>0</v>
      </c>
    </row>
    <row r="156" spans="1:25" ht="15" x14ac:dyDescent="0.25">
      <c r="A156" s="101" t="s">
        <v>164</v>
      </c>
      <c r="B156" s="101">
        <v>12</v>
      </c>
      <c r="C156" s="102">
        <v>0</v>
      </c>
      <c r="D156" s="102">
        <v>0</v>
      </c>
      <c r="E156" s="102">
        <v>92</v>
      </c>
      <c r="F156" s="102">
        <v>13264312</v>
      </c>
      <c r="G156" s="102">
        <v>92</v>
      </c>
      <c r="H156" s="102">
        <v>13264312</v>
      </c>
      <c r="I156" s="102">
        <v>0</v>
      </c>
      <c r="J156" s="102">
        <v>0</v>
      </c>
      <c r="K156" s="90" t="s">
        <v>548</v>
      </c>
      <c r="L156" s="90" t="s">
        <v>528</v>
      </c>
      <c r="M156" s="90">
        <v>700</v>
      </c>
      <c r="N156" s="100">
        <v>84894779</v>
      </c>
      <c r="O156" s="60">
        <v>34074</v>
      </c>
      <c r="P156" s="56">
        <v>5453.86</v>
      </c>
      <c r="Q156" s="57">
        <f t="shared" si="8"/>
        <v>185834825.63999999</v>
      </c>
      <c r="V156" s="90" t="s">
        <v>616</v>
      </c>
      <c r="W156" s="90" t="s">
        <v>528</v>
      </c>
      <c r="X156" s="90">
        <v>235</v>
      </c>
      <c r="Y156" s="90">
        <v>41641762.579999998</v>
      </c>
    </row>
    <row r="157" spans="1:25" ht="15" x14ac:dyDescent="0.25">
      <c r="A157" s="101" t="s">
        <v>165</v>
      </c>
      <c r="B157" s="101">
        <v>12</v>
      </c>
      <c r="C157" s="102">
        <v>100</v>
      </c>
      <c r="D157" s="102">
        <v>15396441</v>
      </c>
      <c r="E157" s="102">
        <v>0</v>
      </c>
      <c r="F157" s="102">
        <v>0</v>
      </c>
      <c r="G157" s="102">
        <v>6</v>
      </c>
      <c r="H157" s="102">
        <v>923786</v>
      </c>
      <c r="I157" s="102">
        <v>94</v>
      </c>
      <c r="J157" s="102">
        <v>14472655</v>
      </c>
      <c r="K157" s="90" t="s">
        <v>550</v>
      </c>
      <c r="L157" s="90" t="s">
        <v>528</v>
      </c>
      <c r="M157" s="90">
        <v>338</v>
      </c>
      <c r="N157" s="100">
        <v>99897130.500000015</v>
      </c>
      <c r="O157" s="60">
        <v>2463</v>
      </c>
      <c r="P157" s="56">
        <v>5453.86</v>
      </c>
      <c r="Q157" s="57">
        <f t="shared" si="8"/>
        <v>13432857.18</v>
      </c>
      <c r="V157" s="90" t="s">
        <v>546</v>
      </c>
      <c r="W157" s="90" t="s">
        <v>528</v>
      </c>
      <c r="X157" s="90">
        <v>776</v>
      </c>
      <c r="Y157" s="90">
        <v>178790121</v>
      </c>
    </row>
    <row r="158" spans="1:25" ht="15" x14ac:dyDescent="0.25">
      <c r="A158" s="101" t="s">
        <v>166</v>
      </c>
      <c r="B158" s="101">
        <v>12</v>
      </c>
      <c r="C158" s="102">
        <v>0</v>
      </c>
      <c r="D158" s="102">
        <v>0</v>
      </c>
      <c r="E158" s="102">
        <v>0</v>
      </c>
      <c r="F158" s="102">
        <v>0</v>
      </c>
      <c r="G158" s="102">
        <v>0</v>
      </c>
      <c r="H158" s="102">
        <v>0</v>
      </c>
      <c r="I158" s="102">
        <v>0</v>
      </c>
      <c r="J158" s="102">
        <v>0</v>
      </c>
      <c r="K158" s="90" t="s">
        <v>556</v>
      </c>
      <c r="L158" s="90" t="s">
        <v>528</v>
      </c>
      <c r="M158" s="90">
        <v>465</v>
      </c>
      <c r="N158" s="100">
        <v>93021102</v>
      </c>
      <c r="O158" s="60">
        <v>454</v>
      </c>
      <c r="P158" s="56">
        <v>14284.93</v>
      </c>
      <c r="Q158" s="57">
        <f t="shared" si="8"/>
        <v>6485358.2199999997</v>
      </c>
      <c r="V158" s="90" t="s">
        <v>548</v>
      </c>
      <c r="W158" s="90" t="s">
        <v>528</v>
      </c>
      <c r="X158" s="90">
        <v>700</v>
      </c>
      <c r="Y158" s="90">
        <v>84894779</v>
      </c>
    </row>
    <row r="159" spans="1:25" ht="15" x14ac:dyDescent="0.25">
      <c r="A159" s="101" t="s">
        <v>167</v>
      </c>
      <c r="B159" s="101">
        <v>12</v>
      </c>
      <c r="C159" s="102">
        <v>0</v>
      </c>
      <c r="D159" s="102">
        <v>0</v>
      </c>
      <c r="E159" s="102">
        <v>0</v>
      </c>
      <c r="F159" s="102">
        <f>F160/E160</f>
        <v>184320</v>
      </c>
      <c r="G159" s="102">
        <v>0</v>
      </c>
      <c r="H159" s="102">
        <v>0</v>
      </c>
      <c r="I159" s="102">
        <v>0</v>
      </c>
      <c r="J159" s="102">
        <v>0</v>
      </c>
      <c r="K159" s="90" t="s">
        <v>553</v>
      </c>
      <c r="L159" s="90" t="s">
        <v>303</v>
      </c>
      <c r="M159" s="90">
        <v>3</v>
      </c>
      <c r="N159" s="100">
        <v>91999.99</v>
      </c>
      <c r="O159" s="32"/>
      <c r="P159" s="32"/>
      <c r="Q159" s="33">
        <f t="shared" si="8"/>
        <v>0</v>
      </c>
      <c r="V159" s="90" t="s">
        <v>550</v>
      </c>
      <c r="W159" s="90" t="s">
        <v>528</v>
      </c>
      <c r="X159" s="90">
        <v>338</v>
      </c>
      <c r="Y159" s="90">
        <v>99897130.500000015</v>
      </c>
    </row>
    <row r="160" spans="1:25" ht="15" x14ac:dyDescent="0.25">
      <c r="A160" s="96" t="s">
        <v>168</v>
      </c>
      <c r="B160" s="96">
        <v>12</v>
      </c>
      <c r="C160" s="97">
        <v>436</v>
      </c>
      <c r="D160" s="97">
        <v>79778379</v>
      </c>
      <c r="E160" s="97">
        <v>150</v>
      </c>
      <c r="F160" s="97">
        <v>27648000</v>
      </c>
      <c r="G160" s="97">
        <f>C160+E160-I160</f>
        <v>87</v>
      </c>
      <c r="H160" s="97">
        <f>D160+F160-J160</f>
        <v>92210697</v>
      </c>
      <c r="I160" s="97">
        <v>499</v>
      </c>
      <c r="J160" s="97">
        <v>15215682</v>
      </c>
      <c r="K160" s="90" t="s">
        <v>618</v>
      </c>
      <c r="L160" s="90" t="s">
        <v>528</v>
      </c>
      <c r="M160" s="90">
        <v>309</v>
      </c>
      <c r="N160" s="100">
        <v>92000263.599999994</v>
      </c>
      <c r="O160" s="55">
        <v>83</v>
      </c>
      <c r="P160" s="56">
        <v>30500</v>
      </c>
      <c r="Q160" s="57">
        <f t="shared" si="8"/>
        <v>2531500</v>
      </c>
      <c r="R160" s="100">
        <f>J160-Q160</f>
        <v>12684182</v>
      </c>
      <c r="V160" s="90" t="s">
        <v>556</v>
      </c>
      <c r="W160" s="90" t="s">
        <v>528</v>
      </c>
      <c r="X160" s="90">
        <v>465</v>
      </c>
      <c r="Y160" s="90">
        <v>93021102</v>
      </c>
    </row>
    <row r="161" spans="1:25" ht="15" x14ac:dyDescent="0.25">
      <c r="A161" s="96" t="s">
        <v>169</v>
      </c>
      <c r="B161" s="96">
        <v>12</v>
      </c>
      <c r="C161" s="97">
        <v>856</v>
      </c>
      <c r="D161" s="97">
        <v>151588068</v>
      </c>
      <c r="E161" s="97">
        <v>0</v>
      </c>
      <c r="F161" s="97">
        <v>0</v>
      </c>
      <c r="G161" s="97">
        <f>C161-I161</f>
        <v>204</v>
      </c>
      <c r="H161" s="97">
        <f>D161-J161</f>
        <v>32938529</v>
      </c>
      <c r="I161" s="97">
        <v>652</v>
      </c>
      <c r="J161" s="97">
        <v>118649539</v>
      </c>
      <c r="K161" s="90" t="s">
        <v>618</v>
      </c>
      <c r="L161" s="90" t="s">
        <v>327</v>
      </c>
      <c r="M161" s="90">
        <v>26</v>
      </c>
      <c r="N161" s="100">
        <v>118950</v>
      </c>
      <c r="O161" s="60">
        <v>344</v>
      </c>
      <c r="P161" s="56">
        <v>4608.33</v>
      </c>
      <c r="Q161" s="57">
        <f t="shared" si="8"/>
        <v>1585265.52</v>
      </c>
      <c r="R161" s="100">
        <f>J161-Q236</f>
        <v>-3346071</v>
      </c>
      <c r="V161" s="90" t="s">
        <v>553</v>
      </c>
      <c r="W161" s="90" t="s">
        <v>303</v>
      </c>
      <c r="X161" s="90">
        <v>3</v>
      </c>
      <c r="Y161" s="90">
        <v>91999.99</v>
      </c>
    </row>
    <row r="162" spans="1:25" ht="15" x14ac:dyDescent="0.25">
      <c r="A162" s="101" t="s">
        <v>170</v>
      </c>
      <c r="B162" s="101">
        <v>12</v>
      </c>
      <c r="C162" s="102">
        <v>164</v>
      </c>
      <c r="D162" s="102">
        <v>44675744</v>
      </c>
      <c r="E162" s="102">
        <v>175</v>
      </c>
      <c r="F162" s="102">
        <v>49157166</v>
      </c>
      <c r="G162" s="102">
        <v>339</v>
      </c>
      <c r="H162" s="102">
        <v>93832910</v>
      </c>
      <c r="I162" s="102">
        <v>0</v>
      </c>
      <c r="J162" s="102">
        <v>0</v>
      </c>
      <c r="K162" s="90" t="s">
        <v>140</v>
      </c>
      <c r="L162" s="90" t="s">
        <v>528</v>
      </c>
      <c r="M162" s="90">
        <v>1158</v>
      </c>
      <c r="N162" s="100">
        <v>234738658.84999999</v>
      </c>
      <c r="O162" s="32"/>
      <c r="P162" s="32"/>
      <c r="Q162" s="33">
        <f t="shared" si="8"/>
        <v>0</v>
      </c>
      <c r="V162" s="90" t="s">
        <v>618</v>
      </c>
      <c r="W162" s="90" t="s">
        <v>528</v>
      </c>
      <c r="X162" s="90">
        <v>309</v>
      </c>
      <c r="Y162" s="90">
        <v>92000263.599999994</v>
      </c>
    </row>
    <row r="163" spans="1:25" ht="15" x14ac:dyDescent="0.25">
      <c r="A163" s="101" t="s">
        <v>171</v>
      </c>
      <c r="B163" s="101">
        <v>12</v>
      </c>
      <c r="C163" s="102">
        <v>0</v>
      </c>
      <c r="D163" s="102">
        <v>0</v>
      </c>
      <c r="E163" s="102">
        <v>30</v>
      </c>
      <c r="F163" s="102">
        <v>8280000</v>
      </c>
      <c r="G163" s="102">
        <v>30</v>
      </c>
      <c r="H163" s="102">
        <v>8280000</v>
      </c>
      <c r="I163" s="102">
        <v>0</v>
      </c>
      <c r="J163" s="102">
        <v>0</v>
      </c>
      <c r="K163" s="90" t="s">
        <v>532</v>
      </c>
      <c r="L163" s="90" t="s">
        <v>528</v>
      </c>
      <c r="M163" s="90">
        <v>237</v>
      </c>
      <c r="N163" s="100">
        <v>70709932.099999994</v>
      </c>
      <c r="O163" s="66">
        <v>1328</v>
      </c>
      <c r="P163" s="67">
        <v>186415</v>
      </c>
      <c r="Q163" s="68">
        <f t="shared" si="8"/>
        <v>247559120</v>
      </c>
      <c r="V163" s="90" t="s">
        <v>618</v>
      </c>
      <c r="W163" s="90" t="s">
        <v>327</v>
      </c>
      <c r="X163" s="90">
        <v>26</v>
      </c>
      <c r="Y163" s="90">
        <v>118950</v>
      </c>
    </row>
    <row r="164" spans="1:25" ht="15" x14ac:dyDescent="0.25">
      <c r="A164" s="104" t="s">
        <v>172</v>
      </c>
      <c r="B164" s="104">
        <v>12</v>
      </c>
      <c r="C164" s="105">
        <v>459</v>
      </c>
      <c r="D164" s="105">
        <v>85500524</v>
      </c>
      <c r="E164" s="105">
        <v>30</v>
      </c>
      <c r="F164" s="105">
        <v>5655270</v>
      </c>
      <c r="G164" s="105">
        <v>0</v>
      </c>
      <c r="H164" s="105">
        <v>0</v>
      </c>
      <c r="I164" s="105">
        <v>489</v>
      </c>
      <c r="J164" s="105">
        <v>91155794</v>
      </c>
      <c r="K164" s="90" t="s">
        <v>141</v>
      </c>
      <c r="L164" s="90" t="s">
        <v>528</v>
      </c>
      <c r="M164" s="90">
        <v>1256</v>
      </c>
      <c r="N164" s="100">
        <v>258427400.10000002</v>
      </c>
      <c r="O164" s="66">
        <v>1150</v>
      </c>
      <c r="P164" s="67">
        <v>183667</v>
      </c>
      <c r="Q164" s="68">
        <f t="shared" si="8"/>
        <v>211217050</v>
      </c>
      <c r="V164" s="90" t="s">
        <v>140</v>
      </c>
      <c r="W164" s="90" t="s">
        <v>528</v>
      </c>
      <c r="X164" s="90">
        <v>1158</v>
      </c>
      <c r="Y164" s="90">
        <v>234738658.84999999</v>
      </c>
    </row>
    <row r="165" spans="1:25" ht="15" x14ac:dyDescent="0.25">
      <c r="A165" s="96" t="s">
        <v>173</v>
      </c>
      <c r="B165" s="96">
        <v>12</v>
      </c>
      <c r="C165" s="97">
        <v>484</v>
      </c>
      <c r="D165" s="97">
        <v>88893600</v>
      </c>
      <c r="E165" s="97">
        <f>I165-C165</f>
        <v>13</v>
      </c>
      <c r="F165" s="97">
        <v>4712725</v>
      </c>
      <c r="G165" s="97">
        <v>0</v>
      </c>
      <c r="H165" s="97"/>
      <c r="I165" s="97">
        <v>497</v>
      </c>
      <c r="J165" s="97">
        <v>93606325</v>
      </c>
      <c r="K165" s="90" t="s">
        <v>143</v>
      </c>
      <c r="L165" s="90" t="s">
        <v>528</v>
      </c>
      <c r="M165" s="90">
        <v>197</v>
      </c>
      <c r="N165" s="100">
        <v>44120640.700000003</v>
      </c>
      <c r="O165" s="60">
        <v>2539</v>
      </c>
      <c r="P165" s="56">
        <v>186415</v>
      </c>
      <c r="Q165" s="57">
        <f t="shared" si="8"/>
        <v>473307685</v>
      </c>
      <c r="R165" s="100">
        <f>J165/Q209</f>
        <v>0.97556300590297673</v>
      </c>
      <c r="V165" s="90" t="s">
        <v>532</v>
      </c>
      <c r="W165" s="90" t="s">
        <v>528</v>
      </c>
      <c r="X165" s="90">
        <v>237</v>
      </c>
      <c r="Y165" s="90">
        <v>70709932.099999994</v>
      </c>
    </row>
    <row r="166" spans="1:25" ht="15" x14ac:dyDescent="0.25">
      <c r="A166" s="104" t="s">
        <v>174</v>
      </c>
      <c r="B166" s="104">
        <v>12</v>
      </c>
      <c r="C166" s="105">
        <v>5</v>
      </c>
      <c r="D166" s="105">
        <v>1372892</v>
      </c>
      <c r="E166" s="105">
        <v>0</v>
      </c>
      <c r="F166" s="105">
        <v>0</v>
      </c>
      <c r="G166" s="105">
        <v>0</v>
      </c>
      <c r="H166" s="105">
        <v>0</v>
      </c>
      <c r="I166" s="105">
        <v>5</v>
      </c>
      <c r="J166" s="105">
        <v>1372892</v>
      </c>
      <c r="K166" s="90" t="s">
        <v>144</v>
      </c>
      <c r="L166" s="90" t="s">
        <v>528</v>
      </c>
      <c r="M166" s="90">
        <v>1117</v>
      </c>
      <c r="N166" s="100">
        <v>222417343</v>
      </c>
      <c r="O166" s="32"/>
      <c r="P166" s="32"/>
      <c r="Q166" s="33">
        <f t="shared" si="8"/>
        <v>0</v>
      </c>
      <c r="V166" s="90" t="s">
        <v>141</v>
      </c>
      <c r="W166" s="90" t="s">
        <v>528</v>
      </c>
      <c r="X166" s="90">
        <v>1256</v>
      </c>
      <c r="Y166" s="90">
        <v>258427400.10000002</v>
      </c>
    </row>
    <row r="167" spans="1:25" ht="15" x14ac:dyDescent="0.25">
      <c r="A167" s="101" t="s">
        <v>175</v>
      </c>
      <c r="B167" s="101">
        <v>12</v>
      </c>
      <c r="C167" s="102">
        <v>0</v>
      </c>
      <c r="D167" s="102">
        <v>0</v>
      </c>
      <c r="E167" s="102">
        <v>0</v>
      </c>
      <c r="F167" s="102">
        <v>0</v>
      </c>
      <c r="G167" s="102">
        <v>0</v>
      </c>
      <c r="H167" s="102">
        <v>0</v>
      </c>
      <c r="I167" s="102">
        <v>0</v>
      </c>
      <c r="J167" s="102">
        <v>0</v>
      </c>
      <c r="K167" s="90" t="s">
        <v>145</v>
      </c>
      <c r="L167" s="90" t="s">
        <v>528</v>
      </c>
      <c r="M167" s="90">
        <v>309</v>
      </c>
      <c r="N167" s="100">
        <v>71731343.040000007</v>
      </c>
      <c r="O167" s="32"/>
      <c r="P167" s="32"/>
      <c r="Q167" s="33">
        <f t="shared" si="8"/>
        <v>0</v>
      </c>
      <c r="V167" s="90" t="s">
        <v>143</v>
      </c>
      <c r="W167" s="90" t="s">
        <v>528</v>
      </c>
      <c r="X167" s="90">
        <v>197</v>
      </c>
      <c r="Y167" s="90">
        <v>44120640.700000003</v>
      </c>
    </row>
    <row r="168" spans="1:25" ht="15" x14ac:dyDescent="0.25">
      <c r="A168" s="101" t="s">
        <v>176</v>
      </c>
      <c r="B168" s="101">
        <v>12</v>
      </c>
      <c r="C168" s="102">
        <v>0</v>
      </c>
      <c r="D168" s="102">
        <v>0</v>
      </c>
      <c r="E168" s="102">
        <v>0</v>
      </c>
      <c r="F168" s="102">
        <v>0</v>
      </c>
      <c r="G168" s="102">
        <v>0</v>
      </c>
      <c r="H168" s="102">
        <v>0</v>
      </c>
      <c r="I168" s="102">
        <v>0</v>
      </c>
      <c r="J168" s="102">
        <v>0</v>
      </c>
      <c r="K168" s="90" t="s">
        <v>146</v>
      </c>
      <c r="L168" s="90" t="s">
        <v>528</v>
      </c>
      <c r="M168" s="90">
        <v>1542</v>
      </c>
      <c r="N168" s="100">
        <v>319498497.69999999</v>
      </c>
      <c r="O168" s="66">
        <v>583</v>
      </c>
      <c r="P168" s="67">
        <v>184320</v>
      </c>
      <c r="Q168" s="68">
        <f t="shared" si="8"/>
        <v>107458560</v>
      </c>
      <c r="V168" s="90" t="s">
        <v>144</v>
      </c>
      <c r="W168" s="90" t="s">
        <v>528</v>
      </c>
      <c r="X168" s="90">
        <v>1117</v>
      </c>
      <c r="Y168" s="90">
        <v>222417343</v>
      </c>
    </row>
    <row r="169" spans="1:25" ht="15" x14ac:dyDescent="0.25">
      <c r="A169" s="101" t="s">
        <v>177</v>
      </c>
      <c r="B169" s="101">
        <v>12</v>
      </c>
      <c r="C169" s="102">
        <v>1</v>
      </c>
      <c r="D169" s="102">
        <v>537037</v>
      </c>
      <c r="E169" s="102">
        <v>0</v>
      </c>
      <c r="F169" s="102">
        <v>0</v>
      </c>
      <c r="G169" s="102">
        <v>0</v>
      </c>
      <c r="H169" s="102">
        <v>0</v>
      </c>
      <c r="I169" s="102">
        <v>1</v>
      </c>
      <c r="J169" s="102">
        <v>537037</v>
      </c>
      <c r="K169" s="90" t="s">
        <v>146</v>
      </c>
      <c r="L169" s="90" t="s">
        <v>327</v>
      </c>
      <c r="M169" s="90">
        <v>10</v>
      </c>
      <c r="N169" s="100">
        <v>160000</v>
      </c>
      <c r="O169" s="60">
        <v>115</v>
      </c>
      <c r="P169" s="56">
        <v>191651</v>
      </c>
      <c r="Q169" s="57">
        <f t="shared" si="8"/>
        <v>22039865</v>
      </c>
      <c r="V169" s="90" t="s">
        <v>145</v>
      </c>
      <c r="W169" s="90" t="s">
        <v>528</v>
      </c>
      <c r="X169" s="90">
        <v>309</v>
      </c>
      <c r="Y169" s="90">
        <v>71731343.040000007</v>
      </c>
    </row>
    <row r="170" spans="1:25" ht="15" x14ac:dyDescent="0.25">
      <c r="A170" s="96" t="s">
        <v>178</v>
      </c>
      <c r="B170" s="96">
        <v>12</v>
      </c>
      <c r="C170" s="97">
        <v>144</v>
      </c>
      <c r="D170" s="97">
        <v>8408880</v>
      </c>
      <c r="E170" s="97">
        <f>576+298</f>
        <v>874</v>
      </c>
      <c r="F170" s="97" t="e">
        <f>E170*#REF!</f>
        <v>#REF!</v>
      </c>
      <c r="G170" s="97">
        <v>0</v>
      </c>
      <c r="H170" s="97">
        <v>0</v>
      </c>
      <c r="I170" s="97">
        <v>1018</v>
      </c>
      <c r="J170" s="97">
        <v>37200000</v>
      </c>
      <c r="K170" s="90" t="s">
        <v>147</v>
      </c>
      <c r="L170" s="90" t="s">
        <v>528</v>
      </c>
      <c r="M170" s="90">
        <v>60</v>
      </c>
      <c r="N170" s="100">
        <v>21365432.82</v>
      </c>
      <c r="O170" s="60">
        <v>1236</v>
      </c>
      <c r="P170" s="56">
        <v>16000</v>
      </c>
      <c r="Q170" s="33">
        <f t="shared" si="8"/>
        <v>19776000</v>
      </c>
      <c r="R170" s="99">
        <f>J170-Q80</f>
        <v>10895383.199999999</v>
      </c>
      <c r="V170" s="90" t="s">
        <v>146</v>
      </c>
      <c r="W170" s="90" t="s">
        <v>528</v>
      </c>
      <c r="X170" s="90">
        <v>1542</v>
      </c>
      <c r="Y170" s="90">
        <v>319498497.69999999</v>
      </c>
    </row>
    <row r="171" spans="1:25" ht="15" x14ac:dyDescent="0.25">
      <c r="A171" s="96" t="s">
        <v>179</v>
      </c>
      <c r="B171" s="96">
        <v>12</v>
      </c>
      <c r="C171" s="97">
        <v>24797</v>
      </c>
      <c r="D171" s="97">
        <v>127113973</v>
      </c>
      <c r="E171" s="97">
        <v>15719</v>
      </c>
      <c r="F171" s="97">
        <v>82006560</v>
      </c>
      <c r="G171" s="97">
        <f>C171+E171-I171</f>
        <v>14610</v>
      </c>
      <c r="H171" s="97" t="e">
        <f>G171*#REF!</f>
        <v>#REF!</v>
      </c>
      <c r="I171" s="97">
        <v>25906</v>
      </c>
      <c r="J171" s="97">
        <v>134579148</v>
      </c>
      <c r="K171" s="90" t="s">
        <v>147</v>
      </c>
      <c r="L171" s="90" t="s">
        <v>327</v>
      </c>
      <c r="M171" s="90">
        <v>59</v>
      </c>
      <c r="N171" s="100">
        <v>271891.67</v>
      </c>
      <c r="O171" s="32"/>
      <c r="P171" s="32"/>
      <c r="Q171" s="33">
        <f t="shared" si="8"/>
        <v>0</v>
      </c>
      <c r="R171" s="100">
        <f>J171-Q97</f>
        <v>-871631.63999998569</v>
      </c>
      <c r="V171" s="90" t="s">
        <v>146</v>
      </c>
      <c r="W171" s="90" t="s">
        <v>327</v>
      </c>
      <c r="X171" s="90">
        <v>10</v>
      </c>
      <c r="Y171" s="90">
        <v>160000</v>
      </c>
    </row>
    <row r="172" spans="1:25" ht="15" x14ac:dyDescent="0.25">
      <c r="A172" s="101" t="s">
        <v>180</v>
      </c>
      <c r="B172" s="101">
        <v>12</v>
      </c>
      <c r="C172" s="102">
        <v>1056</v>
      </c>
      <c r="D172" s="102">
        <v>82980480</v>
      </c>
      <c r="E172" s="102">
        <v>360</v>
      </c>
      <c r="F172" s="102">
        <v>27106680</v>
      </c>
      <c r="G172" s="102">
        <v>1416</v>
      </c>
      <c r="H172" s="102">
        <v>110087160</v>
      </c>
      <c r="I172" s="102">
        <v>0</v>
      </c>
      <c r="J172" s="102">
        <v>0</v>
      </c>
      <c r="K172" s="90" t="s">
        <v>148</v>
      </c>
      <c r="L172" s="90" t="s">
        <v>528</v>
      </c>
      <c r="M172" s="90">
        <v>356</v>
      </c>
      <c r="N172" s="100">
        <v>44377221.329999998</v>
      </c>
      <c r="O172" s="32"/>
      <c r="P172" s="32"/>
      <c r="Q172" s="33">
        <f t="shared" si="8"/>
        <v>0</v>
      </c>
      <c r="V172" s="90" t="s">
        <v>147</v>
      </c>
      <c r="W172" s="90" t="s">
        <v>528</v>
      </c>
      <c r="X172" s="90">
        <v>60</v>
      </c>
      <c r="Y172" s="90">
        <v>21365432.82</v>
      </c>
    </row>
    <row r="173" spans="1:25" ht="15" x14ac:dyDescent="0.25">
      <c r="A173" s="101" t="s">
        <v>181</v>
      </c>
      <c r="B173" s="101">
        <v>12</v>
      </c>
      <c r="C173" s="102">
        <v>432</v>
      </c>
      <c r="D173" s="102">
        <v>22188108</v>
      </c>
      <c r="E173" s="102">
        <v>375</v>
      </c>
      <c r="F173" s="102">
        <v>19270875</v>
      </c>
      <c r="G173" s="102">
        <v>501</v>
      </c>
      <c r="H173" s="102">
        <v>25738476</v>
      </c>
      <c r="I173" s="102">
        <v>306</v>
      </c>
      <c r="J173" s="102">
        <v>15720507</v>
      </c>
      <c r="K173" s="90" t="s">
        <v>148</v>
      </c>
      <c r="L173" s="90" t="s">
        <v>303</v>
      </c>
      <c r="M173" s="90">
        <v>2</v>
      </c>
      <c r="N173" s="100">
        <v>35185.32</v>
      </c>
      <c r="O173" s="32"/>
      <c r="P173" s="32"/>
      <c r="Q173" s="33">
        <f t="shared" si="8"/>
        <v>0</v>
      </c>
      <c r="V173" s="90" t="s">
        <v>147</v>
      </c>
      <c r="W173" s="90" t="s">
        <v>327</v>
      </c>
      <c r="X173" s="90">
        <v>59</v>
      </c>
      <c r="Y173" s="90">
        <v>271891.67</v>
      </c>
    </row>
    <row r="174" spans="1:25" ht="15" x14ac:dyDescent="0.25">
      <c r="A174" s="101" t="s">
        <v>182</v>
      </c>
      <c r="B174" s="101">
        <v>12</v>
      </c>
      <c r="C174" s="102">
        <v>0</v>
      </c>
      <c r="D174" s="102">
        <v>0</v>
      </c>
      <c r="E174" s="102">
        <v>180</v>
      </c>
      <c r="F174" s="102">
        <v>11127420</v>
      </c>
      <c r="G174" s="102">
        <v>180</v>
      </c>
      <c r="H174" s="102">
        <v>11127420</v>
      </c>
      <c r="I174" s="102">
        <v>0</v>
      </c>
      <c r="J174" s="102">
        <v>0</v>
      </c>
      <c r="K174" s="90" t="s">
        <v>149</v>
      </c>
      <c r="L174" s="90" t="s">
        <v>528</v>
      </c>
      <c r="M174" s="90">
        <v>1308</v>
      </c>
      <c r="N174" s="100">
        <v>278883275.25</v>
      </c>
      <c r="O174" s="32"/>
      <c r="P174" s="32"/>
      <c r="Q174" s="33">
        <f t="shared" si="8"/>
        <v>0</v>
      </c>
      <c r="V174" s="90" t="s">
        <v>148</v>
      </c>
      <c r="W174" s="90" t="s">
        <v>528</v>
      </c>
      <c r="X174" s="90">
        <v>356</v>
      </c>
      <c r="Y174" s="90">
        <v>44377221.329999998</v>
      </c>
    </row>
    <row r="175" spans="1:25" ht="15" x14ac:dyDescent="0.25">
      <c r="A175" s="96" t="s">
        <v>183</v>
      </c>
      <c r="B175" s="96">
        <v>12</v>
      </c>
      <c r="C175" s="97">
        <v>2751</v>
      </c>
      <c r="D175" s="97">
        <v>148297433</v>
      </c>
      <c r="E175" s="97">
        <v>306</v>
      </c>
      <c r="F175" s="97">
        <v>16321556</v>
      </c>
      <c r="G175" s="97">
        <f t="shared" ref="G175:H178" si="9">C175+E175-I175</f>
        <v>284</v>
      </c>
      <c r="H175" s="97">
        <f t="shared" si="9"/>
        <v>13731712</v>
      </c>
      <c r="I175" s="97">
        <v>2773</v>
      </c>
      <c r="J175" s="97">
        <v>150887277</v>
      </c>
      <c r="K175" s="90" t="s">
        <v>149</v>
      </c>
      <c r="L175" s="90" t="s">
        <v>327</v>
      </c>
      <c r="M175" s="90">
        <v>8</v>
      </c>
      <c r="N175" s="100">
        <v>128000</v>
      </c>
      <c r="O175" s="60">
        <v>810</v>
      </c>
      <c r="P175" s="56">
        <v>115200</v>
      </c>
      <c r="Q175" s="57">
        <f t="shared" si="8"/>
        <v>93312000</v>
      </c>
      <c r="R175" s="100">
        <f>J175-Q303</f>
        <v>-1556037.3600000143</v>
      </c>
      <c r="V175" s="90" t="s">
        <v>148</v>
      </c>
      <c r="W175" s="90" t="s">
        <v>303</v>
      </c>
      <c r="X175" s="90">
        <v>2</v>
      </c>
      <c r="Y175" s="90">
        <v>35185.32</v>
      </c>
    </row>
    <row r="176" spans="1:25" ht="15" x14ac:dyDescent="0.25">
      <c r="A176" s="96" t="s">
        <v>184</v>
      </c>
      <c r="B176" s="96">
        <v>12</v>
      </c>
      <c r="C176" s="97">
        <v>2074</v>
      </c>
      <c r="D176" s="97">
        <v>111994520</v>
      </c>
      <c r="E176" s="97">
        <v>408</v>
      </c>
      <c r="F176" s="97">
        <v>21762074</v>
      </c>
      <c r="G176" s="97">
        <f t="shared" si="9"/>
        <v>900</v>
      </c>
      <c r="H176" s="97">
        <f t="shared" si="9"/>
        <v>47693225</v>
      </c>
      <c r="I176" s="97">
        <v>1582</v>
      </c>
      <c r="J176" s="97">
        <v>86063369</v>
      </c>
      <c r="K176" s="90" t="s">
        <v>151</v>
      </c>
      <c r="L176" s="90" t="s">
        <v>528</v>
      </c>
      <c r="M176" s="90">
        <v>893</v>
      </c>
      <c r="N176" s="100">
        <v>183357232.90000001</v>
      </c>
      <c r="O176" s="75">
        <v>280</v>
      </c>
      <c r="P176" s="73">
        <v>267055</v>
      </c>
      <c r="Q176" s="74">
        <f t="shared" si="8"/>
        <v>74775400</v>
      </c>
      <c r="R176" s="100">
        <f>J176-Q304</f>
        <v>-821703.45999999344</v>
      </c>
      <c r="V176" s="90" t="s">
        <v>149</v>
      </c>
      <c r="W176" s="90" t="s">
        <v>528</v>
      </c>
      <c r="X176" s="90">
        <v>1308</v>
      </c>
      <c r="Y176" s="90">
        <v>278883275.25</v>
      </c>
    </row>
    <row r="177" spans="1:25" ht="15" x14ac:dyDescent="0.25">
      <c r="A177" s="96" t="s">
        <v>185</v>
      </c>
      <c r="B177" s="96">
        <v>12</v>
      </c>
      <c r="C177" s="97">
        <v>770</v>
      </c>
      <c r="D177" s="97">
        <v>141860096</v>
      </c>
      <c r="E177" s="97">
        <v>400</v>
      </c>
      <c r="F177" s="97">
        <v>72675000</v>
      </c>
      <c r="G177" s="97">
        <f t="shared" si="9"/>
        <v>229</v>
      </c>
      <c r="H177" s="97">
        <f t="shared" si="9"/>
        <v>44862468</v>
      </c>
      <c r="I177" s="97">
        <v>941</v>
      </c>
      <c r="J177" s="97">
        <v>169672628</v>
      </c>
      <c r="K177" s="90" t="s">
        <v>559</v>
      </c>
      <c r="L177" s="90" t="s">
        <v>528</v>
      </c>
      <c r="M177" s="90">
        <v>50</v>
      </c>
      <c r="N177" s="100">
        <v>9189828</v>
      </c>
      <c r="O177" s="66">
        <v>188</v>
      </c>
      <c r="P177" s="67">
        <v>183667</v>
      </c>
      <c r="Q177" s="68">
        <f t="shared" si="8"/>
        <v>34529396</v>
      </c>
      <c r="R177" s="100">
        <f>J177-Q309</f>
        <v>2956427.75</v>
      </c>
      <c r="V177" s="90" t="s">
        <v>149</v>
      </c>
      <c r="W177" s="90" t="s">
        <v>327</v>
      </c>
      <c r="X177" s="90">
        <v>8</v>
      </c>
      <c r="Y177" s="90">
        <v>128000</v>
      </c>
    </row>
    <row r="178" spans="1:25" ht="15" x14ac:dyDescent="0.25">
      <c r="A178" s="96" t="s">
        <v>186</v>
      </c>
      <c r="B178" s="96">
        <v>12</v>
      </c>
      <c r="C178" s="97">
        <v>1555</v>
      </c>
      <c r="D178" s="97">
        <v>69495853</v>
      </c>
      <c r="E178" s="97">
        <f>3000+4668</f>
        <v>7668</v>
      </c>
      <c r="F178" s="97" t="e">
        <f>E178*#REF!</f>
        <v>#REF!</v>
      </c>
      <c r="G178" s="97">
        <f t="shared" si="9"/>
        <v>4555</v>
      </c>
      <c r="H178" s="97" t="e">
        <f t="shared" si="9"/>
        <v>#REF!</v>
      </c>
      <c r="I178" s="97">
        <v>4668</v>
      </c>
      <c r="J178" s="97">
        <v>202481732</v>
      </c>
      <c r="K178" s="90" t="s">
        <v>577</v>
      </c>
      <c r="L178" s="90" t="s">
        <v>528</v>
      </c>
      <c r="M178" s="90">
        <v>70</v>
      </c>
      <c r="N178" s="100">
        <v>17676580</v>
      </c>
      <c r="O178" s="32"/>
      <c r="P178" s="32"/>
      <c r="Q178" s="33">
        <f t="shared" si="8"/>
        <v>0</v>
      </c>
      <c r="R178" s="100">
        <f>J178-Q307</f>
        <v>11856034.550000012</v>
      </c>
      <c r="V178" s="90" t="s">
        <v>151</v>
      </c>
      <c r="W178" s="90" t="s">
        <v>528</v>
      </c>
      <c r="X178" s="90">
        <v>893</v>
      </c>
      <c r="Y178" s="90">
        <v>183357232.90000001</v>
      </c>
    </row>
    <row r="179" spans="1:25" ht="15" x14ac:dyDescent="0.25">
      <c r="A179" s="115" t="s">
        <v>187</v>
      </c>
      <c r="B179" s="115">
        <v>12</v>
      </c>
      <c r="C179" s="116">
        <v>973</v>
      </c>
      <c r="D179" s="116">
        <v>34563746</v>
      </c>
      <c r="E179" s="116">
        <v>0</v>
      </c>
      <c r="F179" s="116" t="e">
        <f>F178/E178</f>
        <v>#REF!</v>
      </c>
      <c r="G179" s="116">
        <v>130</v>
      </c>
      <c r="H179" s="116">
        <v>4689892</v>
      </c>
      <c r="I179" s="116">
        <v>843</v>
      </c>
      <c r="J179" s="116">
        <v>29873854</v>
      </c>
      <c r="K179" s="90" t="s">
        <v>155</v>
      </c>
      <c r="L179" s="90" t="s">
        <v>528</v>
      </c>
      <c r="M179" s="90">
        <v>68</v>
      </c>
      <c r="N179" s="100">
        <v>29972380.850000001</v>
      </c>
      <c r="O179" s="32"/>
      <c r="P179" s="32"/>
      <c r="Q179" s="33">
        <f t="shared" si="8"/>
        <v>0</v>
      </c>
      <c r="R179" s="100">
        <f>J179-Q314</f>
        <v>82234</v>
      </c>
      <c r="V179" s="90" t="s">
        <v>559</v>
      </c>
      <c r="W179" s="90" t="s">
        <v>528</v>
      </c>
      <c r="X179" s="90">
        <v>50</v>
      </c>
      <c r="Y179" s="90">
        <v>9189828</v>
      </c>
    </row>
    <row r="180" spans="1:25" ht="15" x14ac:dyDescent="0.25">
      <c r="A180" s="96" t="s">
        <v>188</v>
      </c>
      <c r="B180" s="96">
        <v>12</v>
      </c>
      <c r="C180" s="97">
        <v>7616</v>
      </c>
      <c r="D180" s="97">
        <v>1284172909</v>
      </c>
      <c r="E180" s="97">
        <v>4500</v>
      </c>
      <c r="F180" s="97">
        <v>816216250</v>
      </c>
      <c r="G180" s="97">
        <f>C180+E180-I180</f>
        <v>4573</v>
      </c>
      <c r="H180" s="97">
        <f>D180+F180-J180</f>
        <v>754127000</v>
      </c>
      <c r="I180" s="97">
        <v>7543</v>
      </c>
      <c r="J180" s="97">
        <v>1346262159</v>
      </c>
      <c r="K180" s="90" t="s">
        <v>156</v>
      </c>
      <c r="L180" s="90" t="s">
        <v>528</v>
      </c>
      <c r="M180" s="90">
        <v>94</v>
      </c>
      <c r="N180" s="100">
        <v>23588748.199999999</v>
      </c>
      <c r="O180" s="117">
        <v>2</v>
      </c>
      <c r="P180" s="38">
        <v>184473</v>
      </c>
      <c r="Q180" s="33">
        <f t="shared" si="8"/>
        <v>368946</v>
      </c>
      <c r="R180" s="100">
        <f>J180-Q310</f>
        <v>-154109910</v>
      </c>
      <c r="V180" s="90" t="s">
        <v>577</v>
      </c>
      <c r="W180" s="90" t="s">
        <v>528</v>
      </c>
      <c r="X180" s="90">
        <v>70</v>
      </c>
      <c r="Y180" s="90">
        <v>17676580</v>
      </c>
    </row>
    <row r="181" spans="1:25" ht="15" x14ac:dyDescent="0.25">
      <c r="A181" s="96" t="s">
        <v>189</v>
      </c>
      <c r="B181" s="96">
        <v>12</v>
      </c>
      <c r="C181" s="97">
        <v>690</v>
      </c>
      <c r="D181" s="97">
        <v>30148907</v>
      </c>
      <c r="E181" s="97">
        <v>0</v>
      </c>
      <c r="F181" s="97">
        <v>0</v>
      </c>
      <c r="G181" s="97">
        <f>C181-I181</f>
        <v>144</v>
      </c>
      <c r="H181" s="97">
        <f>D181-J181</f>
        <v>5958168</v>
      </c>
      <c r="I181" s="97">
        <v>546</v>
      </c>
      <c r="J181" s="97">
        <v>24190739</v>
      </c>
      <c r="K181" s="90" t="s">
        <v>157</v>
      </c>
      <c r="L181" s="90" t="s">
        <v>528</v>
      </c>
      <c r="M181" s="90">
        <v>100</v>
      </c>
      <c r="N181" s="100">
        <v>25245271.5</v>
      </c>
      <c r="O181" s="66">
        <v>319</v>
      </c>
      <c r="P181" s="67">
        <v>189655</v>
      </c>
      <c r="Q181" s="68">
        <f t="shared" si="8"/>
        <v>60499945</v>
      </c>
      <c r="R181" s="100">
        <f>J181-Q305</f>
        <v>-399124.29999999702</v>
      </c>
      <c r="V181" s="90" t="s">
        <v>155</v>
      </c>
      <c r="W181" s="90" t="s">
        <v>528</v>
      </c>
      <c r="X181" s="90">
        <v>68</v>
      </c>
      <c r="Y181" s="90">
        <v>29972380.850000001</v>
      </c>
    </row>
    <row r="182" spans="1:25" ht="15" x14ac:dyDescent="0.25">
      <c r="A182" s="96" t="s">
        <v>190</v>
      </c>
      <c r="B182" s="96">
        <v>12</v>
      </c>
      <c r="C182" s="97">
        <v>11502</v>
      </c>
      <c r="D182" s="97">
        <v>332240556</v>
      </c>
      <c r="E182" s="97">
        <v>3150</v>
      </c>
      <c r="F182" s="97">
        <v>90972000</v>
      </c>
      <c r="G182" s="97">
        <f>C182+E182-I182</f>
        <v>9809</v>
      </c>
      <c r="H182" s="97">
        <f>D182+F182-J182</f>
        <v>286291540</v>
      </c>
      <c r="I182" s="97">
        <v>4843</v>
      </c>
      <c r="J182" s="97">
        <v>136921016</v>
      </c>
      <c r="K182" s="90" t="s">
        <v>158</v>
      </c>
      <c r="L182" s="90" t="s">
        <v>528</v>
      </c>
      <c r="M182" s="90">
        <v>79</v>
      </c>
      <c r="N182" s="100">
        <v>32569859.899999999</v>
      </c>
      <c r="O182" s="75">
        <v>50</v>
      </c>
      <c r="P182" s="73">
        <v>170182</v>
      </c>
      <c r="Q182" s="74">
        <f t="shared" si="8"/>
        <v>8509100</v>
      </c>
      <c r="R182" s="100">
        <f>J182-Q313</f>
        <v>2996552</v>
      </c>
      <c r="V182" s="90" t="s">
        <v>156</v>
      </c>
      <c r="W182" s="90" t="s">
        <v>528</v>
      </c>
      <c r="X182" s="90">
        <v>94</v>
      </c>
      <c r="Y182" s="90">
        <v>23588748.199999999</v>
      </c>
    </row>
    <row r="183" spans="1:25" ht="15" x14ac:dyDescent="0.25">
      <c r="A183" s="96" t="s">
        <v>191</v>
      </c>
      <c r="B183" s="96">
        <v>12</v>
      </c>
      <c r="C183" s="97">
        <v>15969</v>
      </c>
      <c r="D183" s="97">
        <v>459112502</v>
      </c>
      <c r="E183" s="97">
        <v>65615</v>
      </c>
      <c r="F183" s="97">
        <v>1833319500</v>
      </c>
      <c r="G183" s="97">
        <f>C183+E183-I183</f>
        <v>40229</v>
      </c>
      <c r="H183" s="97">
        <f>D183+F183-J183</f>
        <v>1123236500</v>
      </c>
      <c r="I183" s="97">
        <v>41355</v>
      </c>
      <c r="J183" s="97">
        <v>1169195502</v>
      </c>
      <c r="K183" s="90" t="s">
        <v>915</v>
      </c>
      <c r="L183" s="90" t="s">
        <v>303</v>
      </c>
      <c r="M183" s="90">
        <v>1</v>
      </c>
      <c r="N183" s="100">
        <v>26298.3</v>
      </c>
      <c r="O183" s="32"/>
      <c r="P183" s="32"/>
      <c r="Q183" s="33">
        <f t="shared" si="8"/>
        <v>0</v>
      </c>
      <c r="R183" s="100">
        <f>J183-Q316</f>
        <v>-151530978</v>
      </c>
      <c r="V183" s="90" t="s">
        <v>157</v>
      </c>
      <c r="W183" s="90" t="s">
        <v>528</v>
      </c>
      <c r="X183" s="90">
        <v>100</v>
      </c>
      <c r="Y183" s="90">
        <v>25245271.5</v>
      </c>
    </row>
    <row r="184" spans="1:25" ht="15" x14ac:dyDescent="0.25">
      <c r="A184" s="96" t="s">
        <v>192</v>
      </c>
      <c r="B184" s="96">
        <v>12</v>
      </c>
      <c r="C184" s="97">
        <v>10975</v>
      </c>
      <c r="D184" s="97">
        <v>79007874</v>
      </c>
      <c r="E184" s="97">
        <v>0</v>
      </c>
      <c r="F184" s="97">
        <v>0</v>
      </c>
      <c r="G184" s="97">
        <f>C184-I184</f>
        <v>4660</v>
      </c>
      <c r="H184" s="97">
        <f>D184-J184</f>
        <v>33402873</v>
      </c>
      <c r="I184" s="97">
        <v>6315</v>
      </c>
      <c r="J184" s="97">
        <v>45605001</v>
      </c>
      <c r="K184" s="90" t="s">
        <v>159</v>
      </c>
      <c r="L184" s="90" t="s">
        <v>528</v>
      </c>
      <c r="M184" s="90">
        <v>53</v>
      </c>
      <c r="N184" s="100">
        <v>15171162.528000003</v>
      </c>
      <c r="O184" s="32"/>
      <c r="P184" s="32"/>
      <c r="Q184" s="33">
        <f t="shared" si="8"/>
        <v>0</v>
      </c>
      <c r="R184" s="100">
        <f>J184-Q312</f>
        <v>-133699</v>
      </c>
      <c r="V184" s="90" t="s">
        <v>158</v>
      </c>
      <c r="W184" s="90" t="s">
        <v>528</v>
      </c>
      <c r="X184" s="90">
        <v>79</v>
      </c>
      <c r="Y184" s="90">
        <v>32569859.899999999</v>
      </c>
    </row>
    <row r="185" spans="1:25" ht="15" x14ac:dyDescent="0.25">
      <c r="A185" s="96" t="s">
        <v>193</v>
      </c>
      <c r="B185" s="96">
        <v>12</v>
      </c>
      <c r="C185" s="97">
        <v>0</v>
      </c>
      <c r="D185" s="97">
        <v>0</v>
      </c>
      <c r="E185" s="97">
        <v>250</v>
      </c>
      <c r="F185" s="97">
        <v>53642625</v>
      </c>
      <c r="G185" s="97">
        <v>0</v>
      </c>
      <c r="H185" s="97">
        <v>0</v>
      </c>
      <c r="I185" s="97">
        <v>250</v>
      </c>
      <c r="J185" s="97">
        <v>53642625</v>
      </c>
      <c r="K185" s="90" t="s">
        <v>160</v>
      </c>
      <c r="L185" s="90" t="s">
        <v>528</v>
      </c>
      <c r="M185" s="90">
        <v>47</v>
      </c>
      <c r="N185" s="100">
        <v>16801821.760000002</v>
      </c>
      <c r="O185" s="76">
        <v>2430</v>
      </c>
      <c r="P185" s="77">
        <v>40050</v>
      </c>
      <c r="Q185" s="68">
        <f t="shared" si="8"/>
        <v>97321500</v>
      </c>
      <c r="R185" s="100">
        <f>J185-Q241</f>
        <v>229732.5</v>
      </c>
      <c r="V185" s="90" t="s">
        <v>915</v>
      </c>
      <c r="W185" s="90" t="s">
        <v>303</v>
      </c>
      <c r="X185" s="90">
        <v>1</v>
      </c>
      <c r="Y185" s="90">
        <v>26298.3</v>
      </c>
    </row>
    <row r="186" spans="1:25" ht="15" x14ac:dyDescent="0.25">
      <c r="A186" s="96" t="s">
        <v>194</v>
      </c>
      <c r="B186" s="96">
        <v>12</v>
      </c>
      <c r="C186" s="97">
        <v>131535</v>
      </c>
      <c r="D186" s="97">
        <v>626836099</v>
      </c>
      <c r="E186" s="97">
        <v>273861</v>
      </c>
      <c r="F186" s="97">
        <v>1931160000</v>
      </c>
      <c r="G186" s="97">
        <f>C186+E186-I186</f>
        <v>227875</v>
      </c>
      <c r="H186" s="97">
        <f>D186+F186-J186</f>
        <v>1303281000</v>
      </c>
      <c r="I186" s="97">
        <v>177521</v>
      </c>
      <c r="J186" s="97">
        <v>1254715099</v>
      </c>
      <c r="K186" s="90" t="s">
        <v>574</v>
      </c>
      <c r="L186" s="90" t="s">
        <v>528</v>
      </c>
      <c r="M186" s="90">
        <v>40</v>
      </c>
      <c r="N186" s="100">
        <v>7238765</v>
      </c>
      <c r="O186" s="32"/>
      <c r="P186" s="32"/>
      <c r="Q186" s="33">
        <f t="shared" si="8"/>
        <v>0</v>
      </c>
      <c r="R186" s="100">
        <f>J186-Q315</f>
        <v>-465395789</v>
      </c>
      <c r="V186" s="90" t="s">
        <v>159</v>
      </c>
      <c r="W186" s="90" t="s">
        <v>528</v>
      </c>
      <c r="X186" s="90">
        <v>53</v>
      </c>
      <c r="Y186" s="90">
        <v>15171162.528000003</v>
      </c>
    </row>
    <row r="187" spans="1:25" ht="15" x14ac:dyDescent="0.25">
      <c r="A187" s="96" t="s">
        <v>195</v>
      </c>
      <c r="B187" s="96">
        <v>12</v>
      </c>
      <c r="C187" s="97">
        <v>0</v>
      </c>
      <c r="D187" s="97">
        <v>0</v>
      </c>
      <c r="E187" s="97">
        <v>11200</v>
      </c>
      <c r="F187" s="97">
        <v>2411276207</v>
      </c>
      <c r="G187" s="97">
        <f>E187-I187</f>
        <v>1333</v>
      </c>
      <c r="H187" s="97">
        <f>F187-J187</f>
        <v>303268263</v>
      </c>
      <c r="I187" s="97">
        <v>9867</v>
      </c>
      <c r="J187" s="97">
        <v>2108007944</v>
      </c>
      <c r="K187" s="90" t="s">
        <v>572</v>
      </c>
      <c r="L187" s="90" t="s">
        <v>528</v>
      </c>
      <c r="M187" s="90">
        <v>151</v>
      </c>
      <c r="N187" s="100">
        <v>38214034.799999997</v>
      </c>
      <c r="O187" s="60">
        <v>9455</v>
      </c>
      <c r="P187" s="56">
        <v>36184</v>
      </c>
      <c r="Q187" s="57">
        <f t="shared" si="8"/>
        <v>342119720</v>
      </c>
      <c r="R187" s="100">
        <f>J187-Q242</f>
        <v>13154300.149999857</v>
      </c>
      <c r="V187" s="90" t="s">
        <v>160</v>
      </c>
      <c r="W187" s="90" t="s">
        <v>528</v>
      </c>
      <c r="X187" s="90">
        <v>47</v>
      </c>
      <c r="Y187" s="90">
        <v>16801821.760000002</v>
      </c>
    </row>
    <row r="188" spans="1:25" ht="15" x14ac:dyDescent="0.25">
      <c r="A188" s="101" t="s">
        <v>196</v>
      </c>
      <c r="B188" s="101">
        <v>12</v>
      </c>
      <c r="C188" s="102">
        <v>0</v>
      </c>
      <c r="D188" s="102">
        <v>0</v>
      </c>
      <c r="E188" s="102">
        <v>0</v>
      </c>
      <c r="F188" s="102">
        <v>0</v>
      </c>
      <c r="G188" s="102">
        <v>0</v>
      </c>
      <c r="H188" s="102">
        <v>0</v>
      </c>
      <c r="I188" s="102">
        <v>0</v>
      </c>
      <c r="J188" s="102">
        <v>0</v>
      </c>
      <c r="K188" s="90" t="s">
        <v>580</v>
      </c>
      <c r="L188" s="90" t="s">
        <v>528</v>
      </c>
      <c r="M188" s="90">
        <v>77</v>
      </c>
      <c r="N188" s="100">
        <v>13789425</v>
      </c>
      <c r="O188" s="66">
        <v>95</v>
      </c>
      <c r="P188" s="67">
        <v>36184</v>
      </c>
      <c r="Q188" s="68">
        <f t="shared" si="8"/>
        <v>3437480</v>
      </c>
      <c r="V188" s="90" t="s">
        <v>574</v>
      </c>
      <c r="W188" s="90" t="s">
        <v>528</v>
      </c>
      <c r="X188" s="90">
        <v>40</v>
      </c>
      <c r="Y188" s="90">
        <v>7238765</v>
      </c>
    </row>
    <row r="189" spans="1:25" ht="15" x14ac:dyDescent="0.25">
      <c r="A189" s="115" t="s">
        <v>197</v>
      </c>
      <c r="B189" s="115">
        <v>12</v>
      </c>
      <c r="C189" s="116">
        <v>1170</v>
      </c>
      <c r="D189" s="116">
        <v>8433374</v>
      </c>
      <c r="E189" s="116">
        <v>0</v>
      </c>
      <c r="F189" s="116">
        <v>0</v>
      </c>
      <c r="G189" s="116">
        <v>20</v>
      </c>
      <c r="H189" s="116">
        <v>144160</v>
      </c>
      <c r="I189" s="116">
        <v>1150</v>
      </c>
      <c r="J189" s="116">
        <v>8289214</v>
      </c>
      <c r="K189" s="90" t="s">
        <v>161</v>
      </c>
      <c r="L189" s="90" t="s">
        <v>528</v>
      </c>
      <c r="M189" s="90">
        <v>228</v>
      </c>
      <c r="N189" s="100">
        <v>55156657.5</v>
      </c>
      <c r="O189" s="60">
        <v>65</v>
      </c>
      <c r="P189" s="56">
        <v>36184</v>
      </c>
      <c r="Q189" s="57">
        <f t="shared" si="8"/>
        <v>2351960</v>
      </c>
      <c r="R189" s="100">
        <f>J189-Q321</f>
        <v>-13786</v>
      </c>
      <c r="V189" s="90" t="s">
        <v>572</v>
      </c>
      <c r="W189" s="90" t="s">
        <v>528</v>
      </c>
      <c r="X189" s="90">
        <v>151</v>
      </c>
      <c r="Y189" s="90">
        <v>38214034.799999997</v>
      </c>
    </row>
    <row r="190" spans="1:25" ht="15" x14ac:dyDescent="0.25">
      <c r="A190" s="101" t="s">
        <v>198</v>
      </c>
      <c r="B190" s="101">
        <v>12</v>
      </c>
      <c r="C190" s="102">
        <v>0</v>
      </c>
      <c r="D190" s="102">
        <v>0</v>
      </c>
      <c r="E190" s="102">
        <v>0</v>
      </c>
      <c r="F190" s="102">
        <v>0</v>
      </c>
      <c r="G190" s="102">
        <v>0</v>
      </c>
      <c r="H190" s="102">
        <v>0</v>
      </c>
      <c r="I190" s="102">
        <v>0</v>
      </c>
      <c r="J190" s="102">
        <v>0</v>
      </c>
      <c r="K190" s="90" t="s">
        <v>582</v>
      </c>
      <c r="L190" s="90" t="s">
        <v>528</v>
      </c>
      <c r="M190" s="90">
        <v>191</v>
      </c>
      <c r="N190" s="100">
        <v>48123826.700000003</v>
      </c>
      <c r="O190" s="32"/>
      <c r="P190" s="32"/>
      <c r="Q190" s="33">
        <f t="shared" si="8"/>
        <v>0</v>
      </c>
      <c r="V190" s="90" t="s">
        <v>580</v>
      </c>
      <c r="W190" s="90" t="s">
        <v>528</v>
      </c>
      <c r="X190" s="90">
        <v>77</v>
      </c>
      <c r="Y190" s="90">
        <v>13789425</v>
      </c>
    </row>
    <row r="191" spans="1:25" s="146" customFormat="1" ht="15" x14ac:dyDescent="0.25">
      <c r="A191" s="144" t="s">
        <v>199</v>
      </c>
      <c r="B191" s="144">
        <v>12</v>
      </c>
      <c r="C191" s="145">
        <v>77684</v>
      </c>
      <c r="D191" s="145">
        <v>588888</v>
      </c>
      <c r="E191" s="145">
        <v>24</v>
      </c>
      <c r="F191" s="145">
        <v>588888</v>
      </c>
      <c r="G191" s="145">
        <v>0</v>
      </c>
      <c r="H191" s="145">
        <v>0</v>
      </c>
      <c r="I191" s="145">
        <v>77708</v>
      </c>
      <c r="J191" s="145">
        <v>1177776</v>
      </c>
      <c r="K191" s="146" t="s">
        <v>162</v>
      </c>
      <c r="L191" s="146" t="s">
        <v>528</v>
      </c>
      <c r="M191" s="146">
        <v>68</v>
      </c>
      <c r="N191" s="147">
        <v>24301067.789999999</v>
      </c>
      <c r="O191" s="75">
        <v>123</v>
      </c>
      <c r="P191" s="73">
        <v>234589</v>
      </c>
      <c r="Q191" s="74">
        <f t="shared" si="8"/>
        <v>28854447</v>
      </c>
      <c r="R191" s="147"/>
      <c r="T191" s="147"/>
      <c r="V191" s="146" t="s">
        <v>161</v>
      </c>
      <c r="W191" s="146" t="s">
        <v>528</v>
      </c>
      <c r="X191" s="146">
        <v>228</v>
      </c>
      <c r="Y191" s="146">
        <v>55156657.5</v>
      </c>
    </row>
    <row r="192" spans="1:25" ht="15" x14ac:dyDescent="0.25">
      <c r="A192" s="101" t="s">
        <v>200</v>
      </c>
      <c r="B192" s="101">
        <v>12</v>
      </c>
      <c r="C192" s="102">
        <v>144</v>
      </c>
      <c r="D192" s="102">
        <v>1037304</v>
      </c>
      <c r="E192" s="102">
        <v>0</v>
      </c>
      <c r="F192" s="102">
        <v>0</v>
      </c>
      <c r="G192" s="102">
        <v>0</v>
      </c>
      <c r="H192" s="102">
        <v>0</v>
      </c>
      <c r="I192" s="102">
        <v>144</v>
      </c>
      <c r="J192" s="102">
        <v>1037304</v>
      </c>
      <c r="K192" s="90" t="s">
        <v>163</v>
      </c>
      <c r="L192" s="90" t="s">
        <v>528</v>
      </c>
      <c r="M192" s="90">
        <v>1230</v>
      </c>
      <c r="N192" s="100">
        <v>430656779.69999993</v>
      </c>
      <c r="O192" s="66">
        <v>117</v>
      </c>
      <c r="P192" s="67">
        <v>167564</v>
      </c>
      <c r="Q192" s="33">
        <f t="shared" si="8"/>
        <v>19604988</v>
      </c>
      <c r="V192" s="90" t="s">
        <v>582</v>
      </c>
      <c r="W192" s="90" t="s">
        <v>528</v>
      </c>
      <c r="X192" s="90">
        <v>191</v>
      </c>
      <c r="Y192" s="90">
        <v>48123826.700000003</v>
      </c>
    </row>
    <row r="193" spans="1:25" s="98" customFormat="1" ht="15" x14ac:dyDescent="0.25">
      <c r="A193" s="96" t="s">
        <v>201</v>
      </c>
      <c r="B193" s="96">
        <v>12</v>
      </c>
      <c r="C193" s="97">
        <v>1032</v>
      </c>
      <c r="D193" s="97">
        <v>16267839</v>
      </c>
      <c r="E193" s="97">
        <v>180</v>
      </c>
      <c r="F193" s="97">
        <v>2916720</v>
      </c>
      <c r="G193" s="97">
        <v>720</v>
      </c>
      <c r="H193" s="97">
        <v>11396768</v>
      </c>
      <c r="I193" s="97">
        <v>492</v>
      </c>
      <c r="J193" s="97">
        <v>7787791</v>
      </c>
      <c r="K193" s="90" t="s">
        <v>164</v>
      </c>
      <c r="L193" s="90" t="s">
        <v>528</v>
      </c>
      <c r="M193" s="90">
        <v>131</v>
      </c>
      <c r="N193" s="100">
        <v>22458778</v>
      </c>
      <c r="O193" s="32"/>
      <c r="P193" s="32"/>
      <c r="Q193" s="33">
        <f t="shared" si="8"/>
        <v>0</v>
      </c>
      <c r="R193" s="99"/>
      <c r="T193" s="99"/>
      <c r="V193" s="98" t="s">
        <v>162</v>
      </c>
      <c r="W193" s="98" t="s">
        <v>528</v>
      </c>
      <c r="X193" s="98">
        <v>68</v>
      </c>
      <c r="Y193" s="98">
        <v>24301067.789999999</v>
      </c>
    </row>
    <row r="194" spans="1:25" ht="15" x14ac:dyDescent="0.25">
      <c r="A194" s="101" t="s">
        <v>202</v>
      </c>
      <c r="B194" s="101">
        <v>12</v>
      </c>
      <c r="C194" s="102">
        <v>0</v>
      </c>
      <c r="D194" s="102">
        <v>0</v>
      </c>
      <c r="E194" s="102">
        <v>72</v>
      </c>
      <c r="F194" s="102">
        <v>1857744</v>
      </c>
      <c r="G194" s="102">
        <v>0</v>
      </c>
      <c r="H194" s="102">
        <v>0</v>
      </c>
      <c r="I194" s="102">
        <v>72</v>
      </c>
      <c r="J194" s="102">
        <v>1857744</v>
      </c>
      <c r="K194" s="90" t="s">
        <v>164</v>
      </c>
      <c r="L194" s="90" t="s">
        <v>327</v>
      </c>
      <c r="M194" s="90">
        <v>15</v>
      </c>
      <c r="N194" s="100">
        <v>65750.543999999994</v>
      </c>
      <c r="O194" s="66">
        <v>70</v>
      </c>
      <c r="P194" s="67">
        <v>234589</v>
      </c>
      <c r="Q194" s="68">
        <f t="shared" si="8"/>
        <v>16421230</v>
      </c>
      <c r="V194" s="90" t="s">
        <v>163</v>
      </c>
      <c r="W194" s="90" t="s">
        <v>528</v>
      </c>
      <c r="X194" s="90">
        <v>1230</v>
      </c>
      <c r="Y194" s="90">
        <v>430656779.69999993</v>
      </c>
    </row>
    <row r="195" spans="1:25" ht="15" x14ac:dyDescent="0.25">
      <c r="A195" s="96" t="s">
        <v>203</v>
      </c>
      <c r="B195" s="96">
        <v>12</v>
      </c>
      <c r="C195" s="97">
        <v>5208</v>
      </c>
      <c r="D195" s="97">
        <v>58948499</v>
      </c>
      <c r="E195" s="97">
        <v>360</v>
      </c>
      <c r="F195" s="97">
        <v>4225320</v>
      </c>
      <c r="G195" s="97">
        <f>C195+E195-I195</f>
        <v>4681</v>
      </c>
      <c r="H195" s="97">
        <f>D195+F195-J195</f>
        <v>52758308</v>
      </c>
      <c r="I195" s="97">
        <v>887</v>
      </c>
      <c r="J195" s="97">
        <v>10415511</v>
      </c>
      <c r="K195" s="90" t="s">
        <v>165</v>
      </c>
      <c r="L195" s="90" t="s">
        <v>528</v>
      </c>
      <c r="M195" s="90">
        <v>146</v>
      </c>
      <c r="N195" s="100">
        <v>24867949.200000003</v>
      </c>
      <c r="O195" s="55">
        <v>92</v>
      </c>
      <c r="P195" s="56">
        <v>234589</v>
      </c>
      <c r="Q195" s="57">
        <f t="shared" si="8"/>
        <v>21582188</v>
      </c>
      <c r="R195" s="100">
        <f>J195-Q330</f>
        <v>-359055</v>
      </c>
      <c r="V195" s="90" t="s">
        <v>164</v>
      </c>
      <c r="W195" s="90" t="s">
        <v>528</v>
      </c>
      <c r="X195" s="90">
        <v>131</v>
      </c>
      <c r="Y195" s="90">
        <v>22458778</v>
      </c>
    </row>
    <row r="196" spans="1:25" ht="15" x14ac:dyDescent="0.25">
      <c r="A196" s="96" t="s">
        <v>204</v>
      </c>
      <c r="B196" s="96">
        <v>12</v>
      </c>
      <c r="C196" s="97">
        <v>12491</v>
      </c>
      <c r="D196" s="97">
        <v>384147850</v>
      </c>
      <c r="E196" s="97"/>
      <c r="F196" s="97">
        <v>0</v>
      </c>
      <c r="G196" s="97">
        <f>C196-I196</f>
        <v>5514</v>
      </c>
      <c r="H196" s="97">
        <f>D196-J196</f>
        <v>160810000</v>
      </c>
      <c r="I196" s="97">
        <v>6977</v>
      </c>
      <c r="J196" s="97">
        <v>223337850</v>
      </c>
      <c r="K196" s="90" t="s">
        <v>165</v>
      </c>
      <c r="L196" s="90" t="s">
        <v>327</v>
      </c>
      <c r="M196" s="90">
        <v>16</v>
      </c>
      <c r="N196" s="100">
        <v>58407.6</v>
      </c>
      <c r="O196" s="32"/>
      <c r="P196" s="32"/>
      <c r="Q196" s="33">
        <f t="shared" ref="Q196:Q259" si="10">O196*P196</f>
        <v>0</v>
      </c>
      <c r="R196" s="100">
        <f>J196-Q332</f>
        <v>-47370720</v>
      </c>
      <c r="V196" s="90" t="s">
        <v>164</v>
      </c>
      <c r="W196" s="90" t="s">
        <v>327</v>
      </c>
      <c r="X196" s="90">
        <v>15</v>
      </c>
      <c r="Y196" s="90">
        <v>65750.543999999994</v>
      </c>
    </row>
    <row r="197" spans="1:25" ht="15" x14ac:dyDescent="0.25">
      <c r="A197" s="96" t="s">
        <v>205</v>
      </c>
      <c r="B197" s="96">
        <v>12</v>
      </c>
      <c r="C197" s="97">
        <v>820</v>
      </c>
      <c r="D197" s="97">
        <v>49022428</v>
      </c>
      <c r="E197" s="97">
        <v>0</v>
      </c>
      <c r="F197" s="97">
        <v>0</v>
      </c>
      <c r="G197" s="97">
        <f>C197-I197</f>
        <v>651</v>
      </c>
      <c r="H197" s="97">
        <f>D197-J197</f>
        <v>37663574</v>
      </c>
      <c r="I197" s="97">
        <v>169</v>
      </c>
      <c r="J197" s="97">
        <v>11358854</v>
      </c>
      <c r="K197" s="90" t="s">
        <v>166</v>
      </c>
      <c r="L197" s="90" t="s">
        <v>528</v>
      </c>
      <c r="M197" s="90">
        <v>130</v>
      </c>
      <c r="N197" s="100">
        <v>22904117.199999999</v>
      </c>
      <c r="O197" s="60">
        <v>84</v>
      </c>
      <c r="P197" s="56">
        <v>234589</v>
      </c>
      <c r="Q197" s="57">
        <f t="shared" si="10"/>
        <v>19705476</v>
      </c>
      <c r="R197" s="100">
        <f>J197-Q333</f>
        <v>-1394706</v>
      </c>
      <c r="V197" s="90" t="s">
        <v>165</v>
      </c>
      <c r="W197" s="90" t="s">
        <v>528</v>
      </c>
      <c r="X197" s="90">
        <v>146</v>
      </c>
      <c r="Y197" s="90">
        <v>24867949.200000003</v>
      </c>
    </row>
    <row r="198" spans="1:25" ht="15" x14ac:dyDescent="0.25">
      <c r="A198" s="104" t="s">
        <v>206</v>
      </c>
      <c r="B198" s="104">
        <v>12</v>
      </c>
      <c r="C198" s="105">
        <v>814</v>
      </c>
      <c r="D198" s="105">
        <v>26110276</v>
      </c>
      <c r="E198" s="105">
        <v>192</v>
      </c>
      <c r="F198" s="105">
        <v>6309812</v>
      </c>
      <c r="G198" s="105">
        <v>646</v>
      </c>
      <c r="H198" s="105">
        <v>20818466</v>
      </c>
      <c r="I198" s="105">
        <v>360</v>
      </c>
      <c r="J198" s="105">
        <v>11601622</v>
      </c>
      <c r="K198" s="90" t="s">
        <v>586</v>
      </c>
      <c r="L198" s="90" t="s">
        <v>528</v>
      </c>
      <c r="M198" s="90">
        <v>324</v>
      </c>
      <c r="N198" s="100">
        <v>38410338.899999999</v>
      </c>
      <c r="O198" s="60">
        <v>137</v>
      </c>
      <c r="P198" s="56">
        <v>234589</v>
      </c>
      <c r="Q198" s="57">
        <f t="shared" si="10"/>
        <v>32138693</v>
      </c>
      <c r="R198" s="100">
        <f>J198-Q338</f>
        <v>-229418</v>
      </c>
      <c r="V198" s="90" t="s">
        <v>165</v>
      </c>
      <c r="W198" s="90" t="s">
        <v>327</v>
      </c>
      <c r="X198" s="90">
        <v>16</v>
      </c>
      <c r="Y198" s="90">
        <v>58407.6</v>
      </c>
    </row>
    <row r="199" spans="1:25" ht="15" x14ac:dyDescent="0.25">
      <c r="A199" s="96" t="s">
        <v>207</v>
      </c>
      <c r="B199" s="96">
        <v>12</v>
      </c>
      <c r="C199" s="97">
        <v>1728</v>
      </c>
      <c r="D199" s="97">
        <v>3454644</v>
      </c>
      <c r="E199" s="97"/>
      <c r="F199" s="97">
        <v>0</v>
      </c>
      <c r="G199" s="97">
        <f>C199-I199</f>
        <v>1461</v>
      </c>
      <c r="H199" s="97">
        <f>D199-J199</f>
        <v>38904</v>
      </c>
      <c r="I199" s="97">
        <v>267</v>
      </c>
      <c r="J199" s="97">
        <v>3415740</v>
      </c>
      <c r="K199" s="90" t="s">
        <v>167</v>
      </c>
      <c r="L199" s="90" t="s">
        <v>528</v>
      </c>
      <c r="M199" s="90">
        <v>186</v>
      </c>
      <c r="N199" s="100">
        <v>39736380.25</v>
      </c>
      <c r="O199" s="66">
        <v>100</v>
      </c>
      <c r="P199" s="67">
        <v>234589</v>
      </c>
      <c r="Q199" s="68">
        <f t="shared" si="10"/>
        <v>23458900</v>
      </c>
      <c r="R199" s="100">
        <f>J199-Q339</f>
        <v>-30309996</v>
      </c>
      <c r="V199" s="90" t="s">
        <v>166</v>
      </c>
      <c r="W199" s="90" t="s">
        <v>528</v>
      </c>
      <c r="X199" s="90">
        <v>130</v>
      </c>
      <c r="Y199" s="90">
        <v>22904117.199999999</v>
      </c>
    </row>
    <row r="200" spans="1:25" ht="15" x14ac:dyDescent="0.25">
      <c r="A200" s="115" t="s">
        <v>208</v>
      </c>
      <c r="B200" s="115">
        <v>12</v>
      </c>
      <c r="C200" s="116">
        <v>13</v>
      </c>
      <c r="D200" s="116">
        <v>107765</v>
      </c>
      <c r="E200" s="116">
        <v>432</v>
      </c>
      <c r="F200" s="116">
        <v>4525632</v>
      </c>
      <c r="G200" s="116">
        <v>240</v>
      </c>
      <c r="H200" s="116">
        <v>2498911</v>
      </c>
      <c r="I200" s="116">
        <v>205</v>
      </c>
      <c r="J200" s="116">
        <v>2134486</v>
      </c>
      <c r="K200" s="90" t="s">
        <v>625</v>
      </c>
      <c r="L200" s="90" t="s">
        <v>528</v>
      </c>
      <c r="M200" s="90">
        <v>4</v>
      </c>
      <c r="N200" s="100">
        <v>807263.6</v>
      </c>
      <c r="O200" s="66">
        <v>351</v>
      </c>
      <c r="P200" s="67">
        <v>115200</v>
      </c>
      <c r="Q200" s="68">
        <f t="shared" si="10"/>
        <v>40435200</v>
      </c>
      <c r="R200" s="100">
        <f>J200-Q341</f>
        <v>-13094</v>
      </c>
      <c r="V200" s="90" t="s">
        <v>586</v>
      </c>
      <c r="W200" s="90" t="s">
        <v>528</v>
      </c>
      <c r="X200" s="90">
        <v>324</v>
      </c>
      <c r="Y200" s="90">
        <v>38410338.899999999</v>
      </c>
    </row>
    <row r="201" spans="1:25" ht="15" x14ac:dyDescent="0.25">
      <c r="A201" s="96" t="s">
        <v>209</v>
      </c>
      <c r="B201" s="96">
        <v>12</v>
      </c>
      <c r="C201" s="97">
        <v>60</v>
      </c>
      <c r="D201" s="97">
        <v>3504600</v>
      </c>
      <c r="E201" s="97">
        <v>36</v>
      </c>
      <c r="F201" s="97">
        <v>2102760</v>
      </c>
      <c r="G201" s="97">
        <v>20</v>
      </c>
      <c r="H201" s="97">
        <v>1168200</v>
      </c>
      <c r="I201" s="97">
        <v>76</v>
      </c>
      <c r="J201" s="97">
        <v>4439160</v>
      </c>
      <c r="K201" s="90" t="s">
        <v>168</v>
      </c>
      <c r="L201" s="90" t="s">
        <v>303</v>
      </c>
      <c r="M201" s="90">
        <v>4</v>
      </c>
      <c r="N201" s="100">
        <v>122000</v>
      </c>
      <c r="O201" s="79">
        <v>1286</v>
      </c>
      <c r="P201" s="67">
        <v>319418</v>
      </c>
      <c r="Q201" s="68">
        <f t="shared" si="10"/>
        <v>410771548</v>
      </c>
      <c r="V201" s="90" t="s">
        <v>167</v>
      </c>
      <c r="W201" s="90" t="s">
        <v>528</v>
      </c>
      <c r="X201" s="90">
        <v>186</v>
      </c>
      <c r="Y201" s="90">
        <v>39736380.25</v>
      </c>
    </row>
    <row r="202" spans="1:25" ht="15" x14ac:dyDescent="0.25">
      <c r="A202" s="115" t="s">
        <v>210</v>
      </c>
      <c r="B202" s="115">
        <v>12</v>
      </c>
      <c r="C202" s="116">
        <v>625</v>
      </c>
      <c r="D202" s="116">
        <v>6930861</v>
      </c>
      <c r="E202" s="116">
        <v>0</v>
      </c>
      <c r="F202" s="116">
        <v>0</v>
      </c>
      <c r="G202" s="116">
        <v>0</v>
      </c>
      <c r="H202" s="116">
        <v>0</v>
      </c>
      <c r="I202" s="116">
        <v>625</v>
      </c>
      <c r="J202" s="116">
        <f>D202</f>
        <v>6930861</v>
      </c>
      <c r="K202" s="90" t="s">
        <v>168</v>
      </c>
      <c r="L202" s="90" t="s">
        <v>528</v>
      </c>
      <c r="M202" s="90">
        <v>1088</v>
      </c>
      <c r="N202" s="100">
        <v>216064196.19999999</v>
      </c>
      <c r="O202" s="32"/>
      <c r="P202" s="32"/>
      <c r="Q202" s="33">
        <f t="shared" si="10"/>
        <v>0</v>
      </c>
      <c r="R202" s="100">
        <f>J202-Q300</f>
        <v>-1289139</v>
      </c>
      <c r="V202" s="90" t="s">
        <v>625</v>
      </c>
      <c r="W202" s="90" t="s">
        <v>528</v>
      </c>
      <c r="X202" s="90">
        <v>4</v>
      </c>
      <c r="Y202" s="90">
        <v>807263.6</v>
      </c>
    </row>
    <row r="203" spans="1:25" ht="15" x14ac:dyDescent="0.25">
      <c r="A203" s="96" t="s">
        <v>211</v>
      </c>
      <c r="B203" s="96">
        <v>12</v>
      </c>
      <c r="C203" s="97">
        <v>0</v>
      </c>
      <c r="D203" s="97">
        <v>0</v>
      </c>
      <c r="E203" s="97">
        <v>115</v>
      </c>
      <c r="F203" s="97">
        <v>2133360</v>
      </c>
      <c r="G203" s="97">
        <v>0</v>
      </c>
      <c r="H203" s="97">
        <v>0</v>
      </c>
      <c r="I203" s="97">
        <v>115</v>
      </c>
      <c r="J203" s="97">
        <v>2133360</v>
      </c>
      <c r="K203" s="90" t="s">
        <v>169</v>
      </c>
      <c r="L203" s="90" t="s">
        <v>528</v>
      </c>
      <c r="M203" s="90">
        <v>402</v>
      </c>
      <c r="N203" s="100">
        <v>87116930.128999993</v>
      </c>
      <c r="O203" s="32"/>
      <c r="P203" s="32"/>
      <c r="Q203" s="33">
        <f t="shared" si="10"/>
        <v>0</v>
      </c>
      <c r="R203" s="100">
        <f>J203-Q276</f>
        <v>-549360</v>
      </c>
      <c r="V203" s="90" t="s">
        <v>168</v>
      </c>
      <c r="W203" s="90" t="s">
        <v>303</v>
      </c>
      <c r="X203" s="90">
        <v>4</v>
      </c>
      <c r="Y203" s="90">
        <v>122000</v>
      </c>
    </row>
    <row r="204" spans="1:25" ht="15" x14ac:dyDescent="0.25">
      <c r="A204" s="96" t="s">
        <v>212</v>
      </c>
      <c r="B204" s="96">
        <v>12</v>
      </c>
      <c r="C204" s="97">
        <v>33249</v>
      </c>
      <c r="D204" s="97">
        <v>411726334</v>
      </c>
      <c r="E204" s="97">
        <v>6084</v>
      </c>
      <c r="F204" s="97">
        <v>40227840</v>
      </c>
      <c r="G204" s="97">
        <f>C204+E204-I204</f>
        <v>21793</v>
      </c>
      <c r="H204" s="97">
        <f>D204+F204-J204</f>
        <v>234183600</v>
      </c>
      <c r="I204" s="97">
        <v>17540</v>
      </c>
      <c r="J204" s="97">
        <v>217770574</v>
      </c>
      <c r="K204" s="90" t="s">
        <v>170</v>
      </c>
      <c r="L204" s="90" t="s">
        <v>528</v>
      </c>
      <c r="M204" s="90">
        <v>58</v>
      </c>
      <c r="N204" s="100">
        <v>17777447.100000001</v>
      </c>
      <c r="O204" s="32"/>
      <c r="P204" s="32"/>
      <c r="Q204" s="33">
        <f t="shared" si="10"/>
        <v>0</v>
      </c>
      <c r="R204" s="100">
        <f>J204-Q350</f>
        <v>-39824178</v>
      </c>
      <c r="V204" s="90" t="s">
        <v>168</v>
      </c>
      <c r="W204" s="90" t="s">
        <v>528</v>
      </c>
      <c r="X204" s="90">
        <v>1088</v>
      </c>
      <c r="Y204" s="90">
        <v>216064196.19999999</v>
      </c>
    </row>
    <row r="205" spans="1:25" ht="15" x14ac:dyDescent="0.25">
      <c r="A205" s="96" t="s">
        <v>213</v>
      </c>
      <c r="B205" s="96">
        <v>12</v>
      </c>
      <c r="C205" s="97">
        <v>3820</v>
      </c>
      <c r="D205" s="97">
        <v>76529330</v>
      </c>
      <c r="E205" s="97">
        <v>0</v>
      </c>
      <c r="F205" s="97">
        <v>0</v>
      </c>
      <c r="G205" s="97">
        <f>C205-I205</f>
        <v>2430</v>
      </c>
      <c r="H205" s="97">
        <f>D205-J205</f>
        <v>46999426</v>
      </c>
      <c r="I205" s="97">
        <v>1390</v>
      </c>
      <c r="J205" s="97">
        <v>29529904</v>
      </c>
      <c r="K205" s="90" t="s">
        <v>171</v>
      </c>
      <c r="L205" s="90" t="s">
        <v>528</v>
      </c>
      <c r="M205" s="90">
        <v>115</v>
      </c>
      <c r="N205" s="100">
        <v>34194562.100000001</v>
      </c>
      <c r="O205" s="118"/>
      <c r="P205" s="38">
        <v>0</v>
      </c>
      <c r="Q205" s="33">
        <f t="shared" si="10"/>
        <v>0</v>
      </c>
      <c r="R205" s="100">
        <f>J205-Q349</f>
        <v>-1782278</v>
      </c>
      <c r="V205" s="90" t="s">
        <v>169</v>
      </c>
      <c r="W205" s="90" t="s">
        <v>528</v>
      </c>
      <c r="X205" s="90">
        <v>402</v>
      </c>
      <c r="Y205" s="90">
        <v>87116930.128999993</v>
      </c>
    </row>
    <row r="206" spans="1:25" ht="15" x14ac:dyDescent="0.25">
      <c r="A206" s="96" t="s">
        <v>214</v>
      </c>
      <c r="B206" s="96">
        <v>12</v>
      </c>
      <c r="C206" s="97">
        <v>9946</v>
      </c>
      <c r="D206" s="97">
        <v>217056384</v>
      </c>
      <c r="E206" s="97">
        <v>11664</v>
      </c>
      <c r="F206" s="97">
        <v>287377632</v>
      </c>
      <c r="G206" s="97">
        <f>C206+E206-I206</f>
        <v>11949</v>
      </c>
      <c r="H206" s="97">
        <f>D206+F206-J206</f>
        <v>266401600</v>
      </c>
      <c r="I206" s="97">
        <v>9661</v>
      </c>
      <c r="J206" s="97">
        <v>238032416</v>
      </c>
      <c r="K206" s="90" t="s">
        <v>172</v>
      </c>
      <c r="L206" s="90" t="s">
        <v>528</v>
      </c>
      <c r="M206" s="90">
        <v>487</v>
      </c>
      <c r="N206" s="100">
        <v>99690689.5</v>
      </c>
      <c r="O206" s="32"/>
      <c r="P206" s="32"/>
      <c r="Q206" s="33">
        <f t="shared" si="10"/>
        <v>0</v>
      </c>
      <c r="R206" s="100">
        <f>J206-Q281</f>
        <v>-29733368</v>
      </c>
      <c r="V206" s="90" t="s">
        <v>170</v>
      </c>
      <c r="W206" s="90" t="s">
        <v>528</v>
      </c>
      <c r="X206" s="90">
        <v>58</v>
      </c>
      <c r="Y206" s="90">
        <v>17777447.100000001</v>
      </c>
    </row>
    <row r="207" spans="1:25" ht="15" x14ac:dyDescent="0.25">
      <c r="A207" s="96" t="s">
        <v>215</v>
      </c>
      <c r="B207" s="96">
        <v>12</v>
      </c>
      <c r="C207" s="97">
        <v>2800</v>
      </c>
      <c r="D207" s="97">
        <v>111956379</v>
      </c>
      <c r="E207" s="97">
        <v>0</v>
      </c>
      <c r="F207" s="97">
        <v>0</v>
      </c>
      <c r="G207" s="97">
        <f>C207-I207</f>
        <v>2241</v>
      </c>
      <c r="H207" s="97">
        <f>D207-J207</f>
        <v>88085680</v>
      </c>
      <c r="I207" s="97">
        <v>559</v>
      </c>
      <c r="J207" s="97">
        <v>23870699</v>
      </c>
      <c r="K207" s="90" t="s">
        <v>173</v>
      </c>
      <c r="L207" s="90" t="s">
        <v>528</v>
      </c>
      <c r="M207" s="90">
        <v>500</v>
      </c>
      <c r="N207" s="100">
        <v>102056710.7</v>
      </c>
      <c r="O207" s="32"/>
      <c r="P207" s="32"/>
      <c r="Q207" s="33">
        <f t="shared" si="10"/>
        <v>0</v>
      </c>
      <c r="R207" s="100">
        <f>J207-Q352</f>
        <v>-1609261</v>
      </c>
      <c r="V207" s="90" t="s">
        <v>171</v>
      </c>
      <c r="W207" s="90" t="s">
        <v>528</v>
      </c>
      <c r="X207" s="90">
        <v>115</v>
      </c>
      <c r="Y207" s="90">
        <v>34194562.100000001</v>
      </c>
    </row>
    <row r="208" spans="1:25" ht="15" x14ac:dyDescent="0.25">
      <c r="A208" s="101" t="s">
        <v>216</v>
      </c>
      <c r="B208" s="101">
        <v>12</v>
      </c>
      <c r="C208" s="102">
        <v>0</v>
      </c>
      <c r="D208" s="102">
        <v>0</v>
      </c>
      <c r="E208" s="102">
        <v>160</v>
      </c>
      <c r="F208" s="102">
        <v>2778080</v>
      </c>
      <c r="G208" s="102">
        <v>160</v>
      </c>
      <c r="H208" s="102">
        <v>2778080</v>
      </c>
      <c r="I208" s="102">
        <v>0</v>
      </c>
      <c r="J208" s="102">
        <v>0</v>
      </c>
      <c r="K208" s="90" t="s">
        <v>527</v>
      </c>
      <c r="L208" s="90" t="s">
        <v>528</v>
      </c>
      <c r="M208" s="90">
        <v>52</v>
      </c>
      <c r="N208" s="100">
        <v>35642899</v>
      </c>
      <c r="O208" s="79">
        <v>489</v>
      </c>
      <c r="P208" s="67">
        <v>188509</v>
      </c>
      <c r="Q208" s="68">
        <f t="shared" si="10"/>
        <v>92180901</v>
      </c>
      <c r="V208" s="90" t="s">
        <v>172</v>
      </c>
      <c r="W208" s="90" t="s">
        <v>528</v>
      </c>
      <c r="X208" s="90">
        <v>487</v>
      </c>
      <c r="Y208" s="90">
        <v>99690689.5</v>
      </c>
    </row>
    <row r="209" spans="1:25" ht="15" x14ac:dyDescent="0.25">
      <c r="A209" s="115" t="s">
        <v>217</v>
      </c>
      <c r="B209" s="115">
        <v>12</v>
      </c>
      <c r="C209" s="116">
        <v>10</v>
      </c>
      <c r="D209" s="116">
        <v>1775003</v>
      </c>
      <c r="E209" s="116">
        <v>80</v>
      </c>
      <c r="F209" s="116">
        <v>14456000</v>
      </c>
      <c r="G209" s="116">
        <v>0</v>
      </c>
      <c r="H209" s="116">
        <v>0</v>
      </c>
      <c r="I209" s="116">
        <v>90</v>
      </c>
      <c r="J209" s="116">
        <v>16231003</v>
      </c>
      <c r="K209" s="90" t="s">
        <v>598</v>
      </c>
      <c r="L209" s="90" t="s">
        <v>528</v>
      </c>
      <c r="M209" s="90">
        <v>72</v>
      </c>
      <c r="N209" s="100">
        <v>12215396</v>
      </c>
      <c r="O209" s="55">
        <v>509</v>
      </c>
      <c r="P209" s="56">
        <v>188509</v>
      </c>
      <c r="Q209" s="57">
        <f t="shared" si="10"/>
        <v>95951081</v>
      </c>
      <c r="R209" s="100">
        <f>J209-Q359</f>
        <v>-31997</v>
      </c>
      <c r="V209" s="90" t="s">
        <v>173</v>
      </c>
      <c r="W209" s="90" t="s">
        <v>528</v>
      </c>
      <c r="X209" s="90">
        <v>500</v>
      </c>
      <c r="Y209" s="90">
        <v>102056710.7</v>
      </c>
    </row>
    <row r="210" spans="1:25" ht="15" x14ac:dyDescent="0.25">
      <c r="A210" s="115" t="s">
        <v>218</v>
      </c>
      <c r="B210" s="115">
        <v>12</v>
      </c>
      <c r="C210" s="116">
        <v>0</v>
      </c>
      <c r="D210" s="116">
        <v>0</v>
      </c>
      <c r="E210" s="116">
        <v>50</v>
      </c>
      <c r="F210" s="116">
        <v>11800000</v>
      </c>
      <c r="G210" s="116">
        <v>0</v>
      </c>
      <c r="H210" s="116">
        <v>0</v>
      </c>
      <c r="I210" s="116">
        <v>50</v>
      </c>
      <c r="J210" s="116">
        <v>11800000</v>
      </c>
      <c r="K210" s="90" t="s">
        <v>600</v>
      </c>
      <c r="L210" s="90" t="s">
        <v>528</v>
      </c>
      <c r="M210" s="90">
        <v>72</v>
      </c>
      <c r="N210" s="100">
        <v>12215396</v>
      </c>
      <c r="O210" s="32"/>
      <c r="P210" s="32"/>
      <c r="Q210" s="33">
        <f t="shared" si="10"/>
        <v>0</v>
      </c>
      <c r="V210" s="90" t="s">
        <v>527</v>
      </c>
      <c r="W210" s="90" t="s">
        <v>528</v>
      </c>
      <c r="X210" s="90">
        <v>52</v>
      </c>
      <c r="Y210" s="90">
        <v>35642899</v>
      </c>
    </row>
    <row r="211" spans="1:25" ht="15" x14ac:dyDescent="0.25">
      <c r="A211" s="115" t="s">
        <v>219</v>
      </c>
      <c r="B211" s="115">
        <v>12</v>
      </c>
      <c r="C211" s="116">
        <v>0</v>
      </c>
      <c r="D211" s="116">
        <v>0</v>
      </c>
      <c r="E211" s="116">
        <v>30</v>
      </c>
      <c r="F211" s="116">
        <v>7080000</v>
      </c>
      <c r="G211" s="116">
        <v>0</v>
      </c>
      <c r="H211" s="116">
        <v>0</v>
      </c>
      <c r="I211" s="116">
        <v>30</v>
      </c>
      <c r="J211" s="116">
        <v>7080000</v>
      </c>
      <c r="K211" s="90" t="s">
        <v>602</v>
      </c>
      <c r="L211" s="90" t="s">
        <v>528</v>
      </c>
      <c r="M211" s="90">
        <v>72</v>
      </c>
      <c r="N211" s="100">
        <v>12215396</v>
      </c>
      <c r="O211" s="32"/>
      <c r="P211" s="32"/>
      <c r="Q211" s="33">
        <f t="shared" si="10"/>
        <v>0</v>
      </c>
      <c r="V211" s="90" t="s">
        <v>598</v>
      </c>
      <c r="W211" s="90" t="s">
        <v>528</v>
      </c>
      <c r="X211" s="90">
        <v>72</v>
      </c>
      <c r="Y211" s="90">
        <v>12215396</v>
      </c>
    </row>
    <row r="212" spans="1:25" ht="15" x14ac:dyDescent="0.25">
      <c r="A212" s="115" t="s">
        <v>220</v>
      </c>
      <c r="B212" s="115">
        <v>12</v>
      </c>
      <c r="C212" s="116">
        <v>0</v>
      </c>
      <c r="D212" s="116">
        <v>0</v>
      </c>
      <c r="E212" s="116">
        <v>72</v>
      </c>
      <c r="F212" s="116">
        <v>1847966</v>
      </c>
      <c r="G212" s="116">
        <v>0</v>
      </c>
      <c r="H212" s="116">
        <v>0</v>
      </c>
      <c r="I212" s="116">
        <v>72</v>
      </c>
      <c r="J212" s="116">
        <v>1847966</v>
      </c>
      <c r="K212" s="90" t="s">
        <v>604</v>
      </c>
      <c r="L212" s="90" t="s">
        <v>528</v>
      </c>
      <c r="M212" s="90">
        <v>72</v>
      </c>
      <c r="N212" s="100">
        <v>12215396</v>
      </c>
      <c r="O212" s="66">
        <v>144</v>
      </c>
      <c r="P212" s="67">
        <v>157091</v>
      </c>
      <c r="Q212" s="33">
        <f t="shared" si="10"/>
        <v>22621104</v>
      </c>
      <c r="R212" s="100">
        <f>J212-Q331</f>
        <v>-9778</v>
      </c>
      <c r="V212" s="90" t="s">
        <v>600</v>
      </c>
      <c r="W212" s="90" t="s">
        <v>528</v>
      </c>
      <c r="X212" s="90">
        <v>72</v>
      </c>
      <c r="Y212" s="90">
        <v>12215396</v>
      </c>
    </row>
    <row r="213" spans="1:25" ht="15" x14ac:dyDescent="0.25">
      <c r="A213" s="115" t="s">
        <v>221</v>
      </c>
      <c r="B213" s="115">
        <v>12</v>
      </c>
      <c r="C213" s="116">
        <v>4178</v>
      </c>
      <c r="D213" s="116">
        <v>81823781</v>
      </c>
      <c r="E213" s="116">
        <v>1656</v>
      </c>
      <c r="F213" s="116">
        <v>32608296</v>
      </c>
      <c r="G213" s="116">
        <v>1904</v>
      </c>
      <c r="H213" s="116">
        <v>37346362</v>
      </c>
      <c r="I213" s="116">
        <v>3930</v>
      </c>
      <c r="J213" s="116">
        <v>77085715</v>
      </c>
      <c r="K213" s="90" t="s">
        <v>633</v>
      </c>
      <c r="L213" s="90" t="s">
        <v>528</v>
      </c>
      <c r="M213" s="90">
        <v>8</v>
      </c>
      <c r="N213" s="100">
        <v>1533029.49</v>
      </c>
      <c r="O213" s="66">
        <v>149</v>
      </c>
      <c r="P213" s="67">
        <v>157091</v>
      </c>
      <c r="Q213" s="33">
        <f t="shared" si="10"/>
        <v>23406559</v>
      </c>
      <c r="R213" s="100">
        <f>J130-Q213</f>
        <v>-785455</v>
      </c>
      <c r="V213" s="90" t="s">
        <v>602</v>
      </c>
      <c r="W213" s="90" t="s">
        <v>528</v>
      </c>
      <c r="X213" s="90">
        <v>72</v>
      </c>
      <c r="Y213" s="90">
        <v>12215396</v>
      </c>
    </row>
    <row r="214" spans="1:25" ht="15" x14ac:dyDescent="0.25">
      <c r="A214" s="96" t="s">
        <v>222</v>
      </c>
      <c r="B214" s="96">
        <v>12</v>
      </c>
      <c r="C214" s="97">
        <v>1066</v>
      </c>
      <c r="D214" s="97">
        <v>22876165</v>
      </c>
      <c r="E214" s="97">
        <v>0</v>
      </c>
      <c r="F214" s="97">
        <v>0</v>
      </c>
      <c r="G214" s="97">
        <f>C214-I214</f>
        <v>304</v>
      </c>
      <c r="H214" s="97">
        <f>D214-J214</f>
        <v>3734008</v>
      </c>
      <c r="I214" s="97">
        <v>762</v>
      </c>
      <c r="J214" s="97">
        <v>19142157</v>
      </c>
      <c r="K214" s="90" t="s">
        <v>174</v>
      </c>
      <c r="L214" s="90" t="s">
        <v>528</v>
      </c>
      <c r="M214" s="90">
        <v>84</v>
      </c>
      <c r="N214" s="100">
        <v>25083763.800000004</v>
      </c>
      <c r="O214" s="32"/>
      <c r="P214" s="32"/>
      <c r="Q214" s="33">
        <f t="shared" si="10"/>
        <v>0</v>
      </c>
      <c r="R214" s="100">
        <f>J214-Q366</f>
        <v>-3267559</v>
      </c>
      <c r="V214" s="90" t="s">
        <v>604</v>
      </c>
      <c r="W214" s="90" t="s">
        <v>528</v>
      </c>
      <c r="X214" s="90">
        <v>72</v>
      </c>
      <c r="Y214" s="90">
        <v>12215396</v>
      </c>
    </row>
    <row r="215" spans="1:25" ht="15" x14ac:dyDescent="0.25">
      <c r="A215" s="115" t="s">
        <v>223</v>
      </c>
      <c r="B215" s="115">
        <v>12</v>
      </c>
      <c r="C215" s="116">
        <v>337</v>
      </c>
      <c r="D215" s="116">
        <v>14575142</v>
      </c>
      <c r="E215" s="116">
        <v>0</v>
      </c>
      <c r="F215" s="116">
        <v>0</v>
      </c>
      <c r="G215" s="116">
        <v>90</v>
      </c>
      <c r="H215" s="116">
        <v>3892471</v>
      </c>
      <c r="I215" s="116">
        <v>247</v>
      </c>
      <c r="J215" s="116">
        <v>10682671</v>
      </c>
      <c r="K215" s="90" t="s">
        <v>916</v>
      </c>
      <c r="L215" s="90" t="s">
        <v>393</v>
      </c>
      <c r="M215" s="90">
        <v>28</v>
      </c>
      <c r="N215" s="100">
        <v>0</v>
      </c>
      <c r="O215" s="32"/>
      <c r="P215" s="32"/>
      <c r="Q215" s="33">
        <f t="shared" si="10"/>
        <v>0</v>
      </c>
      <c r="V215" s="90" t="s">
        <v>633</v>
      </c>
      <c r="W215" s="90" t="s">
        <v>528</v>
      </c>
      <c r="X215" s="90">
        <v>8</v>
      </c>
      <c r="Y215" s="90">
        <v>1533029.49</v>
      </c>
    </row>
    <row r="216" spans="1:25" ht="15" x14ac:dyDescent="0.25">
      <c r="A216" s="101" t="s">
        <v>224</v>
      </c>
      <c r="B216" s="101">
        <v>12</v>
      </c>
      <c r="C216" s="102">
        <v>0</v>
      </c>
      <c r="D216" s="102">
        <v>0</v>
      </c>
      <c r="E216" s="102">
        <v>0</v>
      </c>
      <c r="F216" s="102">
        <v>0</v>
      </c>
      <c r="G216" s="102">
        <v>0</v>
      </c>
      <c r="H216" s="102">
        <v>0</v>
      </c>
      <c r="I216" s="102">
        <v>0</v>
      </c>
      <c r="J216" s="102">
        <v>0</v>
      </c>
      <c r="K216" s="90" t="s">
        <v>917</v>
      </c>
      <c r="L216" s="90" t="s">
        <v>393</v>
      </c>
      <c r="M216" s="90">
        <v>661</v>
      </c>
      <c r="N216" s="100">
        <v>0</v>
      </c>
      <c r="O216" s="32"/>
      <c r="P216" s="32"/>
      <c r="Q216" s="33">
        <f t="shared" si="10"/>
        <v>0</v>
      </c>
      <c r="V216" s="90" t="s">
        <v>174</v>
      </c>
      <c r="W216" s="90" t="s">
        <v>528</v>
      </c>
      <c r="X216" s="90">
        <v>84</v>
      </c>
      <c r="Y216" s="90">
        <v>25083763.800000004</v>
      </c>
    </row>
    <row r="217" spans="1:25" ht="15" x14ac:dyDescent="0.25">
      <c r="A217" s="115" t="s">
        <v>225</v>
      </c>
      <c r="B217" s="115">
        <v>12</v>
      </c>
      <c r="C217" s="116">
        <v>268</v>
      </c>
      <c r="D217" s="116">
        <v>5622934</v>
      </c>
      <c r="E217" s="116">
        <v>144</v>
      </c>
      <c r="F217" s="116">
        <v>3021278</v>
      </c>
      <c r="G217" s="116">
        <v>180</v>
      </c>
      <c r="H217" s="116">
        <v>3776597</v>
      </c>
      <c r="I217" s="116">
        <v>232</v>
      </c>
      <c r="J217" s="116">
        <v>4867615</v>
      </c>
      <c r="K217" s="90" t="s">
        <v>918</v>
      </c>
      <c r="L217" s="90" t="s">
        <v>303</v>
      </c>
      <c r="M217" s="90">
        <v>1</v>
      </c>
      <c r="N217" s="100">
        <v>0</v>
      </c>
      <c r="O217" s="32"/>
      <c r="P217" s="32"/>
      <c r="Q217" s="33">
        <f t="shared" si="10"/>
        <v>0</v>
      </c>
      <c r="V217" s="90" t="s">
        <v>916</v>
      </c>
      <c r="W217" s="90" t="s">
        <v>393</v>
      </c>
      <c r="X217" s="90">
        <v>28</v>
      </c>
      <c r="Y217" s="90">
        <v>0</v>
      </c>
    </row>
    <row r="218" spans="1:25" ht="15" x14ac:dyDescent="0.25">
      <c r="A218" s="101" t="s">
        <v>226</v>
      </c>
      <c r="B218" s="101">
        <v>12</v>
      </c>
      <c r="C218" s="102">
        <v>0</v>
      </c>
      <c r="D218" s="102">
        <v>0</v>
      </c>
      <c r="E218" s="102">
        <v>0</v>
      </c>
      <c r="F218" s="102">
        <v>0</v>
      </c>
      <c r="G218" s="102">
        <v>0</v>
      </c>
      <c r="H218" s="102">
        <v>0</v>
      </c>
      <c r="I218" s="102">
        <v>0</v>
      </c>
      <c r="J218" s="102">
        <v>0</v>
      </c>
      <c r="K218" s="90" t="s">
        <v>919</v>
      </c>
      <c r="L218" s="90" t="s">
        <v>753</v>
      </c>
      <c r="M218" s="90">
        <v>2</v>
      </c>
      <c r="N218" s="100">
        <v>0</v>
      </c>
      <c r="O218" s="32"/>
      <c r="P218" s="32"/>
      <c r="Q218" s="33">
        <f t="shared" si="10"/>
        <v>0</v>
      </c>
      <c r="V218" s="90" t="s">
        <v>917</v>
      </c>
      <c r="W218" s="90" t="s">
        <v>393</v>
      </c>
      <c r="X218" s="90">
        <v>661</v>
      </c>
      <c r="Y218" s="90">
        <v>0</v>
      </c>
    </row>
    <row r="219" spans="1:25" ht="15" x14ac:dyDescent="0.25">
      <c r="A219" s="101" t="s">
        <v>227</v>
      </c>
      <c r="B219" s="101">
        <v>12</v>
      </c>
      <c r="C219" s="102">
        <v>470</v>
      </c>
      <c r="D219" s="102">
        <v>0</v>
      </c>
      <c r="E219" s="102"/>
      <c r="F219" s="102">
        <v>0</v>
      </c>
      <c r="G219" s="102">
        <v>0</v>
      </c>
      <c r="H219" s="102">
        <v>0</v>
      </c>
      <c r="I219" s="102"/>
      <c r="J219" s="102">
        <v>0</v>
      </c>
      <c r="K219" s="90" t="s">
        <v>920</v>
      </c>
      <c r="L219" s="90" t="s">
        <v>311</v>
      </c>
      <c r="M219" s="90">
        <v>3861</v>
      </c>
      <c r="N219" s="100">
        <v>0</v>
      </c>
      <c r="O219" s="32"/>
      <c r="P219" s="32"/>
      <c r="Q219" s="33">
        <f t="shared" si="10"/>
        <v>0</v>
      </c>
      <c r="V219" s="90" t="s">
        <v>918</v>
      </c>
      <c r="W219" s="90" t="s">
        <v>303</v>
      </c>
      <c r="X219" s="90">
        <v>1</v>
      </c>
      <c r="Y219" s="90">
        <v>0</v>
      </c>
    </row>
    <row r="220" spans="1:25" ht="15" x14ac:dyDescent="0.25">
      <c r="A220" s="115" t="s">
        <v>228</v>
      </c>
      <c r="B220" s="115">
        <v>12</v>
      </c>
      <c r="C220" s="116">
        <v>67</v>
      </c>
      <c r="D220" s="116">
        <v>5925955</v>
      </c>
      <c r="E220" s="116">
        <v>56</v>
      </c>
      <c r="F220" s="116">
        <v>4917248</v>
      </c>
      <c r="G220" s="116">
        <v>0</v>
      </c>
      <c r="H220" s="116"/>
      <c r="I220" s="116">
        <v>123</v>
      </c>
      <c r="J220" s="116">
        <v>10843203</v>
      </c>
      <c r="K220" s="90" t="s">
        <v>921</v>
      </c>
      <c r="L220" s="90" t="s">
        <v>327</v>
      </c>
      <c r="M220" s="90">
        <v>12</v>
      </c>
      <c r="N220" s="100">
        <v>0</v>
      </c>
      <c r="O220" s="32"/>
      <c r="P220" s="32"/>
      <c r="Q220" s="33">
        <f t="shared" si="10"/>
        <v>0</v>
      </c>
      <c r="V220" s="90" t="s">
        <v>919</v>
      </c>
      <c r="W220" s="90" t="s">
        <v>753</v>
      </c>
      <c r="X220" s="90">
        <v>2</v>
      </c>
      <c r="Y220" s="90">
        <v>0</v>
      </c>
    </row>
    <row r="221" spans="1:25" ht="15" x14ac:dyDescent="0.25">
      <c r="A221" s="96" t="s">
        <v>229</v>
      </c>
      <c r="B221" s="96">
        <v>12</v>
      </c>
      <c r="C221" s="97">
        <v>2747</v>
      </c>
      <c r="D221" s="97">
        <v>247783362</v>
      </c>
      <c r="E221" s="97">
        <v>412</v>
      </c>
      <c r="F221" s="97">
        <v>36610448</v>
      </c>
      <c r="G221" s="97">
        <v>2933</v>
      </c>
      <c r="H221" s="97">
        <f>D221+F221-J221</f>
        <v>263286766</v>
      </c>
      <c r="I221" s="97">
        <v>226</v>
      </c>
      <c r="J221" s="97">
        <f>I221*P382</f>
        <v>21107044</v>
      </c>
      <c r="K221" s="90" t="s">
        <v>735</v>
      </c>
      <c r="L221" s="90" t="s">
        <v>736</v>
      </c>
      <c r="M221" s="90">
        <v>1</v>
      </c>
      <c r="N221" s="100">
        <v>580000</v>
      </c>
      <c r="O221" s="32"/>
      <c r="P221" s="32"/>
      <c r="Q221" s="33">
        <f t="shared" si="10"/>
        <v>0</v>
      </c>
      <c r="V221" s="90" t="s">
        <v>920</v>
      </c>
      <c r="W221" s="90" t="s">
        <v>311</v>
      </c>
      <c r="X221" s="90">
        <v>3861</v>
      </c>
      <c r="Y221" s="90">
        <v>0</v>
      </c>
    </row>
    <row r="222" spans="1:25" ht="15" x14ac:dyDescent="0.25">
      <c r="A222" s="96" t="s">
        <v>230</v>
      </c>
      <c r="B222" s="96">
        <v>12</v>
      </c>
      <c r="C222" s="97">
        <v>1429</v>
      </c>
      <c r="D222" s="97">
        <v>91033464</v>
      </c>
      <c r="E222" s="97">
        <v>924</v>
      </c>
      <c r="F222" s="97">
        <v>52136000</v>
      </c>
      <c r="G222" s="97">
        <f>C222+E222-I222</f>
        <v>2107</v>
      </c>
      <c r="H222" s="97">
        <f>D222+F222-J222</f>
        <v>127167097</v>
      </c>
      <c r="I222" s="97">
        <v>246</v>
      </c>
      <c r="J222" s="97">
        <v>16002367</v>
      </c>
      <c r="K222" s="90" t="s">
        <v>182</v>
      </c>
      <c r="L222" s="90" t="s">
        <v>528</v>
      </c>
      <c r="M222" s="90">
        <v>35</v>
      </c>
      <c r="N222" s="100">
        <v>2083200</v>
      </c>
      <c r="O222" s="32"/>
      <c r="P222" s="32"/>
      <c r="Q222" s="33">
        <f t="shared" si="10"/>
        <v>0</v>
      </c>
      <c r="R222" s="100">
        <f>J222-Q375</f>
        <v>-1137343</v>
      </c>
      <c r="V222" s="90" t="s">
        <v>921</v>
      </c>
      <c r="W222" s="90" t="s">
        <v>327</v>
      </c>
      <c r="X222" s="90">
        <v>12</v>
      </c>
      <c r="Y222" s="90">
        <v>0</v>
      </c>
    </row>
    <row r="223" spans="1:25" ht="15" x14ac:dyDescent="0.25">
      <c r="A223" s="101" t="s">
        <v>231</v>
      </c>
      <c r="B223" s="101">
        <v>12</v>
      </c>
      <c r="C223" s="102">
        <v>0</v>
      </c>
      <c r="D223" s="102">
        <v>0</v>
      </c>
      <c r="E223" s="102">
        <v>0</v>
      </c>
      <c r="F223" s="102">
        <v>0</v>
      </c>
      <c r="G223" s="102">
        <v>0</v>
      </c>
      <c r="H223" s="102">
        <v>0</v>
      </c>
      <c r="I223" s="102">
        <v>0</v>
      </c>
      <c r="J223" s="102">
        <v>0</v>
      </c>
      <c r="K223" s="90" t="s">
        <v>183</v>
      </c>
      <c r="L223" s="90" t="s">
        <v>528</v>
      </c>
      <c r="M223" s="90">
        <v>2522</v>
      </c>
      <c r="N223" s="100">
        <v>130683080.73241036</v>
      </c>
      <c r="O223" s="32"/>
      <c r="P223" s="32"/>
      <c r="Q223" s="33">
        <f t="shared" si="10"/>
        <v>0</v>
      </c>
      <c r="V223" s="90" t="s">
        <v>735</v>
      </c>
      <c r="W223" s="90" t="s">
        <v>736</v>
      </c>
      <c r="X223" s="90">
        <v>1</v>
      </c>
      <c r="Y223" s="90">
        <v>580000</v>
      </c>
    </row>
    <row r="224" spans="1:25" ht="15" x14ac:dyDescent="0.25">
      <c r="A224" s="101" t="s">
        <v>232</v>
      </c>
      <c r="B224" s="101">
        <v>12</v>
      </c>
      <c r="C224" s="102">
        <v>897</v>
      </c>
      <c r="D224" s="102">
        <v>54866918</v>
      </c>
      <c r="E224" s="102">
        <v>389</v>
      </c>
      <c r="F224" s="102">
        <v>22866732</v>
      </c>
      <c r="G224" s="102">
        <v>665</v>
      </c>
      <c r="H224" s="102">
        <v>40196639</v>
      </c>
      <c r="I224" s="102">
        <v>621</v>
      </c>
      <c r="J224" s="102">
        <v>37537011</v>
      </c>
      <c r="K224" s="90" t="s">
        <v>184</v>
      </c>
      <c r="L224" s="90" t="s">
        <v>528</v>
      </c>
      <c r="M224" s="90">
        <v>1671</v>
      </c>
      <c r="N224" s="100">
        <v>83142004.129999995</v>
      </c>
      <c r="O224" s="32"/>
      <c r="P224" s="32"/>
      <c r="Q224" s="33">
        <f t="shared" si="10"/>
        <v>0</v>
      </c>
      <c r="V224" s="90" t="s">
        <v>182</v>
      </c>
      <c r="W224" s="90" t="s">
        <v>528</v>
      </c>
      <c r="X224" s="90">
        <v>35</v>
      </c>
      <c r="Y224" s="90">
        <v>2083200</v>
      </c>
    </row>
    <row r="225" spans="1:25" ht="15" x14ac:dyDescent="0.25">
      <c r="A225" s="96" t="s">
        <v>233</v>
      </c>
      <c r="B225" s="96">
        <v>12</v>
      </c>
      <c r="C225" s="97">
        <v>5775</v>
      </c>
      <c r="D225" s="97">
        <v>348275500</v>
      </c>
      <c r="E225" s="97">
        <v>2032</v>
      </c>
      <c r="F225" s="97">
        <v>100352000</v>
      </c>
      <c r="G225" s="97">
        <f>C225+E225-I225</f>
        <v>5082</v>
      </c>
      <c r="H225" s="97">
        <f>D225+F225-J225</f>
        <v>277727259</v>
      </c>
      <c r="I225" s="97">
        <v>2725</v>
      </c>
      <c r="J225" s="97">
        <v>170900241</v>
      </c>
      <c r="K225" s="90" t="s">
        <v>185</v>
      </c>
      <c r="L225" s="90" t="s">
        <v>303</v>
      </c>
      <c r="M225" s="90">
        <v>915</v>
      </c>
      <c r="N225" s="100">
        <v>182689865.25</v>
      </c>
      <c r="O225" s="55">
        <v>59</v>
      </c>
      <c r="P225" s="56">
        <v>264273</v>
      </c>
      <c r="Q225" s="57">
        <f t="shared" si="10"/>
        <v>15592107</v>
      </c>
      <c r="R225" s="100">
        <f>J225-Q292</f>
        <v>-15629039</v>
      </c>
      <c r="V225" s="90" t="s">
        <v>183</v>
      </c>
      <c r="W225" s="90" t="s">
        <v>528</v>
      </c>
      <c r="X225" s="90">
        <v>2522</v>
      </c>
      <c r="Y225" s="90">
        <v>130683080.73241036</v>
      </c>
    </row>
    <row r="226" spans="1:25" ht="15" x14ac:dyDescent="0.25">
      <c r="A226" s="96" t="s">
        <v>234</v>
      </c>
      <c r="B226" s="96">
        <v>12</v>
      </c>
      <c r="C226" s="97">
        <v>22923</v>
      </c>
      <c r="D226" s="97">
        <v>1293167657</v>
      </c>
      <c r="E226" s="97">
        <v>17433</v>
      </c>
      <c r="F226" s="97">
        <v>905972760</v>
      </c>
      <c r="G226" s="97">
        <f>C226+E226-I226</f>
        <v>25056</v>
      </c>
      <c r="H226" s="97">
        <f>D226+F226-J226</f>
        <v>1286033703</v>
      </c>
      <c r="I226" s="97">
        <v>15300</v>
      </c>
      <c r="J226" s="97">
        <v>913106714</v>
      </c>
      <c r="K226" s="90" t="s">
        <v>742</v>
      </c>
      <c r="L226" s="90" t="s">
        <v>303</v>
      </c>
      <c r="M226" s="90">
        <v>219</v>
      </c>
      <c r="N226" s="100">
        <v>56093709.850000001</v>
      </c>
      <c r="O226" s="55">
        <v>4</v>
      </c>
      <c r="P226" s="56">
        <v>264273</v>
      </c>
      <c r="Q226" s="57">
        <f t="shared" si="10"/>
        <v>1057092</v>
      </c>
      <c r="R226" s="100">
        <f>J226-Q373</f>
        <v>-209332660</v>
      </c>
      <c r="V226" s="90" t="s">
        <v>184</v>
      </c>
      <c r="W226" s="90" t="s">
        <v>528</v>
      </c>
      <c r="X226" s="90">
        <v>1671</v>
      </c>
      <c r="Y226" s="90">
        <v>83142004.129999995</v>
      </c>
    </row>
    <row r="227" spans="1:25" ht="15" x14ac:dyDescent="0.25">
      <c r="A227" s="115" t="s">
        <v>235</v>
      </c>
      <c r="B227" s="115">
        <v>12</v>
      </c>
      <c r="C227" s="116">
        <v>322</v>
      </c>
      <c r="D227" s="116">
        <v>22632087</v>
      </c>
      <c r="E227" s="116">
        <v>120</v>
      </c>
      <c r="F227" s="116">
        <v>8467200</v>
      </c>
      <c r="G227" s="116">
        <v>298</v>
      </c>
      <c r="H227" s="116">
        <v>20967393</v>
      </c>
      <c r="I227" s="116">
        <v>144</v>
      </c>
      <c r="J227" s="116">
        <v>10131894</v>
      </c>
      <c r="K227" s="90" t="s">
        <v>748</v>
      </c>
      <c r="L227" s="90" t="s">
        <v>303</v>
      </c>
      <c r="M227" s="90">
        <v>8326</v>
      </c>
      <c r="N227" s="100">
        <v>1667408191.4196239</v>
      </c>
      <c r="O227" s="53"/>
      <c r="P227" s="53"/>
      <c r="Q227" s="57">
        <f t="shared" si="10"/>
        <v>0</v>
      </c>
      <c r="V227" s="90" t="s">
        <v>185</v>
      </c>
      <c r="W227" s="90" t="s">
        <v>303</v>
      </c>
      <c r="X227" s="90">
        <v>915</v>
      </c>
      <c r="Y227" s="90">
        <v>182689865.25</v>
      </c>
    </row>
    <row r="228" spans="1:25" ht="15" x14ac:dyDescent="0.25">
      <c r="A228" s="96" t="s">
        <v>236</v>
      </c>
      <c r="B228" s="96">
        <v>12</v>
      </c>
      <c r="C228" s="97">
        <v>252</v>
      </c>
      <c r="D228" s="97">
        <v>16163532</v>
      </c>
      <c r="E228" s="97">
        <v>612</v>
      </c>
      <c r="F228" s="97">
        <v>37714908</v>
      </c>
      <c r="G228" s="97">
        <f>C228+E228-I228</f>
        <v>463</v>
      </c>
      <c r="H228" s="97">
        <f>D228+F228-J228</f>
        <v>28186406</v>
      </c>
      <c r="I228" s="97">
        <v>401</v>
      </c>
      <c r="J228" s="97">
        <v>25692034</v>
      </c>
      <c r="K228" s="90" t="s">
        <v>186</v>
      </c>
      <c r="L228" s="90" t="s">
        <v>303</v>
      </c>
      <c r="M228" s="90">
        <v>3025</v>
      </c>
      <c r="N228" s="100">
        <v>152301811.77000001</v>
      </c>
      <c r="O228" s="53"/>
      <c r="P228" s="53"/>
      <c r="Q228" s="57">
        <f t="shared" si="10"/>
        <v>0</v>
      </c>
      <c r="R228" s="100">
        <f>J228-Q380</f>
        <v>-734058</v>
      </c>
      <c r="V228" s="90" t="s">
        <v>742</v>
      </c>
      <c r="W228" s="90" t="s">
        <v>303</v>
      </c>
      <c r="X228" s="90">
        <v>219</v>
      </c>
      <c r="Y228" s="90">
        <v>56093709.850000001</v>
      </c>
    </row>
    <row r="229" spans="1:25" ht="15" x14ac:dyDescent="0.25">
      <c r="A229" s="96" t="s">
        <v>237</v>
      </c>
      <c r="B229" s="96">
        <v>12</v>
      </c>
      <c r="C229" s="97">
        <v>235</v>
      </c>
      <c r="D229" s="97">
        <v>1918332</v>
      </c>
      <c r="E229" s="97">
        <v>235</v>
      </c>
      <c r="F229" s="97">
        <f>E229*59290</f>
        <v>13933150</v>
      </c>
      <c r="G229" s="97">
        <v>235</v>
      </c>
      <c r="H229" s="97">
        <f>D229</f>
        <v>1918332</v>
      </c>
      <c r="I229" s="97">
        <v>235</v>
      </c>
      <c r="J229" s="97">
        <f>D229+F229-H229</f>
        <v>13933150</v>
      </c>
      <c r="K229" s="90" t="s">
        <v>189</v>
      </c>
      <c r="L229" s="90" t="s">
        <v>303</v>
      </c>
      <c r="M229" s="90">
        <v>515</v>
      </c>
      <c r="N229" s="100">
        <v>26116288.18</v>
      </c>
      <c r="O229" s="53"/>
      <c r="P229" s="53"/>
      <c r="Q229" s="57">
        <f t="shared" si="10"/>
        <v>0</v>
      </c>
      <c r="R229" s="100">
        <f>J229-Q378</f>
        <v>0</v>
      </c>
      <c r="V229" s="90" t="s">
        <v>748</v>
      </c>
      <c r="W229" s="90" t="s">
        <v>303</v>
      </c>
      <c r="X229" s="90">
        <v>8326</v>
      </c>
      <c r="Y229" s="90">
        <v>1667408191.4196239</v>
      </c>
    </row>
    <row r="230" spans="1:25" ht="15" x14ac:dyDescent="0.25">
      <c r="A230" s="96" t="s">
        <v>238</v>
      </c>
      <c r="B230" s="96">
        <v>12</v>
      </c>
      <c r="C230" s="97">
        <v>942</v>
      </c>
      <c r="D230" s="97">
        <v>53507694</v>
      </c>
      <c r="E230" s="97">
        <v>0</v>
      </c>
      <c r="F230" s="97">
        <v>0</v>
      </c>
      <c r="G230" s="97">
        <f>C230-I230</f>
        <v>543</v>
      </c>
      <c r="H230" s="97">
        <f>D230-J230</f>
        <v>7497893</v>
      </c>
      <c r="I230" s="97">
        <v>399</v>
      </c>
      <c r="J230" s="97">
        <v>46009801</v>
      </c>
      <c r="K230" s="90" t="s">
        <v>190</v>
      </c>
      <c r="L230" s="90" t="s">
        <v>753</v>
      </c>
      <c r="M230" s="90">
        <v>7062</v>
      </c>
      <c r="N230" s="100">
        <v>134093184.94</v>
      </c>
      <c r="O230" s="53"/>
      <c r="P230" s="53"/>
      <c r="Q230" s="57">
        <f t="shared" si="10"/>
        <v>0</v>
      </c>
      <c r="R230" s="100">
        <f>J230-Q175</f>
        <v>-47302199</v>
      </c>
      <c r="V230" s="90" t="s">
        <v>186</v>
      </c>
      <c r="W230" s="90" t="s">
        <v>303</v>
      </c>
      <c r="X230" s="90">
        <v>3025</v>
      </c>
      <c r="Y230" s="90">
        <v>152301811.77000001</v>
      </c>
    </row>
    <row r="231" spans="1:25" ht="15" x14ac:dyDescent="0.25">
      <c r="A231" s="101" t="s">
        <v>239</v>
      </c>
      <c r="B231" s="101">
        <v>12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90" t="s">
        <v>755</v>
      </c>
      <c r="L231" s="90" t="s">
        <v>753</v>
      </c>
      <c r="M231" s="90">
        <v>780</v>
      </c>
      <c r="N231" s="100">
        <v>30410639.609999999</v>
      </c>
      <c r="O231" s="53"/>
      <c r="P231" s="53"/>
      <c r="Q231" s="57">
        <f t="shared" si="10"/>
        <v>0</v>
      </c>
      <c r="V231" s="90" t="s">
        <v>189</v>
      </c>
      <c r="W231" s="90" t="s">
        <v>303</v>
      </c>
      <c r="X231" s="90">
        <v>515</v>
      </c>
      <c r="Y231" s="90">
        <v>26116288.18</v>
      </c>
    </row>
    <row r="232" spans="1:25" ht="15" x14ac:dyDescent="0.25">
      <c r="A232" s="96" t="s">
        <v>240</v>
      </c>
      <c r="B232" s="96">
        <v>12</v>
      </c>
      <c r="C232" s="97">
        <v>25</v>
      </c>
      <c r="D232" s="97">
        <v>2337348</v>
      </c>
      <c r="E232" s="97">
        <v>2030</v>
      </c>
      <c r="F232" s="97">
        <v>189788760</v>
      </c>
      <c r="G232" s="97">
        <v>1506</v>
      </c>
      <c r="H232" s="97">
        <v>140798987</v>
      </c>
      <c r="I232" s="97">
        <v>549</v>
      </c>
      <c r="J232" s="97">
        <v>51327121</v>
      </c>
      <c r="K232" s="90" t="s">
        <v>191</v>
      </c>
      <c r="L232" s="90" t="s">
        <v>753</v>
      </c>
      <c r="M232" s="90">
        <v>28592</v>
      </c>
      <c r="N232" s="100">
        <v>881102753.8345809</v>
      </c>
      <c r="O232" s="53"/>
      <c r="P232" s="53"/>
      <c r="Q232" s="57">
        <f t="shared" si="10"/>
        <v>0</v>
      </c>
      <c r="V232" s="90" t="s">
        <v>190</v>
      </c>
      <c r="W232" s="90" t="s">
        <v>753</v>
      </c>
      <c r="X232" s="90">
        <v>7062</v>
      </c>
      <c r="Y232" s="90">
        <v>134093184.94</v>
      </c>
    </row>
    <row r="233" spans="1:25" ht="15" x14ac:dyDescent="0.25">
      <c r="A233" s="96" t="s">
        <v>241</v>
      </c>
      <c r="B233" s="96">
        <v>12</v>
      </c>
      <c r="C233" s="97">
        <v>1186</v>
      </c>
      <c r="D233" s="97">
        <v>91489935</v>
      </c>
      <c r="E233" s="97">
        <v>464</v>
      </c>
      <c r="F233" s="97">
        <v>32792760</v>
      </c>
      <c r="G233" s="97">
        <f>C233+E233-I233</f>
        <v>769</v>
      </c>
      <c r="H233" s="97">
        <f>D233+F233-J233</f>
        <v>51294858</v>
      </c>
      <c r="I233" s="97">
        <v>881</v>
      </c>
      <c r="J233" s="97">
        <v>72987837</v>
      </c>
      <c r="K233" s="90" t="s">
        <v>192</v>
      </c>
      <c r="L233" s="90" t="s">
        <v>311</v>
      </c>
      <c r="M233" s="90">
        <v>7685</v>
      </c>
      <c r="N233" s="100">
        <v>59991263.759999998</v>
      </c>
      <c r="O233" s="55">
        <v>5</v>
      </c>
      <c r="P233" s="56">
        <v>274636</v>
      </c>
      <c r="Q233" s="57">
        <f t="shared" si="10"/>
        <v>1373180</v>
      </c>
      <c r="R233" s="100">
        <f>J233-Q384</f>
        <v>-7255053</v>
      </c>
      <c r="V233" s="90" t="s">
        <v>755</v>
      </c>
      <c r="W233" s="90" t="s">
        <v>753</v>
      </c>
      <c r="X233" s="90">
        <v>780</v>
      </c>
      <c r="Y233" s="90">
        <v>30410639.609999999</v>
      </c>
    </row>
    <row r="234" spans="1:25" ht="15" x14ac:dyDescent="0.25">
      <c r="A234" s="96" t="s">
        <v>242</v>
      </c>
      <c r="B234" s="96">
        <v>12</v>
      </c>
      <c r="C234" s="97">
        <v>137</v>
      </c>
      <c r="D234" s="97">
        <v>9584186</v>
      </c>
      <c r="E234" s="97">
        <v>54</v>
      </c>
      <c r="F234" s="97">
        <v>3797010</v>
      </c>
      <c r="G234" s="97">
        <f>C234+E234-I234</f>
        <v>38</v>
      </c>
      <c r="H234" s="97">
        <f>D234+F234-J234</f>
        <v>2311934</v>
      </c>
      <c r="I234" s="97">
        <v>153</v>
      </c>
      <c r="J234" s="97">
        <v>11069262</v>
      </c>
      <c r="K234" s="90" t="s">
        <v>193</v>
      </c>
      <c r="L234" s="90" t="s">
        <v>528</v>
      </c>
      <c r="M234" s="90">
        <v>250</v>
      </c>
      <c r="N234" s="100">
        <v>57934023</v>
      </c>
      <c r="O234" s="32"/>
      <c r="P234" s="32"/>
      <c r="Q234" s="33">
        <f t="shared" si="10"/>
        <v>0</v>
      </c>
      <c r="R234" s="100">
        <f>J234-Q385</f>
        <v>-357930</v>
      </c>
      <c r="V234" s="90" t="s">
        <v>191</v>
      </c>
      <c r="W234" s="90" t="s">
        <v>753</v>
      </c>
      <c r="X234" s="90">
        <v>28592</v>
      </c>
      <c r="Y234" s="90">
        <v>881102753.8345809</v>
      </c>
    </row>
    <row r="235" spans="1:25" ht="15" x14ac:dyDescent="0.25">
      <c r="A235" s="115" t="s">
        <v>243</v>
      </c>
      <c r="B235" s="115">
        <v>12</v>
      </c>
      <c r="C235" s="116">
        <v>1575</v>
      </c>
      <c r="D235" s="116">
        <v>144885570</v>
      </c>
      <c r="E235" s="116">
        <v>171</v>
      </c>
      <c r="F235" s="116">
        <v>15690192</v>
      </c>
      <c r="G235" s="116">
        <v>1617</v>
      </c>
      <c r="H235" s="116">
        <v>148711917</v>
      </c>
      <c r="I235" s="116">
        <v>129</v>
      </c>
      <c r="J235" s="116">
        <v>11863845</v>
      </c>
      <c r="K235" s="90" t="s">
        <v>194</v>
      </c>
      <c r="L235" s="90" t="s">
        <v>311</v>
      </c>
      <c r="M235" s="90">
        <v>186385</v>
      </c>
      <c r="N235" s="100">
        <v>1499015844.5427105</v>
      </c>
      <c r="O235" s="32"/>
      <c r="P235" s="32"/>
      <c r="Q235" s="33">
        <f t="shared" si="10"/>
        <v>0</v>
      </c>
      <c r="V235" s="90" t="s">
        <v>192</v>
      </c>
      <c r="W235" s="90" t="s">
        <v>311</v>
      </c>
      <c r="X235" s="90">
        <v>7685</v>
      </c>
      <c r="Y235" s="90">
        <v>59991263.759999998</v>
      </c>
    </row>
    <row r="236" spans="1:25" ht="15" x14ac:dyDescent="0.25">
      <c r="A236" s="101" t="s">
        <v>244</v>
      </c>
      <c r="B236" s="101">
        <v>12</v>
      </c>
      <c r="C236" s="102">
        <v>4</v>
      </c>
      <c r="D236" s="102">
        <v>351232</v>
      </c>
      <c r="E236" s="102">
        <v>48</v>
      </c>
      <c r="F236" s="102">
        <v>4214784</v>
      </c>
      <c r="G236" s="102">
        <v>52</v>
      </c>
      <c r="H236" s="102">
        <v>4566016</v>
      </c>
      <c r="I236" s="102">
        <v>0</v>
      </c>
      <c r="J236" s="102">
        <v>0</v>
      </c>
      <c r="K236" s="90" t="s">
        <v>195</v>
      </c>
      <c r="L236" s="90" t="s">
        <v>528</v>
      </c>
      <c r="M236" s="90">
        <v>7805</v>
      </c>
      <c r="N236" s="100">
        <v>2017552178.9090571</v>
      </c>
      <c r="O236" s="55">
        <v>670</v>
      </c>
      <c r="P236" s="56">
        <v>182083</v>
      </c>
      <c r="Q236" s="57">
        <f t="shared" si="10"/>
        <v>121995610</v>
      </c>
      <c r="V236" s="90" t="s">
        <v>193</v>
      </c>
      <c r="W236" s="90" t="s">
        <v>528</v>
      </c>
      <c r="X236" s="90">
        <v>250</v>
      </c>
      <c r="Y236" s="90">
        <v>57934023</v>
      </c>
    </row>
    <row r="237" spans="1:25" ht="15" x14ac:dyDescent="0.25">
      <c r="A237" s="101" t="s">
        <v>245</v>
      </c>
      <c r="B237" s="101">
        <v>12</v>
      </c>
      <c r="C237" s="102">
        <v>0</v>
      </c>
      <c r="D237" s="102">
        <v>0</v>
      </c>
      <c r="E237" s="102">
        <v>0</v>
      </c>
      <c r="F237" s="102">
        <v>0</v>
      </c>
      <c r="G237" s="102">
        <v>0</v>
      </c>
      <c r="H237" s="102">
        <v>0</v>
      </c>
      <c r="I237" s="102">
        <v>0</v>
      </c>
      <c r="J237" s="102">
        <v>0</v>
      </c>
      <c r="K237" s="90" t="s">
        <v>643</v>
      </c>
      <c r="L237" s="90" t="s">
        <v>303</v>
      </c>
      <c r="M237" s="90">
        <v>12</v>
      </c>
      <c r="N237" s="100">
        <v>57590715</v>
      </c>
      <c r="O237" s="32"/>
      <c r="P237" s="32"/>
      <c r="Q237" s="33">
        <f t="shared" si="10"/>
        <v>0</v>
      </c>
      <c r="V237" s="90" t="s">
        <v>194</v>
      </c>
      <c r="W237" s="90" t="s">
        <v>311</v>
      </c>
      <c r="X237" s="90">
        <v>186385</v>
      </c>
      <c r="Y237" s="90">
        <v>1499015844.5427105</v>
      </c>
    </row>
    <row r="238" spans="1:25" ht="15" x14ac:dyDescent="0.25">
      <c r="A238" s="115" t="s">
        <v>246</v>
      </c>
      <c r="B238" s="115">
        <v>12</v>
      </c>
      <c r="C238" s="116">
        <v>8756</v>
      </c>
      <c r="D238" s="116">
        <v>62408741</v>
      </c>
      <c r="E238" s="116">
        <v>1920</v>
      </c>
      <c r="F238" s="116">
        <v>13684878</v>
      </c>
      <c r="G238" s="116">
        <v>135</v>
      </c>
      <c r="H238" s="116">
        <v>962218</v>
      </c>
      <c r="I238" s="116">
        <v>10541</v>
      </c>
      <c r="J238" s="116">
        <v>75131401</v>
      </c>
      <c r="K238" s="90" t="s">
        <v>645</v>
      </c>
      <c r="L238" s="90" t="s">
        <v>303</v>
      </c>
      <c r="M238" s="90">
        <v>2</v>
      </c>
      <c r="N238" s="100">
        <v>1195084.7</v>
      </c>
      <c r="O238" s="32"/>
      <c r="P238" s="32"/>
      <c r="Q238" s="33">
        <f t="shared" si="10"/>
        <v>0</v>
      </c>
      <c r="V238" s="90" t="s">
        <v>195</v>
      </c>
      <c r="W238" s="90" t="s">
        <v>528</v>
      </c>
      <c r="X238" s="90">
        <v>7805</v>
      </c>
      <c r="Y238" s="90">
        <v>2017552178.9090571</v>
      </c>
    </row>
    <row r="239" spans="1:25" ht="15" x14ac:dyDescent="0.25">
      <c r="A239" s="96" t="s">
        <v>247</v>
      </c>
      <c r="B239" s="96">
        <v>12</v>
      </c>
      <c r="C239" s="97">
        <v>43404</v>
      </c>
      <c r="D239" s="97">
        <v>288267066</v>
      </c>
      <c r="E239" s="97">
        <v>2880</v>
      </c>
      <c r="F239" s="97">
        <v>20527315</v>
      </c>
      <c r="G239" s="97">
        <f>C239+E239-I239</f>
        <v>3104</v>
      </c>
      <c r="H239" s="97">
        <f>D239+F239-J239</f>
        <v>1027447</v>
      </c>
      <c r="I239" s="97">
        <v>43180</v>
      </c>
      <c r="J239" s="97">
        <v>307766934</v>
      </c>
      <c r="K239" s="90" t="s">
        <v>765</v>
      </c>
      <c r="L239" s="90" t="s">
        <v>311</v>
      </c>
      <c r="M239" s="90">
        <v>1030</v>
      </c>
      <c r="N239" s="100">
        <v>8025657.04</v>
      </c>
      <c r="O239" s="32"/>
      <c r="P239" s="32"/>
      <c r="Q239" s="33">
        <f t="shared" si="10"/>
        <v>0</v>
      </c>
      <c r="R239" s="100">
        <f>J239-Q395</f>
        <v>-21026486.199999988</v>
      </c>
      <c r="V239" s="90" t="s">
        <v>643</v>
      </c>
      <c r="W239" s="90" t="s">
        <v>303</v>
      </c>
      <c r="X239" s="90">
        <v>12</v>
      </c>
      <c r="Y239" s="90">
        <v>57590715</v>
      </c>
    </row>
    <row r="240" spans="1:25" ht="15" x14ac:dyDescent="0.25">
      <c r="A240" s="115" t="s">
        <v>248</v>
      </c>
      <c r="B240" s="115">
        <v>12</v>
      </c>
      <c r="C240" s="116">
        <v>384</v>
      </c>
      <c r="D240" s="116">
        <v>1852721</v>
      </c>
      <c r="E240" s="116">
        <v>0</v>
      </c>
      <c r="F240" s="116">
        <v>0</v>
      </c>
      <c r="G240" s="116">
        <v>0</v>
      </c>
      <c r="H240" s="116">
        <v>0</v>
      </c>
      <c r="I240" s="116">
        <v>384</v>
      </c>
      <c r="J240" s="116">
        <v>1852721</v>
      </c>
      <c r="K240" s="90" t="s">
        <v>922</v>
      </c>
      <c r="L240" s="90" t="s">
        <v>753</v>
      </c>
      <c r="M240" s="90">
        <v>15683</v>
      </c>
      <c r="N240" s="100">
        <v>442153267.22013706</v>
      </c>
      <c r="O240" s="32"/>
      <c r="P240" s="32"/>
      <c r="Q240" s="33">
        <f t="shared" si="10"/>
        <v>0</v>
      </c>
      <c r="V240" s="90" t="s">
        <v>645</v>
      </c>
      <c r="W240" s="90" t="s">
        <v>303</v>
      </c>
      <c r="X240" s="90">
        <v>2</v>
      </c>
      <c r="Y240" s="90">
        <v>1195084.7</v>
      </c>
    </row>
    <row r="241" spans="1:25" ht="15" x14ac:dyDescent="0.25">
      <c r="A241" s="115" t="s">
        <v>249</v>
      </c>
      <c r="B241" s="115">
        <v>12</v>
      </c>
      <c r="C241" s="116">
        <v>420</v>
      </c>
      <c r="D241" s="116">
        <v>1974630</v>
      </c>
      <c r="E241" s="116">
        <v>271</v>
      </c>
      <c r="F241" s="116">
        <v>0</v>
      </c>
      <c r="G241" s="116">
        <v>0</v>
      </c>
      <c r="H241" s="116">
        <v>0</v>
      </c>
      <c r="I241" s="116">
        <v>691</v>
      </c>
      <c r="J241" s="116">
        <v>1974630</v>
      </c>
      <c r="K241" s="90" t="s">
        <v>771</v>
      </c>
      <c r="L241" s="90" t="s">
        <v>303</v>
      </c>
      <c r="M241" s="90">
        <v>19</v>
      </c>
      <c r="N241" s="100">
        <v>75273307</v>
      </c>
      <c r="O241" s="55">
        <v>250</v>
      </c>
      <c r="P241" s="56">
        <v>213651.57</v>
      </c>
      <c r="Q241" s="57">
        <f t="shared" si="10"/>
        <v>53412892.5</v>
      </c>
      <c r="R241" s="100">
        <f>J185-Q241</f>
        <v>229732.5</v>
      </c>
      <c r="V241" s="90" t="s">
        <v>765</v>
      </c>
      <c r="W241" s="90" t="s">
        <v>311</v>
      </c>
      <c r="X241" s="90">
        <v>1030</v>
      </c>
      <c r="Y241" s="90">
        <v>8025657.04</v>
      </c>
    </row>
    <row r="242" spans="1:25" ht="15" x14ac:dyDescent="0.25">
      <c r="A242" s="96" t="s">
        <v>250</v>
      </c>
      <c r="B242" s="96">
        <v>12</v>
      </c>
      <c r="C242" s="97">
        <v>16561</v>
      </c>
      <c r="D242" s="97">
        <v>169801355</v>
      </c>
      <c r="E242" s="97">
        <f>2160+18621</f>
        <v>20781</v>
      </c>
      <c r="F242" s="97">
        <f>15395487+184207595</f>
        <v>199603082</v>
      </c>
      <c r="G242" s="97">
        <f>C242+E242-I242</f>
        <v>11497</v>
      </c>
      <c r="H242" s="97">
        <f>D242+(2160*7128)</f>
        <v>185197835</v>
      </c>
      <c r="I242" s="97">
        <v>25845</v>
      </c>
      <c r="J242" s="97">
        <v>184207595</v>
      </c>
      <c r="K242" s="90" t="s">
        <v>773</v>
      </c>
      <c r="L242" s="90" t="s">
        <v>303</v>
      </c>
      <c r="M242" s="90">
        <v>16</v>
      </c>
      <c r="N242" s="100">
        <v>0</v>
      </c>
      <c r="O242" s="55">
        <v>9805</v>
      </c>
      <c r="P242" s="56">
        <v>213651.57</v>
      </c>
      <c r="Q242" s="57">
        <f t="shared" si="10"/>
        <v>2094853643.8500001</v>
      </c>
      <c r="R242" s="100">
        <f>J242-Q403</f>
        <v>51485641.625</v>
      </c>
      <c r="V242" s="90" t="s">
        <v>922</v>
      </c>
      <c r="W242" s="90" t="s">
        <v>753</v>
      </c>
      <c r="X242" s="90">
        <v>15683</v>
      </c>
      <c r="Y242" s="90">
        <v>442153267.22013706</v>
      </c>
    </row>
    <row r="243" spans="1:25" ht="15" x14ac:dyDescent="0.25">
      <c r="A243" s="101" t="s">
        <v>251</v>
      </c>
      <c r="B243" s="101">
        <v>12</v>
      </c>
      <c r="C243" s="102">
        <v>0</v>
      </c>
      <c r="D243" s="102"/>
      <c r="E243" s="102"/>
      <c r="F243" s="102"/>
      <c r="G243" s="102"/>
      <c r="H243" s="102"/>
      <c r="I243" s="102"/>
      <c r="J243" s="102"/>
      <c r="K243" s="90" t="s">
        <v>777</v>
      </c>
      <c r="L243" s="90" t="s">
        <v>303</v>
      </c>
      <c r="M243" s="90">
        <v>1</v>
      </c>
      <c r="N243" s="100">
        <v>424842</v>
      </c>
      <c r="O243" s="32"/>
      <c r="P243" s="32"/>
      <c r="Q243" s="33">
        <f t="shared" si="10"/>
        <v>0</v>
      </c>
      <c r="V243" s="90" t="s">
        <v>771</v>
      </c>
      <c r="W243" s="90" t="s">
        <v>303</v>
      </c>
      <c r="X243" s="90">
        <v>19</v>
      </c>
      <c r="Y243" s="90">
        <v>75273307</v>
      </c>
    </row>
    <row r="244" spans="1:25" ht="15" x14ac:dyDescent="0.25">
      <c r="A244" s="101" t="s">
        <v>252</v>
      </c>
      <c r="B244" s="101">
        <v>12</v>
      </c>
      <c r="C244" s="102">
        <v>0</v>
      </c>
      <c r="D244" s="102">
        <v>0</v>
      </c>
      <c r="E244" s="102">
        <v>0</v>
      </c>
      <c r="F244" s="102">
        <v>0</v>
      </c>
      <c r="G244" s="102">
        <v>0</v>
      </c>
      <c r="H244" s="102">
        <v>0</v>
      </c>
      <c r="I244" s="102">
        <v>0</v>
      </c>
      <c r="J244" s="102">
        <v>0</v>
      </c>
      <c r="K244" s="90" t="s">
        <v>775</v>
      </c>
      <c r="L244" s="90" t="s">
        <v>303</v>
      </c>
      <c r="M244" s="90">
        <v>3</v>
      </c>
      <c r="N244" s="100">
        <v>0</v>
      </c>
      <c r="O244" s="32"/>
      <c r="P244" s="32"/>
      <c r="Q244" s="33">
        <f t="shared" si="10"/>
        <v>0</v>
      </c>
      <c r="V244" s="90" t="s">
        <v>773</v>
      </c>
      <c r="W244" s="90" t="s">
        <v>303</v>
      </c>
      <c r="X244" s="90">
        <v>16</v>
      </c>
      <c r="Y244" s="90">
        <v>0</v>
      </c>
    </row>
    <row r="245" spans="1:25" ht="15" x14ac:dyDescent="0.25">
      <c r="A245" s="101" t="s">
        <v>253</v>
      </c>
      <c r="B245" s="101">
        <v>12</v>
      </c>
      <c r="C245" s="102">
        <v>0</v>
      </c>
      <c r="D245" s="102">
        <v>0</v>
      </c>
      <c r="E245" s="102">
        <v>0</v>
      </c>
      <c r="F245" s="102">
        <v>0</v>
      </c>
      <c r="G245" s="102">
        <v>0</v>
      </c>
      <c r="H245" s="102">
        <v>0</v>
      </c>
      <c r="I245" s="102">
        <v>0</v>
      </c>
      <c r="J245" s="102">
        <v>0</v>
      </c>
      <c r="K245" s="90" t="s">
        <v>649</v>
      </c>
      <c r="L245" s="90" t="s">
        <v>303</v>
      </c>
      <c r="M245" s="90">
        <v>2</v>
      </c>
      <c r="N245" s="100">
        <v>0</v>
      </c>
      <c r="O245" s="32"/>
      <c r="P245" s="32"/>
      <c r="Q245" s="33">
        <f t="shared" si="10"/>
        <v>0</v>
      </c>
      <c r="V245" s="90" t="s">
        <v>777</v>
      </c>
      <c r="W245" s="90" t="s">
        <v>303</v>
      </c>
      <c r="X245" s="90">
        <v>1</v>
      </c>
      <c r="Y245" s="90">
        <v>424842</v>
      </c>
    </row>
    <row r="246" spans="1:25" ht="15" x14ac:dyDescent="0.25">
      <c r="A246" s="101" t="s">
        <v>254</v>
      </c>
      <c r="B246" s="101">
        <v>12</v>
      </c>
      <c r="C246" s="102">
        <v>178</v>
      </c>
      <c r="D246" s="102">
        <v>6117278</v>
      </c>
      <c r="E246" s="102">
        <v>62</v>
      </c>
      <c r="F246" s="102">
        <v>2130804</v>
      </c>
      <c r="G246" s="102">
        <v>240</v>
      </c>
      <c r="H246" s="102">
        <v>8248082</v>
      </c>
      <c r="I246" s="102">
        <v>0</v>
      </c>
      <c r="J246" s="102">
        <v>0</v>
      </c>
      <c r="K246" s="90" t="s">
        <v>779</v>
      </c>
      <c r="L246" s="90" t="s">
        <v>303</v>
      </c>
      <c r="M246" s="90">
        <v>4</v>
      </c>
      <c r="N246" s="100">
        <v>8364356</v>
      </c>
      <c r="O246" s="32"/>
      <c r="P246" s="32"/>
      <c r="Q246" s="33">
        <f t="shared" si="10"/>
        <v>0</v>
      </c>
      <c r="V246" s="90" t="s">
        <v>775</v>
      </c>
      <c r="W246" s="90" t="s">
        <v>303</v>
      </c>
      <c r="X246" s="90">
        <v>3</v>
      </c>
      <c r="Y246" s="90">
        <v>0</v>
      </c>
    </row>
    <row r="247" spans="1:25" ht="15" x14ac:dyDescent="0.25">
      <c r="A247" s="101" t="s">
        <v>255</v>
      </c>
      <c r="B247" s="101">
        <v>12</v>
      </c>
      <c r="C247" s="102">
        <v>0</v>
      </c>
      <c r="D247" s="102">
        <v>884858</v>
      </c>
      <c r="E247" s="102">
        <v>40</v>
      </c>
      <c r="F247" s="102">
        <v>3487564</v>
      </c>
      <c r="G247" s="102">
        <v>40</v>
      </c>
      <c r="H247" s="102">
        <v>4372422</v>
      </c>
      <c r="I247" s="102">
        <v>0</v>
      </c>
      <c r="J247" s="102">
        <v>0</v>
      </c>
      <c r="K247" s="90" t="s">
        <v>781</v>
      </c>
      <c r="L247" s="90" t="s">
        <v>303</v>
      </c>
      <c r="M247" s="90">
        <v>1</v>
      </c>
      <c r="N247" s="100">
        <v>5012280</v>
      </c>
      <c r="O247" s="32"/>
      <c r="P247" s="32"/>
      <c r="Q247" s="33">
        <f t="shared" si="10"/>
        <v>0</v>
      </c>
      <c r="V247" s="90" t="s">
        <v>649</v>
      </c>
      <c r="W247" s="90" t="s">
        <v>303</v>
      </c>
      <c r="X247" s="90">
        <v>2</v>
      </c>
      <c r="Y247" s="90">
        <v>0</v>
      </c>
    </row>
    <row r="248" spans="1:25" ht="15" x14ac:dyDescent="0.25">
      <c r="A248" s="101" t="s">
        <v>256</v>
      </c>
      <c r="B248" s="101">
        <v>12</v>
      </c>
      <c r="C248" s="102">
        <v>0</v>
      </c>
      <c r="D248" s="102">
        <v>0</v>
      </c>
      <c r="E248" s="102">
        <v>110</v>
      </c>
      <c r="F248" s="102">
        <v>4786700</v>
      </c>
      <c r="G248" s="102">
        <v>110</v>
      </c>
      <c r="H248" s="102">
        <v>4786700</v>
      </c>
      <c r="I248" s="102">
        <v>0</v>
      </c>
      <c r="J248" s="102">
        <v>0</v>
      </c>
      <c r="K248" s="90" t="s">
        <v>923</v>
      </c>
      <c r="L248" s="90" t="s">
        <v>303</v>
      </c>
      <c r="M248" s="90">
        <v>915</v>
      </c>
      <c r="N248" s="100">
        <v>0</v>
      </c>
      <c r="O248" s="32"/>
      <c r="P248" s="32"/>
      <c r="Q248" s="33">
        <f t="shared" si="10"/>
        <v>0</v>
      </c>
      <c r="V248" s="90" t="s">
        <v>779</v>
      </c>
      <c r="W248" s="90" t="s">
        <v>303</v>
      </c>
      <c r="X248" s="90">
        <v>4</v>
      </c>
      <c r="Y248" s="90">
        <v>8364356</v>
      </c>
    </row>
    <row r="249" spans="1:25" ht="15" x14ac:dyDescent="0.25">
      <c r="A249" s="101" t="s">
        <v>257</v>
      </c>
      <c r="B249" s="101">
        <v>12</v>
      </c>
      <c r="C249" s="102">
        <v>26</v>
      </c>
      <c r="D249" s="102">
        <v>1423200</v>
      </c>
      <c r="E249" s="102">
        <v>24</v>
      </c>
      <c r="F249" s="102">
        <v>1313723</v>
      </c>
      <c r="G249" s="102">
        <v>50</v>
      </c>
      <c r="H249" s="102">
        <v>2736923</v>
      </c>
      <c r="I249" s="102">
        <v>0</v>
      </c>
      <c r="J249" s="102">
        <v>0</v>
      </c>
      <c r="K249" s="90" t="s">
        <v>924</v>
      </c>
      <c r="L249" s="90" t="s">
        <v>844</v>
      </c>
      <c r="M249" s="90">
        <v>1</v>
      </c>
      <c r="N249" s="100">
        <v>0</v>
      </c>
      <c r="O249" s="32"/>
      <c r="P249" s="32"/>
      <c r="Q249" s="33">
        <f t="shared" si="10"/>
        <v>0</v>
      </c>
      <c r="V249" s="90" t="s">
        <v>781</v>
      </c>
      <c r="W249" s="90" t="s">
        <v>303</v>
      </c>
      <c r="X249" s="90">
        <v>1</v>
      </c>
      <c r="Y249" s="90">
        <v>5012280</v>
      </c>
    </row>
    <row r="250" spans="1:25" ht="15" x14ac:dyDescent="0.25">
      <c r="A250" s="96" t="s">
        <v>258</v>
      </c>
      <c r="B250" s="96">
        <v>12</v>
      </c>
      <c r="C250" s="97">
        <v>1315</v>
      </c>
      <c r="D250" s="97">
        <v>5870462</v>
      </c>
      <c r="E250" s="97">
        <v>150</v>
      </c>
      <c r="F250" s="97">
        <v>2298240</v>
      </c>
      <c r="G250" s="97">
        <f>C250+E250-I250</f>
        <v>1126</v>
      </c>
      <c r="H250" s="97">
        <f>D250+F250-J250</f>
        <v>3829633</v>
      </c>
      <c r="I250" s="97">
        <v>339</v>
      </c>
      <c r="J250" s="97">
        <v>4339069</v>
      </c>
      <c r="K250" s="90" t="s">
        <v>925</v>
      </c>
      <c r="L250" s="90" t="s">
        <v>451</v>
      </c>
      <c r="M250" s="90">
        <v>1</v>
      </c>
      <c r="N250" s="100">
        <v>0</v>
      </c>
      <c r="O250" s="32"/>
      <c r="P250" s="32"/>
      <c r="Q250" s="33">
        <f t="shared" si="10"/>
        <v>0</v>
      </c>
      <c r="R250" s="100">
        <f>J250-Q340</f>
        <v>-11217791</v>
      </c>
      <c r="V250" s="90" t="s">
        <v>923</v>
      </c>
      <c r="W250" s="90" t="s">
        <v>303</v>
      </c>
      <c r="X250" s="90">
        <v>915</v>
      </c>
      <c r="Y250" s="90">
        <v>0</v>
      </c>
    </row>
    <row r="251" spans="1:25" ht="15" x14ac:dyDescent="0.25">
      <c r="A251" s="115" t="s">
        <v>259</v>
      </c>
      <c r="B251" s="115">
        <v>12</v>
      </c>
      <c r="C251" s="116">
        <v>90</v>
      </c>
      <c r="D251" s="116">
        <v>1980663</v>
      </c>
      <c r="E251" s="116">
        <v>0</v>
      </c>
      <c r="F251" s="116">
        <v>0</v>
      </c>
      <c r="G251" s="116">
        <v>0</v>
      </c>
      <c r="H251" s="116">
        <v>0</v>
      </c>
      <c r="I251" s="116">
        <v>90</v>
      </c>
      <c r="J251" s="116">
        <v>1980663</v>
      </c>
      <c r="K251" s="90" t="s">
        <v>926</v>
      </c>
      <c r="L251" s="90" t="s">
        <v>327</v>
      </c>
      <c r="M251" s="90">
        <v>3</v>
      </c>
      <c r="N251" s="100">
        <v>0</v>
      </c>
      <c r="O251" s="32"/>
      <c r="P251" s="32"/>
      <c r="Q251" s="33">
        <f t="shared" si="10"/>
        <v>0</v>
      </c>
      <c r="R251" s="100">
        <f>J251-Q342</f>
        <v>57911.999999999767</v>
      </c>
      <c r="V251" s="90" t="s">
        <v>924</v>
      </c>
      <c r="W251" s="90" t="s">
        <v>844</v>
      </c>
      <c r="X251" s="90">
        <v>1</v>
      </c>
      <c r="Y251" s="90">
        <v>0</v>
      </c>
    </row>
    <row r="252" spans="1:25" ht="15" x14ac:dyDescent="0.25">
      <c r="A252" s="104" t="s">
        <v>260</v>
      </c>
      <c r="B252" s="104">
        <v>12</v>
      </c>
      <c r="C252" s="105">
        <v>7</v>
      </c>
      <c r="D252" s="105">
        <v>460192</v>
      </c>
      <c r="E252" s="105">
        <v>0</v>
      </c>
      <c r="F252" s="105">
        <v>0</v>
      </c>
      <c r="G252" s="105">
        <v>0</v>
      </c>
      <c r="H252" s="105">
        <v>0</v>
      </c>
      <c r="I252" s="105">
        <v>7</v>
      </c>
      <c r="J252" s="105">
        <v>460192</v>
      </c>
      <c r="K252" s="90" t="s">
        <v>927</v>
      </c>
      <c r="L252" s="90" t="s">
        <v>327</v>
      </c>
      <c r="M252" s="90">
        <v>3</v>
      </c>
      <c r="N252" s="100">
        <v>0</v>
      </c>
      <c r="O252" s="66">
        <v>7</v>
      </c>
      <c r="P252" s="67">
        <v>35040</v>
      </c>
      <c r="Q252" s="68">
        <f t="shared" si="10"/>
        <v>245280</v>
      </c>
      <c r="V252" s="90" t="s">
        <v>925</v>
      </c>
      <c r="W252" s="90" t="s">
        <v>451</v>
      </c>
      <c r="X252" s="90">
        <v>1</v>
      </c>
      <c r="Y252" s="90">
        <v>0</v>
      </c>
    </row>
    <row r="253" spans="1:25" ht="15" x14ac:dyDescent="0.25">
      <c r="A253" s="101" t="s">
        <v>261</v>
      </c>
      <c r="B253" s="101">
        <v>12</v>
      </c>
      <c r="C253" s="102">
        <v>0</v>
      </c>
      <c r="D253" s="102">
        <v>0</v>
      </c>
      <c r="E253" s="102">
        <v>0</v>
      </c>
      <c r="F253" s="102">
        <v>0</v>
      </c>
      <c r="G253" s="102">
        <v>0</v>
      </c>
      <c r="H253" s="102">
        <v>0</v>
      </c>
      <c r="I253" s="102">
        <v>0</v>
      </c>
      <c r="J253" s="102">
        <v>0</v>
      </c>
      <c r="K253" s="90" t="s">
        <v>928</v>
      </c>
      <c r="L253" s="90" t="s">
        <v>327</v>
      </c>
      <c r="M253" s="90">
        <v>41</v>
      </c>
      <c r="N253" s="100">
        <v>0</v>
      </c>
      <c r="O253" s="69"/>
      <c r="P253" s="69"/>
      <c r="Q253" s="68">
        <f t="shared" si="10"/>
        <v>0</v>
      </c>
      <c r="V253" s="90" t="s">
        <v>926</v>
      </c>
      <c r="W253" s="90" t="s">
        <v>327</v>
      </c>
      <c r="X253" s="90">
        <v>3</v>
      </c>
      <c r="Y253" s="90">
        <v>0</v>
      </c>
    </row>
    <row r="254" spans="1:25" ht="15" x14ac:dyDescent="0.25">
      <c r="A254" s="104" t="s">
        <v>262</v>
      </c>
      <c r="B254" s="104">
        <v>12</v>
      </c>
      <c r="C254" s="105">
        <v>4</v>
      </c>
      <c r="D254" s="105">
        <v>330624</v>
      </c>
      <c r="E254" s="105">
        <v>0</v>
      </c>
      <c r="F254" s="105">
        <v>0</v>
      </c>
      <c r="G254" s="105">
        <v>0</v>
      </c>
      <c r="H254" s="105">
        <v>0</v>
      </c>
      <c r="I254" s="105">
        <v>4</v>
      </c>
      <c r="J254" s="105">
        <v>330624</v>
      </c>
      <c r="K254" s="90" t="s">
        <v>929</v>
      </c>
      <c r="L254" s="90" t="s">
        <v>699</v>
      </c>
      <c r="M254" s="90">
        <v>25</v>
      </c>
      <c r="N254" s="100">
        <v>0</v>
      </c>
      <c r="O254" s="66">
        <v>4</v>
      </c>
      <c r="P254" s="67">
        <v>33060.370000000003</v>
      </c>
      <c r="Q254" s="68">
        <f t="shared" si="10"/>
        <v>132241.48000000001</v>
      </c>
      <c r="V254" s="90" t="s">
        <v>927</v>
      </c>
      <c r="W254" s="90" t="s">
        <v>327</v>
      </c>
      <c r="X254" s="90">
        <v>3</v>
      </c>
      <c r="Y254" s="90">
        <v>0</v>
      </c>
    </row>
    <row r="255" spans="1:25" ht="15" x14ac:dyDescent="0.25">
      <c r="A255" s="101" t="s">
        <v>263</v>
      </c>
      <c r="B255" s="101">
        <v>12</v>
      </c>
      <c r="C255" s="102">
        <v>0</v>
      </c>
      <c r="D255" s="102">
        <v>0</v>
      </c>
      <c r="E255" s="102">
        <v>0</v>
      </c>
      <c r="F255" s="102">
        <v>0</v>
      </c>
      <c r="G255" s="102">
        <v>0</v>
      </c>
      <c r="H255" s="102">
        <v>0</v>
      </c>
      <c r="I255" s="102">
        <v>0</v>
      </c>
      <c r="J255" s="102">
        <v>0</v>
      </c>
      <c r="K255" s="90" t="s">
        <v>202</v>
      </c>
      <c r="L255" s="90" t="s">
        <v>303</v>
      </c>
      <c r="M255" s="90">
        <v>161</v>
      </c>
      <c r="N255" s="100">
        <v>4154122</v>
      </c>
      <c r="O255" s="32"/>
      <c r="P255" s="32"/>
      <c r="Q255" s="33">
        <f t="shared" si="10"/>
        <v>0</v>
      </c>
      <c r="V255" s="90" t="s">
        <v>928</v>
      </c>
      <c r="W255" s="90" t="s">
        <v>327</v>
      </c>
      <c r="X255" s="90">
        <v>41</v>
      </c>
      <c r="Y255" s="90">
        <v>0</v>
      </c>
    </row>
    <row r="256" spans="1:25" ht="15" x14ac:dyDescent="0.25">
      <c r="A256" s="101" t="s">
        <v>264</v>
      </c>
      <c r="B256" s="101">
        <v>12</v>
      </c>
      <c r="C256" s="102">
        <v>0</v>
      </c>
      <c r="D256" s="102">
        <v>0</v>
      </c>
      <c r="E256" s="102">
        <v>0</v>
      </c>
      <c r="F256" s="102">
        <v>0</v>
      </c>
      <c r="G256" s="102">
        <v>0</v>
      </c>
      <c r="H256" s="102">
        <v>0</v>
      </c>
      <c r="I256" s="102">
        <v>0</v>
      </c>
      <c r="J256" s="102">
        <v>0</v>
      </c>
      <c r="K256" s="90" t="s">
        <v>203</v>
      </c>
      <c r="L256" s="90" t="s">
        <v>303</v>
      </c>
      <c r="M256" s="90">
        <v>1043</v>
      </c>
      <c r="N256" s="100">
        <v>13195098.908</v>
      </c>
      <c r="O256" s="32"/>
      <c r="P256" s="32"/>
      <c r="Q256" s="33">
        <f t="shared" si="10"/>
        <v>0</v>
      </c>
      <c r="V256" s="90" t="s">
        <v>929</v>
      </c>
      <c r="W256" s="90" t="s">
        <v>699</v>
      </c>
      <c r="X256" s="90">
        <v>25</v>
      </c>
      <c r="Y256" s="90">
        <v>0</v>
      </c>
    </row>
    <row r="257" spans="1:25" ht="15" x14ac:dyDescent="0.25">
      <c r="A257" s="104" t="s">
        <v>265</v>
      </c>
      <c r="B257" s="104">
        <v>12</v>
      </c>
      <c r="C257" s="105">
        <v>5</v>
      </c>
      <c r="D257" s="105">
        <v>412800</v>
      </c>
      <c r="E257" s="105">
        <v>0</v>
      </c>
      <c r="F257" s="105">
        <v>0</v>
      </c>
      <c r="G257" s="105">
        <v>0</v>
      </c>
      <c r="H257" s="105">
        <v>0</v>
      </c>
      <c r="I257" s="105">
        <v>5</v>
      </c>
      <c r="J257" s="105">
        <v>412800</v>
      </c>
      <c r="K257" s="90" t="s">
        <v>204</v>
      </c>
      <c r="L257" s="90" t="s">
        <v>303</v>
      </c>
      <c r="M257" s="90">
        <v>3152</v>
      </c>
      <c r="N257" s="100">
        <v>121803907.05860627</v>
      </c>
      <c r="O257" s="32"/>
      <c r="P257" s="32"/>
      <c r="Q257" s="33">
        <f t="shared" si="10"/>
        <v>0</v>
      </c>
      <c r="V257" s="90" t="s">
        <v>202</v>
      </c>
      <c r="W257" s="90" t="s">
        <v>303</v>
      </c>
      <c r="X257" s="90">
        <v>161</v>
      </c>
      <c r="Y257" s="90">
        <v>4154122</v>
      </c>
    </row>
    <row r="258" spans="1:25" ht="15" x14ac:dyDescent="0.25">
      <c r="A258" s="104" t="s">
        <v>266</v>
      </c>
      <c r="B258" s="104">
        <v>12</v>
      </c>
      <c r="C258" s="105">
        <v>5</v>
      </c>
      <c r="D258" s="105">
        <v>441600</v>
      </c>
      <c r="E258" s="105">
        <v>0</v>
      </c>
      <c r="F258" s="105">
        <v>0</v>
      </c>
      <c r="G258" s="105">
        <v>0</v>
      </c>
      <c r="H258" s="105">
        <v>0</v>
      </c>
      <c r="I258" s="105">
        <v>5</v>
      </c>
      <c r="J258" s="105">
        <v>441600</v>
      </c>
      <c r="K258" s="90" t="s">
        <v>205</v>
      </c>
      <c r="L258" s="90" t="s">
        <v>303</v>
      </c>
      <c r="M258" s="90">
        <v>494</v>
      </c>
      <c r="N258" s="100">
        <v>37288380.859999999</v>
      </c>
      <c r="O258" s="32"/>
      <c r="P258" s="32"/>
      <c r="Q258" s="33">
        <f t="shared" si="10"/>
        <v>0</v>
      </c>
      <c r="V258" s="90" t="s">
        <v>203</v>
      </c>
      <c r="W258" s="90" t="s">
        <v>303</v>
      </c>
      <c r="X258" s="90">
        <v>1043</v>
      </c>
      <c r="Y258" s="90">
        <v>13195098.908</v>
      </c>
    </row>
    <row r="259" spans="1:25" ht="15" x14ac:dyDescent="0.25">
      <c r="A259" s="104" t="s">
        <v>267</v>
      </c>
      <c r="B259" s="104">
        <v>12</v>
      </c>
      <c r="C259" s="105">
        <v>6</v>
      </c>
      <c r="D259" s="105">
        <v>447000</v>
      </c>
      <c r="E259" s="105"/>
      <c r="F259" s="105">
        <v>0</v>
      </c>
      <c r="G259" s="105"/>
      <c r="H259" s="105"/>
      <c r="I259" s="105">
        <v>6</v>
      </c>
      <c r="J259" s="105">
        <v>447000</v>
      </c>
      <c r="K259" s="90" t="s">
        <v>206</v>
      </c>
      <c r="L259" s="90" t="s">
        <v>303</v>
      </c>
      <c r="M259" s="90">
        <v>360</v>
      </c>
      <c r="N259" s="100">
        <v>11969390.400000002</v>
      </c>
      <c r="O259" s="32"/>
      <c r="P259" s="32"/>
      <c r="Q259" s="33">
        <f t="shared" si="10"/>
        <v>0</v>
      </c>
      <c r="V259" s="90" t="s">
        <v>204</v>
      </c>
      <c r="W259" s="90" t="s">
        <v>303</v>
      </c>
      <c r="X259" s="90">
        <v>3152</v>
      </c>
      <c r="Y259" s="90">
        <v>121803907.05860627</v>
      </c>
    </row>
    <row r="260" spans="1:25" ht="15" x14ac:dyDescent="0.25">
      <c r="A260" s="101" t="s">
        <v>268</v>
      </c>
      <c r="B260" s="101">
        <v>12</v>
      </c>
      <c r="C260" s="102">
        <v>0</v>
      </c>
      <c r="D260" s="102">
        <v>0</v>
      </c>
      <c r="E260" s="102">
        <v>0</v>
      </c>
      <c r="F260" s="102">
        <v>0</v>
      </c>
      <c r="G260" s="102">
        <v>0</v>
      </c>
      <c r="H260" s="102">
        <v>0</v>
      </c>
      <c r="I260" s="102">
        <v>0</v>
      </c>
      <c r="J260" s="102">
        <v>0</v>
      </c>
      <c r="K260" s="90" t="s">
        <v>207</v>
      </c>
      <c r="L260" s="90" t="s">
        <v>303</v>
      </c>
      <c r="M260" s="90">
        <v>197</v>
      </c>
      <c r="N260" s="100">
        <v>1688417.3400000003</v>
      </c>
      <c r="O260" s="32"/>
      <c r="P260" s="32"/>
      <c r="Q260" s="33">
        <f t="shared" ref="Q260:Q323" si="11">O260*P260</f>
        <v>0</v>
      </c>
      <c r="V260" s="90" t="s">
        <v>205</v>
      </c>
      <c r="W260" s="90" t="s">
        <v>303</v>
      </c>
      <c r="X260" s="90">
        <v>494</v>
      </c>
      <c r="Y260" s="90">
        <v>37288380.859999999</v>
      </c>
    </row>
    <row r="261" spans="1:25" ht="15" x14ac:dyDescent="0.25">
      <c r="A261" s="101" t="s">
        <v>269</v>
      </c>
      <c r="B261" s="101">
        <v>12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90" t="s">
        <v>208</v>
      </c>
      <c r="L261" s="90" t="s">
        <v>303</v>
      </c>
      <c r="M261" s="90">
        <v>200</v>
      </c>
      <c r="N261" s="100">
        <v>2260285.8640000005</v>
      </c>
      <c r="O261" s="66">
        <v>5</v>
      </c>
      <c r="P261" s="67">
        <v>44160</v>
      </c>
      <c r="Q261" s="68">
        <f t="shared" si="11"/>
        <v>220800</v>
      </c>
      <c r="V261" s="90" t="s">
        <v>206</v>
      </c>
      <c r="W261" s="90" t="s">
        <v>303</v>
      </c>
      <c r="X261" s="90">
        <v>360</v>
      </c>
      <c r="Y261" s="90">
        <v>11969390.400000002</v>
      </c>
    </row>
    <row r="262" spans="1:25" ht="15" x14ac:dyDescent="0.25">
      <c r="A262" s="101" t="s">
        <v>270</v>
      </c>
      <c r="B262" s="101">
        <v>12</v>
      </c>
      <c r="C262" s="102">
        <v>0</v>
      </c>
      <c r="D262" s="102">
        <v>0</v>
      </c>
      <c r="E262" s="102">
        <v>0</v>
      </c>
      <c r="F262" s="102">
        <v>0</v>
      </c>
      <c r="G262" s="102">
        <v>0</v>
      </c>
      <c r="H262" s="102">
        <v>0</v>
      </c>
      <c r="I262" s="102">
        <v>0</v>
      </c>
      <c r="J262" s="102">
        <v>0</v>
      </c>
      <c r="K262" s="90" t="s">
        <v>209</v>
      </c>
      <c r="L262" s="90" t="s">
        <v>451</v>
      </c>
      <c r="M262" s="90">
        <v>88</v>
      </c>
      <c r="N262" s="100">
        <v>5574131.8600000003</v>
      </c>
      <c r="O262" s="66">
        <v>5</v>
      </c>
      <c r="P262" s="67">
        <v>41280</v>
      </c>
      <c r="Q262" s="68">
        <f t="shared" si="11"/>
        <v>206400</v>
      </c>
      <c r="V262" s="90" t="s">
        <v>207</v>
      </c>
      <c r="W262" s="90" t="s">
        <v>303</v>
      </c>
      <c r="X262" s="90">
        <v>197</v>
      </c>
      <c r="Y262" s="90">
        <v>1688417.3400000003</v>
      </c>
    </row>
    <row r="263" spans="1:25" ht="15" x14ac:dyDescent="0.25">
      <c r="A263" s="101" t="s">
        <v>271</v>
      </c>
      <c r="B263" s="101">
        <v>12</v>
      </c>
      <c r="C263" s="102">
        <v>0</v>
      </c>
      <c r="D263" s="102">
        <v>0</v>
      </c>
      <c r="E263" s="102">
        <v>0</v>
      </c>
      <c r="F263" s="102">
        <v>0</v>
      </c>
      <c r="G263" s="102">
        <v>0</v>
      </c>
      <c r="H263" s="102">
        <v>0</v>
      </c>
      <c r="I263" s="102">
        <v>0</v>
      </c>
      <c r="J263" s="102">
        <v>0</v>
      </c>
      <c r="K263" s="90" t="s">
        <v>257</v>
      </c>
      <c r="L263" s="90" t="s">
        <v>327</v>
      </c>
      <c r="M263" s="90">
        <v>100</v>
      </c>
      <c r="N263" s="100">
        <v>1537056</v>
      </c>
      <c r="O263" s="66">
        <v>6</v>
      </c>
      <c r="P263" s="67">
        <v>40800</v>
      </c>
      <c r="Q263" s="68">
        <f t="shared" si="11"/>
        <v>244800</v>
      </c>
      <c r="V263" s="90" t="s">
        <v>208</v>
      </c>
      <c r="W263" s="90" t="s">
        <v>303</v>
      </c>
      <c r="X263" s="90">
        <v>200</v>
      </c>
      <c r="Y263" s="90">
        <v>2260285.8640000005</v>
      </c>
    </row>
    <row r="264" spans="1:25" ht="15" x14ac:dyDescent="0.25">
      <c r="A264" s="101" t="s">
        <v>272</v>
      </c>
      <c r="B264" s="101">
        <v>12</v>
      </c>
      <c r="C264" s="102">
        <v>0</v>
      </c>
      <c r="D264" s="102">
        <v>0</v>
      </c>
      <c r="E264" s="102">
        <v>0</v>
      </c>
      <c r="F264" s="102">
        <v>0</v>
      </c>
      <c r="G264" s="102">
        <v>0</v>
      </c>
      <c r="H264" s="102">
        <v>0</v>
      </c>
      <c r="I264" s="102">
        <v>0</v>
      </c>
      <c r="J264" s="102">
        <v>0</v>
      </c>
      <c r="K264" s="90" t="s">
        <v>696</v>
      </c>
      <c r="L264" s="90" t="s">
        <v>327</v>
      </c>
      <c r="M264" s="90">
        <v>124</v>
      </c>
      <c r="N264" s="100">
        <v>3716374.4049999998</v>
      </c>
      <c r="O264" s="32"/>
      <c r="P264" s="32"/>
      <c r="Q264" s="33">
        <f t="shared" si="11"/>
        <v>0</v>
      </c>
      <c r="V264" s="90" t="s">
        <v>209</v>
      </c>
      <c r="W264" s="90" t="s">
        <v>451</v>
      </c>
      <c r="X264" s="90">
        <v>88</v>
      </c>
      <c r="Y264" s="90">
        <v>5574131.8600000003</v>
      </c>
    </row>
    <row r="265" spans="1:25" ht="15" x14ac:dyDescent="0.25">
      <c r="A265" s="101" t="s">
        <v>273</v>
      </c>
      <c r="B265" s="101">
        <v>12</v>
      </c>
      <c r="C265" s="102">
        <v>0</v>
      </c>
      <c r="D265" s="102">
        <v>0</v>
      </c>
      <c r="E265" s="102">
        <v>0</v>
      </c>
      <c r="F265" s="102">
        <v>0</v>
      </c>
      <c r="G265" s="102">
        <v>0</v>
      </c>
      <c r="H265" s="102">
        <v>0</v>
      </c>
      <c r="I265" s="102">
        <v>0</v>
      </c>
      <c r="J265" s="102">
        <v>0</v>
      </c>
      <c r="K265" s="90" t="s">
        <v>258</v>
      </c>
      <c r="L265" s="90" t="s">
        <v>327</v>
      </c>
      <c r="M265" s="90">
        <v>100</v>
      </c>
      <c r="N265" s="100">
        <v>1654769.138</v>
      </c>
      <c r="O265" s="32"/>
      <c r="P265" s="32"/>
      <c r="Q265" s="33">
        <f t="shared" si="11"/>
        <v>0</v>
      </c>
      <c r="V265" s="90" t="s">
        <v>257</v>
      </c>
      <c r="W265" s="90" t="s">
        <v>327</v>
      </c>
      <c r="X265" s="90">
        <v>100</v>
      </c>
      <c r="Y265" s="90">
        <v>1537056</v>
      </c>
    </row>
    <row r="266" spans="1:25" s="111" customFormat="1" ht="15" x14ac:dyDescent="0.25">
      <c r="A266" s="104" t="s">
        <v>274</v>
      </c>
      <c r="B266" s="104">
        <v>12</v>
      </c>
      <c r="C266" s="105">
        <v>14</v>
      </c>
      <c r="D266" s="105">
        <v>473144</v>
      </c>
      <c r="E266" s="105">
        <v>0</v>
      </c>
      <c r="F266" s="105">
        <v>0</v>
      </c>
      <c r="G266" s="105">
        <v>0</v>
      </c>
      <c r="H266" s="105">
        <v>0</v>
      </c>
      <c r="I266" s="105">
        <v>14</v>
      </c>
      <c r="J266" s="105">
        <v>473144</v>
      </c>
      <c r="K266" s="111" t="s">
        <v>260</v>
      </c>
      <c r="L266" s="111" t="s">
        <v>327</v>
      </c>
      <c r="M266" s="111">
        <v>10</v>
      </c>
      <c r="N266" s="112">
        <v>378431.96</v>
      </c>
      <c r="O266" s="69"/>
      <c r="P266" s="69"/>
      <c r="Q266" s="68">
        <f t="shared" si="11"/>
        <v>0</v>
      </c>
      <c r="R266" s="112"/>
      <c r="T266" s="112"/>
      <c r="V266" s="111" t="s">
        <v>696</v>
      </c>
      <c r="W266" s="111" t="s">
        <v>327</v>
      </c>
      <c r="X266" s="111">
        <v>124</v>
      </c>
      <c r="Y266" s="111">
        <v>3716374.4049999998</v>
      </c>
    </row>
    <row r="267" spans="1:25" ht="15" x14ac:dyDescent="0.25">
      <c r="A267" s="101" t="s">
        <v>275</v>
      </c>
      <c r="B267" s="101">
        <v>12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90" t="s">
        <v>262</v>
      </c>
      <c r="L267" s="90" t="s">
        <v>327</v>
      </c>
      <c r="M267" s="90">
        <v>10</v>
      </c>
      <c r="N267" s="100">
        <v>357052</v>
      </c>
      <c r="O267" s="32"/>
      <c r="P267" s="32"/>
      <c r="Q267" s="33">
        <f t="shared" si="11"/>
        <v>0</v>
      </c>
      <c r="V267" s="90" t="s">
        <v>258</v>
      </c>
      <c r="W267" s="90" t="s">
        <v>327</v>
      </c>
      <c r="X267" s="90">
        <v>100</v>
      </c>
      <c r="Y267" s="90">
        <v>1654769.138</v>
      </c>
    </row>
    <row r="268" spans="1:25" ht="15" x14ac:dyDescent="0.25">
      <c r="A268" s="101" t="s">
        <v>276</v>
      </c>
      <c r="B268" s="101">
        <v>12</v>
      </c>
      <c r="C268" s="102">
        <v>0</v>
      </c>
      <c r="D268" s="102">
        <v>0</v>
      </c>
      <c r="E268" s="102">
        <v>0</v>
      </c>
      <c r="F268" s="102">
        <v>0</v>
      </c>
      <c r="G268" s="102">
        <v>0</v>
      </c>
      <c r="H268" s="102">
        <v>0</v>
      </c>
      <c r="I268" s="102">
        <v>0</v>
      </c>
      <c r="J268" s="102">
        <v>0</v>
      </c>
      <c r="K268" s="90" t="s">
        <v>265</v>
      </c>
      <c r="L268" s="90" t="s">
        <v>327</v>
      </c>
      <c r="M268" s="90">
        <v>10</v>
      </c>
      <c r="N268" s="100">
        <v>445824</v>
      </c>
      <c r="O268" s="32"/>
      <c r="P268" s="32"/>
      <c r="Q268" s="33">
        <f t="shared" si="11"/>
        <v>0</v>
      </c>
      <c r="V268" s="90" t="s">
        <v>260</v>
      </c>
      <c r="W268" s="90" t="s">
        <v>327</v>
      </c>
      <c r="X268" s="90">
        <v>10</v>
      </c>
      <c r="Y268" s="90">
        <v>378431.96</v>
      </c>
    </row>
    <row r="269" spans="1:25" ht="15" x14ac:dyDescent="0.25">
      <c r="A269" s="101" t="s">
        <v>277</v>
      </c>
      <c r="B269" s="101">
        <v>12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90" t="s">
        <v>266</v>
      </c>
      <c r="L269" s="90" t="s">
        <v>327</v>
      </c>
      <c r="M269" s="90">
        <v>10</v>
      </c>
      <c r="N269" s="100">
        <v>476927.96799999999</v>
      </c>
      <c r="O269" s="32"/>
      <c r="P269" s="32"/>
      <c r="Q269" s="33">
        <f t="shared" si="11"/>
        <v>0</v>
      </c>
      <c r="V269" s="90" t="s">
        <v>262</v>
      </c>
      <c r="W269" s="90" t="s">
        <v>327</v>
      </c>
      <c r="X269" s="90">
        <v>10</v>
      </c>
      <c r="Y269" s="90">
        <v>357052</v>
      </c>
    </row>
    <row r="270" spans="1:25" ht="15" x14ac:dyDescent="0.25">
      <c r="A270" s="101" t="s">
        <v>278</v>
      </c>
      <c r="B270" s="101">
        <v>12</v>
      </c>
      <c r="C270" s="102">
        <v>0</v>
      </c>
      <c r="D270" s="102">
        <v>0</v>
      </c>
      <c r="E270" s="102">
        <v>0</v>
      </c>
      <c r="F270" s="102">
        <v>0</v>
      </c>
      <c r="G270" s="102">
        <v>0</v>
      </c>
      <c r="H270" s="102">
        <v>0</v>
      </c>
      <c r="I270" s="102">
        <v>0</v>
      </c>
      <c r="J270" s="102">
        <v>0</v>
      </c>
      <c r="K270" s="90" t="s">
        <v>930</v>
      </c>
      <c r="L270" s="90" t="s">
        <v>327</v>
      </c>
      <c r="M270" s="90">
        <v>24</v>
      </c>
      <c r="N270" s="100">
        <v>359510</v>
      </c>
      <c r="O270" s="32"/>
      <c r="P270" s="32"/>
      <c r="Q270" s="33">
        <f t="shared" si="11"/>
        <v>0</v>
      </c>
      <c r="V270" s="90" t="s">
        <v>265</v>
      </c>
      <c r="W270" s="90" t="s">
        <v>327</v>
      </c>
      <c r="X270" s="90">
        <v>10</v>
      </c>
      <c r="Y270" s="90">
        <v>445824</v>
      </c>
    </row>
    <row r="271" spans="1:25" ht="15" x14ac:dyDescent="0.25">
      <c r="A271" s="101" t="s">
        <v>279</v>
      </c>
      <c r="B271" s="101">
        <v>12</v>
      </c>
      <c r="C271" s="102">
        <v>0</v>
      </c>
      <c r="D271" s="102">
        <v>0</v>
      </c>
      <c r="E271" s="102">
        <v>0</v>
      </c>
      <c r="F271" s="102">
        <v>0</v>
      </c>
      <c r="G271" s="102">
        <v>0</v>
      </c>
      <c r="H271" s="102">
        <v>0</v>
      </c>
      <c r="I271" s="102">
        <v>0</v>
      </c>
      <c r="J271" s="102">
        <v>0</v>
      </c>
      <c r="K271" s="90" t="s">
        <v>931</v>
      </c>
      <c r="L271" s="90" t="s">
        <v>327</v>
      </c>
      <c r="M271" s="90">
        <v>24</v>
      </c>
      <c r="N271" s="100">
        <v>359510</v>
      </c>
      <c r="O271" s="32"/>
      <c r="P271" s="32"/>
      <c r="Q271" s="33">
        <f t="shared" si="11"/>
        <v>0</v>
      </c>
      <c r="V271" s="90" t="s">
        <v>266</v>
      </c>
      <c r="W271" s="90" t="s">
        <v>327</v>
      </c>
      <c r="X271" s="90">
        <v>10</v>
      </c>
      <c r="Y271" s="90">
        <v>476927.96799999999</v>
      </c>
    </row>
    <row r="272" spans="1:25" ht="15" x14ac:dyDescent="0.25">
      <c r="A272" s="101" t="s">
        <v>280</v>
      </c>
      <c r="B272" s="101">
        <v>12</v>
      </c>
      <c r="C272" s="102">
        <v>0</v>
      </c>
      <c r="D272" s="102">
        <v>0</v>
      </c>
      <c r="E272" s="102">
        <v>0</v>
      </c>
      <c r="F272" s="102">
        <v>0</v>
      </c>
      <c r="G272" s="102">
        <v>0</v>
      </c>
      <c r="H272" s="102">
        <v>0</v>
      </c>
      <c r="I272" s="102">
        <v>0</v>
      </c>
      <c r="J272" s="102">
        <v>0</v>
      </c>
      <c r="K272" s="90" t="s">
        <v>719</v>
      </c>
      <c r="L272" s="90" t="s">
        <v>327</v>
      </c>
      <c r="M272" s="90">
        <v>205</v>
      </c>
      <c r="N272" s="100">
        <v>3907882.1799999997</v>
      </c>
      <c r="O272" s="32"/>
      <c r="P272" s="32"/>
      <c r="Q272" s="33">
        <f t="shared" si="11"/>
        <v>0</v>
      </c>
      <c r="V272" s="90" t="s">
        <v>930</v>
      </c>
      <c r="W272" s="90" t="s">
        <v>327</v>
      </c>
      <c r="X272" s="90">
        <v>24</v>
      </c>
      <c r="Y272" s="90">
        <v>359510</v>
      </c>
    </row>
    <row r="273" spans="1:25" ht="15" x14ac:dyDescent="0.25">
      <c r="A273" s="104" t="s">
        <v>281</v>
      </c>
      <c r="B273" s="104">
        <v>12</v>
      </c>
      <c r="C273" s="105">
        <v>115</v>
      </c>
      <c r="D273" s="105">
        <v>1984968</v>
      </c>
      <c r="E273" s="105">
        <v>52</v>
      </c>
      <c r="F273" s="105">
        <v>882000</v>
      </c>
      <c r="G273" s="105">
        <v>0</v>
      </c>
      <c r="H273" s="105">
        <v>0</v>
      </c>
      <c r="I273" s="105">
        <v>167</v>
      </c>
      <c r="J273" s="105">
        <v>2866968</v>
      </c>
      <c r="K273" s="90" t="s">
        <v>282</v>
      </c>
      <c r="L273" s="90" t="s">
        <v>327</v>
      </c>
      <c r="M273" s="90">
        <v>155</v>
      </c>
      <c r="N273" s="100">
        <v>5921391.5499999998</v>
      </c>
      <c r="O273" s="32"/>
      <c r="P273" s="32"/>
      <c r="Q273" s="33">
        <f t="shared" si="11"/>
        <v>0</v>
      </c>
      <c r="R273" s="100">
        <f>J273-Q290</f>
        <v>-78912</v>
      </c>
      <c r="V273" s="90" t="s">
        <v>931</v>
      </c>
      <c r="W273" s="90" t="s">
        <v>327</v>
      </c>
      <c r="X273" s="90">
        <v>24</v>
      </c>
      <c r="Y273" s="90">
        <v>359510</v>
      </c>
    </row>
    <row r="274" spans="1:25" ht="15" x14ac:dyDescent="0.25">
      <c r="A274" s="96" t="s">
        <v>282</v>
      </c>
      <c r="B274" s="96">
        <v>12</v>
      </c>
      <c r="C274" s="97">
        <v>0</v>
      </c>
      <c r="D274" s="97">
        <v>0</v>
      </c>
      <c r="E274" s="97">
        <v>28</v>
      </c>
      <c r="F274" s="97">
        <v>1940400</v>
      </c>
      <c r="G274" s="97">
        <f>E274-I274</f>
        <v>3</v>
      </c>
      <c r="H274" s="97">
        <f>F274-J274</f>
        <v>1044761</v>
      </c>
      <c r="I274" s="97">
        <v>25</v>
      </c>
      <c r="J274" s="97">
        <v>895639</v>
      </c>
      <c r="K274" s="90" t="s">
        <v>283</v>
      </c>
      <c r="L274" s="90" t="s">
        <v>327</v>
      </c>
      <c r="M274" s="90">
        <v>457</v>
      </c>
      <c r="N274" s="100">
        <v>17745222.670000002</v>
      </c>
      <c r="O274" s="80">
        <v>226</v>
      </c>
      <c r="P274" s="56">
        <v>27744</v>
      </c>
      <c r="Q274" s="57">
        <f t="shared" si="11"/>
        <v>6270144</v>
      </c>
      <c r="R274" s="100">
        <f>J274-Q291</f>
        <v>436999</v>
      </c>
      <c r="V274" s="90" t="s">
        <v>719</v>
      </c>
      <c r="W274" s="90" t="s">
        <v>327</v>
      </c>
      <c r="X274" s="90">
        <v>205</v>
      </c>
      <c r="Y274" s="90">
        <v>3907882.1799999997</v>
      </c>
    </row>
    <row r="275" spans="1:25" ht="15" x14ac:dyDescent="0.25">
      <c r="A275" s="96" t="s">
        <v>283</v>
      </c>
      <c r="B275" s="96">
        <v>12</v>
      </c>
      <c r="C275" s="97">
        <v>2650</v>
      </c>
      <c r="D275" s="97">
        <v>60362629</v>
      </c>
      <c r="E275" s="97">
        <v>1138</v>
      </c>
      <c r="F275" s="97">
        <v>39547200</v>
      </c>
      <c r="G275" s="97">
        <f>C275+E275-I275</f>
        <v>3132</v>
      </c>
      <c r="H275" s="97">
        <f>D275+F275-J275</f>
        <v>76338900</v>
      </c>
      <c r="I275" s="97">
        <v>656</v>
      </c>
      <c r="J275" s="97">
        <v>23570929</v>
      </c>
      <c r="K275" s="90" t="s">
        <v>284</v>
      </c>
      <c r="L275" s="90" t="s">
        <v>327</v>
      </c>
      <c r="M275" s="90">
        <v>123</v>
      </c>
      <c r="N275" s="100">
        <v>6122999.96</v>
      </c>
      <c r="O275" s="32"/>
      <c r="P275" s="32"/>
      <c r="Q275" s="33">
        <f t="shared" si="11"/>
        <v>0</v>
      </c>
      <c r="V275" s="90" t="s">
        <v>282</v>
      </c>
      <c r="W275" s="90" t="s">
        <v>327</v>
      </c>
      <c r="X275" s="90">
        <v>155</v>
      </c>
      <c r="Y275" s="90">
        <v>5921391.5499999998</v>
      </c>
    </row>
    <row r="276" spans="1:25" ht="15" x14ac:dyDescent="0.25">
      <c r="A276" s="101" t="s">
        <v>284</v>
      </c>
      <c r="B276" s="101">
        <v>12</v>
      </c>
      <c r="C276" s="102">
        <v>170</v>
      </c>
      <c r="D276" s="102">
        <v>7787064</v>
      </c>
      <c r="E276" s="102">
        <v>14</v>
      </c>
      <c r="F276" s="102">
        <v>598416</v>
      </c>
      <c r="G276" s="102">
        <v>0</v>
      </c>
      <c r="H276" s="102">
        <v>0</v>
      </c>
      <c r="I276" s="102">
        <v>184</v>
      </c>
      <c r="J276" s="102">
        <v>8385480</v>
      </c>
      <c r="K276" s="90" t="s">
        <v>212</v>
      </c>
      <c r="L276" s="90" t="s">
        <v>303</v>
      </c>
      <c r="M276" s="90">
        <v>12761</v>
      </c>
      <c r="N276" s="100">
        <v>163943573.59642723</v>
      </c>
      <c r="O276" s="55">
        <v>144</v>
      </c>
      <c r="P276" s="52">
        <v>18630</v>
      </c>
      <c r="Q276" s="57">
        <f t="shared" si="11"/>
        <v>2682720</v>
      </c>
      <c r="V276" s="90" t="s">
        <v>283</v>
      </c>
      <c r="W276" s="90" t="s">
        <v>327</v>
      </c>
      <c r="X276" s="90">
        <v>457</v>
      </c>
      <c r="Y276" s="90">
        <v>17745222.670000002</v>
      </c>
    </row>
    <row r="277" spans="1:25" ht="15" x14ac:dyDescent="0.25">
      <c r="A277" s="101" t="s">
        <v>285</v>
      </c>
      <c r="B277" s="101">
        <v>12</v>
      </c>
      <c r="C277" s="102">
        <v>0</v>
      </c>
      <c r="D277" s="102">
        <v>0</v>
      </c>
      <c r="E277" s="102">
        <v>0</v>
      </c>
      <c r="F277" s="102">
        <v>0</v>
      </c>
      <c r="G277" s="102">
        <v>0</v>
      </c>
      <c r="H277" s="102">
        <v>0</v>
      </c>
      <c r="I277" s="102">
        <v>0</v>
      </c>
      <c r="J277" s="102">
        <v>0</v>
      </c>
      <c r="K277" s="90" t="s">
        <v>213</v>
      </c>
      <c r="L277" s="90" t="s">
        <v>303</v>
      </c>
      <c r="M277" s="90">
        <v>1870</v>
      </c>
      <c r="N277" s="100">
        <v>24373678.513999995</v>
      </c>
      <c r="O277" s="32"/>
      <c r="P277" s="32"/>
      <c r="Q277" s="33">
        <f t="shared" si="11"/>
        <v>0</v>
      </c>
      <c r="V277" s="90" t="s">
        <v>284</v>
      </c>
      <c r="W277" s="90" t="s">
        <v>327</v>
      </c>
      <c r="X277" s="90">
        <v>123</v>
      </c>
      <c r="Y277" s="90">
        <v>6122999.96</v>
      </c>
    </row>
    <row r="278" spans="1:25" ht="15" x14ac:dyDescent="0.25">
      <c r="A278" s="101" t="s">
        <v>286</v>
      </c>
      <c r="B278" s="101">
        <v>12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90" t="s">
        <v>214</v>
      </c>
      <c r="L278" s="90" t="s">
        <v>303</v>
      </c>
      <c r="M278" s="90">
        <v>166</v>
      </c>
      <c r="N278" s="100">
        <v>3475567.9399999995</v>
      </c>
      <c r="O278" s="32"/>
      <c r="P278" s="32"/>
      <c r="Q278" s="33">
        <f t="shared" si="11"/>
        <v>0</v>
      </c>
      <c r="V278" s="90" t="s">
        <v>212</v>
      </c>
      <c r="W278" s="90" t="s">
        <v>303</v>
      </c>
      <c r="X278" s="90">
        <v>12761</v>
      </c>
      <c r="Y278" s="90">
        <v>163943573.59642723</v>
      </c>
    </row>
    <row r="279" spans="1:25" s="113" customFormat="1" ht="15" x14ac:dyDescent="0.25">
      <c r="A279" s="115" t="s">
        <v>287</v>
      </c>
      <c r="B279" s="115">
        <v>12</v>
      </c>
      <c r="C279" s="116">
        <v>8</v>
      </c>
      <c r="D279" s="116">
        <v>888480</v>
      </c>
      <c r="E279" s="116">
        <v>0</v>
      </c>
      <c r="F279" s="116">
        <v>0</v>
      </c>
      <c r="G279" s="116">
        <v>0</v>
      </c>
      <c r="H279" s="116">
        <v>0</v>
      </c>
      <c r="I279" s="116">
        <v>8</v>
      </c>
      <c r="J279" s="116">
        <v>888480</v>
      </c>
      <c r="K279" s="113" t="s">
        <v>811</v>
      </c>
      <c r="L279" s="113" t="s">
        <v>303</v>
      </c>
      <c r="M279" s="113">
        <v>7860</v>
      </c>
      <c r="N279" s="114">
        <v>221222904.09</v>
      </c>
      <c r="O279" s="81"/>
      <c r="P279" s="81"/>
      <c r="Q279" s="82">
        <f t="shared" si="11"/>
        <v>0</v>
      </c>
      <c r="R279" s="114">
        <f>J279-Q298</f>
        <v>651552</v>
      </c>
      <c r="T279" s="114"/>
      <c r="V279" s="113" t="s">
        <v>213</v>
      </c>
      <c r="W279" s="113" t="s">
        <v>303</v>
      </c>
      <c r="X279" s="113">
        <v>1870</v>
      </c>
      <c r="Y279" s="113">
        <v>24373678.513999995</v>
      </c>
    </row>
    <row r="280" spans="1:25" ht="15" x14ac:dyDescent="0.25">
      <c r="A280" s="101" t="s">
        <v>288</v>
      </c>
      <c r="B280" s="101">
        <v>12</v>
      </c>
      <c r="C280" s="102">
        <v>72</v>
      </c>
      <c r="D280" s="102">
        <v>1717560</v>
      </c>
      <c r="E280" s="102">
        <v>2768</v>
      </c>
      <c r="F280" s="102"/>
      <c r="G280" s="102">
        <v>0</v>
      </c>
      <c r="H280" s="102"/>
      <c r="I280" s="102">
        <v>72</v>
      </c>
      <c r="J280" s="102">
        <v>1717560</v>
      </c>
      <c r="K280" s="90" t="s">
        <v>215</v>
      </c>
      <c r="L280" s="90" t="s">
        <v>303</v>
      </c>
      <c r="M280" s="90">
        <v>117</v>
      </c>
      <c r="N280" s="100">
        <v>5698630.3300000001</v>
      </c>
      <c r="O280" s="79">
        <v>14</v>
      </c>
      <c r="P280" s="77">
        <v>31950</v>
      </c>
      <c r="Q280" s="68">
        <f t="shared" si="11"/>
        <v>447300</v>
      </c>
      <c r="V280" s="90" t="s">
        <v>214</v>
      </c>
      <c r="W280" s="90" t="s">
        <v>303</v>
      </c>
      <c r="X280" s="90">
        <v>166</v>
      </c>
      <c r="Y280" s="90">
        <v>3475567.9399999995</v>
      </c>
    </row>
    <row r="281" spans="1:25" ht="15" x14ac:dyDescent="0.25">
      <c r="A281" s="96" t="s">
        <v>289</v>
      </c>
      <c r="B281" s="96">
        <v>12</v>
      </c>
      <c r="C281" s="97">
        <v>5453</v>
      </c>
      <c r="D281" s="97">
        <v>18544800</v>
      </c>
      <c r="E281" s="97">
        <f>481+2768</f>
        <v>3249</v>
      </c>
      <c r="F281" s="97" t="e">
        <f>E281*#REF!</f>
        <v>#REF!</v>
      </c>
      <c r="G281" s="97">
        <f>C281+E281-I281</f>
        <v>5934</v>
      </c>
      <c r="H281" s="97" t="e">
        <f>D281+F281-J281</f>
        <v>#REF!</v>
      </c>
      <c r="I281" s="97">
        <v>2768</v>
      </c>
      <c r="J281" s="97">
        <v>22766880</v>
      </c>
      <c r="K281" s="90" t="s">
        <v>216</v>
      </c>
      <c r="L281" s="90" t="s">
        <v>303</v>
      </c>
      <c r="M281" s="90">
        <v>218</v>
      </c>
      <c r="N281" s="100">
        <v>1991876.29</v>
      </c>
      <c r="O281" s="55">
        <v>10868</v>
      </c>
      <c r="P281" s="56">
        <v>24638</v>
      </c>
      <c r="Q281" s="57">
        <f t="shared" si="11"/>
        <v>267765784</v>
      </c>
      <c r="R281" s="100">
        <f>J281-Q155</f>
        <v>-26035878.840000004</v>
      </c>
      <c r="V281" s="90" t="s">
        <v>811</v>
      </c>
      <c r="W281" s="90" t="s">
        <v>303</v>
      </c>
      <c r="X281" s="90">
        <v>7860</v>
      </c>
      <c r="Y281" s="90">
        <v>221222904.09</v>
      </c>
    </row>
    <row r="282" spans="1:25" ht="15" x14ac:dyDescent="0.25">
      <c r="A282" s="115" t="s">
        <v>290</v>
      </c>
      <c r="B282" s="115">
        <v>12</v>
      </c>
      <c r="C282" s="116">
        <v>294</v>
      </c>
      <c r="D282" s="116">
        <v>26161598</v>
      </c>
      <c r="E282" s="116">
        <v>612</v>
      </c>
      <c r="F282" s="116">
        <v>54458208</v>
      </c>
      <c r="G282" s="116">
        <v>462</v>
      </c>
      <c r="H282" s="116">
        <v>41110762</v>
      </c>
      <c r="I282" s="116">
        <v>444</v>
      </c>
      <c r="J282" s="116">
        <v>39509044</v>
      </c>
      <c r="K282" s="90" t="s">
        <v>932</v>
      </c>
      <c r="L282" s="90" t="s">
        <v>303</v>
      </c>
      <c r="M282" s="90">
        <v>946</v>
      </c>
      <c r="N282" s="100">
        <v>0</v>
      </c>
      <c r="O282" s="32"/>
      <c r="P282" s="32"/>
      <c r="Q282" s="33">
        <f t="shared" si="11"/>
        <v>0</v>
      </c>
      <c r="V282" s="90" t="s">
        <v>215</v>
      </c>
      <c r="W282" s="90" t="s">
        <v>303</v>
      </c>
      <c r="X282" s="90">
        <v>117</v>
      </c>
      <c r="Y282" s="90">
        <v>5698630.3300000001</v>
      </c>
    </row>
    <row r="283" spans="1:25" ht="15" x14ac:dyDescent="0.25">
      <c r="A283" s="115" t="s">
        <v>291</v>
      </c>
      <c r="B283" s="115">
        <v>12</v>
      </c>
      <c r="C283" s="116">
        <v>580</v>
      </c>
      <c r="D283" s="116">
        <v>54183265</v>
      </c>
      <c r="E283" s="116">
        <v>1120</v>
      </c>
      <c r="F283" s="116">
        <v>104711040</v>
      </c>
      <c r="G283" s="116">
        <v>821</v>
      </c>
      <c r="H283" s="116">
        <v>76736603</v>
      </c>
      <c r="I283" s="116">
        <v>879</v>
      </c>
      <c r="J283" s="116">
        <v>82157702</v>
      </c>
      <c r="K283" s="90" t="s">
        <v>933</v>
      </c>
      <c r="L283" s="90" t="s">
        <v>327</v>
      </c>
      <c r="M283" s="90">
        <v>4</v>
      </c>
      <c r="N283" s="100">
        <v>0</v>
      </c>
      <c r="O283" s="32"/>
      <c r="P283" s="32"/>
      <c r="Q283" s="33">
        <f t="shared" si="11"/>
        <v>0</v>
      </c>
      <c r="V283" s="90" t="s">
        <v>216</v>
      </c>
      <c r="W283" s="90" t="s">
        <v>303</v>
      </c>
      <c r="X283" s="90">
        <v>218</v>
      </c>
      <c r="Y283" s="90">
        <v>1991876.29</v>
      </c>
    </row>
    <row r="284" spans="1:25" ht="15" x14ac:dyDescent="0.25">
      <c r="A284" s="101" t="s">
        <v>292</v>
      </c>
      <c r="B284" s="101">
        <v>12</v>
      </c>
      <c r="C284" s="102">
        <v>0</v>
      </c>
      <c r="D284" s="102">
        <v>0</v>
      </c>
      <c r="E284" s="102">
        <v>394</v>
      </c>
      <c r="F284" s="102">
        <v>34234181</v>
      </c>
      <c r="G284" s="102">
        <v>394</v>
      </c>
      <c r="H284" s="102">
        <v>34234181</v>
      </c>
      <c r="I284" s="102">
        <v>0</v>
      </c>
      <c r="J284" s="102">
        <v>0</v>
      </c>
      <c r="K284" s="90" t="s">
        <v>934</v>
      </c>
      <c r="L284" s="90" t="s">
        <v>327</v>
      </c>
      <c r="M284" s="90">
        <v>4</v>
      </c>
      <c r="N284" s="100">
        <v>0</v>
      </c>
      <c r="O284" s="32"/>
      <c r="P284" s="32"/>
      <c r="Q284" s="33">
        <f t="shared" si="11"/>
        <v>0</v>
      </c>
      <c r="V284" s="90" t="s">
        <v>932</v>
      </c>
      <c r="W284" s="90" t="s">
        <v>303</v>
      </c>
      <c r="X284" s="90">
        <v>946</v>
      </c>
      <c r="Y284" s="90">
        <v>0</v>
      </c>
    </row>
    <row r="285" spans="1:25" ht="15" x14ac:dyDescent="0.25">
      <c r="A285" s="101"/>
      <c r="B285" s="101"/>
      <c r="C285" s="94"/>
      <c r="D285" s="94">
        <f>SUM(D3:D284)</f>
        <v>15757074952.489557</v>
      </c>
      <c r="E285" s="94" t="e">
        <f t="shared" ref="E285:I285" si="12">SUM(E3:E284)</f>
        <v>#REF!</v>
      </c>
      <c r="F285" s="94" t="e">
        <f t="shared" si="12"/>
        <v>#REF!</v>
      </c>
      <c r="G285" s="94" t="e">
        <f t="shared" si="12"/>
        <v>#REF!</v>
      </c>
      <c r="H285" s="94" t="e">
        <f t="shared" si="12"/>
        <v>#REF!</v>
      </c>
      <c r="I285" s="94">
        <f t="shared" si="12"/>
        <v>864541</v>
      </c>
      <c r="J285" s="94">
        <f>SUM(J3:J284)</f>
        <v>15761231523</v>
      </c>
      <c r="K285" s="90" t="s">
        <v>935</v>
      </c>
      <c r="L285" s="90" t="s">
        <v>327</v>
      </c>
      <c r="M285" s="90">
        <v>33</v>
      </c>
      <c r="N285" s="100">
        <v>0</v>
      </c>
      <c r="O285" s="32"/>
      <c r="P285" s="32"/>
      <c r="Q285" s="33">
        <f t="shared" si="11"/>
        <v>0</v>
      </c>
      <c r="V285" s="90" t="s">
        <v>933</v>
      </c>
      <c r="W285" s="90" t="s">
        <v>327</v>
      </c>
      <c r="X285" s="90">
        <v>4</v>
      </c>
      <c r="Y285" s="90">
        <v>0</v>
      </c>
    </row>
    <row r="286" spans="1:25" ht="15" x14ac:dyDescent="0.25">
      <c r="K286" s="90" t="s">
        <v>936</v>
      </c>
      <c r="L286" s="90" t="s">
        <v>303</v>
      </c>
      <c r="M286" s="90">
        <v>16</v>
      </c>
      <c r="N286" s="100">
        <v>0</v>
      </c>
      <c r="O286" s="32"/>
      <c r="P286" s="32"/>
      <c r="Q286" s="33">
        <f t="shared" si="11"/>
        <v>0</v>
      </c>
      <c r="V286" s="90" t="s">
        <v>934</v>
      </c>
      <c r="W286" s="90" t="s">
        <v>327</v>
      </c>
      <c r="X286" s="90">
        <v>4</v>
      </c>
      <c r="Y286" s="90">
        <v>0</v>
      </c>
    </row>
    <row r="287" spans="1:25" ht="15" x14ac:dyDescent="0.25">
      <c r="K287" s="90" t="s">
        <v>937</v>
      </c>
      <c r="L287" s="90" t="s">
        <v>327</v>
      </c>
      <c r="M287" s="90">
        <v>2</v>
      </c>
      <c r="N287" s="100">
        <v>0</v>
      </c>
      <c r="O287" s="32"/>
      <c r="P287" s="32"/>
      <c r="Q287" s="33">
        <f t="shared" si="11"/>
        <v>0</v>
      </c>
      <c r="V287" s="90" t="s">
        <v>935</v>
      </c>
      <c r="W287" s="90" t="s">
        <v>327</v>
      </c>
      <c r="X287" s="90">
        <v>33</v>
      </c>
      <c r="Y287" s="90">
        <v>0</v>
      </c>
    </row>
    <row r="288" spans="1:25" ht="15" x14ac:dyDescent="0.25">
      <c r="K288" s="90" t="s">
        <v>938</v>
      </c>
      <c r="L288" s="90" t="s">
        <v>327</v>
      </c>
      <c r="M288" s="90">
        <v>3</v>
      </c>
      <c r="N288" s="100">
        <v>0</v>
      </c>
      <c r="O288" s="32"/>
      <c r="P288" s="32"/>
      <c r="Q288" s="33">
        <f t="shared" si="11"/>
        <v>0</v>
      </c>
      <c r="V288" s="90" t="s">
        <v>936</v>
      </c>
      <c r="W288" s="90" t="s">
        <v>303</v>
      </c>
      <c r="X288" s="90">
        <v>16</v>
      </c>
      <c r="Y288" s="90">
        <v>0</v>
      </c>
    </row>
    <row r="289" spans="11:25" ht="15" x14ac:dyDescent="0.25">
      <c r="K289" s="90" t="s">
        <v>939</v>
      </c>
      <c r="L289" s="90" t="s">
        <v>327</v>
      </c>
      <c r="M289" s="90">
        <v>4</v>
      </c>
      <c r="N289" s="100">
        <v>0</v>
      </c>
      <c r="O289" s="32"/>
      <c r="P289" s="32"/>
      <c r="Q289" s="33">
        <f t="shared" si="11"/>
        <v>0</v>
      </c>
      <c r="V289" s="90" t="s">
        <v>937</v>
      </c>
      <c r="W289" s="90" t="s">
        <v>327</v>
      </c>
      <c r="X289" s="90">
        <v>2</v>
      </c>
      <c r="Y289" s="90">
        <v>0</v>
      </c>
    </row>
    <row r="290" spans="11:25" ht="15" x14ac:dyDescent="0.25">
      <c r="K290" s="90" t="s">
        <v>940</v>
      </c>
      <c r="L290" s="90" t="s">
        <v>699</v>
      </c>
      <c r="M290" s="90">
        <v>15</v>
      </c>
      <c r="N290" s="100">
        <v>0</v>
      </c>
      <c r="O290" s="55">
        <v>167</v>
      </c>
      <c r="P290" s="56">
        <v>17640</v>
      </c>
      <c r="Q290" s="57">
        <f t="shared" si="11"/>
        <v>2945880</v>
      </c>
      <c r="V290" s="90" t="s">
        <v>938</v>
      </c>
      <c r="W290" s="90" t="s">
        <v>327</v>
      </c>
      <c r="X290" s="90">
        <v>3</v>
      </c>
      <c r="Y290" s="90">
        <v>0</v>
      </c>
    </row>
    <row r="291" spans="11:25" ht="15" x14ac:dyDescent="0.25">
      <c r="K291" s="90" t="s">
        <v>941</v>
      </c>
      <c r="L291" s="90" t="s">
        <v>327</v>
      </c>
      <c r="M291" s="90">
        <v>6</v>
      </c>
      <c r="N291" s="100">
        <v>0</v>
      </c>
      <c r="O291" s="55">
        <v>13</v>
      </c>
      <c r="P291" s="56">
        <v>35280</v>
      </c>
      <c r="Q291" s="57">
        <f t="shared" si="11"/>
        <v>458640</v>
      </c>
      <c r="V291" s="90" t="s">
        <v>939</v>
      </c>
      <c r="W291" s="90" t="s">
        <v>327</v>
      </c>
      <c r="X291" s="90">
        <v>4</v>
      </c>
      <c r="Y291" s="90">
        <v>0</v>
      </c>
    </row>
    <row r="292" spans="11:25" ht="15" x14ac:dyDescent="0.25">
      <c r="K292" s="90" t="s">
        <v>942</v>
      </c>
      <c r="L292" s="90" t="s">
        <v>864</v>
      </c>
      <c r="M292" s="90">
        <v>1</v>
      </c>
      <c r="N292" s="100">
        <v>0</v>
      </c>
      <c r="O292" s="55">
        <v>2974</v>
      </c>
      <c r="P292" s="56">
        <v>62720</v>
      </c>
      <c r="Q292" s="57">
        <f t="shared" si="11"/>
        <v>186529280</v>
      </c>
      <c r="V292" s="90" t="s">
        <v>940</v>
      </c>
      <c r="W292" s="90" t="s">
        <v>699</v>
      </c>
      <c r="X292" s="90">
        <v>15</v>
      </c>
      <c r="Y292" s="90">
        <v>0</v>
      </c>
    </row>
    <row r="293" spans="11:25" ht="15" x14ac:dyDescent="0.25">
      <c r="K293" s="90" t="s">
        <v>821</v>
      </c>
      <c r="L293" s="90" t="s">
        <v>654</v>
      </c>
      <c r="M293" s="90">
        <v>880</v>
      </c>
      <c r="N293" s="100">
        <v>170585425.94999999</v>
      </c>
      <c r="O293" s="32"/>
      <c r="P293" s="32"/>
      <c r="Q293" s="33">
        <f t="shared" si="11"/>
        <v>0</v>
      </c>
      <c r="V293" s="90" t="s">
        <v>941</v>
      </c>
      <c r="W293" s="90" t="s">
        <v>327</v>
      </c>
      <c r="X293" s="90">
        <v>6</v>
      </c>
      <c r="Y293" s="90">
        <v>0</v>
      </c>
    </row>
    <row r="294" spans="11:25" ht="15" x14ac:dyDescent="0.25">
      <c r="K294" s="90" t="s">
        <v>217</v>
      </c>
      <c r="L294" s="90" t="s">
        <v>654</v>
      </c>
      <c r="M294" s="90">
        <v>80</v>
      </c>
      <c r="N294" s="100">
        <v>15612480.4</v>
      </c>
      <c r="O294" s="32"/>
      <c r="P294" s="32"/>
      <c r="Q294" s="33">
        <f t="shared" si="11"/>
        <v>0</v>
      </c>
      <c r="V294" s="90" t="s">
        <v>942</v>
      </c>
      <c r="W294" s="90" t="s">
        <v>864</v>
      </c>
      <c r="X294" s="90">
        <v>1</v>
      </c>
      <c r="Y294" s="90">
        <v>0</v>
      </c>
    </row>
    <row r="295" spans="11:25" ht="15" x14ac:dyDescent="0.25">
      <c r="K295" s="90" t="s">
        <v>218</v>
      </c>
      <c r="L295" s="90" t="s">
        <v>654</v>
      </c>
      <c r="M295" s="90">
        <v>50</v>
      </c>
      <c r="N295" s="100">
        <v>12743999.74</v>
      </c>
      <c r="O295" s="32"/>
      <c r="P295" s="32"/>
      <c r="Q295" s="33">
        <f t="shared" si="11"/>
        <v>0</v>
      </c>
      <c r="V295" s="90" t="s">
        <v>821</v>
      </c>
      <c r="W295" s="90" t="s">
        <v>654</v>
      </c>
      <c r="X295" s="90">
        <v>880</v>
      </c>
      <c r="Y295" s="90">
        <v>170585425.94999999</v>
      </c>
    </row>
    <row r="296" spans="11:25" ht="15" x14ac:dyDescent="0.25">
      <c r="K296" s="90" t="s">
        <v>219</v>
      </c>
      <c r="L296" s="90" t="s">
        <v>654</v>
      </c>
      <c r="M296" s="90">
        <v>30</v>
      </c>
      <c r="N296" s="100">
        <v>7646400</v>
      </c>
      <c r="O296" s="32"/>
      <c r="P296" s="32"/>
      <c r="Q296" s="33">
        <f t="shared" si="11"/>
        <v>0</v>
      </c>
      <c r="V296" s="90" t="s">
        <v>217</v>
      </c>
      <c r="W296" s="90" t="s">
        <v>654</v>
      </c>
      <c r="X296" s="90">
        <v>80</v>
      </c>
      <c r="Y296" s="90">
        <v>15612480.4</v>
      </c>
    </row>
    <row r="297" spans="11:25" ht="15" x14ac:dyDescent="0.25">
      <c r="K297" s="90" t="s">
        <v>827</v>
      </c>
      <c r="L297" s="90" t="s">
        <v>303</v>
      </c>
      <c r="M297" s="90">
        <v>144</v>
      </c>
      <c r="N297" s="100">
        <v>3991591</v>
      </c>
      <c r="O297" s="32"/>
      <c r="P297" s="32"/>
      <c r="Q297" s="33">
        <f t="shared" si="11"/>
        <v>0</v>
      </c>
      <c r="V297" s="90" t="s">
        <v>218</v>
      </c>
      <c r="W297" s="90" t="s">
        <v>654</v>
      </c>
      <c r="X297" s="90">
        <v>50</v>
      </c>
      <c r="Y297" s="90">
        <v>12743999.74</v>
      </c>
    </row>
    <row r="298" spans="11:25" ht="15" x14ac:dyDescent="0.25">
      <c r="K298" s="90" t="s">
        <v>221</v>
      </c>
      <c r="L298" s="90" t="s">
        <v>303</v>
      </c>
      <c r="M298" s="90">
        <v>3966</v>
      </c>
      <c r="N298" s="100">
        <v>35209048.501000002</v>
      </c>
      <c r="O298" s="83">
        <v>8</v>
      </c>
      <c r="P298" s="84">
        <v>29616</v>
      </c>
      <c r="Q298" s="85">
        <f t="shared" si="11"/>
        <v>236928</v>
      </c>
      <c r="V298" s="90" t="s">
        <v>219</v>
      </c>
      <c r="W298" s="90" t="s">
        <v>654</v>
      </c>
      <c r="X298" s="90">
        <v>30</v>
      </c>
      <c r="Y298" s="90">
        <v>7646400</v>
      </c>
    </row>
    <row r="299" spans="11:25" ht="15" x14ac:dyDescent="0.25">
      <c r="K299" s="90" t="s">
        <v>715</v>
      </c>
      <c r="L299" s="90" t="s">
        <v>303</v>
      </c>
      <c r="M299" s="90">
        <v>156</v>
      </c>
      <c r="N299" s="100">
        <v>1788474.3199999998</v>
      </c>
      <c r="O299" s="32"/>
      <c r="P299" s="32"/>
      <c r="Q299" s="33">
        <f t="shared" si="11"/>
        <v>0</v>
      </c>
      <c r="V299" s="90" t="s">
        <v>827</v>
      </c>
      <c r="W299" s="90" t="s">
        <v>303</v>
      </c>
      <c r="X299" s="90">
        <v>144</v>
      </c>
      <c r="Y299" s="90">
        <v>3991591</v>
      </c>
    </row>
    <row r="300" spans="11:25" ht="15" x14ac:dyDescent="0.25">
      <c r="K300" s="90" t="s">
        <v>222</v>
      </c>
      <c r="L300" s="90" t="s">
        <v>303</v>
      </c>
      <c r="M300" s="90">
        <v>96</v>
      </c>
      <c r="N300" s="100">
        <v>2532304.87</v>
      </c>
      <c r="O300" s="86">
        <v>625</v>
      </c>
      <c r="P300" s="84">
        <v>13152</v>
      </c>
      <c r="Q300" s="85">
        <f t="shared" si="11"/>
        <v>8220000</v>
      </c>
      <c r="V300" s="90" t="s">
        <v>221</v>
      </c>
      <c r="W300" s="90" t="s">
        <v>303</v>
      </c>
      <c r="X300" s="90">
        <v>3966</v>
      </c>
      <c r="Y300" s="90">
        <v>35209048.501000002</v>
      </c>
    </row>
    <row r="301" spans="11:25" ht="15" x14ac:dyDescent="0.25">
      <c r="K301" s="90" t="s">
        <v>223</v>
      </c>
      <c r="L301" s="90" t="s">
        <v>303</v>
      </c>
      <c r="M301" s="90">
        <v>247</v>
      </c>
      <c r="N301" s="100">
        <v>7120956.96</v>
      </c>
      <c r="O301" s="32"/>
      <c r="P301" s="32"/>
      <c r="Q301" s="33">
        <f t="shared" si="11"/>
        <v>0</v>
      </c>
      <c r="V301" s="90" t="s">
        <v>715</v>
      </c>
      <c r="W301" s="90" t="s">
        <v>303</v>
      </c>
      <c r="X301" s="90">
        <v>156</v>
      </c>
      <c r="Y301" s="90">
        <v>1788474.3199999998</v>
      </c>
    </row>
    <row r="302" spans="11:25" ht="15" x14ac:dyDescent="0.25">
      <c r="K302" s="90" t="s">
        <v>225</v>
      </c>
      <c r="L302" s="90" t="s">
        <v>303</v>
      </c>
      <c r="M302" s="90">
        <v>232</v>
      </c>
      <c r="N302" s="100">
        <v>5368555.9000000004</v>
      </c>
      <c r="O302" s="32"/>
      <c r="P302" s="32"/>
      <c r="Q302" s="33">
        <f t="shared" si="11"/>
        <v>0</v>
      </c>
      <c r="V302" s="90" t="s">
        <v>222</v>
      </c>
      <c r="W302" s="90" t="s">
        <v>303</v>
      </c>
      <c r="X302" s="90">
        <v>96</v>
      </c>
      <c r="Y302" s="90">
        <v>2532304.87</v>
      </c>
    </row>
    <row r="303" spans="11:25" ht="15" x14ac:dyDescent="0.25">
      <c r="K303" s="90" t="s">
        <v>837</v>
      </c>
      <c r="L303" s="90" t="s">
        <v>654</v>
      </c>
      <c r="M303" s="90">
        <v>338.2</v>
      </c>
      <c r="N303" s="100">
        <v>33477104.168000001</v>
      </c>
      <c r="O303" s="55">
        <v>2802</v>
      </c>
      <c r="P303" s="56">
        <v>54405.18</v>
      </c>
      <c r="Q303" s="57">
        <f t="shared" si="11"/>
        <v>152443314.36000001</v>
      </c>
      <c r="V303" s="90" t="s">
        <v>223</v>
      </c>
      <c r="W303" s="90" t="s">
        <v>303</v>
      </c>
      <c r="X303" s="90">
        <v>247</v>
      </c>
      <c r="Y303" s="90">
        <v>7120956.96</v>
      </c>
    </row>
    <row r="304" spans="11:25" ht="15" x14ac:dyDescent="0.25">
      <c r="K304" s="90" t="s">
        <v>839</v>
      </c>
      <c r="L304" s="90" t="s">
        <v>654</v>
      </c>
      <c r="M304" s="90">
        <v>140</v>
      </c>
      <c r="N304" s="100">
        <v>12035091.74</v>
      </c>
      <c r="O304" s="55">
        <v>1597</v>
      </c>
      <c r="P304" s="56">
        <v>54405.18</v>
      </c>
      <c r="Q304" s="57">
        <f t="shared" si="11"/>
        <v>86885072.459999993</v>
      </c>
      <c r="V304" s="90" t="s">
        <v>225</v>
      </c>
      <c r="W304" s="90" t="s">
        <v>303</v>
      </c>
      <c r="X304" s="90">
        <v>232</v>
      </c>
      <c r="Y304" s="90">
        <v>5368555.9000000004</v>
      </c>
    </row>
    <row r="305" spans="11:25" ht="15" x14ac:dyDescent="0.25">
      <c r="K305" s="90" t="s">
        <v>229</v>
      </c>
      <c r="L305" s="90" t="s">
        <v>654</v>
      </c>
      <c r="M305" s="90">
        <v>70</v>
      </c>
      <c r="N305" s="100">
        <v>7148977.3700000001</v>
      </c>
      <c r="O305" s="55">
        <v>555</v>
      </c>
      <c r="P305" s="56">
        <v>44306.06</v>
      </c>
      <c r="Q305" s="57">
        <f t="shared" si="11"/>
        <v>24589863.299999997</v>
      </c>
      <c r="V305" s="90" t="s">
        <v>837</v>
      </c>
      <c r="W305" s="90" t="s">
        <v>654</v>
      </c>
      <c r="X305" s="90">
        <v>338.2</v>
      </c>
      <c r="Y305" s="90">
        <v>33477104.168000001</v>
      </c>
    </row>
    <row r="306" spans="11:25" ht="15" x14ac:dyDescent="0.25">
      <c r="K306" s="90" t="s">
        <v>230</v>
      </c>
      <c r="L306" s="90" t="s">
        <v>844</v>
      </c>
      <c r="M306" s="90">
        <v>88</v>
      </c>
      <c r="N306" s="100">
        <v>6749479.1499999994</v>
      </c>
      <c r="O306" s="32"/>
      <c r="P306" s="32"/>
      <c r="Q306" s="33">
        <f t="shared" si="11"/>
        <v>0</v>
      </c>
      <c r="V306" s="90" t="s">
        <v>839</v>
      </c>
      <c r="W306" s="90" t="s">
        <v>654</v>
      </c>
      <c r="X306" s="90">
        <v>140</v>
      </c>
      <c r="Y306" s="90">
        <v>12035091.74</v>
      </c>
    </row>
    <row r="307" spans="11:25" ht="15" x14ac:dyDescent="0.25">
      <c r="K307" s="90" t="s">
        <v>232</v>
      </c>
      <c r="L307" s="90" t="s">
        <v>451</v>
      </c>
      <c r="M307" s="90">
        <v>419</v>
      </c>
      <c r="N307" s="100">
        <v>35373596.700000003</v>
      </c>
      <c r="O307" s="55">
        <v>4395</v>
      </c>
      <c r="P307" s="56">
        <v>43373.31</v>
      </c>
      <c r="Q307" s="57">
        <f t="shared" si="11"/>
        <v>190625697.44999999</v>
      </c>
      <c r="V307" s="90" t="s">
        <v>229</v>
      </c>
      <c r="W307" s="90" t="s">
        <v>654</v>
      </c>
      <c r="X307" s="90">
        <v>70</v>
      </c>
      <c r="Y307" s="90">
        <v>7148977.3700000001</v>
      </c>
    </row>
    <row r="308" spans="11:25" ht="15" x14ac:dyDescent="0.25">
      <c r="K308" s="90" t="s">
        <v>233</v>
      </c>
      <c r="L308" s="90" t="s">
        <v>654</v>
      </c>
      <c r="M308" s="90">
        <v>1637</v>
      </c>
      <c r="N308" s="100">
        <v>111074403.20999999</v>
      </c>
      <c r="O308" s="32"/>
      <c r="P308" s="32"/>
      <c r="Q308" s="33">
        <f t="shared" si="11"/>
        <v>0</v>
      </c>
      <c r="V308" s="90" t="s">
        <v>230</v>
      </c>
      <c r="W308" s="90" t="s">
        <v>844</v>
      </c>
      <c r="X308" s="90">
        <v>88</v>
      </c>
      <c r="Y308" s="90">
        <v>6749479.1499999994</v>
      </c>
    </row>
    <row r="309" spans="11:25" ht="15" x14ac:dyDescent="0.25">
      <c r="K309" s="90" t="s">
        <v>234</v>
      </c>
      <c r="L309" s="90" t="s">
        <v>654</v>
      </c>
      <c r="M309" s="90">
        <v>12079.8</v>
      </c>
      <c r="N309" s="100">
        <v>777959339.51688051</v>
      </c>
      <c r="O309" s="55">
        <v>925</v>
      </c>
      <c r="P309" s="56">
        <v>180233.73</v>
      </c>
      <c r="Q309" s="57">
        <f t="shared" si="11"/>
        <v>166716200.25</v>
      </c>
      <c r="V309" s="90" t="s">
        <v>232</v>
      </c>
      <c r="W309" s="90" t="s">
        <v>451</v>
      </c>
      <c r="X309" s="90">
        <v>419</v>
      </c>
      <c r="Y309" s="90">
        <v>35373596.700000003</v>
      </c>
    </row>
    <row r="310" spans="11:25" ht="15" x14ac:dyDescent="0.25">
      <c r="K310" s="90" t="s">
        <v>235</v>
      </c>
      <c r="L310" s="90" t="s">
        <v>451</v>
      </c>
      <c r="M310" s="90">
        <v>44</v>
      </c>
      <c r="N310" s="100">
        <v>3405998.5199999996</v>
      </c>
      <c r="O310" s="55">
        <v>8407</v>
      </c>
      <c r="P310" s="56">
        <v>178467</v>
      </c>
      <c r="Q310" s="57">
        <f t="shared" si="11"/>
        <v>1500372069</v>
      </c>
      <c r="V310" s="90" t="s">
        <v>233</v>
      </c>
      <c r="W310" s="90" t="s">
        <v>654</v>
      </c>
      <c r="X310" s="90">
        <v>1637</v>
      </c>
      <c r="Y310" s="90">
        <v>111074403.20999999</v>
      </c>
    </row>
    <row r="311" spans="11:25" ht="15" x14ac:dyDescent="0.25">
      <c r="K311" s="90" t="s">
        <v>236</v>
      </c>
      <c r="L311" s="90" t="s">
        <v>654</v>
      </c>
      <c r="M311" s="90">
        <v>387.6</v>
      </c>
      <c r="N311" s="100">
        <v>26849936.528000001</v>
      </c>
      <c r="O311" s="32"/>
      <c r="P311" s="32"/>
      <c r="Q311" s="33">
        <f t="shared" si="11"/>
        <v>0</v>
      </c>
      <c r="V311" s="90" t="s">
        <v>234</v>
      </c>
      <c r="W311" s="90" t="s">
        <v>654</v>
      </c>
      <c r="X311" s="90">
        <v>12079.8</v>
      </c>
      <c r="Y311" s="90">
        <v>777959339.51688051</v>
      </c>
    </row>
    <row r="312" spans="11:25" ht="15" x14ac:dyDescent="0.25">
      <c r="K312" s="90" t="s">
        <v>238</v>
      </c>
      <c r="L312" s="90" t="s">
        <v>654</v>
      </c>
      <c r="M312" s="90">
        <v>953.36</v>
      </c>
      <c r="N312" s="100">
        <v>61208342.906400003</v>
      </c>
      <c r="O312" s="55">
        <v>6335</v>
      </c>
      <c r="P312" s="56">
        <v>7220</v>
      </c>
      <c r="Q312" s="57">
        <f t="shared" si="11"/>
        <v>45738700</v>
      </c>
      <c r="V312" s="90" t="s">
        <v>235</v>
      </c>
      <c r="W312" s="90" t="s">
        <v>451</v>
      </c>
      <c r="X312" s="90">
        <v>44</v>
      </c>
      <c r="Y312" s="90">
        <v>3405998.5199999996</v>
      </c>
    </row>
    <row r="313" spans="11:25" ht="15" x14ac:dyDescent="0.25">
      <c r="K313" s="90" t="s">
        <v>240</v>
      </c>
      <c r="L313" s="90" t="s">
        <v>654</v>
      </c>
      <c r="M313" s="90">
        <v>1254</v>
      </c>
      <c r="N313" s="100">
        <v>126639838.12000002</v>
      </c>
      <c r="O313" s="55">
        <v>4737</v>
      </c>
      <c r="P313" s="56">
        <v>28272</v>
      </c>
      <c r="Q313" s="57">
        <f t="shared" si="11"/>
        <v>133924464</v>
      </c>
      <c r="V313" s="90" t="s">
        <v>236</v>
      </c>
      <c r="W313" s="90" t="s">
        <v>654</v>
      </c>
      <c r="X313" s="90">
        <v>387.6</v>
      </c>
      <c r="Y313" s="90">
        <v>26849936.528000001</v>
      </c>
    </row>
    <row r="314" spans="11:25" ht="15" x14ac:dyDescent="0.25">
      <c r="K314" s="90" t="s">
        <v>241</v>
      </c>
      <c r="L314" s="90" t="s">
        <v>654</v>
      </c>
      <c r="M314" s="90">
        <v>745.53999999999985</v>
      </c>
      <c r="N314" s="100">
        <v>67190799.219199985</v>
      </c>
      <c r="O314" s="83">
        <v>843</v>
      </c>
      <c r="P314" s="84">
        <v>35340</v>
      </c>
      <c r="Q314" s="85">
        <f t="shared" si="11"/>
        <v>29791620</v>
      </c>
      <c r="V314" s="90" t="s">
        <v>238</v>
      </c>
      <c r="W314" s="90" t="s">
        <v>654</v>
      </c>
      <c r="X314" s="90">
        <v>953.36</v>
      </c>
      <c r="Y314" s="90">
        <v>61208342.906400003</v>
      </c>
    </row>
    <row r="315" spans="11:25" ht="15" x14ac:dyDescent="0.25">
      <c r="K315" s="90" t="s">
        <v>857</v>
      </c>
      <c r="L315" s="90" t="s">
        <v>654</v>
      </c>
      <c r="M315" s="90">
        <v>690.5</v>
      </c>
      <c r="N315" s="100">
        <v>70471976.939999998</v>
      </c>
      <c r="O315" s="55">
        <v>243366</v>
      </c>
      <c r="P315" s="56">
        <v>7068</v>
      </c>
      <c r="Q315" s="57">
        <f t="shared" si="11"/>
        <v>1720110888</v>
      </c>
      <c r="V315" s="90" t="s">
        <v>240</v>
      </c>
      <c r="W315" s="90" t="s">
        <v>654</v>
      </c>
      <c r="X315" s="90">
        <v>1254</v>
      </c>
      <c r="Y315" s="90">
        <v>126639838.12000002</v>
      </c>
    </row>
    <row r="316" spans="11:25" ht="15" x14ac:dyDescent="0.25">
      <c r="K316" s="90" t="s">
        <v>242</v>
      </c>
      <c r="L316" s="90" t="s">
        <v>654</v>
      </c>
      <c r="M316" s="90">
        <v>150</v>
      </c>
      <c r="N316" s="100">
        <v>11151666.627999999</v>
      </c>
      <c r="O316" s="55">
        <v>46715</v>
      </c>
      <c r="P316" s="56">
        <v>28272</v>
      </c>
      <c r="Q316" s="57">
        <f t="shared" si="11"/>
        <v>1320726480</v>
      </c>
      <c r="V316" s="90" t="s">
        <v>241</v>
      </c>
      <c r="W316" s="90" t="s">
        <v>654</v>
      </c>
      <c r="X316" s="90">
        <v>745.53999999999985</v>
      </c>
      <c r="Y316" s="90">
        <v>67190799.219199985</v>
      </c>
    </row>
    <row r="317" spans="11:25" ht="15" x14ac:dyDescent="0.25">
      <c r="K317" s="90" t="s">
        <v>859</v>
      </c>
      <c r="L317" s="90" t="s">
        <v>654</v>
      </c>
      <c r="M317" s="90">
        <v>172.99999999999997</v>
      </c>
      <c r="N317" s="100">
        <v>17145087.009999994</v>
      </c>
      <c r="O317" s="32"/>
      <c r="P317" s="32"/>
      <c r="Q317" s="33">
        <f t="shared" si="11"/>
        <v>0</v>
      </c>
      <c r="V317" s="90" t="s">
        <v>857</v>
      </c>
      <c r="W317" s="90" t="s">
        <v>654</v>
      </c>
      <c r="X317" s="90">
        <v>690.5</v>
      </c>
      <c r="Y317" s="90">
        <v>70471976.939999998</v>
      </c>
    </row>
    <row r="318" spans="11:25" ht="15" x14ac:dyDescent="0.25">
      <c r="K318" s="90" t="s">
        <v>243</v>
      </c>
      <c r="L318" s="90" t="s">
        <v>654</v>
      </c>
      <c r="M318" s="90">
        <v>98</v>
      </c>
      <c r="N318" s="100">
        <v>8898140.2750000004</v>
      </c>
      <c r="O318" s="32"/>
      <c r="P318" s="32"/>
      <c r="Q318" s="33">
        <f t="shared" si="11"/>
        <v>0</v>
      </c>
      <c r="V318" s="90" t="s">
        <v>242</v>
      </c>
      <c r="W318" s="90" t="s">
        <v>654</v>
      </c>
      <c r="X318" s="90">
        <v>150</v>
      </c>
      <c r="Y318" s="90">
        <v>11151666.627999999</v>
      </c>
    </row>
    <row r="319" spans="11:25" ht="15" x14ac:dyDescent="0.25">
      <c r="K319" s="90" t="s">
        <v>244</v>
      </c>
      <c r="L319" s="90" t="s">
        <v>654</v>
      </c>
      <c r="M319" s="90">
        <v>49</v>
      </c>
      <c r="N319" s="100">
        <v>2830953.48</v>
      </c>
      <c r="O319" s="32"/>
      <c r="P319" s="32"/>
      <c r="Q319" s="33">
        <f t="shared" si="11"/>
        <v>0</v>
      </c>
      <c r="V319" s="90" t="s">
        <v>859</v>
      </c>
      <c r="W319" s="90" t="s">
        <v>654</v>
      </c>
      <c r="X319" s="90">
        <v>172.99999999999997</v>
      </c>
      <c r="Y319" s="90">
        <v>17145087.009999994</v>
      </c>
    </row>
    <row r="320" spans="11:25" ht="15" x14ac:dyDescent="0.25">
      <c r="K320" s="90" t="s">
        <v>881</v>
      </c>
      <c r="L320" s="90" t="s">
        <v>528</v>
      </c>
      <c r="M320" s="90">
        <v>21</v>
      </c>
      <c r="N320" s="100">
        <v>7765600.1400000006</v>
      </c>
      <c r="O320" s="32"/>
      <c r="P320" s="32"/>
      <c r="Q320" s="33">
        <f t="shared" si="11"/>
        <v>0</v>
      </c>
      <c r="V320" s="90" t="s">
        <v>243</v>
      </c>
      <c r="W320" s="90" t="s">
        <v>654</v>
      </c>
      <c r="X320" s="90">
        <v>98</v>
      </c>
      <c r="Y320" s="90">
        <v>8898140.2750000004</v>
      </c>
    </row>
    <row r="321" spans="11:25" ht="15" x14ac:dyDescent="0.25">
      <c r="K321" s="90" t="s">
        <v>866</v>
      </c>
      <c r="L321" s="90" t="s">
        <v>528</v>
      </c>
      <c r="M321" s="90">
        <v>28</v>
      </c>
      <c r="N321" s="100">
        <v>10359024.699999999</v>
      </c>
      <c r="O321" s="83">
        <v>1150</v>
      </c>
      <c r="P321" s="84">
        <v>7220</v>
      </c>
      <c r="Q321" s="85">
        <f t="shared" si="11"/>
        <v>8303000</v>
      </c>
      <c r="V321" s="90" t="s">
        <v>244</v>
      </c>
      <c r="W321" s="90" t="s">
        <v>654</v>
      </c>
      <c r="X321" s="90">
        <v>49</v>
      </c>
      <c r="Y321" s="90">
        <v>2830953.48</v>
      </c>
    </row>
    <row r="322" spans="11:25" ht="15" x14ac:dyDescent="0.25">
      <c r="K322" s="90" t="s">
        <v>247</v>
      </c>
      <c r="L322" s="90" t="s">
        <v>528</v>
      </c>
      <c r="M322" s="90">
        <v>27</v>
      </c>
      <c r="N322" s="100">
        <v>9981806.1099999994</v>
      </c>
      <c r="O322" s="32"/>
      <c r="P322" s="32"/>
      <c r="Q322" s="33">
        <f t="shared" si="11"/>
        <v>0</v>
      </c>
      <c r="V322" s="90" t="s">
        <v>881</v>
      </c>
      <c r="W322" s="90" t="s">
        <v>528</v>
      </c>
      <c r="X322" s="90">
        <v>21</v>
      </c>
      <c r="Y322" s="90">
        <v>7765600.1400000006</v>
      </c>
    </row>
    <row r="323" spans="11:25" ht="15" x14ac:dyDescent="0.25">
      <c r="O323" s="32"/>
      <c r="P323" s="32"/>
      <c r="Q323" s="33">
        <f t="shared" si="11"/>
        <v>0</v>
      </c>
      <c r="V323" s="90" t="s">
        <v>866</v>
      </c>
      <c r="W323" s="90" t="s">
        <v>528</v>
      </c>
      <c r="X323" s="90">
        <v>28</v>
      </c>
      <c r="Y323" s="90">
        <v>10359024.699999999</v>
      </c>
    </row>
    <row r="324" spans="11:25" ht="15" x14ac:dyDescent="0.25">
      <c r="O324" s="32"/>
      <c r="P324" s="32"/>
      <c r="Q324" s="33">
        <f t="shared" ref="Q324:Q387" si="13">O324*P324</f>
        <v>0</v>
      </c>
      <c r="V324" s="90" t="s">
        <v>247</v>
      </c>
      <c r="W324" s="90" t="s">
        <v>528</v>
      </c>
      <c r="X324" s="90">
        <v>27</v>
      </c>
      <c r="Y324" s="90">
        <v>9981806.1099999994</v>
      </c>
    </row>
    <row r="325" spans="11:25" ht="15" x14ac:dyDescent="0.25">
      <c r="N325" s="100">
        <v>15732425700.725464</v>
      </c>
      <c r="O325" s="32"/>
      <c r="P325" s="32"/>
      <c r="Q325" s="33">
        <f t="shared" si="13"/>
        <v>0</v>
      </c>
    </row>
    <row r="326" spans="11:25" ht="15" x14ac:dyDescent="0.25">
      <c r="O326" s="32"/>
      <c r="P326" s="32"/>
      <c r="Q326" s="33">
        <f t="shared" si="13"/>
        <v>0</v>
      </c>
    </row>
    <row r="327" spans="11:25" ht="15" x14ac:dyDescent="0.25">
      <c r="O327" s="32"/>
      <c r="P327" s="32"/>
      <c r="Q327" s="33">
        <f t="shared" si="13"/>
        <v>0</v>
      </c>
      <c r="Y327" s="90">
        <v>15732425700.725464</v>
      </c>
    </row>
    <row r="328" spans="11:25" ht="15" x14ac:dyDescent="0.25">
      <c r="O328" s="32"/>
      <c r="P328" s="32"/>
      <c r="Q328" s="33">
        <f t="shared" si="13"/>
        <v>0</v>
      </c>
    </row>
    <row r="329" spans="11:25" ht="15" x14ac:dyDescent="0.25">
      <c r="O329" s="32"/>
      <c r="P329" s="32"/>
      <c r="Q329" s="33">
        <f t="shared" si="13"/>
        <v>0</v>
      </c>
    </row>
    <row r="330" spans="11:25" ht="15" x14ac:dyDescent="0.25">
      <c r="O330" s="55">
        <v>918</v>
      </c>
      <c r="P330" s="56">
        <v>11737</v>
      </c>
      <c r="Q330" s="57">
        <f t="shared" si="13"/>
        <v>10774566</v>
      </c>
    </row>
    <row r="331" spans="11:25" ht="15" x14ac:dyDescent="0.25">
      <c r="O331" s="83">
        <v>72</v>
      </c>
      <c r="P331" s="84">
        <v>25802</v>
      </c>
      <c r="Q331" s="85">
        <f t="shared" si="13"/>
        <v>1857744</v>
      </c>
    </row>
    <row r="332" spans="11:25" ht="15" x14ac:dyDescent="0.25">
      <c r="O332" s="55">
        <v>8457</v>
      </c>
      <c r="P332" s="56">
        <v>32010</v>
      </c>
      <c r="Q332" s="57">
        <f t="shared" si="13"/>
        <v>270708570</v>
      </c>
    </row>
    <row r="333" spans="11:25" ht="15" x14ac:dyDescent="0.25">
      <c r="O333" s="55">
        <v>190</v>
      </c>
      <c r="P333" s="56">
        <v>67124</v>
      </c>
      <c r="Q333" s="57">
        <f t="shared" si="13"/>
        <v>12753560</v>
      </c>
    </row>
    <row r="334" spans="11:25" ht="15" x14ac:dyDescent="0.25">
      <c r="O334" s="32"/>
      <c r="P334" s="32"/>
      <c r="Q334" s="33">
        <f t="shared" si="13"/>
        <v>0</v>
      </c>
    </row>
    <row r="335" spans="11:25" ht="15" x14ac:dyDescent="0.25">
      <c r="O335" s="32"/>
      <c r="P335" s="32"/>
      <c r="Q335" s="33">
        <f t="shared" si="13"/>
        <v>0</v>
      </c>
    </row>
    <row r="336" spans="11:25" ht="15" x14ac:dyDescent="0.25">
      <c r="O336" s="86">
        <v>76</v>
      </c>
      <c r="P336" s="84">
        <v>58410</v>
      </c>
      <c r="Q336" s="85">
        <f t="shared" si="13"/>
        <v>4439160</v>
      </c>
    </row>
    <row r="337" spans="15:17" ht="15" x14ac:dyDescent="0.25">
      <c r="O337" s="32"/>
      <c r="P337" s="32"/>
      <c r="Q337" s="33">
        <f t="shared" si="13"/>
        <v>0</v>
      </c>
    </row>
    <row r="338" spans="15:17" ht="15" x14ac:dyDescent="0.25">
      <c r="O338" s="79">
        <v>360</v>
      </c>
      <c r="P338" s="67">
        <v>32864</v>
      </c>
      <c r="Q338" s="68">
        <f t="shared" si="13"/>
        <v>11831040</v>
      </c>
    </row>
    <row r="339" spans="15:17" ht="15" x14ac:dyDescent="0.25">
      <c r="O339" s="55">
        <v>2634</v>
      </c>
      <c r="P339" s="56">
        <v>12804</v>
      </c>
      <c r="Q339" s="57">
        <f t="shared" si="13"/>
        <v>33725736</v>
      </c>
    </row>
    <row r="340" spans="15:17" ht="15" x14ac:dyDescent="0.25">
      <c r="O340" s="60">
        <v>1215</v>
      </c>
      <c r="P340" s="56">
        <v>12804</v>
      </c>
      <c r="Q340" s="57">
        <f t="shared" si="13"/>
        <v>15556860</v>
      </c>
    </row>
    <row r="341" spans="15:17" ht="15" x14ac:dyDescent="0.25">
      <c r="O341" s="83">
        <v>205</v>
      </c>
      <c r="P341" s="84">
        <v>10476</v>
      </c>
      <c r="Q341" s="85">
        <f t="shared" si="13"/>
        <v>2147580</v>
      </c>
    </row>
    <row r="342" spans="15:17" ht="15" x14ac:dyDescent="0.25">
      <c r="O342" s="83">
        <v>90</v>
      </c>
      <c r="P342" s="119">
        <v>21363.9</v>
      </c>
      <c r="Q342" s="85">
        <f t="shared" si="13"/>
        <v>1922751.0000000002</v>
      </c>
    </row>
    <row r="343" spans="15:17" ht="15" x14ac:dyDescent="0.25">
      <c r="O343" s="32"/>
      <c r="P343" s="32"/>
      <c r="Q343" s="33">
        <f t="shared" si="13"/>
        <v>0</v>
      </c>
    </row>
    <row r="344" spans="15:17" ht="15" x14ac:dyDescent="0.25">
      <c r="O344" s="32"/>
      <c r="P344" s="32"/>
      <c r="Q344" s="33">
        <f t="shared" si="13"/>
        <v>0</v>
      </c>
    </row>
    <row r="345" spans="15:17" ht="15" x14ac:dyDescent="0.25">
      <c r="O345" s="32"/>
      <c r="P345" s="32"/>
      <c r="Q345" s="33">
        <f t="shared" si="13"/>
        <v>0</v>
      </c>
    </row>
    <row r="346" spans="15:17" ht="15" x14ac:dyDescent="0.25">
      <c r="O346" s="32"/>
      <c r="P346" s="32"/>
      <c r="Q346" s="33">
        <f t="shared" si="13"/>
        <v>0</v>
      </c>
    </row>
    <row r="347" spans="15:17" ht="15" x14ac:dyDescent="0.25">
      <c r="O347" s="32"/>
      <c r="P347" s="32"/>
      <c r="Q347" s="33">
        <f t="shared" si="13"/>
        <v>0</v>
      </c>
    </row>
    <row r="348" spans="15:17" ht="15" x14ac:dyDescent="0.25">
      <c r="O348" s="32"/>
      <c r="P348" s="32"/>
      <c r="Q348" s="33">
        <f t="shared" si="13"/>
        <v>0</v>
      </c>
    </row>
    <row r="349" spans="15:17" ht="15" x14ac:dyDescent="0.25">
      <c r="O349" s="55">
        <v>1474</v>
      </c>
      <c r="P349" s="56">
        <v>21243</v>
      </c>
      <c r="Q349" s="57">
        <f t="shared" si="13"/>
        <v>31312182</v>
      </c>
    </row>
    <row r="350" spans="15:17" ht="15" x14ac:dyDescent="0.25">
      <c r="O350" s="55">
        <v>20747</v>
      </c>
      <c r="P350" s="56">
        <v>12416</v>
      </c>
      <c r="Q350" s="57">
        <f t="shared" si="13"/>
        <v>257594752</v>
      </c>
    </row>
    <row r="351" spans="15:17" ht="15" x14ac:dyDescent="0.25">
      <c r="O351" s="32"/>
      <c r="P351" s="32"/>
      <c r="Q351" s="33">
        <f t="shared" si="13"/>
        <v>0</v>
      </c>
    </row>
    <row r="352" spans="15:17" ht="15" x14ac:dyDescent="0.25">
      <c r="O352" s="55">
        <v>597</v>
      </c>
      <c r="P352" s="56">
        <v>42680</v>
      </c>
      <c r="Q352" s="57">
        <f t="shared" si="13"/>
        <v>25479960</v>
      </c>
    </row>
    <row r="353" spans="15:17" ht="15" x14ac:dyDescent="0.25">
      <c r="O353" s="32"/>
      <c r="P353" s="32"/>
      <c r="Q353" s="33">
        <f t="shared" si="13"/>
        <v>0</v>
      </c>
    </row>
    <row r="354" spans="15:17" ht="15" x14ac:dyDescent="0.25">
      <c r="O354" s="32"/>
      <c r="P354" s="32"/>
      <c r="Q354" s="33">
        <f t="shared" si="13"/>
        <v>0</v>
      </c>
    </row>
    <row r="355" spans="15:17" ht="15" x14ac:dyDescent="0.25">
      <c r="O355" s="32"/>
      <c r="P355" s="32"/>
      <c r="Q355" s="33">
        <f t="shared" si="13"/>
        <v>0</v>
      </c>
    </row>
    <row r="356" spans="15:17" ht="15" x14ac:dyDescent="0.25">
      <c r="O356" s="32"/>
      <c r="P356" s="32"/>
      <c r="Q356" s="33">
        <f t="shared" si="13"/>
        <v>0</v>
      </c>
    </row>
    <row r="357" spans="15:17" ht="15" x14ac:dyDescent="0.25">
      <c r="O357" s="32"/>
      <c r="P357" s="32"/>
      <c r="Q357" s="33">
        <f t="shared" si="13"/>
        <v>0</v>
      </c>
    </row>
    <row r="358" spans="15:17" ht="15" x14ac:dyDescent="0.25">
      <c r="O358" s="32"/>
      <c r="P358" s="32"/>
      <c r="Q358" s="33">
        <f t="shared" si="13"/>
        <v>0</v>
      </c>
    </row>
    <row r="359" spans="15:17" ht="15" x14ac:dyDescent="0.25">
      <c r="O359" s="83">
        <v>90</v>
      </c>
      <c r="P359" s="84">
        <v>180700</v>
      </c>
      <c r="Q359" s="85">
        <f t="shared" si="13"/>
        <v>16263000</v>
      </c>
    </row>
    <row r="360" spans="15:17" ht="15" x14ac:dyDescent="0.25">
      <c r="O360" s="86">
        <v>50</v>
      </c>
      <c r="P360" s="84">
        <v>239590</v>
      </c>
      <c r="Q360" s="85">
        <f t="shared" si="13"/>
        <v>11979500</v>
      </c>
    </row>
    <row r="361" spans="15:17" ht="15" x14ac:dyDescent="0.25">
      <c r="O361" s="83">
        <v>30</v>
      </c>
      <c r="P361" s="84">
        <v>236000</v>
      </c>
      <c r="Q361" s="85">
        <f t="shared" si="13"/>
        <v>7080000</v>
      </c>
    </row>
    <row r="362" spans="15:17" ht="15" x14ac:dyDescent="0.25">
      <c r="O362" s="86">
        <v>72</v>
      </c>
      <c r="P362" s="84">
        <v>24444</v>
      </c>
      <c r="Q362" s="85">
        <f t="shared" si="13"/>
        <v>1759968</v>
      </c>
    </row>
    <row r="363" spans="15:17" ht="15" x14ac:dyDescent="0.25">
      <c r="O363" s="32"/>
      <c r="P363" s="32"/>
      <c r="Q363" s="33">
        <f t="shared" si="13"/>
        <v>0</v>
      </c>
    </row>
    <row r="364" spans="15:17" ht="15" x14ac:dyDescent="0.25">
      <c r="O364" s="32"/>
      <c r="P364" s="32"/>
      <c r="Q364" s="33">
        <f t="shared" si="13"/>
        <v>0</v>
      </c>
    </row>
    <row r="365" spans="15:17" ht="15" x14ac:dyDescent="0.25">
      <c r="O365" s="55">
        <v>3930</v>
      </c>
      <c r="P365" s="56">
        <v>19691</v>
      </c>
      <c r="Q365" s="57">
        <f t="shared" si="13"/>
        <v>77385630</v>
      </c>
    </row>
    <row r="366" spans="15:17" ht="15" x14ac:dyDescent="0.25">
      <c r="O366" s="55">
        <v>892</v>
      </c>
      <c r="P366" s="56">
        <v>25123</v>
      </c>
      <c r="Q366" s="57">
        <f t="shared" si="13"/>
        <v>22409716</v>
      </c>
    </row>
    <row r="367" spans="15:17" ht="15" x14ac:dyDescent="0.25">
      <c r="O367" s="83">
        <v>247</v>
      </c>
      <c r="P367" s="84">
        <v>43262</v>
      </c>
      <c r="Q367" s="85">
        <f t="shared" si="13"/>
        <v>10685714</v>
      </c>
    </row>
    <row r="368" spans="15:17" ht="15" x14ac:dyDescent="0.25">
      <c r="O368" s="32"/>
      <c r="P368" s="32"/>
      <c r="Q368" s="33">
        <f t="shared" si="13"/>
        <v>0</v>
      </c>
    </row>
    <row r="369" spans="15:19" ht="15" x14ac:dyDescent="0.25">
      <c r="O369" s="83">
        <v>232</v>
      </c>
      <c r="P369" s="84">
        <v>20981</v>
      </c>
      <c r="Q369" s="33">
        <f t="shared" si="13"/>
        <v>4867592</v>
      </c>
    </row>
    <row r="370" spans="15:19" ht="15" x14ac:dyDescent="0.25">
      <c r="O370" s="32"/>
      <c r="P370" s="32"/>
      <c r="Q370" s="33">
        <f t="shared" si="13"/>
        <v>0</v>
      </c>
    </row>
    <row r="371" spans="15:19" ht="15" x14ac:dyDescent="0.25">
      <c r="O371" s="83">
        <v>444</v>
      </c>
      <c r="P371" s="84">
        <v>88984</v>
      </c>
      <c r="Q371" s="85">
        <f t="shared" si="13"/>
        <v>39508896</v>
      </c>
    </row>
    <row r="372" spans="15:19" ht="15" x14ac:dyDescent="0.25">
      <c r="O372" s="83">
        <v>123</v>
      </c>
      <c r="P372" s="84">
        <v>87808</v>
      </c>
      <c r="Q372" s="85">
        <f t="shared" si="13"/>
        <v>10800384</v>
      </c>
    </row>
    <row r="373" spans="15:19" ht="15" x14ac:dyDescent="0.25">
      <c r="O373" s="55">
        <v>18807</v>
      </c>
      <c r="P373" s="56">
        <v>59682</v>
      </c>
      <c r="Q373" s="57">
        <f t="shared" si="13"/>
        <v>1122439374</v>
      </c>
    </row>
    <row r="374" spans="15:19" ht="15" x14ac:dyDescent="0.25">
      <c r="O374" s="55">
        <v>144</v>
      </c>
      <c r="P374" s="56">
        <v>70560</v>
      </c>
      <c r="Q374" s="33">
        <f t="shared" si="13"/>
        <v>10160640</v>
      </c>
    </row>
    <row r="375" spans="15:19" ht="15" x14ac:dyDescent="0.25">
      <c r="O375" s="55">
        <v>263</v>
      </c>
      <c r="P375" s="120">
        <v>65170</v>
      </c>
      <c r="Q375" s="57">
        <f t="shared" si="13"/>
        <v>17139710</v>
      </c>
    </row>
    <row r="376" spans="15:19" ht="15" x14ac:dyDescent="0.25">
      <c r="O376" s="48">
        <v>0</v>
      </c>
      <c r="P376" s="48"/>
      <c r="Q376" s="33">
        <f t="shared" si="13"/>
        <v>0</v>
      </c>
    </row>
    <row r="377" spans="15:19" ht="15" x14ac:dyDescent="0.25">
      <c r="O377" s="32"/>
      <c r="P377" s="32"/>
      <c r="Q377" s="33">
        <f t="shared" si="13"/>
        <v>0</v>
      </c>
    </row>
    <row r="378" spans="15:19" ht="15" x14ac:dyDescent="0.25">
      <c r="O378" s="55">
        <v>235</v>
      </c>
      <c r="P378" s="56">
        <v>59290</v>
      </c>
      <c r="Q378" s="57">
        <f t="shared" si="13"/>
        <v>13933150</v>
      </c>
      <c r="R378" s="100">
        <f>Q378/P378</f>
        <v>235</v>
      </c>
    </row>
    <row r="379" spans="15:19" ht="15" x14ac:dyDescent="0.25">
      <c r="O379" s="72">
        <v>810</v>
      </c>
      <c r="P379" s="73">
        <v>59100.86</v>
      </c>
      <c r="Q379" s="74">
        <f t="shared" si="13"/>
        <v>47871696.600000001</v>
      </c>
      <c r="S379" s="90" t="s">
        <v>946</v>
      </c>
    </row>
    <row r="380" spans="15:19" ht="15" x14ac:dyDescent="0.25">
      <c r="O380" s="55">
        <v>412</v>
      </c>
      <c r="P380" s="56">
        <v>64141</v>
      </c>
      <c r="Q380" s="57">
        <f t="shared" si="13"/>
        <v>26426092</v>
      </c>
    </row>
    <row r="381" spans="15:19" ht="15" x14ac:dyDescent="0.25">
      <c r="O381" s="32"/>
      <c r="P381" s="32"/>
      <c r="Q381" s="33">
        <f t="shared" si="13"/>
        <v>0</v>
      </c>
    </row>
    <row r="382" spans="15:19" ht="15" x14ac:dyDescent="0.25">
      <c r="O382" s="55">
        <v>226</v>
      </c>
      <c r="P382" s="56">
        <v>93394</v>
      </c>
      <c r="Q382" s="57">
        <f t="shared" si="13"/>
        <v>21107044</v>
      </c>
    </row>
    <row r="383" spans="15:19" ht="15" x14ac:dyDescent="0.25">
      <c r="O383" s="55">
        <v>549</v>
      </c>
      <c r="P383" s="56">
        <v>93492</v>
      </c>
      <c r="Q383" s="57">
        <f t="shared" si="13"/>
        <v>51327108</v>
      </c>
    </row>
    <row r="384" spans="15:19" ht="15" x14ac:dyDescent="0.25">
      <c r="O384" s="55">
        <v>969</v>
      </c>
      <c r="P384" s="56">
        <v>82810</v>
      </c>
      <c r="Q384" s="57">
        <f t="shared" si="13"/>
        <v>80242890</v>
      </c>
    </row>
    <row r="385" spans="15:17" ht="15" x14ac:dyDescent="0.25">
      <c r="O385" s="55">
        <v>158</v>
      </c>
      <c r="P385" s="56">
        <v>72324</v>
      </c>
      <c r="Q385" s="57">
        <f t="shared" si="13"/>
        <v>11427192</v>
      </c>
    </row>
    <row r="386" spans="15:17" ht="15" x14ac:dyDescent="0.25">
      <c r="O386" s="83">
        <v>879</v>
      </c>
      <c r="P386" s="84">
        <v>93492</v>
      </c>
      <c r="Q386" s="85">
        <f t="shared" si="13"/>
        <v>82179468</v>
      </c>
    </row>
    <row r="387" spans="15:17" ht="15" x14ac:dyDescent="0.25">
      <c r="O387" s="32"/>
      <c r="P387" s="32"/>
      <c r="Q387" s="33">
        <f t="shared" si="13"/>
        <v>0</v>
      </c>
    </row>
    <row r="388" spans="15:17" ht="15" x14ac:dyDescent="0.25">
      <c r="O388" s="32"/>
      <c r="P388" s="32"/>
      <c r="Q388" s="33">
        <f t="shared" ref="Q388:Q406" si="14">O388*P388</f>
        <v>0</v>
      </c>
    </row>
    <row r="389" spans="15:17" ht="15" x14ac:dyDescent="0.25">
      <c r="O389" s="83">
        <v>129</v>
      </c>
      <c r="P389" s="84">
        <v>93394</v>
      </c>
      <c r="Q389" s="85">
        <f t="shared" si="14"/>
        <v>12047826</v>
      </c>
    </row>
    <row r="390" spans="15:17" ht="15" x14ac:dyDescent="0.25">
      <c r="O390" s="32"/>
      <c r="P390" s="32"/>
      <c r="Q390" s="33">
        <f t="shared" si="14"/>
        <v>0</v>
      </c>
    </row>
    <row r="391" spans="15:17" ht="15" x14ac:dyDescent="0.25">
      <c r="O391" s="32"/>
      <c r="P391" s="32"/>
      <c r="Q391" s="33">
        <f t="shared" si="14"/>
        <v>0</v>
      </c>
    </row>
    <row r="392" spans="15:17" ht="15" x14ac:dyDescent="0.25">
      <c r="O392" s="83">
        <v>10541</v>
      </c>
      <c r="P392" s="84">
        <v>7127.54</v>
      </c>
      <c r="Q392" s="85">
        <f t="shared" si="14"/>
        <v>75131399.140000001</v>
      </c>
    </row>
    <row r="393" spans="15:17" ht="15" x14ac:dyDescent="0.25">
      <c r="O393" s="32"/>
      <c r="P393" s="32"/>
      <c r="Q393" s="33">
        <f t="shared" si="14"/>
        <v>0</v>
      </c>
    </row>
    <row r="394" spans="15:17" ht="15" x14ac:dyDescent="0.25">
      <c r="O394" s="32"/>
      <c r="P394" s="32"/>
      <c r="Q394" s="33">
        <f t="shared" si="14"/>
        <v>0</v>
      </c>
    </row>
    <row r="395" spans="15:17" ht="15" x14ac:dyDescent="0.25">
      <c r="O395" s="55">
        <v>46130</v>
      </c>
      <c r="P395" s="56">
        <v>7127.54</v>
      </c>
      <c r="Q395" s="57">
        <f t="shared" si="14"/>
        <v>328793420.19999999</v>
      </c>
    </row>
    <row r="396" spans="15:17" ht="15" x14ac:dyDescent="0.25">
      <c r="O396" s="32"/>
      <c r="P396" s="32"/>
      <c r="Q396" s="33">
        <f t="shared" si="14"/>
        <v>0</v>
      </c>
    </row>
    <row r="397" spans="15:17" ht="15" x14ac:dyDescent="0.25">
      <c r="O397" s="32"/>
      <c r="P397" s="32"/>
      <c r="Q397" s="33">
        <f t="shared" si="14"/>
        <v>0</v>
      </c>
    </row>
    <row r="398" spans="15:17" ht="15" x14ac:dyDescent="0.25">
      <c r="O398" s="122">
        <v>384</v>
      </c>
      <c r="P398" s="122">
        <v>7127.541666666667</v>
      </c>
      <c r="Q398" s="57">
        <f t="shared" si="14"/>
        <v>2736976</v>
      </c>
    </row>
    <row r="399" spans="15:17" ht="15" x14ac:dyDescent="0.25">
      <c r="O399" s="53"/>
      <c r="P399" s="53"/>
      <c r="Q399" s="57">
        <f t="shared" si="14"/>
        <v>0</v>
      </c>
    </row>
    <row r="400" spans="15:17" ht="15" x14ac:dyDescent="0.25">
      <c r="O400" s="53"/>
      <c r="P400" s="53"/>
      <c r="Q400" s="57">
        <f t="shared" si="14"/>
        <v>0</v>
      </c>
    </row>
    <row r="401" spans="15:20" ht="15" x14ac:dyDescent="0.25">
      <c r="O401" s="122">
        <v>691</v>
      </c>
      <c r="P401" s="122">
        <v>7127.541666666667</v>
      </c>
      <c r="Q401" s="57">
        <f t="shared" si="14"/>
        <v>4925131.291666667</v>
      </c>
    </row>
    <row r="402" spans="15:20" ht="15" x14ac:dyDescent="0.25">
      <c r="O402" s="53"/>
      <c r="P402" s="53"/>
      <c r="Q402" s="57">
        <f t="shared" si="14"/>
        <v>0</v>
      </c>
    </row>
    <row r="403" spans="15:20" ht="15" x14ac:dyDescent="0.25">
      <c r="O403" s="122">
        <v>18621</v>
      </c>
      <c r="P403" s="122">
        <v>7127.541666666667</v>
      </c>
      <c r="Q403" s="57">
        <f t="shared" si="14"/>
        <v>132721953.375</v>
      </c>
    </row>
    <row r="404" spans="15:20" ht="15" x14ac:dyDescent="0.25">
      <c r="O404" s="32"/>
      <c r="P404" s="32"/>
      <c r="Q404" s="33">
        <f t="shared" si="14"/>
        <v>0</v>
      </c>
    </row>
    <row r="405" spans="15:20" ht="15" x14ac:dyDescent="0.25">
      <c r="O405" s="55">
        <v>1685</v>
      </c>
      <c r="P405" s="56">
        <v>35952</v>
      </c>
      <c r="Q405" s="57">
        <f t="shared" si="14"/>
        <v>60579120</v>
      </c>
    </row>
    <row r="406" spans="15:20" ht="15" x14ac:dyDescent="0.25">
      <c r="O406" s="55">
        <v>184</v>
      </c>
      <c r="P406" s="120">
        <v>46032</v>
      </c>
      <c r="Q406" s="57">
        <f t="shared" si="14"/>
        <v>8469888</v>
      </c>
    </row>
    <row r="407" spans="15:20" x14ac:dyDescent="0.2">
      <c r="Q407" s="121">
        <f>SUM(Q3:Q406)</f>
        <v>26612853896.816666</v>
      </c>
      <c r="R407" s="121">
        <f>SUM(R3:R406)</f>
        <v>-11072907489.289436</v>
      </c>
      <c r="S407" s="121"/>
    </row>
    <row r="409" spans="15:20" x14ac:dyDescent="0.2">
      <c r="R409" s="100">
        <f>Q407+R407</f>
        <v>15539946407.527229</v>
      </c>
      <c r="S409" s="121">
        <f>Q407+R407</f>
        <v>15539946407.527229</v>
      </c>
      <c r="T409" s="100">
        <v>16667937056</v>
      </c>
    </row>
  </sheetData>
  <mergeCells count="4">
    <mergeCell ref="C1:D1"/>
    <mergeCell ref="E1:F1"/>
    <mergeCell ref="G1:H1"/>
    <mergeCell ref="I1:J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F25C5-6357-4D1D-8F16-B35D99D2F61C}">
  <dimension ref="A1:X285"/>
  <sheetViews>
    <sheetView topLeftCell="A277" workbookViewId="0">
      <selection activeCell="J30" sqref="J30"/>
    </sheetView>
  </sheetViews>
  <sheetFormatPr defaultColWidth="12.5703125" defaultRowHeight="12.75" x14ac:dyDescent="0.2"/>
  <cols>
    <col min="1" max="1" width="39.85546875" customWidth="1"/>
    <col min="2" max="3" width="6" customWidth="1"/>
    <col min="5" max="5" width="13.85546875" bestFit="1" customWidth="1"/>
    <col min="7" max="7" width="13.85546875" bestFit="1" customWidth="1"/>
    <col min="8" max="8" width="10.5703125" bestFit="1" customWidth="1"/>
    <col min="9" max="9" width="13.85546875" bestFit="1" customWidth="1"/>
    <col min="11" max="11" width="13.85546875" bestFit="1" customWidth="1"/>
    <col min="12" max="12" width="17.7109375" style="13" customWidth="1"/>
    <col min="13" max="13" width="12.5703125" style="13" customWidth="1"/>
  </cols>
  <sheetData>
    <row r="1" spans="1:24" x14ac:dyDescent="0.2">
      <c r="A1" s="1"/>
      <c r="B1" s="2"/>
      <c r="C1" s="2"/>
      <c r="D1" s="210" t="s">
        <v>0</v>
      </c>
      <c r="E1" s="211"/>
      <c r="F1" s="210" t="s">
        <v>1</v>
      </c>
      <c r="G1" s="211"/>
      <c r="H1" s="210" t="s">
        <v>2</v>
      </c>
      <c r="I1" s="211"/>
      <c r="J1" s="210" t="s">
        <v>3</v>
      </c>
      <c r="K1" s="211"/>
      <c r="L1" s="20"/>
      <c r="M1" s="20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">
      <c r="A2" s="3" t="s">
        <v>4</v>
      </c>
      <c r="B2" s="4" t="s">
        <v>5</v>
      </c>
      <c r="C2" s="4" t="s">
        <v>887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6</v>
      </c>
      <c r="I2" s="5" t="s">
        <v>10</v>
      </c>
      <c r="J2" s="5" t="s">
        <v>6</v>
      </c>
      <c r="K2" s="5" t="s">
        <v>9</v>
      </c>
      <c r="L2" s="20"/>
      <c r="M2" s="20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">
      <c r="A3" s="6" t="s">
        <v>11</v>
      </c>
      <c r="B3" s="6">
        <v>12</v>
      </c>
      <c r="C3" s="6"/>
      <c r="D3" s="8">
        <v>226</v>
      </c>
      <c r="E3" s="8">
        <v>6255676</v>
      </c>
      <c r="F3" s="8">
        <v>100</v>
      </c>
      <c r="G3" s="8">
        <v>2774400</v>
      </c>
      <c r="H3" s="8">
        <v>100</v>
      </c>
      <c r="I3" s="8">
        <v>2769962</v>
      </c>
      <c r="J3" s="8">
        <v>226</v>
      </c>
      <c r="K3" s="8">
        <v>6260114</v>
      </c>
    </row>
    <row r="4" spans="1:24" x14ac:dyDescent="0.2">
      <c r="A4" s="6" t="s">
        <v>12</v>
      </c>
      <c r="B4" s="6">
        <v>12</v>
      </c>
      <c r="C4" s="6"/>
      <c r="D4" s="8">
        <v>0</v>
      </c>
      <c r="E4" s="8">
        <v>0</v>
      </c>
      <c r="F4" s="8">
        <v>60</v>
      </c>
      <c r="G4" s="8">
        <v>1188660</v>
      </c>
      <c r="H4" s="8">
        <v>60</v>
      </c>
      <c r="I4" s="8">
        <v>1188660</v>
      </c>
      <c r="J4" s="8">
        <v>0</v>
      </c>
      <c r="K4" s="8">
        <v>0</v>
      </c>
    </row>
    <row r="5" spans="1:24" s="12" customFormat="1" x14ac:dyDescent="0.2">
      <c r="A5" s="10" t="s">
        <v>13</v>
      </c>
      <c r="B5" s="10">
        <v>12</v>
      </c>
      <c r="C5" s="10"/>
      <c r="D5" s="11">
        <v>587</v>
      </c>
      <c r="E5" s="11">
        <v>19248466</v>
      </c>
      <c r="F5" s="11">
        <v>0</v>
      </c>
      <c r="G5" s="11">
        <v>0</v>
      </c>
      <c r="H5" s="11">
        <v>455</v>
      </c>
      <c r="I5" s="11">
        <v>14931342</v>
      </c>
      <c r="J5" s="11">
        <v>132</v>
      </c>
      <c r="K5" s="11">
        <v>4317124</v>
      </c>
      <c r="L5" s="15">
        <f>K5/J5</f>
        <v>32705.484848484848</v>
      </c>
      <c r="M5" s="15">
        <f>'GV CTY'!E8</f>
        <v>17367.3</v>
      </c>
    </row>
    <row r="6" spans="1:24" x14ac:dyDescent="0.2">
      <c r="A6" s="6" t="s">
        <v>14</v>
      </c>
      <c r="B6" s="6">
        <v>12</v>
      </c>
      <c r="C6" s="6"/>
      <c r="D6" s="8">
        <v>120</v>
      </c>
      <c r="E6" s="8">
        <v>35752144</v>
      </c>
      <c r="F6" s="8">
        <v>0</v>
      </c>
      <c r="G6" s="8">
        <v>0</v>
      </c>
      <c r="H6" s="8">
        <v>120</v>
      </c>
      <c r="I6" s="8">
        <v>35752144</v>
      </c>
      <c r="J6" s="8">
        <v>0</v>
      </c>
      <c r="K6" s="8">
        <v>0</v>
      </c>
    </row>
    <row r="7" spans="1:24" s="12" customFormat="1" ht="15" x14ac:dyDescent="0.25">
      <c r="A7" s="10" t="s">
        <v>15</v>
      </c>
      <c r="B7" s="10">
        <v>12</v>
      </c>
      <c r="C7" s="10"/>
      <c r="D7" s="11">
        <v>504</v>
      </c>
      <c r="E7" s="11">
        <v>68557545</v>
      </c>
      <c r="F7" s="11">
        <v>0</v>
      </c>
      <c r="G7" s="11">
        <v>0</v>
      </c>
      <c r="H7" s="11">
        <v>277</v>
      </c>
      <c r="I7" s="11">
        <v>37679444</v>
      </c>
      <c r="J7" s="11">
        <v>227</v>
      </c>
      <c r="K7" s="11">
        <v>30878101</v>
      </c>
      <c r="L7" s="21">
        <f>K7/J7</f>
        <v>136026.87665198237</v>
      </c>
      <c r="M7" s="35">
        <v>83500.2</v>
      </c>
    </row>
    <row r="8" spans="1:24" s="12" customFormat="1" ht="15" x14ac:dyDescent="0.25">
      <c r="A8" s="10" t="s">
        <v>16</v>
      </c>
      <c r="B8" s="10">
        <v>12</v>
      </c>
      <c r="C8" s="10"/>
      <c r="D8" s="11">
        <v>344</v>
      </c>
      <c r="E8" s="11">
        <v>53839916</v>
      </c>
      <c r="F8" s="11">
        <v>0</v>
      </c>
      <c r="G8" s="11">
        <v>0</v>
      </c>
      <c r="H8" s="11">
        <v>194</v>
      </c>
      <c r="I8" s="11">
        <v>30363208</v>
      </c>
      <c r="J8" s="11">
        <v>150</v>
      </c>
      <c r="K8" s="11">
        <v>23476708</v>
      </c>
      <c r="L8" s="21">
        <f>K8/J8</f>
        <v>156511.38666666666</v>
      </c>
      <c r="M8" s="35">
        <v>75700.800000000003</v>
      </c>
    </row>
    <row r="9" spans="1:24" x14ac:dyDescent="0.2">
      <c r="A9" s="6" t="s">
        <v>17</v>
      </c>
      <c r="B9" s="6">
        <v>12</v>
      </c>
      <c r="C9" s="6"/>
      <c r="D9" s="8">
        <v>153</v>
      </c>
      <c r="E9" s="8">
        <v>36613751</v>
      </c>
      <c r="F9" s="8">
        <v>0</v>
      </c>
      <c r="G9" s="8">
        <v>0</v>
      </c>
      <c r="H9" s="8">
        <v>153</v>
      </c>
      <c r="I9" s="8">
        <v>36613751</v>
      </c>
      <c r="J9" s="8">
        <v>0</v>
      </c>
      <c r="K9" s="8">
        <v>0</v>
      </c>
    </row>
    <row r="10" spans="1:24" s="12" customFormat="1" ht="15" x14ac:dyDescent="0.25">
      <c r="A10" s="10" t="s">
        <v>18</v>
      </c>
      <c r="B10" s="10">
        <v>12</v>
      </c>
      <c r="C10" s="10"/>
      <c r="D10" s="11">
        <v>554</v>
      </c>
      <c r="E10" s="11">
        <v>12063982</v>
      </c>
      <c r="F10" s="11">
        <v>0</v>
      </c>
      <c r="G10" s="11">
        <v>0</v>
      </c>
      <c r="H10" s="11">
        <v>438</v>
      </c>
      <c r="I10" s="11">
        <v>9537950</v>
      </c>
      <c r="J10" s="11">
        <v>116</v>
      </c>
      <c r="K10" s="11">
        <v>2526032</v>
      </c>
      <c r="L10" s="15">
        <f>K10/J10</f>
        <v>21776.137931034482</v>
      </c>
      <c r="M10" s="52">
        <v>12041.1</v>
      </c>
    </row>
    <row r="11" spans="1:24" s="12" customFormat="1" ht="15" x14ac:dyDescent="0.25">
      <c r="A11" s="10" t="s">
        <v>19</v>
      </c>
      <c r="B11" s="10">
        <v>12</v>
      </c>
      <c r="C11" s="10"/>
      <c r="D11" s="11">
        <v>180</v>
      </c>
      <c r="E11" s="11">
        <v>3904035</v>
      </c>
      <c r="F11" s="11">
        <v>0</v>
      </c>
      <c r="G11" s="11">
        <v>0</v>
      </c>
      <c r="H11" s="11">
        <v>102</v>
      </c>
      <c r="I11" s="11">
        <v>2212287</v>
      </c>
      <c r="J11" s="11">
        <v>78</v>
      </c>
      <c r="K11" s="11">
        <v>1691748</v>
      </c>
      <c r="L11" s="15">
        <f>K11/J11</f>
        <v>21689.076923076922</v>
      </c>
      <c r="M11" s="52">
        <v>12041.1</v>
      </c>
    </row>
    <row r="12" spans="1:24" x14ac:dyDescent="0.2">
      <c r="A12" s="6" t="s">
        <v>20</v>
      </c>
      <c r="B12" s="6">
        <v>12</v>
      </c>
      <c r="C12" s="6"/>
      <c r="D12" s="8">
        <v>295</v>
      </c>
      <c r="E12" s="8">
        <v>31404753</v>
      </c>
      <c r="F12" s="8">
        <v>0</v>
      </c>
      <c r="G12" s="8">
        <v>0</v>
      </c>
      <c r="H12" s="8">
        <v>277</v>
      </c>
      <c r="I12" s="8">
        <v>29488531</v>
      </c>
      <c r="J12" s="8">
        <v>18</v>
      </c>
      <c r="K12" s="8">
        <v>1916222</v>
      </c>
      <c r="L12" s="13">
        <f t="shared" ref="L12:L75" si="0">K12/J12</f>
        <v>106456.77777777778</v>
      </c>
    </row>
    <row r="13" spans="1:24" s="12" customFormat="1" x14ac:dyDescent="0.2">
      <c r="A13" s="10" t="s">
        <v>21</v>
      </c>
      <c r="B13" s="10">
        <v>12</v>
      </c>
      <c r="C13" s="10"/>
      <c r="D13" s="11">
        <v>170</v>
      </c>
      <c r="E13" s="11">
        <v>40681945</v>
      </c>
      <c r="F13" s="11">
        <v>0</v>
      </c>
      <c r="G13" s="11">
        <v>0</v>
      </c>
      <c r="H13" s="11">
        <v>122</v>
      </c>
      <c r="I13" s="11">
        <v>29195278</v>
      </c>
      <c r="J13" s="11">
        <v>48</v>
      </c>
      <c r="K13" s="11">
        <v>11486667</v>
      </c>
      <c r="L13" s="15">
        <f t="shared" si="0"/>
        <v>239305.5625</v>
      </c>
      <c r="M13" s="15">
        <f>'GV CTY'!E20</f>
        <v>139243.5</v>
      </c>
    </row>
    <row r="14" spans="1:24" x14ac:dyDescent="0.2">
      <c r="A14" s="6" t="s">
        <v>22</v>
      </c>
      <c r="B14" s="6">
        <v>12</v>
      </c>
      <c r="C14" s="6"/>
      <c r="D14" s="8">
        <v>18</v>
      </c>
      <c r="E14" s="8">
        <v>407934</v>
      </c>
      <c r="F14" s="8">
        <v>0</v>
      </c>
      <c r="G14" s="8">
        <v>0</v>
      </c>
      <c r="H14" s="8">
        <v>18</v>
      </c>
      <c r="I14" s="8">
        <v>407934</v>
      </c>
      <c r="J14" s="8">
        <v>0</v>
      </c>
      <c r="K14" s="8">
        <v>0</v>
      </c>
    </row>
    <row r="15" spans="1:24" x14ac:dyDescent="0.2">
      <c r="A15" s="6" t="s">
        <v>23</v>
      </c>
      <c r="B15" s="6">
        <v>12</v>
      </c>
      <c r="C15" s="6"/>
      <c r="D15" s="8">
        <v>0</v>
      </c>
      <c r="E15" s="8">
        <v>0</v>
      </c>
      <c r="F15" s="8">
        <v>3</v>
      </c>
      <c r="G15" s="8">
        <v>57891</v>
      </c>
      <c r="H15" s="8">
        <v>3</v>
      </c>
      <c r="I15" s="8">
        <v>57891</v>
      </c>
      <c r="J15" s="8">
        <v>0</v>
      </c>
      <c r="K15" s="8">
        <v>0</v>
      </c>
    </row>
    <row r="16" spans="1:24" x14ac:dyDescent="0.2">
      <c r="A16" s="6" t="s">
        <v>24</v>
      </c>
      <c r="B16" s="6">
        <v>12</v>
      </c>
      <c r="C16" s="6"/>
      <c r="D16" s="8">
        <v>0</v>
      </c>
      <c r="E16" s="8">
        <v>0</v>
      </c>
      <c r="F16" s="8">
        <v>12</v>
      </c>
      <c r="G16" s="8">
        <v>231564</v>
      </c>
      <c r="H16" s="8">
        <v>12</v>
      </c>
      <c r="I16" s="8">
        <v>231564</v>
      </c>
      <c r="J16" s="8">
        <v>0</v>
      </c>
      <c r="K16" s="8">
        <v>0</v>
      </c>
    </row>
    <row r="17" spans="1:13" x14ac:dyDescent="0.2">
      <c r="A17" s="6" t="s">
        <v>25</v>
      </c>
      <c r="B17" s="6">
        <v>12</v>
      </c>
      <c r="C17" s="6"/>
      <c r="D17" s="8">
        <v>72</v>
      </c>
      <c r="E17" s="8">
        <v>1533524</v>
      </c>
      <c r="F17" s="8">
        <v>35</v>
      </c>
      <c r="G17" s="8">
        <v>745360</v>
      </c>
      <c r="H17" s="8">
        <v>70</v>
      </c>
      <c r="I17" s="8">
        <v>1490606</v>
      </c>
      <c r="J17" s="8">
        <v>37</v>
      </c>
      <c r="K17" s="8">
        <v>788278</v>
      </c>
      <c r="L17" s="13">
        <f t="shared" si="0"/>
        <v>21304.81081081081</v>
      </c>
    </row>
    <row r="18" spans="1:13" x14ac:dyDescent="0.2">
      <c r="A18" s="6" t="s">
        <v>26</v>
      </c>
      <c r="B18" s="6">
        <v>12</v>
      </c>
      <c r="C18" s="6"/>
      <c r="D18" s="8">
        <v>96</v>
      </c>
      <c r="E18" s="8">
        <v>2486575</v>
      </c>
      <c r="F18" s="8">
        <v>51</v>
      </c>
      <c r="G18" s="8">
        <v>1322226</v>
      </c>
      <c r="H18" s="8">
        <v>15</v>
      </c>
      <c r="I18" s="8">
        <v>388653</v>
      </c>
      <c r="J18" s="8">
        <v>132</v>
      </c>
      <c r="K18" s="8">
        <v>3420148</v>
      </c>
      <c r="L18" s="13">
        <f t="shared" si="0"/>
        <v>25910.21212121212</v>
      </c>
    </row>
    <row r="19" spans="1:13" x14ac:dyDescent="0.2">
      <c r="A19" s="6" t="s">
        <v>27</v>
      </c>
      <c r="B19" s="6">
        <v>12</v>
      </c>
      <c r="C19" s="6"/>
      <c r="D19" s="8">
        <v>67</v>
      </c>
      <c r="E19" s="8">
        <v>2083589</v>
      </c>
      <c r="F19" s="8">
        <v>0</v>
      </c>
      <c r="G19" s="8">
        <v>0</v>
      </c>
      <c r="H19" s="8">
        <v>5</v>
      </c>
      <c r="I19" s="8">
        <v>155492</v>
      </c>
      <c r="J19" s="8">
        <v>62</v>
      </c>
      <c r="K19" s="8">
        <v>1928097</v>
      </c>
      <c r="L19" s="13">
        <f t="shared" si="0"/>
        <v>31098.33870967742</v>
      </c>
    </row>
    <row r="20" spans="1:13" x14ac:dyDescent="0.2">
      <c r="A20" s="6" t="s">
        <v>28</v>
      </c>
      <c r="B20" s="6">
        <v>12</v>
      </c>
      <c r="C20" s="6"/>
      <c r="D20" s="8">
        <v>650</v>
      </c>
      <c r="E20" s="8">
        <v>74700000</v>
      </c>
      <c r="F20" s="8">
        <v>160</v>
      </c>
      <c r="G20" s="8">
        <v>18432000</v>
      </c>
      <c r="H20" s="8">
        <v>0</v>
      </c>
      <c r="I20" s="8">
        <v>0</v>
      </c>
      <c r="J20" s="8">
        <v>810</v>
      </c>
      <c r="K20" s="8">
        <v>93132000</v>
      </c>
      <c r="L20" s="13">
        <f t="shared" si="0"/>
        <v>114977.77777777778</v>
      </c>
    </row>
    <row r="21" spans="1:13" x14ac:dyDescent="0.2">
      <c r="A21" s="6" t="s">
        <v>29</v>
      </c>
      <c r="B21" s="6">
        <v>12</v>
      </c>
      <c r="C21" s="6"/>
      <c r="D21" s="8">
        <v>280</v>
      </c>
      <c r="E21" s="8">
        <v>74052080</v>
      </c>
      <c r="F21" s="8">
        <v>0</v>
      </c>
      <c r="G21" s="8">
        <v>0</v>
      </c>
      <c r="H21" s="8">
        <v>0</v>
      </c>
      <c r="I21" s="8">
        <v>0</v>
      </c>
      <c r="J21" s="8">
        <v>280</v>
      </c>
      <c r="K21" s="8">
        <v>74052080</v>
      </c>
      <c r="L21" s="13">
        <f t="shared" si="0"/>
        <v>264471.71428571426</v>
      </c>
    </row>
    <row r="22" spans="1:13" x14ac:dyDescent="0.2">
      <c r="A22" s="6" t="s">
        <v>30</v>
      </c>
      <c r="B22" s="6">
        <v>12</v>
      </c>
      <c r="C22" s="6"/>
      <c r="D22" s="8">
        <v>102</v>
      </c>
      <c r="E22" s="8">
        <v>19779439</v>
      </c>
      <c r="F22" s="8">
        <v>0</v>
      </c>
      <c r="G22" s="8">
        <v>0</v>
      </c>
      <c r="H22" s="8">
        <v>100</v>
      </c>
      <c r="I22" s="8">
        <v>19391607</v>
      </c>
      <c r="J22" s="8">
        <v>2</v>
      </c>
      <c r="K22" s="8">
        <v>387832</v>
      </c>
      <c r="L22" s="13">
        <f t="shared" si="0"/>
        <v>193916</v>
      </c>
    </row>
    <row r="23" spans="1:13" x14ac:dyDescent="0.2">
      <c r="A23" s="6" t="s">
        <v>31</v>
      </c>
      <c r="B23" s="6">
        <v>12</v>
      </c>
      <c r="C23" s="6"/>
      <c r="D23" s="8">
        <v>0</v>
      </c>
      <c r="E23" s="8">
        <v>0</v>
      </c>
      <c r="F23" s="8">
        <v>50</v>
      </c>
      <c r="G23" s="8">
        <v>8509100</v>
      </c>
      <c r="H23" s="8">
        <v>0</v>
      </c>
      <c r="I23" s="8">
        <v>0</v>
      </c>
      <c r="J23" s="8">
        <v>50</v>
      </c>
      <c r="K23" s="8">
        <v>8509100</v>
      </c>
      <c r="L23" s="13">
        <f t="shared" si="0"/>
        <v>170182</v>
      </c>
    </row>
    <row r="24" spans="1:13" x14ac:dyDescent="0.2">
      <c r="A24" s="6" t="s">
        <v>32</v>
      </c>
      <c r="B24" s="6">
        <v>12</v>
      </c>
      <c r="C24" s="6"/>
      <c r="D24" s="8">
        <v>137</v>
      </c>
      <c r="E24" s="8">
        <v>22821826</v>
      </c>
      <c r="F24" s="8">
        <v>0</v>
      </c>
      <c r="G24" s="8">
        <v>0</v>
      </c>
      <c r="H24" s="8">
        <v>20</v>
      </c>
      <c r="I24" s="8">
        <v>3331653</v>
      </c>
      <c r="J24" s="8">
        <v>117</v>
      </c>
      <c r="K24" s="8">
        <v>19490173</v>
      </c>
      <c r="L24" s="13">
        <f t="shared" si="0"/>
        <v>166582.67521367522</v>
      </c>
    </row>
    <row r="25" spans="1:13" x14ac:dyDescent="0.2">
      <c r="A25" s="6" t="s">
        <v>33</v>
      </c>
      <c r="B25" s="6">
        <v>12</v>
      </c>
      <c r="C25" s="6"/>
      <c r="D25" s="8">
        <v>106</v>
      </c>
      <c r="E25" s="8">
        <v>16323470</v>
      </c>
      <c r="F25" s="8">
        <v>45</v>
      </c>
      <c r="G25" s="8">
        <v>10556505</v>
      </c>
      <c r="H25" s="8">
        <v>28</v>
      </c>
      <c r="I25" s="8">
        <v>4984366</v>
      </c>
      <c r="J25" s="8">
        <v>123</v>
      </c>
      <c r="K25" s="8">
        <v>21895609</v>
      </c>
      <c r="L25" s="13">
        <f t="shared" si="0"/>
        <v>178013.08130081301</v>
      </c>
    </row>
    <row r="26" spans="1:13" x14ac:dyDescent="0.2">
      <c r="A26" s="6" t="s">
        <v>34</v>
      </c>
      <c r="B26" s="6">
        <v>12</v>
      </c>
      <c r="C26" s="6"/>
      <c r="D26" s="8">
        <v>94</v>
      </c>
      <c r="E26" s="8">
        <v>17372116</v>
      </c>
      <c r="F26" s="8">
        <v>40</v>
      </c>
      <c r="G26" s="8">
        <v>9383560</v>
      </c>
      <c r="H26" s="8">
        <v>50</v>
      </c>
      <c r="I26" s="8">
        <v>9983461</v>
      </c>
      <c r="J26" s="8">
        <v>84</v>
      </c>
      <c r="K26" s="8">
        <v>16772215</v>
      </c>
      <c r="L26" s="13">
        <f t="shared" si="0"/>
        <v>199669.22619047618</v>
      </c>
    </row>
    <row r="27" spans="1:13" x14ac:dyDescent="0.2">
      <c r="A27" s="6" t="s">
        <v>35</v>
      </c>
      <c r="B27" s="6">
        <v>12</v>
      </c>
      <c r="C27" s="6"/>
      <c r="D27" s="8">
        <v>351</v>
      </c>
      <c r="E27" s="8">
        <v>40194000</v>
      </c>
      <c r="F27" s="8">
        <v>0</v>
      </c>
      <c r="G27" s="8">
        <v>0</v>
      </c>
      <c r="H27" s="8">
        <v>0</v>
      </c>
      <c r="I27" s="8">
        <v>0</v>
      </c>
      <c r="J27" s="8">
        <v>351</v>
      </c>
      <c r="K27" s="8">
        <v>40194000</v>
      </c>
      <c r="L27" s="13">
        <f t="shared" si="0"/>
        <v>114512.82051282052</v>
      </c>
    </row>
    <row r="28" spans="1:13" x14ac:dyDescent="0.2">
      <c r="A28" s="6" t="s">
        <v>36</v>
      </c>
      <c r="B28" s="6">
        <v>12</v>
      </c>
      <c r="C28" s="6"/>
      <c r="D28" s="8">
        <v>40</v>
      </c>
      <c r="E28" s="8">
        <v>1818200</v>
      </c>
      <c r="F28" s="8">
        <v>0</v>
      </c>
      <c r="G28" s="8">
        <v>0</v>
      </c>
      <c r="H28" s="8">
        <v>0</v>
      </c>
      <c r="I28" s="8">
        <v>0</v>
      </c>
      <c r="J28" s="8">
        <v>40</v>
      </c>
      <c r="K28" s="8">
        <v>1818200</v>
      </c>
      <c r="L28" s="13">
        <f t="shared" si="0"/>
        <v>45455</v>
      </c>
    </row>
    <row r="29" spans="1:13" x14ac:dyDescent="0.2">
      <c r="A29" s="6" t="s">
        <v>37</v>
      </c>
      <c r="B29" s="6">
        <v>12</v>
      </c>
      <c r="C29" s="6"/>
      <c r="D29" s="8">
        <v>833</v>
      </c>
      <c r="E29" s="8">
        <v>46378988</v>
      </c>
      <c r="F29" s="8">
        <v>4571</v>
      </c>
      <c r="G29" s="8">
        <v>254508576</v>
      </c>
      <c r="H29" s="8">
        <v>5404</v>
      </c>
      <c r="I29" s="8">
        <v>300887564</v>
      </c>
      <c r="J29" s="8">
        <v>0</v>
      </c>
      <c r="K29" s="8">
        <v>0</v>
      </c>
    </row>
    <row r="30" spans="1:13" s="12" customFormat="1" x14ac:dyDescent="0.2">
      <c r="A30" s="10" t="s">
        <v>38</v>
      </c>
      <c r="B30" s="10">
        <v>12</v>
      </c>
      <c r="C30" s="10"/>
      <c r="D30" s="11">
        <v>273867</v>
      </c>
      <c r="E30" s="11">
        <v>255643095</v>
      </c>
      <c r="F30" s="11">
        <v>8568</v>
      </c>
      <c r="G30" s="11">
        <v>267390144</v>
      </c>
      <c r="H30" s="11">
        <v>8950</v>
      </c>
      <c r="I30" s="11">
        <v>279311599</v>
      </c>
      <c r="J30" s="11">
        <v>273485</v>
      </c>
      <c r="K30" s="11">
        <v>243721640</v>
      </c>
      <c r="L30" s="15">
        <f>K30/J30</f>
        <v>891.17004588917121</v>
      </c>
      <c r="M30" s="15">
        <f>'GV CTY'!E27</f>
        <v>31208</v>
      </c>
    </row>
    <row r="31" spans="1:13" s="12" customFormat="1" x14ac:dyDescent="0.2">
      <c r="A31" s="10" t="s">
        <v>39</v>
      </c>
      <c r="B31" s="10">
        <v>12</v>
      </c>
      <c r="C31" s="10"/>
      <c r="D31" s="11">
        <v>25915</v>
      </c>
      <c r="E31" s="11">
        <v>50321430</v>
      </c>
      <c r="F31" s="11">
        <v>1500</v>
      </c>
      <c r="G31" s="11">
        <v>54276000</v>
      </c>
      <c r="H31" s="11">
        <v>2339</v>
      </c>
      <c r="I31" s="11">
        <v>84634375</v>
      </c>
      <c r="J31" s="11">
        <v>25076</v>
      </c>
      <c r="K31" s="11">
        <v>19963055</v>
      </c>
      <c r="L31" s="15">
        <f t="shared" si="0"/>
        <v>796.10204976870318</v>
      </c>
      <c r="M31" s="15">
        <f>'GV CTY'!E33</f>
        <v>36184</v>
      </c>
    </row>
    <row r="32" spans="1:13" x14ac:dyDescent="0.2">
      <c r="A32" s="6" t="s">
        <v>40</v>
      </c>
      <c r="B32" s="6">
        <v>12</v>
      </c>
      <c r="C32" s="6"/>
      <c r="D32" s="8">
        <v>2430</v>
      </c>
      <c r="E32" s="8">
        <v>87927120</v>
      </c>
      <c r="F32" s="8">
        <v>0</v>
      </c>
      <c r="G32" s="8">
        <v>0</v>
      </c>
      <c r="H32" s="8">
        <v>0</v>
      </c>
      <c r="I32" s="8">
        <v>0</v>
      </c>
      <c r="J32" s="8">
        <v>2430</v>
      </c>
      <c r="K32" s="8">
        <v>87927120</v>
      </c>
      <c r="L32" s="13">
        <f t="shared" si="0"/>
        <v>36184</v>
      </c>
    </row>
    <row r="33" spans="1:13" x14ac:dyDescent="0.2">
      <c r="A33" s="6" t="s">
        <v>41</v>
      </c>
      <c r="B33" s="6">
        <v>12</v>
      </c>
      <c r="C33" s="6"/>
      <c r="D33" s="8">
        <v>0</v>
      </c>
      <c r="E33" s="8">
        <v>189538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189538</v>
      </c>
    </row>
    <row r="34" spans="1:13" s="12" customFormat="1" x14ac:dyDescent="0.2">
      <c r="A34" s="10" t="s">
        <v>42</v>
      </c>
      <c r="B34" s="10">
        <v>12</v>
      </c>
      <c r="C34" s="10"/>
      <c r="D34" s="11">
        <v>160</v>
      </c>
      <c r="E34" s="11">
        <v>8538638</v>
      </c>
      <c r="F34" s="11">
        <v>0</v>
      </c>
      <c r="G34" s="11">
        <v>0</v>
      </c>
      <c r="H34" s="11">
        <v>30</v>
      </c>
      <c r="I34" s="11">
        <v>1526583</v>
      </c>
      <c r="J34" s="11">
        <v>130</v>
      </c>
      <c r="K34" s="11">
        <v>7012055</v>
      </c>
      <c r="L34" s="15">
        <f t="shared" si="0"/>
        <v>53938.884615384617</v>
      </c>
      <c r="M34" s="15">
        <f>'GV CTY'!E34</f>
        <v>52485</v>
      </c>
    </row>
    <row r="35" spans="1:13" x14ac:dyDescent="0.2">
      <c r="A35" s="6" t="s">
        <v>43</v>
      </c>
      <c r="B35" s="6">
        <v>12</v>
      </c>
      <c r="C35" s="6"/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</row>
    <row r="36" spans="1:13" x14ac:dyDescent="0.2">
      <c r="A36" s="6" t="s">
        <v>44</v>
      </c>
      <c r="B36" s="6">
        <v>12</v>
      </c>
      <c r="C36" s="6"/>
      <c r="D36" s="8">
        <v>9485</v>
      </c>
      <c r="E36" s="8">
        <v>33640650</v>
      </c>
      <c r="F36" s="8">
        <v>1050</v>
      </c>
      <c r="G36" s="8">
        <v>37993200</v>
      </c>
      <c r="H36" s="8">
        <v>1080</v>
      </c>
      <c r="I36" s="8">
        <v>39077621</v>
      </c>
      <c r="J36" s="8">
        <v>9455</v>
      </c>
      <c r="K36" s="8">
        <v>32556229</v>
      </c>
      <c r="L36" s="13">
        <f t="shared" si="0"/>
        <v>3443.2817556848227</v>
      </c>
    </row>
    <row r="37" spans="1:13" x14ac:dyDescent="0.2">
      <c r="A37" s="6" t="s">
        <v>45</v>
      </c>
      <c r="B37" s="6">
        <v>12</v>
      </c>
      <c r="C37" s="6"/>
      <c r="D37" s="8">
        <v>320</v>
      </c>
      <c r="E37" s="8">
        <v>11571799</v>
      </c>
      <c r="F37" s="8">
        <v>405</v>
      </c>
      <c r="G37" s="8">
        <v>14654520</v>
      </c>
      <c r="H37" s="8">
        <v>630</v>
      </c>
      <c r="I37" s="8">
        <v>22789767</v>
      </c>
      <c r="J37" s="8">
        <v>95</v>
      </c>
      <c r="K37" s="8">
        <v>3436552</v>
      </c>
      <c r="L37" s="13">
        <f t="shared" si="0"/>
        <v>36174.231578947365</v>
      </c>
    </row>
    <row r="38" spans="1:13" x14ac:dyDescent="0.2">
      <c r="A38" s="6" t="s">
        <v>46</v>
      </c>
      <c r="B38" s="6">
        <v>12</v>
      </c>
      <c r="C38" s="6"/>
      <c r="D38" s="8">
        <v>270</v>
      </c>
      <c r="E38" s="8">
        <v>9896208</v>
      </c>
      <c r="F38" s="8">
        <v>120</v>
      </c>
      <c r="G38" s="8">
        <v>4342080</v>
      </c>
      <c r="H38" s="8">
        <v>325</v>
      </c>
      <c r="I38" s="8">
        <v>11669303</v>
      </c>
      <c r="J38" s="8">
        <v>65</v>
      </c>
      <c r="K38" s="8">
        <v>2568985</v>
      </c>
      <c r="L38" s="13">
        <f t="shared" si="0"/>
        <v>39522.846153846156</v>
      </c>
    </row>
    <row r="39" spans="1:13" x14ac:dyDescent="0.2">
      <c r="A39" s="6" t="s">
        <v>47</v>
      </c>
      <c r="B39" s="6">
        <v>12</v>
      </c>
      <c r="C39" s="6"/>
      <c r="D39" s="8">
        <v>1500</v>
      </c>
      <c r="E39" s="8">
        <v>7597338</v>
      </c>
      <c r="F39" s="8">
        <v>250</v>
      </c>
      <c r="G39" s="8">
        <v>1273250</v>
      </c>
      <c r="H39" s="8">
        <v>755</v>
      </c>
      <c r="I39" s="8">
        <v>3827026</v>
      </c>
      <c r="J39" s="8">
        <v>995</v>
      </c>
      <c r="K39" s="8">
        <v>5043562</v>
      </c>
      <c r="L39" s="13">
        <f t="shared" si="0"/>
        <v>5068.9065326633163</v>
      </c>
    </row>
    <row r="40" spans="1:13" x14ac:dyDescent="0.2">
      <c r="A40" s="6" t="s">
        <v>48</v>
      </c>
      <c r="B40" s="6">
        <v>12</v>
      </c>
      <c r="C40" s="6"/>
      <c r="D40" s="8">
        <v>192</v>
      </c>
      <c r="E40" s="8">
        <v>4111968</v>
      </c>
      <c r="F40" s="8">
        <v>48</v>
      </c>
      <c r="G40" s="8">
        <v>933312</v>
      </c>
      <c r="H40" s="8">
        <v>0</v>
      </c>
      <c r="I40" s="8">
        <v>0</v>
      </c>
      <c r="J40" s="8">
        <v>240</v>
      </c>
      <c r="K40" s="8">
        <v>5045280</v>
      </c>
      <c r="L40" s="13">
        <f t="shared" si="0"/>
        <v>21022</v>
      </c>
    </row>
    <row r="41" spans="1:13" x14ac:dyDescent="0.2">
      <c r="A41" s="6" t="s">
        <v>49</v>
      </c>
      <c r="B41" s="6">
        <v>12</v>
      </c>
      <c r="C41" s="6"/>
      <c r="D41" s="8">
        <v>4020</v>
      </c>
      <c r="E41" s="8">
        <v>19708744</v>
      </c>
      <c r="F41" s="8">
        <v>3360</v>
      </c>
      <c r="G41" s="8">
        <v>16487520</v>
      </c>
      <c r="H41" s="8">
        <v>5810</v>
      </c>
      <c r="I41" s="8">
        <v>28495976</v>
      </c>
      <c r="J41" s="8">
        <v>1570</v>
      </c>
      <c r="K41" s="8">
        <v>7700288</v>
      </c>
      <c r="L41" s="13">
        <f t="shared" si="0"/>
        <v>4904.6420382165606</v>
      </c>
    </row>
    <row r="42" spans="1:13" x14ac:dyDescent="0.2">
      <c r="A42" s="6" t="s">
        <v>50</v>
      </c>
      <c r="B42" s="6">
        <v>12</v>
      </c>
      <c r="C42" s="6"/>
      <c r="D42" s="8">
        <v>750</v>
      </c>
      <c r="E42" s="8">
        <v>2517000</v>
      </c>
      <c r="F42" s="8">
        <v>0</v>
      </c>
      <c r="G42" s="8">
        <v>0</v>
      </c>
      <c r="H42" s="8">
        <v>0</v>
      </c>
      <c r="I42" s="8">
        <v>0</v>
      </c>
      <c r="J42" s="8">
        <v>750</v>
      </c>
      <c r="K42" s="8">
        <v>2517000</v>
      </c>
      <c r="L42" s="13">
        <f t="shared" si="0"/>
        <v>3356</v>
      </c>
    </row>
    <row r="43" spans="1:13" x14ac:dyDescent="0.2">
      <c r="A43" s="6" t="s">
        <v>51</v>
      </c>
      <c r="B43" s="6">
        <v>12</v>
      </c>
      <c r="C43" s="6"/>
      <c r="D43" s="8">
        <v>1350</v>
      </c>
      <c r="E43" s="8">
        <v>5561964</v>
      </c>
      <c r="F43" s="8">
        <v>200</v>
      </c>
      <c r="G43" s="8">
        <v>833400</v>
      </c>
      <c r="H43" s="8">
        <v>780</v>
      </c>
      <c r="I43" s="8">
        <v>3218313</v>
      </c>
      <c r="J43" s="8">
        <v>770</v>
      </c>
      <c r="K43" s="8">
        <v>3177051</v>
      </c>
      <c r="L43" s="13">
        <f t="shared" si="0"/>
        <v>4126.0402597402599</v>
      </c>
    </row>
    <row r="44" spans="1:13" x14ac:dyDescent="0.2">
      <c r="A44" s="6" t="s">
        <v>52</v>
      </c>
      <c r="B44" s="6">
        <v>12</v>
      </c>
      <c r="C44" s="6"/>
      <c r="D44" s="8">
        <v>1676</v>
      </c>
      <c r="E44" s="8">
        <v>38641471</v>
      </c>
      <c r="F44" s="8">
        <v>288</v>
      </c>
      <c r="G44" s="8">
        <v>6666624</v>
      </c>
      <c r="H44" s="8">
        <v>256</v>
      </c>
      <c r="I44" s="8">
        <v>5905739</v>
      </c>
      <c r="J44" s="8">
        <v>1708</v>
      </c>
      <c r="K44" s="8">
        <v>39402356</v>
      </c>
      <c r="L44" s="13">
        <f t="shared" si="0"/>
        <v>23069.295081967211</v>
      </c>
    </row>
    <row r="45" spans="1:13" x14ac:dyDescent="0.2">
      <c r="A45" s="6" t="s">
        <v>53</v>
      </c>
      <c r="B45" s="6">
        <v>12</v>
      </c>
      <c r="C45" s="6"/>
      <c r="D45" s="8">
        <v>0</v>
      </c>
      <c r="E45" s="8">
        <v>0</v>
      </c>
      <c r="F45" s="8">
        <v>3600</v>
      </c>
      <c r="G45" s="8">
        <v>38332800</v>
      </c>
      <c r="H45" s="8">
        <v>10</v>
      </c>
      <c r="I45" s="8">
        <v>106480</v>
      </c>
      <c r="J45" s="8">
        <v>3590</v>
      </c>
      <c r="K45" s="8">
        <v>38226320</v>
      </c>
      <c r="L45" s="13">
        <f t="shared" si="0"/>
        <v>10648</v>
      </c>
    </row>
    <row r="46" spans="1:13" x14ac:dyDescent="0.2">
      <c r="A46" s="6" t="s">
        <v>54</v>
      </c>
      <c r="B46" s="6">
        <v>12</v>
      </c>
      <c r="C46" s="6"/>
      <c r="D46" s="8">
        <v>4478</v>
      </c>
      <c r="E46" s="8">
        <v>65694476</v>
      </c>
      <c r="F46" s="8">
        <v>9176</v>
      </c>
      <c r="G46" s="8">
        <v>133335000</v>
      </c>
      <c r="H46" s="8">
        <v>7962</v>
      </c>
      <c r="I46" s="8">
        <v>116059227</v>
      </c>
      <c r="J46" s="8">
        <v>5692</v>
      </c>
      <c r="K46" s="8">
        <v>82970249</v>
      </c>
      <c r="L46" s="13">
        <f t="shared" si="0"/>
        <v>14576.642480674631</v>
      </c>
    </row>
    <row r="47" spans="1:13" x14ac:dyDescent="0.2">
      <c r="A47" s="6" t="s">
        <v>55</v>
      </c>
      <c r="B47" s="6">
        <v>12</v>
      </c>
      <c r="C47" s="6"/>
      <c r="D47" s="8">
        <v>162</v>
      </c>
      <c r="E47" s="8">
        <v>14271796</v>
      </c>
      <c r="F47" s="8">
        <v>102</v>
      </c>
      <c r="G47" s="8">
        <v>9019452</v>
      </c>
      <c r="H47" s="8">
        <v>6</v>
      </c>
      <c r="I47" s="8">
        <v>529347</v>
      </c>
      <c r="J47" s="8">
        <v>258</v>
      </c>
      <c r="K47" s="8">
        <v>22761901</v>
      </c>
      <c r="L47" s="13">
        <f t="shared" si="0"/>
        <v>88224.422480620153</v>
      </c>
    </row>
    <row r="48" spans="1:13" x14ac:dyDescent="0.2">
      <c r="A48" s="6" t="s">
        <v>56</v>
      </c>
      <c r="B48" s="6">
        <v>12</v>
      </c>
      <c r="C48" s="6"/>
      <c r="D48" s="8">
        <v>864</v>
      </c>
      <c r="E48" s="8">
        <v>8294400</v>
      </c>
      <c r="F48" s="8">
        <v>192</v>
      </c>
      <c r="G48" s="8">
        <v>1848960</v>
      </c>
      <c r="H48" s="8">
        <v>0</v>
      </c>
      <c r="I48" s="8">
        <v>0</v>
      </c>
      <c r="J48" s="8">
        <v>1056</v>
      </c>
      <c r="K48" s="8">
        <v>10143360</v>
      </c>
      <c r="L48" s="13">
        <f t="shared" si="0"/>
        <v>9605.454545454546</v>
      </c>
    </row>
    <row r="49" spans="1:12" x14ac:dyDescent="0.2">
      <c r="A49" s="6" t="s">
        <v>57</v>
      </c>
      <c r="B49" s="6">
        <v>12</v>
      </c>
      <c r="C49" s="6"/>
      <c r="D49" s="8">
        <v>758</v>
      </c>
      <c r="E49" s="8">
        <v>13116517</v>
      </c>
      <c r="F49" s="8">
        <v>168</v>
      </c>
      <c r="G49" s="8">
        <v>2955624</v>
      </c>
      <c r="H49" s="8">
        <v>160</v>
      </c>
      <c r="I49" s="8">
        <v>2777044</v>
      </c>
      <c r="J49" s="8">
        <v>766</v>
      </c>
      <c r="K49" s="8">
        <v>13295097</v>
      </c>
      <c r="L49" s="13">
        <f t="shared" si="0"/>
        <v>17356.523498694518</v>
      </c>
    </row>
    <row r="50" spans="1:12" x14ac:dyDescent="0.2">
      <c r="A50" s="6" t="s">
        <v>58</v>
      </c>
      <c r="B50" s="6">
        <v>12</v>
      </c>
      <c r="C50" s="6"/>
      <c r="D50" s="8">
        <v>3660</v>
      </c>
      <c r="E50" s="8">
        <v>31105758</v>
      </c>
      <c r="F50" s="8">
        <v>816</v>
      </c>
      <c r="G50" s="8">
        <v>7026576</v>
      </c>
      <c r="H50" s="8">
        <v>1584</v>
      </c>
      <c r="I50" s="8">
        <v>13494553</v>
      </c>
      <c r="J50" s="8">
        <v>2892</v>
      </c>
      <c r="K50" s="8">
        <v>24637781</v>
      </c>
      <c r="L50" s="13">
        <f t="shared" si="0"/>
        <v>8519.2880359612718</v>
      </c>
    </row>
    <row r="51" spans="1:12" x14ac:dyDescent="0.2">
      <c r="A51" s="6" t="s">
        <v>59</v>
      </c>
      <c r="B51" s="6">
        <v>12</v>
      </c>
      <c r="C51" s="6"/>
      <c r="D51" s="8">
        <v>4076</v>
      </c>
      <c r="E51" s="8">
        <v>66900098</v>
      </c>
      <c r="F51" s="8">
        <v>2466</v>
      </c>
      <c r="G51" s="8">
        <v>30000600</v>
      </c>
      <c r="H51" s="8">
        <v>3694</v>
      </c>
      <c r="I51" s="8">
        <v>54715863</v>
      </c>
      <c r="J51" s="8">
        <v>2848</v>
      </c>
      <c r="K51" s="8">
        <v>42184835</v>
      </c>
      <c r="L51" s="13">
        <f t="shared" si="0"/>
        <v>14812.090941011236</v>
      </c>
    </row>
    <row r="52" spans="1:12" x14ac:dyDescent="0.2">
      <c r="A52" s="6" t="s">
        <v>60</v>
      </c>
      <c r="B52" s="6">
        <v>12</v>
      </c>
      <c r="C52" s="6"/>
      <c r="D52" s="8">
        <v>3051</v>
      </c>
      <c r="E52" s="8">
        <v>99561656</v>
      </c>
      <c r="F52" s="8">
        <v>1476</v>
      </c>
      <c r="G52" s="8">
        <v>51966396</v>
      </c>
      <c r="H52" s="8">
        <v>2890</v>
      </c>
      <c r="I52" s="8">
        <v>96734277</v>
      </c>
      <c r="J52" s="8">
        <v>1637</v>
      </c>
      <c r="K52" s="8">
        <v>54793775</v>
      </c>
      <c r="L52" s="13">
        <f t="shared" si="0"/>
        <v>33472.067806963962</v>
      </c>
    </row>
    <row r="53" spans="1:12" x14ac:dyDescent="0.2">
      <c r="A53" s="6" t="s">
        <v>61</v>
      </c>
      <c r="B53" s="6">
        <v>12</v>
      </c>
      <c r="C53" s="6"/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</row>
    <row r="54" spans="1:12" x14ac:dyDescent="0.2">
      <c r="A54" s="6" t="s">
        <v>62</v>
      </c>
      <c r="B54" s="6">
        <v>12</v>
      </c>
      <c r="C54" s="6"/>
      <c r="D54" s="8">
        <v>4034</v>
      </c>
      <c r="E54" s="8">
        <v>19765883</v>
      </c>
      <c r="F54" s="8">
        <v>4080</v>
      </c>
      <c r="G54" s="8">
        <v>20020560</v>
      </c>
      <c r="H54" s="8">
        <v>6270</v>
      </c>
      <c r="I54" s="8">
        <v>30744515</v>
      </c>
      <c r="J54" s="8">
        <v>1844</v>
      </c>
      <c r="K54" s="8">
        <v>9041928</v>
      </c>
      <c r="L54" s="13">
        <f t="shared" si="0"/>
        <v>4903.431670281996</v>
      </c>
    </row>
    <row r="55" spans="1:12" x14ac:dyDescent="0.2">
      <c r="A55" s="6" t="s">
        <v>63</v>
      </c>
      <c r="B55" s="6">
        <v>12</v>
      </c>
      <c r="C55" s="6"/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</row>
    <row r="56" spans="1:12" x14ac:dyDescent="0.2">
      <c r="A56" s="6" t="s">
        <v>64</v>
      </c>
      <c r="B56" s="6">
        <v>12</v>
      </c>
      <c r="C56" s="6"/>
      <c r="D56" s="8">
        <v>25</v>
      </c>
      <c r="E56" s="8">
        <v>4861100</v>
      </c>
      <c r="F56" s="8">
        <v>0</v>
      </c>
      <c r="G56" s="8">
        <v>0</v>
      </c>
      <c r="H56" s="8">
        <v>0</v>
      </c>
      <c r="I56" s="8">
        <v>0</v>
      </c>
      <c r="J56" s="8">
        <v>25</v>
      </c>
      <c r="K56" s="8">
        <v>4861100</v>
      </c>
      <c r="L56" s="13">
        <f t="shared" si="0"/>
        <v>194444</v>
      </c>
    </row>
    <row r="57" spans="1:12" x14ac:dyDescent="0.2">
      <c r="A57" s="6" t="s">
        <v>65</v>
      </c>
      <c r="B57" s="6">
        <v>12</v>
      </c>
      <c r="C57" s="6"/>
      <c r="D57" s="8">
        <v>7</v>
      </c>
      <c r="E57" s="8">
        <v>1328705</v>
      </c>
      <c r="F57" s="8">
        <v>0</v>
      </c>
      <c r="G57" s="8">
        <v>0</v>
      </c>
      <c r="H57" s="8">
        <v>0</v>
      </c>
      <c r="I57" s="8">
        <v>0</v>
      </c>
      <c r="J57" s="8">
        <v>7</v>
      </c>
      <c r="K57" s="8">
        <v>1328705</v>
      </c>
      <c r="L57" s="13">
        <f t="shared" si="0"/>
        <v>189815</v>
      </c>
    </row>
    <row r="58" spans="1:12" x14ac:dyDescent="0.2">
      <c r="A58" s="6" t="s">
        <v>66</v>
      </c>
      <c r="B58" s="6">
        <v>12</v>
      </c>
      <c r="C58" s="6"/>
      <c r="D58" s="8">
        <v>3640</v>
      </c>
      <c r="E58" s="8">
        <v>56770482</v>
      </c>
      <c r="F58" s="8">
        <v>4421</v>
      </c>
      <c r="G58" s="8">
        <v>68567796</v>
      </c>
      <c r="H58" s="8">
        <v>6642</v>
      </c>
      <c r="I58" s="8">
        <v>103274636</v>
      </c>
      <c r="J58" s="8">
        <v>1419</v>
      </c>
      <c r="K58" s="8">
        <v>22063642</v>
      </c>
      <c r="L58" s="13">
        <f t="shared" si="0"/>
        <v>15548.725863284002</v>
      </c>
    </row>
    <row r="59" spans="1:12" x14ac:dyDescent="0.2">
      <c r="A59" s="6" t="s">
        <v>67</v>
      </c>
      <c r="B59" s="6">
        <v>12</v>
      </c>
      <c r="C59" s="6"/>
      <c r="D59" s="8">
        <v>170</v>
      </c>
      <c r="E59" s="8">
        <v>1385264</v>
      </c>
      <c r="F59" s="8">
        <v>24</v>
      </c>
      <c r="G59" s="8">
        <v>400008</v>
      </c>
      <c r="H59" s="8">
        <v>3</v>
      </c>
      <c r="I59" s="8">
        <v>27607</v>
      </c>
      <c r="J59" s="8">
        <v>191</v>
      </c>
      <c r="K59" s="8">
        <v>1757665</v>
      </c>
      <c r="L59" s="13">
        <f t="shared" si="0"/>
        <v>9202.4345549738227</v>
      </c>
    </row>
    <row r="60" spans="1:12" x14ac:dyDescent="0.2">
      <c r="A60" s="6" t="s">
        <v>68</v>
      </c>
      <c r="B60" s="6">
        <v>12</v>
      </c>
      <c r="C60" s="6"/>
      <c r="D60" s="8">
        <v>384</v>
      </c>
      <c r="E60" s="8">
        <v>17725913</v>
      </c>
      <c r="F60" s="8">
        <v>0</v>
      </c>
      <c r="G60" s="8">
        <v>0</v>
      </c>
      <c r="H60" s="8">
        <v>20</v>
      </c>
      <c r="I60" s="8">
        <v>923225</v>
      </c>
      <c r="J60" s="8">
        <v>364</v>
      </c>
      <c r="K60" s="8">
        <v>16802688</v>
      </c>
      <c r="L60" s="13">
        <f t="shared" si="0"/>
        <v>46161.230769230766</v>
      </c>
    </row>
    <row r="61" spans="1:12" x14ac:dyDescent="0.2">
      <c r="A61" s="6" t="s">
        <v>69</v>
      </c>
      <c r="B61" s="6">
        <v>12</v>
      </c>
      <c r="C61" s="6"/>
      <c r="D61" s="8">
        <v>156</v>
      </c>
      <c r="E61" s="8">
        <v>16177824</v>
      </c>
      <c r="F61" s="8">
        <v>0</v>
      </c>
      <c r="G61" s="8">
        <v>0</v>
      </c>
      <c r="H61" s="8">
        <v>6</v>
      </c>
      <c r="I61" s="8">
        <v>622224</v>
      </c>
      <c r="J61" s="8">
        <v>150</v>
      </c>
      <c r="K61" s="8">
        <v>15555600</v>
      </c>
      <c r="L61" s="13">
        <f t="shared" si="0"/>
        <v>103704</v>
      </c>
    </row>
    <row r="62" spans="1:12" x14ac:dyDescent="0.2">
      <c r="A62" s="6" t="s">
        <v>70</v>
      </c>
      <c r="B62" s="6">
        <v>12</v>
      </c>
      <c r="C62" s="6"/>
      <c r="D62" s="8">
        <v>84</v>
      </c>
      <c r="E62" s="8">
        <v>12133296</v>
      </c>
      <c r="F62" s="8">
        <v>0</v>
      </c>
      <c r="G62" s="8">
        <v>0</v>
      </c>
      <c r="H62" s="8">
        <v>5</v>
      </c>
      <c r="I62" s="8">
        <v>722220</v>
      </c>
      <c r="J62" s="8">
        <v>79</v>
      </c>
      <c r="K62" s="8">
        <v>11411076</v>
      </c>
      <c r="L62" s="13">
        <f t="shared" si="0"/>
        <v>144444</v>
      </c>
    </row>
    <row r="63" spans="1:12" x14ac:dyDescent="0.2">
      <c r="A63" s="6" t="s">
        <v>71</v>
      </c>
      <c r="B63" s="6">
        <v>12</v>
      </c>
      <c r="C63" s="6"/>
      <c r="D63" s="8">
        <v>1608</v>
      </c>
      <c r="E63" s="8">
        <v>25016122</v>
      </c>
      <c r="F63" s="8">
        <v>552</v>
      </c>
      <c r="G63" s="8">
        <v>8689032</v>
      </c>
      <c r="H63" s="8">
        <v>1343</v>
      </c>
      <c r="I63" s="8">
        <v>20956492</v>
      </c>
      <c r="J63" s="8">
        <v>817</v>
      </c>
      <c r="K63" s="8">
        <v>12748662</v>
      </c>
      <c r="L63" s="13">
        <f t="shared" si="0"/>
        <v>15604.237454100366</v>
      </c>
    </row>
    <row r="64" spans="1:12" x14ac:dyDescent="0.2">
      <c r="A64" s="6" t="s">
        <v>72</v>
      </c>
      <c r="B64" s="6">
        <v>12</v>
      </c>
      <c r="C64" s="6"/>
      <c r="D64" s="8">
        <v>3852</v>
      </c>
      <c r="E64" s="8">
        <v>90280472</v>
      </c>
      <c r="F64" s="8">
        <v>648</v>
      </c>
      <c r="G64" s="8">
        <v>15599952</v>
      </c>
      <c r="H64" s="8">
        <v>2766</v>
      </c>
      <c r="I64" s="8">
        <v>65081167</v>
      </c>
      <c r="J64" s="8">
        <v>1734</v>
      </c>
      <c r="K64" s="8">
        <v>40799257</v>
      </c>
      <c r="L64" s="13">
        <f t="shared" si="0"/>
        <v>23528.983275663206</v>
      </c>
    </row>
    <row r="65" spans="1:12" x14ac:dyDescent="0.2">
      <c r="A65" s="6" t="s">
        <v>73</v>
      </c>
      <c r="B65" s="6">
        <v>12</v>
      </c>
      <c r="C65" s="6"/>
      <c r="D65" s="8">
        <v>4218</v>
      </c>
      <c r="E65" s="8">
        <v>143970514</v>
      </c>
      <c r="F65" s="8">
        <v>1800</v>
      </c>
      <c r="G65" s="8">
        <v>61666200</v>
      </c>
      <c r="H65" s="8">
        <v>4946</v>
      </c>
      <c r="I65" s="8">
        <v>169006179</v>
      </c>
      <c r="J65" s="8">
        <v>1072</v>
      </c>
      <c r="K65" s="8">
        <v>36630535</v>
      </c>
      <c r="L65" s="13">
        <f t="shared" si="0"/>
        <v>34170.275186567167</v>
      </c>
    </row>
    <row r="66" spans="1:12" x14ac:dyDescent="0.2">
      <c r="A66" s="6" t="s">
        <v>74</v>
      </c>
      <c r="B66" s="6">
        <v>12</v>
      </c>
      <c r="C66" s="6"/>
      <c r="D66" s="8">
        <v>5136</v>
      </c>
      <c r="E66" s="8">
        <v>75745997</v>
      </c>
      <c r="F66" s="8">
        <v>1752</v>
      </c>
      <c r="G66" s="8">
        <v>25955880</v>
      </c>
      <c r="H66" s="8">
        <v>6110</v>
      </c>
      <c r="I66" s="8">
        <v>90214644</v>
      </c>
      <c r="J66" s="8">
        <v>778</v>
      </c>
      <c r="K66" s="8">
        <v>11487233</v>
      </c>
      <c r="L66" s="13">
        <f t="shared" si="0"/>
        <v>14765.080976863754</v>
      </c>
    </row>
    <row r="67" spans="1:12" x14ac:dyDescent="0.2">
      <c r="A67" s="6" t="s">
        <v>75</v>
      </c>
      <c r="B67" s="6">
        <v>12</v>
      </c>
      <c r="C67" s="6"/>
      <c r="D67" s="8">
        <v>10400</v>
      </c>
      <c r="E67" s="8">
        <v>3813333</v>
      </c>
      <c r="F67" s="8">
        <v>0</v>
      </c>
      <c r="G67" s="8">
        <v>0</v>
      </c>
      <c r="H67" s="8">
        <v>9600</v>
      </c>
      <c r="I67" s="8">
        <v>3520000</v>
      </c>
      <c r="J67" s="8">
        <v>800</v>
      </c>
      <c r="K67" s="8">
        <v>293333</v>
      </c>
      <c r="L67" s="13">
        <f t="shared" si="0"/>
        <v>366.66624999999999</v>
      </c>
    </row>
    <row r="68" spans="1:12" x14ac:dyDescent="0.2">
      <c r="A68" s="6" t="s">
        <v>76</v>
      </c>
      <c r="B68" s="6">
        <v>12</v>
      </c>
      <c r="C68" s="6"/>
      <c r="D68" s="8">
        <v>168</v>
      </c>
      <c r="E68" s="8">
        <v>9544198</v>
      </c>
      <c r="F68" s="8">
        <v>81</v>
      </c>
      <c r="G68" s="8">
        <v>4275018</v>
      </c>
      <c r="H68" s="8">
        <v>4</v>
      </c>
      <c r="I68" s="8">
        <v>221995</v>
      </c>
      <c r="J68" s="8">
        <v>245</v>
      </c>
      <c r="K68" s="8">
        <v>13597221</v>
      </c>
      <c r="L68" s="13">
        <f t="shared" si="0"/>
        <v>55498.861224489796</v>
      </c>
    </row>
    <row r="69" spans="1:12" x14ac:dyDescent="0.2">
      <c r="A69" s="6" t="s">
        <v>77</v>
      </c>
      <c r="B69" s="6">
        <v>12</v>
      </c>
      <c r="C69" s="6"/>
      <c r="D69" s="8">
        <v>1092</v>
      </c>
      <c r="E69" s="8">
        <v>6735333</v>
      </c>
      <c r="F69" s="8">
        <v>0</v>
      </c>
      <c r="G69" s="8">
        <v>0</v>
      </c>
      <c r="H69" s="8">
        <v>246</v>
      </c>
      <c r="I69" s="8">
        <v>1517300</v>
      </c>
      <c r="J69" s="8">
        <v>846</v>
      </c>
      <c r="K69" s="8">
        <v>5218033</v>
      </c>
      <c r="L69" s="13">
        <f t="shared" si="0"/>
        <v>6167.8877068557922</v>
      </c>
    </row>
    <row r="70" spans="1:12" x14ac:dyDescent="0.2">
      <c r="A70" s="6" t="s">
        <v>78</v>
      </c>
      <c r="B70" s="6">
        <v>12</v>
      </c>
      <c r="C70" s="6"/>
      <c r="D70" s="8">
        <v>7371</v>
      </c>
      <c r="E70" s="8">
        <v>66190155</v>
      </c>
      <c r="F70" s="8">
        <v>1920</v>
      </c>
      <c r="G70" s="8">
        <v>21333120</v>
      </c>
      <c r="H70" s="8">
        <v>4490</v>
      </c>
      <c r="I70" s="8">
        <v>42296793</v>
      </c>
      <c r="J70" s="8">
        <v>4801</v>
      </c>
      <c r="K70" s="8">
        <v>45226482</v>
      </c>
      <c r="L70" s="13">
        <f t="shared" si="0"/>
        <v>9420.2212039158512</v>
      </c>
    </row>
    <row r="71" spans="1:12" x14ac:dyDescent="0.2">
      <c r="A71" s="6" t="s">
        <v>79</v>
      </c>
      <c r="B71" s="6">
        <v>12</v>
      </c>
      <c r="C71" s="6"/>
      <c r="D71" s="8">
        <v>1912</v>
      </c>
      <c r="E71" s="8">
        <v>38449684</v>
      </c>
      <c r="F71" s="8">
        <v>1560</v>
      </c>
      <c r="G71" s="8">
        <v>33221760</v>
      </c>
      <c r="H71" s="8">
        <v>3133</v>
      </c>
      <c r="I71" s="8">
        <v>64673570</v>
      </c>
      <c r="J71" s="8">
        <v>339</v>
      </c>
      <c r="K71" s="8">
        <v>6997874</v>
      </c>
      <c r="L71" s="13">
        <f t="shared" si="0"/>
        <v>20642.696165191741</v>
      </c>
    </row>
    <row r="72" spans="1:12" x14ac:dyDescent="0.2">
      <c r="A72" s="6" t="s">
        <v>80</v>
      </c>
      <c r="B72" s="6">
        <v>12</v>
      </c>
      <c r="C72" s="6"/>
      <c r="D72" s="8">
        <v>180</v>
      </c>
      <c r="E72" s="8">
        <v>2602954</v>
      </c>
      <c r="F72" s="8">
        <v>72</v>
      </c>
      <c r="G72" s="8">
        <v>1066680</v>
      </c>
      <c r="H72" s="8">
        <v>0</v>
      </c>
      <c r="I72" s="8">
        <v>0</v>
      </c>
      <c r="J72" s="8">
        <v>252</v>
      </c>
      <c r="K72" s="8">
        <v>3669634</v>
      </c>
      <c r="L72" s="13">
        <f t="shared" si="0"/>
        <v>14562.039682539682</v>
      </c>
    </row>
    <row r="73" spans="1:12" x14ac:dyDescent="0.2">
      <c r="A73" s="6" t="s">
        <v>81</v>
      </c>
      <c r="B73" s="6">
        <v>12</v>
      </c>
      <c r="C73" s="6"/>
      <c r="D73" s="8">
        <v>2052</v>
      </c>
      <c r="E73" s="8">
        <v>31426776</v>
      </c>
      <c r="F73" s="8">
        <v>504</v>
      </c>
      <c r="G73" s="8">
        <v>7933464</v>
      </c>
      <c r="H73" s="8">
        <v>2040</v>
      </c>
      <c r="I73" s="8">
        <v>31414276</v>
      </c>
      <c r="J73" s="8">
        <v>516</v>
      </c>
      <c r="K73" s="8">
        <v>7945964</v>
      </c>
      <c r="L73" s="13">
        <f t="shared" si="0"/>
        <v>15399.155038759691</v>
      </c>
    </row>
    <row r="74" spans="1:12" x14ac:dyDescent="0.2">
      <c r="A74" s="6" t="s">
        <v>82</v>
      </c>
      <c r="B74" s="6">
        <v>12</v>
      </c>
      <c r="C74" s="6"/>
      <c r="D74" s="8">
        <v>5760</v>
      </c>
      <c r="E74" s="8">
        <v>42106565</v>
      </c>
      <c r="F74" s="8">
        <v>1368</v>
      </c>
      <c r="G74" s="8">
        <v>10132776</v>
      </c>
      <c r="H74" s="8">
        <v>5104</v>
      </c>
      <c r="I74" s="8">
        <v>37405948</v>
      </c>
      <c r="J74" s="8">
        <v>2024</v>
      </c>
      <c r="K74" s="8">
        <v>14833393</v>
      </c>
      <c r="L74" s="13">
        <f t="shared" si="0"/>
        <v>7328.751482213439</v>
      </c>
    </row>
    <row r="75" spans="1:12" x14ac:dyDescent="0.2">
      <c r="A75" s="6" t="s">
        <v>83</v>
      </c>
      <c r="B75" s="6">
        <v>12</v>
      </c>
      <c r="C75" s="6"/>
      <c r="D75" s="8">
        <v>2646</v>
      </c>
      <c r="E75" s="8">
        <v>20061031</v>
      </c>
      <c r="F75" s="8">
        <v>720</v>
      </c>
      <c r="G75" s="8">
        <v>5600160</v>
      </c>
      <c r="H75" s="8">
        <v>2622</v>
      </c>
      <c r="I75" s="8">
        <v>19989199</v>
      </c>
      <c r="J75" s="8">
        <v>744</v>
      </c>
      <c r="K75" s="8">
        <v>5671992</v>
      </c>
      <c r="L75" s="13">
        <f t="shared" si="0"/>
        <v>7623.6451612903229</v>
      </c>
    </row>
    <row r="76" spans="1:12" x14ac:dyDescent="0.2">
      <c r="A76" s="6" t="s">
        <v>84</v>
      </c>
      <c r="B76" s="6">
        <v>12</v>
      </c>
      <c r="C76" s="6"/>
      <c r="D76" s="8">
        <v>21344</v>
      </c>
      <c r="E76" s="8">
        <v>656441651</v>
      </c>
      <c r="F76" s="8">
        <v>13870</v>
      </c>
      <c r="G76" s="8">
        <v>423104640</v>
      </c>
      <c r="H76" s="8">
        <v>25896</v>
      </c>
      <c r="I76" s="8">
        <v>793886828</v>
      </c>
      <c r="J76" s="8">
        <v>9318</v>
      </c>
      <c r="K76" s="8">
        <v>285659463</v>
      </c>
      <c r="L76" s="13">
        <f t="shared" ref="L76:L139" si="1">K76/J76</f>
        <v>30656.73567289118</v>
      </c>
    </row>
    <row r="77" spans="1:12" x14ac:dyDescent="0.2">
      <c r="A77" s="6" t="s">
        <v>85</v>
      </c>
      <c r="B77" s="6">
        <v>12</v>
      </c>
      <c r="C77" s="6"/>
      <c r="D77" s="8">
        <v>22711</v>
      </c>
      <c r="E77" s="8">
        <v>206800382</v>
      </c>
      <c r="F77" s="8">
        <v>8744</v>
      </c>
      <c r="G77" s="8">
        <v>79997760</v>
      </c>
      <c r="H77" s="8">
        <v>16402</v>
      </c>
      <c r="I77" s="8">
        <v>149548979</v>
      </c>
      <c r="J77" s="8">
        <v>15053</v>
      </c>
      <c r="K77" s="8">
        <v>137249163</v>
      </c>
      <c r="L77" s="13">
        <f t="shared" si="1"/>
        <v>9117.7282269315092</v>
      </c>
    </row>
    <row r="78" spans="1:12" x14ac:dyDescent="0.2">
      <c r="A78" s="6" t="s">
        <v>86</v>
      </c>
      <c r="B78" s="6">
        <v>12</v>
      </c>
      <c r="C78" s="6"/>
      <c r="D78" s="8">
        <v>51521</v>
      </c>
      <c r="E78" s="8">
        <v>363655744</v>
      </c>
      <c r="F78" s="8">
        <v>37214</v>
      </c>
      <c r="G78" s="8">
        <v>266652000</v>
      </c>
      <c r="H78" s="8">
        <v>41008</v>
      </c>
      <c r="I78" s="8">
        <v>295371958</v>
      </c>
      <c r="J78" s="8">
        <v>47727</v>
      </c>
      <c r="K78" s="8">
        <v>334935786</v>
      </c>
      <c r="L78" s="13">
        <f t="shared" si="1"/>
        <v>7017.7422842416245</v>
      </c>
    </row>
    <row r="79" spans="1:12" x14ac:dyDescent="0.2">
      <c r="A79" s="6" t="s">
        <v>87</v>
      </c>
      <c r="B79" s="6">
        <v>12</v>
      </c>
      <c r="C79" s="6"/>
      <c r="D79" s="8">
        <v>3195</v>
      </c>
      <c r="E79" s="8">
        <v>57619421</v>
      </c>
      <c r="F79" s="8">
        <v>7471</v>
      </c>
      <c r="G79" s="8">
        <v>133253280</v>
      </c>
      <c r="H79" s="8">
        <v>7856</v>
      </c>
      <c r="I79" s="8">
        <v>140586531</v>
      </c>
      <c r="J79" s="8">
        <v>2810</v>
      </c>
      <c r="K79" s="8">
        <v>50286170</v>
      </c>
      <c r="L79" s="13">
        <f t="shared" si="1"/>
        <v>17895.434163701069</v>
      </c>
    </row>
    <row r="80" spans="1:12" x14ac:dyDescent="0.2">
      <c r="A80" s="6" t="s">
        <v>88</v>
      </c>
      <c r="B80" s="6">
        <v>12</v>
      </c>
      <c r="C80" s="6"/>
      <c r="D80" s="8">
        <v>618</v>
      </c>
      <c r="E80" s="8">
        <v>12921762</v>
      </c>
      <c r="F80" s="8">
        <v>0</v>
      </c>
      <c r="G80" s="8">
        <v>0</v>
      </c>
      <c r="H80" s="8">
        <v>70</v>
      </c>
      <c r="I80" s="8">
        <v>1463630</v>
      </c>
      <c r="J80" s="8">
        <v>548</v>
      </c>
      <c r="K80" s="8">
        <v>11458132</v>
      </c>
      <c r="L80" s="13">
        <f t="shared" si="1"/>
        <v>20909</v>
      </c>
    </row>
    <row r="81" spans="1:12" x14ac:dyDescent="0.2">
      <c r="A81" s="6" t="s">
        <v>89</v>
      </c>
      <c r="B81" s="6">
        <v>12</v>
      </c>
      <c r="C81" s="6"/>
      <c r="D81" s="8">
        <v>564</v>
      </c>
      <c r="E81" s="8">
        <v>13801691</v>
      </c>
      <c r="F81" s="8">
        <v>216</v>
      </c>
      <c r="G81" s="8">
        <v>5299992</v>
      </c>
      <c r="H81" s="8">
        <v>336</v>
      </c>
      <c r="I81" s="8">
        <v>8228417</v>
      </c>
      <c r="J81" s="8">
        <v>444</v>
      </c>
      <c r="K81" s="8">
        <v>10873266</v>
      </c>
      <c r="L81" s="13">
        <f t="shared" si="1"/>
        <v>24489.337837837837</v>
      </c>
    </row>
    <row r="82" spans="1:12" x14ac:dyDescent="0.2">
      <c r="A82" s="6" t="s">
        <v>90</v>
      </c>
      <c r="B82" s="6">
        <v>12</v>
      </c>
      <c r="C82" s="6"/>
      <c r="D82" s="8">
        <v>1045</v>
      </c>
      <c r="E82" s="8">
        <v>55627273</v>
      </c>
      <c r="F82" s="8">
        <v>2820</v>
      </c>
      <c r="G82" s="8">
        <v>150139620</v>
      </c>
      <c r="H82" s="8">
        <v>3326</v>
      </c>
      <c r="I82" s="8">
        <v>177071330</v>
      </c>
      <c r="J82" s="8">
        <v>539</v>
      </c>
      <c r="K82" s="8">
        <v>28695563</v>
      </c>
      <c r="L82" s="13">
        <f t="shared" si="1"/>
        <v>53238.521335807047</v>
      </c>
    </row>
    <row r="83" spans="1:12" x14ac:dyDescent="0.2">
      <c r="A83" s="6" t="s">
        <v>91</v>
      </c>
      <c r="B83" s="6">
        <v>12</v>
      </c>
      <c r="C83" s="6"/>
      <c r="D83" s="8">
        <v>6789</v>
      </c>
      <c r="E83" s="8">
        <v>63245985</v>
      </c>
      <c r="F83" s="8">
        <v>4920</v>
      </c>
      <c r="G83" s="8">
        <v>44332320</v>
      </c>
      <c r="H83" s="8">
        <v>5862</v>
      </c>
      <c r="I83" s="8">
        <v>53858060</v>
      </c>
      <c r="J83" s="8">
        <v>5847</v>
      </c>
      <c r="K83" s="8">
        <v>53720245</v>
      </c>
      <c r="L83" s="13">
        <f t="shared" si="1"/>
        <v>9187.6594834958105</v>
      </c>
    </row>
    <row r="84" spans="1:12" x14ac:dyDescent="0.2">
      <c r="A84" s="6" t="s">
        <v>92</v>
      </c>
      <c r="B84" s="6">
        <v>12</v>
      </c>
      <c r="C84" s="6"/>
      <c r="D84" s="8">
        <v>50800</v>
      </c>
      <c r="E84" s="8">
        <v>24895116</v>
      </c>
      <c r="F84" s="8">
        <v>23200</v>
      </c>
      <c r="G84" s="8">
        <v>11391200</v>
      </c>
      <c r="H84" s="8">
        <v>36000</v>
      </c>
      <c r="I84" s="8">
        <v>17652802</v>
      </c>
      <c r="J84" s="8">
        <v>38000</v>
      </c>
      <c r="K84" s="8">
        <v>18633514</v>
      </c>
      <c r="L84" s="13">
        <f t="shared" si="1"/>
        <v>490.3556315789474</v>
      </c>
    </row>
    <row r="85" spans="1:12" x14ac:dyDescent="0.2">
      <c r="A85" s="6" t="s">
        <v>93</v>
      </c>
      <c r="B85" s="6">
        <v>12</v>
      </c>
      <c r="C85" s="6"/>
      <c r="D85" s="8">
        <v>444</v>
      </c>
      <c r="E85" s="8">
        <v>23449263</v>
      </c>
      <c r="F85" s="8">
        <v>96</v>
      </c>
      <c r="G85" s="8">
        <v>5111136</v>
      </c>
      <c r="H85" s="8">
        <v>504</v>
      </c>
      <c r="I85" s="8">
        <v>26656372</v>
      </c>
      <c r="J85" s="8">
        <v>36</v>
      </c>
      <c r="K85" s="8">
        <v>1904027</v>
      </c>
      <c r="L85" s="13">
        <f t="shared" si="1"/>
        <v>52889.638888888891</v>
      </c>
    </row>
    <row r="86" spans="1:12" x14ac:dyDescent="0.2">
      <c r="A86" s="6" t="s">
        <v>94</v>
      </c>
      <c r="B86" s="6">
        <v>12</v>
      </c>
      <c r="C86" s="6"/>
      <c r="D86" s="8">
        <v>408</v>
      </c>
      <c r="E86" s="8">
        <v>3857098</v>
      </c>
      <c r="F86" s="8">
        <v>0</v>
      </c>
      <c r="G86" s="8">
        <v>0</v>
      </c>
      <c r="H86" s="8">
        <v>240</v>
      </c>
      <c r="I86" s="8">
        <v>2268881</v>
      </c>
      <c r="J86" s="8">
        <v>168</v>
      </c>
      <c r="K86" s="8">
        <v>1588217</v>
      </c>
      <c r="L86" s="13">
        <f t="shared" si="1"/>
        <v>9453.6726190476184</v>
      </c>
    </row>
    <row r="87" spans="1:12" x14ac:dyDescent="0.2">
      <c r="A87" s="6" t="s">
        <v>95</v>
      </c>
      <c r="B87" s="6">
        <v>12</v>
      </c>
      <c r="C87" s="6"/>
      <c r="D87" s="8">
        <v>900</v>
      </c>
      <c r="E87" s="8">
        <v>7404657</v>
      </c>
      <c r="F87" s="8">
        <v>468</v>
      </c>
      <c r="G87" s="8">
        <v>3899844</v>
      </c>
      <c r="H87" s="8">
        <v>1290</v>
      </c>
      <c r="I87" s="8">
        <v>10659946</v>
      </c>
      <c r="J87" s="8">
        <v>78</v>
      </c>
      <c r="K87" s="8">
        <v>644555</v>
      </c>
      <c r="L87" s="13">
        <f t="shared" si="1"/>
        <v>8263.5256410256407</v>
      </c>
    </row>
    <row r="88" spans="1:12" x14ac:dyDescent="0.2">
      <c r="A88" s="6" t="s">
        <v>96</v>
      </c>
      <c r="B88" s="6">
        <v>12</v>
      </c>
      <c r="C88" s="6"/>
      <c r="D88" s="8">
        <v>225</v>
      </c>
      <c r="E88" s="8">
        <v>25942946</v>
      </c>
      <c r="F88" s="8">
        <v>147</v>
      </c>
      <c r="G88" s="8">
        <v>17081988</v>
      </c>
      <c r="H88" s="8">
        <v>32</v>
      </c>
      <c r="I88" s="8">
        <v>3701070</v>
      </c>
      <c r="J88" s="8">
        <v>340</v>
      </c>
      <c r="K88" s="8">
        <v>39323864</v>
      </c>
      <c r="L88" s="13">
        <f t="shared" si="1"/>
        <v>115658.42352941177</v>
      </c>
    </row>
    <row r="89" spans="1:12" x14ac:dyDescent="0.2">
      <c r="A89" s="6" t="s">
        <v>97</v>
      </c>
      <c r="B89" s="6">
        <v>12</v>
      </c>
      <c r="C89" s="6"/>
      <c r="D89" s="8">
        <v>57200</v>
      </c>
      <c r="E89" s="8">
        <v>28035599</v>
      </c>
      <c r="F89" s="8">
        <v>24800</v>
      </c>
      <c r="G89" s="8">
        <v>12176800</v>
      </c>
      <c r="H89" s="8">
        <v>39200</v>
      </c>
      <c r="I89" s="8">
        <v>19223488</v>
      </c>
      <c r="J89" s="8">
        <v>42800</v>
      </c>
      <c r="K89" s="8">
        <v>20988911</v>
      </c>
      <c r="L89" s="13">
        <f t="shared" si="1"/>
        <v>490.39511682242988</v>
      </c>
    </row>
    <row r="90" spans="1:12" x14ac:dyDescent="0.2">
      <c r="A90" s="6" t="s">
        <v>98</v>
      </c>
      <c r="B90" s="6">
        <v>12</v>
      </c>
      <c r="C90" s="6"/>
      <c r="D90" s="8">
        <v>1920</v>
      </c>
      <c r="E90" s="8">
        <v>19627720</v>
      </c>
      <c r="F90" s="8">
        <v>192</v>
      </c>
      <c r="G90" s="8">
        <v>2026752</v>
      </c>
      <c r="H90" s="8">
        <v>1374</v>
      </c>
      <c r="I90" s="8">
        <v>14087710</v>
      </c>
      <c r="J90" s="8">
        <v>738</v>
      </c>
      <c r="K90" s="8">
        <v>7566762</v>
      </c>
      <c r="L90" s="13">
        <f t="shared" si="1"/>
        <v>10253.065040650406</v>
      </c>
    </row>
    <row r="91" spans="1:12" x14ac:dyDescent="0.2">
      <c r="A91" s="6" t="s">
        <v>99</v>
      </c>
      <c r="B91" s="6">
        <v>12</v>
      </c>
      <c r="C91" s="6"/>
      <c r="D91" s="8">
        <v>96</v>
      </c>
      <c r="E91" s="8">
        <v>595584</v>
      </c>
      <c r="F91" s="8">
        <v>96</v>
      </c>
      <c r="G91" s="8">
        <v>595584</v>
      </c>
      <c r="H91" s="8">
        <v>20</v>
      </c>
      <c r="I91" s="8">
        <v>124080</v>
      </c>
      <c r="J91" s="8">
        <v>172</v>
      </c>
      <c r="K91" s="8">
        <v>1067088</v>
      </c>
      <c r="L91" s="13">
        <f t="shared" si="1"/>
        <v>6204</v>
      </c>
    </row>
    <row r="92" spans="1:12" x14ac:dyDescent="0.2">
      <c r="A92" s="6" t="s">
        <v>100</v>
      </c>
      <c r="B92" s="6">
        <v>12</v>
      </c>
      <c r="C92" s="6"/>
      <c r="D92" s="8">
        <v>2105</v>
      </c>
      <c r="E92" s="8">
        <v>108155379</v>
      </c>
      <c r="F92" s="8">
        <v>3340</v>
      </c>
      <c r="G92" s="8">
        <v>162917460</v>
      </c>
      <c r="H92" s="8">
        <v>3522</v>
      </c>
      <c r="I92" s="8">
        <v>175338575</v>
      </c>
      <c r="J92" s="8">
        <v>1923</v>
      </c>
      <c r="K92" s="8">
        <v>95734264</v>
      </c>
      <c r="L92" s="13">
        <f t="shared" si="1"/>
        <v>49783.808632345295</v>
      </c>
    </row>
    <row r="93" spans="1:12" x14ac:dyDescent="0.2">
      <c r="A93" s="6" t="s">
        <v>101</v>
      </c>
      <c r="B93" s="6">
        <v>12</v>
      </c>
      <c r="C93" s="6"/>
      <c r="D93" s="8">
        <v>21454</v>
      </c>
      <c r="E93" s="8">
        <v>153225770</v>
      </c>
      <c r="F93" s="8">
        <v>9132</v>
      </c>
      <c r="G93" s="8">
        <v>39665760</v>
      </c>
      <c r="H93" s="8">
        <v>4014</v>
      </c>
      <c r="I93" s="8">
        <v>25314412</v>
      </c>
      <c r="J93" s="8">
        <v>26572</v>
      </c>
      <c r="K93" s="8">
        <v>167577118</v>
      </c>
      <c r="L93" s="13">
        <f t="shared" si="1"/>
        <v>6306.5301068794215</v>
      </c>
    </row>
    <row r="94" spans="1:12" x14ac:dyDescent="0.2">
      <c r="A94" s="6" t="s">
        <v>102</v>
      </c>
      <c r="B94" s="6">
        <v>12</v>
      </c>
      <c r="C94" s="6"/>
      <c r="D94" s="8">
        <v>540</v>
      </c>
      <c r="E94" s="8">
        <v>13238841</v>
      </c>
      <c r="F94" s="8">
        <v>588</v>
      </c>
      <c r="G94" s="8">
        <v>14427756</v>
      </c>
      <c r="H94" s="8">
        <v>639</v>
      </c>
      <c r="I94" s="8">
        <v>15672834</v>
      </c>
      <c r="J94" s="8">
        <v>489</v>
      </c>
      <c r="K94" s="8">
        <v>11993763</v>
      </c>
      <c r="L94" s="13">
        <f t="shared" si="1"/>
        <v>24527.122699386502</v>
      </c>
    </row>
    <row r="95" spans="1:12" x14ac:dyDescent="0.2">
      <c r="A95" s="6" t="s">
        <v>103</v>
      </c>
      <c r="B95" s="6">
        <v>12</v>
      </c>
      <c r="C95" s="6"/>
      <c r="D95" s="8">
        <v>2454</v>
      </c>
      <c r="E95" s="8">
        <v>27075398</v>
      </c>
      <c r="F95" s="8">
        <v>342</v>
      </c>
      <c r="G95" s="8">
        <v>1333344</v>
      </c>
      <c r="H95" s="8">
        <v>1560</v>
      </c>
      <c r="I95" s="8">
        <v>15850371</v>
      </c>
      <c r="J95" s="8">
        <v>1236</v>
      </c>
      <c r="K95" s="8">
        <v>12558371</v>
      </c>
      <c r="L95" s="13">
        <f t="shared" si="1"/>
        <v>10160.49433656958</v>
      </c>
    </row>
    <row r="96" spans="1:12" x14ac:dyDescent="0.2">
      <c r="A96" s="6" t="s">
        <v>104</v>
      </c>
      <c r="B96" s="6">
        <v>12</v>
      </c>
      <c r="C96" s="6"/>
      <c r="D96" s="8">
        <v>192</v>
      </c>
      <c r="E96" s="8">
        <v>3657528</v>
      </c>
      <c r="F96" s="8">
        <v>96</v>
      </c>
      <c r="G96" s="8">
        <v>1866624</v>
      </c>
      <c r="H96" s="8">
        <v>3</v>
      </c>
      <c r="I96" s="8">
        <v>57543</v>
      </c>
      <c r="J96" s="8">
        <v>285</v>
      </c>
      <c r="K96" s="8">
        <v>5466609</v>
      </c>
      <c r="L96" s="13">
        <f t="shared" si="1"/>
        <v>19181.084210526315</v>
      </c>
    </row>
    <row r="97" spans="1:14" x14ac:dyDescent="0.2">
      <c r="A97" s="6" t="s">
        <v>105</v>
      </c>
      <c r="B97" s="6">
        <v>12</v>
      </c>
      <c r="C97" s="6"/>
      <c r="D97" s="8">
        <v>258</v>
      </c>
      <c r="E97" s="8">
        <v>13370216</v>
      </c>
      <c r="F97" s="8">
        <v>174</v>
      </c>
      <c r="G97" s="8">
        <v>9263934</v>
      </c>
      <c r="H97" s="8">
        <v>402</v>
      </c>
      <c r="I97" s="8">
        <v>21062334</v>
      </c>
      <c r="J97" s="8">
        <v>30</v>
      </c>
      <c r="K97" s="8">
        <v>1571816</v>
      </c>
      <c r="L97" s="13">
        <f t="shared" si="1"/>
        <v>52393.866666666669</v>
      </c>
    </row>
    <row r="98" spans="1:14" x14ac:dyDescent="0.2">
      <c r="A98" s="6" t="s">
        <v>106</v>
      </c>
      <c r="B98" s="6">
        <v>12</v>
      </c>
      <c r="C98" s="6"/>
      <c r="D98" s="8">
        <v>1512</v>
      </c>
      <c r="E98" s="8">
        <v>14292784</v>
      </c>
      <c r="F98" s="8">
        <v>192</v>
      </c>
      <c r="G98" s="8">
        <v>1866624</v>
      </c>
      <c r="H98" s="8">
        <v>955</v>
      </c>
      <c r="I98" s="8">
        <v>9056476</v>
      </c>
      <c r="J98" s="8">
        <v>749</v>
      </c>
      <c r="K98" s="8">
        <v>7102932</v>
      </c>
      <c r="L98" s="13">
        <f t="shared" si="1"/>
        <v>9483.2202937249658</v>
      </c>
    </row>
    <row r="99" spans="1:14" x14ac:dyDescent="0.2">
      <c r="A99" s="6" t="s">
        <v>107</v>
      </c>
      <c r="B99" s="6">
        <v>12</v>
      </c>
      <c r="C99" s="6"/>
      <c r="D99" s="8">
        <v>1190</v>
      </c>
      <c r="E99" s="8">
        <v>4560276</v>
      </c>
      <c r="F99" s="8">
        <v>180</v>
      </c>
      <c r="G99" s="8">
        <v>0</v>
      </c>
      <c r="H99" s="8">
        <v>0</v>
      </c>
      <c r="I99" s="8">
        <v>0</v>
      </c>
      <c r="J99" s="8">
        <v>1370</v>
      </c>
      <c r="K99" s="8">
        <v>4560276</v>
      </c>
      <c r="L99" s="13">
        <f t="shared" si="1"/>
        <v>3328.6686131386859</v>
      </c>
    </row>
    <row r="100" spans="1:14" x14ac:dyDescent="0.2">
      <c r="A100" s="6" t="s">
        <v>108</v>
      </c>
      <c r="B100" s="6">
        <v>12</v>
      </c>
      <c r="C100" s="6"/>
      <c r="D100" s="8">
        <v>46476</v>
      </c>
      <c r="E100" s="8">
        <v>335124139</v>
      </c>
      <c r="F100" s="8">
        <v>6120</v>
      </c>
      <c r="G100" s="8">
        <v>45330840</v>
      </c>
      <c r="H100" s="8">
        <v>38108</v>
      </c>
      <c r="I100" s="8">
        <v>287712936</v>
      </c>
      <c r="J100" s="8">
        <v>14488</v>
      </c>
      <c r="K100" s="8">
        <v>92742043</v>
      </c>
      <c r="L100" s="13">
        <f t="shared" si="1"/>
        <v>6401.3005935946994</v>
      </c>
    </row>
    <row r="101" spans="1:14" s="12" customFormat="1" x14ac:dyDescent="0.2">
      <c r="A101" s="10" t="s">
        <v>109</v>
      </c>
      <c r="B101" s="10">
        <v>12</v>
      </c>
      <c r="C101" s="10"/>
      <c r="D101" s="11"/>
      <c r="E101" s="11"/>
      <c r="F101" s="11"/>
      <c r="G101" s="11"/>
      <c r="H101" s="11"/>
      <c r="I101" s="11"/>
      <c r="J101" s="11"/>
      <c r="K101" s="11"/>
      <c r="L101" s="13"/>
      <c r="M101" s="15"/>
      <c r="N101" s="12" t="e">
        <f>E101/D101</f>
        <v>#DIV/0!</v>
      </c>
    </row>
    <row r="102" spans="1:14" x14ac:dyDescent="0.2">
      <c r="A102" s="6" t="s">
        <v>110</v>
      </c>
      <c r="B102" s="6">
        <v>12</v>
      </c>
      <c r="C102" s="6"/>
      <c r="D102" s="8">
        <v>864</v>
      </c>
      <c r="E102" s="8">
        <v>15351650</v>
      </c>
      <c r="F102" s="8">
        <v>684</v>
      </c>
      <c r="G102" s="8">
        <v>12350304</v>
      </c>
      <c r="H102" s="8">
        <v>1128</v>
      </c>
      <c r="I102" s="8">
        <v>20185920</v>
      </c>
      <c r="J102" s="8">
        <v>420</v>
      </c>
      <c r="K102" s="8">
        <v>7516034</v>
      </c>
      <c r="L102" s="13">
        <f t="shared" si="1"/>
        <v>17895.319047619047</v>
      </c>
    </row>
    <row r="103" spans="1:14" x14ac:dyDescent="0.2">
      <c r="A103" s="6" t="s">
        <v>111</v>
      </c>
      <c r="B103" s="6">
        <v>12</v>
      </c>
      <c r="C103" s="6"/>
      <c r="D103" s="8">
        <v>7094</v>
      </c>
      <c r="E103" s="8">
        <v>57800393</v>
      </c>
      <c r="F103" s="8">
        <v>7800</v>
      </c>
      <c r="G103" s="8">
        <v>63554400</v>
      </c>
      <c r="H103" s="8">
        <v>13434</v>
      </c>
      <c r="I103" s="8">
        <v>109458862</v>
      </c>
      <c r="J103" s="8">
        <v>1460</v>
      </c>
      <c r="K103" s="8">
        <v>11895931</v>
      </c>
      <c r="L103" s="13">
        <f t="shared" si="1"/>
        <v>8147.8979452054791</v>
      </c>
    </row>
    <row r="104" spans="1:14" x14ac:dyDescent="0.2">
      <c r="A104" s="6" t="s">
        <v>112</v>
      </c>
      <c r="B104" s="6">
        <v>12</v>
      </c>
      <c r="C104" s="6"/>
      <c r="D104" s="8">
        <v>2500</v>
      </c>
      <c r="E104" s="8">
        <v>20355350</v>
      </c>
      <c r="F104" s="8">
        <v>1320</v>
      </c>
      <c r="G104" s="8">
        <v>10755360</v>
      </c>
      <c r="H104" s="8">
        <v>2950</v>
      </c>
      <c r="I104" s="8">
        <v>24025287</v>
      </c>
      <c r="J104" s="8">
        <v>870</v>
      </c>
      <c r="K104" s="8">
        <v>7085423</v>
      </c>
      <c r="L104" s="13">
        <f t="shared" si="1"/>
        <v>8144.1643678160917</v>
      </c>
    </row>
    <row r="105" spans="1:14" x14ac:dyDescent="0.2">
      <c r="A105" s="6" t="s">
        <v>113</v>
      </c>
      <c r="B105" s="6">
        <v>12</v>
      </c>
      <c r="C105" s="6"/>
      <c r="D105" s="8">
        <v>240</v>
      </c>
      <c r="E105" s="8">
        <v>3935440</v>
      </c>
      <c r="F105" s="8">
        <v>72</v>
      </c>
      <c r="G105" s="8">
        <v>1200024</v>
      </c>
      <c r="H105" s="8">
        <v>0</v>
      </c>
      <c r="I105" s="8">
        <v>0</v>
      </c>
      <c r="J105" s="8">
        <v>312</v>
      </c>
      <c r="K105" s="8">
        <v>5135464</v>
      </c>
      <c r="L105" s="13">
        <f t="shared" si="1"/>
        <v>16459.820512820512</v>
      </c>
    </row>
    <row r="106" spans="1:14" x14ac:dyDescent="0.2">
      <c r="A106" s="6" t="s">
        <v>114</v>
      </c>
      <c r="B106" s="6">
        <v>12</v>
      </c>
      <c r="C106" s="6"/>
      <c r="D106" s="8">
        <v>192</v>
      </c>
      <c r="E106" s="8">
        <v>3650221</v>
      </c>
      <c r="F106" s="8">
        <v>72</v>
      </c>
      <c r="G106" s="8">
        <v>1399968</v>
      </c>
      <c r="H106" s="8">
        <v>3</v>
      </c>
      <c r="I106" s="8">
        <v>57389</v>
      </c>
      <c r="J106" s="8">
        <v>261</v>
      </c>
      <c r="K106" s="8">
        <v>4992800</v>
      </c>
      <c r="L106" s="13">
        <f t="shared" si="1"/>
        <v>19129.501915708814</v>
      </c>
    </row>
    <row r="107" spans="1:14" x14ac:dyDescent="0.2">
      <c r="A107" s="6" t="s">
        <v>115</v>
      </c>
      <c r="B107" s="6">
        <v>12</v>
      </c>
      <c r="C107" s="6"/>
      <c r="D107" s="8">
        <v>4325</v>
      </c>
      <c r="E107" s="8">
        <v>27997920</v>
      </c>
      <c r="F107" s="8">
        <v>2412</v>
      </c>
      <c r="G107" s="8">
        <v>15554400</v>
      </c>
      <c r="H107" s="8">
        <v>4790</v>
      </c>
      <c r="I107" s="8">
        <v>30965654</v>
      </c>
      <c r="J107" s="8">
        <v>1947</v>
      </c>
      <c r="K107" s="8">
        <v>12586666</v>
      </c>
      <c r="L107" s="13">
        <f t="shared" si="1"/>
        <v>6464.6461222393427</v>
      </c>
    </row>
    <row r="108" spans="1:14" x14ac:dyDescent="0.2">
      <c r="A108" s="6" t="s">
        <v>116</v>
      </c>
      <c r="B108" s="6">
        <v>12</v>
      </c>
      <c r="C108" s="6"/>
      <c r="D108" s="8">
        <v>4565</v>
      </c>
      <c r="E108" s="8">
        <v>92887200</v>
      </c>
      <c r="F108" s="8">
        <v>0</v>
      </c>
      <c r="G108" s="8">
        <v>0</v>
      </c>
      <c r="H108" s="8">
        <v>2596</v>
      </c>
      <c r="I108" s="8">
        <v>52822600</v>
      </c>
      <c r="J108" s="8">
        <v>1969</v>
      </c>
      <c r="K108" s="8">
        <v>40064600</v>
      </c>
      <c r="L108" s="13">
        <f t="shared" si="1"/>
        <v>20347.689182326052</v>
      </c>
    </row>
    <row r="109" spans="1:14" x14ac:dyDescent="0.2">
      <c r="A109" s="6" t="s">
        <v>117</v>
      </c>
      <c r="B109" s="6">
        <v>12</v>
      </c>
      <c r="C109" s="6"/>
      <c r="D109" s="8">
        <v>336</v>
      </c>
      <c r="E109" s="8">
        <v>5841722</v>
      </c>
      <c r="F109" s="8">
        <v>312</v>
      </c>
      <c r="G109" s="8">
        <v>5489016</v>
      </c>
      <c r="H109" s="8">
        <v>178</v>
      </c>
      <c r="I109" s="8">
        <v>3112456</v>
      </c>
      <c r="J109" s="8">
        <v>470</v>
      </c>
      <c r="K109" s="8">
        <v>8218282</v>
      </c>
      <c r="L109" s="13">
        <f t="shared" si="1"/>
        <v>17485.706382978722</v>
      </c>
    </row>
    <row r="110" spans="1:14" x14ac:dyDescent="0.2">
      <c r="A110" s="6" t="s">
        <v>118</v>
      </c>
      <c r="B110" s="6">
        <v>12</v>
      </c>
      <c r="C110" s="6"/>
      <c r="D110" s="8">
        <v>612</v>
      </c>
      <c r="E110" s="8">
        <v>25119032</v>
      </c>
      <c r="F110" s="8">
        <v>84</v>
      </c>
      <c r="G110" s="8">
        <v>3500028</v>
      </c>
      <c r="H110" s="8">
        <v>408</v>
      </c>
      <c r="I110" s="8">
        <v>16776690</v>
      </c>
      <c r="J110" s="8">
        <v>288</v>
      </c>
      <c r="K110" s="8">
        <v>11842370</v>
      </c>
      <c r="L110" s="13">
        <f t="shared" si="1"/>
        <v>41119.340277777781</v>
      </c>
    </row>
    <row r="111" spans="1:14" x14ac:dyDescent="0.2">
      <c r="A111" s="6" t="s">
        <v>119</v>
      </c>
      <c r="B111" s="6">
        <v>12</v>
      </c>
      <c r="C111" s="6"/>
      <c r="D111" s="8">
        <v>320</v>
      </c>
      <c r="E111" s="8">
        <v>7371274</v>
      </c>
      <c r="F111" s="8">
        <v>160</v>
      </c>
      <c r="G111" s="8">
        <v>3703680</v>
      </c>
      <c r="H111" s="8">
        <v>220</v>
      </c>
      <c r="I111" s="8">
        <v>5076021</v>
      </c>
      <c r="J111" s="8">
        <v>260</v>
      </c>
      <c r="K111" s="8">
        <v>5998933</v>
      </c>
      <c r="L111" s="13">
        <f t="shared" si="1"/>
        <v>23072.81923076923</v>
      </c>
    </row>
    <row r="112" spans="1:14" x14ac:dyDescent="0.2">
      <c r="A112" s="6" t="s">
        <v>120</v>
      </c>
      <c r="B112" s="6">
        <v>12</v>
      </c>
      <c r="C112" s="6"/>
      <c r="D112" s="8">
        <v>120</v>
      </c>
      <c r="E112" s="8">
        <v>2654520</v>
      </c>
      <c r="F112" s="8">
        <v>80</v>
      </c>
      <c r="G112" s="8">
        <v>1777760</v>
      </c>
      <c r="H112" s="8">
        <v>120</v>
      </c>
      <c r="I112" s="8">
        <v>2659368</v>
      </c>
      <c r="J112" s="8">
        <v>80</v>
      </c>
      <c r="K112" s="8">
        <v>1772912</v>
      </c>
      <c r="L112" s="13">
        <f t="shared" si="1"/>
        <v>22161.4</v>
      </c>
    </row>
    <row r="113" spans="1:13" x14ac:dyDescent="0.2">
      <c r="A113" s="6" t="s">
        <v>121</v>
      </c>
      <c r="B113" s="6">
        <v>12</v>
      </c>
      <c r="C113" s="6"/>
      <c r="D113" s="8">
        <v>2652</v>
      </c>
      <c r="E113" s="8">
        <v>31770271</v>
      </c>
      <c r="F113" s="8">
        <v>3648</v>
      </c>
      <c r="G113" s="8">
        <v>43333200</v>
      </c>
      <c r="H113" s="8">
        <v>3366</v>
      </c>
      <c r="I113" s="8">
        <v>40126712</v>
      </c>
      <c r="J113" s="8">
        <v>2934</v>
      </c>
      <c r="K113" s="8">
        <v>34976759</v>
      </c>
      <c r="L113" s="13">
        <f t="shared" si="1"/>
        <v>11921.1857532379</v>
      </c>
    </row>
    <row r="114" spans="1:13" x14ac:dyDescent="0.2">
      <c r="A114" s="6" t="s">
        <v>122</v>
      </c>
      <c r="B114" s="6">
        <v>12</v>
      </c>
      <c r="C114" s="6"/>
      <c r="D114" s="8">
        <v>4685</v>
      </c>
      <c r="E114" s="8">
        <v>40734720</v>
      </c>
      <c r="F114" s="8">
        <v>2400</v>
      </c>
      <c r="G114" s="8">
        <v>20889600</v>
      </c>
      <c r="H114" s="8">
        <v>6922</v>
      </c>
      <c r="I114" s="8">
        <v>60206569</v>
      </c>
      <c r="J114" s="8">
        <v>163</v>
      </c>
      <c r="K114" s="8">
        <v>1417751</v>
      </c>
      <c r="L114" s="13">
        <f t="shared" si="1"/>
        <v>8697.8588957055217</v>
      </c>
    </row>
    <row r="115" spans="1:13" x14ac:dyDescent="0.2">
      <c r="A115" s="6" t="s">
        <v>123</v>
      </c>
      <c r="B115" s="6">
        <v>12</v>
      </c>
      <c r="C115" s="6"/>
      <c r="D115" s="8">
        <v>216</v>
      </c>
      <c r="E115" s="8">
        <v>3755160</v>
      </c>
      <c r="F115" s="8">
        <v>36</v>
      </c>
      <c r="G115" s="8">
        <v>666684</v>
      </c>
      <c r="H115" s="8">
        <v>120</v>
      </c>
      <c r="I115" s="8">
        <v>2105640</v>
      </c>
      <c r="J115" s="8">
        <v>132</v>
      </c>
      <c r="K115" s="8">
        <v>2316204</v>
      </c>
      <c r="L115" s="13">
        <f t="shared" si="1"/>
        <v>17547</v>
      </c>
    </row>
    <row r="116" spans="1:13" x14ac:dyDescent="0.2">
      <c r="A116" s="6" t="s">
        <v>124</v>
      </c>
      <c r="B116" s="6">
        <v>12</v>
      </c>
      <c r="C116" s="6"/>
      <c r="D116" s="8">
        <v>72</v>
      </c>
      <c r="E116" s="8">
        <v>1333368</v>
      </c>
      <c r="F116" s="8">
        <v>36</v>
      </c>
      <c r="G116" s="8">
        <v>666684</v>
      </c>
      <c r="H116" s="8">
        <v>100</v>
      </c>
      <c r="I116" s="8">
        <v>1851900</v>
      </c>
      <c r="J116" s="8">
        <v>8</v>
      </c>
      <c r="K116" s="8">
        <v>148152</v>
      </c>
      <c r="L116" s="13">
        <f t="shared" si="1"/>
        <v>18519</v>
      </c>
    </row>
    <row r="117" spans="1:13" x14ac:dyDescent="0.2">
      <c r="A117" s="6" t="s">
        <v>125</v>
      </c>
      <c r="B117" s="6">
        <v>12</v>
      </c>
      <c r="C117" s="6"/>
      <c r="D117" s="8">
        <v>944</v>
      </c>
      <c r="E117" s="8">
        <v>42152428</v>
      </c>
      <c r="F117" s="8">
        <v>840</v>
      </c>
      <c r="G117" s="8">
        <v>37721880</v>
      </c>
      <c r="H117" s="8">
        <v>1140</v>
      </c>
      <c r="I117" s="8">
        <v>51040757</v>
      </c>
      <c r="J117" s="8">
        <v>644</v>
      </c>
      <c r="K117" s="8">
        <v>28833551</v>
      </c>
      <c r="L117" s="13">
        <f t="shared" si="1"/>
        <v>44772.594720496898</v>
      </c>
    </row>
    <row r="118" spans="1:13" x14ac:dyDescent="0.2">
      <c r="A118" s="6" t="s">
        <v>126</v>
      </c>
      <c r="B118" s="6">
        <v>12</v>
      </c>
      <c r="C118" s="6"/>
      <c r="D118" s="8">
        <v>33073</v>
      </c>
      <c r="E118" s="8">
        <v>182697004</v>
      </c>
      <c r="F118" s="8">
        <v>44511</v>
      </c>
      <c r="G118" s="8">
        <v>248485800</v>
      </c>
      <c r="H118" s="8">
        <v>43510</v>
      </c>
      <c r="I118" s="8">
        <v>258882160</v>
      </c>
      <c r="J118" s="8">
        <v>34074</v>
      </c>
      <c r="K118" s="8">
        <v>172300644</v>
      </c>
      <c r="L118" s="13">
        <f t="shared" si="1"/>
        <v>5056.6603275224516</v>
      </c>
    </row>
    <row r="119" spans="1:13" x14ac:dyDescent="0.2">
      <c r="A119" s="6" t="s">
        <v>127</v>
      </c>
      <c r="B119" s="6">
        <v>12</v>
      </c>
      <c r="C119" s="6"/>
      <c r="D119" s="8">
        <v>6123</v>
      </c>
      <c r="E119" s="8">
        <v>34229824</v>
      </c>
      <c r="F119" s="8">
        <v>2760</v>
      </c>
      <c r="G119" s="8">
        <v>16099080</v>
      </c>
      <c r="H119" s="8">
        <v>6420</v>
      </c>
      <c r="I119" s="8">
        <v>36374149</v>
      </c>
      <c r="J119" s="8">
        <v>2463</v>
      </c>
      <c r="K119" s="8">
        <v>13954755</v>
      </c>
      <c r="L119" s="13">
        <f t="shared" si="1"/>
        <v>5665.7551766138859</v>
      </c>
    </row>
    <row r="120" spans="1:13" x14ac:dyDescent="0.2">
      <c r="A120" s="6" t="s">
        <v>128</v>
      </c>
      <c r="B120" s="6">
        <v>12</v>
      </c>
      <c r="C120" s="6"/>
      <c r="D120" s="8">
        <v>374</v>
      </c>
      <c r="E120" s="8">
        <v>5702198</v>
      </c>
      <c r="F120" s="8">
        <v>200</v>
      </c>
      <c r="G120" s="8">
        <v>3055600</v>
      </c>
      <c r="H120" s="8">
        <v>120</v>
      </c>
      <c r="I120" s="8">
        <v>1830899</v>
      </c>
      <c r="J120" s="8">
        <v>454</v>
      </c>
      <c r="K120" s="8">
        <v>6926899</v>
      </c>
      <c r="L120" s="13">
        <f t="shared" si="1"/>
        <v>15257.486784140969</v>
      </c>
    </row>
    <row r="121" spans="1:13" x14ac:dyDescent="0.2">
      <c r="A121" s="6" t="s">
        <v>129</v>
      </c>
      <c r="B121" s="6">
        <v>12</v>
      </c>
      <c r="C121" s="6"/>
      <c r="D121" s="8">
        <v>20</v>
      </c>
      <c r="E121" s="8">
        <v>685180</v>
      </c>
      <c r="F121" s="8">
        <v>0</v>
      </c>
      <c r="G121" s="8">
        <v>0</v>
      </c>
      <c r="H121" s="8">
        <v>5</v>
      </c>
      <c r="I121" s="8">
        <v>171295</v>
      </c>
      <c r="J121" s="8">
        <v>15</v>
      </c>
      <c r="K121" s="8">
        <v>513885</v>
      </c>
      <c r="L121" s="13">
        <f t="shared" si="1"/>
        <v>34259</v>
      </c>
    </row>
    <row r="122" spans="1:13" x14ac:dyDescent="0.2">
      <c r="A122" s="6" t="s">
        <v>130</v>
      </c>
      <c r="B122" s="6">
        <v>12</v>
      </c>
      <c r="C122" s="6"/>
      <c r="D122" s="8">
        <v>85</v>
      </c>
      <c r="E122" s="8">
        <v>4046541</v>
      </c>
      <c r="F122" s="8">
        <v>41</v>
      </c>
      <c r="G122" s="8">
        <v>1955085</v>
      </c>
      <c r="H122" s="8">
        <v>40</v>
      </c>
      <c r="I122" s="8">
        <v>1905278</v>
      </c>
      <c r="J122" s="8">
        <v>86</v>
      </c>
      <c r="K122" s="8">
        <v>4096348</v>
      </c>
      <c r="L122" s="13">
        <f t="shared" si="1"/>
        <v>47631.953488372092</v>
      </c>
    </row>
    <row r="123" spans="1:13" x14ac:dyDescent="0.2">
      <c r="A123" s="6" t="s">
        <v>131</v>
      </c>
      <c r="B123" s="6">
        <v>12</v>
      </c>
      <c r="C123" s="6"/>
      <c r="D123" s="8">
        <v>70</v>
      </c>
      <c r="E123" s="8">
        <v>3488402</v>
      </c>
      <c r="F123" s="8">
        <v>16</v>
      </c>
      <c r="G123" s="8">
        <v>800000</v>
      </c>
      <c r="H123" s="8">
        <v>50</v>
      </c>
      <c r="I123" s="8">
        <v>2493257</v>
      </c>
      <c r="J123" s="8">
        <v>36</v>
      </c>
      <c r="K123" s="8">
        <v>1795145</v>
      </c>
      <c r="L123" s="13">
        <f t="shared" si="1"/>
        <v>49865.138888888891</v>
      </c>
    </row>
    <row r="124" spans="1:13" x14ac:dyDescent="0.2">
      <c r="A124" s="6" t="s">
        <v>132</v>
      </c>
      <c r="B124" s="6">
        <v>12</v>
      </c>
      <c r="C124" s="6"/>
      <c r="D124" s="8">
        <v>98</v>
      </c>
      <c r="E124" s="8">
        <v>4356568</v>
      </c>
      <c r="F124" s="8">
        <v>255</v>
      </c>
      <c r="G124" s="8">
        <v>11333220</v>
      </c>
      <c r="H124" s="8">
        <v>300</v>
      </c>
      <c r="I124" s="8">
        <v>13333180</v>
      </c>
      <c r="J124" s="8">
        <v>53</v>
      </c>
      <c r="K124" s="8">
        <v>2356608</v>
      </c>
      <c r="L124" s="13">
        <f t="shared" si="1"/>
        <v>44464.301886792455</v>
      </c>
    </row>
    <row r="125" spans="1:13" x14ac:dyDescent="0.2">
      <c r="A125" s="6" t="s">
        <v>133</v>
      </c>
      <c r="B125" s="6">
        <v>12</v>
      </c>
      <c r="C125" s="6"/>
      <c r="D125" s="8">
        <v>119</v>
      </c>
      <c r="E125" s="8">
        <v>4585298</v>
      </c>
      <c r="F125" s="8">
        <v>66</v>
      </c>
      <c r="G125" s="8">
        <v>2609254</v>
      </c>
      <c r="H125" s="8">
        <v>150</v>
      </c>
      <c r="I125" s="8">
        <v>5833421</v>
      </c>
      <c r="J125" s="8">
        <v>35</v>
      </c>
      <c r="K125" s="8">
        <v>1361131</v>
      </c>
      <c r="L125" s="13">
        <f t="shared" si="1"/>
        <v>38889.457142857143</v>
      </c>
    </row>
    <row r="126" spans="1:13" x14ac:dyDescent="0.2">
      <c r="A126" s="6" t="s">
        <v>134</v>
      </c>
      <c r="B126" s="6">
        <v>12</v>
      </c>
      <c r="C126" s="6"/>
      <c r="D126" s="8">
        <v>15</v>
      </c>
      <c r="E126" s="8">
        <v>431794</v>
      </c>
      <c r="F126" s="8">
        <v>0</v>
      </c>
      <c r="G126" s="8">
        <v>0</v>
      </c>
      <c r="H126" s="8">
        <v>0</v>
      </c>
      <c r="I126" s="8">
        <v>0</v>
      </c>
      <c r="J126" s="8">
        <v>15</v>
      </c>
      <c r="K126" s="8">
        <v>431794</v>
      </c>
      <c r="L126" s="13">
        <f t="shared" si="1"/>
        <v>28786.266666666666</v>
      </c>
    </row>
    <row r="127" spans="1:13" s="12" customFormat="1" x14ac:dyDescent="0.2">
      <c r="A127" s="10" t="s">
        <v>135</v>
      </c>
      <c r="B127" s="10">
        <v>12</v>
      </c>
      <c r="C127" s="10"/>
      <c r="D127" s="11">
        <v>155</v>
      </c>
      <c r="E127" s="11">
        <v>28475986</v>
      </c>
      <c r="F127" s="11">
        <v>770</v>
      </c>
      <c r="G127" s="11">
        <v>137740260</v>
      </c>
      <c r="H127" s="11">
        <v>15</v>
      </c>
      <c r="I127" s="11">
        <v>2695399</v>
      </c>
      <c r="J127" s="11">
        <v>910</v>
      </c>
      <c r="K127" s="11">
        <v>163520847</v>
      </c>
      <c r="L127" s="13">
        <f t="shared" si="1"/>
        <v>179693.23846153845</v>
      </c>
      <c r="M127" s="15"/>
    </row>
    <row r="128" spans="1:13" s="19" customFormat="1" x14ac:dyDescent="0.2">
      <c r="A128" s="17" t="s">
        <v>136</v>
      </c>
      <c r="B128" s="17">
        <v>12</v>
      </c>
      <c r="C128" s="17"/>
      <c r="D128" s="18">
        <v>4853</v>
      </c>
      <c r="E128" s="18">
        <v>73565457</v>
      </c>
      <c r="F128" s="18">
        <v>5768</v>
      </c>
      <c r="G128" s="18">
        <v>86167920</v>
      </c>
      <c r="H128" s="18">
        <v>5498</v>
      </c>
      <c r="I128" s="18">
        <v>82686574</v>
      </c>
      <c r="J128" s="18">
        <v>5123</v>
      </c>
      <c r="K128" s="18">
        <v>77046803</v>
      </c>
      <c r="L128" s="13">
        <f t="shared" si="1"/>
        <v>15039.391567440953</v>
      </c>
      <c r="M128" s="22"/>
    </row>
    <row r="129" spans="1:12" x14ac:dyDescent="0.2">
      <c r="A129" s="6" t="s">
        <v>137</v>
      </c>
      <c r="B129" s="6">
        <v>12</v>
      </c>
      <c r="C129" s="6"/>
      <c r="D129" s="8">
        <v>144</v>
      </c>
      <c r="E129" s="8">
        <v>22621104</v>
      </c>
      <c r="F129" s="8">
        <v>0</v>
      </c>
      <c r="G129" s="8">
        <v>0</v>
      </c>
      <c r="H129" s="8">
        <v>0</v>
      </c>
      <c r="I129" s="8">
        <v>0</v>
      </c>
      <c r="J129" s="8">
        <v>144</v>
      </c>
      <c r="K129" s="8">
        <v>22621104</v>
      </c>
      <c r="L129" s="13">
        <f t="shared" si="1"/>
        <v>157091</v>
      </c>
    </row>
    <row r="130" spans="1:12" x14ac:dyDescent="0.2">
      <c r="A130" s="6" t="s">
        <v>138</v>
      </c>
      <c r="B130" s="6">
        <v>12</v>
      </c>
      <c r="C130" s="6"/>
      <c r="D130" s="8">
        <v>149</v>
      </c>
      <c r="E130" s="8">
        <v>22621104</v>
      </c>
      <c r="F130" s="8">
        <v>0</v>
      </c>
      <c r="G130" s="8">
        <v>0</v>
      </c>
      <c r="H130" s="8">
        <v>0</v>
      </c>
      <c r="I130" s="8">
        <v>0</v>
      </c>
      <c r="J130" s="8">
        <v>149</v>
      </c>
      <c r="K130" s="8">
        <v>22621104</v>
      </c>
      <c r="L130" s="13">
        <f t="shared" si="1"/>
        <v>151819.48993288592</v>
      </c>
    </row>
    <row r="131" spans="1:12" x14ac:dyDescent="0.2">
      <c r="A131" s="6" t="s">
        <v>139</v>
      </c>
      <c r="B131" s="6">
        <v>12</v>
      </c>
      <c r="C131" s="6"/>
      <c r="D131" s="8">
        <v>188</v>
      </c>
      <c r="E131" s="8">
        <v>34137846</v>
      </c>
      <c r="F131" s="8">
        <v>0</v>
      </c>
      <c r="G131" s="8">
        <v>0</v>
      </c>
      <c r="H131" s="8">
        <v>0</v>
      </c>
      <c r="I131" s="8">
        <v>0</v>
      </c>
      <c r="J131" s="8">
        <v>188</v>
      </c>
      <c r="K131" s="8">
        <v>34137846</v>
      </c>
      <c r="L131" s="13">
        <f t="shared" si="1"/>
        <v>181584.28723404257</v>
      </c>
    </row>
    <row r="132" spans="1:12" x14ac:dyDescent="0.2">
      <c r="A132" s="6" t="s">
        <v>140</v>
      </c>
      <c r="B132" s="6">
        <v>12</v>
      </c>
      <c r="C132" s="6"/>
      <c r="D132" s="8">
        <v>1326</v>
      </c>
      <c r="E132" s="8">
        <v>245672490</v>
      </c>
      <c r="F132" s="8">
        <v>1500</v>
      </c>
      <c r="G132" s="8">
        <v>279622500</v>
      </c>
      <c r="H132" s="8">
        <v>1498</v>
      </c>
      <c r="I132" s="8">
        <v>278447238</v>
      </c>
      <c r="J132" s="8">
        <v>1328</v>
      </c>
      <c r="K132" s="8">
        <v>246847752</v>
      </c>
      <c r="L132" s="13">
        <f t="shared" si="1"/>
        <v>185879.3313253012</v>
      </c>
    </row>
    <row r="133" spans="1:12" x14ac:dyDescent="0.2">
      <c r="A133" s="6" t="s">
        <v>141</v>
      </c>
      <c r="B133" s="6">
        <v>12</v>
      </c>
      <c r="C133" s="6"/>
      <c r="D133" s="8">
        <v>2712</v>
      </c>
      <c r="E133" s="8">
        <v>404819278</v>
      </c>
      <c r="F133" s="8">
        <v>2350</v>
      </c>
      <c r="G133" s="8">
        <v>438075250</v>
      </c>
      <c r="H133" s="8">
        <v>2523</v>
      </c>
      <c r="I133" s="8">
        <v>466755000</v>
      </c>
      <c r="J133" s="8">
        <v>2539</v>
      </c>
      <c r="K133" s="8">
        <v>376139528</v>
      </c>
      <c r="L133" s="13">
        <f t="shared" si="1"/>
        <v>148144.75305238282</v>
      </c>
    </row>
    <row r="134" spans="1:12" x14ac:dyDescent="0.2">
      <c r="A134" s="6" t="s">
        <v>142</v>
      </c>
      <c r="B134" s="6">
        <v>12</v>
      </c>
      <c r="C134" s="6"/>
      <c r="D134" s="8">
        <v>1150</v>
      </c>
      <c r="E134" s="8">
        <v>211217050</v>
      </c>
      <c r="F134" s="8">
        <v>0</v>
      </c>
      <c r="G134" s="8">
        <v>0</v>
      </c>
      <c r="H134" s="8">
        <v>0</v>
      </c>
      <c r="I134" s="8">
        <v>0</v>
      </c>
      <c r="J134" s="8">
        <v>1150</v>
      </c>
      <c r="K134" s="8">
        <v>211217050</v>
      </c>
      <c r="L134" s="13">
        <f t="shared" si="1"/>
        <v>183667</v>
      </c>
    </row>
    <row r="135" spans="1:12" x14ac:dyDescent="0.2">
      <c r="A135" s="6" t="s">
        <v>143</v>
      </c>
      <c r="B135" s="6">
        <v>12</v>
      </c>
      <c r="C135" s="6"/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</row>
    <row r="136" spans="1:12" x14ac:dyDescent="0.2">
      <c r="A136" s="6" t="s">
        <v>144</v>
      </c>
      <c r="B136" s="6">
        <v>12</v>
      </c>
      <c r="C136" s="6"/>
      <c r="D136" s="8">
        <v>898</v>
      </c>
      <c r="E136" s="8">
        <v>164227145</v>
      </c>
      <c r="F136" s="8">
        <v>455</v>
      </c>
      <c r="G136" s="8">
        <v>83865600</v>
      </c>
      <c r="H136" s="8">
        <v>770</v>
      </c>
      <c r="I136" s="8">
        <v>141190993</v>
      </c>
      <c r="J136" s="8">
        <v>583</v>
      </c>
      <c r="K136" s="8">
        <v>106901752</v>
      </c>
      <c r="L136" s="13">
        <f t="shared" si="1"/>
        <v>183364.92624356775</v>
      </c>
    </row>
    <row r="137" spans="1:12" x14ac:dyDescent="0.2">
      <c r="A137" s="6" t="s">
        <v>145</v>
      </c>
      <c r="B137" s="6">
        <v>12</v>
      </c>
      <c r="C137" s="6"/>
      <c r="D137" s="8">
        <v>13</v>
      </c>
      <c r="E137" s="8">
        <v>2323520</v>
      </c>
      <c r="F137" s="8">
        <v>67</v>
      </c>
      <c r="G137" s="8">
        <v>11975065</v>
      </c>
      <c r="H137" s="8">
        <v>80</v>
      </c>
      <c r="I137" s="8">
        <v>14298585</v>
      </c>
      <c r="J137" s="8">
        <v>0</v>
      </c>
      <c r="K137" s="8">
        <v>0</v>
      </c>
    </row>
    <row r="138" spans="1:12" x14ac:dyDescent="0.2">
      <c r="A138" s="6" t="s">
        <v>146</v>
      </c>
      <c r="B138" s="6">
        <v>12</v>
      </c>
      <c r="C138" s="6"/>
      <c r="D138" s="8">
        <v>427</v>
      </c>
      <c r="E138" s="8">
        <v>83128984</v>
      </c>
      <c r="F138" s="8">
        <v>690</v>
      </c>
      <c r="G138" s="8">
        <v>132239190</v>
      </c>
      <c r="H138" s="8">
        <v>1002</v>
      </c>
      <c r="I138" s="8">
        <v>191147067</v>
      </c>
      <c r="J138" s="8">
        <v>115</v>
      </c>
      <c r="K138" s="8">
        <v>24221107</v>
      </c>
      <c r="L138" s="13">
        <f t="shared" si="1"/>
        <v>210618.32173913042</v>
      </c>
    </row>
    <row r="139" spans="1:12" x14ac:dyDescent="0.2">
      <c r="A139" s="6" t="s">
        <v>147</v>
      </c>
      <c r="B139" s="6">
        <v>12</v>
      </c>
      <c r="C139" s="6"/>
      <c r="D139" s="8">
        <v>888</v>
      </c>
      <c r="E139" s="8">
        <v>82354219</v>
      </c>
      <c r="F139" s="8">
        <v>100</v>
      </c>
      <c r="G139" s="8">
        <v>27752700</v>
      </c>
      <c r="H139" s="8">
        <v>644</v>
      </c>
      <c r="I139" s="8">
        <v>73819303</v>
      </c>
      <c r="J139" s="8">
        <v>344</v>
      </c>
      <c r="K139" s="8">
        <v>36287616</v>
      </c>
      <c r="L139" s="13">
        <f t="shared" si="1"/>
        <v>105487.25581395348</v>
      </c>
    </row>
    <row r="140" spans="1:12" x14ac:dyDescent="0.2">
      <c r="A140" s="6" t="s">
        <v>148</v>
      </c>
      <c r="B140" s="6">
        <v>12</v>
      </c>
      <c r="C140" s="6"/>
      <c r="D140" s="8">
        <v>0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</row>
    <row r="141" spans="1:12" x14ac:dyDescent="0.2">
      <c r="A141" s="6" t="s">
        <v>149</v>
      </c>
      <c r="B141" s="6">
        <v>12</v>
      </c>
      <c r="C141" s="6"/>
      <c r="D141" s="8">
        <v>1197</v>
      </c>
      <c r="E141" s="8">
        <v>228002752</v>
      </c>
      <c r="F141" s="8">
        <v>495</v>
      </c>
      <c r="G141" s="8">
        <v>94867245</v>
      </c>
      <c r="H141" s="8">
        <v>456</v>
      </c>
      <c r="I141" s="8">
        <v>87014609</v>
      </c>
      <c r="J141" s="8">
        <v>1236</v>
      </c>
      <c r="K141" s="8">
        <v>235855388</v>
      </c>
      <c r="L141" s="13">
        <f t="shared" ref="L141:L203" si="2">K141/J141</f>
        <v>190821.51132686084</v>
      </c>
    </row>
    <row r="142" spans="1:12" x14ac:dyDescent="0.2">
      <c r="A142" s="6" t="s">
        <v>150</v>
      </c>
      <c r="B142" s="6">
        <v>12</v>
      </c>
      <c r="C142" s="6"/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</row>
    <row r="143" spans="1:12" x14ac:dyDescent="0.2">
      <c r="A143" s="6" t="s">
        <v>151</v>
      </c>
      <c r="B143" s="6">
        <v>12</v>
      </c>
      <c r="C143" s="6"/>
      <c r="D143" s="8">
        <v>319</v>
      </c>
      <c r="E143" s="8">
        <v>60576489</v>
      </c>
      <c r="F143" s="8">
        <v>0</v>
      </c>
      <c r="G143" s="8">
        <v>0</v>
      </c>
      <c r="H143" s="8">
        <v>0</v>
      </c>
      <c r="I143" s="8">
        <v>0</v>
      </c>
      <c r="J143" s="8">
        <v>319</v>
      </c>
      <c r="K143" s="8">
        <v>60576489</v>
      </c>
      <c r="L143" s="13">
        <f t="shared" si="2"/>
        <v>189894.9498432602</v>
      </c>
    </row>
    <row r="144" spans="1:12" x14ac:dyDescent="0.2">
      <c r="A144" s="6" t="s">
        <v>152</v>
      </c>
      <c r="B144" s="6">
        <v>12</v>
      </c>
      <c r="C144" s="6"/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</row>
    <row r="145" spans="1:12" x14ac:dyDescent="0.2">
      <c r="A145" s="6" t="s">
        <v>153</v>
      </c>
      <c r="B145" s="6">
        <v>12</v>
      </c>
      <c r="C145" s="6"/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</row>
    <row r="146" spans="1:12" x14ac:dyDescent="0.2">
      <c r="A146" s="6" t="s">
        <v>154</v>
      </c>
      <c r="B146" s="6">
        <v>12</v>
      </c>
      <c r="C146" s="6"/>
      <c r="D146" s="8">
        <v>50</v>
      </c>
      <c r="E146" s="8">
        <v>11656130</v>
      </c>
      <c r="F146" s="8">
        <v>45</v>
      </c>
      <c r="G146" s="8">
        <v>10556505</v>
      </c>
      <c r="H146" s="8">
        <v>25</v>
      </c>
      <c r="I146" s="8">
        <v>5845430</v>
      </c>
      <c r="J146" s="8">
        <v>70</v>
      </c>
      <c r="K146" s="8">
        <v>16367205</v>
      </c>
      <c r="L146" s="13">
        <f t="shared" si="2"/>
        <v>233817.21428571429</v>
      </c>
    </row>
    <row r="147" spans="1:12" x14ac:dyDescent="0.2">
      <c r="A147" s="6" t="s">
        <v>155</v>
      </c>
      <c r="B147" s="6">
        <v>12</v>
      </c>
      <c r="C147" s="6"/>
      <c r="D147" s="8">
        <v>0</v>
      </c>
      <c r="E147" s="8">
        <v>0</v>
      </c>
      <c r="F147" s="8">
        <v>24</v>
      </c>
      <c r="G147" s="8">
        <v>6959131</v>
      </c>
      <c r="H147" s="8">
        <v>24</v>
      </c>
      <c r="I147" s="8">
        <v>6959131</v>
      </c>
      <c r="J147" s="8">
        <v>0</v>
      </c>
      <c r="K147" s="8">
        <v>0</v>
      </c>
    </row>
    <row r="148" spans="1:12" x14ac:dyDescent="0.2">
      <c r="A148" s="6" t="s">
        <v>156</v>
      </c>
      <c r="B148" s="6">
        <v>12</v>
      </c>
      <c r="C148" s="6"/>
      <c r="D148" s="8">
        <v>265</v>
      </c>
      <c r="E148" s="8">
        <v>51536190</v>
      </c>
      <c r="F148" s="8">
        <v>20</v>
      </c>
      <c r="G148" s="8">
        <v>4691780</v>
      </c>
      <c r="H148" s="8">
        <v>148</v>
      </c>
      <c r="I148" s="8">
        <v>29199086</v>
      </c>
      <c r="J148" s="8">
        <v>137</v>
      </c>
      <c r="K148" s="8">
        <v>27028884</v>
      </c>
      <c r="L148" s="13">
        <f t="shared" si="2"/>
        <v>197291.12408759125</v>
      </c>
    </row>
    <row r="149" spans="1:12" x14ac:dyDescent="0.2">
      <c r="A149" s="6" t="s">
        <v>157</v>
      </c>
      <c r="B149" s="6">
        <v>12</v>
      </c>
      <c r="C149" s="6"/>
      <c r="D149" s="8">
        <v>100</v>
      </c>
      <c r="E149" s="8">
        <v>23336700</v>
      </c>
      <c r="F149" s="8">
        <v>45</v>
      </c>
      <c r="G149" s="8">
        <v>10556505</v>
      </c>
      <c r="H149" s="8">
        <v>45</v>
      </c>
      <c r="I149" s="8">
        <v>10518581</v>
      </c>
      <c r="J149" s="8">
        <v>100</v>
      </c>
      <c r="K149" s="8">
        <v>23374624</v>
      </c>
      <c r="L149" s="13">
        <f t="shared" si="2"/>
        <v>233746.24</v>
      </c>
    </row>
    <row r="150" spans="1:12" x14ac:dyDescent="0.2">
      <c r="A150" s="6" t="s">
        <v>158</v>
      </c>
      <c r="B150" s="6">
        <v>12</v>
      </c>
      <c r="C150" s="6"/>
      <c r="D150" s="8">
        <v>0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</row>
    <row r="151" spans="1:12" x14ac:dyDescent="0.2">
      <c r="A151" s="6" t="s">
        <v>159</v>
      </c>
      <c r="B151" s="6">
        <v>12</v>
      </c>
      <c r="C151" s="6"/>
      <c r="D151" s="8">
        <v>81</v>
      </c>
      <c r="E151" s="8">
        <v>17829621</v>
      </c>
      <c r="F151" s="8">
        <v>0</v>
      </c>
      <c r="G151" s="8">
        <v>0</v>
      </c>
      <c r="H151" s="8">
        <v>22</v>
      </c>
      <c r="I151" s="8">
        <v>4842658</v>
      </c>
      <c r="J151" s="8">
        <v>59</v>
      </c>
      <c r="K151" s="8">
        <v>12986963</v>
      </c>
      <c r="L151" s="13">
        <f t="shared" si="2"/>
        <v>220118.01694915254</v>
      </c>
    </row>
    <row r="152" spans="1:12" x14ac:dyDescent="0.2">
      <c r="A152" s="6" t="s">
        <v>160</v>
      </c>
      <c r="B152" s="6">
        <v>12</v>
      </c>
      <c r="C152" s="6"/>
      <c r="D152" s="8">
        <v>46</v>
      </c>
      <c r="E152" s="8">
        <v>12161583</v>
      </c>
      <c r="F152" s="8">
        <v>0</v>
      </c>
      <c r="G152" s="8">
        <v>0</v>
      </c>
      <c r="H152" s="8">
        <v>42</v>
      </c>
      <c r="I152" s="8">
        <v>11093015</v>
      </c>
      <c r="J152" s="8">
        <v>4</v>
      </c>
      <c r="K152" s="8">
        <v>1068568</v>
      </c>
      <c r="L152" s="13">
        <f t="shared" si="2"/>
        <v>267142</v>
      </c>
    </row>
    <row r="153" spans="1:12" x14ac:dyDescent="0.2">
      <c r="A153" s="6" t="s">
        <v>161</v>
      </c>
      <c r="B153" s="6">
        <v>12</v>
      </c>
      <c r="C153" s="6"/>
      <c r="D153" s="8">
        <v>110</v>
      </c>
      <c r="E153" s="8">
        <v>25633710</v>
      </c>
      <c r="F153" s="8">
        <v>50</v>
      </c>
      <c r="G153" s="8">
        <v>11729450</v>
      </c>
      <c r="H153" s="8">
        <v>68</v>
      </c>
      <c r="I153" s="8">
        <v>11432029</v>
      </c>
      <c r="J153" s="8">
        <v>92</v>
      </c>
      <c r="K153" s="8">
        <v>25931131</v>
      </c>
      <c r="L153" s="13">
        <f t="shared" si="2"/>
        <v>281860.11956521741</v>
      </c>
    </row>
    <row r="154" spans="1:12" x14ac:dyDescent="0.2">
      <c r="A154" s="6" t="s">
        <v>162</v>
      </c>
      <c r="B154" s="6">
        <v>12</v>
      </c>
      <c r="C154" s="6"/>
      <c r="D154" s="8">
        <v>0</v>
      </c>
      <c r="E154" s="8">
        <v>0</v>
      </c>
      <c r="F154" s="8">
        <v>4</v>
      </c>
      <c r="G154" s="8">
        <v>1264364</v>
      </c>
      <c r="H154" s="8">
        <v>4</v>
      </c>
      <c r="I154" s="8">
        <v>1264364</v>
      </c>
      <c r="J154" s="8">
        <v>0</v>
      </c>
      <c r="K154" s="8">
        <v>0</v>
      </c>
    </row>
    <row r="155" spans="1:12" x14ac:dyDescent="0.2">
      <c r="A155" s="6" t="s">
        <v>163</v>
      </c>
      <c r="B155" s="6">
        <v>12</v>
      </c>
      <c r="C155" s="6"/>
      <c r="D155" s="8">
        <v>986</v>
      </c>
      <c r="E155" s="8">
        <v>312560997</v>
      </c>
      <c r="F155" s="8">
        <v>300</v>
      </c>
      <c r="G155" s="8">
        <v>95825400</v>
      </c>
      <c r="H155" s="8">
        <v>0</v>
      </c>
      <c r="I155" s="8">
        <v>0</v>
      </c>
      <c r="J155" s="8">
        <v>1286</v>
      </c>
      <c r="K155" s="8">
        <v>408386397</v>
      </c>
      <c r="L155" s="13">
        <f t="shared" si="2"/>
        <v>317563.29471228615</v>
      </c>
    </row>
    <row r="156" spans="1:12" x14ac:dyDescent="0.2">
      <c r="A156" s="6" t="s">
        <v>164</v>
      </c>
      <c r="B156" s="6">
        <v>12</v>
      </c>
      <c r="C156" s="6"/>
      <c r="D156" s="8">
        <v>0</v>
      </c>
      <c r="E156" s="8">
        <v>0</v>
      </c>
      <c r="F156" s="8">
        <v>92</v>
      </c>
      <c r="G156" s="8">
        <v>13264312</v>
      </c>
      <c r="H156" s="8">
        <v>92</v>
      </c>
      <c r="I156" s="8">
        <v>13264312</v>
      </c>
      <c r="J156" s="8">
        <v>0</v>
      </c>
      <c r="K156" s="8">
        <v>0</v>
      </c>
    </row>
    <row r="157" spans="1:12" x14ac:dyDescent="0.2">
      <c r="A157" s="6" t="s">
        <v>165</v>
      </c>
      <c r="B157" s="6">
        <v>12</v>
      </c>
      <c r="C157" s="6"/>
      <c r="D157" s="8">
        <v>100</v>
      </c>
      <c r="E157" s="8">
        <v>15396441</v>
      </c>
      <c r="F157" s="8">
        <v>0</v>
      </c>
      <c r="G157" s="8">
        <v>0</v>
      </c>
      <c r="H157" s="8">
        <v>6</v>
      </c>
      <c r="I157" s="8">
        <v>923786</v>
      </c>
      <c r="J157" s="8">
        <v>94</v>
      </c>
      <c r="K157" s="8">
        <v>14472655</v>
      </c>
      <c r="L157" s="13">
        <f t="shared" si="2"/>
        <v>153964.41489361701</v>
      </c>
    </row>
    <row r="158" spans="1:12" x14ac:dyDescent="0.2">
      <c r="A158" s="6" t="s">
        <v>166</v>
      </c>
      <c r="B158" s="6">
        <v>12</v>
      </c>
      <c r="C158" s="6"/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</row>
    <row r="159" spans="1:12" x14ac:dyDescent="0.2">
      <c r="A159" s="6" t="s">
        <v>167</v>
      </c>
      <c r="B159" s="6">
        <v>12</v>
      </c>
      <c r="C159" s="6"/>
      <c r="D159" s="8">
        <v>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</row>
    <row r="160" spans="1:12" x14ac:dyDescent="0.2">
      <c r="A160" s="6" t="s">
        <v>168</v>
      </c>
      <c r="B160" s="6">
        <v>12</v>
      </c>
      <c r="C160" s="6"/>
      <c r="D160" s="8">
        <v>436</v>
      </c>
      <c r="E160" s="8">
        <v>79778379</v>
      </c>
      <c r="F160" s="8">
        <v>150</v>
      </c>
      <c r="G160" s="8">
        <v>27648000</v>
      </c>
      <c r="H160" s="8">
        <v>503</v>
      </c>
      <c r="I160" s="8">
        <v>92210697</v>
      </c>
      <c r="J160" s="8">
        <v>83</v>
      </c>
      <c r="K160" s="8">
        <v>15215682</v>
      </c>
      <c r="L160" s="13">
        <f t="shared" si="2"/>
        <v>183321.46987951806</v>
      </c>
    </row>
    <row r="161" spans="1:12" x14ac:dyDescent="0.2">
      <c r="A161" s="6" t="s">
        <v>169</v>
      </c>
      <c r="B161" s="6">
        <v>12</v>
      </c>
      <c r="C161" s="6"/>
      <c r="D161" s="8">
        <v>856</v>
      </c>
      <c r="E161" s="8">
        <v>151588068</v>
      </c>
      <c r="F161" s="8">
        <v>0</v>
      </c>
      <c r="G161" s="8">
        <v>0</v>
      </c>
      <c r="H161" s="8">
        <v>186</v>
      </c>
      <c r="I161" s="8">
        <v>32938529</v>
      </c>
      <c r="J161" s="8">
        <v>670</v>
      </c>
      <c r="K161" s="8">
        <v>118649539</v>
      </c>
      <c r="L161" s="13">
        <f t="shared" si="2"/>
        <v>177088.86417910448</v>
      </c>
    </row>
    <row r="162" spans="1:12" x14ac:dyDescent="0.2">
      <c r="A162" s="6" t="s">
        <v>170</v>
      </c>
      <c r="B162" s="6">
        <v>12</v>
      </c>
      <c r="C162" s="6"/>
      <c r="D162" s="8">
        <v>164</v>
      </c>
      <c r="E162" s="8">
        <v>44675744</v>
      </c>
      <c r="F162" s="8">
        <v>175</v>
      </c>
      <c r="G162" s="8">
        <v>49157166</v>
      </c>
      <c r="H162" s="8">
        <v>339</v>
      </c>
      <c r="I162" s="8">
        <v>93832910</v>
      </c>
      <c r="J162" s="8">
        <v>0</v>
      </c>
      <c r="K162" s="8">
        <v>0</v>
      </c>
    </row>
    <row r="163" spans="1:12" x14ac:dyDescent="0.2">
      <c r="A163" s="6" t="s">
        <v>171</v>
      </c>
      <c r="B163" s="6">
        <v>12</v>
      </c>
      <c r="C163" s="6"/>
      <c r="D163" s="8">
        <v>0</v>
      </c>
      <c r="E163" s="8">
        <v>0</v>
      </c>
      <c r="F163" s="8">
        <v>30</v>
      </c>
      <c r="G163" s="8">
        <v>8280000</v>
      </c>
      <c r="H163" s="8">
        <v>30</v>
      </c>
      <c r="I163" s="8">
        <v>8280000</v>
      </c>
      <c r="J163" s="8">
        <v>0</v>
      </c>
      <c r="K163" s="8">
        <v>0</v>
      </c>
    </row>
    <row r="164" spans="1:12" x14ac:dyDescent="0.2">
      <c r="A164" s="6" t="s">
        <v>172</v>
      </c>
      <c r="B164" s="6">
        <v>12</v>
      </c>
      <c r="C164" s="6"/>
      <c r="D164" s="8">
        <v>459</v>
      </c>
      <c r="E164" s="8">
        <v>85500524</v>
      </c>
      <c r="F164" s="8">
        <v>30</v>
      </c>
      <c r="G164" s="8">
        <v>5655270</v>
      </c>
      <c r="H164" s="8">
        <v>0</v>
      </c>
      <c r="I164" s="8">
        <v>0</v>
      </c>
      <c r="J164" s="8">
        <v>489</v>
      </c>
      <c r="K164" s="8">
        <v>91155794</v>
      </c>
      <c r="L164" s="13">
        <f t="shared" si="2"/>
        <v>186412.66666666666</v>
      </c>
    </row>
    <row r="165" spans="1:12" x14ac:dyDescent="0.2">
      <c r="A165" s="6" t="s">
        <v>173</v>
      </c>
      <c r="B165" s="6">
        <v>12</v>
      </c>
      <c r="C165" s="6"/>
      <c r="D165" s="8">
        <v>484</v>
      </c>
      <c r="E165" s="8">
        <v>88893600</v>
      </c>
      <c r="F165" s="8">
        <v>25</v>
      </c>
      <c r="G165" s="8">
        <v>4712725</v>
      </c>
      <c r="H165" s="8">
        <v>0</v>
      </c>
      <c r="I165" s="8">
        <v>0</v>
      </c>
      <c r="J165" s="8">
        <v>509</v>
      </c>
      <c r="K165" s="8">
        <v>93606325</v>
      </c>
      <c r="L165" s="13">
        <f t="shared" si="2"/>
        <v>183902.40667976424</v>
      </c>
    </row>
    <row r="166" spans="1:12" x14ac:dyDescent="0.2">
      <c r="A166" s="6" t="s">
        <v>174</v>
      </c>
      <c r="B166" s="6">
        <v>12</v>
      </c>
      <c r="C166" s="6"/>
      <c r="D166" s="8">
        <v>5</v>
      </c>
      <c r="E166" s="8">
        <v>1372892</v>
      </c>
      <c r="F166" s="8">
        <v>0</v>
      </c>
      <c r="G166" s="8">
        <v>0</v>
      </c>
      <c r="H166" s="8">
        <v>0</v>
      </c>
      <c r="I166" s="8">
        <v>0</v>
      </c>
      <c r="J166" s="8">
        <v>5</v>
      </c>
      <c r="K166" s="8">
        <v>1372892</v>
      </c>
      <c r="L166" s="13">
        <f t="shared" si="2"/>
        <v>274578.40000000002</v>
      </c>
    </row>
    <row r="167" spans="1:12" x14ac:dyDescent="0.2">
      <c r="A167" s="6" t="s">
        <v>175</v>
      </c>
      <c r="B167" s="6">
        <v>12</v>
      </c>
      <c r="C167" s="6"/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</row>
    <row r="168" spans="1:12" x14ac:dyDescent="0.2">
      <c r="A168" s="6" t="s">
        <v>176</v>
      </c>
      <c r="B168" s="6">
        <v>12</v>
      </c>
      <c r="C168" s="6"/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</row>
    <row r="169" spans="1:12" x14ac:dyDescent="0.2">
      <c r="A169" s="6" t="s">
        <v>177</v>
      </c>
      <c r="B169" s="6">
        <v>12</v>
      </c>
      <c r="C169" s="6"/>
      <c r="D169" s="8">
        <v>1</v>
      </c>
      <c r="E169" s="8">
        <v>537037</v>
      </c>
      <c r="F169" s="8">
        <v>0</v>
      </c>
      <c r="G169" s="8">
        <v>0</v>
      </c>
      <c r="H169" s="8">
        <v>0</v>
      </c>
      <c r="I169" s="8">
        <v>0</v>
      </c>
      <c r="J169" s="8">
        <v>1</v>
      </c>
      <c r="K169" s="8">
        <v>537037</v>
      </c>
      <c r="L169" s="13">
        <f t="shared" si="2"/>
        <v>537037</v>
      </c>
    </row>
    <row r="170" spans="1:12" x14ac:dyDescent="0.2">
      <c r="A170" s="6" t="s">
        <v>178</v>
      </c>
      <c r="B170" s="6">
        <v>12</v>
      </c>
      <c r="C170" s="6"/>
      <c r="D170" s="8">
        <v>144</v>
      </c>
      <c r="E170" s="8">
        <v>8408880</v>
      </c>
      <c r="F170" s="8">
        <v>576</v>
      </c>
      <c r="G170" s="8">
        <v>28791120</v>
      </c>
      <c r="H170" s="8">
        <v>0</v>
      </c>
      <c r="I170" s="8">
        <v>0</v>
      </c>
      <c r="J170" s="8">
        <v>720</v>
      </c>
      <c r="K170" s="8">
        <v>37200000</v>
      </c>
      <c r="L170" s="13">
        <f t="shared" si="2"/>
        <v>51666.666666666664</v>
      </c>
    </row>
    <row r="171" spans="1:12" x14ac:dyDescent="0.2">
      <c r="A171" s="6" t="s">
        <v>179</v>
      </c>
      <c r="B171" s="6">
        <v>12</v>
      </c>
      <c r="C171" s="6"/>
      <c r="D171" s="8">
        <v>24797</v>
      </c>
      <c r="E171" s="8">
        <v>127113973</v>
      </c>
      <c r="F171" s="8">
        <v>15719</v>
      </c>
      <c r="G171" s="8">
        <v>82006560</v>
      </c>
      <c r="H171" s="8">
        <v>14442</v>
      </c>
      <c r="I171" s="8">
        <v>74541385</v>
      </c>
      <c r="J171" s="8">
        <v>26074</v>
      </c>
      <c r="K171" s="8">
        <v>134579148</v>
      </c>
      <c r="L171" s="13">
        <f t="shared" si="2"/>
        <v>5161.4308506558255</v>
      </c>
    </row>
    <row r="172" spans="1:12" x14ac:dyDescent="0.2">
      <c r="A172" s="6" t="s">
        <v>180</v>
      </c>
      <c r="B172" s="6">
        <v>12</v>
      </c>
      <c r="C172" s="6"/>
      <c r="D172" s="8">
        <v>1056</v>
      </c>
      <c r="E172" s="8">
        <v>82980480</v>
      </c>
      <c r="F172" s="8">
        <v>360</v>
      </c>
      <c r="G172" s="8">
        <v>27106680</v>
      </c>
      <c r="H172" s="8">
        <v>1416</v>
      </c>
      <c r="I172" s="8">
        <v>110087160</v>
      </c>
      <c r="J172" s="8">
        <v>0</v>
      </c>
      <c r="K172" s="8">
        <v>0</v>
      </c>
    </row>
    <row r="173" spans="1:12" x14ac:dyDescent="0.2">
      <c r="A173" s="6" t="s">
        <v>181</v>
      </c>
      <c r="B173" s="6">
        <v>12</v>
      </c>
      <c r="C173" s="6"/>
      <c r="D173" s="8">
        <v>432</v>
      </c>
      <c r="E173" s="8">
        <v>22188108</v>
      </c>
      <c r="F173" s="8">
        <v>375</v>
      </c>
      <c r="G173" s="8">
        <v>19270875</v>
      </c>
      <c r="H173" s="8">
        <v>501</v>
      </c>
      <c r="I173" s="8">
        <v>25738476</v>
      </c>
      <c r="J173" s="8">
        <v>306</v>
      </c>
      <c r="K173" s="8">
        <v>15720507</v>
      </c>
      <c r="L173" s="13">
        <f t="shared" si="2"/>
        <v>51374.205882352944</v>
      </c>
    </row>
    <row r="174" spans="1:12" x14ac:dyDescent="0.2">
      <c r="A174" s="6" t="s">
        <v>182</v>
      </c>
      <c r="B174" s="6">
        <v>12</v>
      </c>
      <c r="C174" s="6"/>
      <c r="D174" s="8">
        <v>0</v>
      </c>
      <c r="E174" s="8">
        <v>0</v>
      </c>
      <c r="F174" s="8">
        <v>180</v>
      </c>
      <c r="G174" s="8">
        <v>11127420</v>
      </c>
      <c r="H174" s="8">
        <v>180</v>
      </c>
      <c r="I174" s="8">
        <v>11127420</v>
      </c>
      <c r="J174" s="8">
        <v>0</v>
      </c>
      <c r="K174" s="8">
        <v>0</v>
      </c>
    </row>
    <row r="175" spans="1:12" x14ac:dyDescent="0.2">
      <c r="A175" s="6" t="s">
        <v>183</v>
      </c>
      <c r="B175" s="6">
        <v>12</v>
      </c>
      <c r="C175" s="6"/>
      <c r="D175" s="8">
        <v>2751</v>
      </c>
      <c r="E175" s="8">
        <v>148297433</v>
      </c>
      <c r="F175" s="8">
        <v>306</v>
      </c>
      <c r="G175" s="8">
        <v>16321556</v>
      </c>
      <c r="H175" s="8">
        <v>255</v>
      </c>
      <c r="I175" s="8">
        <v>13731712</v>
      </c>
      <c r="J175" s="8">
        <v>2802</v>
      </c>
      <c r="K175" s="8">
        <v>150887277</v>
      </c>
      <c r="L175" s="13">
        <f t="shared" si="2"/>
        <v>53849.849036402571</v>
      </c>
    </row>
    <row r="176" spans="1:12" x14ac:dyDescent="0.2">
      <c r="A176" s="6" t="s">
        <v>184</v>
      </c>
      <c r="B176" s="6">
        <v>12</v>
      </c>
      <c r="C176" s="6"/>
      <c r="D176" s="8">
        <v>2074</v>
      </c>
      <c r="E176" s="8">
        <v>111994520</v>
      </c>
      <c r="F176" s="8">
        <v>408</v>
      </c>
      <c r="G176" s="8">
        <v>21762074</v>
      </c>
      <c r="H176" s="8">
        <v>885</v>
      </c>
      <c r="I176" s="8">
        <v>47693225</v>
      </c>
      <c r="J176" s="8">
        <v>1597</v>
      </c>
      <c r="K176" s="8">
        <v>86063369</v>
      </c>
      <c r="L176" s="13">
        <f t="shared" si="2"/>
        <v>53890.650594865372</v>
      </c>
    </row>
    <row r="177" spans="1:14" x14ac:dyDescent="0.2">
      <c r="A177" s="6" t="s">
        <v>185</v>
      </c>
      <c r="B177" s="6">
        <v>12</v>
      </c>
      <c r="C177" s="6"/>
      <c r="D177" s="8">
        <v>770</v>
      </c>
      <c r="E177" s="8">
        <v>141860096</v>
      </c>
      <c r="F177" s="8">
        <v>400</v>
      </c>
      <c r="G177" s="8">
        <v>72675000</v>
      </c>
      <c r="H177" s="8">
        <v>245</v>
      </c>
      <c r="I177" s="8">
        <v>44862468</v>
      </c>
      <c r="J177" s="8">
        <v>925</v>
      </c>
      <c r="K177" s="8">
        <v>169672628</v>
      </c>
      <c r="L177" s="13">
        <f t="shared" si="2"/>
        <v>183429.86810810812</v>
      </c>
    </row>
    <row r="178" spans="1:14" x14ac:dyDescent="0.2">
      <c r="A178" s="6" t="s">
        <v>186</v>
      </c>
      <c r="B178" s="6">
        <v>12</v>
      </c>
      <c r="C178" s="6"/>
      <c r="D178" s="8">
        <v>1555</v>
      </c>
      <c r="E178" s="8">
        <v>69495853</v>
      </c>
      <c r="F178" s="8">
        <v>3000</v>
      </c>
      <c r="G178" s="8">
        <v>139764792</v>
      </c>
      <c r="H178" s="8">
        <v>160</v>
      </c>
      <c r="I178" s="8">
        <v>6778913</v>
      </c>
      <c r="J178" s="8">
        <v>4395</v>
      </c>
      <c r="K178" s="8">
        <v>202481732</v>
      </c>
      <c r="L178" s="13">
        <f t="shared" si="2"/>
        <v>46070.928782707619</v>
      </c>
    </row>
    <row r="179" spans="1:14" x14ac:dyDescent="0.2">
      <c r="A179" s="6" t="s">
        <v>187</v>
      </c>
      <c r="B179" s="6">
        <v>12</v>
      </c>
      <c r="C179" s="6"/>
      <c r="D179" s="8">
        <v>973</v>
      </c>
      <c r="E179" s="8">
        <v>34563746</v>
      </c>
      <c r="F179" s="8">
        <v>0</v>
      </c>
      <c r="G179" s="8">
        <v>0</v>
      </c>
      <c r="H179" s="8">
        <v>130</v>
      </c>
      <c r="I179" s="8">
        <v>4689892</v>
      </c>
      <c r="J179" s="8">
        <v>843</v>
      </c>
      <c r="K179" s="8">
        <v>29873854</v>
      </c>
      <c r="L179" s="13">
        <f t="shared" si="2"/>
        <v>35437.549228944248</v>
      </c>
    </row>
    <row r="180" spans="1:14" x14ac:dyDescent="0.2">
      <c r="A180" s="6" t="s">
        <v>188</v>
      </c>
      <c r="B180" s="6">
        <v>12</v>
      </c>
      <c r="C180" s="6"/>
      <c r="D180" s="8">
        <v>7616</v>
      </c>
      <c r="E180" s="8">
        <v>1284172909</v>
      </c>
      <c r="F180" s="8">
        <v>4500</v>
      </c>
      <c r="G180" s="8">
        <v>816216250</v>
      </c>
      <c r="H180" s="8">
        <v>3709</v>
      </c>
      <c r="I180" s="8">
        <v>754127000</v>
      </c>
      <c r="J180" s="8">
        <v>8407</v>
      </c>
      <c r="K180" s="8">
        <v>1346262159</v>
      </c>
      <c r="L180" s="13">
        <f t="shared" si="2"/>
        <v>160135.85809444511</v>
      </c>
    </row>
    <row r="181" spans="1:14" x14ac:dyDescent="0.2">
      <c r="A181" s="6" t="s">
        <v>189</v>
      </c>
      <c r="B181" s="6">
        <v>12</v>
      </c>
      <c r="C181" s="6"/>
      <c r="D181" s="8">
        <v>690</v>
      </c>
      <c r="E181" s="8">
        <v>30148907</v>
      </c>
      <c r="F181" s="8">
        <v>0</v>
      </c>
      <c r="G181" s="8">
        <v>0</v>
      </c>
      <c r="H181" s="8">
        <v>135</v>
      </c>
      <c r="I181" s="8">
        <v>5958168</v>
      </c>
      <c r="J181" s="8">
        <v>555</v>
      </c>
      <c r="K181" s="8">
        <v>24190739</v>
      </c>
      <c r="L181" s="13">
        <f t="shared" si="2"/>
        <v>43586.917117117118</v>
      </c>
    </row>
    <row r="182" spans="1:14" x14ac:dyDescent="0.2">
      <c r="A182" s="6" t="s">
        <v>190</v>
      </c>
      <c r="B182" s="6">
        <v>12</v>
      </c>
      <c r="C182" s="6"/>
      <c r="D182" s="8">
        <v>11502</v>
      </c>
      <c r="E182" s="8">
        <v>332240556</v>
      </c>
      <c r="F182" s="8">
        <v>3150</v>
      </c>
      <c r="G182" s="8">
        <v>90972000</v>
      </c>
      <c r="H182" s="8">
        <v>9915</v>
      </c>
      <c r="I182" s="8">
        <v>286291540</v>
      </c>
      <c r="J182" s="8">
        <v>4737</v>
      </c>
      <c r="K182" s="8">
        <v>136921016</v>
      </c>
      <c r="L182" s="13">
        <f t="shared" si="2"/>
        <v>28904.584336077685</v>
      </c>
    </row>
    <row r="183" spans="1:14" x14ac:dyDescent="0.2">
      <c r="A183" s="6" t="s">
        <v>191</v>
      </c>
      <c r="B183" s="6">
        <v>12</v>
      </c>
      <c r="C183" s="6"/>
      <c r="D183" s="8">
        <v>15969</v>
      </c>
      <c r="E183" s="8">
        <v>459112502</v>
      </c>
      <c r="F183" s="8">
        <v>65615</v>
      </c>
      <c r="G183" s="8">
        <v>1833319500</v>
      </c>
      <c r="H183" s="8">
        <v>34869</v>
      </c>
      <c r="I183" s="8">
        <v>1123236500</v>
      </c>
      <c r="J183" s="8">
        <v>46715</v>
      </c>
      <c r="K183" s="8">
        <v>1169195502</v>
      </c>
      <c r="L183" s="13">
        <f t="shared" si="2"/>
        <v>25028.267194691212</v>
      </c>
    </row>
    <row r="184" spans="1:14" x14ac:dyDescent="0.2">
      <c r="A184" s="6" t="s">
        <v>192</v>
      </c>
      <c r="B184" s="6">
        <v>12</v>
      </c>
      <c r="C184" s="6"/>
      <c r="D184" s="8">
        <v>10975</v>
      </c>
      <c r="E184" s="8">
        <v>79007874</v>
      </c>
      <c r="F184" s="8">
        <v>0</v>
      </c>
      <c r="G184" s="8">
        <v>0</v>
      </c>
      <c r="H184" s="8">
        <v>4640</v>
      </c>
      <c r="I184" s="8">
        <v>33402873</v>
      </c>
      <c r="J184" s="8">
        <v>6335</v>
      </c>
      <c r="K184" s="8">
        <v>45605001</v>
      </c>
      <c r="L184" s="13">
        <f t="shared" si="2"/>
        <v>7198.8951854775059</v>
      </c>
    </row>
    <row r="185" spans="1:14" x14ac:dyDescent="0.2">
      <c r="A185" s="6" t="s">
        <v>193</v>
      </c>
      <c r="B185" s="6">
        <v>12</v>
      </c>
      <c r="C185" s="6"/>
      <c r="D185" s="8">
        <v>0</v>
      </c>
      <c r="E185" s="8">
        <v>0</v>
      </c>
      <c r="F185" s="8">
        <v>250</v>
      </c>
      <c r="G185" s="8">
        <v>53642625</v>
      </c>
      <c r="H185" s="8">
        <v>0</v>
      </c>
      <c r="I185" s="8">
        <v>0</v>
      </c>
      <c r="J185" s="8">
        <v>250</v>
      </c>
      <c r="K185" s="8">
        <v>53642625</v>
      </c>
      <c r="L185" s="13">
        <f t="shared" si="2"/>
        <v>214570.5</v>
      </c>
    </row>
    <row r="186" spans="1:14" x14ac:dyDescent="0.2">
      <c r="A186" s="6" t="s">
        <v>194</v>
      </c>
      <c r="B186" s="6">
        <v>12</v>
      </c>
      <c r="C186" s="6"/>
      <c r="D186" s="8">
        <v>131535</v>
      </c>
      <c r="E186" s="8">
        <v>626836099</v>
      </c>
      <c r="F186" s="8">
        <v>273861</v>
      </c>
      <c r="G186" s="8">
        <v>1931160000</v>
      </c>
      <c r="H186" s="8">
        <v>162030</v>
      </c>
      <c r="I186" s="8">
        <v>1303281000</v>
      </c>
      <c r="J186" s="8">
        <v>243366</v>
      </c>
      <c r="K186" s="8">
        <v>1254715099</v>
      </c>
      <c r="L186" s="13">
        <f t="shared" si="2"/>
        <v>5155.6712893337608</v>
      </c>
    </row>
    <row r="187" spans="1:14" x14ac:dyDescent="0.2">
      <c r="A187" s="6" t="s">
        <v>195</v>
      </c>
      <c r="B187" s="6">
        <v>12</v>
      </c>
      <c r="C187" s="6"/>
      <c r="D187" s="8">
        <v>0</v>
      </c>
      <c r="E187" s="8">
        <v>0</v>
      </c>
      <c r="F187" s="8">
        <v>11200</v>
      </c>
      <c r="G187" s="8">
        <v>2411276207</v>
      </c>
      <c r="H187" s="8">
        <v>1395</v>
      </c>
      <c r="I187" s="8">
        <v>303268263</v>
      </c>
      <c r="J187" s="8">
        <v>9805</v>
      </c>
      <c r="K187" s="8">
        <v>2108007944</v>
      </c>
      <c r="L187" s="13">
        <f t="shared" si="2"/>
        <v>214993.16104028557</v>
      </c>
    </row>
    <row r="188" spans="1:14" x14ac:dyDescent="0.2">
      <c r="A188" s="6" t="s">
        <v>196</v>
      </c>
      <c r="B188" s="6">
        <v>12</v>
      </c>
      <c r="C188" s="6"/>
      <c r="D188" s="8">
        <v>0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</row>
    <row r="189" spans="1:14" x14ac:dyDescent="0.2">
      <c r="A189" s="6" t="s">
        <v>197</v>
      </c>
      <c r="B189" s="6">
        <v>12</v>
      </c>
      <c r="C189" s="6"/>
      <c r="D189" s="8">
        <v>1170</v>
      </c>
      <c r="E189" s="8">
        <v>8433374</v>
      </c>
      <c r="F189" s="8">
        <v>0</v>
      </c>
      <c r="G189" s="8">
        <v>0</v>
      </c>
      <c r="H189" s="8">
        <v>20</v>
      </c>
      <c r="I189" s="8">
        <v>144160</v>
      </c>
      <c r="J189" s="8">
        <v>1150</v>
      </c>
      <c r="K189" s="8">
        <v>8289214</v>
      </c>
      <c r="L189" s="13">
        <f t="shared" si="2"/>
        <v>7208.0121739130436</v>
      </c>
    </row>
    <row r="190" spans="1:14" x14ac:dyDescent="0.2">
      <c r="A190" s="6" t="s">
        <v>198</v>
      </c>
      <c r="B190" s="6">
        <v>12</v>
      </c>
      <c r="C190" s="6"/>
      <c r="D190" s="8">
        <v>0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</row>
    <row r="191" spans="1:14" x14ac:dyDescent="0.2">
      <c r="A191" s="6" t="s">
        <v>199</v>
      </c>
      <c r="B191" s="6">
        <v>12</v>
      </c>
      <c r="C191" s="6"/>
      <c r="D191" s="8">
        <v>77684</v>
      </c>
      <c r="E191" s="8">
        <v>588888</v>
      </c>
      <c r="F191" s="8">
        <v>24</v>
      </c>
      <c r="G191" s="8">
        <v>588888</v>
      </c>
      <c r="H191" s="8">
        <v>0</v>
      </c>
      <c r="I191" s="8">
        <v>0</v>
      </c>
      <c r="J191" s="8">
        <v>77708</v>
      </c>
      <c r="K191" s="8">
        <v>1177776</v>
      </c>
      <c r="L191" s="13">
        <f t="shared" si="2"/>
        <v>15.15643177021671</v>
      </c>
      <c r="M191" s="23"/>
      <c r="N191" s="16"/>
    </row>
    <row r="192" spans="1:14" x14ac:dyDescent="0.2">
      <c r="A192" s="6" t="s">
        <v>200</v>
      </c>
      <c r="B192" s="6">
        <v>12</v>
      </c>
      <c r="C192" s="6"/>
      <c r="D192" s="8">
        <v>144</v>
      </c>
      <c r="E192" s="8">
        <v>1037304</v>
      </c>
      <c r="F192" s="8">
        <v>0</v>
      </c>
      <c r="G192" s="8">
        <v>0</v>
      </c>
      <c r="H192" s="8">
        <v>0</v>
      </c>
      <c r="I192" s="8">
        <v>0</v>
      </c>
      <c r="J192" s="8">
        <v>144</v>
      </c>
      <c r="K192" s="8">
        <v>1037304</v>
      </c>
      <c r="L192" s="13">
        <f t="shared" si="2"/>
        <v>7203.5</v>
      </c>
    </row>
    <row r="193" spans="1:17" s="12" customFormat="1" x14ac:dyDescent="0.2">
      <c r="A193" s="10" t="s">
        <v>201</v>
      </c>
      <c r="B193" s="10">
        <v>12</v>
      </c>
      <c r="C193" s="10"/>
      <c r="D193" s="11">
        <v>1080</v>
      </c>
      <c r="E193" s="11">
        <v>18601167</v>
      </c>
      <c r="F193" s="11">
        <v>210</v>
      </c>
      <c r="G193" s="11">
        <v>4375050</v>
      </c>
      <c r="H193" s="11">
        <v>720</v>
      </c>
      <c r="I193" s="11">
        <v>11396768</v>
      </c>
      <c r="J193" s="11">
        <f>D193+F193-H193</f>
        <v>570</v>
      </c>
      <c r="K193" s="11">
        <f>E193+G193-I193</f>
        <v>11579449</v>
      </c>
      <c r="L193" s="13">
        <f t="shared" si="2"/>
        <v>20314.822807017543</v>
      </c>
      <c r="M193" s="15"/>
      <c r="N193" s="14"/>
      <c r="O193" s="14"/>
      <c r="P193" s="14"/>
      <c r="Q193" s="14"/>
    </row>
    <row r="194" spans="1:17" x14ac:dyDescent="0.2">
      <c r="A194" s="6" t="s">
        <v>202</v>
      </c>
      <c r="B194" s="6">
        <v>12</v>
      </c>
      <c r="C194" s="6"/>
      <c r="D194" s="8">
        <v>0</v>
      </c>
      <c r="E194" s="8">
        <v>0</v>
      </c>
      <c r="F194" s="8">
        <v>72</v>
      </c>
      <c r="G194" s="8">
        <v>1857744</v>
      </c>
      <c r="H194" s="8">
        <v>0</v>
      </c>
      <c r="I194" s="8">
        <v>0</v>
      </c>
      <c r="J194" s="8">
        <v>72</v>
      </c>
      <c r="K194" s="8">
        <v>1857744</v>
      </c>
      <c r="L194" s="13">
        <f t="shared" si="2"/>
        <v>25802</v>
      </c>
    </row>
    <row r="195" spans="1:17" x14ac:dyDescent="0.2">
      <c r="A195" s="6" t="s">
        <v>203</v>
      </c>
      <c r="B195" s="6">
        <v>12</v>
      </c>
      <c r="C195" s="6"/>
      <c r="D195" s="8">
        <v>5208</v>
      </c>
      <c r="E195" s="8">
        <v>58948499</v>
      </c>
      <c r="F195" s="8">
        <v>360</v>
      </c>
      <c r="G195" s="8">
        <v>4225320</v>
      </c>
      <c r="H195" s="8">
        <v>4650</v>
      </c>
      <c r="I195" s="8">
        <v>52758308</v>
      </c>
      <c r="J195" s="8">
        <v>918</v>
      </c>
      <c r="K195" s="8">
        <v>10415511</v>
      </c>
      <c r="L195" s="13">
        <f t="shared" si="2"/>
        <v>11345.872549019608</v>
      </c>
    </row>
    <row r="196" spans="1:17" x14ac:dyDescent="0.2">
      <c r="A196" s="6" t="s">
        <v>204</v>
      </c>
      <c r="B196" s="6">
        <v>12</v>
      </c>
      <c r="C196" s="6"/>
      <c r="D196" s="8">
        <v>12491</v>
      </c>
      <c r="E196" s="8">
        <v>384147850</v>
      </c>
      <c r="F196" s="8">
        <v>914</v>
      </c>
      <c r="G196" s="8">
        <v>0</v>
      </c>
      <c r="H196" s="8">
        <v>4948</v>
      </c>
      <c r="I196" s="8">
        <v>160810000</v>
      </c>
      <c r="J196" s="8">
        <v>8457</v>
      </c>
      <c r="K196" s="8">
        <v>223337850</v>
      </c>
      <c r="L196" s="13">
        <f t="shared" si="2"/>
        <v>26408.637814827955</v>
      </c>
    </row>
    <row r="197" spans="1:17" x14ac:dyDescent="0.2">
      <c r="A197" s="6" t="s">
        <v>205</v>
      </c>
      <c r="B197" s="6">
        <v>12</v>
      </c>
      <c r="C197" s="6"/>
      <c r="D197" s="8">
        <v>820</v>
      </c>
      <c r="E197" s="8">
        <v>49022428</v>
      </c>
      <c r="F197" s="8">
        <v>0</v>
      </c>
      <c r="G197" s="8">
        <v>0</v>
      </c>
      <c r="H197" s="8">
        <v>630</v>
      </c>
      <c r="I197" s="8">
        <v>37663574</v>
      </c>
      <c r="J197" s="8">
        <v>190</v>
      </c>
      <c r="K197" s="8">
        <v>11358854</v>
      </c>
      <c r="L197" s="13">
        <f t="shared" si="2"/>
        <v>59783.442105263159</v>
      </c>
    </row>
    <row r="198" spans="1:17" x14ac:dyDescent="0.2">
      <c r="A198" s="6" t="s">
        <v>206</v>
      </c>
      <c r="B198" s="6">
        <v>12</v>
      </c>
      <c r="C198" s="6"/>
      <c r="D198" s="8">
        <v>814</v>
      </c>
      <c r="E198" s="8">
        <v>26110276</v>
      </c>
      <c r="F198" s="8">
        <v>192</v>
      </c>
      <c r="G198" s="8">
        <v>6309812</v>
      </c>
      <c r="H198" s="8">
        <v>646</v>
      </c>
      <c r="I198" s="8">
        <v>20818466</v>
      </c>
      <c r="J198" s="8">
        <v>360</v>
      </c>
      <c r="K198" s="8">
        <v>11601622</v>
      </c>
      <c r="L198" s="13">
        <f t="shared" si="2"/>
        <v>32226.727777777778</v>
      </c>
    </row>
    <row r="199" spans="1:17" x14ac:dyDescent="0.2">
      <c r="A199" s="6" t="s">
        <v>207</v>
      </c>
      <c r="B199" s="6">
        <v>12</v>
      </c>
      <c r="C199" s="6"/>
      <c r="D199" s="8">
        <v>1728</v>
      </c>
      <c r="E199" s="8">
        <v>3454644</v>
      </c>
      <c r="F199" s="8">
        <v>936</v>
      </c>
      <c r="G199" s="8">
        <v>0</v>
      </c>
      <c r="H199" s="8">
        <v>30</v>
      </c>
      <c r="I199" s="8">
        <v>38904</v>
      </c>
      <c r="J199" s="8">
        <v>2634</v>
      </c>
      <c r="K199" s="8">
        <v>3415740</v>
      </c>
      <c r="L199" s="13">
        <f t="shared" si="2"/>
        <v>1296.7881548974942</v>
      </c>
    </row>
    <row r="200" spans="1:17" x14ac:dyDescent="0.2">
      <c r="A200" s="6" t="s">
        <v>208</v>
      </c>
      <c r="B200" s="6">
        <v>12</v>
      </c>
      <c r="C200" s="6"/>
      <c r="D200" s="8">
        <v>13</v>
      </c>
      <c r="E200" s="8">
        <v>107765</v>
      </c>
      <c r="F200" s="8">
        <v>432</v>
      </c>
      <c r="G200" s="8">
        <v>4525632</v>
      </c>
      <c r="H200" s="8">
        <v>240</v>
      </c>
      <c r="I200" s="8">
        <v>2498911</v>
      </c>
      <c r="J200" s="8">
        <v>205</v>
      </c>
      <c r="K200" s="8">
        <v>2134486</v>
      </c>
      <c r="L200" s="13">
        <f t="shared" si="2"/>
        <v>10412.126829268293</v>
      </c>
    </row>
    <row r="201" spans="1:17" x14ac:dyDescent="0.2">
      <c r="A201" s="6" t="s">
        <v>209</v>
      </c>
      <c r="B201" s="6">
        <v>12</v>
      </c>
      <c r="C201" s="6"/>
      <c r="D201" s="8">
        <v>60</v>
      </c>
      <c r="E201" s="8">
        <v>3504600</v>
      </c>
      <c r="F201" s="8">
        <v>36</v>
      </c>
      <c r="G201" s="8">
        <v>2102760</v>
      </c>
      <c r="H201" s="8">
        <v>20</v>
      </c>
      <c r="I201" s="8">
        <v>1168200</v>
      </c>
      <c r="J201" s="8">
        <v>76</v>
      </c>
      <c r="K201" s="8">
        <v>4439160</v>
      </c>
      <c r="L201" s="13">
        <f t="shared" si="2"/>
        <v>58410</v>
      </c>
    </row>
    <row r="202" spans="1:17" x14ac:dyDescent="0.2">
      <c r="A202" s="6" t="s">
        <v>210</v>
      </c>
      <c r="B202" s="6">
        <v>12</v>
      </c>
      <c r="C202" s="6"/>
      <c r="D202" s="8">
        <v>625</v>
      </c>
      <c r="E202" s="8">
        <v>6930861</v>
      </c>
      <c r="F202" s="8">
        <v>0</v>
      </c>
      <c r="G202" s="8">
        <v>0</v>
      </c>
      <c r="H202" s="8">
        <v>0</v>
      </c>
      <c r="I202" s="8">
        <v>0</v>
      </c>
      <c r="J202" s="8">
        <v>625</v>
      </c>
      <c r="K202" s="8">
        <v>6930861</v>
      </c>
      <c r="L202" s="13">
        <f t="shared" si="2"/>
        <v>11089.3776</v>
      </c>
    </row>
    <row r="203" spans="1:17" x14ac:dyDescent="0.2">
      <c r="A203" s="6" t="s">
        <v>211</v>
      </c>
      <c r="B203" s="6">
        <v>12</v>
      </c>
      <c r="C203" s="6"/>
      <c r="D203" s="8">
        <v>0</v>
      </c>
      <c r="E203" s="8">
        <v>0</v>
      </c>
      <c r="F203" s="8">
        <v>144</v>
      </c>
      <c r="G203" s="8">
        <v>2133360</v>
      </c>
      <c r="H203" s="8">
        <v>0</v>
      </c>
      <c r="I203" s="8">
        <v>0</v>
      </c>
      <c r="J203" s="8">
        <v>144</v>
      </c>
      <c r="K203" s="8">
        <v>2133360</v>
      </c>
      <c r="L203" s="13">
        <f t="shared" si="2"/>
        <v>14815</v>
      </c>
    </row>
    <row r="204" spans="1:17" x14ac:dyDescent="0.2">
      <c r="A204" s="6" t="s">
        <v>212</v>
      </c>
      <c r="B204" s="6">
        <v>12</v>
      </c>
      <c r="C204" s="6"/>
      <c r="D204" s="8">
        <v>33249</v>
      </c>
      <c r="E204" s="8">
        <v>411726334</v>
      </c>
      <c r="F204" s="8">
        <v>6084</v>
      </c>
      <c r="G204" s="8">
        <v>40227840</v>
      </c>
      <c r="H204" s="8">
        <v>18586</v>
      </c>
      <c r="I204" s="8">
        <v>234183600</v>
      </c>
      <c r="J204" s="8">
        <v>20747</v>
      </c>
      <c r="K204" s="8">
        <v>217770574</v>
      </c>
      <c r="L204" s="13">
        <f t="shared" ref="L204:L266" si="3">K204/J204</f>
        <v>10496.484985781077</v>
      </c>
    </row>
    <row r="205" spans="1:17" x14ac:dyDescent="0.2">
      <c r="A205" s="6" t="s">
        <v>213</v>
      </c>
      <c r="B205" s="6">
        <v>12</v>
      </c>
      <c r="C205" s="6"/>
      <c r="D205" s="8">
        <v>3820</v>
      </c>
      <c r="E205" s="8">
        <v>76529330</v>
      </c>
      <c r="F205" s="8">
        <v>0</v>
      </c>
      <c r="G205" s="8">
        <v>0</v>
      </c>
      <c r="H205" s="8">
        <v>2346</v>
      </c>
      <c r="I205" s="8">
        <v>46999426</v>
      </c>
      <c r="J205" s="8">
        <v>1474</v>
      </c>
      <c r="K205" s="8">
        <v>29529904</v>
      </c>
      <c r="L205" s="13">
        <f t="shared" si="3"/>
        <v>20033.856173677068</v>
      </c>
    </row>
    <row r="206" spans="1:17" x14ac:dyDescent="0.2">
      <c r="A206" s="6" t="s">
        <v>214</v>
      </c>
      <c r="B206" s="6">
        <v>12</v>
      </c>
      <c r="C206" s="6"/>
      <c r="D206" s="8">
        <v>9946</v>
      </c>
      <c r="E206" s="8">
        <v>217056384</v>
      </c>
      <c r="F206" s="8">
        <v>11664</v>
      </c>
      <c r="G206" s="8">
        <v>287377632</v>
      </c>
      <c r="H206" s="8">
        <v>10742</v>
      </c>
      <c r="I206" s="8">
        <v>266401600</v>
      </c>
      <c r="J206" s="8">
        <v>10868</v>
      </c>
      <c r="K206" s="8">
        <v>238032416</v>
      </c>
      <c r="L206" s="13">
        <f t="shared" si="3"/>
        <v>21902.136179609864</v>
      </c>
    </row>
    <row r="207" spans="1:17" x14ac:dyDescent="0.2">
      <c r="A207" s="6" t="s">
        <v>215</v>
      </c>
      <c r="B207" s="6">
        <v>12</v>
      </c>
      <c r="C207" s="6"/>
      <c r="D207" s="8">
        <v>2800</v>
      </c>
      <c r="E207" s="8">
        <v>111956379</v>
      </c>
      <c r="F207" s="8">
        <v>0</v>
      </c>
      <c r="G207" s="8">
        <v>0</v>
      </c>
      <c r="H207" s="8">
        <v>2203</v>
      </c>
      <c r="I207" s="8">
        <v>88085680</v>
      </c>
      <c r="J207" s="8">
        <v>597</v>
      </c>
      <c r="K207" s="8">
        <v>23870699</v>
      </c>
      <c r="L207" s="13">
        <f t="shared" si="3"/>
        <v>39984.420435510889</v>
      </c>
    </row>
    <row r="208" spans="1:17" x14ac:dyDescent="0.2">
      <c r="A208" s="6" t="s">
        <v>216</v>
      </c>
      <c r="B208" s="6">
        <v>12</v>
      </c>
      <c r="C208" s="6"/>
      <c r="D208" s="8">
        <v>0</v>
      </c>
      <c r="E208" s="8">
        <v>0</v>
      </c>
      <c r="F208" s="8">
        <v>160</v>
      </c>
      <c r="G208" s="8">
        <v>2778080</v>
      </c>
      <c r="H208" s="8">
        <v>160</v>
      </c>
      <c r="I208" s="8">
        <v>2778080</v>
      </c>
      <c r="J208" s="8">
        <v>0</v>
      </c>
      <c r="K208" s="8">
        <v>0</v>
      </c>
    </row>
    <row r="209" spans="1:12" x14ac:dyDescent="0.2">
      <c r="A209" s="6" t="s">
        <v>217</v>
      </c>
      <c r="B209" s="6">
        <v>12</v>
      </c>
      <c r="C209" s="6"/>
      <c r="D209" s="8">
        <v>10</v>
      </c>
      <c r="E209" s="8">
        <v>1775003</v>
      </c>
      <c r="F209" s="8">
        <v>80</v>
      </c>
      <c r="G209" s="8">
        <v>14456000</v>
      </c>
      <c r="H209" s="8">
        <v>0</v>
      </c>
      <c r="I209" s="8">
        <v>0</v>
      </c>
      <c r="J209" s="8">
        <v>90</v>
      </c>
      <c r="K209" s="8">
        <v>16231003</v>
      </c>
      <c r="L209" s="13">
        <f t="shared" si="3"/>
        <v>180344.47777777776</v>
      </c>
    </row>
    <row r="210" spans="1:12" x14ac:dyDescent="0.2">
      <c r="A210" s="6" t="s">
        <v>218</v>
      </c>
      <c r="B210" s="6">
        <v>12</v>
      </c>
      <c r="C210" s="6"/>
      <c r="D210" s="8">
        <v>0</v>
      </c>
      <c r="E210" s="8">
        <v>0</v>
      </c>
      <c r="F210" s="8">
        <v>50</v>
      </c>
      <c r="G210" s="8">
        <v>11800000</v>
      </c>
      <c r="H210" s="8">
        <v>0</v>
      </c>
      <c r="I210" s="8">
        <v>0</v>
      </c>
      <c r="J210" s="8">
        <v>50</v>
      </c>
      <c r="K210" s="8">
        <v>11800000</v>
      </c>
      <c r="L210" s="13">
        <f t="shared" si="3"/>
        <v>236000</v>
      </c>
    </row>
    <row r="211" spans="1:12" x14ac:dyDescent="0.2">
      <c r="A211" s="6" t="s">
        <v>219</v>
      </c>
      <c r="B211" s="6">
        <v>12</v>
      </c>
      <c r="C211" s="6"/>
      <c r="D211" s="8">
        <v>0</v>
      </c>
      <c r="E211" s="8">
        <v>0</v>
      </c>
      <c r="F211" s="8">
        <v>30</v>
      </c>
      <c r="G211" s="8">
        <v>7080000</v>
      </c>
      <c r="H211" s="8">
        <v>0</v>
      </c>
      <c r="I211" s="8">
        <v>0</v>
      </c>
      <c r="J211" s="8">
        <v>30</v>
      </c>
      <c r="K211" s="8">
        <v>7080000</v>
      </c>
      <c r="L211" s="13">
        <f t="shared" si="3"/>
        <v>236000</v>
      </c>
    </row>
    <row r="212" spans="1:12" x14ac:dyDescent="0.2">
      <c r="A212" s="6" t="s">
        <v>220</v>
      </c>
      <c r="B212" s="6">
        <v>12</v>
      </c>
      <c r="C212" s="6"/>
      <c r="D212" s="8">
        <v>0</v>
      </c>
      <c r="E212" s="8">
        <v>0</v>
      </c>
      <c r="F212" s="8">
        <v>72</v>
      </c>
      <c r="G212" s="8">
        <v>1847966</v>
      </c>
      <c r="H212" s="8">
        <v>0</v>
      </c>
      <c r="I212" s="8">
        <v>0</v>
      </c>
      <c r="J212" s="8">
        <v>72</v>
      </c>
      <c r="K212" s="8">
        <v>1847966</v>
      </c>
      <c r="L212" s="13">
        <f t="shared" si="3"/>
        <v>25666.194444444445</v>
      </c>
    </row>
    <row r="213" spans="1:12" x14ac:dyDescent="0.2">
      <c r="A213" s="6" t="s">
        <v>221</v>
      </c>
      <c r="B213" s="6">
        <v>12</v>
      </c>
      <c r="C213" s="6"/>
      <c r="D213" s="8">
        <v>4178</v>
      </c>
      <c r="E213" s="8">
        <v>81823781</v>
      </c>
      <c r="F213" s="8">
        <v>1656</v>
      </c>
      <c r="G213" s="8">
        <v>32608296</v>
      </c>
      <c r="H213" s="8">
        <v>1904</v>
      </c>
      <c r="I213" s="8">
        <v>37346362</v>
      </c>
      <c r="J213" s="8">
        <v>3930</v>
      </c>
      <c r="K213" s="8">
        <v>77085715</v>
      </c>
      <c r="L213" s="13">
        <f t="shared" si="3"/>
        <v>19614.685750636134</v>
      </c>
    </row>
    <row r="214" spans="1:12" x14ac:dyDescent="0.2">
      <c r="A214" s="6" t="s">
        <v>222</v>
      </c>
      <c r="B214" s="6">
        <v>12</v>
      </c>
      <c r="C214" s="6"/>
      <c r="D214" s="8">
        <v>1066</v>
      </c>
      <c r="E214" s="8">
        <v>22876165</v>
      </c>
      <c r="F214" s="8">
        <v>0</v>
      </c>
      <c r="G214" s="8">
        <v>0</v>
      </c>
      <c r="H214" s="8">
        <v>174</v>
      </c>
      <c r="I214" s="8">
        <v>3734008</v>
      </c>
      <c r="J214" s="8">
        <v>892</v>
      </c>
      <c r="K214" s="8">
        <v>19142157</v>
      </c>
      <c r="L214" s="13">
        <f t="shared" si="3"/>
        <v>21459.817264573991</v>
      </c>
    </row>
    <row r="215" spans="1:12" x14ac:dyDescent="0.2">
      <c r="A215" s="6" t="s">
        <v>223</v>
      </c>
      <c r="B215" s="6">
        <v>12</v>
      </c>
      <c r="C215" s="6"/>
      <c r="D215" s="8">
        <v>337</v>
      </c>
      <c r="E215" s="8">
        <v>14575142</v>
      </c>
      <c r="F215" s="8">
        <v>0</v>
      </c>
      <c r="G215" s="8">
        <v>0</v>
      </c>
      <c r="H215" s="8">
        <v>90</v>
      </c>
      <c r="I215" s="8">
        <v>3892471</v>
      </c>
      <c r="J215" s="8">
        <v>247</v>
      </c>
      <c r="K215" s="8">
        <v>10682671</v>
      </c>
      <c r="L215" s="13">
        <f t="shared" si="3"/>
        <v>43249.680161943317</v>
      </c>
    </row>
    <row r="216" spans="1:12" x14ac:dyDescent="0.2">
      <c r="A216" s="6" t="s">
        <v>224</v>
      </c>
      <c r="B216" s="6">
        <v>12</v>
      </c>
      <c r="C216" s="6"/>
      <c r="D216" s="8">
        <v>0</v>
      </c>
      <c r="E216" s="8">
        <v>0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</row>
    <row r="217" spans="1:12" x14ac:dyDescent="0.2">
      <c r="A217" s="6" t="s">
        <v>225</v>
      </c>
      <c r="B217" s="6">
        <v>12</v>
      </c>
      <c r="C217" s="6"/>
      <c r="D217" s="8">
        <v>268</v>
      </c>
      <c r="E217" s="8">
        <v>5622934</v>
      </c>
      <c r="F217" s="8">
        <v>144</v>
      </c>
      <c r="G217" s="8">
        <v>3021278</v>
      </c>
      <c r="H217" s="8">
        <v>180</v>
      </c>
      <c r="I217" s="8">
        <v>3776597</v>
      </c>
      <c r="J217" s="8">
        <v>232</v>
      </c>
      <c r="K217" s="8">
        <v>4867615</v>
      </c>
      <c r="L217" s="13">
        <f t="shared" si="3"/>
        <v>20981.099137931036</v>
      </c>
    </row>
    <row r="218" spans="1:12" x14ac:dyDescent="0.2">
      <c r="A218" s="6" t="s">
        <v>226</v>
      </c>
      <c r="B218" s="6">
        <v>12</v>
      </c>
      <c r="C218" s="6"/>
      <c r="D218" s="8">
        <v>0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</row>
    <row r="219" spans="1:12" x14ac:dyDescent="0.2">
      <c r="A219" s="6" t="s">
        <v>227</v>
      </c>
      <c r="B219" s="6">
        <v>12</v>
      </c>
      <c r="C219" s="6"/>
      <c r="D219" s="8">
        <v>470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470</v>
      </c>
      <c r="K219" s="8">
        <v>0</v>
      </c>
      <c r="L219" s="13">
        <f t="shared" si="3"/>
        <v>0</v>
      </c>
    </row>
    <row r="220" spans="1:12" x14ac:dyDescent="0.2">
      <c r="A220" s="6" t="s">
        <v>228</v>
      </c>
      <c r="B220" s="6">
        <v>12</v>
      </c>
      <c r="C220" s="6"/>
      <c r="D220" s="8">
        <v>67</v>
      </c>
      <c r="E220" s="8">
        <v>5925955</v>
      </c>
      <c r="F220" s="8">
        <v>56</v>
      </c>
      <c r="G220" s="8">
        <v>4917248</v>
      </c>
      <c r="H220" s="8">
        <v>0</v>
      </c>
      <c r="I220" s="8">
        <v>0</v>
      </c>
      <c r="J220" s="8">
        <v>123</v>
      </c>
      <c r="K220" s="8">
        <v>10843203</v>
      </c>
      <c r="L220" s="13">
        <f t="shared" si="3"/>
        <v>88156.121951219509</v>
      </c>
    </row>
    <row r="221" spans="1:12" x14ac:dyDescent="0.2">
      <c r="A221" s="6" t="s">
        <v>229</v>
      </c>
      <c r="B221" s="6">
        <v>12</v>
      </c>
      <c r="C221" s="6"/>
      <c r="D221" s="8">
        <v>2747</v>
      </c>
      <c r="E221" s="8">
        <v>247783362</v>
      </c>
      <c r="F221" s="8">
        <v>412</v>
      </c>
      <c r="G221" s="8">
        <v>36610448</v>
      </c>
      <c r="H221" s="8">
        <v>2933</v>
      </c>
      <c r="I221" s="8">
        <v>275702000</v>
      </c>
      <c r="J221" s="8">
        <v>226</v>
      </c>
      <c r="K221" s="8">
        <v>8691810</v>
      </c>
      <c r="L221" s="13">
        <f t="shared" si="3"/>
        <v>38459.336283185839</v>
      </c>
    </row>
    <row r="222" spans="1:12" x14ac:dyDescent="0.2">
      <c r="A222" s="6" t="s">
        <v>230</v>
      </c>
      <c r="B222" s="6">
        <v>12</v>
      </c>
      <c r="C222" s="6"/>
      <c r="D222" s="8">
        <v>1429</v>
      </c>
      <c r="E222" s="8">
        <v>91033464</v>
      </c>
      <c r="F222" s="8">
        <v>924</v>
      </c>
      <c r="G222" s="8">
        <v>52136000</v>
      </c>
      <c r="H222" s="8">
        <v>2090</v>
      </c>
      <c r="I222" s="8">
        <v>127167097</v>
      </c>
      <c r="J222" s="8">
        <v>263</v>
      </c>
      <c r="K222" s="8">
        <v>16002367</v>
      </c>
      <c r="L222" s="13">
        <f t="shared" si="3"/>
        <v>60845.501901140684</v>
      </c>
    </row>
    <row r="223" spans="1:12" x14ac:dyDescent="0.2">
      <c r="A223" s="6" t="s">
        <v>231</v>
      </c>
      <c r="B223" s="6">
        <v>12</v>
      </c>
      <c r="C223" s="6"/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</row>
    <row r="224" spans="1:12" x14ac:dyDescent="0.2">
      <c r="A224" s="6" t="s">
        <v>232</v>
      </c>
      <c r="B224" s="6">
        <v>12</v>
      </c>
      <c r="C224" s="6"/>
      <c r="D224" s="8">
        <v>897</v>
      </c>
      <c r="E224" s="8">
        <v>54866918</v>
      </c>
      <c r="F224" s="8">
        <v>389</v>
      </c>
      <c r="G224" s="8">
        <v>22866732</v>
      </c>
      <c r="H224" s="8">
        <v>665</v>
      </c>
      <c r="I224" s="8">
        <v>40196639</v>
      </c>
      <c r="J224" s="8">
        <v>621</v>
      </c>
      <c r="K224" s="8">
        <v>37537011</v>
      </c>
      <c r="L224" s="13">
        <f t="shared" si="3"/>
        <v>60446.072463768112</v>
      </c>
    </row>
    <row r="225" spans="1:12" x14ac:dyDescent="0.2">
      <c r="A225" s="6" t="s">
        <v>233</v>
      </c>
      <c r="B225" s="6">
        <v>12</v>
      </c>
      <c r="C225" s="6"/>
      <c r="D225" s="8">
        <v>5775</v>
      </c>
      <c r="E225" s="8">
        <v>348275500</v>
      </c>
      <c r="F225" s="8">
        <v>2032</v>
      </c>
      <c r="G225" s="8">
        <v>100352000</v>
      </c>
      <c r="H225" s="8">
        <v>4833</v>
      </c>
      <c r="I225" s="8">
        <v>277727259</v>
      </c>
      <c r="J225" s="8">
        <v>2974</v>
      </c>
      <c r="K225" s="8">
        <v>170900241</v>
      </c>
      <c r="L225" s="13">
        <f t="shared" si="3"/>
        <v>57464.775050437122</v>
      </c>
    </row>
    <row r="226" spans="1:12" x14ac:dyDescent="0.2">
      <c r="A226" s="6" t="s">
        <v>234</v>
      </c>
      <c r="B226" s="6">
        <v>12</v>
      </c>
      <c r="C226" s="6"/>
      <c r="D226" s="8">
        <v>22923</v>
      </c>
      <c r="E226" s="8">
        <v>1293167657</v>
      </c>
      <c r="F226" s="8">
        <v>17433</v>
      </c>
      <c r="G226" s="8">
        <v>905972760</v>
      </c>
      <c r="H226" s="8">
        <v>21549</v>
      </c>
      <c r="I226" s="8">
        <v>1286033703</v>
      </c>
      <c r="J226" s="8">
        <v>18807</v>
      </c>
      <c r="K226" s="8">
        <v>913106714</v>
      </c>
      <c r="L226" s="13">
        <f t="shared" si="3"/>
        <v>48551.428404317543</v>
      </c>
    </row>
    <row r="227" spans="1:12" x14ac:dyDescent="0.2">
      <c r="A227" s="6" t="s">
        <v>235</v>
      </c>
      <c r="B227" s="6">
        <v>12</v>
      </c>
      <c r="C227" s="6"/>
      <c r="D227" s="8">
        <v>322</v>
      </c>
      <c r="E227" s="8">
        <v>22632087</v>
      </c>
      <c r="F227" s="8">
        <v>120</v>
      </c>
      <c r="G227" s="8">
        <v>8467200</v>
      </c>
      <c r="H227" s="8">
        <v>298</v>
      </c>
      <c r="I227" s="8">
        <v>20967393</v>
      </c>
      <c r="J227" s="8">
        <v>144</v>
      </c>
      <c r="K227" s="8">
        <v>10131894</v>
      </c>
      <c r="L227" s="13">
        <f t="shared" si="3"/>
        <v>70360.375</v>
      </c>
    </row>
    <row r="228" spans="1:12" x14ac:dyDescent="0.2">
      <c r="A228" s="6" t="s">
        <v>236</v>
      </c>
      <c r="B228" s="6">
        <v>12</v>
      </c>
      <c r="C228" s="6"/>
      <c r="D228" s="8">
        <v>252</v>
      </c>
      <c r="E228" s="8">
        <v>16163532</v>
      </c>
      <c r="F228" s="8">
        <v>612</v>
      </c>
      <c r="G228" s="8">
        <v>37714908</v>
      </c>
      <c r="H228" s="8">
        <v>452</v>
      </c>
      <c r="I228" s="8">
        <v>28186406</v>
      </c>
      <c r="J228" s="8">
        <v>412</v>
      </c>
      <c r="K228" s="8">
        <v>25692034</v>
      </c>
      <c r="L228" s="13">
        <f t="shared" si="3"/>
        <v>62359.305825242722</v>
      </c>
    </row>
    <row r="229" spans="1:12" x14ac:dyDescent="0.2">
      <c r="A229" s="6" t="s">
        <v>237</v>
      </c>
      <c r="B229" s="6">
        <v>12</v>
      </c>
      <c r="C229" s="6"/>
      <c r="D229" s="8">
        <v>235</v>
      </c>
      <c r="E229" s="8">
        <v>1918332</v>
      </c>
      <c r="F229" s="8">
        <v>0</v>
      </c>
      <c r="G229" s="8">
        <v>0</v>
      </c>
      <c r="H229" s="8">
        <v>0</v>
      </c>
      <c r="I229" s="8">
        <v>0</v>
      </c>
      <c r="J229" s="8">
        <v>235</v>
      </c>
      <c r="K229" s="8">
        <v>1918332</v>
      </c>
      <c r="L229" s="13">
        <f t="shared" si="3"/>
        <v>8163.1148936170212</v>
      </c>
    </row>
    <row r="230" spans="1:12" x14ac:dyDescent="0.2">
      <c r="A230" s="6" t="s">
        <v>238</v>
      </c>
      <c r="B230" s="6">
        <v>12</v>
      </c>
      <c r="C230" s="6"/>
      <c r="D230" s="8">
        <v>942</v>
      </c>
      <c r="E230" s="8">
        <v>53507694</v>
      </c>
      <c r="F230" s="8">
        <v>0</v>
      </c>
      <c r="G230" s="8">
        <v>0</v>
      </c>
      <c r="H230" s="8">
        <v>132</v>
      </c>
      <c r="I230" s="8">
        <v>7497893</v>
      </c>
      <c r="J230" s="8">
        <v>810</v>
      </c>
      <c r="K230" s="8">
        <v>46009801</v>
      </c>
      <c r="L230" s="13">
        <f t="shared" si="3"/>
        <v>56802.223456790125</v>
      </c>
    </row>
    <row r="231" spans="1:12" x14ac:dyDescent="0.2">
      <c r="A231" s="6" t="s">
        <v>239</v>
      </c>
      <c r="B231" s="6">
        <v>12</v>
      </c>
      <c r="C231" s="6"/>
      <c r="D231" s="8">
        <v>0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</row>
    <row r="232" spans="1:12" x14ac:dyDescent="0.2">
      <c r="A232" s="6" t="s">
        <v>240</v>
      </c>
      <c r="B232" s="6">
        <v>12</v>
      </c>
      <c r="C232" s="6"/>
      <c r="D232" s="8">
        <v>25</v>
      </c>
      <c r="E232" s="8">
        <v>2337348</v>
      </c>
      <c r="F232" s="8">
        <v>2030</v>
      </c>
      <c r="G232" s="8">
        <v>189788760</v>
      </c>
      <c r="H232" s="8">
        <v>1506</v>
      </c>
      <c r="I232" s="8">
        <v>140798987</v>
      </c>
      <c r="J232" s="8">
        <v>549</v>
      </c>
      <c r="K232" s="8">
        <v>51327121</v>
      </c>
      <c r="L232" s="13">
        <f t="shared" si="3"/>
        <v>93492.023679417121</v>
      </c>
    </row>
    <row r="233" spans="1:12" x14ac:dyDescent="0.2">
      <c r="A233" s="6" t="s">
        <v>241</v>
      </c>
      <c r="B233" s="6">
        <v>12</v>
      </c>
      <c r="C233" s="6"/>
      <c r="D233" s="8">
        <v>1186</v>
      </c>
      <c r="E233" s="8">
        <v>91489935</v>
      </c>
      <c r="F233" s="8">
        <v>464</v>
      </c>
      <c r="G233" s="8">
        <v>32792760</v>
      </c>
      <c r="H233" s="8">
        <v>681</v>
      </c>
      <c r="I233" s="8">
        <v>51294858</v>
      </c>
      <c r="J233" s="8">
        <v>969</v>
      </c>
      <c r="K233" s="8">
        <v>72987837</v>
      </c>
      <c r="L233" s="13">
        <f t="shared" si="3"/>
        <v>75322.845201238393</v>
      </c>
    </row>
    <row r="234" spans="1:12" x14ac:dyDescent="0.2">
      <c r="A234" s="6" t="s">
        <v>242</v>
      </c>
      <c r="B234" s="6">
        <v>12</v>
      </c>
      <c r="C234" s="6"/>
      <c r="D234" s="8">
        <v>137</v>
      </c>
      <c r="E234" s="8">
        <v>9584186</v>
      </c>
      <c r="F234" s="8">
        <v>54</v>
      </c>
      <c r="G234" s="8">
        <v>3797010</v>
      </c>
      <c r="H234" s="8">
        <v>33</v>
      </c>
      <c r="I234" s="8">
        <v>2311934</v>
      </c>
      <c r="J234" s="8">
        <v>158</v>
      </c>
      <c r="K234" s="8">
        <v>11069262</v>
      </c>
      <c r="L234" s="13">
        <f t="shared" si="3"/>
        <v>70058.620253164554</v>
      </c>
    </row>
    <row r="235" spans="1:12" x14ac:dyDescent="0.2">
      <c r="A235" s="6" t="s">
        <v>243</v>
      </c>
      <c r="B235" s="6">
        <v>12</v>
      </c>
      <c r="C235" s="6"/>
      <c r="D235" s="8">
        <v>1575</v>
      </c>
      <c r="E235" s="8">
        <v>144885570</v>
      </c>
      <c r="F235" s="8">
        <v>171</v>
      </c>
      <c r="G235" s="8">
        <v>15690192</v>
      </c>
      <c r="H235" s="8">
        <v>1617</v>
      </c>
      <c r="I235" s="8">
        <v>148711917</v>
      </c>
      <c r="J235" s="8">
        <v>129</v>
      </c>
      <c r="K235" s="8">
        <v>11863845</v>
      </c>
      <c r="L235" s="13">
        <f t="shared" si="3"/>
        <v>91967.790697674413</v>
      </c>
    </row>
    <row r="236" spans="1:12" x14ac:dyDescent="0.2">
      <c r="A236" s="6" t="s">
        <v>244</v>
      </c>
      <c r="B236" s="6">
        <v>12</v>
      </c>
      <c r="C236" s="6"/>
      <c r="D236" s="8">
        <v>4</v>
      </c>
      <c r="E236" s="8">
        <v>351232</v>
      </c>
      <c r="F236" s="8">
        <v>48</v>
      </c>
      <c r="G236" s="8">
        <v>4214784</v>
      </c>
      <c r="H236" s="8">
        <v>52</v>
      </c>
      <c r="I236" s="8">
        <v>4566016</v>
      </c>
      <c r="J236" s="8">
        <v>0</v>
      </c>
      <c r="K236" s="8">
        <v>0</v>
      </c>
    </row>
    <row r="237" spans="1:12" x14ac:dyDescent="0.2">
      <c r="A237" s="6" t="s">
        <v>245</v>
      </c>
      <c r="B237" s="6">
        <v>12</v>
      </c>
      <c r="C237" s="6"/>
      <c r="D237" s="8">
        <v>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</row>
    <row r="238" spans="1:12" x14ac:dyDescent="0.2">
      <c r="A238" s="6" t="s">
        <v>246</v>
      </c>
      <c r="B238" s="6">
        <v>12</v>
      </c>
      <c r="C238" s="6"/>
      <c r="D238" s="8">
        <v>8756</v>
      </c>
      <c r="E238" s="8">
        <v>62408741</v>
      </c>
      <c r="F238" s="8">
        <v>1920</v>
      </c>
      <c r="G238" s="8">
        <v>13684878</v>
      </c>
      <c r="H238" s="8">
        <v>135</v>
      </c>
      <c r="I238" s="8">
        <v>962218</v>
      </c>
      <c r="J238" s="8">
        <v>10541</v>
      </c>
      <c r="K238" s="8">
        <v>75131401</v>
      </c>
      <c r="L238" s="13">
        <f t="shared" si="3"/>
        <v>7127.5401764538465</v>
      </c>
    </row>
    <row r="239" spans="1:12" x14ac:dyDescent="0.2">
      <c r="A239" s="6" t="s">
        <v>247</v>
      </c>
      <c r="B239" s="6">
        <v>12</v>
      </c>
      <c r="C239" s="6"/>
      <c r="D239" s="8">
        <v>43404</v>
      </c>
      <c r="E239" s="8">
        <v>288267066</v>
      </c>
      <c r="F239" s="8">
        <v>2880</v>
      </c>
      <c r="G239" s="8">
        <v>20527315</v>
      </c>
      <c r="H239" s="8">
        <v>154</v>
      </c>
      <c r="I239" s="8">
        <v>1027447</v>
      </c>
      <c r="J239" s="8">
        <v>46130</v>
      </c>
      <c r="K239" s="8">
        <v>307766934</v>
      </c>
      <c r="L239" s="13">
        <f t="shared" si="3"/>
        <v>6671.7306308259267</v>
      </c>
    </row>
    <row r="240" spans="1:12" x14ac:dyDescent="0.2">
      <c r="A240" s="6" t="s">
        <v>248</v>
      </c>
      <c r="B240" s="6">
        <v>12</v>
      </c>
      <c r="C240" s="6"/>
      <c r="D240" s="8">
        <v>384</v>
      </c>
      <c r="E240" s="8">
        <v>1852721</v>
      </c>
      <c r="F240" s="8">
        <v>0</v>
      </c>
      <c r="G240" s="8">
        <v>0</v>
      </c>
      <c r="H240" s="8">
        <v>0</v>
      </c>
      <c r="I240" s="8">
        <v>0</v>
      </c>
      <c r="J240" s="8">
        <v>384</v>
      </c>
      <c r="K240" s="8">
        <v>1852721</v>
      </c>
      <c r="L240" s="13">
        <f t="shared" si="3"/>
        <v>4824.794270833333</v>
      </c>
    </row>
    <row r="241" spans="1:12" x14ac:dyDescent="0.2">
      <c r="A241" s="6" t="s">
        <v>249</v>
      </c>
      <c r="B241" s="6">
        <v>12</v>
      </c>
      <c r="C241" s="6"/>
      <c r="D241" s="8">
        <v>420</v>
      </c>
      <c r="E241" s="8">
        <v>1974630</v>
      </c>
      <c r="F241" s="8">
        <v>271</v>
      </c>
      <c r="G241" s="8">
        <v>0</v>
      </c>
      <c r="H241" s="8">
        <v>0</v>
      </c>
      <c r="I241" s="8">
        <v>0</v>
      </c>
      <c r="J241" s="8">
        <v>691</v>
      </c>
      <c r="K241" s="8">
        <v>1974630</v>
      </c>
      <c r="L241" s="13">
        <f t="shared" si="3"/>
        <v>2857.6410998552824</v>
      </c>
    </row>
    <row r="242" spans="1:12" x14ac:dyDescent="0.2">
      <c r="A242" s="6" t="s">
        <v>250</v>
      </c>
      <c r="B242" s="6">
        <v>12</v>
      </c>
      <c r="C242" s="6"/>
      <c r="D242" s="8">
        <v>16561</v>
      </c>
      <c r="E242" s="8">
        <v>169801355</v>
      </c>
      <c r="F242" s="8">
        <v>2160</v>
      </c>
      <c r="G242" s="8">
        <v>15395487</v>
      </c>
      <c r="H242" s="8">
        <v>100</v>
      </c>
      <c r="I242" s="8">
        <v>989247</v>
      </c>
      <c r="J242" s="8">
        <v>18621</v>
      </c>
      <c r="K242" s="8">
        <v>184207595</v>
      </c>
      <c r="L242" s="13">
        <f t="shared" si="3"/>
        <v>9892.4652274313939</v>
      </c>
    </row>
    <row r="243" spans="1:12" x14ac:dyDescent="0.2">
      <c r="A243" s="6" t="s">
        <v>251</v>
      </c>
      <c r="B243" s="6">
        <v>12</v>
      </c>
      <c r="C243" s="6"/>
      <c r="D243" s="8">
        <v>0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</row>
    <row r="244" spans="1:12" x14ac:dyDescent="0.2">
      <c r="A244" s="6" t="s">
        <v>252</v>
      </c>
      <c r="B244" s="6">
        <v>12</v>
      </c>
      <c r="C244" s="6"/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</row>
    <row r="245" spans="1:12" x14ac:dyDescent="0.2">
      <c r="A245" s="6" t="s">
        <v>253</v>
      </c>
      <c r="B245" s="6">
        <v>12</v>
      </c>
      <c r="C245" s="6"/>
      <c r="D245" s="8">
        <v>0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</row>
    <row r="246" spans="1:12" x14ac:dyDescent="0.2">
      <c r="A246" s="6" t="s">
        <v>254</v>
      </c>
      <c r="B246" s="6">
        <v>12</v>
      </c>
      <c r="C246" s="6"/>
      <c r="D246" s="8">
        <v>178</v>
      </c>
      <c r="E246" s="8">
        <v>6117278</v>
      </c>
      <c r="F246" s="8">
        <v>62</v>
      </c>
      <c r="G246" s="8">
        <v>2130804</v>
      </c>
      <c r="H246" s="8">
        <v>240</v>
      </c>
      <c r="I246" s="8">
        <v>8248082</v>
      </c>
      <c r="J246" s="8">
        <v>0</v>
      </c>
      <c r="K246" s="8">
        <v>0</v>
      </c>
    </row>
    <row r="247" spans="1:12" x14ac:dyDescent="0.2">
      <c r="A247" s="6" t="s">
        <v>255</v>
      </c>
      <c r="B247" s="6">
        <v>12</v>
      </c>
      <c r="C247" s="6"/>
      <c r="D247" s="8">
        <v>0</v>
      </c>
      <c r="E247" s="8">
        <v>884858</v>
      </c>
      <c r="F247" s="8">
        <v>40</v>
      </c>
      <c r="G247" s="8">
        <v>3487564</v>
      </c>
      <c r="H247" s="8">
        <v>40</v>
      </c>
      <c r="I247" s="8">
        <v>4372422</v>
      </c>
      <c r="J247" s="8">
        <v>0</v>
      </c>
      <c r="K247" s="8">
        <v>0</v>
      </c>
    </row>
    <row r="248" spans="1:12" x14ac:dyDescent="0.2">
      <c r="A248" s="6" t="s">
        <v>256</v>
      </c>
      <c r="B248" s="6">
        <v>12</v>
      </c>
      <c r="C248" s="6"/>
      <c r="D248" s="8">
        <v>0</v>
      </c>
      <c r="E248" s="8">
        <v>0</v>
      </c>
      <c r="F248" s="8">
        <v>110</v>
      </c>
      <c r="G248" s="8">
        <v>4786700</v>
      </c>
      <c r="H248" s="8">
        <v>110</v>
      </c>
      <c r="I248" s="8">
        <v>4786700</v>
      </c>
      <c r="J248" s="8">
        <v>0</v>
      </c>
      <c r="K248" s="8">
        <v>0</v>
      </c>
    </row>
    <row r="249" spans="1:12" x14ac:dyDescent="0.2">
      <c r="A249" s="6" t="s">
        <v>257</v>
      </c>
      <c r="B249" s="6">
        <v>12</v>
      </c>
      <c r="C249" s="6"/>
      <c r="D249" s="8">
        <v>26</v>
      </c>
      <c r="E249" s="8">
        <v>1423200</v>
      </c>
      <c r="F249" s="8">
        <v>24</v>
      </c>
      <c r="G249" s="8">
        <v>1313723</v>
      </c>
      <c r="H249" s="8">
        <v>50</v>
      </c>
      <c r="I249" s="8">
        <v>2736923</v>
      </c>
      <c r="J249" s="8">
        <v>0</v>
      </c>
      <c r="K249" s="8">
        <v>0</v>
      </c>
    </row>
    <row r="250" spans="1:12" x14ac:dyDescent="0.2">
      <c r="A250" s="6" t="s">
        <v>258</v>
      </c>
      <c r="B250" s="6">
        <v>12</v>
      </c>
      <c r="C250" s="6"/>
      <c r="D250" s="8">
        <v>1315</v>
      </c>
      <c r="E250" s="8">
        <v>5870462</v>
      </c>
      <c r="F250" s="8">
        <v>150</v>
      </c>
      <c r="G250" s="8">
        <v>2298240</v>
      </c>
      <c r="H250" s="8">
        <v>250</v>
      </c>
      <c r="I250" s="8">
        <v>3829633</v>
      </c>
      <c r="J250" s="8">
        <v>1215</v>
      </c>
      <c r="K250" s="8">
        <v>4339069</v>
      </c>
      <c r="L250" s="13">
        <f t="shared" si="3"/>
        <v>3571.2502057613169</v>
      </c>
    </row>
    <row r="251" spans="1:12" x14ac:dyDescent="0.2">
      <c r="A251" s="6" t="s">
        <v>259</v>
      </c>
      <c r="B251" s="6">
        <v>12</v>
      </c>
      <c r="C251" s="6"/>
      <c r="D251" s="8">
        <v>90</v>
      </c>
      <c r="E251" s="8">
        <v>1980663</v>
      </c>
      <c r="F251" s="8">
        <v>0</v>
      </c>
      <c r="G251" s="8">
        <v>0</v>
      </c>
      <c r="H251" s="8">
        <v>0</v>
      </c>
      <c r="I251" s="8">
        <v>0</v>
      </c>
      <c r="J251" s="8">
        <v>90</v>
      </c>
      <c r="K251" s="8">
        <v>1980663</v>
      </c>
      <c r="L251" s="13">
        <f t="shared" si="3"/>
        <v>22007.366666666665</v>
      </c>
    </row>
    <row r="252" spans="1:12" x14ac:dyDescent="0.2">
      <c r="A252" s="6" t="s">
        <v>260</v>
      </c>
      <c r="B252" s="6">
        <v>12</v>
      </c>
      <c r="C252" s="6"/>
      <c r="D252" s="8">
        <v>7</v>
      </c>
      <c r="E252" s="8">
        <v>460192</v>
      </c>
      <c r="F252" s="8">
        <v>0</v>
      </c>
      <c r="G252" s="8">
        <v>0</v>
      </c>
      <c r="H252" s="8">
        <v>0</v>
      </c>
      <c r="I252" s="8">
        <v>0</v>
      </c>
      <c r="J252" s="8">
        <v>7</v>
      </c>
      <c r="K252" s="8">
        <v>460192</v>
      </c>
      <c r="L252" s="13">
        <f t="shared" si="3"/>
        <v>65741.71428571429</v>
      </c>
    </row>
    <row r="253" spans="1:12" x14ac:dyDescent="0.2">
      <c r="A253" s="6" t="s">
        <v>261</v>
      </c>
      <c r="B253" s="6">
        <v>12</v>
      </c>
      <c r="C253" s="6"/>
      <c r="D253" s="8">
        <v>0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13" t="e">
        <f t="shared" si="3"/>
        <v>#DIV/0!</v>
      </c>
    </row>
    <row r="254" spans="1:12" x14ac:dyDescent="0.2">
      <c r="A254" s="6" t="s">
        <v>262</v>
      </c>
      <c r="B254" s="6">
        <v>12</v>
      </c>
      <c r="C254" s="6"/>
      <c r="D254" s="8">
        <v>4</v>
      </c>
      <c r="E254" s="8">
        <v>330624</v>
      </c>
      <c r="F254" s="8">
        <v>0</v>
      </c>
      <c r="G254" s="8">
        <v>0</v>
      </c>
      <c r="H254" s="8">
        <v>0</v>
      </c>
      <c r="I254" s="8">
        <v>0</v>
      </c>
      <c r="J254" s="8">
        <v>4</v>
      </c>
      <c r="K254" s="8">
        <v>330624</v>
      </c>
      <c r="L254" s="13">
        <f t="shared" si="3"/>
        <v>82656</v>
      </c>
    </row>
    <row r="255" spans="1:12" x14ac:dyDescent="0.2">
      <c r="A255" s="6" t="s">
        <v>263</v>
      </c>
      <c r="B255" s="6">
        <v>12</v>
      </c>
      <c r="C255" s="6"/>
      <c r="D255" s="8">
        <v>0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</row>
    <row r="256" spans="1:12" x14ac:dyDescent="0.2">
      <c r="A256" s="6" t="s">
        <v>264</v>
      </c>
      <c r="B256" s="6">
        <v>12</v>
      </c>
      <c r="C256" s="6"/>
      <c r="D256" s="8">
        <v>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</row>
    <row r="257" spans="1:12" x14ac:dyDescent="0.2">
      <c r="A257" s="6" t="s">
        <v>265</v>
      </c>
      <c r="B257" s="6">
        <v>12</v>
      </c>
      <c r="C257" s="6"/>
      <c r="D257" s="8">
        <v>5</v>
      </c>
      <c r="E257" s="8">
        <v>412800</v>
      </c>
      <c r="F257" s="8">
        <v>0</v>
      </c>
      <c r="G257" s="8">
        <v>0</v>
      </c>
      <c r="H257" s="8">
        <v>0</v>
      </c>
      <c r="I257" s="8">
        <v>0</v>
      </c>
      <c r="J257" s="8">
        <v>5</v>
      </c>
      <c r="K257" s="8">
        <v>412800</v>
      </c>
      <c r="L257" s="13">
        <f t="shared" si="3"/>
        <v>82560</v>
      </c>
    </row>
    <row r="258" spans="1:12" x14ac:dyDescent="0.2">
      <c r="A258" s="6" t="s">
        <v>266</v>
      </c>
      <c r="B258" s="6">
        <v>12</v>
      </c>
      <c r="C258" s="6"/>
      <c r="D258" s="8">
        <v>5</v>
      </c>
      <c r="E258" s="8">
        <v>441600</v>
      </c>
      <c r="F258" s="8">
        <v>0</v>
      </c>
      <c r="G258" s="8">
        <v>0</v>
      </c>
      <c r="H258" s="8">
        <v>0</v>
      </c>
      <c r="I258" s="8">
        <v>0</v>
      </c>
      <c r="J258" s="8">
        <v>5</v>
      </c>
      <c r="K258" s="8">
        <v>441600</v>
      </c>
      <c r="L258" s="13">
        <f t="shared" si="3"/>
        <v>88320</v>
      </c>
    </row>
    <row r="259" spans="1:12" x14ac:dyDescent="0.2">
      <c r="A259" s="6" t="s">
        <v>267</v>
      </c>
      <c r="B259" s="6">
        <v>12</v>
      </c>
      <c r="C259" s="6"/>
      <c r="D259" s="8">
        <v>6</v>
      </c>
      <c r="E259" s="8">
        <v>447000</v>
      </c>
      <c r="F259" s="8"/>
      <c r="G259" s="8">
        <v>0</v>
      </c>
      <c r="H259" s="8"/>
      <c r="I259" s="8"/>
      <c r="J259" s="8">
        <v>6</v>
      </c>
      <c r="K259" s="8">
        <v>447000</v>
      </c>
      <c r="L259" s="13">
        <f t="shared" si="3"/>
        <v>74500</v>
      </c>
    </row>
    <row r="260" spans="1:12" x14ac:dyDescent="0.2">
      <c r="A260" s="6" t="s">
        <v>268</v>
      </c>
      <c r="B260" s="6">
        <v>12</v>
      </c>
      <c r="C260" s="6"/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</row>
    <row r="261" spans="1:12" x14ac:dyDescent="0.2">
      <c r="A261" s="6" t="s">
        <v>269</v>
      </c>
      <c r="B261" s="6">
        <v>12</v>
      </c>
      <c r="C261" s="6"/>
      <c r="D261" s="8">
        <v>0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</row>
    <row r="262" spans="1:12" x14ac:dyDescent="0.2">
      <c r="A262" s="6" t="s">
        <v>270</v>
      </c>
      <c r="B262" s="6">
        <v>12</v>
      </c>
      <c r="C262" s="6"/>
      <c r="D262" s="8">
        <v>0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</row>
    <row r="263" spans="1:12" x14ac:dyDescent="0.2">
      <c r="A263" s="6" t="s">
        <v>271</v>
      </c>
      <c r="B263" s="6">
        <v>12</v>
      </c>
      <c r="C263" s="6"/>
      <c r="D263" s="8">
        <v>0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</row>
    <row r="264" spans="1:12" x14ac:dyDescent="0.2">
      <c r="A264" s="6" t="s">
        <v>272</v>
      </c>
      <c r="B264" s="6">
        <v>12</v>
      </c>
      <c r="C264" s="6"/>
      <c r="D264" s="8">
        <v>0</v>
      </c>
      <c r="E264" s="8">
        <v>0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</row>
    <row r="265" spans="1:12" x14ac:dyDescent="0.2">
      <c r="A265" s="6" t="s">
        <v>273</v>
      </c>
      <c r="B265" s="6">
        <v>12</v>
      </c>
      <c r="C265" s="6"/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</row>
    <row r="266" spans="1:12" x14ac:dyDescent="0.2">
      <c r="A266" s="6" t="s">
        <v>274</v>
      </c>
      <c r="B266" s="6">
        <v>12</v>
      </c>
      <c r="C266" s="6"/>
      <c r="D266" s="8">
        <v>14</v>
      </c>
      <c r="E266" s="8">
        <v>473144</v>
      </c>
      <c r="F266" s="8">
        <v>0</v>
      </c>
      <c r="G266" s="8">
        <v>0</v>
      </c>
      <c r="H266" s="8">
        <v>0</v>
      </c>
      <c r="I266" s="8">
        <v>0</v>
      </c>
      <c r="J266" s="8">
        <v>14</v>
      </c>
      <c r="K266" s="8">
        <v>473144</v>
      </c>
      <c r="L266" s="13">
        <f t="shared" si="3"/>
        <v>33796</v>
      </c>
    </row>
    <row r="267" spans="1:12" x14ac:dyDescent="0.2">
      <c r="A267" s="6" t="s">
        <v>275</v>
      </c>
      <c r="B267" s="6">
        <v>12</v>
      </c>
      <c r="C267" s="6"/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</row>
    <row r="268" spans="1:12" x14ac:dyDescent="0.2">
      <c r="A268" s="6" t="s">
        <v>276</v>
      </c>
      <c r="B268" s="6">
        <v>12</v>
      </c>
      <c r="C268" s="6"/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</row>
    <row r="269" spans="1:12" x14ac:dyDescent="0.2">
      <c r="A269" s="6" t="s">
        <v>277</v>
      </c>
      <c r="B269" s="6">
        <v>12</v>
      </c>
      <c r="C269" s="6"/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</row>
    <row r="270" spans="1:12" x14ac:dyDescent="0.2">
      <c r="A270" s="6" t="s">
        <v>278</v>
      </c>
      <c r="B270" s="6">
        <v>12</v>
      </c>
      <c r="C270" s="6"/>
      <c r="D270" s="8">
        <v>0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</row>
    <row r="271" spans="1:12" x14ac:dyDescent="0.2">
      <c r="A271" s="6" t="s">
        <v>279</v>
      </c>
      <c r="B271" s="6">
        <v>12</v>
      </c>
      <c r="C271" s="6"/>
      <c r="D271" s="8">
        <v>0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</row>
    <row r="272" spans="1:12" x14ac:dyDescent="0.2">
      <c r="A272" s="6" t="s">
        <v>280</v>
      </c>
      <c r="B272" s="6">
        <v>12</v>
      </c>
      <c r="C272" s="6"/>
      <c r="D272" s="8">
        <v>0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</row>
    <row r="273" spans="1:13" x14ac:dyDescent="0.2">
      <c r="A273" s="6" t="s">
        <v>281</v>
      </c>
      <c r="B273" s="6">
        <v>12</v>
      </c>
      <c r="C273" s="6"/>
      <c r="D273" s="8">
        <v>115</v>
      </c>
      <c r="E273" s="8">
        <v>1984968</v>
      </c>
      <c r="F273" s="8">
        <v>52</v>
      </c>
      <c r="G273" s="8">
        <v>882000</v>
      </c>
      <c r="H273" s="8">
        <v>0</v>
      </c>
      <c r="I273" s="8">
        <v>0</v>
      </c>
      <c r="J273" s="8">
        <v>167</v>
      </c>
      <c r="K273" s="8">
        <v>2866968</v>
      </c>
      <c r="L273" s="13">
        <f t="shared" ref="L273:L283" si="4">K273/J273</f>
        <v>17167.473053892216</v>
      </c>
    </row>
    <row r="274" spans="1:13" x14ac:dyDescent="0.2">
      <c r="A274" s="6" t="s">
        <v>282</v>
      </c>
      <c r="B274" s="6">
        <v>12</v>
      </c>
      <c r="C274" s="6"/>
      <c r="D274" s="8">
        <v>0</v>
      </c>
      <c r="E274" s="8">
        <v>0</v>
      </c>
      <c r="F274" s="8">
        <v>28</v>
      </c>
      <c r="G274" s="8">
        <v>1940400</v>
      </c>
      <c r="H274" s="8">
        <v>15</v>
      </c>
      <c r="I274" s="8">
        <v>1044761</v>
      </c>
      <c r="J274" s="8">
        <v>13</v>
      </c>
      <c r="K274" s="8">
        <v>895639</v>
      </c>
      <c r="L274" s="13">
        <f t="shared" si="4"/>
        <v>68895.307692307688</v>
      </c>
    </row>
    <row r="275" spans="1:13" x14ac:dyDescent="0.2">
      <c r="A275" s="6" t="s">
        <v>283</v>
      </c>
      <c r="B275" s="6">
        <v>12</v>
      </c>
      <c r="C275" s="6"/>
      <c r="D275" s="8">
        <v>2650</v>
      </c>
      <c r="E275" s="8">
        <v>60362629</v>
      </c>
      <c r="F275" s="8">
        <v>1138</v>
      </c>
      <c r="G275" s="8">
        <v>39547200</v>
      </c>
      <c r="H275" s="8">
        <v>2103</v>
      </c>
      <c r="I275" s="8">
        <v>76338900</v>
      </c>
      <c r="J275" s="8">
        <v>1685</v>
      </c>
      <c r="K275" s="8">
        <v>23570929</v>
      </c>
      <c r="L275" s="13">
        <f t="shared" si="4"/>
        <v>13988.681899109792</v>
      </c>
    </row>
    <row r="276" spans="1:13" x14ac:dyDescent="0.2">
      <c r="A276" s="6" t="s">
        <v>284</v>
      </c>
      <c r="B276" s="6">
        <v>12</v>
      </c>
      <c r="C276" s="6"/>
      <c r="D276" s="8">
        <v>170</v>
      </c>
      <c r="E276" s="8">
        <v>7787064</v>
      </c>
      <c r="F276" s="8">
        <v>14</v>
      </c>
      <c r="G276" s="8">
        <v>598416</v>
      </c>
      <c r="H276" s="8">
        <v>0</v>
      </c>
      <c r="I276" s="8">
        <v>0</v>
      </c>
      <c r="J276" s="8">
        <v>184</v>
      </c>
      <c r="K276" s="8">
        <v>8385480</v>
      </c>
      <c r="L276" s="13">
        <f t="shared" si="4"/>
        <v>45573.260869565216</v>
      </c>
    </row>
    <row r="277" spans="1:13" x14ac:dyDescent="0.2">
      <c r="A277" s="6" t="s">
        <v>285</v>
      </c>
      <c r="B277" s="6">
        <v>12</v>
      </c>
      <c r="C277" s="6"/>
      <c r="D277" s="8">
        <v>0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</row>
    <row r="278" spans="1:13" x14ac:dyDescent="0.2">
      <c r="A278" s="6" t="s">
        <v>286</v>
      </c>
      <c r="B278" s="6">
        <v>12</v>
      </c>
      <c r="C278" s="6"/>
      <c r="D278" s="8">
        <v>0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</row>
    <row r="279" spans="1:13" x14ac:dyDescent="0.2">
      <c r="A279" s="6" t="s">
        <v>287</v>
      </c>
      <c r="B279" s="6">
        <v>12</v>
      </c>
      <c r="C279" s="6"/>
      <c r="D279" s="8">
        <v>8</v>
      </c>
      <c r="E279" s="8">
        <v>888480</v>
      </c>
      <c r="F279" s="8">
        <v>0</v>
      </c>
      <c r="G279" s="8">
        <v>0</v>
      </c>
      <c r="H279" s="8">
        <v>0</v>
      </c>
      <c r="I279" s="8">
        <v>0</v>
      </c>
      <c r="J279" s="8">
        <v>8</v>
      </c>
      <c r="K279" s="8">
        <v>888480</v>
      </c>
      <c r="L279" s="13">
        <f t="shared" si="4"/>
        <v>111060</v>
      </c>
    </row>
    <row r="280" spans="1:13" x14ac:dyDescent="0.2">
      <c r="A280" s="6" t="s">
        <v>288</v>
      </c>
      <c r="B280" s="6">
        <v>12</v>
      </c>
      <c r="C280" s="6"/>
      <c r="D280" s="8">
        <v>72</v>
      </c>
      <c r="E280" s="8">
        <v>1717560</v>
      </c>
      <c r="F280" s="8">
        <v>0</v>
      </c>
      <c r="G280" s="8">
        <v>0</v>
      </c>
      <c r="H280" s="8">
        <v>0</v>
      </c>
      <c r="I280" s="8">
        <v>0</v>
      </c>
      <c r="J280" s="8">
        <v>72</v>
      </c>
      <c r="K280" s="8">
        <v>1717560</v>
      </c>
      <c r="L280" s="13">
        <f t="shared" si="4"/>
        <v>23855</v>
      </c>
    </row>
    <row r="281" spans="1:13" x14ac:dyDescent="0.2">
      <c r="A281" s="6" t="s">
        <v>289</v>
      </c>
      <c r="B281" s="6">
        <v>12</v>
      </c>
      <c r="C281" s="6"/>
      <c r="D281" s="8">
        <v>5453</v>
      </c>
      <c r="E281" s="8">
        <v>18544800</v>
      </c>
      <c r="F281" s="8">
        <v>481</v>
      </c>
      <c r="G281" s="8">
        <v>4222080</v>
      </c>
      <c r="H281" s="8">
        <v>0</v>
      </c>
      <c r="I281" s="8">
        <v>0</v>
      </c>
      <c r="J281" s="8">
        <v>5934</v>
      </c>
      <c r="K281" s="8">
        <v>22766880</v>
      </c>
      <c r="L281" s="13">
        <f t="shared" si="4"/>
        <v>3836.6835187057636</v>
      </c>
    </row>
    <row r="282" spans="1:13" x14ac:dyDescent="0.2">
      <c r="A282" s="6" t="s">
        <v>290</v>
      </c>
      <c r="B282" s="6">
        <v>12</v>
      </c>
      <c r="C282" s="6"/>
      <c r="D282" s="8">
        <v>294</v>
      </c>
      <c r="E282" s="8">
        <v>26161598</v>
      </c>
      <c r="F282" s="8">
        <v>612</v>
      </c>
      <c r="G282" s="8">
        <v>54458208</v>
      </c>
      <c r="H282" s="8">
        <v>462</v>
      </c>
      <c r="I282" s="8">
        <v>41110762</v>
      </c>
      <c r="J282" s="8">
        <v>444</v>
      </c>
      <c r="K282" s="8">
        <v>39509044</v>
      </c>
      <c r="L282" s="13">
        <f t="shared" si="4"/>
        <v>88984.333333333328</v>
      </c>
    </row>
    <row r="283" spans="1:13" x14ac:dyDescent="0.2">
      <c r="A283" s="6" t="s">
        <v>291</v>
      </c>
      <c r="B283" s="6">
        <v>12</v>
      </c>
      <c r="C283" s="6"/>
      <c r="D283" s="8">
        <v>580</v>
      </c>
      <c r="E283" s="8">
        <v>54183265</v>
      </c>
      <c r="F283" s="8">
        <v>1120</v>
      </c>
      <c r="G283" s="8">
        <v>104711040</v>
      </c>
      <c r="H283" s="8">
        <v>821</v>
      </c>
      <c r="I283" s="8">
        <v>76736603</v>
      </c>
      <c r="J283" s="8">
        <v>879</v>
      </c>
      <c r="K283" s="8">
        <v>82157702</v>
      </c>
      <c r="L283" s="13">
        <f t="shared" si="4"/>
        <v>93467.237770193402</v>
      </c>
    </row>
    <row r="284" spans="1:13" x14ac:dyDescent="0.2">
      <c r="A284" s="6" t="s">
        <v>292</v>
      </c>
      <c r="B284" s="6">
        <v>12</v>
      </c>
      <c r="C284" s="6"/>
      <c r="D284" s="8">
        <v>0</v>
      </c>
      <c r="E284" s="8">
        <v>0</v>
      </c>
      <c r="F284" s="8">
        <v>394</v>
      </c>
      <c r="G284" s="8">
        <v>34234181</v>
      </c>
      <c r="H284" s="8">
        <v>394</v>
      </c>
      <c r="I284" s="8">
        <v>34234181</v>
      </c>
      <c r="J284" s="8">
        <v>0</v>
      </c>
      <c r="K284" s="8">
        <v>0</v>
      </c>
    </row>
    <row r="285" spans="1:13" x14ac:dyDescent="0.2">
      <c r="A285" s="6"/>
      <c r="B285" s="6"/>
      <c r="C285" s="6"/>
      <c r="D285" s="5"/>
      <c r="E285" s="5">
        <v>15756884474</v>
      </c>
      <c r="F285" s="5"/>
      <c r="G285" s="5">
        <v>14455017684</v>
      </c>
      <c r="H285" s="5"/>
      <c r="I285" s="5">
        <v>14475829845</v>
      </c>
      <c r="J285" s="5"/>
      <c r="K285" s="5">
        <f>SUM(K3:K284)</f>
        <v>15736072313</v>
      </c>
      <c r="L285" s="13">
        <f>'Tháng 12'!J285</f>
        <v>15736072313</v>
      </c>
      <c r="M285" s="13">
        <f>K285-L285</f>
        <v>0</v>
      </c>
    </row>
  </sheetData>
  <mergeCells count="4">
    <mergeCell ref="D1:E1"/>
    <mergeCell ref="F1:G1"/>
    <mergeCell ref="H1:I1"/>
    <mergeCell ref="J1:K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W285"/>
  <sheetViews>
    <sheetView topLeftCell="A277" workbookViewId="0">
      <selection activeCell="I19" sqref="I19"/>
    </sheetView>
  </sheetViews>
  <sheetFormatPr defaultColWidth="12.5703125" defaultRowHeight="15.75" customHeight="1" x14ac:dyDescent="0.2"/>
  <cols>
    <col min="1" max="1" width="39.85546875" customWidth="1"/>
    <col min="2" max="2" width="6" customWidth="1"/>
    <col min="4" max="4" width="13.85546875" bestFit="1" customWidth="1"/>
    <col min="6" max="6" width="13.85546875" bestFit="1" customWidth="1"/>
    <col min="7" max="7" width="10.5703125" bestFit="1" customWidth="1"/>
    <col min="8" max="8" width="13.85546875" bestFit="1" customWidth="1"/>
    <col min="10" max="10" width="13.85546875" bestFit="1" customWidth="1"/>
  </cols>
  <sheetData>
    <row r="1" spans="1:23" x14ac:dyDescent="0.2">
      <c r="A1" s="1"/>
      <c r="B1" s="2"/>
      <c r="C1" s="210" t="s">
        <v>0</v>
      </c>
      <c r="D1" s="211"/>
      <c r="E1" s="210" t="s">
        <v>1</v>
      </c>
      <c r="F1" s="211"/>
      <c r="G1" s="210" t="s">
        <v>2</v>
      </c>
      <c r="H1" s="211"/>
      <c r="I1" s="210" t="s">
        <v>3</v>
      </c>
      <c r="J1" s="21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">
      <c r="A2" s="3" t="s">
        <v>4</v>
      </c>
      <c r="B2" s="4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6</v>
      </c>
      <c r="H2" s="5" t="s">
        <v>10</v>
      </c>
      <c r="I2" s="5" t="s">
        <v>6</v>
      </c>
      <c r="J2" s="5" t="s">
        <v>9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">
      <c r="A3" s="6" t="s">
        <v>11</v>
      </c>
      <c r="B3" s="6">
        <v>12</v>
      </c>
      <c r="C3" s="8">
        <v>226</v>
      </c>
      <c r="D3" s="8">
        <v>6255676</v>
      </c>
      <c r="E3" s="8">
        <v>100</v>
      </c>
      <c r="F3" s="8">
        <v>2774400</v>
      </c>
      <c r="G3" s="8">
        <v>100</v>
      </c>
      <c r="H3" s="8">
        <v>2769962</v>
      </c>
      <c r="I3" s="8">
        <v>226</v>
      </c>
      <c r="J3" s="8">
        <v>6260114</v>
      </c>
    </row>
    <row r="4" spans="1:23" x14ac:dyDescent="0.2">
      <c r="A4" s="6" t="s">
        <v>12</v>
      </c>
      <c r="B4" s="6">
        <v>12</v>
      </c>
      <c r="C4" s="8">
        <v>0</v>
      </c>
      <c r="D4" s="8">
        <v>0</v>
      </c>
      <c r="E4" s="8">
        <v>60</v>
      </c>
      <c r="F4" s="8">
        <v>1188660</v>
      </c>
      <c r="G4" s="8">
        <v>60</v>
      </c>
      <c r="H4" s="8">
        <v>1188660</v>
      </c>
      <c r="I4" s="8">
        <v>0</v>
      </c>
      <c r="J4" s="8">
        <v>0</v>
      </c>
    </row>
    <row r="5" spans="1:23" x14ac:dyDescent="0.2">
      <c r="A5" s="6" t="s">
        <v>13</v>
      </c>
      <c r="B5" s="6">
        <v>12</v>
      </c>
      <c r="C5" s="8">
        <v>587</v>
      </c>
      <c r="D5" s="8">
        <v>19248466</v>
      </c>
      <c r="E5" s="8">
        <v>0</v>
      </c>
      <c r="F5" s="8">
        <v>0</v>
      </c>
      <c r="G5" s="8">
        <v>455</v>
      </c>
      <c r="H5" s="8">
        <v>14931342</v>
      </c>
      <c r="I5" s="8">
        <v>132</v>
      </c>
      <c r="J5" s="8">
        <v>4317124</v>
      </c>
    </row>
    <row r="6" spans="1:23" x14ac:dyDescent="0.2">
      <c r="A6" s="6" t="s">
        <v>14</v>
      </c>
      <c r="B6" s="6">
        <v>12</v>
      </c>
      <c r="C6" s="8">
        <v>120</v>
      </c>
      <c r="D6" s="8">
        <v>35752144</v>
      </c>
      <c r="E6" s="8">
        <v>0</v>
      </c>
      <c r="F6" s="8">
        <v>0</v>
      </c>
      <c r="G6" s="8">
        <v>120</v>
      </c>
      <c r="H6" s="8">
        <v>35752144</v>
      </c>
      <c r="I6" s="8">
        <v>0</v>
      </c>
      <c r="J6" s="8">
        <v>0</v>
      </c>
    </row>
    <row r="7" spans="1:23" s="12" customFormat="1" x14ac:dyDescent="0.2">
      <c r="A7" s="10" t="s">
        <v>15</v>
      </c>
      <c r="B7" s="10">
        <v>12</v>
      </c>
      <c r="C7" s="11">
        <v>504</v>
      </c>
      <c r="D7" s="11">
        <v>68557545</v>
      </c>
      <c r="E7" s="11">
        <v>0</v>
      </c>
      <c r="F7" s="11">
        <v>0</v>
      </c>
      <c r="G7" s="11">
        <v>277</v>
      </c>
      <c r="H7" s="11">
        <v>37679444</v>
      </c>
      <c r="I7" s="11">
        <v>227</v>
      </c>
      <c r="J7" s="11">
        <v>30878101</v>
      </c>
    </row>
    <row r="8" spans="1:23" s="12" customFormat="1" x14ac:dyDescent="0.2">
      <c r="A8" s="10" t="s">
        <v>16</v>
      </c>
      <c r="B8" s="10">
        <v>12</v>
      </c>
      <c r="C8" s="11">
        <v>344</v>
      </c>
      <c r="D8" s="11">
        <v>53839916</v>
      </c>
      <c r="E8" s="11">
        <v>0</v>
      </c>
      <c r="F8" s="11">
        <v>0</v>
      </c>
      <c r="G8" s="11">
        <v>194</v>
      </c>
      <c r="H8" s="11">
        <v>30363208</v>
      </c>
      <c r="I8" s="11">
        <v>150</v>
      </c>
      <c r="J8" s="11">
        <v>23476708</v>
      </c>
    </row>
    <row r="9" spans="1:23" x14ac:dyDescent="0.2">
      <c r="A9" s="6" t="s">
        <v>17</v>
      </c>
      <c r="B9" s="6">
        <v>12</v>
      </c>
      <c r="C9" s="8">
        <v>153</v>
      </c>
      <c r="D9" s="8">
        <v>36613751</v>
      </c>
      <c r="E9" s="8">
        <v>0</v>
      </c>
      <c r="F9" s="8">
        <v>0</v>
      </c>
      <c r="G9" s="8">
        <v>153</v>
      </c>
      <c r="H9" s="8">
        <v>36613751</v>
      </c>
      <c r="I9" s="8">
        <v>0</v>
      </c>
      <c r="J9" s="8">
        <v>0</v>
      </c>
    </row>
    <row r="10" spans="1:23" x14ac:dyDescent="0.2">
      <c r="A10" s="6" t="s">
        <v>18</v>
      </c>
      <c r="B10" s="6">
        <v>12</v>
      </c>
      <c r="C10" s="8">
        <v>554</v>
      </c>
      <c r="D10" s="8">
        <v>12063982</v>
      </c>
      <c r="E10" s="8">
        <v>0</v>
      </c>
      <c r="F10" s="8">
        <v>0</v>
      </c>
      <c r="G10" s="8">
        <v>438</v>
      </c>
      <c r="H10" s="8">
        <v>9537950</v>
      </c>
      <c r="I10" s="8">
        <v>116</v>
      </c>
      <c r="J10" s="8">
        <v>2526032</v>
      </c>
    </row>
    <row r="11" spans="1:23" x14ac:dyDescent="0.2">
      <c r="A11" s="6" t="s">
        <v>19</v>
      </c>
      <c r="B11" s="6">
        <v>12</v>
      </c>
      <c r="C11" s="8">
        <v>180</v>
      </c>
      <c r="D11" s="8">
        <v>3904035</v>
      </c>
      <c r="E11" s="8">
        <v>0</v>
      </c>
      <c r="F11" s="8">
        <v>0</v>
      </c>
      <c r="G11" s="8">
        <v>102</v>
      </c>
      <c r="H11" s="8">
        <v>2212287</v>
      </c>
      <c r="I11" s="8">
        <v>78</v>
      </c>
      <c r="J11" s="8">
        <v>1691748</v>
      </c>
    </row>
    <row r="12" spans="1:23" x14ac:dyDescent="0.2">
      <c r="A12" s="6" t="s">
        <v>20</v>
      </c>
      <c r="B12" s="6">
        <v>12</v>
      </c>
      <c r="C12" s="8">
        <v>295</v>
      </c>
      <c r="D12" s="8">
        <v>31404753</v>
      </c>
      <c r="E12" s="8">
        <v>0</v>
      </c>
      <c r="F12" s="8">
        <v>0</v>
      </c>
      <c r="G12" s="8">
        <v>277</v>
      </c>
      <c r="H12" s="8">
        <v>29488531</v>
      </c>
      <c r="I12" s="8">
        <v>18</v>
      </c>
      <c r="J12" s="8">
        <v>1916222</v>
      </c>
    </row>
    <row r="13" spans="1:23" x14ac:dyDescent="0.2">
      <c r="A13" s="6" t="s">
        <v>21</v>
      </c>
      <c r="B13" s="6">
        <v>12</v>
      </c>
      <c r="C13" s="8">
        <v>170</v>
      </c>
      <c r="D13" s="8">
        <v>40681945</v>
      </c>
      <c r="E13" s="8">
        <v>0</v>
      </c>
      <c r="F13" s="8">
        <v>0</v>
      </c>
      <c r="G13" s="8">
        <v>122</v>
      </c>
      <c r="H13" s="8">
        <v>29195278</v>
      </c>
      <c r="I13" s="8">
        <v>48</v>
      </c>
      <c r="J13" s="8">
        <v>11486667</v>
      </c>
    </row>
    <row r="14" spans="1:23" x14ac:dyDescent="0.2">
      <c r="A14" s="6" t="s">
        <v>22</v>
      </c>
      <c r="B14" s="6">
        <v>12</v>
      </c>
      <c r="C14" s="8">
        <v>18</v>
      </c>
      <c r="D14" s="8">
        <v>407934</v>
      </c>
      <c r="E14" s="8">
        <v>0</v>
      </c>
      <c r="F14" s="8">
        <v>0</v>
      </c>
      <c r="G14" s="8">
        <v>18</v>
      </c>
      <c r="H14" s="8">
        <v>407934</v>
      </c>
      <c r="I14" s="8">
        <v>0</v>
      </c>
      <c r="J14" s="8">
        <v>0</v>
      </c>
    </row>
    <row r="15" spans="1:23" x14ac:dyDescent="0.2">
      <c r="A15" s="6" t="s">
        <v>23</v>
      </c>
      <c r="B15" s="6">
        <v>12</v>
      </c>
      <c r="C15" s="8">
        <v>0</v>
      </c>
      <c r="D15" s="8">
        <v>0</v>
      </c>
      <c r="E15" s="8">
        <v>3</v>
      </c>
      <c r="F15" s="8">
        <v>57891</v>
      </c>
      <c r="G15" s="8">
        <v>3</v>
      </c>
      <c r="H15" s="8">
        <v>57891</v>
      </c>
      <c r="I15" s="8">
        <v>0</v>
      </c>
      <c r="J15" s="8">
        <v>0</v>
      </c>
    </row>
    <row r="16" spans="1:23" x14ac:dyDescent="0.2">
      <c r="A16" s="6" t="s">
        <v>24</v>
      </c>
      <c r="B16" s="6">
        <v>12</v>
      </c>
      <c r="C16" s="8">
        <v>0</v>
      </c>
      <c r="D16" s="8">
        <v>0</v>
      </c>
      <c r="E16" s="8">
        <v>12</v>
      </c>
      <c r="F16" s="8">
        <v>231564</v>
      </c>
      <c r="G16" s="8">
        <v>12</v>
      </c>
      <c r="H16" s="8">
        <v>231564</v>
      </c>
      <c r="I16" s="8">
        <v>0</v>
      </c>
      <c r="J16" s="8">
        <v>0</v>
      </c>
    </row>
    <row r="17" spans="1:10" x14ac:dyDescent="0.2">
      <c r="A17" s="6" t="s">
        <v>25</v>
      </c>
      <c r="B17" s="6">
        <v>12</v>
      </c>
      <c r="C17" s="8">
        <v>72</v>
      </c>
      <c r="D17" s="8">
        <v>1533524</v>
      </c>
      <c r="E17" s="8">
        <v>35</v>
      </c>
      <c r="F17" s="8">
        <v>745360</v>
      </c>
      <c r="G17" s="8">
        <v>70</v>
      </c>
      <c r="H17" s="8">
        <v>1490606</v>
      </c>
      <c r="I17" s="8">
        <v>37</v>
      </c>
      <c r="J17" s="8">
        <v>788278</v>
      </c>
    </row>
    <row r="18" spans="1:10" x14ac:dyDescent="0.2">
      <c r="A18" s="6" t="s">
        <v>26</v>
      </c>
      <c r="B18" s="6">
        <v>12</v>
      </c>
      <c r="C18" s="8">
        <v>96</v>
      </c>
      <c r="D18" s="8">
        <v>2486575</v>
      </c>
      <c r="E18" s="8">
        <v>51</v>
      </c>
      <c r="F18" s="8">
        <v>1322226</v>
      </c>
      <c r="G18" s="8">
        <v>15</v>
      </c>
      <c r="H18" s="8">
        <v>388653</v>
      </c>
      <c r="I18" s="8">
        <v>132</v>
      </c>
      <c r="J18" s="8">
        <v>3420148</v>
      </c>
    </row>
    <row r="19" spans="1:10" x14ac:dyDescent="0.2">
      <c r="A19" s="6" t="s">
        <v>27</v>
      </c>
      <c r="B19" s="6">
        <v>12</v>
      </c>
      <c r="C19" s="8">
        <v>67</v>
      </c>
      <c r="D19" s="8">
        <v>2083589</v>
      </c>
      <c r="E19" s="8">
        <v>0</v>
      </c>
      <c r="F19" s="8">
        <v>0</v>
      </c>
      <c r="G19" s="8">
        <v>5</v>
      </c>
      <c r="H19" s="8">
        <v>155492</v>
      </c>
      <c r="I19" s="8">
        <v>62</v>
      </c>
      <c r="J19" s="8">
        <v>1928097</v>
      </c>
    </row>
    <row r="20" spans="1:10" x14ac:dyDescent="0.2">
      <c r="A20" s="6" t="s">
        <v>28</v>
      </c>
      <c r="B20" s="6">
        <v>12</v>
      </c>
      <c r="C20" s="8">
        <v>650</v>
      </c>
      <c r="D20" s="8">
        <v>74700000</v>
      </c>
      <c r="E20" s="8">
        <v>160</v>
      </c>
      <c r="F20" s="8">
        <v>18432000</v>
      </c>
      <c r="G20" s="8">
        <v>0</v>
      </c>
      <c r="H20" s="8">
        <v>0</v>
      </c>
      <c r="I20" s="8">
        <v>810</v>
      </c>
      <c r="J20" s="8">
        <v>93132000</v>
      </c>
    </row>
    <row r="21" spans="1:10" x14ac:dyDescent="0.2">
      <c r="A21" s="6" t="s">
        <v>29</v>
      </c>
      <c r="B21" s="6">
        <v>12</v>
      </c>
      <c r="C21" s="8">
        <v>280</v>
      </c>
      <c r="D21" s="8">
        <v>74052080</v>
      </c>
      <c r="E21" s="8">
        <v>0</v>
      </c>
      <c r="F21" s="8">
        <v>0</v>
      </c>
      <c r="G21" s="8">
        <v>0</v>
      </c>
      <c r="H21" s="8">
        <v>0</v>
      </c>
      <c r="I21" s="8">
        <v>280</v>
      </c>
      <c r="J21" s="8">
        <v>74052080</v>
      </c>
    </row>
    <row r="22" spans="1:10" x14ac:dyDescent="0.2">
      <c r="A22" s="6" t="s">
        <v>30</v>
      </c>
      <c r="B22" s="6">
        <v>12</v>
      </c>
      <c r="C22" s="8">
        <v>102</v>
      </c>
      <c r="D22" s="8">
        <v>19779439</v>
      </c>
      <c r="E22" s="8">
        <v>0</v>
      </c>
      <c r="F22" s="8">
        <v>0</v>
      </c>
      <c r="G22" s="8">
        <v>100</v>
      </c>
      <c r="H22" s="8">
        <v>19391607</v>
      </c>
      <c r="I22" s="8">
        <v>2</v>
      </c>
      <c r="J22" s="8">
        <v>387832</v>
      </c>
    </row>
    <row r="23" spans="1:10" x14ac:dyDescent="0.2">
      <c r="A23" s="6" t="s">
        <v>31</v>
      </c>
      <c r="B23" s="6">
        <v>12</v>
      </c>
      <c r="C23" s="8">
        <v>0</v>
      </c>
      <c r="D23" s="8">
        <v>0</v>
      </c>
      <c r="E23" s="8">
        <v>50</v>
      </c>
      <c r="F23" s="8">
        <v>8509100</v>
      </c>
      <c r="G23" s="8">
        <v>0</v>
      </c>
      <c r="H23" s="8">
        <v>0</v>
      </c>
      <c r="I23" s="8">
        <v>50</v>
      </c>
      <c r="J23" s="8">
        <v>8509100</v>
      </c>
    </row>
    <row r="24" spans="1:10" x14ac:dyDescent="0.2">
      <c r="A24" s="6" t="s">
        <v>32</v>
      </c>
      <c r="B24" s="6">
        <v>12</v>
      </c>
      <c r="C24" s="8">
        <v>137</v>
      </c>
      <c r="D24" s="8">
        <v>22821826</v>
      </c>
      <c r="E24" s="8">
        <v>0</v>
      </c>
      <c r="F24" s="8">
        <v>0</v>
      </c>
      <c r="G24" s="8">
        <v>20</v>
      </c>
      <c r="H24" s="8">
        <v>3331653</v>
      </c>
      <c r="I24" s="8">
        <v>117</v>
      </c>
      <c r="J24" s="8">
        <v>19490173</v>
      </c>
    </row>
    <row r="25" spans="1:10" x14ac:dyDescent="0.2">
      <c r="A25" s="6" t="s">
        <v>33</v>
      </c>
      <c r="B25" s="6">
        <v>12</v>
      </c>
      <c r="C25" s="8">
        <v>106</v>
      </c>
      <c r="D25" s="8">
        <v>16323470</v>
      </c>
      <c r="E25" s="8">
        <v>45</v>
      </c>
      <c r="F25" s="8">
        <v>10556505</v>
      </c>
      <c r="G25" s="8">
        <v>28</v>
      </c>
      <c r="H25" s="8">
        <v>4984366</v>
      </c>
      <c r="I25" s="8">
        <v>123</v>
      </c>
      <c r="J25" s="8">
        <v>21895609</v>
      </c>
    </row>
    <row r="26" spans="1:10" x14ac:dyDescent="0.2">
      <c r="A26" s="6" t="s">
        <v>34</v>
      </c>
      <c r="B26" s="6">
        <v>12</v>
      </c>
      <c r="C26" s="8">
        <v>94</v>
      </c>
      <c r="D26" s="8">
        <v>17372116</v>
      </c>
      <c r="E26" s="8">
        <v>40</v>
      </c>
      <c r="F26" s="8">
        <v>9383560</v>
      </c>
      <c r="G26" s="8">
        <v>50</v>
      </c>
      <c r="H26" s="8">
        <v>9983461</v>
      </c>
      <c r="I26" s="8">
        <v>84</v>
      </c>
      <c r="J26" s="8">
        <v>16772215</v>
      </c>
    </row>
    <row r="27" spans="1:10" x14ac:dyDescent="0.2">
      <c r="A27" s="6" t="s">
        <v>35</v>
      </c>
      <c r="B27" s="6">
        <v>12</v>
      </c>
      <c r="C27" s="8">
        <v>351</v>
      </c>
      <c r="D27" s="8">
        <v>40194000</v>
      </c>
      <c r="E27" s="8">
        <v>0</v>
      </c>
      <c r="F27" s="8">
        <v>0</v>
      </c>
      <c r="G27" s="8">
        <v>0</v>
      </c>
      <c r="H27" s="8">
        <v>0</v>
      </c>
      <c r="I27" s="8">
        <v>351</v>
      </c>
      <c r="J27" s="8">
        <v>40194000</v>
      </c>
    </row>
    <row r="28" spans="1:10" x14ac:dyDescent="0.2">
      <c r="A28" s="6" t="s">
        <v>36</v>
      </c>
      <c r="B28" s="6">
        <v>12</v>
      </c>
      <c r="C28" s="8">
        <v>40</v>
      </c>
      <c r="D28" s="8">
        <v>1818200</v>
      </c>
      <c r="E28" s="8">
        <v>0</v>
      </c>
      <c r="F28" s="8">
        <v>0</v>
      </c>
      <c r="G28" s="8">
        <v>0</v>
      </c>
      <c r="H28" s="8">
        <v>0</v>
      </c>
      <c r="I28" s="8">
        <v>40</v>
      </c>
      <c r="J28" s="8">
        <v>1818200</v>
      </c>
    </row>
    <row r="29" spans="1:10" x14ac:dyDescent="0.2">
      <c r="A29" s="6" t="s">
        <v>37</v>
      </c>
      <c r="B29" s="6">
        <v>12</v>
      </c>
      <c r="C29" s="8">
        <v>833</v>
      </c>
      <c r="D29" s="8">
        <v>46378988</v>
      </c>
      <c r="E29" s="8">
        <v>4571</v>
      </c>
      <c r="F29" s="8">
        <v>254508576</v>
      </c>
      <c r="G29" s="8">
        <v>5404</v>
      </c>
      <c r="H29" s="8">
        <v>300887564</v>
      </c>
      <c r="I29" s="8">
        <v>0</v>
      </c>
      <c r="J29" s="8">
        <v>0</v>
      </c>
    </row>
    <row r="30" spans="1:10" x14ac:dyDescent="0.2">
      <c r="A30" s="6" t="s">
        <v>38</v>
      </c>
      <c r="B30" s="6">
        <v>12</v>
      </c>
      <c r="C30" s="8">
        <v>273867</v>
      </c>
      <c r="D30" s="8">
        <v>255643095</v>
      </c>
      <c r="E30" s="8">
        <v>8568</v>
      </c>
      <c r="F30" s="8">
        <v>267390144</v>
      </c>
      <c r="G30" s="8">
        <v>8950</v>
      </c>
      <c r="H30" s="8">
        <v>279311599</v>
      </c>
      <c r="I30" s="8">
        <v>273485</v>
      </c>
      <c r="J30" s="8">
        <v>243721640</v>
      </c>
    </row>
    <row r="31" spans="1:10" x14ac:dyDescent="0.2">
      <c r="A31" s="6" t="s">
        <v>39</v>
      </c>
      <c r="B31" s="6">
        <v>12</v>
      </c>
      <c r="C31" s="8">
        <v>25915</v>
      </c>
      <c r="D31" s="8">
        <v>50321430</v>
      </c>
      <c r="E31" s="8">
        <v>1500</v>
      </c>
      <c r="F31" s="8">
        <v>54276000</v>
      </c>
      <c r="G31" s="8">
        <v>2339</v>
      </c>
      <c r="H31" s="8">
        <v>84634375</v>
      </c>
      <c r="I31" s="8">
        <v>25076</v>
      </c>
      <c r="J31" s="8">
        <v>19963055</v>
      </c>
    </row>
    <row r="32" spans="1:10" x14ac:dyDescent="0.2">
      <c r="A32" s="6" t="s">
        <v>40</v>
      </c>
      <c r="B32" s="6">
        <v>12</v>
      </c>
      <c r="C32" s="8">
        <v>2430</v>
      </c>
      <c r="D32" s="8">
        <v>87927120</v>
      </c>
      <c r="E32" s="8">
        <v>0</v>
      </c>
      <c r="F32" s="8">
        <v>0</v>
      </c>
      <c r="G32" s="8">
        <v>0</v>
      </c>
      <c r="H32" s="8">
        <v>0</v>
      </c>
      <c r="I32" s="8">
        <v>2430</v>
      </c>
      <c r="J32" s="8">
        <v>87927120</v>
      </c>
    </row>
    <row r="33" spans="1:10" x14ac:dyDescent="0.2">
      <c r="A33" s="6" t="s">
        <v>41</v>
      </c>
      <c r="B33" s="6">
        <v>12</v>
      </c>
      <c r="C33" s="8">
        <v>0</v>
      </c>
      <c r="D33" s="8">
        <v>189538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189538</v>
      </c>
    </row>
    <row r="34" spans="1:10" x14ac:dyDescent="0.2">
      <c r="A34" s="6" t="s">
        <v>42</v>
      </c>
      <c r="B34" s="6">
        <v>12</v>
      </c>
      <c r="C34" s="8">
        <v>160</v>
      </c>
      <c r="D34" s="8">
        <v>8538638</v>
      </c>
      <c r="E34" s="8">
        <v>0</v>
      </c>
      <c r="F34" s="8">
        <v>0</v>
      </c>
      <c r="G34" s="8">
        <v>30</v>
      </c>
      <c r="H34" s="8">
        <v>1526583</v>
      </c>
      <c r="I34" s="8">
        <v>130</v>
      </c>
      <c r="J34" s="8">
        <v>7012055</v>
      </c>
    </row>
    <row r="35" spans="1:10" x14ac:dyDescent="0.2">
      <c r="A35" s="6" t="s">
        <v>43</v>
      </c>
      <c r="B35" s="6">
        <v>12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</row>
    <row r="36" spans="1:10" x14ac:dyDescent="0.2">
      <c r="A36" s="6" t="s">
        <v>44</v>
      </c>
      <c r="B36" s="6">
        <v>12</v>
      </c>
      <c r="C36" s="8">
        <v>9485</v>
      </c>
      <c r="D36" s="8">
        <v>33640650</v>
      </c>
      <c r="E36" s="8">
        <v>1050</v>
      </c>
      <c r="F36" s="8">
        <v>37993200</v>
      </c>
      <c r="G36" s="8">
        <v>1080</v>
      </c>
      <c r="H36" s="8">
        <v>39077621</v>
      </c>
      <c r="I36" s="8">
        <v>9455</v>
      </c>
      <c r="J36" s="8">
        <v>32556229</v>
      </c>
    </row>
    <row r="37" spans="1:10" x14ac:dyDescent="0.2">
      <c r="A37" s="6" t="s">
        <v>45</v>
      </c>
      <c r="B37" s="6">
        <v>12</v>
      </c>
      <c r="C37" s="8">
        <v>320</v>
      </c>
      <c r="D37" s="8">
        <v>11571799</v>
      </c>
      <c r="E37" s="8">
        <v>405</v>
      </c>
      <c r="F37" s="8">
        <v>14654520</v>
      </c>
      <c r="G37" s="8">
        <v>630</v>
      </c>
      <c r="H37" s="8">
        <v>22789767</v>
      </c>
      <c r="I37" s="8">
        <v>95</v>
      </c>
      <c r="J37" s="8">
        <v>3436552</v>
      </c>
    </row>
    <row r="38" spans="1:10" x14ac:dyDescent="0.2">
      <c r="A38" s="6" t="s">
        <v>46</v>
      </c>
      <c r="B38" s="6">
        <v>12</v>
      </c>
      <c r="C38" s="8">
        <v>270</v>
      </c>
      <c r="D38" s="8">
        <v>9896208</v>
      </c>
      <c r="E38" s="8">
        <v>120</v>
      </c>
      <c r="F38" s="8">
        <v>4342080</v>
      </c>
      <c r="G38" s="8">
        <v>325</v>
      </c>
      <c r="H38" s="8">
        <v>11669303</v>
      </c>
      <c r="I38" s="8">
        <v>65</v>
      </c>
      <c r="J38" s="8">
        <v>2568985</v>
      </c>
    </row>
    <row r="39" spans="1:10" x14ac:dyDescent="0.2">
      <c r="A39" s="6" t="s">
        <v>47</v>
      </c>
      <c r="B39" s="6">
        <v>12</v>
      </c>
      <c r="C39" s="8">
        <v>1500</v>
      </c>
      <c r="D39" s="8">
        <v>7597338</v>
      </c>
      <c r="E39" s="8">
        <v>250</v>
      </c>
      <c r="F39" s="8">
        <v>1273250</v>
      </c>
      <c r="G39" s="8">
        <v>755</v>
      </c>
      <c r="H39" s="8">
        <v>3827026</v>
      </c>
      <c r="I39" s="8">
        <v>995</v>
      </c>
      <c r="J39" s="8">
        <v>5043562</v>
      </c>
    </row>
    <row r="40" spans="1:10" x14ac:dyDescent="0.2">
      <c r="A40" s="6" t="s">
        <v>48</v>
      </c>
      <c r="B40" s="6">
        <v>12</v>
      </c>
      <c r="C40" s="8">
        <v>192</v>
      </c>
      <c r="D40" s="8">
        <v>4111968</v>
      </c>
      <c r="E40" s="8">
        <v>48</v>
      </c>
      <c r="F40" s="8">
        <v>933312</v>
      </c>
      <c r="G40" s="8">
        <v>0</v>
      </c>
      <c r="H40" s="8">
        <v>0</v>
      </c>
      <c r="I40" s="8">
        <v>240</v>
      </c>
      <c r="J40" s="8">
        <v>5045280</v>
      </c>
    </row>
    <row r="41" spans="1:10" x14ac:dyDescent="0.2">
      <c r="A41" s="6" t="s">
        <v>49</v>
      </c>
      <c r="B41" s="6">
        <v>12</v>
      </c>
      <c r="C41" s="8">
        <v>4020</v>
      </c>
      <c r="D41" s="8">
        <v>19708744</v>
      </c>
      <c r="E41" s="8">
        <v>3360</v>
      </c>
      <c r="F41" s="8">
        <v>16487520</v>
      </c>
      <c r="G41" s="8">
        <v>5810</v>
      </c>
      <c r="H41" s="8">
        <v>28495976</v>
      </c>
      <c r="I41" s="8">
        <v>1570</v>
      </c>
      <c r="J41" s="8">
        <v>7700288</v>
      </c>
    </row>
    <row r="42" spans="1:10" x14ac:dyDescent="0.2">
      <c r="A42" s="6" t="s">
        <v>50</v>
      </c>
      <c r="B42" s="6">
        <v>12</v>
      </c>
      <c r="C42" s="8">
        <v>750</v>
      </c>
      <c r="D42" s="8">
        <v>2517000</v>
      </c>
      <c r="E42" s="8">
        <v>0</v>
      </c>
      <c r="F42" s="8">
        <v>0</v>
      </c>
      <c r="G42" s="8">
        <v>0</v>
      </c>
      <c r="H42" s="8">
        <v>0</v>
      </c>
      <c r="I42" s="8">
        <v>750</v>
      </c>
      <c r="J42" s="8">
        <v>2517000</v>
      </c>
    </row>
    <row r="43" spans="1:10" x14ac:dyDescent="0.2">
      <c r="A43" s="6" t="s">
        <v>51</v>
      </c>
      <c r="B43" s="6">
        <v>12</v>
      </c>
      <c r="C43" s="8">
        <v>1350</v>
      </c>
      <c r="D43" s="8">
        <v>5561964</v>
      </c>
      <c r="E43" s="8">
        <v>200</v>
      </c>
      <c r="F43" s="8">
        <v>833400</v>
      </c>
      <c r="G43" s="8">
        <v>780</v>
      </c>
      <c r="H43" s="8">
        <v>3218313</v>
      </c>
      <c r="I43" s="8">
        <v>770</v>
      </c>
      <c r="J43" s="8">
        <v>3177051</v>
      </c>
    </row>
    <row r="44" spans="1:10" x14ac:dyDescent="0.2">
      <c r="A44" s="6" t="s">
        <v>52</v>
      </c>
      <c r="B44" s="6">
        <v>12</v>
      </c>
      <c r="C44" s="8">
        <v>1676</v>
      </c>
      <c r="D44" s="8">
        <v>38641471</v>
      </c>
      <c r="E44" s="8">
        <v>288</v>
      </c>
      <c r="F44" s="8">
        <v>6666624</v>
      </c>
      <c r="G44" s="8">
        <v>256</v>
      </c>
      <c r="H44" s="8">
        <v>5905739</v>
      </c>
      <c r="I44" s="8">
        <v>1708</v>
      </c>
      <c r="J44" s="8">
        <v>39402356</v>
      </c>
    </row>
    <row r="45" spans="1:10" x14ac:dyDescent="0.2">
      <c r="A45" s="6" t="s">
        <v>53</v>
      </c>
      <c r="B45" s="6">
        <v>12</v>
      </c>
      <c r="C45" s="8">
        <v>0</v>
      </c>
      <c r="D45" s="8">
        <v>0</v>
      </c>
      <c r="E45" s="8">
        <v>3600</v>
      </c>
      <c r="F45" s="8">
        <v>38332800</v>
      </c>
      <c r="G45" s="8">
        <v>10</v>
      </c>
      <c r="H45" s="8">
        <v>106480</v>
      </c>
      <c r="I45" s="8">
        <v>3590</v>
      </c>
      <c r="J45" s="8">
        <v>38226320</v>
      </c>
    </row>
    <row r="46" spans="1:10" x14ac:dyDescent="0.2">
      <c r="A46" s="6" t="s">
        <v>54</v>
      </c>
      <c r="B46" s="6">
        <v>12</v>
      </c>
      <c r="C46" s="8">
        <v>4478</v>
      </c>
      <c r="D46" s="8">
        <v>65694476</v>
      </c>
      <c r="E46" s="8">
        <v>9176</v>
      </c>
      <c r="F46" s="8">
        <v>133335000</v>
      </c>
      <c r="G46" s="8">
        <v>7962</v>
      </c>
      <c r="H46" s="8">
        <v>116059227</v>
      </c>
      <c r="I46" s="8">
        <v>5692</v>
      </c>
      <c r="J46" s="8">
        <v>82970249</v>
      </c>
    </row>
    <row r="47" spans="1:10" x14ac:dyDescent="0.2">
      <c r="A47" s="6" t="s">
        <v>55</v>
      </c>
      <c r="B47" s="6">
        <v>12</v>
      </c>
      <c r="C47" s="8">
        <v>162</v>
      </c>
      <c r="D47" s="8">
        <v>14271796</v>
      </c>
      <c r="E47" s="8">
        <v>102</v>
      </c>
      <c r="F47" s="8">
        <v>9019452</v>
      </c>
      <c r="G47" s="8">
        <v>6</v>
      </c>
      <c r="H47" s="8">
        <v>529347</v>
      </c>
      <c r="I47" s="8">
        <v>258</v>
      </c>
      <c r="J47" s="8">
        <v>22761901</v>
      </c>
    </row>
    <row r="48" spans="1:10" x14ac:dyDescent="0.2">
      <c r="A48" s="6" t="s">
        <v>56</v>
      </c>
      <c r="B48" s="6">
        <v>12</v>
      </c>
      <c r="C48" s="8">
        <v>864</v>
      </c>
      <c r="D48" s="8">
        <v>8294400</v>
      </c>
      <c r="E48" s="8">
        <v>192</v>
      </c>
      <c r="F48" s="8">
        <v>1848960</v>
      </c>
      <c r="G48" s="8">
        <v>0</v>
      </c>
      <c r="H48" s="8">
        <v>0</v>
      </c>
      <c r="I48" s="8">
        <v>1056</v>
      </c>
      <c r="J48" s="8">
        <v>10143360</v>
      </c>
    </row>
    <row r="49" spans="1:10" x14ac:dyDescent="0.2">
      <c r="A49" s="6" t="s">
        <v>57</v>
      </c>
      <c r="B49" s="6">
        <v>12</v>
      </c>
      <c r="C49" s="8">
        <v>758</v>
      </c>
      <c r="D49" s="8">
        <v>13116517</v>
      </c>
      <c r="E49" s="8">
        <v>168</v>
      </c>
      <c r="F49" s="8">
        <v>2955624</v>
      </c>
      <c r="G49" s="8">
        <v>160</v>
      </c>
      <c r="H49" s="8">
        <v>2777044</v>
      </c>
      <c r="I49" s="8">
        <v>766</v>
      </c>
      <c r="J49" s="8">
        <v>13295097</v>
      </c>
    </row>
    <row r="50" spans="1:10" x14ac:dyDescent="0.2">
      <c r="A50" s="6" t="s">
        <v>58</v>
      </c>
      <c r="B50" s="6">
        <v>12</v>
      </c>
      <c r="C50" s="8">
        <v>3660</v>
      </c>
      <c r="D50" s="8">
        <v>31105758</v>
      </c>
      <c r="E50" s="8">
        <v>816</v>
      </c>
      <c r="F50" s="8">
        <v>7026576</v>
      </c>
      <c r="G50" s="8">
        <v>1584</v>
      </c>
      <c r="H50" s="8">
        <v>13494553</v>
      </c>
      <c r="I50" s="8">
        <v>2892</v>
      </c>
      <c r="J50" s="8">
        <v>24637781</v>
      </c>
    </row>
    <row r="51" spans="1:10" x14ac:dyDescent="0.2">
      <c r="A51" s="6" t="s">
        <v>59</v>
      </c>
      <c r="B51" s="6">
        <v>12</v>
      </c>
      <c r="C51" s="8">
        <v>4076</v>
      </c>
      <c r="D51" s="8">
        <v>66900098</v>
      </c>
      <c r="E51" s="8">
        <v>2466</v>
      </c>
      <c r="F51" s="8">
        <v>30000600</v>
      </c>
      <c r="G51" s="8">
        <v>3694</v>
      </c>
      <c r="H51" s="8">
        <v>54715863</v>
      </c>
      <c r="I51" s="8">
        <v>2848</v>
      </c>
      <c r="J51" s="8">
        <v>42184835</v>
      </c>
    </row>
    <row r="52" spans="1:10" x14ac:dyDescent="0.2">
      <c r="A52" s="6" t="s">
        <v>60</v>
      </c>
      <c r="B52" s="6">
        <v>12</v>
      </c>
      <c r="C52" s="8">
        <v>3051</v>
      </c>
      <c r="D52" s="8">
        <v>99561656</v>
      </c>
      <c r="E52" s="8">
        <v>1476</v>
      </c>
      <c r="F52" s="8">
        <v>51966396</v>
      </c>
      <c r="G52" s="8">
        <v>2890</v>
      </c>
      <c r="H52" s="8">
        <v>96734277</v>
      </c>
      <c r="I52" s="8">
        <v>1637</v>
      </c>
      <c r="J52" s="8">
        <v>54793775</v>
      </c>
    </row>
    <row r="53" spans="1:10" x14ac:dyDescent="0.2">
      <c r="A53" s="6" t="s">
        <v>61</v>
      </c>
      <c r="B53" s="6">
        <v>12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</row>
    <row r="54" spans="1:10" x14ac:dyDescent="0.2">
      <c r="A54" s="6" t="s">
        <v>62</v>
      </c>
      <c r="B54" s="6">
        <v>12</v>
      </c>
      <c r="C54" s="8">
        <v>4034</v>
      </c>
      <c r="D54" s="8">
        <v>19765883</v>
      </c>
      <c r="E54" s="8">
        <v>4080</v>
      </c>
      <c r="F54" s="8">
        <v>20020560</v>
      </c>
      <c r="G54" s="8">
        <v>6270</v>
      </c>
      <c r="H54" s="8">
        <v>30744515</v>
      </c>
      <c r="I54" s="8">
        <v>1844</v>
      </c>
      <c r="J54" s="8">
        <v>9041928</v>
      </c>
    </row>
    <row r="55" spans="1:10" x14ac:dyDescent="0.2">
      <c r="A55" s="6" t="s">
        <v>63</v>
      </c>
      <c r="B55" s="6">
        <v>12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</row>
    <row r="56" spans="1:10" x14ac:dyDescent="0.2">
      <c r="A56" s="6" t="s">
        <v>64</v>
      </c>
      <c r="B56" s="6">
        <v>12</v>
      </c>
      <c r="C56" s="8">
        <v>25</v>
      </c>
      <c r="D56" s="8">
        <v>4861100</v>
      </c>
      <c r="E56" s="8">
        <v>0</v>
      </c>
      <c r="F56" s="8">
        <v>0</v>
      </c>
      <c r="G56" s="8">
        <v>0</v>
      </c>
      <c r="H56" s="8">
        <v>0</v>
      </c>
      <c r="I56" s="8">
        <v>25</v>
      </c>
      <c r="J56" s="8">
        <v>4861100</v>
      </c>
    </row>
    <row r="57" spans="1:10" x14ac:dyDescent="0.2">
      <c r="A57" s="6" t="s">
        <v>65</v>
      </c>
      <c r="B57" s="6">
        <v>12</v>
      </c>
      <c r="C57" s="8">
        <v>7</v>
      </c>
      <c r="D57" s="8">
        <v>1328705</v>
      </c>
      <c r="E57" s="8">
        <v>0</v>
      </c>
      <c r="F57" s="8">
        <v>0</v>
      </c>
      <c r="G57" s="8">
        <v>0</v>
      </c>
      <c r="H57" s="8">
        <v>0</v>
      </c>
      <c r="I57" s="8">
        <v>7</v>
      </c>
      <c r="J57" s="8">
        <v>1328705</v>
      </c>
    </row>
    <row r="58" spans="1:10" x14ac:dyDescent="0.2">
      <c r="A58" s="6" t="s">
        <v>66</v>
      </c>
      <c r="B58" s="6">
        <v>12</v>
      </c>
      <c r="C58" s="8">
        <v>3640</v>
      </c>
      <c r="D58" s="8">
        <v>56770482</v>
      </c>
      <c r="E58" s="8">
        <v>4421</v>
      </c>
      <c r="F58" s="8">
        <v>68567796</v>
      </c>
      <c r="G58" s="8">
        <v>6642</v>
      </c>
      <c r="H58" s="8">
        <v>103274636</v>
      </c>
      <c r="I58" s="8">
        <v>1419</v>
      </c>
      <c r="J58" s="8">
        <v>22063642</v>
      </c>
    </row>
    <row r="59" spans="1:10" x14ac:dyDescent="0.2">
      <c r="A59" s="6" t="s">
        <v>67</v>
      </c>
      <c r="B59" s="6">
        <v>12</v>
      </c>
      <c r="C59" s="8">
        <v>170</v>
      </c>
      <c r="D59" s="8">
        <v>1385264</v>
      </c>
      <c r="E59" s="8">
        <v>24</v>
      </c>
      <c r="F59" s="8">
        <v>400008</v>
      </c>
      <c r="G59" s="8">
        <v>3</v>
      </c>
      <c r="H59" s="8">
        <v>27607</v>
      </c>
      <c r="I59" s="8">
        <v>191</v>
      </c>
      <c r="J59" s="8">
        <v>1757665</v>
      </c>
    </row>
    <row r="60" spans="1:10" x14ac:dyDescent="0.2">
      <c r="A60" s="6" t="s">
        <v>68</v>
      </c>
      <c r="B60" s="6">
        <v>12</v>
      </c>
      <c r="C60" s="8">
        <v>384</v>
      </c>
      <c r="D60" s="8">
        <v>17725913</v>
      </c>
      <c r="E60" s="8">
        <v>0</v>
      </c>
      <c r="F60" s="8">
        <v>0</v>
      </c>
      <c r="G60" s="8">
        <v>20</v>
      </c>
      <c r="H60" s="8">
        <v>923225</v>
      </c>
      <c r="I60" s="8">
        <v>364</v>
      </c>
      <c r="J60" s="8">
        <v>16802688</v>
      </c>
    </row>
    <row r="61" spans="1:10" x14ac:dyDescent="0.2">
      <c r="A61" s="6" t="s">
        <v>69</v>
      </c>
      <c r="B61" s="6">
        <v>12</v>
      </c>
      <c r="C61" s="8">
        <v>156</v>
      </c>
      <c r="D61" s="8">
        <v>16177824</v>
      </c>
      <c r="E61" s="8">
        <v>0</v>
      </c>
      <c r="F61" s="8">
        <v>0</v>
      </c>
      <c r="G61" s="8">
        <v>6</v>
      </c>
      <c r="H61" s="8">
        <v>622224</v>
      </c>
      <c r="I61" s="8">
        <v>150</v>
      </c>
      <c r="J61" s="8">
        <v>15555600</v>
      </c>
    </row>
    <row r="62" spans="1:10" x14ac:dyDescent="0.2">
      <c r="A62" s="6" t="s">
        <v>70</v>
      </c>
      <c r="B62" s="6">
        <v>12</v>
      </c>
      <c r="C62" s="8">
        <v>84</v>
      </c>
      <c r="D62" s="8">
        <v>12133296</v>
      </c>
      <c r="E62" s="8">
        <v>0</v>
      </c>
      <c r="F62" s="8">
        <v>0</v>
      </c>
      <c r="G62" s="8">
        <v>5</v>
      </c>
      <c r="H62" s="8">
        <v>722220</v>
      </c>
      <c r="I62" s="8">
        <v>79</v>
      </c>
      <c r="J62" s="8">
        <v>11411076</v>
      </c>
    </row>
    <row r="63" spans="1:10" x14ac:dyDescent="0.2">
      <c r="A63" s="6" t="s">
        <v>71</v>
      </c>
      <c r="B63" s="6">
        <v>12</v>
      </c>
      <c r="C63" s="8">
        <v>1608</v>
      </c>
      <c r="D63" s="8">
        <v>25016122</v>
      </c>
      <c r="E63" s="8">
        <v>552</v>
      </c>
      <c r="F63" s="8">
        <v>8689032</v>
      </c>
      <c r="G63" s="8">
        <v>1343</v>
      </c>
      <c r="H63" s="8">
        <v>20956492</v>
      </c>
      <c r="I63" s="8">
        <v>817</v>
      </c>
      <c r="J63" s="8">
        <v>12748662</v>
      </c>
    </row>
    <row r="64" spans="1:10" x14ac:dyDescent="0.2">
      <c r="A64" s="6" t="s">
        <v>72</v>
      </c>
      <c r="B64" s="6">
        <v>12</v>
      </c>
      <c r="C64" s="8">
        <v>3852</v>
      </c>
      <c r="D64" s="8">
        <v>90280472</v>
      </c>
      <c r="E64" s="8">
        <v>648</v>
      </c>
      <c r="F64" s="8">
        <v>15599952</v>
      </c>
      <c r="G64" s="8">
        <v>2766</v>
      </c>
      <c r="H64" s="8">
        <v>65081167</v>
      </c>
      <c r="I64" s="8">
        <v>1734</v>
      </c>
      <c r="J64" s="8">
        <v>40799257</v>
      </c>
    </row>
    <row r="65" spans="1:10" x14ac:dyDescent="0.2">
      <c r="A65" s="6" t="s">
        <v>73</v>
      </c>
      <c r="B65" s="6">
        <v>12</v>
      </c>
      <c r="C65" s="8">
        <v>4218</v>
      </c>
      <c r="D65" s="8">
        <v>143970514</v>
      </c>
      <c r="E65" s="8">
        <v>1800</v>
      </c>
      <c r="F65" s="8">
        <v>61666200</v>
      </c>
      <c r="G65" s="8">
        <v>4946</v>
      </c>
      <c r="H65" s="8">
        <v>169006179</v>
      </c>
      <c r="I65" s="8">
        <v>1072</v>
      </c>
      <c r="J65" s="8">
        <v>36630535</v>
      </c>
    </row>
    <row r="66" spans="1:10" x14ac:dyDescent="0.2">
      <c r="A66" s="6" t="s">
        <v>74</v>
      </c>
      <c r="B66" s="6">
        <v>12</v>
      </c>
      <c r="C66" s="8">
        <v>5136</v>
      </c>
      <c r="D66" s="8">
        <v>75745997</v>
      </c>
      <c r="E66" s="8">
        <v>1752</v>
      </c>
      <c r="F66" s="8">
        <v>25955880</v>
      </c>
      <c r="G66" s="8">
        <v>6110</v>
      </c>
      <c r="H66" s="8">
        <v>90214644</v>
      </c>
      <c r="I66" s="8">
        <v>778</v>
      </c>
      <c r="J66" s="8">
        <v>11487233</v>
      </c>
    </row>
    <row r="67" spans="1:10" x14ac:dyDescent="0.2">
      <c r="A67" s="6" t="s">
        <v>75</v>
      </c>
      <c r="B67" s="6">
        <v>12</v>
      </c>
      <c r="C67" s="8">
        <v>10400</v>
      </c>
      <c r="D67" s="8">
        <v>3813333</v>
      </c>
      <c r="E67" s="8">
        <v>0</v>
      </c>
      <c r="F67" s="8">
        <v>0</v>
      </c>
      <c r="G67" s="8">
        <v>9600</v>
      </c>
      <c r="H67" s="8">
        <v>3520000</v>
      </c>
      <c r="I67" s="8">
        <v>800</v>
      </c>
      <c r="J67" s="8">
        <v>293333</v>
      </c>
    </row>
    <row r="68" spans="1:10" x14ac:dyDescent="0.2">
      <c r="A68" s="6" t="s">
        <v>76</v>
      </c>
      <c r="B68" s="6">
        <v>12</v>
      </c>
      <c r="C68" s="8">
        <v>168</v>
      </c>
      <c r="D68" s="8">
        <v>9544198</v>
      </c>
      <c r="E68" s="8">
        <v>81</v>
      </c>
      <c r="F68" s="8">
        <v>4275018</v>
      </c>
      <c r="G68" s="8">
        <v>4</v>
      </c>
      <c r="H68" s="8">
        <v>221995</v>
      </c>
      <c r="I68" s="8">
        <v>245</v>
      </c>
      <c r="J68" s="8">
        <v>13597221</v>
      </c>
    </row>
    <row r="69" spans="1:10" x14ac:dyDescent="0.2">
      <c r="A69" s="6" t="s">
        <v>77</v>
      </c>
      <c r="B69" s="6">
        <v>12</v>
      </c>
      <c r="C69" s="8">
        <v>1092</v>
      </c>
      <c r="D69" s="8">
        <v>6735333</v>
      </c>
      <c r="E69" s="8">
        <v>0</v>
      </c>
      <c r="F69" s="8">
        <v>0</v>
      </c>
      <c r="G69" s="8">
        <v>246</v>
      </c>
      <c r="H69" s="8">
        <v>1517300</v>
      </c>
      <c r="I69" s="8">
        <v>846</v>
      </c>
      <c r="J69" s="8">
        <v>5218033</v>
      </c>
    </row>
    <row r="70" spans="1:10" x14ac:dyDescent="0.2">
      <c r="A70" s="6" t="s">
        <v>78</v>
      </c>
      <c r="B70" s="6">
        <v>12</v>
      </c>
      <c r="C70" s="8">
        <v>7371</v>
      </c>
      <c r="D70" s="8">
        <v>66190155</v>
      </c>
      <c r="E70" s="8">
        <v>1920</v>
      </c>
      <c r="F70" s="8">
        <v>21333120</v>
      </c>
      <c r="G70" s="8">
        <v>4490</v>
      </c>
      <c r="H70" s="8">
        <v>42296793</v>
      </c>
      <c r="I70" s="8">
        <v>4801</v>
      </c>
      <c r="J70" s="8">
        <v>45226482</v>
      </c>
    </row>
    <row r="71" spans="1:10" x14ac:dyDescent="0.2">
      <c r="A71" s="6" t="s">
        <v>79</v>
      </c>
      <c r="B71" s="6">
        <v>12</v>
      </c>
      <c r="C71" s="8">
        <v>1912</v>
      </c>
      <c r="D71" s="8">
        <v>38449684</v>
      </c>
      <c r="E71" s="8">
        <v>1560</v>
      </c>
      <c r="F71" s="8">
        <v>33221760</v>
      </c>
      <c r="G71" s="8">
        <v>3133</v>
      </c>
      <c r="H71" s="8">
        <v>64673570</v>
      </c>
      <c r="I71" s="8">
        <v>339</v>
      </c>
      <c r="J71" s="8">
        <v>6997874</v>
      </c>
    </row>
    <row r="72" spans="1:10" x14ac:dyDescent="0.2">
      <c r="A72" s="6" t="s">
        <v>80</v>
      </c>
      <c r="B72" s="6">
        <v>12</v>
      </c>
      <c r="C72" s="8">
        <v>180</v>
      </c>
      <c r="D72" s="8">
        <v>2602954</v>
      </c>
      <c r="E72" s="8">
        <v>72</v>
      </c>
      <c r="F72" s="8">
        <v>1066680</v>
      </c>
      <c r="G72" s="8">
        <v>0</v>
      </c>
      <c r="H72" s="8">
        <v>0</v>
      </c>
      <c r="I72" s="8">
        <v>252</v>
      </c>
      <c r="J72" s="8">
        <v>3669634</v>
      </c>
    </row>
    <row r="73" spans="1:10" x14ac:dyDescent="0.2">
      <c r="A73" s="6" t="s">
        <v>81</v>
      </c>
      <c r="B73" s="6">
        <v>12</v>
      </c>
      <c r="C73" s="8">
        <v>2052</v>
      </c>
      <c r="D73" s="8">
        <v>31426776</v>
      </c>
      <c r="E73" s="8">
        <v>504</v>
      </c>
      <c r="F73" s="8">
        <v>7933464</v>
      </c>
      <c r="G73" s="8">
        <v>2040</v>
      </c>
      <c r="H73" s="8">
        <v>31414276</v>
      </c>
      <c r="I73" s="8">
        <v>516</v>
      </c>
      <c r="J73" s="8">
        <v>7945964</v>
      </c>
    </row>
    <row r="74" spans="1:10" x14ac:dyDescent="0.2">
      <c r="A74" s="6" t="s">
        <v>82</v>
      </c>
      <c r="B74" s="6">
        <v>12</v>
      </c>
      <c r="C74" s="8">
        <v>5760</v>
      </c>
      <c r="D74" s="8">
        <v>42106565</v>
      </c>
      <c r="E74" s="8">
        <v>1368</v>
      </c>
      <c r="F74" s="8">
        <v>10132776</v>
      </c>
      <c r="G74" s="8">
        <v>5104</v>
      </c>
      <c r="H74" s="8">
        <v>37405948</v>
      </c>
      <c r="I74" s="8">
        <v>2024</v>
      </c>
      <c r="J74" s="8">
        <v>14833393</v>
      </c>
    </row>
    <row r="75" spans="1:10" x14ac:dyDescent="0.2">
      <c r="A75" s="6" t="s">
        <v>83</v>
      </c>
      <c r="B75" s="6">
        <v>12</v>
      </c>
      <c r="C75" s="8">
        <v>2646</v>
      </c>
      <c r="D75" s="8">
        <v>20061031</v>
      </c>
      <c r="E75" s="8">
        <v>720</v>
      </c>
      <c r="F75" s="8">
        <v>5600160</v>
      </c>
      <c r="G75" s="8">
        <v>2622</v>
      </c>
      <c r="H75" s="8">
        <v>19989199</v>
      </c>
      <c r="I75" s="8">
        <v>744</v>
      </c>
      <c r="J75" s="8">
        <v>5671992</v>
      </c>
    </row>
    <row r="76" spans="1:10" x14ac:dyDescent="0.2">
      <c r="A76" s="6" t="s">
        <v>84</v>
      </c>
      <c r="B76" s="6">
        <v>12</v>
      </c>
      <c r="C76" s="8">
        <v>21344</v>
      </c>
      <c r="D76" s="8">
        <v>656441651</v>
      </c>
      <c r="E76" s="8">
        <v>13870</v>
      </c>
      <c r="F76" s="8">
        <v>423104640</v>
      </c>
      <c r="G76" s="8">
        <v>25896</v>
      </c>
      <c r="H76" s="8">
        <v>793886828</v>
      </c>
      <c r="I76" s="8">
        <v>9318</v>
      </c>
      <c r="J76" s="8">
        <v>285659463</v>
      </c>
    </row>
    <row r="77" spans="1:10" x14ac:dyDescent="0.2">
      <c r="A77" s="6" t="s">
        <v>85</v>
      </c>
      <c r="B77" s="6">
        <v>12</v>
      </c>
      <c r="C77" s="8">
        <v>22711</v>
      </c>
      <c r="D77" s="8">
        <v>206800382</v>
      </c>
      <c r="E77" s="8">
        <v>8744</v>
      </c>
      <c r="F77" s="8">
        <v>79997760</v>
      </c>
      <c r="G77" s="8">
        <v>16402</v>
      </c>
      <c r="H77" s="8">
        <v>149548979</v>
      </c>
      <c r="I77" s="8">
        <v>15053</v>
      </c>
      <c r="J77" s="8">
        <v>137249163</v>
      </c>
    </row>
    <row r="78" spans="1:10" x14ac:dyDescent="0.2">
      <c r="A78" s="6" t="s">
        <v>86</v>
      </c>
      <c r="B78" s="6">
        <v>12</v>
      </c>
      <c r="C78" s="8">
        <v>51521</v>
      </c>
      <c r="D78" s="8">
        <v>363655744</v>
      </c>
      <c r="E78" s="8">
        <v>37214</v>
      </c>
      <c r="F78" s="8">
        <v>266652000</v>
      </c>
      <c r="G78" s="8">
        <v>41008</v>
      </c>
      <c r="H78" s="8">
        <v>295371958</v>
      </c>
      <c r="I78" s="8">
        <v>47727</v>
      </c>
      <c r="J78" s="8">
        <v>334935786</v>
      </c>
    </row>
    <row r="79" spans="1:10" x14ac:dyDescent="0.2">
      <c r="A79" s="6" t="s">
        <v>87</v>
      </c>
      <c r="B79" s="6">
        <v>12</v>
      </c>
      <c r="C79" s="8">
        <v>3195</v>
      </c>
      <c r="D79" s="8">
        <v>57619421</v>
      </c>
      <c r="E79" s="8">
        <v>7471</v>
      </c>
      <c r="F79" s="8">
        <v>133253280</v>
      </c>
      <c r="G79" s="8">
        <v>7856</v>
      </c>
      <c r="H79" s="8">
        <v>140586531</v>
      </c>
      <c r="I79" s="8">
        <v>2810</v>
      </c>
      <c r="J79" s="8">
        <v>50286170</v>
      </c>
    </row>
    <row r="80" spans="1:10" x14ac:dyDescent="0.2">
      <c r="A80" s="6" t="s">
        <v>88</v>
      </c>
      <c r="B80" s="6">
        <v>12</v>
      </c>
      <c r="C80" s="8">
        <v>618</v>
      </c>
      <c r="D80" s="8">
        <v>12921762</v>
      </c>
      <c r="E80" s="8">
        <v>0</v>
      </c>
      <c r="F80" s="8">
        <v>0</v>
      </c>
      <c r="G80" s="8">
        <v>70</v>
      </c>
      <c r="H80" s="8">
        <v>1463630</v>
      </c>
      <c r="I80" s="8">
        <v>548</v>
      </c>
      <c r="J80" s="8">
        <v>11458132</v>
      </c>
    </row>
    <row r="81" spans="1:10" x14ac:dyDescent="0.2">
      <c r="A81" s="6" t="s">
        <v>89</v>
      </c>
      <c r="B81" s="6">
        <v>12</v>
      </c>
      <c r="C81" s="8">
        <v>564</v>
      </c>
      <c r="D81" s="8">
        <v>13801691</v>
      </c>
      <c r="E81" s="8">
        <v>216</v>
      </c>
      <c r="F81" s="8">
        <v>5299992</v>
      </c>
      <c r="G81" s="8">
        <v>336</v>
      </c>
      <c r="H81" s="8">
        <v>8228417</v>
      </c>
      <c r="I81" s="8">
        <v>444</v>
      </c>
      <c r="J81" s="8">
        <v>10873266</v>
      </c>
    </row>
    <row r="82" spans="1:10" x14ac:dyDescent="0.2">
      <c r="A82" s="6" t="s">
        <v>90</v>
      </c>
      <c r="B82" s="6">
        <v>12</v>
      </c>
      <c r="C82" s="8">
        <v>1045</v>
      </c>
      <c r="D82" s="8">
        <v>55627273</v>
      </c>
      <c r="E82" s="8">
        <v>2820</v>
      </c>
      <c r="F82" s="8">
        <v>150139620</v>
      </c>
      <c r="G82" s="8">
        <v>3326</v>
      </c>
      <c r="H82" s="8">
        <v>177071330</v>
      </c>
      <c r="I82" s="8">
        <v>539</v>
      </c>
      <c r="J82" s="8">
        <v>28695563</v>
      </c>
    </row>
    <row r="83" spans="1:10" x14ac:dyDescent="0.2">
      <c r="A83" s="6" t="s">
        <v>91</v>
      </c>
      <c r="B83" s="6">
        <v>12</v>
      </c>
      <c r="C83" s="8">
        <v>6789</v>
      </c>
      <c r="D83" s="8">
        <v>63245985</v>
      </c>
      <c r="E83" s="8">
        <v>4920</v>
      </c>
      <c r="F83" s="8">
        <v>44332320</v>
      </c>
      <c r="G83" s="8">
        <v>5862</v>
      </c>
      <c r="H83" s="8">
        <v>53858060</v>
      </c>
      <c r="I83" s="8">
        <v>5847</v>
      </c>
      <c r="J83" s="8">
        <v>53720245</v>
      </c>
    </row>
    <row r="84" spans="1:10" x14ac:dyDescent="0.2">
      <c r="A84" s="6" t="s">
        <v>92</v>
      </c>
      <c r="B84" s="6">
        <v>12</v>
      </c>
      <c r="C84" s="8">
        <v>50800</v>
      </c>
      <c r="D84" s="8">
        <v>24895116</v>
      </c>
      <c r="E84" s="8">
        <v>23200</v>
      </c>
      <c r="F84" s="8">
        <v>11391200</v>
      </c>
      <c r="G84" s="8">
        <v>36000</v>
      </c>
      <c r="H84" s="8">
        <v>17652802</v>
      </c>
      <c r="I84" s="8">
        <v>38000</v>
      </c>
      <c r="J84" s="8">
        <v>18633514</v>
      </c>
    </row>
    <row r="85" spans="1:10" x14ac:dyDescent="0.2">
      <c r="A85" s="6" t="s">
        <v>93</v>
      </c>
      <c r="B85" s="6">
        <v>12</v>
      </c>
      <c r="C85" s="8">
        <v>444</v>
      </c>
      <c r="D85" s="8">
        <v>23449263</v>
      </c>
      <c r="E85" s="8">
        <v>96</v>
      </c>
      <c r="F85" s="8">
        <v>5111136</v>
      </c>
      <c r="G85" s="8">
        <v>504</v>
      </c>
      <c r="H85" s="8">
        <v>26656372</v>
      </c>
      <c r="I85" s="8">
        <v>36</v>
      </c>
      <c r="J85" s="8">
        <v>1904027</v>
      </c>
    </row>
    <row r="86" spans="1:10" x14ac:dyDescent="0.2">
      <c r="A86" s="6" t="s">
        <v>94</v>
      </c>
      <c r="B86" s="6">
        <v>12</v>
      </c>
      <c r="C86" s="8">
        <v>408</v>
      </c>
      <c r="D86" s="8">
        <v>3857098</v>
      </c>
      <c r="E86" s="8">
        <v>0</v>
      </c>
      <c r="F86" s="8">
        <v>0</v>
      </c>
      <c r="G86" s="8">
        <v>240</v>
      </c>
      <c r="H86" s="8">
        <v>2268881</v>
      </c>
      <c r="I86" s="8">
        <v>168</v>
      </c>
      <c r="J86" s="8">
        <v>1588217</v>
      </c>
    </row>
    <row r="87" spans="1:10" x14ac:dyDescent="0.2">
      <c r="A87" s="6" t="s">
        <v>95</v>
      </c>
      <c r="B87" s="6">
        <v>12</v>
      </c>
      <c r="C87" s="8">
        <v>900</v>
      </c>
      <c r="D87" s="8">
        <v>7404657</v>
      </c>
      <c r="E87" s="8">
        <v>468</v>
      </c>
      <c r="F87" s="8">
        <v>3899844</v>
      </c>
      <c r="G87" s="8">
        <v>1290</v>
      </c>
      <c r="H87" s="8">
        <v>10659946</v>
      </c>
      <c r="I87" s="8">
        <v>78</v>
      </c>
      <c r="J87" s="8">
        <v>644555</v>
      </c>
    </row>
    <row r="88" spans="1:10" x14ac:dyDescent="0.2">
      <c r="A88" s="6" t="s">
        <v>96</v>
      </c>
      <c r="B88" s="6">
        <v>12</v>
      </c>
      <c r="C88" s="8">
        <v>225</v>
      </c>
      <c r="D88" s="8">
        <v>25942946</v>
      </c>
      <c r="E88" s="8">
        <v>147</v>
      </c>
      <c r="F88" s="8">
        <v>17081988</v>
      </c>
      <c r="G88" s="8">
        <v>32</v>
      </c>
      <c r="H88" s="8">
        <v>3701070</v>
      </c>
      <c r="I88" s="8">
        <v>340</v>
      </c>
      <c r="J88" s="8">
        <v>39323864</v>
      </c>
    </row>
    <row r="89" spans="1:10" x14ac:dyDescent="0.2">
      <c r="A89" s="6" t="s">
        <v>97</v>
      </c>
      <c r="B89" s="6">
        <v>12</v>
      </c>
      <c r="C89" s="8">
        <v>57200</v>
      </c>
      <c r="D89" s="8">
        <v>28035599</v>
      </c>
      <c r="E89" s="8">
        <v>24800</v>
      </c>
      <c r="F89" s="8">
        <v>12176800</v>
      </c>
      <c r="G89" s="8">
        <v>39200</v>
      </c>
      <c r="H89" s="8">
        <v>19223488</v>
      </c>
      <c r="I89" s="8">
        <v>42800</v>
      </c>
      <c r="J89" s="8">
        <v>20988911</v>
      </c>
    </row>
    <row r="90" spans="1:10" x14ac:dyDescent="0.2">
      <c r="A90" s="6" t="s">
        <v>98</v>
      </c>
      <c r="B90" s="6">
        <v>12</v>
      </c>
      <c r="C90" s="8">
        <v>1920</v>
      </c>
      <c r="D90" s="8">
        <v>19627720</v>
      </c>
      <c r="E90" s="8">
        <v>192</v>
      </c>
      <c r="F90" s="8">
        <v>2026752</v>
      </c>
      <c r="G90" s="8">
        <v>1374</v>
      </c>
      <c r="H90" s="8">
        <v>14087710</v>
      </c>
      <c r="I90" s="8">
        <v>738</v>
      </c>
      <c r="J90" s="8">
        <v>7566762</v>
      </c>
    </row>
    <row r="91" spans="1:10" x14ac:dyDescent="0.2">
      <c r="A91" s="6" t="s">
        <v>99</v>
      </c>
      <c r="B91" s="6">
        <v>12</v>
      </c>
      <c r="C91" s="8">
        <v>96</v>
      </c>
      <c r="D91" s="8">
        <v>595584</v>
      </c>
      <c r="E91" s="8">
        <v>96</v>
      </c>
      <c r="F91" s="8">
        <v>595584</v>
      </c>
      <c r="G91" s="8">
        <v>20</v>
      </c>
      <c r="H91" s="8">
        <v>124080</v>
      </c>
      <c r="I91" s="8">
        <v>172</v>
      </c>
      <c r="J91" s="8">
        <v>1067088</v>
      </c>
    </row>
    <row r="92" spans="1:10" x14ac:dyDescent="0.2">
      <c r="A92" s="6" t="s">
        <v>100</v>
      </c>
      <c r="B92" s="6">
        <v>12</v>
      </c>
      <c r="C92" s="8">
        <v>2105</v>
      </c>
      <c r="D92" s="8">
        <v>108155379</v>
      </c>
      <c r="E92" s="8">
        <v>3340</v>
      </c>
      <c r="F92" s="8">
        <v>162917460</v>
      </c>
      <c r="G92" s="8">
        <v>3522</v>
      </c>
      <c r="H92" s="8">
        <v>175338575</v>
      </c>
      <c r="I92" s="8">
        <v>1923</v>
      </c>
      <c r="J92" s="8">
        <v>95734264</v>
      </c>
    </row>
    <row r="93" spans="1:10" x14ac:dyDescent="0.2">
      <c r="A93" s="6" t="s">
        <v>101</v>
      </c>
      <c r="B93" s="6">
        <v>12</v>
      </c>
      <c r="C93" s="8">
        <v>21454</v>
      </c>
      <c r="D93" s="8">
        <v>153225770</v>
      </c>
      <c r="E93" s="8">
        <v>9132</v>
      </c>
      <c r="F93" s="8">
        <v>39665760</v>
      </c>
      <c r="G93" s="8">
        <v>4014</v>
      </c>
      <c r="H93" s="8">
        <v>25314412</v>
      </c>
      <c r="I93" s="8">
        <v>26572</v>
      </c>
      <c r="J93" s="8">
        <v>167577118</v>
      </c>
    </row>
    <row r="94" spans="1:10" x14ac:dyDescent="0.2">
      <c r="A94" s="6" t="s">
        <v>102</v>
      </c>
      <c r="B94" s="6">
        <v>12</v>
      </c>
      <c r="C94" s="8">
        <v>540</v>
      </c>
      <c r="D94" s="8">
        <v>13238841</v>
      </c>
      <c r="E94" s="8">
        <v>588</v>
      </c>
      <c r="F94" s="8">
        <v>14427756</v>
      </c>
      <c r="G94" s="8">
        <v>639</v>
      </c>
      <c r="H94" s="8">
        <v>15672834</v>
      </c>
      <c r="I94" s="8">
        <v>489</v>
      </c>
      <c r="J94" s="8">
        <v>11993763</v>
      </c>
    </row>
    <row r="95" spans="1:10" x14ac:dyDescent="0.2">
      <c r="A95" s="6" t="s">
        <v>103</v>
      </c>
      <c r="B95" s="6">
        <v>12</v>
      </c>
      <c r="C95" s="8">
        <v>2454</v>
      </c>
      <c r="D95" s="8">
        <v>27075398</v>
      </c>
      <c r="E95" s="8">
        <v>342</v>
      </c>
      <c r="F95" s="8">
        <v>1333344</v>
      </c>
      <c r="G95" s="8">
        <v>1560</v>
      </c>
      <c r="H95" s="8">
        <v>15850371</v>
      </c>
      <c r="I95" s="8">
        <v>1236</v>
      </c>
      <c r="J95" s="8">
        <v>12558371</v>
      </c>
    </row>
    <row r="96" spans="1:10" x14ac:dyDescent="0.2">
      <c r="A96" s="6" t="s">
        <v>104</v>
      </c>
      <c r="B96" s="6">
        <v>12</v>
      </c>
      <c r="C96" s="8">
        <v>192</v>
      </c>
      <c r="D96" s="8">
        <v>3657528</v>
      </c>
      <c r="E96" s="8">
        <v>96</v>
      </c>
      <c r="F96" s="8">
        <v>1866624</v>
      </c>
      <c r="G96" s="8">
        <v>3</v>
      </c>
      <c r="H96" s="8">
        <v>57543</v>
      </c>
      <c r="I96" s="8">
        <v>285</v>
      </c>
      <c r="J96" s="8">
        <v>5466609</v>
      </c>
    </row>
    <row r="97" spans="1:10" x14ac:dyDescent="0.2">
      <c r="A97" s="6" t="s">
        <v>105</v>
      </c>
      <c r="B97" s="6">
        <v>12</v>
      </c>
      <c r="C97" s="8">
        <v>258</v>
      </c>
      <c r="D97" s="8">
        <v>13370216</v>
      </c>
      <c r="E97" s="8">
        <v>174</v>
      </c>
      <c r="F97" s="8">
        <v>9263934</v>
      </c>
      <c r="G97" s="8">
        <v>402</v>
      </c>
      <c r="H97" s="8">
        <v>21062334</v>
      </c>
      <c r="I97" s="8">
        <v>30</v>
      </c>
      <c r="J97" s="8">
        <v>1571816</v>
      </c>
    </row>
    <row r="98" spans="1:10" x14ac:dyDescent="0.2">
      <c r="A98" s="6" t="s">
        <v>106</v>
      </c>
      <c r="B98" s="6">
        <v>12</v>
      </c>
      <c r="C98" s="8">
        <v>1512</v>
      </c>
      <c r="D98" s="8">
        <v>14292784</v>
      </c>
      <c r="E98" s="8">
        <v>192</v>
      </c>
      <c r="F98" s="8">
        <v>1866624</v>
      </c>
      <c r="G98" s="8">
        <v>955</v>
      </c>
      <c r="H98" s="8">
        <v>9056476</v>
      </c>
      <c r="I98" s="8">
        <v>749</v>
      </c>
      <c r="J98" s="8">
        <v>7102932</v>
      </c>
    </row>
    <row r="99" spans="1:10" x14ac:dyDescent="0.2">
      <c r="A99" s="6" t="s">
        <v>107</v>
      </c>
      <c r="B99" s="6">
        <v>12</v>
      </c>
      <c r="C99" s="8">
        <v>1190</v>
      </c>
      <c r="D99" s="8">
        <v>4560276</v>
      </c>
      <c r="E99" s="8">
        <v>180</v>
      </c>
      <c r="F99" s="8">
        <v>0</v>
      </c>
      <c r="G99" s="8">
        <v>0</v>
      </c>
      <c r="H99" s="8">
        <v>0</v>
      </c>
      <c r="I99" s="8">
        <v>1370</v>
      </c>
      <c r="J99" s="8">
        <v>4560276</v>
      </c>
    </row>
    <row r="100" spans="1:10" x14ac:dyDescent="0.2">
      <c r="A100" s="6" t="s">
        <v>108</v>
      </c>
      <c r="B100" s="6">
        <v>12</v>
      </c>
      <c r="C100" s="8">
        <v>46476</v>
      </c>
      <c r="D100" s="8">
        <v>335124139</v>
      </c>
      <c r="E100" s="8">
        <v>6120</v>
      </c>
      <c r="F100" s="8">
        <v>45330840</v>
      </c>
      <c r="G100" s="8">
        <v>38108</v>
      </c>
      <c r="H100" s="8">
        <v>287712936</v>
      </c>
      <c r="I100" s="8">
        <v>14488</v>
      </c>
      <c r="J100" s="8">
        <v>92742043</v>
      </c>
    </row>
    <row r="101" spans="1:10" s="12" customFormat="1" x14ac:dyDescent="0.2">
      <c r="A101" s="10" t="s">
        <v>109</v>
      </c>
      <c r="B101" s="10">
        <v>12</v>
      </c>
      <c r="C101" s="11">
        <v>48</v>
      </c>
      <c r="D101" s="11">
        <v>2333328</v>
      </c>
      <c r="E101" s="11">
        <v>30</v>
      </c>
      <c r="F101" s="11">
        <v>1458330</v>
      </c>
      <c r="G101" s="11">
        <v>0</v>
      </c>
      <c r="H101" s="11">
        <v>0</v>
      </c>
      <c r="I101" s="11">
        <v>78</v>
      </c>
      <c r="J101" s="11">
        <v>3791658</v>
      </c>
    </row>
    <row r="102" spans="1:10" x14ac:dyDescent="0.2">
      <c r="A102" s="6" t="s">
        <v>110</v>
      </c>
      <c r="B102" s="6">
        <v>12</v>
      </c>
      <c r="C102" s="8">
        <v>864</v>
      </c>
      <c r="D102" s="8">
        <v>15351650</v>
      </c>
      <c r="E102" s="8">
        <v>684</v>
      </c>
      <c r="F102" s="8">
        <v>12350304</v>
      </c>
      <c r="G102" s="8">
        <v>1128</v>
      </c>
      <c r="H102" s="8">
        <v>20185920</v>
      </c>
      <c r="I102" s="8">
        <v>420</v>
      </c>
      <c r="J102" s="8">
        <v>7516034</v>
      </c>
    </row>
    <row r="103" spans="1:10" x14ac:dyDescent="0.2">
      <c r="A103" s="6" t="s">
        <v>111</v>
      </c>
      <c r="B103" s="6">
        <v>12</v>
      </c>
      <c r="C103" s="8">
        <v>7094</v>
      </c>
      <c r="D103" s="8">
        <v>57800393</v>
      </c>
      <c r="E103" s="8">
        <v>7800</v>
      </c>
      <c r="F103" s="8">
        <v>63554400</v>
      </c>
      <c r="G103" s="8">
        <v>13434</v>
      </c>
      <c r="H103" s="8">
        <v>109458862</v>
      </c>
      <c r="I103" s="8">
        <v>1460</v>
      </c>
      <c r="J103" s="8">
        <v>11895931</v>
      </c>
    </row>
    <row r="104" spans="1:10" x14ac:dyDescent="0.2">
      <c r="A104" s="6" t="s">
        <v>112</v>
      </c>
      <c r="B104" s="6">
        <v>12</v>
      </c>
      <c r="C104" s="8">
        <v>2500</v>
      </c>
      <c r="D104" s="8">
        <v>20355350</v>
      </c>
      <c r="E104" s="8">
        <v>1320</v>
      </c>
      <c r="F104" s="8">
        <v>10755360</v>
      </c>
      <c r="G104" s="8">
        <v>2950</v>
      </c>
      <c r="H104" s="8">
        <v>24025287</v>
      </c>
      <c r="I104" s="8">
        <v>870</v>
      </c>
      <c r="J104" s="8">
        <v>7085423</v>
      </c>
    </row>
    <row r="105" spans="1:10" x14ac:dyDescent="0.2">
      <c r="A105" s="6" t="s">
        <v>113</v>
      </c>
      <c r="B105" s="6">
        <v>12</v>
      </c>
      <c r="C105" s="8">
        <v>240</v>
      </c>
      <c r="D105" s="8">
        <v>3935440</v>
      </c>
      <c r="E105" s="8">
        <v>72</v>
      </c>
      <c r="F105" s="8">
        <v>1200024</v>
      </c>
      <c r="G105" s="8">
        <v>0</v>
      </c>
      <c r="H105" s="8">
        <v>0</v>
      </c>
      <c r="I105" s="8">
        <v>312</v>
      </c>
      <c r="J105" s="8">
        <v>5135464</v>
      </c>
    </row>
    <row r="106" spans="1:10" x14ac:dyDescent="0.2">
      <c r="A106" s="6" t="s">
        <v>114</v>
      </c>
      <c r="B106" s="6">
        <v>12</v>
      </c>
      <c r="C106" s="8">
        <v>192</v>
      </c>
      <c r="D106" s="8">
        <v>3650221</v>
      </c>
      <c r="E106" s="8">
        <v>72</v>
      </c>
      <c r="F106" s="8">
        <v>1399968</v>
      </c>
      <c r="G106" s="8">
        <v>3</v>
      </c>
      <c r="H106" s="8">
        <v>57389</v>
      </c>
      <c r="I106" s="8">
        <v>261</v>
      </c>
      <c r="J106" s="8">
        <v>4992800</v>
      </c>
    </row>
    <row r="107" spans="1:10" x14ac:dyDescent="0.2">
      <c r="A107" s="6" t="s">
        <v>115</v>
      </c>
      <c r="B107" s="6">
        <v>12</v>
      </c>
      <c r="C107" s="8">
        <v>4325</v>
      </c>
      <c r="D107" s="8">
        <v>27997920</v>
      </c>
      <c r="E107" s="8">
        <v>2412</v>
      </c>
      <c r="F107" s="8">
        <v>15554400</v>
      </c>
      <c r="G107" s="8">
        <v>4790</v>
      </c>
      <c r="H107" s="8">
        <v>30965654</v>
      </c>
      <c r="I107" s="8">
        <v>1947</v>
      </c>
      <c r="J107" s="8">
        <v>12586666</v>
      </c>
    </row>
    <row r="108" spans="1:10" x14ac:dyDescent="0.2">
      <c r="A108" s="6" t="s">
        <v>116</v>
      </c>
      <c r="B108" s="6">
        <v>12</v>
      </c>
      <c r="C108" s="8">
        <v>4565</v>
      </c>
      <c r="D108" s="8">
        <v>92887200</v>
      </c>
      <c r="E108" s="8">
        <v>0</v>
      </c>
      <c r="F108" s="8">
        <v>0</v>
      </c>
      <c r="G108" s="8">
        <v>2596</v>
      </c>
      <c r="H108" s="8">
        <v>52822600</v>
      </c>
      <c r="I108" s="8">
        <v>1969</v>
      </c>
      <c r="J108" s="8">
        <v>40064600</v>
      </c>
    </row>
    <row r="109" spans="1:10" x14ac:dyDescent="0.2">
      <c r="A109" s="6" t="s">
        <v>117</v>
      </c>
      <c r="B109" s="6">
        <v>12</v>
      </c>
      <c r="C109" s="8">
        <v>336</v>
      </c>
      <c r="D109" s="8">
        <v>5841722</v>
      </c>
      <c r="E109" s="8">
        <v>312</v>
      </c>
      <c r="F109" s="8">
        <v>5489016</v>
      </c>
      <c r="G109" s="8">
        <v>178</v>
      </c>
      <c r="H109" s="8">
        <v>3112456</v>
      </c>
      <c r="I109" s="8">
        <v>470</v>
      </c>
      <c r="J109" s="8">
        <v>8218282</v>
      </c>
    </row>
    <row r="110" spans="1:10" x14ac:dyDescent="0.2">
      <c r="A110" s="6" t="s">
        <v>118</v>
      </c>
      <c r="B110" s="6">
        <v>12</v>
      </c>
      <c r="C110" s="8">
        <v>612</v>
      </c>
      <c r="D110" s="8">
        <v>25119032</v>
      </c>
      <c r="E110" s="8">
        <v>84</v>
      </c>
      <c r="F110" s="8">
        <v>3500028</v>
      </c>
      <c r="G110" s="8">
        <v>408</v>
      </c>
      <c r="H110" s="8">
        <v>16776690</v>
      </c>
      <c r="I110" s="8">
        <v>288</v>
      </c>
      <c r="J110" s="8">
        <v>11842370</v>
      </c>
    </row>
    <row r="111" spans="1:10" x14ac:dyDescent="0.2">
      <c r="A111" s="6" t="s">
        <v>119</v>
      </c>
      <c r="B111" s="6">
        <v>12</v>
      </c>
      <c r="C111" s="8">
        <v>320</v>
      </c>
      <c r="D111" s="8">
        <v>7371274</v>
      </c>
      <c r="E111" s="8">
        <v>160</v>
      </c>
      <c r="F111" s="8">
        <v>3703680</v>
      </c>
      <c r="G111" s="8">
        <v>220</v>
      </c>
      <c r="H111" s="8">
        <v>5076021</v>
      </c>
      <c r="I111" s="8">
        <v>260</v>
      </c>
      <c r="J111" s="8">
        <v>5998933</v>
      </c>
    </row>
    <row r="112" spans="1:10" x14ac:dyDescent="0.2">
      <c r="A112" s="6" t="s">
        <v>120</v>
      </c>
      <c r="B112" s="6">
        <v>12</v>
      </c>
      <c r="C112" s="8">
        <v>120</v>
      </c>
      <c r="D112" s="8">
        <v>2654520</v>
      </c>
      <c r="E112" s="8">
        <v>80</v>
      </c>
      <c r="F112" s="8">
        <v>1777760</v>
      </c>
      <c r="G112" s="8">
        <v>120</v>
      </c>
      <c r="H112" s="8">
        <v>2659368</v>
      </c>
      <c r="I112" s="8">
        <v>80</v>
      </c>
      <c r="J112" s="8">
        <v>1772912</v>
      </c>
    </row>
    <row r="113" spans="1:10" x14ac:dyDescent="0.2">
      <c r="A113" s="6" t="s">
        <v>121</v>
      </c>
      <c r="B113" s="6">
        <v>12</v>
      </c>
      <c r="C113" s="8">
        <v>2652</v>
      </c>
      <c r="D113" s="8">
        <v>31770271</v>
      </c>
      <c r="E113" s="8">
        <v>3648</v>
      </c>
      <c r="F113" s="8">
        <v>43333200</v>
      </c>
      <c r="G113" s="8">
        <v>3366</v>
      </c>
      <c r="H113" s="8">
        <v>40126712</v>
      </c>
      <c r="I113" s="8">
        <v>2934</v>
      </c>
      <c r="J113" s="8">
        <v>34976759</v>
      </c>
    </row>
    <row r="114" spans="1:10" x14ac:dyDescent="0.2">
      <c r="A114" s="6" t="s">
        <v>122</v>
      </c>
      <c r="B114" s="6">
        <v>12</v>
      </c>
      <c r="C114" s="8">
        <v>4685</v>
      </c>
      <c r="D114" s="8">
        <v>40734720</v>
      </c>
      <c r="E114" s="8">
        <v>2400</v>
      </c>
      <c r="F114" s="8">
        <v>20889600</v>
      </c>
      <c r="G114" s="8">
        <v>6922</v>
      </c>
      <c r="H114" s="8">
        <v>60206569</v>
      </c>
      <c r="I114" s="8">
        <v>163</v>
      </c>
      <c r="J114" s="8">
        <v>1417751</v>
      </c>
    </row>
    <row r="115" spans="1:10" x14ac:dyDescent="0.2">
      <c r="A115" s="6" t="s">
        <v>123</v>
      </c>
      <c r="B115" s="6">
        <v>12</v>
      </c>
      <c r="C115" s="8">
        <v>216</v>
      </c>
      <c r="D115" s="8">
        <v>3755160</v>
      </c>
      <c r="E115" s="8">
        <v>36</v>
      </c>
      <c r="F115" s="8">
        <v>666684</v>
      </c>
      <c r="G115" s="8">
        <v>120</v>
      </c>
      <c r="H115" s="8">
        <v>2105640</v>
      </c>
      <c r="I115" s="8">
        <v>132</v>
      </c>
      <c r="J115" s="8">
        <v>2316204</v>
      </c>
    </row>
    <row r="116" spans="1:10" x14ac:dyDescent="0.2">
      <c r="A116" s="6" t="s">
        <v>124</v>
      </c>
      <c r="B116" s="6">
        <v>12</v>
      </c>
      <c r="C116" s="8">
        <v>72</v>
      </c>
      <c r="D116" s="8">
        <v>1333368</v>
      </c>
      <c r="E116" s="8">
        <v>36</v>
      </c>
      <c r="F116" s="8">
        <v>666684</v>
      </c>
      <c r="G116" s="8">
        <v>100</v>
      </c>
      <c r="H116" s="8">
        <v>1851900</v>
      </c>
      <c r="I116" s="8">
        <v>8</v>
      </c>
      <c r="J116" s="8">
        <v>148152</v>
      </c>
    </row>
    <row r="117" spans="1:10" x14ac:dyDescent="0.2">
      <c r="A117" s="6" t="s">
        <v>125</v>
      </c>
      <c r="B117" s="6">
        <v>12</v>
      </c>
      <c r="C117" s="8">
        <v>944</v>
      </c>
      <c r="D117" s="8">
        <v>42152428</v>
      </c>
      <c r="E117" s="8">
        <v>840</v>
      </c>
      <c r="F117" s="8">
        <v>37721880</v>
      </c>
      <c r="G117" s="8">
        <v>1140</v>
      </c>
      <c r="H117" s="8">
        <v>51040757</v>
      </c>
      <c r="I117" s="8">
        <v>644</v>
      </c>
      <c r="J117" s="8">
        <v>28833551</v>
      </c>
    </row>
    <row r="118" spans="1:10" x14ac:dyDescent="0.2">
      <c r="A118" s="6" t="s">
        <v>126</v>
      </c>
      <c r="B118" s="6">
        <v>12</v>
      </c>
      <c r="C118" s="8">
        <v>33073</v>
      </c>
      <c r="D118" s="8">
        <v>182697004</v>
      </c>
      <c r="E118" s="8">
        <v>44511</v>
      </c>
      <c r="F118" s="8">
        <v>248485800</v>
      </c>
      <c r="G118" s="8">
        <v>43510</v>
      </c>
      <c r="H118" s="8">
        <v>258882160</v>
      </c>
      <c r="I118" s="8">
        <v>34074</v>
      </c>
      <c r="J118" s="8">
        <v>172300644</v>
      </c>
    </row>
    <row r="119" spans="1:10" x14ac:dyDescent="0.2">
      <c r="A119" s="6" t="s">
        <v>127</v>
      </c>
      <c r="B119" s="6">
        <v>12</v>
      </c>
      <c r="C119" s="8">
        <v>6123</v>
      </c>
      <c r="D119" s="8">
        <v>34229824</v>
      </c>
      <c r="E119" s="8">
        <v>2760</v>
      </c>
      <c r="F119" s="8">
        <v>16099080</v>
      </c>
      <c r="G119" s="8">
        <v>6420</v>
      </c>
      <c r="H119" s="8">
        <v>36374149</v>
      </c>
      <c r="I119" s="8">
        <v>2463</v>
      </c>
      <c r="J119" s="8">
        <v>13954755</v>
      </c>
    </row>
    <row r="120" spans="1:10" x14ac:dyDescent="0.2">
      <c r="A120" s="6" t="s">
        <v>128</v>
      </c>
      <c r="B120" s="6">
        <v>12</v>
      </c>
      <c r="C120" s="8">
        <v>374</v>
      </c>
      <c r="D120" s="8">
        <v>5702198</v>
      </c>
      <c r="E120" s="8">
        <v>200</v>
      </c>
      <c r="F120" s="8">
        <v>3055600</v>
      </c>
      <c r="G120" s="8">
        <v>120</v>
      </c>
      <c r="H120" s="8">
        <v>1830899</v>
      </c>
      <c r="I120" s="8">
        <v>454</v>
      </c>
      <c r="J120" s="8">
        <v>6926899</v>
      </c>
    </row>
    <row r="121" spans="1:10" x14ac:dyDescent="0.2">
      <c r="A121" s="6" t="s">
        <v>129</v>
      </c>
      <c r="B121" s="6">
        <v>12</v>
      </c>
      <c r="C121" s="8">
        <v>20</v>
      </c>
      <c r="D121" s="8">
        <v>685180</v>
      </c>
      <c r="E121" s="8">
        <v>0</v>
      </c>
      <c r="F121" s="8">
        <v>0</v>
      </c>
      <c r="G121" s="8">
        <v>5</v>
      </c>
      <c r="H121" s="8">
        <v>171295</v>
      </c>
      <c r="I121" s="8">
        <v>15</v>
      </c>
      <c r="J121" s="8">
        <v>513885</v>
      </c>
    </row>
    <row r="122" spans="1:10" x14ac:dyDescent="0.2">
      <c r="A122" s="6" t="s">
        <v>130</v>
      </c>
      <c r="B122" s="6">
        <v>12</v>
      </c>
      <c r="C122" s="8">
        <v>85</v>
      </c>
      <c r="D122" s="8">
        <v>4046541</v>
      </c>
      <c r="E122" s="8">
        <v>41</v>
      </c>
      <c r="F122" s="8">
        <v>1955085</v>
      </c>
      <c r="G122" s="8">
        <v>40</v>
      </c>
      <c r="H122" s="8">
        <v>1905278</v>
      </c>
      <c r="I122" s="8">
        <v>86</v>
      </c>
      <c r="J122" s="8">
        <v>4096348</v>
      </c>
    </row>
    <row r="123" spans="1:10" x14ac:dyDescent="0.2">
      <c r="A123" s="6" t="s">
        <v>131</v>
      </c>
      <c r="B123" s="6">
        <v>12</v>
      </c>
      <c r="C123" s="8">
        <v>70</v>
      </c>
      <c r="D123" s="8">
        <v>3488402</v>
      </c>
      <c r="E123" s="8">
        <v>16</v>
      </c>
      <c r="F123" s="8">
        <v>800000</v>
      </c>
      <c r="G123" s="8">
        <v>50</v>
      </c>
      <c r="H123" s="8">
        <v>2493257</v>
      </c>
      <c r="I123" s="8">
        <v>36</v>
      </c>
      <c r="J123" s="8">
        <v>1795145</v>
      </c>
    </row>
    <row r="124" spans="1:10" x14ac:dyDescent="0.2">
      <c r="A124" s="6" t="s">
        <v>132</v>
      </c>
      <c r="B124" s="6">
        <v>12</v>
      </c>
      <c r="C124" s="8">
        <v>98</v>
      </c>
      <c r="D124" s="8">
        <v>4356568</v>
      </c>
      <c r="E124" s="8">
        <v>255</v>
      </c>
      <c r="F124" s="8">
        <v>11333220</v>
      </c>
      <c r="G124" s="8">
        <v>300</v>
      </c>
      <c r="H124" s="8">
        <v>13333180</v>
      </c>
      <c r="I124" s="8">
        <v>53</v>
      </c>
      <c r="J124" s="8">
        <v>2356608</v>
      </c>
    </row>
    <row r="125" spans="1:10" x14ac:dyDescent="0.2">
      <c r="A125" s="6" t="s">
        <v>133</v>
      </c>
      <c r="B125" s="6">
        <v>12</v>
      </c>
      <c r="C125" s="8">
        <v>119</v>
      </c>
      <c r="D125" s="8">
        <v>4585298</v>
      </c>
      <c r="E125" s="8">
        <v>66</v>
      </c>
      <c r="F125" s="8">
        <v>2609254</v>
      </c>
      <c r="G125" s="8">
        <v>150</v>
      </c>
      <c r="H125" s="8">
        <v>5833421</v>
      </c>
      <c r="I125" s="8">
        <v>35</v>
      </c>
      <c r="J125" s="8">
        <v>1361131</v>
      </c>
    </row>
    <row r="126" spans="1:10" x14ac:dyDescent="0.2">
      <c r="A126" s="6" t="s">
        <v>134</v>
      </c>
      <c r="B126" s="6">
        <v>12</v>
      </c>
      <c r="C126" s="8">
        <v>15</v>
      </c>
      <c r="D126" s="8">
        <v>431794</v>
      </c>
      <c r="E126" s="8">
        <v>0</v>
      </c>
      <c r="F126" s="8">
        <v>0</v>
      </c>
      <c r="G126" s="8">
        <v>0</v>
      </c>
      <c r="H126" s="8">
        <v>0</v>
      </c>
      <c r="I126" s="8">
        <v>15</v>
      </c>
      <c r="J126" s="8">
        <v>431794</v>
      </c>
    </row>
    <row r="127" spans="1:10" x14ac:dyDescent="0.2">
      <c r="A127" s="6" t="s">
        <v>135</v>
      </c>
      <c r="B127" s="6">
        <v>12</v>
      </c>
      <c r="C127" s="8">
        <v>155</v>
      </c>
      <c r="D127" s="8">
        <v>28475986</v>
      </c>
      <c r="E127" s="8">
        <v>770</v>
      </c>
      <c r="F127" s="8">
        <v>137740260</v>
      </c>
      <c r="G127" s="8">
        <v>15</v>
      </c>
      <c r="H127" s="8">
        <v>2695399</v>
      </c>
      <c r="I127" s="8">
        <v>910</v>
      </c>
      <c r="J127" s="8">
        <v>163520847</v>
      </c>
    </row>
    <row r="128" spans="1:10" x14ac:dyDescent="0.2">
      <c r="A128" s="6" t="s">
        <v>136</v>
      </c>
      <c r="B128" s="6">
        <v>12</v>
      </c>
      <c r="C128" s="8">
        <v>4853</v>
      </c>
      <c r="D128" s="8">
        <v>73565457</v>
      </c>
      <c r="E128" s="8">
        <v>5768</v>
      </c>
      <c r="F128" s="8">
        <v>86167920</v>
      </c>
      <c r="G128" s="8">
        <v>5498</v>
      </c>
      <c r="H128" s="8">
        <v>82686574</v>
      </c>
      <c r="I128" s="8">
        <v>5123</v>
      </c>
      <c r="J128" s="8">
        <v>77046803</v>
      </c>
    </row>
    <row r="129" spans="1:10" x14ac:dyDescent="0.2">
      <c r="A129" s="6" t="s">
        <v>137</v>
      </c>
      <c r="B129" s="6">
        <v>12</v>
      </c>
      <c r="C129" s="8">
        <v>144</v>
      </c>
      <c r="D129" s="8">
        <v>22621104</v>
      </c>
      <c r="E129" s="8">
        <v>0</v>
      </c>
      <c r="F129" s="8">
        <v>0</v>
      </c>
      <c r="G129" s="8">
        <v>0</v>
      </c>
      <c r="H129" s="8">
        <v>0</v>
      </c>
      <c r="I129" s="8">
        <v>144</v>
      </c>
      <c r="J129" s="8">
        <v>22621104</v>
      </c>
    </row>
    <row r="130" spans="1:10" x14ac:dyDescent="0.2">
      <c r="A130" s="6" t="s">
        <v>138</v>
      </c>
      <c r="B130" s="6">
        <v>12</v>
      </c>
      <c r="C130" s="8">
        <v>149</v>
      </c>
      <c r="D130" s="8">
        <v>22621104</v>
      </c>
      <c r="E130" s="8">
        <v>0</v>
      </c>
      <c r="F130" s="8">
        <v>0</v>
      </c>
      <c r="G130" s="8">
        <v>0</v>
      </c>
      <c r="H130" s="8">
        <v>0</v>
      </c>
      <c r="I130" s="8">
        <v>149</v>
      </c>
      <c r="J130" s="8">
        <v>22621104</v>
      </c>
    </row>
    <row r="131" spans="1:10" x14ac:dyDescent="0.2">
      <c r="A131" s="6" t="s">
        <v>139</v>
      </c>
      <c r="B131" s="6">
        <v>12</v>
      </c>
      <c r="C131" s="8">
        <v>188</v>
      </c>
      <c r="D131" s="8">
        <v>34137846</v>
      </c>
      <c r="E131" s="8">
        <v>0</v>
      </c>
      <c r="F131" s="8">
        <v>0</v>
      </c>
      <c r="G131" s="8">
        <v>0</v>
      </c>
      <c r="H131" s="8">
        <v>0</v>
      </c>
      <c r="I131" s="8">
        <v>188</v>
      </c>
      <c r="J131" s="8">
        <v>34137846</v>
      </c>
    </row>
    <row r="132" spans="1:10" x14ac:dyDescent="0.2">
      <c r="A132" s="6" t="s">
        <v>140</v>
      </c>
      <c r="B132" s="6">
        <v>12</v>
      </c>
      <c r="C132" s="8">
        <v>1326</v>
      </c>
      <c r="D132" s="8">
        <v>245672490</v>
      </c>
      <c r="E132" s="8">
        <v>1500</v>
      </c>
      <c r="F132" s="8">
        <v>279622500</v>
      </c>
      <c r="G132" s="8">
        <v>1498</v>
      </c>
      <c r="H132" s="8">
        <v>278447238</v>
      </c>
      <c r="I132" s="8">
        <v>1328</v>
      </c>
      <c r="J132" s="8">
        <v>246847752</v>
      </c>
    </row>
    <row r="133" spans="1:10" x14ac:dyDescent="0.2">
      <c r="A133" s="6" t="s">
        <v>141</v>
      </c>
      <c r="B133" s="6">
        <v>12</v>
      </c>
      <c r="C133" s="8">
        <v>2712</v>
      </c>
      <c r="D133" s="8">
        <v>404819278</v>
      </c>
      <c r="E133" s="8">
        <v>2350</v>
      </c>
      <c r="F133" s="8">
        <v>438075250</v>
      </c>
      <c r="G133" s="8">
        <v>2523</v>
      </c>
      <c r="H133" s="8">
        <v>466755000</v>
      </c>
      <c r="I133" s="8">
        <v>2539</v>
      </c>
      <c r="J133" s="8">
        <v>376139528</v>
      </c>
    </row>
    <row r="134" spans="1:10" x14ac:dyDescent="0.2">
      <c r="A134" s="6" t="s">
        <v>142</v>
      </c>
      <c r="B134" s="6">
        <v>12</v>
      </c>
      <c r="C134" s="8">
        <v>1150</v>
      </c>
      <c r="D134" s="8">
        <v>211217050</v>
      </c>
      <c r="E134" s="8">
        <v>0</v>
      </c>
      <c r="F134" s="8">
        <v>0</v>
      </c>
      <c r="G134" s="8">
        <v>0</v>
      </c>
      <c r="H134" s="8">
        <v>0</v>
      </c>
      <c r="I134" s="8">
        <v>1150</v>
      </c>
      <c r="J134" s="8">
        <v>211217050</v>
      </c>
    </row>
    <row r="135" spans="1:10" x14ac:dyDescent="0.2">
      <c r="A135" s="6" t="s">
        <v>143</v>
      </c>
      <c r="B135" s="6">
        <v>12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</row>
    <row r="136" spans="1:10" x14ac:dyDescent="0.2">
      <c r="A136" s="6" t="s">
        <v>144</v>
      </c>
      <c r="B136" s="6">
        <v>12</v>
      </c>
      <c r="C136" s="8">
        <v>898</v>
      </c>
      <c r="D136" s="8">
        <v>164227145</v>
      </c>
      <c r="E136" s="8">
        <v>455</v>
      </c>
      <c r="F136" s="8">
        <v>83865600</v>
      </c>
      <c r="G136" s="8">
        <v>770</v>
      </c>
      <c r="H136" s="8">
        <v>141190993</v>
      </c>
      <c r="I136" s="8">
        <v>583</v>
      </c>
      <c r="J136" s="8">
        <v>106901752</v>
      </c>
    </row>
    <row r="137" spans="1:10" x14ac:dyDescent="0.2">
      <c r="A137" s="6" t="s">
        <v>145</v>
      </c>
      <c r="B137" s="6">
        <v>12</v>
      </c>
      <c r="C137" s="8">
        <v>13</v>
      </c>
      <c r="D137" s="8">
        <v>2323520</v>
      </c>
      <c r="E137" s="8">
        <v>67</v>
      </c>
      <c r="F137" s="8">
        <v>11975065</v>
      </c>
      <c r="G137" s="8">
        <v>80</v>
      </c>
      <c r="H137" s="8">
        <v>14298585</v>
      </c>
      <c r="I137" s="8">
        <v>0</v>
      </c>
      <c r="J137" s="8">
        <v>0</v>
      </c>
    </row>
    <row r="138" spans="1:10" x14ac:dyDescent="0.2">
      <c r="A138" s="6" t="s">
        <v>146</v>
      </c>
      <c r="B138" s="6">
        <v>12</v>
      </c>
      <c r="C138" s="8">
        <v>427</v>
      </c>
      <c r="D138" s="8">
        <v>83128984</v>
      </c>
      <c r="E138" s="8">
        <v>690</v>
      </c>
      <c r="F138" s="8">
        <v>132239190</v>
      </c>
      <c r="G138" s="8">
        <v>1002</v>
      </c>
      <c r="H138" s="8">
        <v>191147067</v>
      </c>
      <c r="I138" s="8">
        <v>115</v>
      </c>
      <c r="J138" s="8">
        <v>24221107</v>
      </c>
    </row>
    <row r="139" spans="1:10" x14ac:dyDescent="0.2">
      <c r="A139" s="6" t="s">
        <v>147</v>
      </c>
      <c r="B139" s="6">
        <v>12</v>
      </c>
      <c r="C139" s="8">
        <v>888</v>
      </c>
      <c r="D139" s="8">
        <v>82354219</v>
      </c>
      <c r="E139" s="8">
        <v>100</v>
      </c>
      <c r="F139" s="8">
        <v>27752700</v>
      </c>
      <c r="G139" s="8">
        <v>644</v>
      </c>
      <c r="H139" s="8">
        <v>73819303</v>
      </c>
      <c r="I139" s="8">
        <v>344</v>
      </c>
      <c r="J139" s="8">
        <v>36287616</v>
      </c>
    </row>
    <row r="140" spans="1:10" x14ac:dyDescent="0.2">
      <c r="A140" s="6" t="s">
        <v>148</v>
      </c>
      <c r="B140" s="6">
        <v>12</v>
      </c>
      <c r="C140" s="8">
        <v>0</v>
      </c>
      <c r="D140" s="8">
        <v>0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</row>
    <row r="141" spans="1:10" x14ac:dyDescent="0.2">
      <c r="A141" s="6" t="s">
        <v>149</v>
      </c>
      <c r="B141" s="6">
        <v>12</v>
      </c>
      <c r="C141" s="8">
        <v>1197</v>
      </c>
      <c r="D141" s="8">
        <v>228002752</v>
      </c>
      <c r="E141" s="8">
        <v>495</v>
      </c>
      <c r="F141" s="8">
        <v>94867245</v>
      </c>
      <c r="G141" s="8">
        <v>456</v>
      </c>
      <c r="H141" s="8">
        <v>87014609</v>
      </c>
      <c r="I141" s="8">
        <v>1236</v>
      </c>
      <c r="J141" s="8">
        <v>235855388</v>
      </c>
    </row>
    <row r="142" spans="1:10" x14ac:dyDescent="0.2">
      <c r="A142" s="6" t="s">
        <v>150</v>
      </c>
      <c r="B142" s="6">
        <v>12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</row>
    <row r="143" spans="1:10" x14ac:dyDescent="0.2">
      <c r="A143" s="6" t="s">
        <v>151</v>
      </c>
      <c r="B143" s="6">
        <v>12</v>
      </c>
      <c r="C143" s="8">
        <v>319</v>
      </c>
      <c r="D143" s="8">
        <v>60576489</v>
      </c>
      <c r="E143" s="8">
        <v>0</v>
      </c>
      <c r="F143" s="8">
        <v>0</v>
      </c>
      <c r="G143" s="8">
        <v>0</v>
      </c>
      <c r="H143" s="8">
        <v>0</v>
      </c>
      <c r="I143" s="8">
        <v>319</v>
      </c>
      <c r="J143" s="8">
        <v>60576489</v>
      </c>
    </row>
    <row r="144" spans="1:10" x14ac:dyDescent="0.2">
      <c r="A144" s="6" t="s">
        <v>152</v>
      </c>
      <c r="B144" s="6">
        <v>12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</row>
    <row r="145" spans="1:10" x14ac:dyDescent="0.2">
      <c r="A145" s="6" t="s">
        <v>153</v>
      </c>
      <c r="B145" s="6">
        <v>12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</row>
    <row r="146" spans="1:10" x14ac:dyDescent="0.2">
      <c r="A146" s="6" t="s">
        <v>154</v>
      </c>
      <c r="B146" s="6">
        <v>12</v>
      </c>
      <c r="C146" s="8">
        <v>50</v>
      </c>
      <c r="D146" s="8">
        <v>11656130</v>
      </c>
      <c r="E146" s="8">
        <v>45</v>
      </c>
      <c r="F146" s="8">
        <v>10556505</v>
      </c>
      <c r="G146" s="8">
        <v>25</v>
      </c>
      <c r="H146" s="8">
        <v>5845430</v>
      </c>
      <c r="I146" s="8">
        <v>70</v>
      </c>
      <c r="J146" s="8">
        <v>16367205</v>
      </c>
    </row>
    <row r="147" spans="1:10" x14ac:dyDescent="0.2">
      <c r="A147" s="6" t="s">
        <v>155</v>
      </c>
      <c r="B147" s="6">
        <v>12</v>
      </c>
      <c r="C147" s="8">
        <v>0</v>
      </c>
      <c r="D147" s="8">
        <v>0</v>
      </c>
      <c r="E147" s="8">
        <v>24</v>
      </c>
      <c r="F147" s="8">
        <v>6959131</v>
      </c>
      <c r="G147" s="8">
        <v>24</v>
      </c>
      <c r="H147" s="8">
        <v>6959131</v>
      </c>
      <c r="I147" s="8">
        <v>0</v>
      </c>
      <c r="J147" s="8">
        <v>0</v>
      </c>
    </row>
    <row r="148" spans="1:10" x14ac:dyDescent="0.2">
      <c r="A148" s="6" t="s">
        <v>156</v>
      </c>
      <c r="B148" s="6">
        <v>12</v>
      </c>
      <c r="C148" s="8">
        <v>265</v>
      </c>
      <c r="D148" s="8">
        <v>51536190</v>
      </c>
      <c r="E148" s="8">
        <v>20</v>
      </c>
      <c r="F148" s="8">
        <v>4691780</v>
      </c>
      <c r="G148" s="8">
        <v>148</v>
      </c>
      <c r="H148" s="8">
        <v>29199086</v>
      </c>
      <c r="I148" s="8">
        <v>137</v>
      </c>
      <c r="J148" s="8">
        <v>27028884</v>
      </c>
    </row>
    <row r="149" spans="1:10" x14ac:dyDescent="0.2">
      <c r="A149" s="6" t="s">
        <v>157</v>
      </c>
      <c r="B149" s="6">
        <v>12</v>
      </c>
      <c r="C149" s="8">
        <v>100</v>
      </c>
      <c r="D149" s="8">
        <v>23336700</v>
      </c>
      <c r="E149" s="8">
        <v>45</v>
      </c>
      <c r="F149" s="8">
        <v>10556505</v>
      </c>
      <c r="G149" s="8">
        <v>45</v>
      </c>
      <c r="H149" s="8">
        <v>10518581</v>
      </c>
      <c r="I149" s="8">
        <v>100</v>
      </c>
      <c r="J149" s="8">
        <v>23374624</v>
      </c>
    </row>
    <row r="150" spans="1:10" x14ac:dyDescent="0.2">
      <c r="A150" s="6" t="s">
        <v>158</v>
      </c>
      <c r="B150" s="6">
        <v>12</v>
      </c>
      <c r="C150" s="8">
        <v>0</v>
      </c>
      <c r="D150" s="8">
        <v>0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</row>
    <row r="151" spans="1:10" x14ac:dyDescent="0.2">
      <c r="A151" s="6" t="s">
        <v>159</v>
      </c>
      <c r="B151" s="6">
        <v>12</v>
      </c>
      <c r="C151" s="8">
        <v>81</v>
      </c>
      <c r="D151" s="8">
        <v>17829621</v>
      </c>
      <c r="E151" s="8">
        <v>0</v>
      </c>
      <c r="F151" s="8">
        <v>0</v>
      </c>
      <c r="G151" s="8">
        <v>22</v>
      </c>
      <c r="H151" s="8">
        <v>4842658</v>
      </c>
      <c r="I151" s="8">
        <v>59</v>
      </c>
      <c r="J151" s="8">
        <v>12986963</v>
      </c>
    </row>
    <row r="152" spans="1:10" x14ac:dyDescent="0.2">
      <c r="A152" s="6" t="s">
        <v>160</v>
      </c>
      <c r="B152" s="6">
        <v>12</v>
      </c>
      <c r="C152" s="8">
        <v>46</v>
      </c>
      <c r="D152" s="8">
        <v>12161583</v>
      </c>
      <c r="E152" s="8">
        <v>0</v>
      </c>
      <c r="F152" s="8">
        <v>0</v>
      </c>
      <c r="G152" s="8">
        <v>42</v>
      </c>
      <c r="H152" s="8">
        <v>11093015</v>
      </c>
      <c r="I152" s="8">
        <v>4</v>
      </c>
      <c r="J152" s="8">
        <v>1068568</v>
      </c>
    </row>
    <row r="153" spans="1:10" x14ac:dyDescent="0.2">
      <c r="A153" s="6" t="s">
        <v>161</v>
      </c>
      <c r="B153" s="6">
        <v>12</v>
      </c>
      <c r="C153" s="8">
        <v>110</v>
      </c>
      <c r="D153" s="8">
        <v>25633710</v>
      </c>
      <c r="E153" s="8">
        <v>50</v>
      </c>
      <c r="F153" s="8">
        <v>11729450</v>
      </c>
      <c r="G153" s="8">
        <v>68</v>
      </c>
      <c r="H153" s="8">
        <v>11432029</v>
      </c>
      <c r="I153" s="8">
        <v>92</v>
      </c>
      <c r="J153" s="8">
        <v>25931131</v>
      </c>
    </row>
    <row r="154" spans="1:10" x14ac:dyDescent="0.2">
      <c r="A154" s="6" t="s">
        <v>162</v>
      </c>
      <c r="B154" s="6">
        <v>12</v>
      </c>
      <c r="C154" s="8">
        <v>0</v>
      </c>
      <c r="D154" s="8">
        <v>0</v>
      </c>
      <c r="E154" s="8">
        <v>4</v>
      </c>
      <c r="F154" s="8">
        <v>1264364</v>
      </c>
      <c r="G154" s="8">
        <v>4</v>
      </c>
      <c r="H154" s="8">
        <v>1264364</v>
      </c>
      <c r="I154" s="8">
        <v>0</v>
      </c>
      <c r="J154" s="8">
        <v>0</v>
      </c>
    </row>
    <row r="155" spans="1:10" x14ac:dyDescent="0.2">
      <c r="A155" s="6" t="s">
        <v>163</v>
      </c>
      <c r="B155" s="6">
        <v>12</v>
      </c>
      <c r="C155" s="8">
        <v>986</v>
      </c>
      <c r="D155" s="8">
        <v>312560997</v>
      </c>
      <c r="E155" s="8">
        <v>300</v>
      </c>
      <c r="F155" s="8">
        <v>95825400</v>
      </c>
      <c r="G155" s="8">
        <v>0</v>
      </c>
      <c r="H155" s="8">
        <v>0</v>
      </c>
      <c r="I155" s="8">
        <v>1286</v>
      </c>
      <c r="J155" s="8">
        <v>408386397</v>
      </c>
    </row>
    <row r="156" spans="1:10" x14ac:dyDescent="0.2">
      <c r="A156" s="6" t="s">
        <v>164</v>
      </c>
      <c r="B156" s="6">
        <v>12</v>
      </c>
      <c r="C156" s="8">
        <v>0</v>
      </c>
      <c r="D156" s="8">
        <v>0</v>
      </c>
      <c r="E156" s="8">
        <v>92</v>
      </c>
      <c r="F156" s="8">
        <v>13264312</v>
      </c>
      <c r="G156" s="8">
        <v>92</v>
      </c>
      <c r="H156" s="8">
        <v>13264312</v>
      </c>
      <c r="I156" s="8">
        <v>0</v>
      </c>
      <c r="J156" s="8">
        <v>0</v>
      </c>
    </row>
    <row r="157" spans="1:10" x14ac:dyDescent="0.2">
      <c r="A157" s="6" t="s">
        <v>165</v>
      </c>
      <c r="B157" s="6">
        <v>12</v>
      </c>
      <c r="C157" s="8">
        <v>100</v>
      </c>
      <c r="D157" s="8">
        <v>15396441</v>
      </c>
      <c r="E157" s="8">
        <v>0</v>
      </c>
      <c r="F157" s="8">
        <v>0</v>
      </c>
      <c r="G157" s="8">
        <v>6</v>
      </c>
      <c r="H157" s="8">
        <v>923786</v>
      </c>
      <c r="I157" s="8">
        <v>94</v>
      </c>
      <c r="J157" s="8">
        <v>14472655</v>
      </c>
    </row>
    <row r="158" spans="1:10" x14ac:dyDescent="0.2">
      <c r="A158" s="6" t="s">
        <v>166</v>
      </c>
      <c r="B158" s="6">
        <v>12</v>
      </c>
      <c r="C158" s="8">
        <v>0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</row>
    <row r="159" spans="1:10" x14ac:dyDescent="0.2">
      <c r="A159" s="6" t="s">
        <v>167</v>
      </c>
      <c r="B159" s="6">
        <v>12</v>
      </c>
      <c r="C159" s="8">
        <v>0</v>
      </c>
      <c r="D159" s="8">
        <v>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</row>
    <row r="160" spans="1:10" x14ac:dyDescent="0.2">
      <c r="A160" s="6" t="s">
        <v>168</v>
      </c>
      <c r="B160" s="6">
        <v>12</v>
      </c>
      <c r="C160" s="8">
        <v>436</v>
      </c>
      <c r="D160" s="8">
        <v>79778379</v>
      </c>
      <c r="E160" s="8">
        <v>150</v>
      </c>
      <c r="F160" s="8">
        <v>27648000</v>
      </c>
      <c r="G160" s="8">
        <v>503</v>
      </c>
      <c r="H160" s="8">
        <v>92210697</v>
      </c>
      <c r="I160" s="8">
        <v>83</v>
      </c>
      <c r="J160" s="8">
        <v>15215682</v>
      </c>
    </row>
    <row r="161" spans="1:10" x14ac:dyDescent="0.2">
      <c r="A161" s="6" t="s">
        <v>169</v>
      </c>
      <c r="B161" s="6">
        <v>12</v>
      </c>
      <c r="C161" s="8">
        <v>856</v>
      </c>
      <c r="D161" s="8">
        <v>151588068</v>
      </c>
      <c r="E161" s="8">
        <v>0</v>
      </c>
      <c r="F161" s="8">
        <v>0</v>
      </c>
      <c r="G161" s="8">
        <v>186</v>
      </c>
      <c r="H161" s="8">
        <v>32938529</v>
      </c>
      <c r="I161" s="8">
        <v>670</v>
      </c>
      <c r="J161" s="8">
        <v>118649539</v>
      </c>
    </row>
    <row r="162" spans="1:10" x14ac:dyDescent="0.2">
      <c r="A162" s="6" t="s">
        <v>170</v>
      </c>
      <c r="B162" s="6">
        <v>12</v>
      </c>
      <c r="C162" s="8">
        <v>164</v>
      </c>
      <c r="D162" s="8">
        <v>44675744</v>
      </c>
      <c r="E162" s="8">
        <v>175</v>
      </c>
      <c r="F162" s="8">
        <v>49157166</v>
      </c>
      <c r="G162" s="8">
        <v>339</v>
      </c>
      <c r="H162" s="8">
        <v>93832910</v>
      </c>
      <c r="I162" s="8">
        <v>0</v>
      </c>
      <c r="J162" s="8">
        <v>0</v>
      </c>
    </row>
    <row r="163" spans="1:10" x14ac:dyDescent="0.2">
      <c r="A163" s="6" t="s">
        <v>171</v>
      </c>
      <c r="B163" s="6">
        <v>12</v>
      </c>
      <c r="C163" s="8">
        <v>0</v>
      </c>
      <c r="D163" s="8">
        <v>0</v>
      </c>
      <c r="E163" s="8">
        <v>30</v>
      </c>
      <c r="F163" s="8">
        <v>8280000</v>
      </c>
      <c r="G163" s="8">
        <v>30</v>
      </c>
      <c r="H163" s="8">
        <v>8280000</v>
      </c>
      <c r="I163" s="8">
        <v>0</v>
      </c>
      <c r="J163" s="8">
        <v>0</v>
      </c>
    </row>
    <row r="164" spans="1:10" x14ac:dyDescent="0.2">
      <c r="A164" s="6" t="s">
        <v>172</v>
      </c>
      <c r="B164" s="6">
        <v>12</v>
      </c>
      <c r="C164" s="8">
        <v>459</v>
      </c>
      <c r="D164" s="8">
        <v>85500524</v>
      </c>
      <c r="E164" s="8">
        <v>30</v>
      </c>
      <c r="F164" s="8">
        <v>5655270</v>
      </c>
      <c r="G164" s="8">
        <v>0</v>
      </c>
      <c r="H164" s="8">
        <v>0</v>
      </c>
      <c r="I164" s="8">
        <v>489</v>
      </c>
      <c r="J164" s="8">
        <v>91155794</v>
      </c>
    </row>
    <row r="165" spans="1:10" x14ac:dyDescent="0.2">
      <c r="A165" s="6" t="s">
        <v>173</v>
      </c>
      <c r="B165" s="6">
        <v>12</v>
      </c>
      <c r="C165" s="8">
        <v>484</v>
      </c>
      <c r="D165" s="8">
        <v>88893600</v>
      </c>
      <c r="E165" s="8">
        <v>25</v>
      </c>
      <c r="F165" s="8">
        <v>4712725</v>
      </c>
      <c r="G165" s="8">
        <v>0</v>
      </c>
      <c r="H165" s="8">
        <v>0</v>
      </c>
      <c r="I165" s="8">
        <v>509</v>
      </c>
      <c r="J165" s="8">
        <v>93606325</v>
      </c>
    </row>
    <row r="166" spans="1:10" x14ac:dyDescent="0.2">
      <c r="A166" s="6" t="s">
        <v>174</v>
      </c>
      <c r="B166" s="6">
        <v>12</v>
      </c>
      <c r="C166" s="8">
        <v>5</v>
      </c>
      <c r="D166" s="8">
        <v>1372892</v>
      </c>
      <c r="E166" s="8">
        <v>0</v>
      </c>
      <c r="F166" s="8">
        <v>0</v>
      </c>
      <c r="G166" s="8">
        <v>0</v>
      </c>
      <c r="H166" s="8">
        <v>0</v>
      </c>
      <c r="I166" s="8">
        <v>5</v>
      </c>
      <c r="J166" s="8">
        <v>1372892</v>
      </c>
    </row>
    <row r="167" spans="1:10" x14ac:dyDescent="0.2">
      <c r="A167" s="6" t="s">
        <v>175</v>
      </c>
      <c r="B167" s="6">
        <v>12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</row>
    <row r="168" spans="1:10" x14ac:dyDescent="0.2">
      <c r="A168" s="6" t="s">
        <v>176</v>
      </c>
      <c r="B168" s="6">
        <v>12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</row>
    <row r="169" spans="1:10" x14ac:dyDescent="0.2">
      <c r="A169" s="6" t="s">
        <v>177</v>
      </c>
      <c r="B169" s="6">
        <v>12</v>
      </c>
      <c r="C169" s="8">
        <v>1</v>
      </c>
      <c r="D169" s="8">
        <v>537037</v>
      </c>
      <c r="E169" s="8">
        <v>0</v>
      </c>
      <c r="F169" s="8">
        <v>0</v>
      </c>
      <c r="G169" s="8">
        <v>0</v>
      </c>
      <c r="H169" s="8">
        <v>0</v>
      </c>
      <c r="I169" s="8">
        <v>1</v>
      </c>
      <c r="J169" s="8">
        <v>537037</v>
      </c>
    </row>
    <row r="170" spans="1:10" x14ac:dyDescent="0.2">
      <c r="A170" s="6" t="s">
        <v>178</v>
      </c>
      <c r="B170" s="6">
        <v>12</v>
      </c>
      <c r="C170" s="8">
        <v>144</v>
      </c>
      <c r="D170" s="8">
        <v>8408880</v>
      </c>
      <c r="E170" s="8">
        <v>576</v>
      </c>
      <c r="F170" s="8">
        <v>28791120</v>
      </c>
      <c r="G170" s="8">
        <v>0</v>
      </c>
      <c r="H170" s="8">
        <v>0</v>
      </c>
      <c r="I170" s="8">
        <v>720</v>
      </c>
      <c r="J170" s="8">
        <v>37200000</v>
      </c>
    </row>
    <row r="171" spans="1:10" x14ac:dyDescent="0.2">
      <c r="A171" s="6" t="s">
        <v>179</v>
      </c>
      <c r="B171" s="6">
        <v>12</v>
      </c>
      <c r="C171" s="8">
        <v>24797</v>
      </c>
      <c r="D171" s="8">
        <v>127113973</v>
      </c>
      <c r="E171" s="8">
        <v>15719</v>
      </c>
      <c r="F171" s="8">
        <v>82006560</v>
      </c>
      <c r="G171" s="8">
        <v>14442</v>
      </c>
      <c r="H171" s="8">
        <v>74541385</v>
      </c>
      <c r="I171" s="8">
        <v>26074</v>
      </c>
      <c r="J171" s="8">
        <v>134579148</v>
      </c>
    </row>
    <row r="172" spans="1:10" x14ac:dyDescent="0.2">
      <c r="A172" s="6" t="s">
        <v>180</v>
      </c>
      <c r="B172" s="6">
        <v>12</v>
      </c>
      <c r="C172" s="8">
        <v>1056</v>
      </c>
      <c r="D172" s="8">
        <v>82980480</v>
      </c>
      <c r="E172" s="8">
        <v>360</v>
      </c>
      <c r="F172" s="8">
        <v>27106680</v>
      </c>
      <c r="G172" s="8">
        <v>1416</v>
      </c>
      <c r="H172" s="8">
        <v>110087160</v>
      </c>
      <c r="I172" s="8">
        <v>0</v>
      </c>
      <c r="J172" s="8">
        <v>0</v>
      </c>
    </row>
    <row r="173" spans="1:10" x14ac:dyDescent="0.2">
      <c r="A173" s="6" t="s">
        <v>181</v>
      </c>
      <c r="B173" s="6">
        <v>12</v>
      </c>
      <c r="C173" s="8">
        <v>432</v>
      </c>
      <c r="D173" s="8">
        <v>22188108</v>
      </c>
      <c r="E173" s="8">
        <v>375</v>
      </c>
      <c r="F173" s="8">
        <v>19270875</v>
      </c>
      <c r="G173" s="8">
        <v>501</v>
      </c>
      <c r="H173" s="8">
        <v>25738476</v>
      </c>
      <c r="I173" s="8">
        <v>306</v>
      </c>
      <c r="J173" s="8">
        <v>15720507</v>
      </c>
    </row>
    <row r="174" spans="1:10" x14ac:dyDescent="0.2">
      <c r="A174" s="6" t="s">
        <v>182</v>
      </c>
      <c r="B174" s="6">
        <v>12</v>
      </c>
      <c r="C174" s="8">
        <v>0</v>
      </c>
      <c r="D174" s="8">
        <v>0</v>
      </c>
      <c r="E174" s="8">
        <v>180</v>
      </c>
      <c r="F174" s="8">
        <v>11127420</v>
      </c>
      <c r="G174" s="8">
        <v>180</v>
      </c>
      <c r="H174" s="8">
        <v>11127420</v>
      </c>
      <c r="I174" s="8">
        <v>0</v>
      </c>
      <c r="J174" s="8">
        <v>0</v>
      </c>
    </row>
    <row r="175" spans="1:10" x14ac:dyDescent="0.2">
      <c r="A175" s="6" t="s">
        <v>183</v>
      </c>
      <c r="B175" s="6">
        <v>12</v>
      </c>
      <c r="C175" s="8">
        <v>2751</v>
      </c>
      <c r="D175" s="8">
        <v>148297433</v>
      </c>
      <c r="E175" s="8">
        <v>306</v>
      </c>
      <c r="F175" s="8">
        <v>16321556</v>
      </c>
      <c r="G175" s="8">
        <v>255</v>
      </c>
      <c r="H175" s="8">
        <v>13731712</v>
      </c>
      <c r="I175" s="8">
        <v>2802</v>
      </c>
      <c r="J175" s="8">
        <v>150887277</v>
      </c>
    </row>
    <row r="176" spans="1:10" x14ac:dyDescent="0.2">
      <c r="A176" s="6" t="s">
        <v>184</v>
      </c>
      <c r="B176" s="6">
        <v>12</v>
      </c>
      <c r="C176" s="8">
        <v>2074</v>
      </c>
      <c r="D176" s="8">
        <v>111994520</v>
      </c>
      <c r="E176" s="8">
        <v>408</v>
      </c>
      <c r="F176" s="8">
        <v>21762074</v>
      </c>
      <c r="G176" s="8">
        <v>885</v>
      </c>
      <c r="H176" s="8">
        <v>47693225</v>
      </c>
      <c r="I176" s="8">
        <v>1597</v>
      </c>
      <c r="J176" s="8">
        <v>86063369</v>
      </c>
    </row>
    <row r="177" spans="1:11" x14ac:dyDescent="0.2">
      <c r="A177" s="6" t="s">
        <v>185</v>
      </c>
      <c r="B177" s="6">
        <v>12</v>
      </c>
      <c r="C177" s="8">
        <v>770</v>
      </c>
      <c r="D177" s="8">
        <v>141860096</v>
      </c>
      <c r="E177" s="8">
        <v>400</v>
      </c>
      <c r="F177" s="8">
        <v>72675000</v>
      </c>
      <c r="G177" s="8">
        <v>245</v>
      </c>
      <c r="H177" s="8">
        <v>44862468</v>
      </c>
      <c r="I177" s="8">
        <v>925</v>
      </c>
      <c r="J177" s="8">
        <v>169672628</v>
      </c>
    </row>
    <row r="178" spans="1:11" x14ac:dyDescent="0.2">
      <c r="A178" s="6" t="s">
        <v>186</v>
      </c>
      <c r="B178" s="6">
        <v>12</v>
      </c>
      <c r="C178" s="8">
        <v>1555</v>
      </c>
      <c r="D178" s="8">
        <v>69495853</v>
      </c>
      <c r="E178" s="8">
        <v>3000</v>
      </c>
      <c r="F178" s="8">
        <v>139764792</v>
      </c>
      <c r="G178" s="8">
        <v>160</v>
      </c>
      <c r="H178" s="8">
        <v>6778913</v>
      </c>
      <c r="I178" s="8">
        <v>4395</v>
      </c>
      <c r="J178" s="8">
        <v>202481732</v>
      </c>
    </row>
    <row r="179" spans="1:11" x14ac:dyDescent="0.2">
      <c r="A179" s="6" t="s">
        <v>187</v>
      </c>
      <c r="B179" s="6">
        <v>12</v>
      </c>
      <c r="C179" s="8">
        <v>973</v>
      </c>
      <c r="D179" s="8">
        <v>34563746</v>
      </c>
      <c r="E179" s="8">
        <v>0</v>
      </c>
      <c r="F179" s="8">
        <v>0</v>
      </c>
      <c r="G179" s="8">
        <v>130</v>
      </c>
      <c r="H179" s="8">
        <v>4689892</v>
      </c>
      <c r="I179" s="8">
        <v>843</v>
      </c>
      <c r="J179" s="8">
        <v>29873854</v>
      </c>
    </row>
    <row r="180" spans="1:11" x14ac:dyDescent="0.2">
      <c r="A180" s="6" t="s">
        <v>188</v>
      </c>
      <c r="B180" s="6">
        <v>12</v>
      </c>
      <c r="C180" s="8">
        <v>7616</v>
      </c>
      <c r="D180" s="8">
        <v>1284172909</v>
      </c>
      <c r="E180" s="8">
        <v>4500</v>
      </c>
      <c r="F180" s="8">
        <v>816216250</v>
      </c>
      <c r="G180" s="8">
        <v>3709</v>
      </c>
      <c r="H180" s="8">
        <v>754127000</v>
      </c>
      <c r="I180" s="8">
        <v>8407</v>
      </c>
      <c r="J180" s="8">
        <v>1346262159</v>
      </c>
    </row>
    <row r="181" spans="1:11" x14ac:dyDescent="0.2">
      <c r="A181" s="6" t="s">
        <v>189</v>
      </c>
      <c r="B181" s="6">
        <v>12</v>
      </c>
      <c r="C181" s="8">
        <v>690</v>
      </c>
      <c r="D181" s="8">
        <v>30148907</v>
      </c>
      <c r="E181" s="8">
        <v>0</v>
      </c>
      <c r="F181" s="8">
        <v>0</v>
      </c>
      <c r="G181" s="8">
        <v>135</v>
      </c>
      <c r="H181" s="8">
        <v>5958168</v>
      </c>
      <c r="I181" s="8">
        <v>555</v>
      </c>
      <c r="J181" s="8">
        <v>24190739</v>
      </c>
    </row>
    <row r="182" spans="1:11" x14ac:dyDescent="0.2">
      <c r="A182" s="6" t="s">
        <v>190</v>
      </c>
      <c r="B182" s="6">
        <v>12</v>
      </c>
      <c r="C182" s="8">
        <v>11502</v>
      </c>
      <c r="D182" s="8">
        <v>332240556</v>
      </c>
      <c r="E182" s="8">
        <v>3150</v>
      </c>
      <c r="F182" s="8">
        <v>90972000</v>
      </c>
      <c r="G182" s="8">
        <v>9915</v>
      </c>
      <c r="H182" s="8">
        <v>286291540</v>
      </c>
      <c r="I182" s="8">
        <v>4737</v>
      </c>
      <c r="J182" s="8">
        <v>136921016</v>
      </c>
    </row>
    <row r="183" spans="1:11" x14ac:dyDescent="0.2">
      <c r="A183" s="6" t="s">
        <v>191</v>
      </c>
      <c r="B183" s="6">
        <v>12</v>
      </c>
      <c r="C183" s="8">
        <v>15969</v>
      </c>
      <c r="D183" s="8">
        <v>459112502</v>
      </c>
      <c r="E183" s="8">
        <v>65615</v>
      </c>
      <c r="F183" s="8">
        <v>1833319500</v>
      </c>
      <c r="G183" s="8">
        <v>34869</v>
      </c>
      <c r="H183" s="8">
        <v>1123236500</v>
      </c>
      <c r="I183" s="8">
        <v>46715</v>
      </c>
      <c r="J183" s="8">
        <v>1169195502</v>
      </c>
    </row>
    <row r="184" spans="1:11" x14ac:dyDescent="0.2">
      <c r="A184" s="6" t="s">
        <v>192</v>
      </c>
      <c r="B184" s="6">
        <v>12</v>
      </c>
      <c r="C184" s="8">
        <v>10975</v>
      </c>
      <c r="D184" s="8">
        <v>79007874</v>
      </c>
      <c r="E184" s="8">
        <v>0</v>
      </c>
      <c r="F184" s="8">
        <v>0</v>
      </c>
      <c r="G184" s="8">
        <v>4640</v>
      </c>
      <c r="H184" s="8">
        <v>33402873</v>
      </c>
      <c r="I184" s="8">
        <v>6335</v>
      </c>
      <c r="J184" s="8">
        <v>45605001</v>
      </c>
    </row>
    <row r="185" spans="1:11" x14ac:dyDescent="0.2">
      <c r="A185" s="6" t="s">
        <v>193</v>
      </c>
      <c r="B185" s="6">
        <v>12</v>
      </c>
      <c r="C185" s="8">
        <v>0</v>
      </c>
      <c r="D185" s="8">
        <v>0</v>
      </c>
      <c r="E185" s="8">
        <v>250</v>
      </c>
      <c r="F185" s="8">
        <v>53642625</v>
      </c>
      <c r="G185" s="8">
        <v>0</v>
      </c>
      <c r="H185" s="8">
        <v>0</v>
      </c>
      <c r="I185" s="8">
        <v>250</v>
      </c>
      <c r="J185" s="8">
        <v>53642625</v>
      </c>
    </row>
    <row r="186" spans="1:11" x14ac:dyDescent="0.2">
      <c r="A186" s="6" t="s">
        <v>194</v>
      </c>
      <c r="B186" s="6">
        <v>12</v>
      </c>
      <c r="C186" s="8">
        <v>131535</v>
      </c>
      <c r="D186" s="8">
        <v>626836099</v>
      </c>
      <c r="E186" s="8">
        <v>273861</v>
      </c>
      <c r="F186" s="8">
        <v>1931160000</v>
      </c>
      <c r="G186" s="8">
        <v>162030</v>
      </c>
      <c r="H186" s="8">
        <v>1303281000</v>
      </c>
      <c r="I186" s="8">
        <v>243366</v>
      </c>
      <c r="J186" s="8">
        <v>1254715099</v>
      </c>
    </row>
    <row r="187" spans="1:11" x14ac:dyDescent="0.2">
      <c r="A187" s="6" t="s">
        <v>195</v>
      </c>
      <c r="B187" s="6">
        <v>12</v>
      </c>
      <c r="C187" s="8">
        <v>0</v>
      </c>
      <c r="D187" s="8">
        <v>0</v>
      </c>
      <c r="E187" s="8">
        <v>11200</v>
      </c>
      <c r="F187" s="8">
        <v>2411276207</v>
      </c>
      <c r="G187" s="8">
        <v>1395</v>
      </c>
      <c r="H187" s="8">
        <v>303268263</v>
      </c>
      <c r="I187" s="8">
        <v>9805</v>
      </c>
      <c r="J187" s="8">
        <v>2108007944</v>
      </c>
      <c r="K187" s="13">
        <f>J187/I187</f>
        <v>214993.16104028557</v>
      </c>
    </row>
    <row r="188" spans="1:11" x14ac:dyDescent="0.2">
      <c r="A188" s="6" t="s">
        <v>196</v>
      </c>
      <c r="B188" s="6">
        <v>12</v>
      </c>
      <c r="C188" s="8">
        <v>0</v>
      </c>
      <c r="D188" s="8">
        <v>0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</row>
    <row r="189" spans="1:11" x14ac:dyDescent="0.2">
      <c r="A189" s="6" t="s">
        <v>197</v>
      </c>
      <c r="B189" s="6">
        <v>12</v>
      </c>
      <c r="C189" s="8">
        <v>1170</v>
      </c>
      <c r="D189" s="8">
        <v>8433374</v>
      </c>
      <c r="E189" s="8">
        <v>0</v>
      </c>
      <c r="F189" s="8">
        <v>0</v>
      </c>
      <c r="G189" s="8">
        <v>20</v>
      </c>
      <c r="H189" s="8">
        <v>144160</v>
      </c>
      <c r="I189" s="8">
        <v>1150</v>
      </c>
      <c r="J189" s="8">
        <v>8289214</v>
      </c>
    </row>
    <row r="190" spans="1:11" x14ac:dyDescent="0.2">
      <c r="A190" s="6" t="s">
        <v>198</v>
      </c>
      <c r="B190" s="6">
        <v>12</v>
      </c>
      <c r="C190" s="8">
        <v>0</v>
      </c>
      <c r="D190" s="8">
        <v>0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</row>
    <row r="191" spans="1:11" x14ac:dyDescent="0.2">
      <c r="A191" s="6" t="s">
        <v>199</v>
      </c>
      <c r="B191" s="6">
        <v>12</v>
      </c>
      <c r="C191" s="8">
        <v>77684</v>
      </c>
      <c r="D191" s="8">
        <v>588888</v>
      </c>
      <c r="E191" s="8">
        <v>24</v>
      </c>
      <c r="F191" s="8">
        <v>588888</v>
      </c>
      <c r="G191" s="8">
        <v>0</v>
      </c>
      <c r="H191" s="8">
        <v>0</v>
      </c>
      <c r="I191" s="8">
        <v>77708</v>
      </c>
      <c r="J191" s="8">
        <v>1177776</v>
      </c>
    </row>
    <row r="192" spans="1:11" x14ac:dyDescent="0.2">
      <c r="A192" s="6" t="s">
        <v>200</v>
      </c>
      <c r="B192" s="6">
        <v>12</v>
      </c>
      <c r="C192" s="8">
        <v>144</v>
      </c>
      <c r="D192" s="8">
        <v>1037304</v>
      </c>
      <c r="E192" s="8">
        <v>0</v>
      </c>
      <c r="F192" s="8">
        <v>0</v>
      </c>
      <c r="G192" s="8">
        <v>0</v>
      </c>
      <c r="H192" s="8">
        <v>0</v>
      </c>
      <c r="I192" s="8">
        <v>144</v>
      </c>
      <c r="J192" s="8">
        <v>1037304</v>
      </c>
    </row>
    <row r="193" spans="1:12" s="12" customFormat="1" x14ac:dyDescent="0.2">
      <c r="A193" s="10" t="s">
        <v>201</v>
      </c>
      <c r="B193" s="10">
        <v>12</v>
      </c>
      <c r="C193" s="11">
        <v>1032</v>
      </c>
      <c r="D193" s="11">
        <v>16267839</v>
      </c>
      <c r="E193" s="11">
        <v>180</v>
      </c>
      <c r="F193" s="11">
        <v>2916720</v>
      </c>
      <c r="G193" s="11">
        <v>720</v>
      </c>
      <c r="H193" s="11">
        <v>11396768</v>
      </c>
      <c r="I193" s="11">
        <v>492</v>
      </c>
      <c r="J193" s="11">
        <v>7787791</v>
      </c>
      <c r="K193" s="14">
        <f>J193+J101</f>
        <v>11579449</v>
      </c>
      <c r="L193" s="14">
        <f>I193+I101</f>
        <v>570</v>
      </c>
    </row>
    <row r="194" spans="1:12" x14ac:dyDescent="0.2">
      <c r="A194" s="6" t="s">
        <v>202</v>
      </c>
      <c r="B194" s="6">
        <v>12</v>
      </c>
      <c r="C194" s="8">
        <v>0</v>
      </c>
      <c r="D194" s="8">
        <v>0</v>
      </c>
      <c r="E194" s="8">
        <v>72</v>
      </c>
      <c r="F194" s="8">
        <v>1857744</v>
      </c>
      <c r="G194" s="8">
        <v>0</v>
      </c>
      <c r="H194" s="8">
        <v>0</v>
      </c>
      <c r="I194" s="8">
        <v>72</v>
      </c>
      <c r="J194" s="8">
        <v>1857744</v>
      </c>
    </row>
    <row r="195" spans="1:12" x14ac:dyDescent="0.2">
      <c r="A195" s="6" t="s">
        <v>203</v>
      </c>
      <c r="B195" s="6">
        <v>12</v>
      </c>
      <c r="C195" s="8">
        <v>5208</v>
      </c>
      <c r="D195" s="8">
        <v>58948499</v>
      </c>
      <c r="E195" s="8">
        <v>360</v>
      </c>
      <c r="F195" s="8">
        <v>4225320</v>
      </c>
      <c r="G195" s="8">
        <v>4650</v>
      </c>
      <c r="H195" s="8">
        <v>52758308</v>
      </c>
      <c r="I195" s="8">
        <v>918</v>
      </c>
      <c r="J195" s="8">
        <v>10415511</v>
      </c>
    </row>
    <row r="196" spans="1:12" x14ac:dyDescent="0.2">
      <c r="A196" s="6" t="s">
        <v>204</v>
      </c>
      <c r="B196" s="6">
        <v>12</v>
      </c>
      <c r="C196" s="8">
        <v>12491</v>
      </c>
      <c r="D196" s="8">
        <v>384147850</v>
      </c>
      <c r="E196" s="8">
        <v>914</v>
      </c>
      <c r="F196" s="8">
        <v>0</v>
      </c>
      <c r="G196" s="8">
        <v>4948</v>
      </c>
      <c r="H196" s="8">
        <v>160810000</v>
      </c>
      <c r="I196" s="8">
        <v>8457</v>
      </c>
      <c r="J196" s="8">
        <v>223337850</v>
      </c>
    </row>
    <row r="197" spans="1:12" x14ac:dyDescent="0.2">
      <c r="A197" s="6" t="s">
        <v>205</v>
      </c>
      <c r="B197" s="6">
        <v>12</v>
      </c>
      <c r="C197" s="8">
        <v>820</v>
      </c>
      <c r="D197" s="8">
        <v>49022428</v>
      </c>
      <c r="E197" s="8">
        <v>0</v>
      </c>
      <c r="F197" s="8">
        <v>0</v>
      </c>
      <c r="G197" s="8">
        <v>630</v>
      </c>
      <c r="H197" s="8">
        <v>37663574</v>
      </c>
      <c r="I197" s="8">
        <v>190</v>
      </c>
      <c r="J197" s="8">
        <v>11358854</v>
      </c>
    </row>
    <row r="198" spans="1:12" x14ac:dyDescent="0.2">
      <c r="A198" s="6" t="s">
        <v>206</v>
      </c>
      <c r="B198" s="6">
        <v>12</v>
      </c>
      <c r="C198" s="8">
        <v>814</v>
      </c>
      <c r="D198" s="8">
        <v>26110276</v>
      </c>
      <c r="E198" s="8">
        <v>192</v>
      </c>
      <c r="F198" s="8">
        <v>6309812</v>
      </c>
      <c r="G198" s="8">
        <v>646</v>
      </c>
      <c r="H198" s="8">
        <v>20818466</v>
      </c>
      <c r="I198" s="8">
        <v>360</v>
      </c>
      <c r="J198" s="8">
        <v>11601622</v>
      </c>
    </row>
    <row r="199" spans="1:12" x14ac:dyDescent="0.2">
      <c r="A199" s="6" t="s">
        <v>207</v>
      </c>
      <c r="B199" s="6">
        <v>12</v>
      </c>
      <c r="C199" s="8">
        <v>1728</v>
      </c>
      <c r="D199" s="8">
        <v>3454644</v>
      </c>
      <c r="E199" s="8">
        <v>936</v>
      </c>
      <c r="F199" s="8">
        <v>0</v>
      </c>
      <c r="G199" s="8">
        <v>30</v>
      </c>
      <c r="H199" s="8">
        <v>38904</v>
      </c>
      <c r="I199" s="8">
        <v>2634</v>
      </c>
      <c r="J199" s="8">
        <v>3415740</v>
      </c>
    </row>
    <row r="200" spans="1:12" x14ac:dyDescent="0.2">
      <c r="A200" s="6" t="s">
        <v>208</v>
      </c>
      <c r="B200" s="6">
        <v>12</v>
      </c>
      <c r="C200" s="8">
        <v>13</v>
      </c>
      <c r="D200" s="8">
        <v>107765</v>
      </c>
      <c r="E200" s="8">
        <v>432</v>
      </c>
      <c r="F200" s="8">
        <v>4525632</v>
      </c>
      <c r="G200" s="8">
        <v>240</v>
      </c>
      <c r="H200" s="8">
        <v>2498911</v>
      </c>
      <c r="I200" s="8">
        <v>205</v>
      </c>
      <c r="J200" s="8">
        <v>2134486</v>
      </c>
    </row>
    <row r="201" spans="1:12" x14ac:dyDescent="0.2">
      <c r="A201" s="6" t="s">
        <v>209</v>
      </c>
      <c r="B201" s="6">
        <v>12</v>
      </c>
      <c r="C201" s="8">
        <v>60</v>
      </c>
      <c r="D201" s="8">
        <v>3504600</v>
      </c>
      <c r="E201" s="8">
        <v>36</v>
      </c>
      <c r="F201" s="8">
        <v>2102760</v>
      </c>
      <c r="G201" s="8">
        <v>20</v>
      </c>
      <c r="H201" s="8">
        <v>1168200</v>
      </c>
      <c r="I201" s="8">
        <v>76</v>
      </c>
      <c r="J201" s="8">
        <v>4439160</v>
      </c>
    </row>
    <row r="202" spans="1:12" x14ac:dyDescent="0.2">
      <c r="A202" s="6" t="s">
        <v>210</v>
      </c>
      <c r="B202" s="6">
        <v>12</v>
      </c>
      <c r="C202" s="8">
        <v>625</v>
      </c>
      <c r="D202" s="8">
        <v>6930861</v>
      </c>
      <c r="E202" s="8">
        <v>0</v>
      </c>
      <c r="F202" s="8">
        <v>0</v>
      </c>
      <c r="G202" s="8">
        <v>0</v>
      </c>
      <c r="H202" s="8">
        <v>0</v>
      </c>
      <c r="I202" s="8">
        <v>625</v>
      </c>
      <c r="J202" s="8">
        <v>6930861</v>
      </c>
    </row>
    <row r="203" spans="1:12" x14ac:dyDescent="0.2">
      <c r="A203" s="6" t="s">
        <v>211</v>
      </c>
      <c r="B203" s="6">
        <v>12</v>
      </c>
      <c r="C203" s="8">
        <v>0</v>
      </c>
      <c r="D203" s="8">
        <v>0</v>
      </c>
      <c r="E203" s="8">
        <v>144</v>
      </c>
      <c r="F203" s="8">
        <v>2133360</v>
      </c>
      <c r="G203" s="8">
        <v>0</v>
      </c>
      <c r="H203" s="8">
        <v>0</v>
      </c>
      <c r="I203" s="8">
        <v>144</v>
      </c>
      <c r="J203" s="8">
        <v>2133360</v>
      </c>
    </row>
    <row r="204" spans="1:12" x14ac:dyDescent="0.2">
      <c r="A204" s="6" t="s">
        <v>212</v>
      </c>
      <c r="B204" s="6">
        <v>12</v>
      </c>
      <c r="C204" s="8">
        <v>33249</v>
      </c>
      <c r="D204" s="8">
        <v>411726334</v>
      </c>
      <c r="E204" s="8">
        <v>6084</v>
      </c>
      <c r="F204" s="8">
        <v>40227840</v>
      </c>
      <c r="G204" s="8">
        <v>18586</v>
      </c>
      <c r="H204" s="8">
        <v>234183600</v>
      </c>
      <c r="I204" s="8">
        <v>20747</v>
      </c>
      <c r="J204" s="8">
        <v>217770574</v>
      </c>
    </row>
    <row r="205" spans="1:12" x14ac:dyDescent="0.2">
      <c r="A205" s="6" t="s">
        <v>213</v>
      </c>
      <c r="B205" s="6">
        <v>12</v>
      </c>
      <c r="C205" s="8">
        <v>3820</v>
      </c>
      <c r="D205" s="8">
        <v>76529330</v>
      </c>
      <c r="E205" s="8">
        <v>0</v>
      </c>
      <c r="F205" s="8">
        <v>0</v>
      </c>
      <c r="G205" s="8">
        <v>2346</v>
      </c>
      <c r="H205" s="8">
        <v>46999426</v>
      </c>
      <c r="I205" s="8">
        <v>1474</v>
      </c>
      <c r="J205" s="8">
        <v>29529904</v>
      </c>
    </row>
    <row r="206" spans="1:12" x14ac:dyDescent="0.2">
      <c r="A206" s="6" t="s">
        <v>214</v>
      </c>
      <c r="B206" s="6">
        <v>12</v>
      </c>
      <c r="C206" s="8">
        <v>9946</v>
      </c>
      <c r="D206" s="8">
        <v>217056384</v>
      </c>
      <c r="E206" s="8">
        <v>11664</v>
      </c>
      <c r="F206" s="8">
        <v>287377632</v>
      </c>
      <c r="G206" s="8">
        <v>10742</v>
      </c>
      <c r="H206" s="8">
        <v>266401600</v>
      </c>
      <c r="I206" s="8">
        <v>10868</v>
      </c>
      <c r="J206" s="8">
        <v>238032416</v>
      </c>
    </row>
    <row r="207" spans="1:12" x14ac:dyDescent="0.2">
      <c r="A207" s="6" t="s">
        <v>215</v>
      </c>
      <c r="B207" s="6">
        <v>12</v>
      </c>
      <c r="C207" s="8">
        <v>2800</v>
      </c>
      <c r="D207" s="8">
        <v>111956379</v>
      </c>
      <c r="E207" s="8">
        <v>0</v>
      </c>
      <c r="F207" s="8">
        <v>0</v>
      </c>
      <c r="G207" s="8">
        <v>2203</v>
      </c>
      <c r="H207" s="8">
        <v>88085680</v>
      </c>
      <c r="I207" s="8">
        <v>597</v>
      </c>
      <c r="J207" s="8">
        <v>23870699</v>
      </c>
    </row>
    <row r="208" spans="1:12" x14ac:dyDescent="0.2">
      <c r="A208" s="6" t="s">
        <v>216</v>
      </c>
      <c r="B208" s="6">
        <v>12</v>
      </c>
      <c r="C208" s="8">
        <v>0</v>
      </c>
      <c r="D208" s="8">
        <v>0</v>
      </c>
      <c r="E208" s="8">
        <v>160</v>
      </c>
      <c r="F208" s="8">
        <v>2778080</v>
      </c>
      <c r="G208" s="8">
        <v>160</v>
      </c>
      <c r="H208" s="8">
        <v>2778080</v>
      </c>
      <c r="I208" s="8">
        <v>0</v>
      </c>
      <c r="J208" s="8">
        <v>0</v>
      </c>
    </row>
    <row r="209" spans="1:10" x14ac:dyDescent="0.2">
      <c r="A209" s="6" t="s">
        <v>217</v>
      </c>
      <c r="B209" s="6">
        <v>12</v>
      </c>
      <c r="C209" s="8">
        <v>10</v>
      </c>
      <c r="D209" s="8">
        <v>1775003</v>
      </c>
      <c r="E209" s="8">
        <v>80</v>
      </c>
      <c r="F209" s="8">
        <v>14456000</v>
      </c>
      <c r="G209" s="8">
        <v>0</v>
      </c>
      <c r="H209" s="8">
        <v>0</v>
      </c>
      <c r="I209" s="8">
        <v>90</v>
      </c>
      <c r="J209" s="8">
        <v>16231003</v>
      </c>
    </row>
    <row r="210" spans="1:10" x14ac:dyDescent="0.2">
      <c r="A210" s="6" t="s">
        <v>218</v>
      </c>
      <c r="B210" s="6">
        <v>12</v>
      </c>
      <c r="C210" s="8">
        <v>0</v>
      </c>
      <c r="D210" s="8">
        <v>0</v>
      </c>
      <c r="E210" s="8">
        <v>50</v>
      </c>
      <c r="F210" s="8">
        <v>11800000</v>
      </c>
      <c r="G210" s="8">
        <v>0</v>
      </c>
      <c r="H210" s="8">
        <v>0</v>
      </c>
      <c r="I210" s="8">
        <v>50</v>
      </c>
      <c r="J210" s="8">
        <v>11800000</v>
      </c>
    </row>
    <row r="211" spans="1:10" x14ac:dyDescent="0.2">
      <c r="A211" s="6" t="s">
        <v>219</v>
      </c>
      <c r="B211" s="6">
        <v>12</v>
      </c>
      <c r="C211" s="8">
        <v>0</v>
      </c>
      <c r="D211" s="8">
        <v>0</v>
      </c>
      <c r="E211" s="8">
        <v>30</v>
      </c>
      <c r="F211" s="8">
        <v>7080000</v>
      </c>
      <c r="G211" s="8">
        <v>0</v>
      </c>
      <c r="H211" s="8">
        <v>0</v>
      </c>
      <c r="I211" s="8">
        <v>30</v>
      </c>
      <c r="J211" s="8">
        <v>7080000</v>
      </c>
    </row>
    <row r="212" spans="1:10" x14ac:dyDescent="0.2">
      <c r="A212" s="6" t="s">
        <v>220</v>
      </c>
      <c r="B212" s="6">
        <v>12</v>
      </c>
      <c r="C212" s="8">
        <v>0</v>
      </c>
      <c r="D212" s="8">
        <v>0</v>
      </c>
      <c r="E212" s="8">
        <v>72</v>
      </c>
      <c r="F212" s="8">
        <v>1847966</v>
      </c>
      <c r="G212" s="8">
        <v>0</v>
      </c>
      <c r="H212" s="8">
        <v>0</v>
      </c>
      <c r="I212" s="8">
        <v>72</v>
      </c>
      <c r="J212" s="8">
        <v>1847966</v>
      </c>
    </row>
    <row r="213" spans="1:10" x14ac:dyDescent="0.2">
      <c r="A213" s="6" t="s">
        <v>221</v>
      </c>
      <c r="B213" s="6">
        <v>12</v>
      </c>
      <c r="C213" s="8">
        <v>4178</v>
      </c>
      <c r="D213" s="8">
        <v>81823781</v>
      </c>
      <c r="E213" s="8">
        <v>1656</v>
      </c>
      <c r="F213" s="8">
        <v>32608296</v>
      </c>
      <c r="G213" s="8">
        <v>1904</v>
      </c>
      <c r="H213" s="8">
        <v>37346362</v>
      </c>
      <c r="I213" s="8">
        <v>3930</v>
      </c>
      <c r="J213" s="8">
        <v>77085715</v>
      </c>
    </row>
    <row r="214" spans="1:10" x14ac:dyDescent="0.2">
      <c r="A214" s="6" t="s">
        <v>222</v>
      </c>
      <c r="B214" s="6">
        <v>12</v>
      </c>
      <c r="C214" s="8">
        <v>1066</v>
      </c>
      <c r="D214" s="8">
        <v>22876165</v>
      </c>
      <c r="E214" s="8">
        <v>0</v>
      </c>
      <c r="F214" s="8">
        <v>0</v>
      </c>
      <c r="G214" s="8">
        <v>174</v>
      </c>
      <c r="H214" s="8">
        <v>3734008</v>
      </c>
      <c r="I214" s="8">
        <v>892</v>
      </c>
      <c r="J214" s="8">
        <v>19142157</v>
      </c>
    </row>
    <row r="215" spans="1:10" x14ac:dyDescent="0.2">
      <c r="A215" s="6" t="s">
        <v>223</v>
      </c>
      <c r="B215" s="6">
        <v>12</v>
      </c>
      <c r="C215" s="8">
        <v>337</v>
      </c>
      <c r="D215" s="8">
        <v>14575142</v>
      </c>
      <c r="E215" s="8">
        <v>0</v>
      </c>
      <c r="F215" s="8">
        <v>0</v>
      </c>
      <c r="G215" s="8">
        <v>90</v>
      </c>
      <c r="H215" s="8">
        <v>3892471</v>
      </c>
      <c r="I215" s="8">
        <v>247</v>
      </c>
      <c r="J215" s="8">
        <v>10682671</v>
      </c>
    </row>
    <row r="216" spans="1:10" x14ac:dyDescent="0.2">
      <c r="A216" s="6" t="s">
        <v>224</v>
      </c>
      <c r="B216" s="6">
        <v>12</v>
      </c>
      <c r="C216" s="8">
        <v>0</v>
      </c>
      <c r="D216" s="8">
        <v>0</v>
      </c>
      <c r="E216" s="8">
        <v>0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</row>
    <row r="217" spans="1:10" x14ac:dyDescent="0.2">
      <c r="A217" s="6" t="s">
        <v>225</v>
      </c>
      <c r="B217" s="6">
        <v>12</v>
      </c>
      <c r="C217" s="8">
        <v>268</v>
      </c>
      <c r="D217" s="8">
        <v>5622934</v>
      </c>
      <c r="E217" s="8">
        <v>144</v>
      </c>
      <c r="F217" s="8">
        <v>3021278</v>
      </c>
      <c r="G217" s="8">
        <v>180</v>
      </c>
      <c r="H217" s="8">
        <v>3776597</v>
      </c>
      <c r="I217" s="8">
        <v>232</v>
      </c>
      <c r="J217" s="8">
        <v>4867615</v>
      </c>
    </row>
    <row r="218" spans="1:10" x14ac:dyDescent="0.2">
      <c r="A218" s="6" t="s">
        <v>226</v>
      </c>
      <c r="B218" s="6">
        <v>12</v>
      </c>
      <c r="C218" s="8">
        <v>0</v>
      </c>
      <c r="D218" s="8">
        <v>0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</row>
    <row r="219" spans="1:10" x14ac:dyDescent="0.2">
      <c r="A219" s="6" t="s">
        <v>227</v>
      </c>
      <c r="B219" s="6">
        <v>12</v>
      </c>
      <c r="C219" s="8">
        <v>470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470</v>
      </c>
      <c r="J219" s="8">
        <v>0</v>
      </c>
    </row>
    <row r="220" spans="1:10" x14ac:dyDescent="0.2">
      <c r="A220" s="6" t="s">
        <v>228</v>
      </c>
      <c r="B220" s="6">
        <v>12</v>
      </c>
      <c r="C220" s="8">
        <v>67</v>
      </c>
      <c r="D220" s="8">
        <v>5925955</v>
      </c>
      <c r="E220" s="8">
        <v>56</v>
      </c>
      <c r="F220" s="8">
        <v>4917248</v>
      </c>
      <c r="G220" s="8">
        <v>0</v>
      </c>
      <c r="H220" s="8">
        <v>0</v>
      </c>
      <c r="I220" s="8">
        <v>123</v>
      </c>
      <c r="J220" s="8">
        <v>10843203</v>
      </c>
    </row>
    <row r="221" spans="1:10" x14ac:dyDescent="0.2">
      <c r="A221" s="6" t="s">
        <v>229</v>
      </c>
      <c r="B221" s="6">
        <v>12</v>
      </c>
      <c r="C221" s="8">
        <v>2747</v>
      </c>
      <c r="D221" s="8">
        <v>247783362</v>
      </c>
      <c r="E221" s="8">
        <v>412</v>
      </c>
      <c r="F221" s="8">
        <v>36610448</v>
      </c>
      <c r="G221" s="8">
        <v>2933</v>
      </c>
      <c r="H221" s="8">
        <v>275702000</v>
      </c>
      <c r="I221" s="8">
        <v>226</v>
      </c>
      <c r="J221" s="8">
        <v>8691810</v>
      </c>
    </row>
    <row r="222" spans="1:10" x14ac:dyDescent="0.2">
      <c r="A222" s="6" t="s">
        <v>230</v>
      </c>
      <c r="B222" s="6">
        <v>12</v>
      </c>
      <c r="C222" s="8">
        <v>1429</v>
      </c>
      <c r="D222" s="8">
        <v>91033464</v>
      </c>
      <c r="E222" s="8">
        <v>924</v>
      </c>
      <c r="F222" s="8">
        <v>52136000</v>
      </c>
      <c r="G222" s="8">
        <v>2090</v>
      </c>
      <c r="H222" s="8">
        <v>127167097</v>
      </c>
      <c r="I222" s="8">
        <v>263</v>
      </c>
      <c r="J222" s="8">
        <v>16002367</v>
      </c>
    </row>
    <row r="223" spans="1:10" x14ac:dyDescent="0.2">
      <c r="A223" s="6" t="s">
        <v>231</v>
      </c>
      <c r="B223" s="6">
        <v>12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</row>
    <row r="224" spans="1:10" x14ac:dyDescent="0.2">
      <c r="A224" s="6" t="s">
        <v>232</v>
      </c>
      <c r="B224" s="6">
        <v>12</v>
      </c>
      <c r="C224" s="8">
        <v>897</v>
      </c>
      <c r="D224" s="8">
        <v>54866918</v>
      </c>
      <c r="E224" s="8">
        <v>389</v>
      </c>
      <c r="F224" s="8">
        <v>22866732</v>
      </c>
      <c r="G224" s="8">
        <v>665</v>
      </c>
      <c r="H224" s="8">
        <v>40196639</v>
      </c>
      <c r="I224" s="8">
        <v>621</v>
      </c>
      <c r="J224" s="8">
        <v>37537011</v>
      </c>
    </row>
    <row r="225" spans="1:10" x14ac:dyDescent="0.2">
      <c r="A225" s="6" t="s">
        <v>233</v>
      </c>
      <c r="B225" s="6">
        <v>12</v>
      </c>
      <c r="C225" s="8">
        <v>5775</v>
      </c>
      <c r="D225" s="8">
        <v>348275500</v>
      </c>
      <c r="E225" s="8">
        <v>2032</v>
      </c>
      <c r="F225" s="8">
        <v>100352000</v>
      </c>
      <c r="G225" s="8">
        <v>4833</v>
      </c>
      <c r="H225" s="8">
        <v>277727259</v>
      </c>
      <c r="I225" s="8">
        <v>2974</v>
      </c>
      <c r="J225" s="8">
        <v>170900241</v>
      </c>
    </row>
    <row r="226" spans="1:10" x14ac:dyDescent="0.2">
      <c r="A226" s="6" t="s">
        <v>234</v>
      </c>
      <c r="B226" s="6">
        <v>12</v>
      </c>
      <c r="C226" s="8">
        <v>22923</v>
      </c>
      <c r="D226" s="8">
        <v>1293167657</v>
      </c>
      <c r="E226" s="8">
        <v>17433</v>
      </c>
      <c r="F226" s="8">
        <v>905972760</v>
      </c>
      <c r="G226" s="8">
        <v>21549</v>
      </c>
      <c r="H226" s="8">
        <v>1286033703</v>
      </c>
      <c r="I226" s="8">
        <v>18807</v>
      </c>
      <c r="J226" s="8">
        <v>913106714</v>
      </c>
    </row>
    <row r="227" spans="1:10" x14ac:dyDescent="0.2">
      <c r="A227" s="6" t="s">
        <v>235</v>
      </c>
      <c r="B227" s="6">
        <v>12</v>
      </c>
      <c r="C227" s="8">
        <v>322</v>
      </c>
      <c r="D227" s="8">
        <v>22632087</v>
      </c>
      <c r="E227" s="8">
        <v>120</v>
      </c>
      <c r="F227" s="8">
        <v>8467200</v>
      </c>
      <c r="G227" s="8">
        <v>298</v>
      </c>
      <c r="H227" s="8">
        <v>20967393</v>
      </c>
      <c r="I227" s="8">
        <v>144</v>
      </c>
      <c r="J227" s="8">
        <v>10131894</v>
      </c>
    </row>
    <row r="228" spans="1:10" x14ac:dyDescent="0.2">
      <c r="A228" s="6" t="s">
        <v>236</v>
      </c>
      <c r="B228" s="6">
        <v>12</v>
      </c>
      <c r="C228" s="8">
        <v>252</v>
      </c>
      <c r="D228" s="8">
        <v>16163532</v>
      </c>
      <c r="E228" s="8">
        <v>612</v>
      </c>
      <c r="F228" s="8">
        <v>37714908</v>
      </c>
      <c r="G228" s="8">
        <v>452</v>
      </c>
      <c r="H228" s="8">
        <v>28186406</v>
      </c>
      <c r="I228" s="8">
        <v>412</v>
      </c>
      <c r="J228" s="8">
        <v>25692034</v>
      </c>
    </row>
    <row r="229" spans="1:10" x14ac:dyDescent="0.2">
      <c r="A229" s="6" t="s">
        <v>237</v>
      </c>
      <c r="B229" s="6">
        <v>12</v>
      </c>
      <c r="C229" s="8">
        <v>235</v>
      </c>
      <c r="D229" s="8">
        <v>1918332</v>
      </c>
      <c r="E229" s="8">
        <v>0</v>
      </c>
      <c r="F229" s="8">
        <v>0</v>
      </c>
      <c r="G229" s="8">
        <v>0</v>
      </c>
      <c r="H229" s="8">
        <v>0</v>
      </c>
      <c r="I229" s="8">
        <v>235</v>
      </c>
      <c r="J229" s="8">
        <v>1918332</v>
      </c>
    </row>
    <row r="230" spans="1:10" x14ac:dyDescent="0.2">
      <c r="A230" s="6" t="s">
        <v>238</v>
      </c>
      <c r="B230" s="6">
        <v>12</v>
      </c>
      <c r="C230" s="8">
        <v>942</v>
      </c>
      <c r="D230" s="8">
        <v>53507694</v>
      </c>
      <c r="E230" s="8">
        <v>0</v>
      </c>
      <c r="F230" s="8">
        <v>0</v>
      </c>
      <c r="G230" s="8">
        <v>132</v>
      </c>
      <c r="H230" s="8">
        <v>7497893</v>
      </c>
      <c r="I230" s="8">
        <v>810</v>
      </c>
      <c r="J230" s="8">
        <v>46009801</v>
      </c>
    </row>
    <row r="231" spans="1:10" x14ac:dyDescent="0.2">
      <c r="A231" s="6" t="s">
        <v>239</v>
      </c>
      <c r="B231" s="6">
        <v>12</v>
      </c>
      <c r="C231" s="8">
        <v>0</v>
      </c>
      <c r="D231" s="8">
        <v>0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</row>
    <row r="232" spans="1:10" x14ac:dyDescent="0.2">
      <c r="A232" s="6" t="s">
        <v>240</v>
      </c>
      <c r="B232" s="6">
        <v>12</v>
      </c>
      <c r="C232" s="8">
        <v>25</v>
      </c>
      <c r="D232" s="8">
        <v>2337348</v>
      </c>
      <c r="E232" s="8">
        <v>2030</v>
      </c>
      <c r="F232" s="8">
        <v>189788760</v>
      </c>
      <c r="G232" s="8">
        <v>1506</v>
      </c>
      <c r="H232" s="8">
        <v>140798987</v>
      </c>
      <c r="I232" s="8">
        <v>549</v>
      </c>
      <c r="J232" s="8">
        <v>51327121</v>
      </c>
    </row>
    <row r="233" spans="1:10" x14ac:dyDescent="0.2">
      <c r="A233" s="6" t="s">
        <v>241</v>
      </c>
      <c r="B233" s="6">
        <v>12</v>
      </c>
      <c r="C233" s="8">
        <v>1186</v>
      </c>
      <c r="D233" s="8">
        <v>91489935</v>
      </c>
      <c r="E233" s="8">
        <v>464</v>
      </c>
      <c r="F233" s="8">
        <v>32792760</v>
      </c>
      <c r="G233" s="8">
        <v>681</v>
      </c>
      <c r="H233" s="8">
        <v>51294858</v>
      </c>
      <c r="I233" s="8">
        <v>969</v>
      </c>
      <c r="J233" s="8">
        <v>72987837</v>
      </c>
    </row>
    <row r="234" spans="1:10" x14ac:dyDescent="0.2">
      <c r="A234" s="6" t="s">
        <v>242</v>
      </c>
      <c r="B234" s="6">
        <v>12</v>
      </c>
      <c r="C234" s="8">
        <v>137</v>
      </c>
      <c r="D234" s="8">
        <v>9584186</v>
      </c>
      <c r="E234" s="8">
        <v>54</v>
      </c>
      <c r="F234" s="8">
        <v>3797010</v>
      </c>
      <c r="G234" s="8">
        <v>33</v>
      </c>
      <c r="H234" s="8">
        <v>2311934</v>
      </c>
      <c r="I234" s="8">
        <v>158</v>
      </c>
      <c r="J234" s="8">
        <v>11069262</v>
      </c>
    </row>
    <row r="235" spans="1:10" x14ac:dyDescent="0.2">
      <c r="A235" s="6" t="s">
        <v>243</v>
      </c>
      <c r="B235" s="6">
        <v>12</v>
      </c>
      <c r="C235" s="8">
        <v>1575</v>
      </c>
      <c r="D235" s="8">
        <v>144885570</v>
      </c>
      <c r="E235" s="8">
        <v>171</v>
      </c>
      <c r="F235" s="8">
        <v>15690192</v>
      </c>
      <c r="G235" s="8">
        <v>1617</v>
      </c>
      <c r="H235" s="8">
        <v>148711917</v>
      </c>
      <c r="I235" s="8">
        <v>129</v>
      </c>
      <c r="J235" s="8">
        <v>11863845</v>
      </c>
    </row>
    <row r="236" spans="1:10" x14ac:dyDescent="0.2">
      <c r="A236" s="6" t="s">
        <v>244</v>
      </c>
      <c r="B236" s="6">
        <v>12</v>
      </c>
      <c r="C236" s="8">
        <v>4</v>
      </c>
      <c r="D236" s="8">
        <v>351232</v>
      </c>
      <c r="E236" s="8">
        <v>48</v>
      </c>
      <c r="F236" s="8">
        <v>4214784</v>
      </c>
      <c r="G236" s="8">
        <v>52</v>
      </c>
      <c r="H236" s="8">
        <v>4566016</v>
      </c>
      <c r="I236" s="8">
        <v>0</v>
      </c>
      <c r="J236" s="8">
        <v>0</v>
      </c>
    </row>
    <row r="237" spans="1:10" x14ac:dyDescent="0.2">
      <c r="A237" s="6" t="s">
        <v>245</v>
      </c>
      <c r="B237" s="6">
        <v>12</v>
      </c>
      <c r="C237" s="8">
        <v>0</v>
      </c>
      <c r="D237" s="8">
        <v>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</row>
    <row r="238" spans="1:10" x14ac:dyDescent="0.2">
      <c r="A238" s="6" t="s">
        <v>246</v>
      </c>
      <c r="B238" s="6">
        <v>12</v>
      </c>
      <c r="C238" s="8">
        <v>8756</v>
      </c>
      <c r="D238" s="8">
        <v>62408741</v>
      </c>
      <c r="E238" s="8">
        <v>1920</v>
      </c>
      <c r="F238" s="8">
        <v>13684878</v>
      </c>
      <c r="G238" s="8">
        <v>135</v>
      </c>
      <c r="H238" s="8">
        <v>962218</v>
      </c>
      <c r="I238" s="8">
        <v>10541</v>
      </c>
      <c r="J238" s="8">
        <v>75131401</v>
      </c>
    </row>
    <row r="239" spans="1:10" x14ac:dyDescent="0.2">
      <c r="A239" s="6" t="s">
        <v>247</v>
      </c>
      <c r="B239" s="6">
        <v>12</v>
      </c>
      <c r="C239" s="8">
        <v>43404</v>
      </c>
      <c r="D239" s="8">
        <v>288267066</v>
      </c>
      <c r="E239" s="8">
        <v>2880</v>
      </c>
      <c r="F239" s="8">
        <v>20527315</v>
      </c>
      <c r="G239" s="8">
        <v>154</v>
      </c>
      <c r="H239" s="8">
        <v>1027447</v>
      </c>
      <c r="I239" s="8">
        <v>46130</v>
      </c>
      <c r="J239" s="8">
        <v>307766934</v>
      </c>
    </row>
    <row r="240" spans="1:10" x14ac:dyDescent="0.2">
      <c r="A240" s="6" t="s">
        <v>248</v>
      </c>
      <c r="B240" s="6">
        <v>12</v>
      </c>
      <c r="C240" s="8">
        <v>384</v>
      </c>
      <c r="D240" s="8">
        <v>1852721</v>
      </c>
      <c r="E240" s="8">
        <v>0</v>
      </c>
      <c r="F240" s="8">
        <v>0</v>
      </c>
      <c r="G240" s="8">
        <v>0</v>
      </c>
      <c r="H240" s="8">
        <v>0</v>
      </c>
      <c r="I240" s="8">
        <v>384</v>
      </c>
      <c r="J240" s="8">
        <v>1852721</v>
      </c>
    </row>
    <row r="241" spans="1:10" x14ac:dyDescent="0.2">
      <c r="A241" s="6" t="s">
        <v>249</v>
      </c>
      <c r="B241" s="6">
        <v>12</v>
      </c>
      <c r="C241" s="8">
        <v>420</v>
      </c>
      <c r="D241" s="8">
        <v>1974630</v>
      </c>
      <c r="E241" s="8">
        <v>271</v>
      </c>
      <c r="F241" s="8">
        <v>0</v>
      </c>
      <c r="G241" s="8">
        <v>0</v>
      </c>
      <c r="H241" s="8">
        <v>0</v>
      </c>
      <c r="I241" s="8">
        <v>691</v>
      </c>
      <c r="J241" s="8">
        <v>1974630</v>
      </c>
    </row>
    <row r="242" spans="1:10" x14ac:dyDescent="0.2">
      <c r="A242" s="6" t="s">
        <v>250</v>
      </c>
      <c r="B242" s="6">
        <v>12</v>
      </c>
      <c r="C242" s="8">
        <v>16561</v>
      </c>
      <c r="D242" s="8">
        <v>169801355</v>
      </c>
      <c r="E242" s="8">
        <v>2160</v>
      </c>
      <c r="F242" s="8">
        <v>15395487</v>
      </c>
      <c r="G242" s="8">
        <v>100</v>
      </c>
      <c r="H242" s="8">
        <v>989247</v>
      </c>
      <c r="I242" s="8">
        <v>18621</v>
      </c>
      <c r="J242" s="8">
        <v>184207595</v>
      </c>
    </row>
    <row r="243" spans="1:10" x14ac:dyDescent="0.2">
      <c r="A243" s="6" t="s">
        <v>251</v>
      </c>
      <c r="B243" s="6">
        <v>12</v>
      </c>
      <c r="C243" s="8">
        <v>0</v>
      </c>
      <c r="D243" s="8">
        <v>0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</row>
    <row r="244" spans="1:10" x14ac:dyDescent="0.2">
      <c r="A244" s="6" t="s">
        <v>252</v>
      </c>
      <c r="B244" s="6">
        <v>12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</row>
    <row r="245" spans="1:10" x14ac:dyDescent="0.2">
      <c r="A245" s="6" t="s">
        <v>253</v>
      </c>
      <c r="B245" s="6">
        <v>12</v>
      </c>
      <c r="C245" s="8">
        <v>0</v>
      </c>
      <c r="D245" s="8">
        <v>0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</row>
    <row r="246" spans="1:10" x14ac:dyDescent="0.2">
      <c r="A246" s="6" t="s">
        <v>254</v>
      </c>
      <c r="B246" s="6">
        <v>12</v>
      </c>
      <c r="C246" s="8">
        <v>178</v>
      </c>
      <c r="D246" s="8">
        <v>6117278</v>
      </c>
      <c r="E246" s="8">
        <v>62</v>
      </c>
      <c r="F246" s="8">
        <v>2130804</v>
      </c>
      <c r="G246" s="8">
        <v>240</v>
      </c>
      <c r="H246" s="8">
        <v>8248082</v>
      </c>
      <c r="I246" s="8">
        <v>0</v>
      </c>
      <c r="J246" s="8">
        <v>0</v>
      </c>
    </row>
    <row r="247" spans="1:10" x14ac:dyDescent="0.2">
      <c r="A247" s="6" t="s">
        <v>255</v>
      </c>
      <c r="B247" s="6">
        <v>12</v>
      </c>
      <c r="C247" s="8">
        <v>0</v>
      </c>
      <c r="D247" s="8">
        <v>884858</v>
      </c>
      <c r="E247" s="8">
        <v>40</v>
      </c>
      <c r="F247" s="8">
        <v>3487564</v>
      </c>
      <c r="G247" s="8">
        <v>40</v>
      </c>
      <c r="H247" s="8">
        <v>4372422</v>
      </c>
      <c r="I247" s="8">
        <v>0</v>
      </c>
      <c r="J247" s="8">
        <v>0</v>
      </c>
    </row>
    <row r="248" spans="1:10" x14ac:dyDescent="0.2">
      <c r="A248" s="6" t="s">
        <v>256</v>
      </c>
      <c r="B248" s="6">
        <v>12</v>
      </c>
      <c r="C248" s="8">
        <v>0</v>
      </c>
      <c r="D248" s="8">
        <v>0</v>
      </c>
      <c r="E248" s="8">
        <v>110</v>
      </c>
      <c r="F248" s="8">
        <v>4786700</v>
      </c>
      <c r="G248" s="8">
        <v>110</v>
      </c>
      <c r="H248" s="8">
        <v>4786700</v>
      </c>
      <c r="I248" s="8">
        <v>0</v>
      </c>
      <c r="J248" s="8">
        <v>0</v>
      </c>
    </row>
    <row r="249" spans="1:10" x14ac:dyDescent="0.2">
      <c r="A249" s="6" t="s">
        <v>257</v>
      </c>
      <c r="B249" s="6">
        <v>12</v>
      </c>
      <c r="C249" s="8">
        <v>26</v>
      </c>
      <c r="D249" s="8">
        <v>1423200</v>
      </c>
      <c r="E249" s="8">
        <v>24</v>
      </c>
      <c r="F249" s="8">
        <v>1313723</v>
      </c>
      <c r="G249" s="8">
        <v>50</v>
      </c>
      <c r="H249" s="8">
        <v>2736923</v>
      </c>
      <c r="I249" s="8">
        <v>0</v>
      </c>
      <c r="J249" s="8">
        <v>0</v>
      </c>
    </row>
    <row r="250" spans="1:10" x14ac:dyDescent="0.2">
      <c r="A250" s="6" t="s">
        <v>258</v>
      </c>
      <c r="B250" s="6">
        <v>12</v>
      </c>
      <c r="C250" s="8">
        <v>1315</v>
      </c>
      <c r="D250" s="8">
        <v>5870462</v>
      </c>
      <c r="E250" s="8">
        <v>150</v>
      </c>
      <c r="F250" s="8">
        <v>2298240</v>
      </c>
      <c r="G250" s="8">
        <v>250</v>
      </c>
      <c r="H250" s="8">
        <v>3829633</v>
      </c>
      <c r="I250" s="8">
        <v>1215</v>
      </c>
      <c r="J250" s="8">
        <v>4339069</v>
      </c>
    </row>
    <row r="251" spans="1:10" x14ac:dyDescent="0.2">
      <c r="A251" s="6" t="s">
        <v>259</v>
      </c>
      <c r="B251" s="6">
        <v>12</v>
      </c>
      <c r="C251" s="8">
        <v>90</v>
      </c>
      <c r="D251" s="8">
        <v>1980663</v>
      </c>
      <c r="E251" s="8">
        <v>0</v>
      </c>
      <c r="F251" s="8">
        <v>0</v>
      </c>
      <c r="G251" s="8">
        <v>0</v>
      </c>
      <c r="H251" s="8">
        <v>0</v>
      </c>
      <c r="I251" s="8">
        <v>90</v>
      </c>
      <c r="J251" s="8">
        <v>1980663</v>
      </c>
    </row>
    <row r="252" spans="1:10" x14ac:dyDescent="0.2">
      <c r="A252" s="6" t="s">
        <v>260</v>
      </c>
      <c r="B252" s="6">
        <v>12</v>
      </c>
      <c r="C252" s="8">
        <v>7</v>
      </c>
      <c r="D252" s="8">
        <v>460192</v>
      </c>
      <c r="E252" s="8">
        <v>0</v>
      </c>
      <c r="F252" s="8">
        <v>0</v>
      </c>
      <c r="G252" s="8">
        <v>0</v>
      </c>
      <c r="H252" s="8">
        <v>0</v>
      </c>
      <c r="I252" s="8">
        <v>7</v>
      </c>
      <c r="J252" s="8">
        <v>460192</v>
      </c>
    </row>
    <row r="253" spans="1:10" x14ac:dyDescent="0.2">
      <c r="A253" s="6" t="s">
        <v>261</v>
      </c>
      <c r="B253" s="6">
        <v>12</v>
      </c>
      <c r="C253" s="8">
        <v>0</v>
      </c>
      <c r="D253" s="8">
        <v>0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</row>
    <row r="254" spans="1:10" x14ac:dyDescent="0.2">
      <c r="A254" s="6" t="s">
        <v>262</v>
      </c>
      <c r="B254" s="6">
        <v>12</v>
      </c>
      <c r="C254" s="8">
        <v>4</v>
      </c>
      <c r="D254" s="8">
        <v>330624</v>
      </c>
      <c r="E254" s="8">
        <v>0</v>
      </c>
      <c r="F254" s="8">
        <v>0</v>
      </c>
      <c r="G254" s="8">
        <v>0</v>
      </c>
      <c r="H254" s="8">
        <v>0</v>
      </c>
      <c r="I254" s="8">
        <v>4</v>
      </c>
      <c r="J254" s="8">
        <v>330624</v>
      </c>
    </row>
    <row r="255" spans="1:10" x14ac:dyDescent="0.2">
      <c r="A255" s="6" t="s">
        <v>263</v>
      </c>
      <c r="B255" s="6">
        <v>12</v>
      </c>
      <c r="C255" s="8">
        <v>0</v>
      </c>
      <c r="D255" s="8">
        <v>0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</row>
    <row r="256" spans="1:10" x14ac:dyDescent="0.2">
      <c r="A256" s="6" t="s">
        <v>264</v>
      </c>
      <c r="B256" s="6">
        <v>12</v>
      </c>
      <c r="C256" s="8">
        <v>0</v>
      </c>
      <c r="D256" s="8">
        <v>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</row>
    <row r="257" spans="1:10" x14ac:dyDescent="0.2">
      <c r="A257" s="6" t="s">
        <v>265</v>
      </c>
      <c r="B257" s="6">
        <v>12</v>
      </c>
      <c r="C257" s="8">
        <v>5</v>
      </c>
      <c r="D257" s="8">
        <v>412800</v>
      </c>
      <c r="E257" s="8">
        <v>0</v>
      </c>
      <c r="F257" s="8">
        <v>0</v>
      </c>
      <c r="G257" s="8">
        <v>0</v>
      </c>
      <c r="H257" s="8">
        <v>0</v>
      </c>
      <c r="I257" s="8">
        <v>5</v>
      </c>
      <c r="J257" s="8">
        <v>412800</v>
      </c>
    </row>
    <row r="258" spans="1:10" x14ac:dyDescent="0.2">
      <c r="A258" s="6" t="s">
        <v>266</v>
      </c>
      <c r="B258" s="6">
        <v>12</v>
      </c>
      <c r="C258" s="8">
        <v>5</v>
      </c>
      <c r="D258" s="8">
        <v>441600</v>
      </c>
      <c r="E258" s="8">
        <v>0</v>
      </c>
      <c r="F258" s="8">
        <v>0</v>
      </c>
      <c r="G258" s="8">
        <v>0</v>
      </c>
      <c r="H258" s="8">
        <v>0</v>
      </c>
      <c r="I258" s="8">
        <v>5</v>
      </c>
      <c r="J258" s="8">
        <v>441600</v>
      </c>
    </row>
    <row r="259" spans="1:10" x14ac:dyDescent="0.2">
      <c r="A259" s="6" t="s">
        <v>267</v>
      </c>
      <c r="B259" s="6">
        <v>12</v>
      </c>
      <c r="C259" s="8">
        <v>6</v>
      </c>
      <c r="D259" s="8">
        <v>447000</v>
      </c>
      <c r="E259" s="8"/>
      <c r="F259" s="8">
        <v>0</v>
      </c>
      <c r="G259" s="8"/>
      <c r="H259" s="8"/>
      <c r="I259" s="8">
        <v>6</v>
      </c>
      <c r="J259" s="8">
        <v>447000</v>
      </c>
    </row>
    <row r="260" spans="1:10" x14ac:dyDescent="0.2">
      <c r="A260" s="6" t="s">
        <v>268</v>
      </c>
      <c r="B260" s="6">
        <v>12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</row>
    <row r="261" spans="1:10" x14ac:dyDescent="0.2">
      <c r="A261" s="6" t="s">
        <v>269</v>
      </c>
      <c r="B261" s="6">
        <v>12</v>
      </c>
      <c r="C261" s="8">
        <v>0</v>
      </c>
      <c r="D261" s="8">
        <v>0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</row>
    <row r="262" spans="1:10" x14ac:dyDescent="0.2">
      <c r="A262" s="6" t="s">
        <v>270</v>
      </c>
      <c r="B262" s="6">
        <v>12</v>
      </c>
      <c r="C262" s="8">
        <v>0</v>
      </c>
      <c r="D262" s="8">
        <v>0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</row>
    <row r="263" spans="1:10" x14ac:dyDescent="0.2">
      <c r="A263" s="6" t="s">
        <v>271</v>
      </c>
      <c r="B263" s="6">
        <v>12</v>
      </c>
      <c r="C263" s="8">
        <v>0</v>
      </c>
      <c r="D263" s="8">
        <v>0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</row>
    <row r="264" spans="1:10" x14ac:dyDescent="0.2">
      <c r="A264" s="6" t="s">
        <v>272</v>
      </c>
      <c r="B264" s="6">
        <v>12</v>
      </c>
      <c r="C264" s="8">
        <v>0</v>
      </c>
      <c r="D264" s="8">
        <v>0</v>
      </c>
      <c r="E264" s="8">
        <v>0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</row>
    <row r="265" spans="1:10" x14ac:dyDescent="0.2">
      <c r="A265" s="6" t="s">
        <v>273</v>
      </c>
      <c r="B265" s="6">
        <v>12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</row>
    <row r="266" spans="1:10" x14ac:dyDescent="0.2">
      <c r="A266" s="6" t="s">
        <v>274</v>
      </c>
      <c r="B266" s="6">
        <v>12</v>
      </c>
      <c r="C266" s="8">
        <v>14</v>
      </c>
      <c r="D266" s="8">
        <v>473144</v>
      </c>
      <c r="E266" s="8">
        <v>0</v>
      </c>
      <c r="F266" s="8">
        <v>0</v>
      </c>
      <c r="G266" s="8">
        <v>0</v>
      </c>
      <c r="H266" s="8">
        <v>0</v>
      </c>
      <c r="I266" s="8">
        <v>14</v>
      </c>
      <c r="J266" s="8">
        <v>473144</v>
      </c>
    </row>
    <row r="267" spans="1:10" x14ac:dyDescent="0.2">
      <c r="A267" s="6" t="s">
        <v>275</v>
      </c>
      <c r="B267" s="6">
        <v>12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</row>
    <row r="268" spans="1:10" x14ac:dyDescent="0.2">
      <c r="A268" s="6" t="s">
        <v>276</v>
      </c>
      <c r="B268" s="6">
        <v>12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</row>
    <row r="269" spans="1:10" x14ac:dyDescent="0.2">
      <c r="A269" s="6" t="s">
        <v>277</v>
      </c>
      <c r="B269" s="6">
        <v>12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</row>
    <row r="270" spans="1:10" x14ac:dyDescent="0.2">
      <c r="A270" s="6" t="s">
        <v>278</v>
      </c>
      <c r="B270" s="6">
        <v>12</v>
      </c>
      <c r="C270" s="8">
        <v>0</v>
      </c>
      <c r="D270" s="8">
        <v>0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</row>
    <row r="271" spans="1:10" x14ac:dyDescent="0.2">
      <c r="A271" s="6" t="s">
        <v>279</v>
      </c>
      <c r="B271" s="6">
        <v>12</v>
      </c>
      <c r="C271" s="8">
        <v>0</v>
      </c>
      <c r="D271" s="8">
        <v>0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</row>
    <row r="272" spans="1:10" x14ac:dyDescent="0.2">
      <c r="A272" s="6" t="s">
        <v>280</v>
      </c>
      <c r="B272" s="6">
        <v>12</v>
      </c>
      <c r="C272" s="8">
        <v>0</v>
      </c>
      <c r="D272" s="8">
        <v>0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</row>
    <row r="273" spans="1:10" x14ac:dyDescent="0.2">
      <c r="A273" s="6" t="s">
        <v>281</v>
      </c>
      <c r="B273" s="6">
        <v>12</v>
      </c>
      <c r="C273" s="8">
        <v>115</v>
      </c>
      <c r="D273" s="8">
        <v>1984968</v>
      </c>
      <c r="E273" s="8">
        <v>52</v>
      </c>
      <c r="F273" s="8">
        <v>882000</v>
      </c>
      <c r="G273" s="8">
        <v>0</v>
      </c>
      <c r="H273" s="8">
        <v>0</v>
      </c>
      <c r="I273" s="8">
        <v>167</v>
      </c>
      <c r="J273" s="8">
        <v>2866968</v>
      </c>
    </row>
    <row r="274" spans="1:10" x14ac:dyDescent="0.2">
      <c r="A274" s="6" t="s">
        <v>282</v>
      </c>
      <c r="B274" s="6">
        <v>12</v>
      </c>
      <c r="C274" s="8">
        <v>0</v>
      </c>
      <c r="D274" s="8">
        <v>0</v>
      </c>
      <c r="E274" s="8">
        <v>28</v>
      </c>
      <c r="F274" s="8">
        <v>1940400</v>
      </c>
      <c r="G274" s="8">
        <v>15</v>
      </c>
      <c r="H274" s="8">
        <v>1044761</v>
      </c>
      <c r="I274" s="8">
        <v>13</v>
      </c>
      <c r="J274" s="8">
        <v>895639</v>
      </c>
    </row>
    <row r="275" spans="1:10" x14ac:dyDescent="0.2">
      <c r="A275" s="6" t="s">
        <v>283</v>
      </c>
      <c r="B275" s="6">
        <v>12</v>
      </c>
      <c r="C275" s="8">
        <v>2650</v>
      </c>
      <c r="D275" s="8">
        <v>60362629</v>
      </c>
      <c r="E275" s="8">
        <v>1138</v>
      </c>
      <c r="F275" s="8">
        <v>39547200</v>
      </c>
      <c r="G275" s="8">
        <v>2103</v>
      </c>
      <c r="H275" s="8">
        <v>76338900</v>
      </c>
      <c r="I275" s="8">
        <v>1685</v>
      </c>
      <c r="J275" s="8">
        <v>23570929</v>
      </c>
    </row>
    <row r="276" spans="1:10" x14ac:dyDescent="0.2">
      <c r="A276" s="6" t="s">
        <v>284</v>
      </c>
      <c r="B276" s="6">
        <v>12</v>
      </c>
      <c r="C276" s="8">
        <v>170</v>
      </c>
      <c r="D276" s="8">
        <v>7787064</v>
      </c>
      <c r="E276" s="8">
        <v>14</v>
      </c>
      <c r="F276" s="8">
        <v>598416</v>
      </c>
      <c r="G276" s="8">
        <v>0</v>
      </c>
      <c r="H276" s="8">
        <v>0</v>
      </c>
      <c r="I276" s="8">
        <v>184</v>
      </c>
      <c r="J276" s="8">
        <v>8385480</v>
      </c>
    </row>
    <row r="277" spans="1:10" x14ac:dyDescent="0.2">
      <c r="A277" s="6" t="s">
        <v>285</v>
      </c>
      <c r="B277" s="6">
        <v>12</v>
      </c>
      <c r="C277" s="8">
        <v>0</v>
      </c>
      <c r="D277" s="8">
        <v>0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</row>
    <row r="278" spans="1:10" x14ac:dyDescent="0.2">
      <c r="A278" s="6" t="s">
        <v>286</v>
      </c>
      <c r="B278" s="6">
        <v>12</v>
      </c>
      <c r="C278" s="8">
        <v>0</v>
      </c>
      <c r="D278" s="8">
        <v>0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</row>
    <row r="279" spans="1:10" x14ac:dyDescent="0.2">
      <c r="A279" s="6" t="s">
        <v>287</v>
      </c>
      <c r="B279" s="6">
        <v>12</v>
      </c>
      <c r="C279" s="8">
        <v>8</v>
      </c>
      <c r="D279" s="8">
        <v>888480</v>
      </c>
      <c r="E279" s="8">
        <v>0</v>
      </c>
      <c r="F279" s="8">
        <v>0</v>
      </c>
      <c r="G279" s="8">
        <v>0</v>
      </c>
      <c r="H279" s="8">
        <v>0</v>
      </c>
      <c r="I279" s="8">
        <v>8</v>
      </c>
      <c r="J279" s="8">
        <v>888480</v>
      </c>
    </row>
    <row r="280" spans="1:10" x14ac:dyDescent="0.2">
      <c r="A280" s="6" t="s">
        <v>288</v>
      </c>
      <c r="B280" s="6">
        <v>12</v>
      </c>
      <c r="C280" s="8">
        <v>72</v>
      </c>
      <c r="D280" s="8">
        <v>1717560</v>
      </c>
      <c r="E280" s="8">
        <v>0</v>
      </c>
      <c r="F280" s="8">
        <v>0</v>
      </c>
      <c r="G280" s="8">
        <v>0</v>
      </c>
      <c r="H280" s="8">
        <v>0</v>
      </c>
      <c r="I280" s="8">
        <v>72</v>
      </c>
      <c r="J280" s="8">
        <v>1717560</v>
      </c>
    </row>
    <row r="281" spans="1:10" x14ac:dyDescent="0.2">
      <c r="A281" s="6" t="s">
        <v>289</v>
      </c>
      <c r="B281" s="6">
        <v>12</v>
      </c>
      <c r="C281" s="8">
        <v>5453</v>
      </c>
      <c r="D281" s="8">
        <v>18544800</v>
      </c>
      <c r="E281" s="8">
        <v>481</v>
      </c>
      <c r="F281" s="8">
        <v>4222080</v>
      </c>
      <c r="G281" s="8">
        <v>0</v>
      </c>
      <c r="H281" s="8">
        <v>0</v>
      </c>
      <c r="I281" s="8">
        <v>5934</v>
      </c>
      <c r="J281" s="8">
        <v>22766880</v>
      </c>
    </row>
    <row r="282" spans="1:10" x14ac:dyDescent="0.2">
      <c r="A282" s="6" t="s">
        <v>290</v>
      </c>
      <c r="B282" s="6">
        <v>12</v>
      </c>
      <c r="C282" s="8">
        <v>294</v>
      </c>
      <c r="D282" s="8">
        <v>26161598</v>
      </c>
      <c r="E282" s="8">
        <v>612</v>
      </c>
      <c r="F282" s="8">
        <v>54458208</v>
      </c>
      <c r="G282" s="8">
        <v>462</v>
      </c>
      <c r="H282" s="8">
        <v>41110762</v>
      </c>
      <c r="I282" s="8">
        <v>444</v>
      </c>
      <c r="J282" s="8">
        <v>39509044</v>
      </c>
    </row>
    <row r="283" spans="1:10" x14ac:dyDescent="0.2">
      <c r="A283" s="6" t="s">
        <v>291</v>
      </c>
      <c r="B283" s="6">
        <v>12</v>
      </c>
      <c r="C283" s="8">
        <v>580</v>
      </c>
      <c r="D283" s="8">
        <v>54183265</v>
      </c>
      <c r="E283" s="8">
        <v>1120</v>
      </c>
      <c r="F283" s="8">
        <v>104711040</v>
      </c>
      <c r="G283" s="8">
        <v>821</v>
      </c>
      <c r="H283" s="8">
        <v>76736603</v>
      </c>
      <c r="I283" s="8">
        <v>879</v>
      </c>
      <c r="J283" s="8">
        <v>82157702</v>
      </c>
    </row>
    <row r="284" spans="1:10" x14ac:dyDescent="0.2">
      <c r="A284" s="6" t="s">
        <v>292</v>
      </c>
      <c r="B284" s="6">
        <v>12</v>
      </c>
      <c r="C284" s="8">
        <v>0</v>
      </c>
      <c r="D284" s="8">
        <v>0</v>
      </c>
      <c r="E284" s="8">
        <v>394</v>
      </c>
      <c r="F284" s="8">
        <v>34234181</v>
      </c>
      <c r="G284" s="8">
        <v>394</v>
      </c>
      <c r="H284" s="8">
        <v>34234181</v>
      </c>
      <c r="I284" s="8">
        <v>0</v>
      </c>
      <c r="J284" s="8">
        <v>0</v>
      </c>
    </row>
    <row r="285" spans="1:10" x14ac:dyDescent="0.2">
      <c r="A285" s="6"/>
      <c r="B285" s="6"/>
      <c r="C285" s="5"/>
      <c r="D285" s="5">
        <v>15756884474</v>
      </c>
      <c r="E285" s="5"/>
      <c r="F285" s="5">
        <v>14455017684</v>
      </c>
      <c r="G285" s="5"/>
      <c r="H285" s="5">
        <v>14475829845</v>
      </c>
      <c r="I285" s="5"/>
      <c r="J285" s="5">
        <v>15736072313</v>
      </c>
    </row>
  </sheetData>
  <mergeCells count="4">
    <mergeCell ref="C1:D1"/>
    <mergeCell ref="E1:F1"/>
    <mergeCell ref="G1:H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Tháng 1</vt:lpstr>
      <vt:lpstr>Tháng 2</vt:lpstr>
      <vt:lpstr>Tháng 3</vt:lpstr>
      <vt:lpstr>Tháng 4</vt:lpstr>
      <vt:lpstr>Tháng 5</vt:lpstr>
      <vt:lpstr>Tháng 6</vt:lpstr>
      <vt:lpstr>Tháng 7</vt:lpstr>
      <vt:lpstr>Tháng 8</vt:lpstr>
      <vt:lpstr>Tháng 9</vt:lpstr>
      <vt:lpstr>Tháng 10</vt:lpstr>
      <vt:lpstr>Tháng 11</vt:lpstr>
      <vt:lpstr>GV CTY</vt:lpstr>
      <vt:lpstr>ĐC TH</vt:lpstr>
      <vt:lpstr>CHỈN LẦN 3</vt:lpstr>
      <vt:lpstr>ĐC theo Lý</vt:lpstr>
      <vt:lpstr>ĐC Chính</vt:lpstr>
      <vt:lpstr>T 12 ĐC lan 2</vt:lpstr>
      <vt:lpstr>T12 đc</vt:lpstr>
      <vt:lpstr>Tháng 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2024-05-19T03:47:22Z</dcterms:modified>
</cp:coreProperties>
</file>